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Evolve Admin\Finance\Development\Wayne's Payment Audit\"/>
    </mc:Choice>
  </mc:AlternateContent>
  <bookViews>
    <workbookView xWindow="0" yWindow="0" windowWidth="28800" windowHeight="11835" activeTab="3"/>
  </bookViews>
  <sheets>
    <sheet name="Wayne" sheetId="1" r:id="rId1"/>
    <sheet name="Historical" sheetId="4" r:id="rId2"/>
    <sheet name="Lists" sheetId="2" r:id="rId3"/>
    <sheet name="Report" sheetId="3" r:id="rId4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K1472" i="3"/>
  <c r="K1473" i="3"/>
  <c r="K1474" i="3"/>
  <c r="K1475" i="3"/>
  <c r="K1476" i="3"/>
  <c r="K1477" i="3"/>
  <c r="K1478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1500" i="3"/>
  <c r="K1501" i="3"/>
  <c r="K1502" i="3"/>
  <c r="K1503" i="3"/>
  <c r="K1504" i="3"/>
  <c r="K1505" i="3"/>
  <c r="K1506" i="3"/>
  <c r="K1507" i="3"/>
  <c r="K1508" i="3"/>
  <c r="K1509" i="3"/>
  <c r="K1510" i="3"/>
  <c r="K1511" i="3"/>
  <c r="K1512" i="3"/>
  <c r="K1513" i="3"/>
  <c r="K1514" i="3"/>
  <c r="K1515" i="3"/>
  <c r="K1516" i="3"/>
  <c r="K1517" i="3"/>
  <c r="K1518" i="3"/>
  <c r="K1519" i="3"/>
  <c r="K1520" i="3"/>
  <c r="K1521" i="3"/>
  <c r="K1522" i="3"/>
  <c r="K1523" i="3"/>
  <c r="K1524" i="3"/>
  <c r="K1525" i="3"/>
  <c r="K1526" i="3"/>
  <c r="K1527" i="3"/>
  <c r="K1528" i="3"/>
  <c r="K1529" i="3"/>
  <c r="K1530" i="3"/>
  <c r="K1531" i="3"/>
  <c r="K1532" i="3"/>
  <c r="K1533" i="3"/>
  <c r="K1534" i="3"/>
  <c r="K1535" i="3"/>
  <c r="K1536" i="3"/>
  <c r="K1537" i="3"/>
  <c r="K1538" i="3"/>
  <c r="K1539" i="3"/>
  <c r="K1540" i="3"/>
  <c r="K1541" i="3"/>
  <c r="K1542" i="3"/>
  <c r="K1543" i="3"/>
  <c r="K1544" i="3"/>
  <c r="K1545" i="3"/>
  <c r="K1546" i="3"/>
  <c r="K1547" i="3"/>
  <c r="K1548" i="3"/>
  <c r="K1549" i="3"/>
  <c r="K1550" i="3"/>
  <c r="K1551" i="3"/>
  <c r="K1552" i="3"/>
  <c r="K1553" i="3"/>
  <c r="K1554" i="3"/>
  <c r="K1555" i="3"/>
  <c r="K1556" i="3"/>
  <c r="K1557" i="3"/>
  <c r="K1558" i="3"/>
  <c r="K1559" i="3"/>
  <c r="K1560" i="3"/>
  <c r="K1561" i="3"/>
  <c r="K1562" i="3"/>
  <c r="K1563" i="3"/>
  <c r="K1564" i="3"/>
  <c r="K1565" i="3"/>
  <c r="K1566" i="3"/>
  <c r="K1567" i="3"/>
  <c r="K1568" i="3"/>
  <c r="K1569" i="3"/>
  <c r="K1570" i="3"/>
  <c r="K1571" i="3"/>
  <c r="K1572" i="3"/>
  <c r="K1573" i="3"/>
  <c r="K1574" i="3"/>
  <c r="K1575" i="3"/>
  <c r="K1576" i="3"/>
  <c r="K1577" i="3"/>
  <c r="K1578" i="3"/>
  <c r="K1579" i="3"/>
  <c r="K1580" i="3"/>
  <c r="K1581" i="3"/>
  <c r="K1582" i="3"/>
  <c r="K1583" i="3"/>
  <c r="K1584" i="3"/>
  <c r="K1585" i="3"/>
  <c r="K1586" i="3"/>
  <c r="K1587" i="3"/>
  <c r="K1588" i="3"/>
  <c r="K1589" i="3"/>
  <c r="K1590" i="3"/>
  <c r="K1591" i="3"/>
  <c r="K1592" i="3"/>
  <c r="K1593" i="3"/>
  <c r="K1594" i="3"/>
  <c r="K1595" i="3"/>
  <c r="K1596" i="3"/>
  <c r="K1597" i="3"/>
  <c r="K1598" i="3"/>
  <c r="K1599" i="3"/>
  <c r="K1600" i="3"/>
  <c r="K1601" i="3"/>
  <c r="K1602" i="3"/>
  <c r="K1603" i="3"/>
  <c r="K1604" i="3"/>
  <c r="K1605" i="3"/>
  <c r="K1606" i="3"/>
  <c r="K1607" i="3"/>
  <c r="K1608" i="3"/>
  <c r="K1609" i="3"/>
  <c r="K1610" i="3"/>
  <c r="K1611" i="3"/>
  <c r="K1612" i="3"/>
  <c r="K1613" i="3"/>
  <c r="K1614" i="3"/>
  <c r="K1615" i="3"/>
  <c r="K1616" i="3"/>
  <c r="K1617" i="3"/>
  <c r="K1618" i="3"/>
  <c r="K1619" i="3"/>
  <c r="K1620" i="3"/>
  <c r="K1621" i="3"/>
  <c r="K1622" i="3"/>
  <c r="K1623" i="3"/>
  <c r="K1624" i="3"/>
  <c r="K1625" i="3"/>
  <c r="K1626" i="3"/>
  <c r="K1627" i="3"/>
  <c r="K1628" i="3"/>
  <c r="K1629" i="3"/>
  <c r="K1630" i="3"/>
  <c r="K1631" i="3"/>
  <c r="K1632" i="3"/>
  <c r="K1633" i="3"/>
  <c r="K1634" i="3"/>
  <c r="K1635" i="3"/>
  <c r="K1636" i="3"/>
  <c r="K1637" i="3"/>
  <c r="K1638" i="3"/>
  <c r="K1639" i="3"/>
  <c r="K1640" i="3"/>
  <c r="K1641" i="3"/>
  <c r="K1642" i="3"/>
  <c r="K1643" i="3"/>
  <c r="K1644" i="3"/>
  <c r="K1645" i="3"/>
  <c r="K1646" i="3"/>
  <c r="K1647" i="3"/>
  <c r="K1648" i="3"/>
  <c r="K1649" i="3"/>
  <c r="K1650" i="3"/>
  <c r="K1651" i="3"/>
  <c r="K1652" i="3"/>
  <c r="K1653" i="3"/>
  <c r="K1654" i="3"/>
  <c r="K1655" i="3"/>
  <c r="K1656" i="3"/>
  <c r="K1657" i="3"/>
  <c r="K1658" i="3"/>
  <c r="K1659" i="3"/>
  <c r="K1660" i="3"/>
  <c r="K1661" i="3"/>
  <c r="K1662" i="3"/>
  <c r="K1663" i="3"/>
  <c r="K1664" i="3"/>
  <c r="K1665" i="3"/>
  <c r="K1666" i="3"/>
  <c r="K1667" i="3"/>
  <c r="K1668" i="3"/>
  <c r="K1669" i="3"/>
  <c r="K1670" i="3"/>
  <c r="K1671" i="3"/>
  <c r="K1672" i="3"/>
  <c r="K1673" i="3"/>
  <c r="K1674" i="3"/>
  <c r="K1675" i="3"/>
  <c r="K1676" i="3"/>
  <c r="K1677" i="3"/>
  <c r="K1678" i="3"/>
  <c r="K1679" i="3"/>
  <c r="K1680" i="3"/>
  <c r="K1681" i="3"/>
  <c r="K1682" i="3"/>
  <c r="K1683" i="3"/>
  <c r="K1684" i="3"/>
  <c r="K1685" i="3"/>
  <c r="K1686" i="3"/>
  <c r="K1687" i="3"/>
  <c r="K1688" i="3"/>
  <c r="K1689" i="3"/>
  <c r="K1690" i="3"/>
  <c r="K1691" i="3"/>
  <c r="K1692" i="3"/>
  <c r="K1693" i="3"/>
  <c r="K1694" i="3"/>
  <c r="K1695" i="3"/>
  <c r="K1696" i="3"/>
  <c r="K1697" i="3"/>
  <c r="K1698" i="3"/>
  <c r="K1699" i="3"/>
  <c r="K1700" i="3"/>
  <c r="K1701" i="3"/>
  <c r="K1702" i="3"/>
  <c r="K1703" i="3"/>
  <c r="K1704" i="3"/>
  <c r="K1705" i="3"/>
  <c r="K1706" i="3"/>
  <c r="K1707" i="3"/>
  <c r="K1708" i="3"/>
  <c r="K1709" i="3"/>
  <c r="K1710" i="3"/>
  <c r="K1711" i="3"/>
  <c r="K1712" i="3"/>
  <c r="K1713" i="3"/>
  <c r="K1714" i="3"/>
  <c r="K1715" i="3"/>
  <c r="K1716" i="3"/>
  <c r="K1717" i="3"/>
  <c r="K1718" i="3"/>
  <c r="K1719" i="3"/>
  <c r="K1720" i="3"/>
  <c r="K1721" i="3"/>
  <c r="K1722" i="3"/>
  <c r="K1723" i="3"/>
  <c r="K1724" i="3"/>
  <c r="K1725" i="3"/>
  <c r="K1726" i="3"/>
  <c r="K1727" i="3"/>
  <c r="K1728" i="3"/>
  <c r="K1729" i="3"/>
  <c r="K1730" i="3"/>
  <c r="K1731" i="3"/>
  <c r="K1732" i="3"/>
  <c r="K1733" i="3"/>
  <c r="K1734" i="3"/>
  <c r="K1735" i="3"/>
  <c r="K1736" i="3"/>
  <c r="K1737" i="3"/>
  <c r="K1738" i="3"/>
  <c r="K1739" i="3"/>
  <c r="K1740" i="3"/>
  <c r="K1741" i="3"/>
  <c r="K1742" i="3"/>
  <c r="K1743" i="3"/>
  <c r="K1744" i="3"/>
  <c r="K1745" i="3"/>
  <c r="K1746" i="3"/>
  <c r="K1747" i="3"/>
  <c r="K1748" i="3"/>
  <c r="K1749" i="3"/>
  <c r="K1750" i="3"/>
  <c r="K1751" i="3"/>
  <c r="K1752" i="3"/>
  <c r="K1753" i="3"/>
  <c r="K1754" i="3"/>
  <c r="K1755" i="3"/>
  <c r="K1756" i="3"/>
  <c r="K1757" i="3"/>
  <c r="K1758" i="3"/>
  <c r="K1759" i="3"/>
  <c r="K1760" i="3"/>
  <c r="K1761" i="3"/>
  <c r="K1762" i="3"/>
  <c r="K1763" i="3"/>
  <c r="K1764" i="3"/>
  <c r="K1765" i="3"/>
  <c r="K1766" i="3"/>
  <c r="K1767" i="3"/>
  <c r="K1768" i="3"/>
  <c r="K1769" i="3"/>
  <c r="K1770" i="3"/>
  <c r="K1771" i="3"/>
  <c r="K1772" i="3"/>
  <c r="K1773" i="3"/>
  <c r="K1774" i="3"/>
  <c r="K1775" i="3"/>
  <c r="K1776" i="3"/>
  <c r="K1777" i="3"/>
  <c r="K1778" i="3"/>
  <c r="K1779" i="3"/>
  <c r="K1780" i="3"/>
  <c r="K1781" i="3"/>
  <c r="K1782" i="3"/>
  <c r="K1783" i="3"/>
  <c r="K1784" i="3"/>
  <c r="K1785" i="3"/>
  <c r="K1786" i="3"/>
  <c r="K1787" i="3"/>
  <c r="K1788" i="3"/>
  <c r="K1789" i="3"/>
  <c r="K1790" i="3"/>
  <c r="K1791" i="3"/>
  <c r="K1792" i="3"/>
  <c r="K1793" i="3"/>
  <c r="K1794" i="3"/>
  <c r="K1795" i="3"/>
  <c r="K1796" i="3"/>
  <c r="K1797" i="3"/>
  <c r="K1798" i="3"/>
  <c r="K1799" i="3"/>
  <c r="K1800" i="3"/>
  <c r="K1801" i="3"/>
  <c r="K1802" i="3"/>
  <c r="K1803" i="3"/>
  <c r="K1804" i="3"/>
  <c r="K1805" i="3"/>
  <c r="K1806" i="3"/>
  <c r="K1807" i="3"/>
  <c r="K1808" i="3"/>
  <c r="K1809" i="3"/>
  <c r="K1810" i="3"/>
  <c r="K1811" i="3"/>
  <c r="K1812" i="3"/>
  <c r="K1813" i="3"/>
  <c r="K1814" i="3"/>
  <c r="K1815" i="3"/>
  <c r="K1816" i="3"/>
  <c r="K1817" i="3"/>
  <c r="K1818" i="3"/>
  <c r="K1819" i="3"/>
  <c r="K1820" i="3"/>
  <c r="K1821" i="3"/>
  <c r="K1822" i="3"/>
  <c r="K1823" i="3"/>
  <c r="K1824" i="3"/>
  <c r="K1825" i="3"/>
  <c r="K1826" i="3"/>
  <c r="K1827" i="3"/>
  <c r="K1828" i="3"/>
  <c r="K1829" i="3"/>
  <c r="K1830" i="3"/>
  <c r="K1831" i="3"/>
  <c r="K1832" i="3"/>
  <c r="K1833" i="3"/>
  <c r="K1834" i="3"/>
  <c r="K1835" i="3"/>
  <c r="K1836" i="3"/>
  <c r="K1837" i="3"/>
  <c r="K1838" i="3"/>
  <c r="K1839" i="3"/>
  <c r="K1840" i="3"/>
  <c r="K1841" i="3"/>
  <c r="K1842" i="3"/>
  <c r="K1843" i="3"/>
  <c r="K1844" i="3"/>
  <c r="K1845" i="3"/>
  <c r="K1846" i="3"/>
  <c r="K1847" i="3"/>
  <c r="K1848" i="3"/>
  <c r="K1849" i="3"/>
  <c r="K1850" i="3"/>
  <c r="K1851" i="3"/>
  <c r="K1852" i="3"/>
  <c r="K1853" i="3"/>
  <c r="K1854" i="3"/>
  <c r="K1855" i="3"/>
  <c r="K1856" i="3"/>
  <c r="K1857" i="3"/>
  <c r="K1858" i="3"/>
  <c r="K1859" i="3"/>
  <c r="K1860" i="3"/>
  <c r="K1861" i="3"/>
  <c r="K1862" i="3"/>
  <c r="K1863" i="3"/>
  <c r="K1864" i="3"/>
  <c r="K1865" i="3"/>
  <c r="K1866" i="3"/>
  <c r="K1867" i="3"/>
  <c r="K1868" i="3"/>
  <c r="K1869" i="3"/>
  <c r="K1870" i="3"/>
  <c r="K1871" i="3"/>
  <c r="K1872" i="3"/>
  <c r="K1873" i="3"/>
  <c r="K1874" i="3"/>
  <c r="K1875" i="3"/>
  <c r="K1876" i="3"/>
  <c r="K1877" i="3"/>
  <c r="K1878" i="3"/>
  <c r="K1879" i="3"/>
  <c r="K1880" i="3"/>
  <c r="K1881" i="3"/>
  <c r="K1882" i="3"/>
  <c r="K1883" i="3"/>
  <c r="K1884" i="3"/>
  <c r="K1885" i="3"/>
  <c r="K1886" i="3"/>
  <c r="K1887" i="3"/>
  <c r="K1888" i="3"/>
  <c r="K1889" i="3"/>
  <c r="K1890" i="3"/>
  <c r="K1891" i="3"/>
  <c r="K1892" i="3"/>
  <c r="K1893" i="3"/>
  <c r="K1894" i="3"/>
  <c r="K1895" i="3"/>
  <c r="K1896" i="3"/>
  <c r="K1897" i="3"/>
  <c r="K1898" i="3"/>
  <c r="K1899" i="3"/>
  <c r="K1900" i="3"/>
  <c r="K1901" i="3"/>
  <c r="K1902" i="3"/>
  <c r="K1903" i="3"/>
  <c r="K1904" i="3"/>
  <c r="K1905" i="3"/>
  <c r="K1906" i="3"/>
  <c r="K1907" i="3"/>
  <c r="K1908" i="3"/>
  <c r="K1909" i="3"/>
  <c r="K1910" i="3"/>
  <c r="K1911" i="3"/>
  <c r="K1912" i="3"/>
  <c r="K1913" i="3"/>
  <c r="K1914" i="3"/>
  <c r="K1915" i="3"/>
  <c r="K1916" i="3"/>
  <c r="K1917" i="3"/>
  <c r="K1918" i="3"/>
  <c r="K1919" i="3"/>
  <c r="K1920" i="3"/>
  <c r="K1921" i="3"/>
  <c r="K1922" i="3"/>
  <c r="K1923" i="3"/>
  <c r="K1924" i="3"/>
  <c r="K1925" i="3"/>
  <c r="K1926" i="3"/>
  <c r="K1927" i="3"/>
  <c r="K1928" i="3"/>
  <c r="K1929" i="3"/>
  <c r="K1930" i="3"/>
  <c r="K1931" i="3"/>
  <c r="K1932" i="3"/>
  <c r="K1933" i="3"/>
  <c r="K1934" i="3"/>
  <c r="K1935" i="3"/>
  <c r="K1936" i="3"/>
  <c r="K1937" i="3"/>
  <c r="K1938" i="3"/>
  <c r="K1939" i="3"/>
  <c r="K1940" i="3"/>
  <c r="K1941" i="3"/>
  <c r="K1942" i="3"/>
  <c r="K1943" i="3"/>
  <c r="K1944" i="3"/>
  <c r="K1945" i="3"/>
  <c r="K1946" i="3"/>
  <c r="K1947" i="3"/>
  <c r="K1948" i="3"/>
  <c r="K1949" i="3"/>
  <c r="K1950" i="3"/>
  <c r="K1951" i="3"/>
  <c r="K1952" i="3"/>
  <c r="K1953" i="3"/>
  <c r="K1954" i="3"/>
  <c r="K1955" i="3"/>
  <c r="K1956" i="3"/>
  <c r="K1957" i="3"/>
  <c r="K1958" i="3"/>
  <c r="K1959" i="3"/>
  <c r="K1960" i="3"/>
  <c r="K1961" i="3"/>
  <c r="K1962" i="3"/>
  <c r="K1963" i="3"/>
  <c r="K1964" i="3"/>
  <c r="K1965" i="3"/>
  <c r="K1966" i="3"/>
  <c r="K1967" i="3"/>
  <c r="K1968" i="3"/>
  <c r="K1969" i="3"/>
  <c r="K1970" i="3"/>
  <c r="K1971" i="3"/>
  <c r="K1972" i="3"/>
  <c r="K1973" i="3"/>
  <c r="K1974" i="3"/>
  <c r="K1975" i="3"/>
  <c r="K1976" i="3"/>
  <c r="K1977" i="3"/>
  <c r="K1978" i="3"/>
  <c r="K1979" i="3"/>
  <c r="K1980" i="3"/>
  <c r="K1981" i="3"/>
  <c r="K1982" i="3"/>
  <c r="K1983" i="3"/>
  <c r="K1984" i="3"/>
  <c r="K1985" i="3"/>
  <c r="K1986" i="3"/>
  <c r="K1987" i="3"/>
  <c r="K1988" i="3"/>
  <c r="K1989" i="3"/>
  <c r="K1990" i="3"/>
  <c r="K1991" i="3"/>
  <c r="K1992" i="3"/>
  <c r="K1993" i="3"/>
  <c r="K1994" i="3"/>
  <c r="K1995" i="3"/>
  <c r="K1996" i="3"/>
  <c r="K1997" i="3"/>
  <c r="K1998" i="3"/>
  <c r="K1999" i="3"/>
  <c r="K2000" i="3"/>
  <c r="K2001" i="3"/>
  <c r="K2002" i="3"/>
  <c r="K2003" i="3"/>
  <c r="K2004" i="3"/>
  <c r="K2005" i="3"/>
  <c r="K2006" i="3"/>
  <c r="K2007" i="3"/>
  <c r="K2008" i="3"/>
  <c r="K2009" i="3"/>
  <c r="K2010" i="3"/>
  <c r="K2011" i="3"/>
  <c r="K2012" i="3"/>
  <c r="K2013" i="3"/>
  <c r="K2014" i="3"/>
  <c r="K2015" i="3"/>
  <c r="K2016" i="3"/>
  <c r="K2017" i="3"/>
  <c r="K2018" i="3"/>
  <c r="K2019" i="3"/>
  <c r="K2020" i="3"/>
  <c r="K2021" i="3"/>
  <c r="K2022" i="3"/>
  <c r="K2023" i="3"/>
  <c r="K2024" i="3"/>
  <c r="K2025" i="3"/>
  <c r="K2026" i="3"/>
  <c r="K2027" i="3"/>
  <c r="K2028" i="3"/>
  <c r="K2029" i="3"/>
  <c r="K2030" i="3"/>
  <c r="K2031" i="3"/>
  <c r="K2032" i="3"/>
  <c r="K2033" i="3"/>
  <c r="K2034" i="3"/>
  <c r="K2035" i="3"/>
  <c r="K2036" i="3"/>
  <c r="K2037" i="3"/>
  <c r="K2038" i="3"/>
  <c r="K2039" i="3"/>
  <c r="K2040" i="3"/>
  <c r="K2041" i="3"/>
  <c r="K2042" i="3"/>
  <c r="K2043" i="3"/>
  <c r="K2044" i="3"/>
  <c r="K2045" i="3"/>
  <c r="K2046" i="3"/>
  <c r="K2047" i="3"/>
  <c r="K2048" i="3"/>
  <c r="K2049" i="3"/>
  <c r="K2050" i="3"/>
  <c r="K2051" i="3"/>
  <c r="K2052" i="3"/>
  <c r="K2053" i="3"/>
  <c r="K2054" i="3"/>
  <c r="K2055" i="3"/>
  <c r="K2056" i="3"/>
  <c r="K2057" i="3"/>
  <c r="K2058" i="3"/>
  <c r="K2059" i="3"/>
  <c r="K2060" i="3"/>
  <c r="K2061" i="3"/>
  <c r="K2062" i="3"/>
  <c r="K2063" i="3"/>
  <c r="K2064" i="3"/>
  <c r="K2065" i="3"/>
  <c r="K2066" i="3"/>
  <c r="K2067" i="3"/>
  <c r="K2068" i="3"/>
  <c r="K2069" i="3"/>
  <c r="K2070" i="3"/>
  <c r="K2071" i="3"/>
  <c r="K2072" i="3"/>
  <c r="K2073" i="3"/>
  <c r="K2074" i="3"/>
  <c r="K2075" i="3"/>
  <c r="K2076" i="3"/>
  <c r="K2077" i="3"/>
  <c r="K2078" i="3"/>
  <c r="K2079" i="3"/>
  <c r="K2080" i="3"/>
  <c r="K2081" i="3"/>
  <c r="K2082" i="3"/>
  <c r="K2083" i="3"/>
  <c r="K2084" i="3"/>
  <c r="K2085" i="3"/>
  <c r="K2086" i="3"/>
  <c r="K2087" i="3"/>
  <c r="K2088" i="3"/>
  <c r="K2089" i="3"/>
  <c r="K2090" i="3"/>
  <c r="K2091" i="3"/>
  <c r="K2092" i="3"/>
  <c r="K2093" i="3"/>
  <c r="K2094" i="3"/>
  <c r="K2095" i="3"/>
  <c r="K2096" i="3"/>
  <c r="K2097" i="3"/>
  <c r="K2098" i="3"/>
  <c r="K2099" i="3"/>
  <c r="K2100" i="3"/>
  <c r="K2101" i="3"/>
  <c r="K2102" i="3"/>
  <c r="K2103" i="3"/>
  <c r="K2104" i="3"/>
  <c r="K2105" i="3"/>
  <c r="K2106" i="3"/>
  <c r="K2107" i="3"/>
  <c r="K2108" i="3"/>
  <c r="K2109" i="3"/>
  <c r="K2110" i="3"/>
  <c r="K2111" i="3"/>
  <c r="K2112" i="3"/>
  <c r="K2113" i="3"/>
  <c r="K2114" i="3"/>
  <c r="K2115" i="3"/>
  <c r="K2116" i="3"/>
  <c r="K2117" i="3"/>
  <c r="K2118" i="3"/>
  <c r="K2119" i="3"/>
  <c r="K2120" i="3"/>
  <c r="K2121" i="3"/>
  <c r="K2122" i="3"/>
  <c r="K2123" i="3"/>
  <c r="K2124" i="3"/>
  <c r="K2125" i="3"/>
  <c r="K2126" i="3"/>
  <c r="K2127" i="3"/>
  <c r="K2128" i="3"/>
  <c r="K2129" i="3"/>
  <c r="K2130" i="3"/>
  <c r="K2131" i="3"/>
  <c r="K2" i="3"/>
  <c r="J1860" i="3"/>
  <c r="L1860" i="3"/>
  <c r="J1861" i="3"/>
  <c r="L1861" i="3"/>
  <c r="J1862" i="3"/>
  <c r="L1862" i="3"/>
  <c r="J1863" i="3"/>
  <c r="L1863" i="3"/>
  <c r="J1864" i="3"/>
  <c r="L1864" i="3"/>
  <c r="J1865" i="3"/>
  <c r="L1865" i="3"/>
  <c r="J1866" i="3"/>
  <c r="L1866" i="3"/>
  <c r="J1867" i="3"/>
  <c r="L1867" i="3"/>
  <c r="J1868" i="3"/>
  <c r="L1868" i="3"/>
  <c r="J1869" i="3"/>
  <c r="L1869" i="3"/>
  <c r="J1870" i="3"/>
  <c r="L1870" i="3"/>
  <c r="J1871" i="3"/>
  <c r="L1871" i="3"/>
  <c r="J1872" i="3"/>
  <c r="L1872" i="3"/>
  <c r="J1873" i="3"/>
  <c r="L1873" i="3"/>
  <c r="J1874" i="3"/>
  <c r="L1874" i="3"/>
  <c r="J1875" i="3"/>
  <c r="L1875" i="3"/>
  <c r="J1876" i="3"/>
  <c r="L1876" i="3"/>
  <c r="J1877" i="3"/>
  <c r="L1877" i="3"/>
  <c r="J1878" i="3"/>
  <c r="L1878" i="3"/>
  <c r="J1879" i="3"/>
  <c r="L1879" i="3"/>
  <c r="J1880" i="3"/>
  <c r="L1880" i="3"/>
  <c r="J1881" i="3"/>
  <c r="L1881" i="3"/>
  <c r="J1882" i="3"/>
  <c r="L1882" i="3"/>
  <c r="J1883" i="3"/>
  <c r="L1883" i="3"/>
  <c r="J1884" i="3"/>
  <c r="L1884" i="3"/>
  <c r="J1885" i="3"/>
  <c r="L1885" i="3"/>
  <c r="J1886" i="3"/>
  <c r="L1886" i="3"/>
  <c r="J1887" i="3"/>
  <c r="L1887" i="3"/>
  <c r="J1888" i="3"/>
  <c r="L1888" i="3"/>
  <c r="J1889" i="3"/>
  <c r="L1889" i="3"/>
  <c r="J1890" i="3"/>
  <c r="L1890" i="3"/>
  <c r="J1891" i="3"/>
  <c r="L1891" i="3"/>
  <c r="J1892" i="3"/>
  <c r="L1892" i="3"/>
  <c r="J1893" i="3"/>
  <c r="L1893" i="3"/>
  <c r="J1894" i="3"/>
  <c r="L1894" i="3"/>
  <c r="J1895" i="3"/>
  <c r="L1895" i="3"/>
  <c r="J1896" i="3"/>
  <c r="L1896" i="3"/>
  <c r="J1897" i="3"/>
  <c r="L1897" i="3"/>
  <c r="J1898" i="3"/>
  <c r="L1898" i="3"/>
  <c r="J1899" i="3"/>
  <c r="L1899" i="3"/>
  <c r="J1900" i="3"/>
  <c r="L1900" i="3"/>
  <c r="J1901" i="3"/>
  <c r="L1901" i="3"/>
  <c r="J1902" i="3"/>
  <c r="L1902" i="3"/>
  <c r="J1903" i="3"/>
  <c r="L1903" i="3"/>
  <c r="J1904" i="3"/>
  <c r="L1904" i="3"/>
  <c r="J1905" i="3"/>
  <c r="L1905" i="3"/>
  <c r="J1906" i="3"/>
  <c r="L1906" i="3"/>
  <c r="J1907" i="3"/>
  <c r="L1907" i="3"/>
  <c r="J1908" i="3"/>
  <c r="L1908" i="3"/>
  <c r="J1909" i="3"/>
  <c r="L1909" i="3"/>
  <c r="J1910" i="3"/>
  <c r="L1910" i="3"/>
  <c r="J1911" i="3"/>
  <c r="L1911" i="3"/>
  <c r="J1912" i="3"/>
  <c r="L1912" i="3"/>
  <c r="J1913" i="3"/>
  <c r="L1913" i="3"/>
  <c r="J1914" i="3"/>
  <c r="L1914" i="3"/>
  <c r="J1915" i="3"/>
  <c r="L1915" i="3"/>
  <c r="J1916" i="3"/>
  <c r="L1916" i="3"/>
  <c r="J1917" i="3"/>
  <c r="L1917" i="3"/>
  <c r="J1918" i="3"/>
  <c r="L1918" i="3"/>
  <c r="J1919" i="3"/>
  <c r="L1919" i="3"/>
  <c r="J1920" i="3"/>
  <c r="L1920" i="3"/>
  <c r="J1921" i="3"/>
  <c r="L1921" i="3"/>
  <c r="J1922" i="3"/>
  <c r="L1922" i="3"/>
  <c r="J1923" i="3"/>
  <c r="L1923" i="3"/>
  <c r="J1924" i="3"/>
  <c r="L1924" i="3"/>
  <c r="J1925" i="3"/>
  <c r="L1925" i="3"/>
  <c r="J1926" i="3"/>
  <c r="L1926" i="3"/>
  <c r="J1927" i="3"/>
  <c r="L1927" i="3"/>
  <c r="J1928" i="3"/>
  <c r="L1928" i="3"/>
  <c r="J1929" i="3"/>
  <c r="L1929" i="3"/>
  <c r="J1930" i="3"/>
  <c r="L1930" i="3"/>
  <c r="J1931" i="3"/>
  <c r="L1931" i="3"/>
  <c r="J1932" i="3"/>
  <c r="L1932" i="3"/>
  <c r="J1933" i="3"/>
  <c r="L1933" i="3"/>
  <c r="J1934" i="3"/>
  <c r="L1934" i="3"/>
  <c r="J1935" i="3"/>
  <c r="L1935" i="3"/>
  <c r="J1936" i="3"/>
  <c r="L1936" i="3"/>
  <c r="J1937" i="3"/>
  <c r="L1937" i="3"/>
  <c r="J1938" i="3"/>
  <c r="L1938" i="3"/>
  <c r="J1939" i="3"/>
  <c r="L1939" i="3"/>
  <c r="J1940" i="3"/>
  <c r="L1940" i="3"/>
  <c r="J1941" i="3"/>
  <c r="L1941" i="3"/>
  <c r="J1942" i="3"/>
  <c r="L1942" i="3"/>
  <c r="J1943" i="3"/>
  <c r="L1943" i="3"/>
  <c r="J1944" i="3"/>
  <c r="L1944" i="3"/>
  <c r="J1945" i="3"/>
  <c r="L1945" i="3"/>
  <c r="J1946" i="3"/>
  <c r="L1946" i="3"/>
  <c r="J1947" i="3"/>
  <c r="L1947" i="3"/>
  <c r="J1948" i="3"/>
  <c r="L1948" i="3"/>
  <c r="J1949" i="3"/>
  <c r="L1949" i="3"/>
  <c r="J1950" i="3"/>
  <c r="L1950" i="3"/>
  <c r="J1951" i="3"/>
  <c r="L1951" i="3"/>
  <c r="J1952" i="3"/>
  <c r="L1952" i="3"/>
  <c r="J1953" i="3"/>
  <c r="L1953" i="3"/>
  <c r="J1954" i="3"/>
  <c r="L1954" i="3"/>
  <c r="J1955" i="3"/>
  <c r="L1955" i="3"/>
  <c r="J1956" i="3"/>
  <c r="L1956" i="3"/>
  <c r="J1957" i="3"/>
  <c r="L1957" i="3"/>
  <c r="J1958" i="3"/>
  <c r="L1958" i="3"/>
  <c r="J1959" i="3"/>
  <c r="L1959" i="3"/>
  <c r="J1960" i="3"/>
  <c r="L1960" i="3"/>
  <c r="J1961" i="3"/>
  <c r="L1961" i="3"/>
  <c r="J1962" i="3"/>
  <c r="L1962" i="3"/>
  <c r="J1963" i="3"/>
  <c r="L1963" i="3"/>
  <c r="J1964" i="3"/>
  <c r="L1964" i="3"/>
  <c r="J1965" i="3"/>
  <c r="L1965" i="3"/>
  <c r="J1966" i="3"/>
  <c r="L1966" i="3"/>
  <c r="J1967" i="3"/>
  <c r="L1967" i="3"/>
  <c r="J1968" i="3"/>
  <c r="L1968" i="3"/>
  <c r="J1969" i="3"/>
  <c r="L1969" i="3"/>
  <c r="J1970" i="3"/>
  <c r="L1970" i="3"/>
  <c r="J1971" i="3"/>
  <c r="L1971" i="3"/>
  <c r="J1972" i="3"/>
  <c r="L1972" i="3"/>
  <c r="J1973" i="3"/>
  <c r="L1973" i="3"/>
  <c r="J1974" i="3"/>
  <c r="L1974" i="3"/>
  <c r="J1975" i="3"/>
  <c r="L1975" i="3"/>
  <c r="J1976" i="3"/>
  <c r="L1976" i="3"/>
  <c r="J1977" i="3"/>
  <c r="L1977" i="3"/>
  <c r="J1978" i="3"/>
  <c r="L1978" i="3"/>
  <c r="J1979" i="3"/>
  <c r="L1979" i="3"/>
  <c r="J1980" i="3"/>
  <c r="L1980" i="3"/>
  <c r="J1981" i="3"/>
  <c r="L1981" i="3"/>
  <c r="J1982" i="3"/>
  <c r="L1982" i="3"/>
  <c r="J1983" i="3"/>
  <c r="L1983" i="3"/>
  <c r="J1984" i="3"/>
  <c r="L1984" i="3"/>
  <c r="J1985" i="3"/>
  <c r="L1985" i="3"/>
  <c r="J1986" i="3"/>
  <c r="L1986" i="3"/>
  <c r="J1987" i="3"/>
  <c r="L1987" i="3"/>
  <c r="J1988" i="3"/>
  <c r="L1988" i="3"/>
  <c r="J1989" i="3"/>
  <c r="L1989" i="3"/>
  <c r="J1990" i="3"/>
  <c r="L1990" i="3"/>
  <c r="J1991" i="3"/>
  <c r="L1991" i="3"/>
  <c r="J1992" i="3"/>
  <c r="L1992" i="3"/>
  <c r="J1993" i="3"/>
  <c r="L1993" i="3"/>
  <c r="J1994" i="3"/>
  <c r="L1994" i="3"/>
  <c r="J1995" i="3"/>
  <c r="L1995" i="3"/>
  <c r="J1996" i="3"/>
  <c r="L1996" i="3"/>
  <c r="J1997" i="3"/>
  <c r="L1997" i="3"/>
  <c r="J1998" i="3"/>
  <c r="L1998" i="3"/>
  <c r="J1999" i="3"/>
  <c r="L1999" i="3"/>
  <c r="J2000" i="3"/>
  <c r="L2000" i="3"/>
  <c r="J2001" i="3"/>
  <c r="L2001" i="3"/>
  <c r="J2002" i="3"/>
  <c r="L2002" i="3"/>
  <c r="J2003" i="3"/>
  <c r="L2003" i="3"/>
  <c r="J2004" i="3"/>
  <c r="L2004" i="3"/>
  <c r="J2005" i="3"/>
  <c r="L2005" i="3"/>
  <c r="J2006" i="3"/>
  <c r="L2006" i="3"/>
  <c r="J2007" i="3"/>
  <c r="L2007" i="3"/>
  <c r="J2008" i="3"/>
  <c r="L2008" i="3"/>
  <c r="J2009" i="3"/>
  <c r="L2009" i="3"/>
  <c r="J2010" i="3"/>
  <c r="L2010" i="3"/>
  <c r="J2011" i="3"/>
  <c r="L2011" i="3"/>
  <c r="J2012" i="3"/>
  <c r="L2012" i="3"/>
  <c r="J2013" i="3"/>
  <c r="L2013" i="3"/>
  <c r="J2014" i="3"/>
  <c r="L2014" i="3"/>
  <c r="J2015" i="3"/>
  <c r="L2015" i="3"/>
  <c r="J2016" i="3"/>
  <c r="L2016" i="3"/>
  <c r="J2017" i="3"/>
  <c r="L2017" i="3"/>
  <c r="J2018" i="3"/>
  <c r="L2018" i="3"/>
  <c r="J2019" i="3"/>
  <c r="L2019" i="3"/>
  <c r="J2020" i="3"/>
  <c r="L2020" i="3"/>
  <c r="J2021" i="3"/>
  <c r="L2021" i="3"/>
  <c r="J2022" i="3"/>
  <c r="L2022" i="3"/>
  <c r="J2023" i="3"/>
  <c r="L2023" i="3"/>
  <c r="J2024" i="3"/>
  <c r="L2024" i="3"/>
  <c r="J2025" i="3"/>
  <c r="L2025" i="3"/>
  <c r="J2026" i="3"/>
  <c r="L2026" i="3"/>
  <c r="J2027" i="3"/>
  <c r="L2027" i="3"/>
  <c r="J2028" i="3"/>
  <c r="L2028" i="3"/>
  <c r="J2029" i="3"/>
  <c r="L2029" i="3"/>
  <c r="J2030" i="3"/>
  <c r="L2030" i="3"/>
  <c r="J2031" i="3"/>
  <c r="L2031" i="3"/>
  <c r="J2032" i="3"/>
  <c r="L2032" i="3"/>
  <c r="J2033" i="3"/>
  <c r="L2033" i="3"/>
  <c r="J2034" i="3"/>
  <c r="L2034" i="3"/>
  <c r="J2035" i="3"/>
  <c r="L2035" i="3"/>
  <c r="J2036" i="3"/>
  <c r="L2036" i="3"/>
  <c r="J2037" i="3"/>
  <c r="L2037" i="3"/>
  <c r="J2038" i="3"/>
  <c r="L2038" i="3"/>
  <c r="J2039" i="3"/>
  <c r="L2039" i="3"/>
  <c r="J2040" i="3"/>
  <c r="L2040" i="3"/>
  <c r="J2041" i="3"/>
  <c r="L2041" i="3"/>
  <c r="J2042" i="3"/>
  <c r="L2042" i="3"/>
  <c r="J2043" i="3"/>
  <c r="L2043" i="3"/>
  <c r="J2044" i="3"/>
  <c r="L2044" i="3"/>
  <c r="J2045" i="3"/>
  <c r="L2045" i="3"/>
  <c r="J2046" i="3"/>
  <c r="L2046" i="3"/>
  <c r="J2047" i="3"/>
  <c r="L2047" i="3"/>
  <c r="J2048" i="3"/>
  <c r="L2048" i="3"/>
  <c r="J2049" i="3"/>
  <c r="L2049" i="3"/>
  <c r="J2050" i="3"/>
  <c r="L2050" i="3"/>
  <c r="J2051" i="3"/>
  <c r="L2051" i="3"/>
  <c r="J2052" i="3"/>
  <c r="L2052" i="3"/>
  <c r="J2053" i="3"/>
  <c r="L2053" i="3"/>
  <c r="J2054" i="3"/>
  <c r="L2054" i="3"/>
  <c r="J2055" i="3"/>
  <c r="L2055" i="3"/>
  <c r="J2056" i="3"/>
  <c r="L2056" i="3"/>
  <c r="J2057" i="3"/>
  <c r="L2057" i="3"/>
  <c r="J2058" i="3"/>
  <c r="L2058" i="3"/>
  <c r="J2059" i="3"/>
  <c r="L2059" i="3"/>
  <c r="J2060" i="3"/>
  <c r="L2060" i="3"/>
  <c r="J2061" i="3"/>
  <c r="L2061" i="3"/>
  <c r="J2062" i="3"/>
  <c r="L2062" i="3"/>
  <c r="J2063" i="3"/>
  <c r="L2063" i="3"/>
  <c r="J2064" i="3"/>
  <c r="L2064" i="3"/>
  <c r="J2065" i="3"/>
  <c r="L2065" i="3"/>
  <c r="J2066" i="3"/>
  <c r="L2066" i="3"/>
  <c r="J2067" i="3"/>
  <c r="L2067" i="3"/>
  <c r="J2068" i="3"/>
  <c r="L2068" i="3"/>
  <c r="J2069" i="3"/>
  <c r="L2069" i="3"/>
  <c r="J2070" i="3"/>
  <c r="L2070" i="3"/>
  <c r="J2071" i="3"/>
  <c r="L2071" i="3"/>
  <c r="J2072" i="3"/>
  <c r="L2072" i="3"/>
  <c r="J2073" i="3"/>
  <c r="L2073" i="3"/>
  <c r="J2074" i="3"/>
  <c r="L2074" i="3"/>
  <c r="J2075" i="3"/>
  <c r="L2075" i="3"/>
  <c r="J2076" i="3"/>
  <c r="L2076" i="3"/>
  <c r="J2077" i="3"/>
  <c r="L2077" i="3"/>
  <c r="J2078" i="3"/>
  <c r="L2078" i="3"/>
  <c r="J2079" i="3"/>
  <c r="L2079" i="3"/>
  <c r="J2080" i="3"/>
  <c r="L2080" i="3"/>
  <c r="J2081" i="3"/>
  <c r="L2081" i="3"/>
  <c r="J2082" i="3"/>
  <c r="L2082" i="3"/>
  <c r="J2083" i="3"/>
  <c r="L2083" i="3"/>
  <c r="J2084" i="3"/>
  <c r="L2084" i="3"/>
  <c r="J2085" i="3"/>
  <c r="L2085" i="3"/>
  <c r="J2086" i="3"/>
  <c r="L2086" i="3"/>
  <c r="J2087" i="3"/>
  <c r="L2087" i="3"/>
  <c r="J2088" i="3"/>
  <c r="L2088" i="3"/>
  <c r="J2089" i="3"/>
  <c r="L2089" i="3"/>
  <c r="J2090" i="3"/>
  <c r="L2090" i="3"/>
  <c r="J2091" i="3"/>
  <c r="L2091" i="3"/>
  <c r="J2092" i="3"/>
  <c r="L2092" i="3"/>
  <c r="J2093" i="3"/>
  <c r="L2093" i="3"/>
  <c r="J2094" i="3"/>
  <c r="L2094" i="3"/>
  <c r="J2095" i="3"/>
  <c r="L2095" i="3"/>
  <c r="J2096" i="3"/>
  <c r="L2096" i="3"/>
  <c r="J2097" i="3"/>
  <c r="L2097" i="3"/>
  <c r="J2098" i="3"/>
  <c r="L2098" i="3"/>
  <c r="J2099" i="3"/>
  <c r="L2099" i="3"/>
  <c r="J2100" i="3"/>
  <c r="L2100" i="3"/>
  <c r="J2101" i="3"/>
  <c r="L2101" i="3"/>
  <c r="J2102" i="3"/>
  <c r="L2102" i="3"/>
  <c r="J2103" i="3"/>
  <c r="L2103" i="3"/>
  <c r="J2104" i="3"/>
  <c r="L2104" i="3"/>
  <c r="J2105" i="3"/>
  <c r="L2105" i="3"/>
  <c r="J2106" i="3"/>
  <c r="L2106" i="3"/>
  <c r="J2107" i="3"/>
  <c r="L2107" i="3"/>
  <c r="J2108" i="3"/>
  <c r="L2108" i="3"/>
  <c r="J2109" i="3"/>
  <c r="L2109" i="3"/>
  <c r="J2110" i="3"/>
  <c r="L2110" i="3"/>
  <c r="J2111" i="3"/>
  <c r="L2111" i="3"/>
  <c r="J2112" i="3"/>
  <c r="L2112" i="3"/>
  <c r="J2113" i="3"/>
  <c r="L2113" i="3"/>
  <c r="J2114" i="3"/>
  <c r="L2114" i="3"/>
  <c r="J2115" i="3"/>
  <c r="L2115" i="3"/>
  <c r="J2116" i="3"/>
  <c r="L2116" i="3"/>
  <c r="J2117" i="3"/>
  <c r="L2117" i="3"/>
  <c r="J2118" i="3"/>
  <c r="L2118" i="3"/>
  <c r="J2119" i="3"/>
  <c r="L2119" i="3"/>
  <c r="J2120" i="3"/>
  <c r="L2120" i="3"/>
  <c r="J2121" i="3"/>
  <c r="L2121" i="3"/>
  <c r="J2122" i="3"/>
  <c r="L2122" i="3"/>
  <c r="J2123" i="3"/>
  <c r="L2123" i="3"/>
  <c r="J2124" i="3"/>
  <c r="L2124" i="3"/>
  <c r="J2125" i="3"/>
  <c r="L2125" i="3"/>
  <c r="J2126" i="3"/>
  <c r="L2126" i="3"/>
  <c r="J2127" i="3"/>
  <c r="L2127" i="3"/>
  <c r="J2128" i="3"/>
  <c r="L2128" i="3"/>
  <c r="J2129" i="3"/>
  <c r="L2129" i="3"/>
  <c r="J2130" i="3"/>
  <c r="L2130" i="3"/>
  <c r="J2131" i="3"/>
  <c r="L2131" i="3"/>
  <c r="J1588" i="3"/>
  <c r="L1588" i="3"/>
  <c r="J1589" i="3"/>
  <c r="L1589" i="3"/>
  <c r="J1590" i="3"/>
  <c r="L1590" i="3"/>
  <c r="J1591" i="3"/>
  <c r="L1591" i="3"/>
  <c r="J1592" i="3"/>
  <c r="L1592" i="3"/>
  <c r="J1593" i="3"/>
  <c r="L1593" i="3"/>
  <c r="J1594" i="3"/>
  <c r="L1594" i="3"/>
  <c r="J1595" i="3"/>
  <c r="L1595" i="3"/>
  <c r="J1596" i="3"/>
  <c r="L1596" i="3"/>
  <c r="J1597" i="3"/>
  <c r="L1597" i="3"/>
  <c r="J1598" i="3"/>
  <c r="L1598" i="3"/>
  <c r="J1599" i="3"/>
  <c r="L1599" i="3"/>
  <c r="J1600" i="3"/>
  <c r="L1600" i="3"/>
  <c r="J1601" i="3"/>
  <c r="L1601" i="3"/>
  <c r="J1602" i="3"/>
  <c r="L1602" i="3"/>
  <c r="J1603" i="3"/>
  <c r="L1603" i="3"/>
  <c r="J1604" i="3"/>
  <c r="L1604" i="3"/>
  <c r="J1605" i="3"/>
  <c r="L1605" i="3"/>
  <c r="J1606" i="3"/>
  <c r="L1606" i="3"/>
  <c r="J1607" i="3"/>
  <c r="L1607" i="3"/>
  <c r="J1608" i="3"/>
  <c r="L1608" i="3"/>
  <c r="J1609" i="3"/>
  <c r="L1609" i="3"/>
  <c r="J1610" i="3"/>
  <c r="L1610" i="3"/>
  <c r="J1611" i="3"/>
  <c r="L1611" i="3"/>
  <c r="J1612" i="3"/>
  <c r="L1612" i="3"/>
  <c r="J1613" i="3"/>
  <c r="L1613" i="3"/>
  <c r="J1614" i="3"/>
  <c r="L1614" i="3"/>
  <c r="J1615" i="3"/>
  <c r="L1615" i="3"/>
  <c r="J1616" i="3"/>
  <c r="L1616" i="3"/>
  <c r="J1617" i="3"/>
  <c r="L1617" i="3"/>
  <c r="J1618" i="3"/>
  <c r="L1618" i="3"/>
  <c r="J1619" i="3"/>
  <c r="L1619" i="3"/>
  <c r="J1620" i="3"/>
  <c r="L1620" i="3"/>
  <c r="J1621" i="3"/>
  <c r="L1621" i="3"/>
  <c r="J1622" i="3"/>
  <c r="L1622" i="3"/>
  <c r="J1623" i="3"/>
  <c r="L1623" i="3"/>
  <c r="J1624" i="3"/>
  <c r="L1624" i="3"/>
  <c r="J1625" i="3"/>
  <c r="L1625" i="3"/>
  <c r="J1626" i="3"/>
  <c r="L1626" i="3"/>
  <c r="J1627" i="3"/>
  <c r="L1627" i="3"/>
  <c r="J1628" i="3"/>
  <c r="L1628" i="3"/>
  <c r="J1629" i="3"/>
  <c r="L1629" i="3"/>
  <c r="J1630" i="3"/>
  <c r="L1630" i="3"/>
  <c r="J1631" i="3"/>
  <c r="L1631" i="3"/>
  <c r="J1632" i="3"/>
  <c r="L1632" i="3"/>
  <c r="J1633" i="3"/>
  <c r="L1633" i="3"/>
  <c r="J1634" i="3"/>
  <c r="L1634" i="3"/>
  <c r="J1635" i="3"/>
  <c r="L1635" i="3"/>
  <c r="J1636" i="3"/>
  <c r="L1636" i="3"/>
  <c r="J1637" i="3"/>
  <c r="L1637" i="3"/>
  <c r="J1638" i="3"/>
  <c r="L1638" i="3"/>
  <c r="J1639" i="3"/>
  <c r="L1639" i="3"/>
  <c r="J1640" i="3"/>
  <c r="L1640" i="3"/>
  <c r="J1641" i="3"/>
  <c r="L1641" i="3"/>
  <c r="J1642" i="3"/>
  <c r="L1642" i="3"/>
  <c r="J1643" i="3"/>
  <c r="L1643" i="3"/>
  <c r="J1644" i="3"/>
  <c r="L1644" i="3"/>
  <c r="J1645" i="3"/>
  <c r="L1645" i="3"/>
  <c r="J1646" i="3"/>
  <c r="L1646" i="3"/>
  <c r="J1647" i="3"/>
  <c r="L1647" i="3"/>
  <c r="J1648" i="3"/>
  <c r="L1648" i="3"/>
  <c r="J1649" i="3"/>
  <c r="L1649" i="3"/>
  <c r="J1650" i="3"/>
  <c r="L1650" i="3"/>
  <c r="J1651" i="3"/>
  <c r="L1651" i="3"/>
  <c r="J1652" i="3"/>
  <c r="L1652" i="3"/>
  <c r="J1653" i="3"/>
  <c r="L1653" i="3"/>
  <c r="J1654" i="3"/>
  <c r="L1654" i="3"/>
  <c r="J1655" i="3"/>
  <c r="L1655" i="3"/>
  <c r="J1656" i="3"/>
  <c r="L1656" i="3"/>
  <c r="J1657" i="3"/>
  <c r="L1657" i="3"/>
  <c r="J1658" i="3"/>
  <c r="L1658" i="3"/>
  <c r="J1659" i="3"/>
  <c r="L1659" i="3"/>
  <c r="J1660" i="3"/>
  <c r="L1660" i="3"/>
  <c r="J1661" i="3"/>
  <c r="L1661" i="3"/>
  <c r="J1662" i="3"/>
  <c r="L1662" i="3"/>
  <c r="J1663" i="3"/>
  <c r="L1663" i="3"/>
  <c r="J1664" i="3"/>
  <c r="L1664" i="3"/>
  <c r="J1665" i="3"/>
  <c r="L1665" i="3"/>
  <c r="J1666" i="3"/>
  <c r="L1666" i="3"/>
  <c r="J1667" i="3"/>
  <c r="L1667" i="3"/>
  <c r="J1668" i="3"/>
  <c r="L1668" i="3"/>
  <c r="J1669" i="3"/>
  <c r="L1669" i="3"/>
  <c r="J1670" i="3"/>
  <c r="L1670" i="3"/>
  <c r="J1671" i="3"/>
  <c r="L1671" i="3"/>
  <c r="J1672" i="3"/>
  <c r="L1672" i="3"/>
  <c r="J1673" i="3"/>
  <c r="L1673" i="3"/>
  <c r="J1674" i="3"/>
  <c r="L1674" i="3"/>
  <c r="J1675" i="3"/>
  <c r="L1675" i="3"/>
  <c r="J1676" i="3"/>
  <c r="L1676" i="3"/>
  <c r="J1677" i="3"/>
  <c r="L1677" i="3"/>
  <c r="J1678" i="3"/>
  <c r="L1678" i="3"/>
  <c r="J1679" i="3"/>
  <c r="L1679" i="3"/>
  <c r="J1680" i="3"/>
  <c r="L1680" i="3"/>
  <c r="J1681" i="3"/>
  <c r="L1681" i="3"/>
  <c r="J1682" i="3"/>
  <c r="L1682" i="3"/>
  <c r="J1683" i="3"/>
  <c r="L1683" i="3"/>
  <c r="J1684" i="3"/>
  <c r="L1684" i="3"/>
  <c r="J1685" i="3"/>
  <c r="L1685" i="3"/>
  <c r="J1686" i="3"/>
  <c r="L1686" i="3"/>
  <c r="J1687" i="3"/>
  <c r="L1687" i="3"/>
  <c r="J1688" i="3"/>
  <c r="L1688" i="3"/>
  <c r="J1689" i="3"/>
  <c r="L1689" i="3"/>
  <c r="J1690" i="3"/>
  <c r="L1690" i="3"/>
  <c r="J1691" i="3"/>
  <c r="L1691" i="3"/>
  <c r="J1692" i="3"/>
  <c r="L1692" i="3"/>
  <c r="J1693" i="3"/>
  <c r="L1693" i="3"/>
  <c r="J1694" i="3"/>
  <c r="L1694" i="3"/>
  <c r="J1695" i="3"/>
  <c r="L1695" i="3"/>
  <c r="J1696" i="3"/>
  <c r="L1696" i="3"/>
  <c r="J1697" i="3"/>
  <c r="L1697" i="3"/>
  <c r="J1698" i="3"/>
  <c r="L1698" i="3"/>
  <c r="J1699" i="3"/>
  <c r="L1699" i="3"/>
  <c r="J1700" i="3"/>
  <c r="L1700" i="3"/>
  <c r="J1701" i="3"/>
  <c r="L1701" i="3"/>
  <c r="J1702" i="3"/>
  <c r="L1702" i="3"/>
  <c r="J1703" i="3"/>
  <c r="L1703" i="3"/>
  <c r="J1704" i="3"/>
  <c r="L1704" i="3"/>
  <c r="J1705" i="3"/>
  <c r="L1705" i="3"/>
  <c r="J1706" i="3"/>
  <c r="L1706" i="3"/>
  <c r="J1707" i="3"/>
  <c r="L1707" i="3"/>
  <c r="J1708" i="3"/>
  <c r="L1708" i="3"/>
  <c r="J1709" i="3"/>
  <c r="L1709" i="3"/>
  <c r="J1710" i="3"/>
  <c r="L1710" i="3"/>
  <c r="J1711" i="3"/>
  <c r="L1711" i="3"/>
  <c r="J1712" i="3"/>
  <c r="L1712" i="3"/>
  <c r="J1713" i="3"/>
  <c r="L1713" i="3"/>
  <c r="J1714" i="3"/>
  <c r="L1714" i="3"/>
  <c r="J1715" i="3"/>
  <c r="L1715" i="3"/>
  <c r="J1716" i="3"/>
  <c r="L1716" i="3"/>
  <c r="J1717" i="3"/>
  <c r="L1717" i="3"/>
  <c r="J1718" i="3"/>
  <c r="L1718" i="3"/>
  <c r="J1719" i="3"/>
  <c r="L1719" i="3"/>
  <c r="J1720" i="3"/>
  <c r="L1720" i="3"/>
  <c r="J1721" i="3"/>
  <c r="L1721" i="3"/>
  <c r="J1722" i="3"/>
  <c r="L1722" i="3"/>
  <c r="J1723" i="3"/>
  <c r="L1723" i="3"/>
  <c r="J1724" i="3"/>
  <c r="L1724" i="3"/>
  <c r="J1725" i="3"/>
  <c r="L1725" i="3"/>
  <c r="J1726" i="3"/>
  <c r="L1726" i="3"/>
  <c r="J1727" i="3"/>
  <c r="L1727" i="3"/>
  <c r="J1728" i="3"/>
  <c r="L1728" i="3"/>
  <c r="J1729" i="3"/>
  <c r="L1729" i="3"/>
  <c r="J1730" i="3"/>
  <c r="L1730" i="3"/>
  <c r="J1731" i="3"/>
  <c r="L1731" i="3"/>
  <c r="J1732" i="3"/>
  <c r="L1732" i="3"/>
  <c r="J1733" i="3"/>
  <c r="L1733" i="3"/>
  <c r="J1734" i="3"/>
  <c r="L1734" i="3"/>
  <c r="J1735" i="3"/>
  <c r="L1735" i="3"/>
  <c r="J1736" i="3"/>
  <c r="L1736" i="3"/>
  <c r="J1737" i="3"/>
  <c r="L1737" i="3"/>
  <c r="J1738" i="3"/>
  <c r="L1738" i="3"/>
  <c r="J1739" i="3"/>
  <c r="L1739" i="3"/>
  <c r="J1740" i="3"/>
  <c r="L1740" i="3"/>
  <c r="J1741" i="3"/>
  <c r="L1741" i="3"/>
  <c r="J1742" i="3"/>
  <c r="L1742" i="3"/>
  <c r="J1743" i="3"/>
  <c r="L1743" i="3"/>
  <c r="J1744" i="3"/>
  <c r="L1744" i="3"/>
  <c r="J1745" i="3"/>
  <c r="L1745" i="3"/>
  <c r="J1746" i="3"/>
  <c r="L1746" i="3"/>
  <c r="J1747" i="3"/>
  <c r="L1747" i="3"/>
  <c r="J1748" i="3"/>
  <c r="L1748" i="3"/>
  <c r="J1749" i="3"/>
  <c r="L1749" i="3"/>
  <c r="J1750" i="3"/>
  <c r="L1750" i="3"/>
  <c r="J1751" i="3"/>
  <c r="L1751" i="3"/>
  <c r="J1752" i="3"/>
  <c r="L1752" i="3"/>
  <c r="J1753" i="3"/>
  <c r="L1753" i="3"/>
  <c r="J1754" i="3"/>
  <c r="L1754" i="3"/>
  <c r="J1755" i="3"/>
  <c r="L1755" i="3"/>
  <c r="J1756" i="3"/>
  <c r="L1756" i="3"/>
  <c r="J1757" i="3"/>
  <c r="L1757" i="3"/>
  <c r="J1758" i="3"/>
  <c r="L1758" i="3"/>
  <c r="J1759" i="3"/>
  <c r="L1759" i="3"/>
  <c r="J1760" i="3"/>
  <c r="L1760" i="3"/>
  <c r="J1761" i="3"/>
  <c r="L1761" i="3"/>
  <c r="J1762" i="3"/>
  <c r="L1762" i="3"/>
  <c r="J1763" i="3"/>
  <c r="L1763" i="3"/>
  <c r="J1764" i="3"/>
  <c r="L1764" i="3"/>
  <c r="J1765" i="3"/>
  <c r="L1765" i="3"/>
  <c r="J1766" i="3"/>
  <c r="L1766" i="3"/>
  <c r="J1767" i="3"/>
  <c r="L1767" i="3"/>
  <c r="J1768" i="3"/>
  <c r="L1768" i="3"/>
  <c r="J1769" i="3"/>
  <c r="L1769" i="3"/>
  <c r="J1770" i="3"/>
  <c r="L1770" i="3"/>
  <c r="J1771" i="3"/>
  <c r="L1771" i="3"/>
  <c r="J1772" i="3"/>
  <c r="L1772" i="3"/>
  <c r="J1773" i="3"/>
  <c r="L1773" i="3"/>
  <c r="J1774" i="3"/>
  <c r="L1774" i="3"/>
  <c r="J1775" i="3"/>
  <c r="L1775" i="3"/>
  <c r="J1776" i="3"/>
  <c r="L1776" i="3"/>
  <c r="J1777" i="3"/>
  <c r="L1777" i="3"/>
  <c r="J1778" i="3"/>
  <c r="L1778" i="3"/>
  <c r="J1779" i="3"/>
  <c r="L1779" i="3"/>
  <c r="J1780" i="3"/>
  <c r="L1780" i="3"/>
  <c r="J1781" i="3"/>
  <c r="L1781" i="3"/>
  <c r="J1782" i="3"/>
  <c r="L1782" i="3"/>
  <c r="J1783" i="3"/>
  <c r="L1783" i="3"/>
  <c r="J1784" i="3"/>
  <c r="L1784" i="3"/>
  <c r="J1785" i="3"/>
  <c r="L1785" i="3"/>
  <c r="J1786" i="3"/>
  <c r="L1786" i="3"/>
  <c r="J1787" i="3"/>
  <c r="L1787" i="3"/>
  <c r="J1788" i="3"/>
  <c r="L1788" i="3"/>
  <c r="J1789" i="3"/>
  <c r="L1789" i="3"/>
  <c r="J1790" i="3"/>
  <c r="L1790" i="3"/>
  <c r="J1791" i="3"/>
  <c r="L1791" i="3"/>
  <c r="J1792" i="3"/>
  <c r="L1792" i="3"/>
  <c r="J1793" i="3"/>
  <c r="L1793" i="3"/>
  <c r="J1794" i="3"/>
  <c r="L1794" i="3"/>
  <c r="J1795" i="3"/>
  <c r="L1795" i="3"/>
  <c r="J1796" i="3"/>
  <c r="L1796" i="3"/>
  <c r="J1797" i="3"/>
  <c r="L1797" i="3"/>
  <c r="J1798" i="3"/>
  <c r="L1798" i="3"/>
  <c r="J1799" i="3"/>
  <c r="L1799" i="3"/>
  <c r="J1800" i="3"/>
  <c r="L1800" i="3"/>
  <c r="J1801" i="3"/>
  <c r="L1801" i="3"/>
  <c r="J1802" i="3"/>
  <c r="L1802" i="3"/>
  <c r="J1803" i="3"/>
  <c r="L1803" i="3"/>
  <c r="J1804" i="3"/>
  <c r="L1804" i="3"/>
  <c r="J1805" i="3"/>
  <c r="L1805" i="3"/>
  <c r="J1806" i="3"/>
  <c r="L1806" i="3"/>
  <c r="J1807" i="3"/>
  <c r="L1807" i="3"/>
  <c r="J1808" i="3"/>
  <c r="L1808" i="3"/>
  <c r="J1809" i="3"/>
  <c r="L1809" i="3"/>
  <c r="J1810" i="3"/>
  <c r="L1810" i="3"/>
  <c r="J1811" i="3"/>
  <c r="L1811" i="3"/>
  <c r="J1812" i="3"/>
  <c r="L1812" i="3"/>
  <c r="J1813" i="3"/>
  <c r="L1813" i="3"/>
  <c r="J1814" i="3"/>
  <c r="L1814" i="3"/>
  <c r="J1815" i="3"/>
  <c r="L1815" i="3"/>
  <c r="J1816" i="3"/>
  <c r="L1816" i="3"/>
  <c r="J1817" i="3"/>
  <c r="L1817" i="3"/>
  <c r="J1818" i="3"/>
  <c r="L1818" i="3"/>
  <c r="J1819" i="3"/>
  <c r="L1819" i="3"/>
  <c r="J1820" i="3"/>
  <c r="L1820" i="3"/>
  <c r="J1821" i="3"/>
  <c r="L1821" i="3"/>
  <c r="J1822" i="3"/>
  <c r="L1822" i="3"/>
  <c r="J1823" i="3"/>
  <c r="L1823" i="3"/>
  <c r="J1824" i="3"/>
  <c r="L1824" i="3"/>
  <c r="J1825" i="3"/>
  <c r="L1825" i="3"/>
  <c r="J1826" i="3"/>
  <c r="L1826" i="3"/>
  <c r="J1827" i="3"/>
  <c r="L1827" i="3"/>
  <c r="J1828" i="3"/>
  <c r="L1828" i="3"/>
  <c r="J1829" i="3"/>
  <c r="L1829" i="3"/>
  <c r="J1830" i="3"/>
  <c r="L1830" i="3"/>
  <c r="J1831" i="3"/>
  <c r="L1831" i="3"/>
  <c r="J1832" i="3"/>
  <c r="L1832" i="3"/>
  <c r="J1833" i="3"/>
  <c r="L1833" i="3"/>
  <c r="J1834" i="3"/>
  <c r="L1834" i="3"/>
  <c r="J1835" i="3"/>
  <c r="L1835" i="3"/>
  <c r="J1836" i="3"/>
  <c r="L1836" i="3"/>
  <c r="J1837" i="3"/>
  <c r="L1837" i="3"/>
  <c r="J1838" i="3"/>
  <c r="L1838" i="3"/>
  <c r="J1839" i="3"/>
  <c r="L1839" i="3"/>
  <c r="J1840" i="3"/>
  <c r="L1840" i="3"/>
  <c r="J1841" i="3"/>
  <c r="L1841" i="3"/>
  <c r="J1842" i="3"/>
  <c r="L1842" i="3"/>
  <c r="J1843" i="3"/>
  <c r="L1843" i="3"/>
  <c r="J1844" i="3"/>
  <c r="L1844" i="3"/>
  <c r="J1845" i="3"/>
  <c r="L1845" i="3"/>
  <c r="J1846" i="3"/>
  <c r="L1846" i="3"/>
  <c r="J1847" i="3"/>
  <c r="L1847" i="3"/>
  <c r="J1848" i="3"/>
  <c r="L1848" i="3"/>
  <c r="J1849" i="3"/>
  <c r="L1849" i="3"/>
  <c r="J1850" i="3"/>
  <c r="L1850" i="3"/>
  <c r="J1851" i="3"/>
  <c r="L1851" i="3"/>
  <c r="J1852" i="3"/>
  <c r="L1852" i="3"/>
  <c r="J1853" i="3"/>
  <c r="L1853" i="3"/>
  <c r="J1854" i="3"/>
  <c r="L1854" i="3"/>
  <c r="J1855" i="3"/>
  <c r="L1855" i="3"/>
  <c r="J1856" i="3"/>
  <c r="L1856" i="3"/>
  <c r="J1857" i="3"/>
  <c r="L1857" i="3"/>
  <c r="J1858" i="3"/>
  <c r="L1858" i="3"/>
  <c r="J1859" i="3"/>
  <c r="L1859" i="3"/>
  <c r="J1541" i="3"/>
  <c r="L1541" i="3"/>
  <c r="J1542" i="3"/>
  <c r="L1542" i="3"/>
  <c r="J1543" i="3"/>
  <c r="L1543" i="3"/>
  <c r="J1544" i="3"/>
  <c r="L1544" i="3"/>
  <c r="J1545" i="3"/>
  <c r="L1545" i="3"/>
  <c r="J1546" i="3"/>
  <c r="L1546" i="3"/>
  <c r="J1547" i="3"/>
  <c r="L1547" i="3"/>
  <c r="J1548" i="3"/>
  <c r="L1548" i="3"/>
  <c r="J1549" i="3"/>
  <c r="L1549" i="3"/>
  <c r="J1550" i="3"/>
  <c r="L1550" i="3"/>
  <c r="J1551" i="3"/>
  <c r="L1551" i="3"/>
  <c r="J1552" i="3"/>
  <c r="L1552" i="3"/>
  <c r="J1553" i="3"/>
  <c r="L1553" i="3"/>
  <c r="J1554" i="3"/>
  <c r="L1554" i="3"/>
  <c r="J1555" i="3"/>
  <c r="L1555" i="3"/>
  <c r="J1556" i="3"/>
  <c r="L1556" i="3"/>
  <c r="J1557" i="3"/>
  <c r="L1557" i="3"/>
  <c r="J1558" i="3"/>
  <c r="L1558" i="3"/>
  <c r="J1559" i="3"/>
  <c r="L1559" i="3"/>
  <c r="J1560" i="3"/>
  <c r="L1560" i="3"/>
  <c r="J1561" i="3"/>
  <c r="L1561" i="3"/>
  <c r="J1562" i="3"/>
  <c r="L1562" i="3"/>
  <c r="J1563" i="3"/>
  <c r="L1563" i="3"/>
  <c r="J1564" i="3"/>
  <c r="L1564" i="3"/>
  <c r="J1565" i="3"/>
  <c r="L1565" i="3"/>
  <c r="J1566" i="3"/>
  <c r="L1566" i="3"/>
  <c r="J1567" i="3"/>
  <c r="L1567" i="3"/>
  <c r="J1568" i="3"/>
  <c r="L1568" i="3"/>
  <c r="J1569" i="3"/>
  <c r="L1569" i="3"/>
  <c r="J1570" i="3"/>
  <c r="L1570" i="3"/>
  <c r="J1571" i="3"/>
  <c r="L1571" i="3"/>
  <c r="J1572" i="3"/>
  <c r="L1572" i="3"/>
  <c r="J1573" i="3"/>
  <c r="L1573" i="3"/>
  <c r="J1574" i="3"/>
  <c r="L1574" i="3"/>
  <c r="J1575" i="3"/>
  <c r="L1575" i="3"/>
  <c r="J1576" i="3"/>
  <c r="L1576" i="3"/>
  <c r="J1577" i="3"/>
  <c r="L1577" i="3"/>
  <c r="J1578" i="3"/>
  <c r="L1578" i="3"/>
  <c r="J1579" i="3"/>
  <c r="L1579" i="3"/>
  <c r="J1580" i="3"/>
  <c r="L1580" i="3"/>
  <c r="J1581" i="3"/>
  <c r="L1581" i="3"/>
  <c r="J1582" i="3"/>
  <c r="L1582" i="3"/>
  <c r="J1583" i="3"/>
  <c r="L1583" i="3"/>
  <c r="J1584" i="3"/>
  <c r="L1584" i="3"/>
  <c r="J1585" i="3"/>
  <c r="L1585" i="3"/>
  <c r="J1586" i="3"/>
  <c r="L1586" i="3"/>
  <c r="J1587" i="3"/>
  <c r="L1587" i="3"/>
  <c r="J1217" i="3"/>
  <c r="L1217" i="3"/>
  <c r="J1218" i="3"/>
  <c r="L1218" i="3"/>
  <c r="J1219" i="3"/>
  <c r="L1219" i="3"/>
  <c r="J1220" i="3"/>
  <c r="L1220" i="3"/>
  <c r="J1221" i="3"/>
  <c r="L1221" i="3"/>
  <c r="J1222" i="3"/>
  <c r="L1222" i="3"/>
  <c r="J1223" i="3"/>
  <c r="L1223" i="3"/>
  <c r="J1224" i="3"/>
  <c r="L1224" i="3"/>
  <c r="J1225" i="3"/>
  <c r="L1225" i="3"/>
  <c r="J1226" i="3"/>
  <c r="L1226" i="3"/>
  <c r="J1227" i="3"/>
  <c r="L1227" i="3"/>
  <c r="J1228" i="3"/>
  <c r="L1228" i="3"/>
  <c r="J1229" i="3"/>
  <c r="L1229" i="3"/>
  <c r="J1230" i="3"/>
  <c r="L1230" i="3"/>
  <c r="J1231" i="3"/>
  <c r="L1231" i="3"/>
  <c r="J1232" i="3"/>
  <c r="L1232" i="3"/>
  <c r="J1233" i="3"/>
  <c r="L1233" i="3"/>
  <c r="J1234" i="3"/>
  <c r="L1234" i="3"/>
  <c r="J1235" i="3"/>
  <c r="L1235" i="3"/>
  <c r="J1236" i="3"/>
  <c r="L1236" i="3"/>
  <c r="J1237" i="3"/>
  <c r="L1237" i="3"/>
  <c r="J1238" i="3"/>
  <c r="L1238" i="3"/>
  <c r="J1239" i="3"/>
  <c r="L1239" i="3"/>
  <c r="J1240" i="3"/>
  <c r="L1240" i="3"/>
  <c r="J1241" i="3"/>
  <c r="L1241" i="3"/>
  <c r="J1242" i="3"/>
  <c r="L1242" i="3"/>
  <c r="J1243" i="3"/>
  <c r="L1243" i="3"/>
  <c r="J1244" i="3"/>
  <c r="L1244" i="3"/>
  <c r="J1245" i="3"/>
  <c r="L1245" i="3"/>
  <c r="J1246" i="3"/>
  <c r="L1246" i="3"/>
  <c r="J1247" i="3"/>
  <c r="L1247" i="3"/>
  <c r="J1248" i="3"/>
  <c r="L1248" i="3"/>
  <c r="J1249" i="3"/>
  <c r="L1249" i="3"/>
  <c r="J1250" i="3"/>
  <c r="L1250" i="3"/>
  <c r="J1251" i="3"/>
  <c r="L1251" i="3"/>
  <c r="J1252" i="3"/>
  <c r="L1252" i="3"/>
  <c r="J1253" i="3"/>
  <c r="L1253" i="3"/>
  <c r="J1254" i="3"/>
  <c r="L1254" i="3"/>
  <c r="J1255" i="3"/>
  <c r="L1255" i="3"/>
  <c r="J1256" i="3"/>
  <c r="L1256" i="3"/>
  <c r="J1257" i="3"/>
  <c r="L1257" i="3"/>
  <c r="J1258" i="3"/>
  <c r="L1258" i="3"/>
  <c r="J1259" i="3"/>
  <c r="L1259" i="3"/>
  <c r="J1260" i="3"/>
  <c r="L1260" i="3"/>
  <c r="J1261" i="3"/>
  <c r="L1261" i="3"/>
  <c r="J1262" i="3"/>
  <c r="L1262" i="3"/>
  <c r="J1263" i="3"/>
  <c r="L1263" i="3"/>
  <c r="J1264" i="3"/>
  <c r="L1264" i="3"/>
  <c r="J1265" i="3"/>
  <c r="L1265" i="3"/>
  <c r="J1266" i="3"/>
  <c r="L1266" i="3"/>
  <c r="J1267" i="3"/>
  <c r="L1267" i="3"/>
  <c r="J1268" i="3"/>
  <c r="L1268" i="3"/>
  <c r="J1269" i="3"/>
  <c r="L1269" i="3"/>
  <c r="J1270" i="3"/>
  <c r="L1270" i="3"/>
  <c r="J1271" i="3"/>
  <c r="L1271" i="3"/>
  <c r="J1272" i="3"/>
  <c r="L1272" i="3"/>
  <c r="J1273" i="3"/>
  <c r="L1273" i="3"/>
  <c r="J1274" i="3"/>
  <c r="L1274" i="3"/>
  <c r="J1275" i="3"/>
  <c r="L1275" i="3"/>
  <c r="J1276" i="3"/>
  <c r="L1276" i="3"/>
  <c r="J1277" i="3"/>
  <c r="L1277" i="3"/>
  <c r="J1278" i="3"/>
  <c r="L1278" i="3"/>
  <c r="J1279" i="3"/>
  <c r="L1279" i="3"/>
  <c r="J1280" i="3"/>
  <c r="L1280" i="3"/>
  <c r="J1281" i="3"/>
  <c r="L1281" i="3"/>
  <c r="J1282" i="3"/>
  <c r="L1282" i="3"/>
  <c r="J1283" i="3"/>
  <c r="L1283" i="3"/>
  <c r="J1284" i="3"/>
  <c r="L1284" i="3"/>
  <c r="J1285" i="3"/>
  <c r="L1285" i="3"/>
  <c r="J1286" i="3"/>
  <c r="L1286" i="3"/>
  <c r="J1287" i="3"/>
  <c r="L1287" i="3"/>
  <c r="J1288" i="3"/>
  <c r="L1288" i="3"/>
  <c r="J1289" i="3"/>
  <c r="L1289" i="3"/>
  <c r="J1290" i="3"/>
  <c r="L1290" i="3"/>
  <c r="J1291" i="3"/>
  <c r="L1291" i="3"/>
  <c r="J1292" i="3"/>
  <c r="L1292" i="3"/>
  <c r="J1293" i="3"/>
  <c r="L1293" i="3"/>
  <c r="J1294" i="3"/>
  <c r="L1294" i="3"/>
  <c r="J1295" i="3"/>
  <c r="L1295" i="3"/>
  <c r="J1296" i="3"/>
  <c r="L1296" i="3"/>
  <c r="J1297" i="3"/>
  <c r="L1297" i="3"/>
  <c r="J1298" i="3"/>
  <c r="L1298" i="3"/>
  <c r="J1299" i="3"/>
  <c r="L1299" i="3"/>
  <c r="J1300" i="3"/>
  <c r="L1300" i="3"/>
  <c r="J1301" i="3"/>
  <c r="L1301" i="3"/>
  <c r="J1302" i="3"/>
  <c r="L1302" i="3"/>
  <c r="J1303" i="3"/>
  <c r="L1303" i="3"/>
  <c r="J1304" i="3"/>
  <c r="L1304" i="3"/>
  <c r="J1305" i="3"/>
  <c r="L1305" i="3"/>
  <c r="J1306" i="3"/>
  <c r="L1306" i="3"/>
  <c r="J1307" i="3"/>
  <c r="L1307" i="3"/>
  <c r="J1308" i="3"/>
  <c r="L1308" i="3"/>
  <c r="J1309" i="3"/>
  <c r="L1309" i="3"/>
  <c r="J1310" i="3"/>
  <c r="L1310" i="3"/>
  <c r="J1311" i="3"/>
  <c r="L1311" i="3"/>
  <c r="J1312" i="3"/>
  <c r="L1312" i="3"/>
  <c r="J1313" i="3"/>
  <c r="L1313" i="3"/>
  <c r="J1314" i="3"/>
  <c r="L1314" i="3"/>
  <c r="J1315" i="3"/>
  <c r="L1315" i="3"/>
  <c r="J1316" i="3"/>
  <c r="L1316" i="3"/>
  <c r="J1317" i="3"/>
  <c r="L1317" i="3"/>
  <c r="J1318" i="3"/>
  <c r="L1318" i="3"/>
  <c r="J1319" i="3"/>
  <c r="L1319" i="3"/>
  <c r="J1320" i="3"/>
  <c r="L1320" i="3"/>
  <c r="J1321" i="3"/>
  <c r="L1321" i="3"/>
  <c r="J1322" i="3"/>
  <c r="L1322" i="3"/>
  <c r="J1323" i="3"/>
  <c r="L1323" i="3"/>
  <c r="J1324" i="3"/>
  <c r="L1324" i="3"/>
  <c r="J1325" i="3"/>
  <c r="L1325" i="3"/>
  <c r="J1326" i="3"/>
  <c r="L1326" i="3"/>
  <c r="J1327" i="3"/>
  <c r="L1327" i="3"/>
  <c r="J1328" i="3"/>
  <c r="L1328" i="3"/>
  <c r="J1329" i="3"/>
  <c r="L1329" i="3"/>
  <c r="J1330" i="3"/>
  <c r="L1330" i="3"/>
  <c r="J1331" i="3"/>
  <c r="L1331" i="3"/>
  <c r="J1332" i="3"/>
  <c r="L1332" i="3"/>
  <c r="J1333" i="3"/>
  <c r="L1333" i="3"/>
  <c r="J1334" i="3"/>
  <c r="L1334" i="3"/>
  <c r="J1335" i="3"/>
  <c r="L1335" i="3"/>
  <c r="J1336" i="3"/>
  <c r="L1336" i="3"/>
  <c r="J1337" i="3"/>
  <c r="L1337" i="3"/>
  <c r="J1338" i="3"/>
  <c r="L1338" i="3"/>
  <c r="J1339" i="3"/>
  <c r="L1339" i="3"/>
  <c r="J1340" i="3"/>
  <c r="L1340" i="3"/>
  <c r="J1341" i="3"/>
  <c r="L1341" i="3"/>
  <c r="J1342" i="3"/>
  <c r="L1342" i="3"/>
  <c r="J1343" i="3"/>
  <c r="L1343" i="3"/>
  <c r="J1344" i="3"/>
  <c r="L1344" i="3"/>
  <c r="J1345" i="3"/>
  <c r="L1345" i="3"/>
  <c r="J1346" i="3"/>
  <c r="L1346" i="3"/>
  <c r="J1347" i="3"/>
  <c r="L1347" i="3"/>
  <c r="J1348" i="3"/>
  <c r="L1348" i="3"/>
  <c r="J1349" i="3"/>
  <c r="L1349" i="3"/>
  <c r="J1350" i="3"/>
  <c r="L1350" i="3"/>
  <c r="J1351" i="3"/>
  <c r="L1351" i="3"/>
  <c r="J1352" i="3"/>
  <c r="L1352" i="3"/>
  <c r="J1353" i="3"/>
  <c r="L1353" i="3"/>
  <c r="J1354" i="3"/>
  <c r="L1354" i="3"/>
  <c r="J1355" i="3"/>
  <c r="L1355" i="3"/>
  <c r="J1356" i="3"/>
  <c r="L1356" i="3"/>
  <c r="J1357" i="3"/>
  <c r="L1357" i="3"/>
  <c r="J1358" i="3"/>
  <c r="L1358" i="3"/>
  <c r="J1359" i="3"/>
  <c r="L1359" i="3"/>
  <c r="J1360" i="3"/>
  <c r="L1360" i="3"/>
  <c r="J1361" i="3"/>
  <c r="L1361" i="3"/>
  <c r="J1362" i="3"/>
  <c r="L1362" i="3"/>
  <c r="J1363" i="3"/>
  <c r="L1363" i="3"/>
  <c r="J1364" i="3"/>
  <c r="L1364" i="3"/>
  <c r="J1365" i="3"/>
  <c r="L1365" i="3"/>
  <c r="J1366" i="3"/>
  <c r="L1366" i="3"/>
  <c r="J1367" i="3"/>
  <c r="L1367" i="3"/>
  <c r="J1368" i="3"/>
  <c r="L1368" i="3"/>
  <c r="J1369" i="3"/>
  <c r="L1369" i="3"/>
  <c r="J1370" i="3"/>
  <c r="L1370" i="3"/>
  <c r="J1371" i="3"/>
  <c r="L1371" i="3"/>
  <c r="J1372" i="3"/>
  <c r="L1372" i="3"/>
  <c r="J1373" i="3"/>
  <c r="L1373" i="3"/>
  <c r="J1374" i="3"/>
  <c r="L1374" i="3"/>
  <c r="J1375" i="3"/>
  <c r="L1375" i="3"/>
  <c r="J1376" i="3"/>
  <c r="L1376" i="3"/>
  <c r="J1377" i="3"/>
  <c r="L1377" i="3"/>
  <c r="J1378" i="3"/>
  <c r="L1378" i="3"/>
  <c r="J1379" i="3"/>
  <c r="L1379" i="3"/>
  <c r="J1380" i="3"/>
  <c r="L1380" i="3"/>
  <c r="J1381" i="3"/>
  <c r="L1381" i="3"/>
  <c r="J1382" i="3"/>
  <c r="L1382" i="3"/>
  <c r="J1383" i="3"/>
  <c r="L1383" i="3"/>
  <c r="J1384" i="3"/>
  <c r="L1384" i="3"/>
  <c r="J1385" i="3"/>
  <c r="L1385" i="3"/>
  <c r="J1386" i="3"/>
  <c r="L1386" i="3"/>
  <c r="J1387" i="3"/>
  <c r="L1387" i="3"/>
  <c r="J1388" i="3"/>
  <c r="L1388" i="3"/>
  <c r="J1389" i="3"/>
  <c r="L1389" i="3"/>
  <c r="J1390" i="3"/>
  <c r="L1390" i="3"/>
  <c r="J1391" i="3"/>
  <c r="L1391" i="3"/>
  <c r="J1392" i="3"/>
  <c r="L1392" i="3"/>
  <c r="J1393" i="3"/>
  <c r="L1393" i="3"/>
  <c r="J1394" i="3"/>
  <c r="L1394" i="3"/>
  <c r="J1395" i="3"/>
  <c r="L1395" i="3"/>
  <c r="J1396" i="3"/>
  <c r="L1396" i="3"/>
  <c r="J1397" i="3"/>
  <c r="L1397" i="3"/>
  <c r="J1398" i="3"/>
  <c r="L1398" i="3"/>
  <c r="J1399" i="3"/>
  <c r="L1399" i="3"/>
  <c r="J1400" i="3"/>
  <c r="L1400" i="3"/>
  <c r="J1401" i="3"/>
  <c r="L1401" i="3"/>
  <c r="J1402" i="3"/>
  <c r="L1402" i="3"/>
  <c r="J1403" i="3"/>
  <c r="L1403" i="3"/>
  <c r="J1404" i="3"/>
  <c r="L1404" i="3"/>
  <c r="J1405" i="3"/>
  <c r="L1405" i="3"/>
  <c r="J1406" i="3"/>
  <c r="L1406" i="3"/>
  <c r="J1407" i="3"/>
  <c r="L1407" i="3"/>
  <c r="J1408" i="3"/>
  <c r="L1408" i="3"/>
  <c r="J1409" i="3"/>
  <c r="L1409" i="3"/>
  <c r="J1410" i="3"/>
  <c r="L1410" i="3"/>
  <c r="J1411" i="3"/>
  <c r="L1411" i="3"/>
  <c r="J1412" i="3"/>
  <c r="L1412" i="3"/>
  <c r="J1413" i="3"/>
  <c r="L1413" i="3"/>
  <c r="J1414" i="3"/>
  <c r="L1414" i="3"/>
  <c r="J1415" i="3"/>
  <c r="L1415" i="3"/>
  <c r="J1416" i="3"/>
  <c r="L1416" i="3"/>
  <c r="J1417" i="3"/>
  <c r="L1417" i="3"/>
  <c r="J1418" i="3"/>
  <c r="L1418" i="3"/>
  <c r="J1419" i="3"/>
  <c r="L1419" i="3"/>
  <c r="J1420" i="3"/>
  <c r="L1420" i="3"/>
  <c r="J1421" i="3"/>
  <c r="L1421" i="3"/>
  <c r="J1422" i="3"/>
  <c r="L1422" i="3"/>
  <c r="J1423" i="3"/>
  <c r="L1423" i="3"/>
  <c r="J1424" i="3"/>
  <c r="L1424" i="3"/>
  <c r="J1425" i="3"/>
  <c r="L1425" i="3"/>
  <c r="J1426" i="3"/>
  <c r="L1426" i="3"/>
  <c r="J1427" i="3"/>
  <c r="L1427" i="3"/>
  <c r="J1428" i="3"/>
  <c r="L1428" i="3"/>
  <c r="J1429" i="3"/>
  <c r="L1429" i="3"/>
  <c r="J1430" i="3"/>
  <c r="L1430" i="3"/>
  <c r="J1431" i="3"/>
  <c r="L1431" i="3"/>
  <c r="J1432" i="3"/>
  <c r="L1432" i="3"/>
  <c r="J1433" i="3"/>
  <c r="L1433" i="3"/>
  <c r="J1434" i="3"/>
  <c r="L1434" i="3"/>
  <c r="J1435" i="3"/>
  <c r="L1435" i="3"/>
  <c r="J1436" i="3"/>
  <c r="L1436" i="3"/>
  <c r="J1437" i="3"/>
  <c r="L1437" i="3"/>
  <c r="J1438" i="3"/>
  <c r="L1438" i="3"/>
  <c r="J1439" i="3"/>
  <c r="L1439" i="3"/>
  <c r="J1440" i="3"/>
  <c r="L1440" i="3"/>
  <c r="J1441" i="3"/>
  <c r="L1441" i="3"/>
  <c r="J1442" i="3"/>
  <c r="L1442" i="3"/>
  <c r="J1443" i="3"/>
  <c r="L1443" i="3"/>
  <c r="J1444" i="3"/>
  <c r="L1444" i="3"/>
  <c r="J1445" i="3"/>
  <c r="L1445" i="3"/>
  <c r="J1446" i="3"/>
  <c r="L1446" i="3"/>
  <c r="J1447" i="3"/>
  <c r="L1447" i="3"/>
  <c r="J1448" i="3"/>
  <c r="L1448" i="3"/>
  <c r="J1449" i="3"/>
  <c r="L1449" i="3"/>
  <c r="J1450" i="3"/>
  <c r="L1450" i="3"/>
  <c r="J1451" i="3"/>
  <c r="L1451" i="3"/>
  <c r="J1452" i="3"/>
  <c r="L1452" i="3"/>
  <c r="J1453" i="3"/>
  <c r="L1453" i="3"/>
  <c r="J1454" i="3"/>
  <c r="L1454" i="3"/>
  <c r="J1455" i="3"/>
  <c r="L1455" i="3"/>
  <c r="J1456" i="3"/>
  <c r="L1456" i="3"/>
  <c r="J1457" i="3"/>
  <c r="L1457" i="3"/>
  <c r="J1458" i="3"/>
  <c r="L1458" i="3"/>
  <c r="J1459" i="3"/>
  <c r="L1459" i="3"/>
  <c r="J1460" i="3"/>
  <c r="L1460" i="3"/>
  <c r="J1461" i="3"/>
  <c r="L1461" i="3"/>
  <c r="J1462" i="3"/>
  <c r="L1462" i="3"/>
  <c r="J1463" i="3"/>
  <c r="L1463" i="3"/>
  <c r="J1464" i="3"/>
  <c r="L1464" i="3"/>
  <c r="J1465" i="3"/>
  <c r="L1465" i="3"/>
  <c r="J1466" i="3"/>
  <c r="L1466" i="3"/>
  <c r="J1467" i="3"/>
  <c r="L1467" i="3"/>
  <c r="J1468" i="3"/>
  <c r="L1468" i="3"/>
  <c r="J1469" i="3"/>
  <c r="L1469" i="3"/>
  <c r="J1470" i="3"/>
  <c r="L1470" i="3"/>
  <c r="J1471" i="3"/>
  <c r="L1471" i="3"/>
  <c r="J1472" i="3"/>
  <c r="L1472" i="3"/>
  <c r="J1473" i="3"/>
  <c r="L1473" i="3"/>
  <c r="J1474" i="3"/>
  <c r="L1474" i="3"/>
  <c r="J1475" i="3"/>
  <c r="L1475" i="3"/>
  <c r="J1476" i="3"/>
  <c r="L1476" i="3"/>
  <c r="J1477" i="3"/>
  <c r="L1477" i="3"/>
  <c r="J1478" i="3"/>
  <c r="L1478" i="3"/>
  <c r="J1479" i="3"/>
  <c r="L1479" i="3"/>
  <c r="J1480" i="3"/>
  <c r="L1480" i="3"/>
  <c r="J1481" i="3"/>
  <c r="L1481" i="3"/>
  <c r="J1482" i="3"/>
  <c r="L1482" i="3"/>
  <c r="J1483" i="3"/>
  <c r="L1483" i="3"/>
  <c r="J1484" i="3"/>
  <c r="L1484" i="3"/>
  <c r="J1485" i="3"/>
  <c r="L1485" i="3"/>
  <c r="J1486" i="3"/>
  <c r="L1486" i="3"/>
  <c r="J1487" i="3"/>
  <c r="L1487" i="3"/>
  <c r="J1488" i="3"/>
  <c r="L1488" i="3"/>
  <c r="J1489" i="3"/>
  <c r="L1489" i="3"/>
  <c r="J1490" i="3"/>
  <c r="L1490" i="3"/>
  <c r="J1491" i="3"/>
  <c r="L1491" i="3"/>
  <c r="J1492" i="3"/>
  <c r="L1492" i="3"/>
  <c r="J1493" i="3"/>
  <c r="L1493" i="3"/>
  <c r="J1494" i="3"/>
  <c r="L1494" i="3"/>
  <c r="J1495" i="3"/>
  <c r="L1495" i="3"/>
  <c r="J1496" i="3"/>
  <c r="L1496" i="3"/>
  <c r="J1497" i="3"/>
  <c r="L1497" i="3"/>
  <c r="J1498" i="3"/>
  <c r="L1498" i="3"/>
  <c r="J1499" i="3"/>
  <c r="L1499" i="3"/>
  <c r="J1500" i="3"/>
  <c r="L1500" i="3"/>
  <c r="J1501" i="3"/>
  <c r="L1501" i="3"/>
  <c r="J1502" i="3"/>
  <c r="L1502" i="3"/>
  <c r="J1503" i="3"/>
  <c r="L1503" i="3"/>
  <c r="J1504" i="3"/>
  <c r="L1504" i="3"/>
  <c r="J1505" i="3"/>
  <c r="L1505" i="3"/>
  <c r="J1506" i="3"/>
  <c r="L1506" i="3"/>
  <c r="J1507" i="3"/>
  <c r="L1507" i="3"/>
  <c r="J1508" i="3"/>
  <c r="L1508" i="3"/>
  <c r="J1509" i="3"/>
  <c r="L1509" i="3"/>
  <c r="J1510" i="3"/>
  <c r="L1510" i="3"/>
  <c r="J1511" i="3"/>
  <c r="L1511" i="3"/>
  <c r="J1512" i="3"/>
  <c r="L1512" i="3"/>
  <c r="J1513" i="3"/>
  <c r="L1513" i="3"/>
  <c r="J1514" i="3"/>
  <c r="L1514" i="3"/>
  <c r="J1515" i="3"/>
  <c r="L1515" i="3"/>
  <c r="J1516" i="3"/>
  <c r="L1516" i="3"/>
  <c r="J1517" i="3"/>
  <c r="L1517" i="3"/>
  <c r="J1518" i="3"/>
  <c r="L1518" i="3"/>
  <c r="J1519" i="3"/>
  <c r="L1519" i="3"/>
  <c r="J1520" i="3"/>
  <c r="L1520" i="3"/>
  <c r="J1521" i="3"/>
  <c r="L1521" i="3"/>
  <c r="J1522" i="3"/>
  <c r="L1522" i="3"/>
  <c r="J1523" i="3"/>
  <c r="L1523" i="3"/>
  <c r="J1524" i="3"/>
  <c r="L1524" i="3"/>
  <c r="J1525" i="3"/>
  <c r="L1525" i="3"/>
  <c r="J1526" i="3"/>
  <c r="L1526" i="3"/>
  <c r="J1527" i="3"/>
  <c r="L1527" i="3"/>
  <c r="J1528" i="3"/>
  <c r="L1528" i="3"/>
  <c r="J1529" i="3"/>
  <c r="L1529" i="3"/>
  <c r="J1530" i="3"/>
  <c r="L1530" i="3"/>
  <c r="J1531" i="3"/>
  <c r="L1531" i="3"/>
  <c r="J1532" i="3"/>
  <c r="L1532" i="3"/>
  <c r="J1533" i="3"/>
  <c r="L1533" i="3"/>
  <c r="J1534" i="3"/>
  <c r="L1534" i="3"/>
  <c r="J1535" i="3"/>
  <c r="L1535" i="3"/>
  <c r="J1536" i="3"/>
  <c r="L1536" i="3"/>
  <c r="J1537" i="3"/>
  <c r="L1537" i="3"/>
  <c r="J1538" i="3"/>
  <c r="L1538" i="3"/>
  <c r="J1539" i="3"/>
  <c r="L1539" i="3"/>
  <c r="J1540" i="3"/>
  <c r="L1540" i="3"/>
  <c r="J1161" i="3"/>
  <c r="L1161" i="3"/>
  <c r="J1162" i="3"/>
  <c r="L1162" i="3"/>
  <c r="J1163" i="3"/>
  <c r="L1163" i="3"/>
  <c r="J1164" i="3"/>
  <c r="L1164" i="3"/>
  <c r="J1165" i="3"/>
  <c r="L1165" i="3"/>
  <c r="J1166" i="3"/>
  <c r="L1166" i="3"/>
  <c r="J1167" i="3"/>
  <c r="L1167" i="3"/>
  <c r="J1168" i="3"/>
  <c r="L1168" i="3"/>
  <c r="J1169" i="3"/>
  <c r="L1169" i="3"/>
  <c r="J1170" i="3"/>
  <c r="L1170" i="3"/>
  <c r="J1171" i="3"/>
  <c r="L1171" i="3"/>
  <c r="J1172" i="3"/>
  <c r="L1172" i="3"/>
  <c r="J1173" i="3"/>
  <c r="L1173" i="3"/>
  <c r="J1174" i="3"/>
  <c r="L1174" i="3"/>
  <c r="J1175" i="3"/>
  <c r="L1175" i="3"/>
  <c r="J1176" i="3"/>
  <c r="L1176" i="3"/>
  <c r="J1177" i="3"/>
  <c r="L1177" i="3"/>
  <c r="J1178" i="3"/>
  <c r="L1178" i="3"/>
  <c r="J1179" i="3"/>
  <c r="L1179" i="3"/>
  <c r="J1180" i="3"/>
  <c r="L1180" i="3"/>
  <c r="J1181" i="3"/>
  <c r="L1181" i="3"/>
  <c r="J1182" i="3"/>
  <c r="L1182" i="3"/>
  <c r="J1183" i="3"/>
  <c r="L1183" i="3"/>
  <c r="J1184" i="3"/>
  <c r="L1184" i="3"/>
  <c r="J1185" i="3"/>
  <c r="L1185" i="3"/>
  <c r="J1186" i="3"/>
  <c r="L1186" i="3"/>
  <c r="J1187" i="3"/>
  <c r="L1187" i="3"/>
  <c r="J1188" i="3"/>
  <c r="L1188" i="3"/>
  <c r="J1189" i="3"/>
  <c r="L1189" i="3"/>
  <c r="J1190" i="3"/>
  <c r="L1190" i="3"/>
  <c r="J1191" i="3"/>
  <c r="L1191" i="3"/>
  <c r="J1192" i="3"/>
  <c r="L1192" i="3"/>
  <c r="J1193" i="3"/>
  <c r="L1193" i="3"/>
  <c r="J1194" i="3"/>
  <c r="L1194" i="3"/>
  <c r="J1195" i="3"/>
  <c r="L1195" i="3"/>
  <c r="J1196" i="3"/>
  <c r="L1196" i="3"/>
  <c r="J1197" i="3"/>
  <c r="L1197" i="3"/>
  <c r="J1198" i="3"/>
  <c r="L1198" i="3"/>
  <c r="J1199" i="3"/>
  <c r="L1199" i="3"/>
  <c r="J1200" i="3"/>
  <c r="L1200" i="3"/>
  <c r="J1201" i="3"/>
  <c r="L1201" i="3"/>
  <c r="J1202" i="3"/>
  <c r="L1202" i="3"/>
  <c r="J1203" i="3"/>
  <c r="L1203" i="3"/>
  <c r="J1204" i="3"/>
  <c r="L1204" i="3"/>
  <c r="J1205" i="3"/>
  <c r="L1205" i="3"/>
  <c r="J1206" i="3"/>
  <c r="L1206" i="3"/>
  <c r="J1207" i="3"/>
  <c r="L1207" i="3"/>
  <c r="J1208" i="3"/>
  <c r="L1208" i="3"/>
  <c r="J1209" i="3"/>
  <c r="L1209" i="3"/>
  <c r="J1210" i="3"/>
  <c r="L1210" i="3"/>
  <c r="J1211" i="3"/>
  <c r="L1211" i="3"/>
  <c r="J1212" i="3"/>
  <c r="L1212" i="3"/>
  <c r="J1213" i="3"/>
  <c r="L1213" i="3"/>
  <c r="J1214" i="3"/>
  <c r="L1214" i="3"/>
  <c r="J1215" i="3"/>
  <c r="L1215" i="3"/>
  <c r="J1216" i="3"/>
  <c r="L1216" i="3"/>
  <c r="J1112" i="3"/>
  <c r="L1112" i="3"/>
  <c r="J1113" i="3"/>
  <c r="L1113" i="3"/>
  <c r="J1114" i="3"/>
  <c r="L1114" i="3"/>
  <c r="J1115" i="3"/>
  <c r="L1115" i="3"/>
  <c r="J1116" i="3"/>
  <c r="L1116" i="3"/>
  <c r="J1117" i="3"/>
  <c r="L1117" i="3"/>
  <c r="J1118" i="3"/>
  <c r="L1118" i="3"/>
  <c r="J1119" i="3"/>
  <c r="L1119" i="3"/>
  <c r="J1120" i="3"/>
  <c r="L1120" i="3"/>
  <c r="J1121" i="3"/>
  <c r="L1121" i="3"/>
  <c r="J1122" i="3"/>
  <c r="L1122" i="3"/>
  <c r="J1123" i="3"/>
  <c r="L1123" i="3"/>
  <c r="J1124" i="3"/>
  <c r="L1124" i="3"/>
  <c r="J1125" i="3"/>
  <c r="L1125" i="3"/>
  <c r="J1126" i="3"/>
  <c r="L1126" i="3"/>
  <c r="J1127" i="3"/>
  <c r="L1127" i="3"/>
  <c r="J1128" i="3"/>
  <c r="L1128" i="3"/>
  <c r="J1129" i="3"/>
  <c r="L1129" i="3"/>
  <c r="J1130" i="3"/>
  <c r="L1130" i="3"/>
  <c r="J1131" i="3"/>
  <c r="L1131" i="3"/>
  <c r="J1132" i="3"/>
  <c r="L1132" i="3"/>
  <c r="J1133" i="3"/>
  <c r="L1133" i="3"/>
  <c r="J1134" i="3"/>
  <c r="L1134" i="3"/>
  <c r="J1135" i="3"/>
  <c r="L1135" i="3"/>
  <c r="J1136" i="3"/>
  <c r="L1136" i="3"/>
  <c r="J1137" i="3"/>
  <c r="L1137" i="3"/>
  <c r="J1138" i="3"/>
  <c r="L1138" i="3"/>
  <c r="J1139" i="3"/>
  <c r="L1139" i="3"/>
  <c r="J1140" i="3"/>
  <c r="L1140" i="3"/>
  <c r="J1141" i="3"/>
  <c r="L1141" i="3"/>
  <c r="J1142" i="3"/>
  <c r="L1142" i="3"/>
  <c r="J1143" i="3"/>
  <c r="L1143" i="3"/>
  <c r="J1144" i="3"/>
  <c r="L1144" i="3"/>
  <c r="J1145" i="3"/>
  <c r="L1145" i="3"/>
  <c r="J1146" i="3"/>
  <c r="L1146" i="3"/>
  <c r="J1147" i="3"/>
  <c r="L1147" i="3"/>
  <c r="J1148" i="3"/>
  <c r="L1148" i="3"/>
  <c r="J1149" i="3"/>
  <c r="L1149" i="3"/>
  <c r="J1150" i="3"/>
  <c r="L1150" i="3"/>
  <c r="J1151" i="3"/>
  <c r="L1151" i="3"/>
  <c r="J1152" i="3"/>
  <c r="L1152" i="3"/>
  <c r="J1153" i="3"/>
  <c r="L1153" i="3"/>
  <c r="J1154" i="3"/>
  <c r="L1154" i="3"/>
  <c r="J1155" i="3"/>
  <c r="L1155" i="3"/>
  <c r="J1156" i="3"/>
  <c r="L1156" i="3"/>
  <c r="J1157" i="3"/>
  <c r="L1157" i="3"/>
  <c r="J1158" i="3"/>
  <c r="L1158" i="3"/>
  <c r="J1159" i="3"/>
  <c r="L1159" i="3"/>
  <c r="J1160" i="3"/>
  <c r="L1160" i="3"/>
  <c r="J1009" i="3"/>
  <c r="L1009" i="3"/>
  <c r="J1010" i="3"/>
  <c r="L1010" i="3"/>
  <c r="J1011" i="3"/>
  <c r="L1011" i="3"/>
  <c r="J1012" i="3"/>
  <c r="L1012" i="3"/>
  <c r="J1013" i="3"/>
  <c r="L1013" i="3"/>
  <c r="J1014" i="3"/>
  <c r="L1014" i="3"/>
  <c r="J1015" i="3"/>
  <c r="L1015" i="3"/>
  <c r="J1016" i="3"/>
  <c r="L1016" i="3"/>
  <c r="J1017" i="3"/>
  <c r="L1017" i="3"/>
  <c r="J1018" i="3"/>
  <c r="L1018" i="3"/>
  <c r="J1019" i="3"/>
  <c r="L1019" i="3"/>
  <c r="J1020" i="3"/>
  <c r="L1020" i="3"/>
  <c r="J1021" i="3"/>
  <c r="L1021" i="3"/>
  <c r="J1022" i="3"/>
  <c r="L1022" i="3"/>
  <c r="J1023" i="3"/>
  <c r="L1023" i="3"/>
  <c r="J1024" i="3"/>
  <c r="L1024" i="3"/>
  <c r="J1025" i="3"/>
  <c r="L1025" i="3"/>
  <c r="J1026" i="3"/>
  <c r="L1026" i="3"/>
  <c r="J1027" i="3"/>
  <c r="L1027" i="3"/>
  <c r="J1028" i="3"/>
  <c r="L1028" i="3"/>
  <c r="J1029" i="3"/>
  <c r="L1029" i="3"/>
  <c r="J1030" i="3"/>
  <c r="L1030" i="3"/>
  <c r="J1031" i="3"/>
  <c r="L1031" i="3"/>
  <c r="J1032" i="3"/>
  <c r="L1032" i="3"/>
  <c r="J1033" i="3"/>
  <c r="L1033" i="3"/>
  <c r="J1034" i="3"/>
  <c r="L1034" i="3"/>
  <c r="J1035" i="3"/>
  <c r="L1035" i="3"/>
  <c r="J1036" i="3"/>
  <c r="L1036" i="3"/>
  <c r="J1037" i="3"/>
  <c r="L1037" i="3"/>
  <c r="J1038" i="3"/>
  <c r="L1038" i="3"/>
  <c r="J1039" i="3"/>
  <c r="L1039" i="3"/>
  <c r="J1040" i="3"/>
  <c r="L1040" i="3"/>
  <c r="J1041" i="3"/>
  <c r="L1041" i="3"/>
  <c r="J1042" i="3"/>
  <c r="L1042" i="3"/>
  <c r="J1043" i="3"/>
  <c r="L1043" i="3"/>
  <c r="J1044" i="3"/>
  <c r="L1044" i="3"/>
  <c r="J1045" i="3"/>
  <c r="L1045" i="3"/>
  <c r="J1046" i="3"/>
  <c r="L1046" i="3"/>
  <c r="J1047" i="3"/>
  <c r="L1047" i="3"/>
  <c r="J1048" i="3"/>
  <c r="L1048" i="3"/>
  <c r="J1049" i="3"/>
  <c r="L1049" i="3"/>
  <c r="J1050" i="3"/>
  <c r="L1050" i="3"/>
  <c r="J1051" i="3"/>
  <c r="L1051" i="3"/>
  <c r="J1052" i="3"/>
  <c r="L1052" i="3"/>
  <c r="J1053" i="3"/>
  <c r="L1053" i="3"/>
  <c r="J1054" i="3"/>
  <c r="L1054" i="3"/>
  <c r="J1055" i="3"/>
  <c r="L1055" i="3"/>
  <c r="J1056" i="3"/>
  <c r="L1056" i="3"/>
  <c r="J1057" i="3"/>
  <c r="L1057" i="3"/>
  <c r="J1058" i="3"/>
  <c r="L1058" i="3"/>
  <c r="J1059" i="3"/>
  <c r="L1059" i="3"/>
  <c r="J1060" i="3"/>
  <c r="L1060" i="3"/>
  <c r="J1061" i="3"/>
  <c r="L1061" i="3"/>
  <c r="J1062" i="3"/>
  <c r="L1062" i="3"/>
  <c r="J1063" i="3"/>
  <c r="L1063" i="3"/>
  <c r="J1064" i="3"/>
  <c r="L1064" i="3"/>
  <c r="J1065" i="3"/>
  <c r="L1065" i="3"/>
  <c r="J1066" i="3"/>
  <c r="L1066" i="3"/>
  <c r="J1067" i="3"/>
  <c r="L1067" i="3"/>
  <c r="J1068" i="3"/>
  <c r="L1068" i="3"/>
  <c r="J1069" i="3"/>
  <c r="L1069" i="3"/>
  <c r="J1070" i="3"/>
  <c r="L1070" i="3"/>
  <c r="J1071" i="3"/>
  <c r="L1071" i="3"/>
  <c r="J1072" i="3"/>
  <c r="L1072" i="3"/>
  <c r="J1073" i="3"/>
  <c r="L1073" i="3"/>
  <c r="J1074" i="3"/>
  <c r="L1074" i="3"/>
  <c r="J1075" i="3"/>
  <c r="L1075" i="3"/>
  <c r="J1076" i="3"/>
  <c r="L1076" i="3"/>
  <c r="J1077" i="3"/>
  <c r="L1077" i="3"/>
  <c r="J1078" i="3"/>
  <c r="L1078" i="3"/>
  <c r="J1079" i="3"/>
  <c r="L1079" i="3"/>
  <c r="J1080" i="3"/>
  <c r="L1080" i="3"/>
  <c r="J1081" i="3"/>
  <c r="L1081" i="3"/>
  <c r="J1082" i="3"/>
  <c r="L1082" i="3"/>
  <c r="J1083" i="3"/>
  <c r="L1083" i="3"/>
  <c r="J1084" i="3"/>
  <c r="L1084" i="3"/>
  <c r="J1085" i="3"/>
  <c r="L1085" i="3"/>
  <c r="J1086" i="3"/>
  <c r="L1086" i="3"/>
  <c r="J1087" i="3"/>
  <c r="L1087" i="3"/>
  <c r="J1088" i="3"/>
  <c r="L1088" i="3"/>
  <c r="J1089" i="3"/>
  <c r="L1089" i="3"/>
  <c r="J1090" i="3"/>
  <c r="L1090" i="3"/>
  <c r="J1091" i="3"/>
  <c r="L1091" i="3"/>
  <c r="J1092" i="3"/>
  <c r="L1092" i="3"/>
  <c r="J1093" i="3"/>
  <c r="L1093" i="3"/>
  <c r="J1094" i="3"/>
  <c r="L1094" i="3"/>
  <c r="J1095" i="3"/>
  <c r="L1095" i="3"/>
  <c r="J1096" i="3"/>
  <c r="L1096" i="3"/>
  <c r="J1097" i="3"/>
  <c r="L1097" i="3"/>
  <c r="J1098" i="3"/>
  <c r="L1098" i="3"/>
  <c r="J1099" i="3"/>
  <c r="L1099" i="3"/>
  <c r="J1100" i="3"/>
  <c r="L1100" i="3"/>
  <c r="J1101" i="3"/>
  <c r="L1101" i="3"/>
  <c r="J1102" i="3"/>
  <c r="L1102" i="3"/>
  <c r="J1103" i="3"/>
  <c r="L1103" i="3"/>
  <c r="J1104" i="3"/>
  <c r="L1104" i="3"/>
  <c r="J1105" i="3"/>
  <c r="L1105" i="3"/>
  <c r="J1106" i="3"/>
  <c r="L1106" i="3"/>
  <c r="J1107" i="3"/>
  <c r="L1107" i="3"/>
  <c r="J1108" i="3"/>
  <c r="L1108" i="3"/>
  <c r="J1109" i="3"/>
  <c r="L1109" i="3"/>
  <c r="J1110" i="3"/>
  <c r="L1110" i="3"/>
  <c r="J1111" i="3"/>
  <c r="L1111" i="3"/>
  <c r="J996" i="3"/>
  <c r="L996" i="3"/>
  <c r="J997" i="3"/>
  <c r="L997" i="3"/>
  <c r="J998" i="3"/>
  <c r="L998" i="3"/>
  <c r="J999" i="3"/>
  <c r="L999" i="3"/>
  <c r="J1000" i="3"/>
  <c r="L1000" i="3"/>
  <c r="J1001" i="3"/>
  <c r="L1001" i="3"/>
  <c r="J1002" i="3"/>
  <c r="L1002" i="3"/>
  <c r="J1003" i="3"/>
  <c r="L1003" i="3"/>
  <c r="J1004" i="3"/>
  <c r="L1004" i="3"/>
  <c r="J1005" i="3"/>
  <c r="L1005" i="3"/>
  <c r="J1006" i="3"/>
  <c r="L1006" i="3"/>
  <c r="J1007" i="3"/>
  <c r="L1007" i="3"/>
  <c r="J1008" i="3"/>
  <c r="L1008" i="3"/>
  <c r="J979" i="3"/>
  <c r="L979" i="3"/>
  <c r="J980" i="3"/>
  <c r="L980" i="3"/>
  <c r="J981" i="3"/>
  <c r="L981" i="3"/>
  <c r="J982" i="3"/>
  <c r="L982" i="3"/>
  <c r="J983" i="3"/>
  <c r="L983" i="3"/>
  <c r="J984" i="3"/>
  <c r="L984" i="3"/>
  <c r="J985" i="3"/>
  <c r="L985" i="3"/>
  <c r="J986" i="3"/>
  <c r="L986" i="3"/>
  <c r="J987" i="3"/>
  <c r="L987" i="3"/>
  <c r="J988" i="3"/>
  <c r="L988" i="3"/>
  <c r="J989" i="3"/>
  <c r="L989" i="3"/>
  <c r="J990" i="3"/>
  <c r="L990" i="3"/>
  <c r="J991" i="3"/>
  <c r="L991" i="3"/>
  <c r="J992" i="3"/>
  <c r="L992" i="3"/>
  <c r="J993" i="3"/>
  <c r="L993" i="3"/>
  <c r="J994" i="3"/>
  <c r="L994" i="3"/>
  <c r="J995" i="3"/>
  <c r="L995" i="3"/>
  <c r="J960" i="3"/>
  <c r="L960" i="3"/>
  <c r="J961" i="3"/>
  <c r="L961" i="3"/>
  <c r="J962" i="3"/>
  <c r="L962" i="3"/>
  <c r="J963" i="3"/>
  <c r="L963" i="3"/>
  <c r="J964" i="3"/>
  <c r="L964" i="3"/>
  <c r="J965" i="3"/>
  <c r="L965" i="3"/>
  <c r="J966" i="3"/>
  <c r="L966" i="3"/>
  <c r="J967" i="3"/>
  <c r="L967" i="3"/>
  <c r="J968" i="3"/>
  <c r="L968" i="3"/>
  <c r="J969" i="3"/>
  <c r="L969" i="3"/>
  <c r="J970" i="3"/>
  <c r="L970" i="3"/>
  <c r="J971" i="3"/>
  <c r="L971" i="3"/>
  <c r="J972" i="3"/>
  <c r="L972" i="3"/>
  <c r="J973" i="3"/>
  <c r="L973" i="3"/>
  <c r="J974" i="3"/>
  <c r="L974" i="3"/>
  <c r="J975" i="3"/>
  <c r="L975" i="3"/>
  <c r="J976" i="3"/>
  <c r="L976" i="3"/>
  <c r="J977" i="3"/>
  <c r="L977" i="3"/>
  <c r="J978" i="3"/>
  <c r="L978" i="3"/>
  <c r="J926" i="3"/>
  <c r="L926" i="3"/>
  <c r="J927" i="3"/>
  <c r="L927" i="3"/>
  <c r="J928" i="3"/>
  <c r="L928" i="3"/>
  <c r="J929" i="3"/>
  <c r="L929" i="3"/>
  <c r="J930" i="3"/>
  <c r="L930" i="3"/>
  <c r="J931" i="3"/>
  <c r="L931" i="3"/>
  <c r="J932" i="3"/>
  <c r="L932" i="3"/>
  <c r="J933" i="3"/>
  <c r="L933" i="3"/>
  <c r="J934" i="3"/>
  <c r="L934" i="3"/>
  <c r="J935" i="3"/>
  <c r="L935" i="3"/>
  <c r="J936" i="3"/>
  <c r="L936" i="3"/>
  <c r="J937" i="3"/>
  <c r="L937" i="3"/>
  <c r="J938" i="3"/>
  <c r="L938" i="3"/>
  <c r="J939" i="3"/>
  <c r="L939" i="3"/>
  <c r="J940" i="3"/>
  <c r="L940" i="3"/>
  <c r="J941" i="3"/>
  <c r="L941" i="3"/>
  <c r="J942" i="3"/>
  <c r="L942" i="3"/>
  <c r="J943" i="3"/>
  <c r="L943" i="3"/>
  <c r="J944" i="3"/>
  <c r="L944" i="3"/>
  <c r="J945" i="3"/>
  <c r="L945" i="3"/>
  <c r="J946" i="3"/>
  <c r="L946" i="3"/>
  <c r="J947" i="3"/>
  <c r="L947" i="3"/>
  <c r="J948" i="3"/>
  <c r="L948" i="3"/>
  <c r="J949" i="3"/>
  <c r="L949" i="3"/>
  <c r="J950" i="3"/>
  <c r="L950" i="3"/>
  <c r="J951" i="3"/>
  <c r="L951" i="3"/>
  <c r="J952" i="3"/>
  <c r="L952" i="3"/>
  <c r="J953" i="3"/>
  <c r="L953" i="3"/>
  <c r="J954" i="3"/>
  <c r="L954" i="3"/>
  <c r="J955" i="3"/>
  <c r="L955" i="3"/>
  <c r="J956" i="3"/>
  <c r="L956" i="3"/>
  <c r="J957" i="3"/>
  <c r="L957" i="3"/>
  <c r="J958" i="3"/>
  <c r="L958" i="3"/>
  <c r="J959" i="3"/>
  <c r="L959" i="3"/>
  <c r="J910" i="3"/>
  <c r="L910" i="3"/>
  <c r="J911" i="3"/>
  <c r="L911" i="3"/>
  <c r="J912" i="3"/>
  <c r="L912" i="3"/>
  <c r="J913" i="3"/>
  <c r="L913" i="3"/>
  <c r="J914" i="3"/>
  <c r="L914" i="3"/>
  <c r="J915" i="3"/>
  <c r="L915" i="3"/>
  <c r="J916" i="3"/>
  <c r="L916" i="3"/>
  <c r="J917" i="3"/>
  <c r="L917" i="3"/>
  <c r="J918" i="3"/>
  <c r="L918" i="3"/>
  <c r="J919" i="3"/>
  <c r="L919" i="3"/>
  <c r="J920" i="3"/>
  <c r="L920" i="3"/>
  <c r="J921" i="3"/>
  <c r="L921" i="3"/>
  <c r="J922" i="3"/>
  <c r="L922" i="3"/>
  <c r="J923" i="3"/>
  <c r="L923" i="3"/>
  <c r="J924" i="3"/>
  <c r="L924" i="3"/>
  <c r="J925" i="3"/>
  <c r="L925" i="3"/>
  <c r="J898" i="3"/>
  <c r="L898" i="3"/>
  <c r="J899" i="3"/>
  <c r="L899" i="3"/>
  <c r="J900" i="3"/>
  <c r="L900" i="3"/>
  <c r="J901" i="3"/>
  <c r="L901" i="3"/>
  <c r="J902" i="3"/>
  <c r="L902" i="3"/>
  <c r="J903" i="3"/>
  <c r="L903" i="3"/>
  <c r="J904" i="3"/>
  <c r="L904" i="3"/>
  <c r="J905" i="3"/>
  <c r="L905" i="3"/>
  <c r="J906" i="3"/>
  <c r="L906" i="3"/>
  <c r="J907" i="3"/>
  <c r="L907" i="3"/>
  <c r="J908" i="3"/>
  <c r="L908" i="3"/>
  <c r="J909" i="3"/>
  <c r="L909" i="3"/>
  <c r="J869" i="3"/>
  <c r="L869" i="3"/>
  <c r="J870" i="3"/>
  <c r="L870" i="3"/>
  <c r="J871" i="3"/>
  <c r="L871" i="3"/>
  <c r="J872" i="3"/>
  <c r="L872" i="3"/>
  <c r="J873" i="3"/>
  <c r="L873" i="3"/>
  <c r="J874" i="3"/>
  <c r="L874" i="3"/>
  <c r="J875" i="3"/>
  <c r="L875" i="3"/>
  <c r="J876" i="3"/>
  <c r="L876" i="3"/>
  <c r="J877" i="3"/>
  <c r="L877" i="3"/>
  <c r="J878" i="3"/>
  <c r="L878" i="3"/>
  <c r="J879" i="3"/>
  <c r="L879" i="3"/>
  <c r="J880" i="3"/>
  <c r="L880" i="3"/>
  <c r="J881" i="3"/>
  <c r="L881" i="3"/>
  <c r="J882" i="3"/>
  <c r="L882" i="3"/>
  <c r="J883" i="3"/>
  <c r="L883" i="3"/>
  <c r="J884" i="3"/>
  <c r="L884" i="3"/>
  <c r="J885" i="3"/>
  <c r="L885" i="3"/>
  <c r="J886" i="3"/>
  <c r="L886" i="3"/>
  <c r="J887" i="3"/>
  <c r="L887" i="3"/>
  <c r="J888" i="3"/>
  <c r="L888" i="3"/>
  <c r="J889" i="3"/>
  <c r="L889" i="3"/>
  <c r="J890" i="3"/>
  <c r="L890" i="3"/>
  <c r="J891" i="3"/>
  <c r="L891" i="3"/>
  <c r="J892" i="3"/>
  <c r="L892" i="3"/>
  <c r="J893" i="3"/>
  <c r="L893" i="3"/>
  <c r="J894" i="3"/>
  <c r="L894" i="3"/>
  <c r="J895" i="3"/>
  <c r="L895" i="3"/>
  <c r="J896" i="3"/>
  <c r="L896" i="3"/>
  <c r="J897" i="3"/>
  <c r="L897" i="3"/>
  <c r="J854" i="3"/>
  <c r="L854" i="3"/>
  <c r="J855" i="3"/>
  <c r="L855" i="3"/>
  <c r="J856" i="3"/>
  <c r="L856" i="3"/>
  <c r="J857" i="3"/>
  <c r="L857" i="3"/>
  <c r="J858" i="3"/>
  <c r="L858" i="3"/>
  <c r="J859" i="3"/>
  <c r="L859" i="3"/>
  <c r="J860" i="3"/>
  <c r="L860" i="3"/>
  <c r="J861" i="3"/>
  <c r="L861" i="3"/>
  <c r="J862" i="3"/>
  <c r="L862" i="3"/>
  <c r="J863" i="3"/>
  <c r="L863" i="3"/>
  <c r="J864" i="3"/>
  <c r="L864" i="3"/>
  <c r="J865" i="3"/>
  <c r="L865" i="3"/>
  <c r="J866" i="3"/>
  <c r="L866" i="3"/>
  <c r="J867" i="3"/>
  <c r="L867" i="3"/>
  <c r="J868" i="3"/>
  <c r="L868" i="3"/>
  <c r="J798" i="3"/>
  <c r="L798" i="3"/>
  <c r="J799" i="3"/>
  <c r="L799" i="3"/>
  <c r="J800" i="3"/>
  <c r="L800" i="3"/>
  <c r="J801" i="3"/>
  <c r="L801" i="3"/>
  <c r="J802" i="3"/>
  <c r="L802" i="3"/>
  <c r="J803" i="3"/>
  <c r="L803" i="3"/>
  <c r="J804" i="3"/>
  <c r="L804" i="3"/>
  <c r="J805" i="3"/>
  <c r="L805" i="3"/>
  <c r="J806" i="3"/>
  <c r="L806" i="3"/>
  <c r="J807" i="3"/>
  <c r="L807" i="3"/>
  <c r="J808" i="3"/>
  <c r="L808" i="3"/>
  <c r="J809" i="3"/>
  <c r="L809" i="3"/>
  <c r="J810" i="3"/>
  <c r="L810" i="3"/>
  <c r="J811" i="3"/>
  <c r="L811" i="3"/>
  <c r="J812" i="3"/>
  <c r="L812" i="3"/>
  <c r="J813" i="3"/>
  <c r="L813" i="3"/>
  <c r="J814" i="3"/>
  <c r="L814" i="3"/>
  <c r="J815" i="3"/>
  <c r="L815" i="3"/>
  <c r="J816" i="3"/>
  <c r="L816" i="3"/>
  <c r="J817" i="3"/>
  <c r="L817" i="3"/>
  <c r="J818" i="3"/>
  <c r="L818" i="3"/>
  <c r="J819" i="3"/>
  <c r="L819" i="3"/>
  <c r="J820" i="3"/>
  <c r="L820" i="3"/>
  <c r="J821" i="3"/>
  <c r="L821" i="3"/>
  <c r="J822" i="3"/>
  <c r="L822" i="3"/>
  <c r="J823" i="3"/>
  <c r="L823" i="3"/>
  <c r="J824" i="3"/>
  <c r="L824" i="3"/>
  <c r="J825" i="3"/>
  <c r="L825" i="3"/>
  <c r="J826" i="3"/>
  <c r="L826" i="3"/>
  <c r="J827" i="3"/>
  <c r="L827" i="3"/>
  <c r="J828" i="3"/>
  <c r="L828" i="3"/>
  <c r="J829" i="3"/>
  <c r="L829" i="3"/>
  <c r="J830" i="3"/>
  <c r="L830" i="3"/>
  <c r="J831" i="3"/>
  <c r="L831" i="3"/>
  <c r="J832" i="3"/>
  <c r="L832" i="3"/>
  <c r="J833" i="3"/>
  <c r="L833" i="3"/>
  <c r="J834" i="3"/>
  <c r="L834" i="3"/>
  <c r="J835" i="3"/>
  <c r="L835" i="3"/>
  <c r="J836" i="3"/>
  <c r="L836" i="3"/>
  <c r="J837" i="3"/>
  <c r="L837" i="3"/>
  <c r="J838" i="3"/>
  <c r="L838" i="3"/>
  <c r="J839" i="3"/>
  <c r="L839" i="3"/>
  <c r="J840" i="3"/>
  <c r="L840" i="3"/>
  <c r="J841" i="3"/>
  <c r="L841" i="3"/>
  <c r="J842" i="3"/>
  <c r="L842" i="3"/>
  <c r="J843" i="3"/>
  <c r="L843" i="3"/>
  <c r="J844" i="3"/>
  <c r="L844" i="3"/>
  <c r="J845" i="3"/>
  <c r="L845" i="3"/>
  <c r="J846" i="3"/>
  <c r="L846" i="3"/>
  <c r="J847" i="3"/>
  <c r="L847" i="3"/>
  <c r="J848" i="3"/>
  <c r="L848" i="3"/>
  <c r="J849" i="3"/>
  <c r="L849" i="3"/>
  <c r="J850" i="3"/>
  <c r="L850" i="3"/>
  <c r="J851" i="3"/>
  <c r="L851" i="3"/>
  <c r="J852" i="3"/>
  <c r="L852" i="3"/>
  <c r="J853" i="3"/>
  <c r="L853" i="3"/>
  <c r="J738" i="3"/>
  <c r="L738" i="3"/>
  <c r="J739" i="3"/>
  <c r="L739" i="3"/>
  <c r="J740" i="3"/>
  <c r="L740" i="3"/>
  <c r="J741" i="3"/>
  <c r="L741" i="3"/>
  <c r="J742" i="3"/>
  <c r="L742" i="3"/>
  <c r="J743" i="3"/>
  <c r="L743" i="3"/>
  <c r="J744" i="3"/>
  <c r="L744" i="3"/>
  <c r="J745" i="3"/>
  <c r="L745" i="3"/>
  <c r="J746" i="3"/>
  <c r="L746" i="3"/>
  <c r="J747" i="3"/>
  <c r="L747" i="3"/>
  <c r="J748" i="3"/>
  <c r="L748" i="3"/>
  <c r="J749" i="3"/>
  <c r="L749" i="3"/>
  <c r="J750" i="3"/>
  <c r="L750" i="3"/>
  <c r="J751" i="3"/>
  <c r="L751" i="3"/>
  <c r="J752" i="3"/>
  <c r="L752" i="3"/>
  <c r="J753" i="3"/>
  <c r="L753" i="3"/>
  <c r="J754" i="3"/>
  <c r="L754" i="3"/>
  <c r="J755" i="3"/>
  <c r="L755" i="3"/>
  <c r="J756" i="3"/>
  <c r="L756" i="3"/>
  <c r="J757" i="3"/>
  <c r="L757" i="3"/>
  <c r="J758" i="3"/>
  <c r="L758" i="3"/>
  <c r="J759" i="3"/>
  <c r="L759" i="3"/>
  <c r="J760" i="3"/>
  <c r="L760" i="3"/>
  <c r="J761" i="3"/>
  <c r="L761" i="3"/>
  <c r="J762" i="3"/>
  <c r="L762" i="3"/>
  <c r="J763" i="3"/>
  <c r="L763" i="3"/>
  <c r="J764" i="3"/>
  <c r="L764" i="3"/>
  <c r="J765" i="3"/>
  <c r="L765" i="3"/>
  <c r="J766" i="3"/>
  <c r="L766" i="3"/>
  <c r="J767" i="3"/>
  <c r="L767" i="3"/>
  <c r="J768" i="3"/>
  <c r="L768" i="3"/>
  <c r="J769" i="3"/>
  <c r="L769" i="3"/>
  <c r="J770" i="3"/>
  <c r="L770" i="3"/>
  <c r="J771" i="3"/>
  <c r="L771" i="3"/>
  <c r="J772" i="3"/>
  <c r="L772" i="3"/>
  <c r="J773" i="3"/>
  <c r="L773" i="3"/>
  <c r="J774" i="3"/>
  <c r="L774" i="3"/>
  <c r="J775" i="3"/>
  <c r="L775" i="3"/>
  <c r="J776" i="3"/>
  <c r="L776" i="3"/>
  <c r="J777" i="3"/>
  <c r="L777" i="3"/>
  <c r="J778" i="3"/>
  <c r="L778" i="3"/>
  <c r="J779" i="3"/>
  <c r="L779" i="3"/>
  <c r="J780" i="3"/>
  <c r="L780" i="3"/>
  <c r="J781" i="3"/>
  <c r="L781" i="3"/>
  <c r="J782" i="3"/>
  <c r="L782" i="3"/>
  <c r="J783" i="3"/>
  <c r="L783" i="3"/>
  <c r="J784" i="3"/>
  <c r="L784" i="3"/>
  <c r="J785" i="3"/>
  <c r="L785" i="3"/>
  <c r="J786" i="3"/>
  <c r="L786" i="3"/>
  <c r="J787" i="3"/>
  <c r="L787" i="3"/>
  <c r="J788" i="3"/>
  <c r="L788" i="3"/>
  <c r="J789" i="3"/>
  <c r="L789" i="3"/>
  <c r="J790" i="3"/>
  <c r="L790" i="3"/>
  <c r="J791" i="3"/>
  <c r="L791" i="3"/>
  <c r="J792" i="3"/>
  <c r="L792" i="3"/>
  <c r="J793" i="3"/>
  <c r="L793" i="3"/>
  <c r="J794" i="3"/>
  <c r="L794" i="3"/>
  <c r="J795" i="3"/>
  <c r="L795" i="3"/>
  <c r="J796" i="3"/>
  <c r="L796" i="3"/>
  <c r="J797" i="3"/>
  <c r="L797" i="3"/>
  <c r="J704" i="3"/>
  <c r="L704" i="3"/>
  <c r="J705" i="3"/>
  <c r="L705" i="3"/>
  <c r="J706" i="3"/>
  <c r="L706" i="3"/>
  <c r="J707" i="3"/>
  <c r="L707" i="3"/>
  <c r="J708" i="3"/>
  <c r="L708" i="3"/>
  <c r="J709" i="3"/>
  <c r="L709" i="3"/>
  <c r="J710" i="3"/>
  <c r="L710" i="3"/>
  <c r="J711" i="3"/>
  <c r="L711" i="3"/>
  <c r="J712" i="3"/>
  <c r="L712" i="3"/>
  <c r="J713" i="3"/>
  <c r="L713" i="3"/>
  <c r="J714" i="3"/>
  <c r="L714" i="3"/>
  <c r="J715" i="3"/>
  <c r="L715" i="3"/>
  <c r="J716" i="3"/>
  <c r="L716" i="3"/>
  <c r="J717" i="3"/>
  <c r="L717" i="3"/>
  <c r="J718" i="3"/>
  <c r="L718" i="3"/>
  <c r="J719" i="3"/>
  <c r="L719" i="3"/>
  <c r="J720" i="3"/>
  <c r="L720" i="3"/>
  <c r="J721" i="3"/>
  <c r="L721" i="3"/>
  <c r="J722" i="3"/>
  <c r="L722" i="3"/>
  <c r="J723" i="3"/>
  <c r="L723" i="3"/>
  <c r="J724" i="3"/>
  <c r="L724" i="3"/>
  <c r="J725" i="3"/>
  <c r="L725" i="3"/>
  <c r="J726" i="3"/>
  <c r="L726" i="3"/>
  <c r="J727" i="3"/>
  <c r="L727" i="3"/>
  <c r="J728" i="3"/>
  <c r="L728" i="3"/>
  <c r="J729" i="3"/>
  <c r="L729" i="3"/>
  <c r="J730" i="3"/>
  <c r="L730" i="3"/>
  <c r="J731" i="3"/>
  <c r="L731" i="3"/>
  <c r="J732" i="3"/>
  <c r="L732" i="3"/>
  <c r="J733" i="3"/>
  <c r="L733" i="3"/>
  <c r="J734" i="3"/>
  <c r="L734" i="3"/>
  <c r="J735" i="3"/>
  <c r="L735" i="3"/>
  <c r="J736" i="3"/>
  <c r="L736" i="3"/>
  <c r="J737" i="3"/>
  <c r="L737" i="3"/>
  <c r="J599" i="3"/>
  <c r="L599" i="3"/>
  <c r="J600" i="3"/>
  <c r="L600" i="3"/>
  <c r="J601" i="3"/>
  <c r="L601" i="3"/>
  <c r="J602" i="3"/>
  <c r="L602" i="3"/>
  <c r="J603" i="3"/>
  <c r="L603" i="3"/>
  <c r="J604" i="3"/>
  <c r="L604" i="3"/>
  <c r="J605" i="3"/>
  <c r="L605" i="3"/>
  <c r="J606" i="3"/>
  <c r="L606" i="3"/>
  <c r="J607" i="3"/>
  <c r="L607" i="3"/>
  <c r="J608" i="3"/>
  <c r="L608" i="3"/>
  <c r="J609" i="3"/>
  <c r="L609" i="3"/>
  <c r="J610" i="3"/>
  <c r="L610" i="3"/>
  <c r="J611" i="3"/>
  <c r="L611" i="3"/>
  <c r="J612" i="3"/>
  <c r="L612" i="3"/>
  <c r="J613" i="3"/>
  <c r="L613" i="3"/>
  <c r="J614" i="3"/>
  <c r="L614" i="3"/>
  <c r="J615" i="3"/>
  <c r="L615" i="3"/>
  <c r="J616" i="3"/>
  <c r="L616" i="3"/>
  <c r="J617" i="3"/>
  <c r="L617" i="3"/>
  <c r="J618" i="3"/>
  <c r="L618" i="3"/>
  <c r="J619" i="3"/>
  <c r="L619" i="3"/>
  <c r="J620" i="3"/>
  <c r="L620" i="3"/>
  <c r="J621" i="3"/>
  <c r="L621" i="3"/>
  <c r="J622" i="3"/>
  <c r="L622" i="3"/>
  <c r="J623" i="3"/>
  <c r="L623" i="3"/>
  <c r="J624" i="3"/>
  <c r="L624" i="3"/>
  <c r="J625" i="3"/>
  <c r="L625" i="3"/>
  <c r="J626" i="3"/>
  <c r="L626" i="3"/>
  <c r="J627" i="3"/>
  <c r="L627" i="3"/>
  <c r="J628" i="3"/>
  <c r="L628" i="3"/>
  <c r="J629" i="3"/>
  <c r="L629" i="3"/>
  <c r="J630" i="3"/>
  <c r="L630" i="3"/>
  <c r="J631" i="3"/>
  <c r="L631" i="3"/>
  <c r="J632" i="3"/>
  <c r="L632" i="3"/>
  <c r="J633" i="3"/>
  <c r="L633" i="3"/>
  <c r="J634" i="3"/>
  <c r="L634" i="3"/>
  <c r="J635" i="3"/>
  <c r="L635" i="3"/>
  <c r="J636" i="3"/>
  <c r="L636" i="3"/>
  <c r="J637" i="3"/>
  <c r="L637" i="3"/>
  <c r="J638" i="3"/>
  <c r="L638" i="3"/>
  <c r="J639" i="3"/>
  <c r="L639" i="3"/>
  <c r="J640" i="3"/>
  <c r="L640" i="3"/>
  <c r="J641" i="3"/>
  <c r="L641" i="3"/>
  <c r="J642" i="3"/>
  <c r="L642" i="3"/>
  <c r="J643" i="3"/>
  <c r="L643" i="3"/>
  <c r="J644" i="3"/>
  <c r="L644" i="3"/>
  <c r="J645" i="3"/>
  <c r="L645" i="3"/>
  <c r="J646" i="3"/>
  <c r="L646" i="3"/>
  <c r="J647" i="3"/>
  <c r="L647" i="3"/>
  <c r="J648" i="3"/>
  <c r="L648" i="3"/>
  <c r="J649" i="3"/>
  <c r="L649" i="3"/>
  <c r="J650" i="3"/>
  <c r="L650" i="3"/>
  <c r="J651" i="3"/>
  <c r="L651" i="3"/>
  <c r="J652" i="3"/>
  <c r="L652" i="3"/>
  <c r="J653" i="3"/>
  <c r="L653" i="3"/>
  <c r="J654" i="3"/>
  <c r="L654" i="3"/>
  <c r="J655" i="3"/>
  <c r="L655" i="3"/>
  <c r="J656" i="3"/>
  <c r="L656" i="3"/>
  <c r="J657" i="3"/>
  <c r="L657" i="3"/>
  <c r="J658" i="3"/>
  <c r="L658" i="3"/>
  <c r="J659" i="3"/>
  <c r="L659" i="3"/>
  <c r="J660" i="3"/>
  <c r="L660" i="3"/>
  <c r="J661" i="3"/>
  <c r="L661" i="3"/>
  <c r="J662" i="3"/>
  <c r="L662" i="3"/>
  <c r="J663" i="3"/>
  <c r="L663" i="3"/>
  <c r="J664" i="3"/>
  <c r="L664" i="3"/>
  <c r="J665" i="3"/>
  <c r="L665" i="3"/>
  <c r="J666" i="3"/>
  <c r="L666" i="3"/>
  <c r="J667" i="3"/>
  <c r="L667" i="3"/>
  <c r="J668" i="3"/>
  <c r="L668" i="3"/>
  <c r="J669" i="3"/>
  <c r="L669" i="3"/>
  <c r="J670" i="3"/>
  <c r="L670" i="3"/>
  <c r="J671" i="3"/>
  <c r="L671" i="3"/>
  <c r="J672" i="3"/>
  <c r="L672" i="3"/>
  <c r="J673" i="3"/>
  <c r="L673" i="3"/>
  <c r="J674" i="3"/>
  <c r="L674" i="3"/>
  <c r="J675" i="3"/>
  <c r="L675" i="3"/>
  <c r="J676" i="3"/>
  <c r="L676" i="3"/>
  <c r="J677" i="3"/>
  <c r="L677" i="3"/>
  <c r="J678" i="3"/>
  <c r="L678" i="3"/>
  <c r="J679" i="3"/>
  <c r="L679" i="3"/>
  <c r="J680" i="3"/>
  <c r="L680" i="3"/>
  <c r="J681" i="3"/>
  <c r="L681" i="3"/>
  <c r="J682" i="3"/>
  <c r="L682" i="3"/>
  <c r="J683" i="3"/>
  <c r="L683" i="3"/>
  <c r="J684" i="3"/>
  <c r="L684" i="3"/>
  <c r="J685" i="3"/>
  <c r="L685" i="3"/>
  <c r="J686" i="3"/>
  <c r="L686" i="3"/>
  <c r="J687" i="3"/>
  <c r="L687" i="3"/>
  <c r="J688" i="3"/>
  <c r="L688" i="3"/>
  <c r="J689" i="3"/>
  <c r="L689" i="3"/>
  <c r="J690" i="3"/>
  <c r="L690" i="3"/>
  <c r="J691" i="3"/>
  <c r="L691" i="3"/>
  <c r="J692" i="3"/>
  <c r="L692" i="3"/>
  <c r="J693" i="3"/>
  <c r="L693" i="3"/>
  <c r="J694" i="3"/>
  <c r="L694" i="3"/>
  <c r="J695" i="3"/>
  <c r="L695" i="3"/>
  <c r="J696" i="3"/>
  <c r="L696" i="3"/>
  <c r="J697" i="3"/>
  <c r="L697" i="3"/>
  <c r="J698" i="3"/>
  <c r="L698" i="3"/>
  <c r="J699" i="3"/>
  <c r="L699" i="3"/>
  <c r="J700" i="3"/>
  <c r="L700" i="3"/>
  <c r="J701" i="3"/>
  <c r="L701" i="3"/>
  <c r="J702" i="3"/>
  <c r="L702" i="3"/>
  <c r="J703" i="3"/>
  <c r="L703" i="3"/>
  <c r="J5" i="3"/>
  <c r="L5" i="3"/>
  <c r="J6" i="3"/>
  <c r="L6" i="3"/>
  <c r="J7" i="3"/>
  <c r="L7" i="3"/>
  <c r="J8" i="3"/>
  <c r="L8" i="3"/>
  <c r="J9" i="3"/>
  <c r="L9" i="3"/>
  <c r="J10" i="3"/>
  <c r="L10" i="3"/>
  <c r="J11" i="3"/>
  <c r="L11" i="3"/>
  <c r="J12" i="3"/>
  <c r="L12" i="3"/>
  <c r="J13" i="3"/>
  <c r="L13" i="3"/>
  <c r="J14" i="3"/>
  <c r="L14" i="3"/>
  <c r="J15" i="3"/>
  <c r="L15" i="3"/>
  <c r="J16" i="3"/>
  <c r="L16" i="3"/>
  <c r="J17" i="3"/>
  <c r="L17" i="3"/>
  <c r="J18" i="3"/>
  <c r="L18" i="3"/>
  <c r="J19" i="3"/>
  <c r="L19" i="3"/>
  <c r="J20" i="3"/>
  <c r="L20" i="3"/>
  <c r="J21" i="3"/>
  <c r="L21" i="3"/>
  <c r="J22" i="3"/>
  <c r="L22" i="3"/>
  <c r="J23" i="3"/>
  <c r="L23" i="3"/>
  <c r="J24" i="3"/>
  <c r="L24" i="3"/>
  <c r="J25" i="3"/>
  <c r="L25" i="3"/>
  <c r="J26" i="3"/>
  <c r="L26" i="3"/>
  <c r="J27" i="3"/>
  <c r="L27" i="3"/>
  <c r="J28" i="3"/>
  <c r="L28" i="3"/>
  <c r="J29" i="3"/>
  <c r="L29" i="3"/>
  <c r="J30" i="3"/>
  <c r="L30" i="3"/>
  <c r="J31" i="3"/>
  <c r="L31" i="3"/>
  <c r="J32" i="3"/>
  <c r="L32" i="3"/>
  <c r="J33" i="3"/>
  <c r="L33" i="3"/>
  <c r="J34" i="3"/>
  <c r="L34" i="3"/>
  <c r="J35" i="3"/>
  <c r="L35" i="3"/>
  <c r="J36" i="3"/>
  <c r="L36" i="3"/>
  <c r="J37" i="3"/>
  <c r="L37" i="3"/>
  <c r="J38" i="3"/>
  <c r="L38" i="3"/>
  <c r="J39" i="3"/>
  <c r="L39" i="3"/>
  <c r="J40" i="3"/>
  <c r="L40" i="3"/>
  <c r="J41" i="3"/>
  <c r="L41" i="3"/>
  <c r="J42" i="3"/>
  <c r="L42" i="3"/>
  <c r="J43" i="3"/>
  <c r="L43" i="3"/>
  <c r="J44" i="3"/>
  <c r="L44" i="3"/>
  <c r="J45" i="3"/>
  <c r="L45" i="3"/>
  <c r="J46" i="3"/>
  <c r="L46" i="3"/>
  <c r="J47" i="3"/>
  <c r="L47" i="3"/>
  <c r="J48" i="3"/>
  <c r="L48" i="3"/>
  <c r="J49" i="3"/>
  <c r="L49" i="3"/>
  <c r="J50" i="3"/>
  <c r="L50" i="3"/>
  <c r="J51" i="3"/>
  <c r="L51" i="3"/>
  <c r="J52" i="3"/>
  <c r="L52" i="3"/>
  <c r="J53" i="3"/>
  <c r="L53" i="3"/>
  <c r="J54" i="3"/>
  <c r="L54" i="3"/>
  <c r="J55" i="3"/>
  <c r="L55" i="3"/>
  <c r="J56" i="3"/>
  <c r="L56" i="3"/>
  <c r="J57" i="3"/>
  <c r="L57" i="3"/>
  <c r="J58" i="3"/>
  <c r="L58" i="3"/>
  <c r="J59" i="3"/>
  <c r="L59" i="3"/>
  <c r="J60" i="3"/>
  <c r="L60" i="3"/>
  <c r="J61" i="3"/>
  <c r="L61" i="3"/>
  <c r="J62" i="3"/>
  <c r="L62" i="3"/>
  <c r="J63" i="3"/>
  <c r="L63" i="3"/>
  <c r="J64" i="3"/>
  <c r="L64" i="3"/>
  <c r="J65" i="3"/>
  <c r="L65" i="3"/>
  <c r="J66" i="3"/>
  <c r="L66" i="3"/>
  <c r="J67" i="3"/>
  <c r="L67" i="3"/>
  <c r="J68" i="3"/>
  <c r="L68" i="3"/>
  <c r="J69" i="3"/>
  <c r="L69" i="3"/>
  <c r="J70" i="3"/>
  <c r="L70" i="3"/>
  <c r="J71" i="3"/>
  <c r="L71" i="3"/>
  <c r="J72" i="3"/>
  <c r="L72" i="3"/>
  <c r="J73" i="3"/>
  <c r="L73" i="3"/>
  <c r="J74" i="3"/>
  <c r="L74" i="3"/>
  <c r="J75" i="3"/>
  <c r="L75" i="3"/>
  <c r="J76" i="3"/>
  <c r="L76" i="3"/>
  <c r="J77" i="3"/>
  <c r="L77" i="3"/>
  <c r="J78" i="3"/>
  <c r="L78" i="3"/>
  <c r="J79" i="3"/>
  <c r="L79" i="3"/>
  <c r="J80" i="3"/>
  <c r="L80" i="3"/>
  <c r="J81" i="3"/>
  <c r="L81" i="3"/>
  <c r="J82" i="3"/>
  <c r="L82" i="3"/>
  <c r="J83" i="3"/>
  <c r="L83" i="3"/>
  <c r="J84" i="3"/>
  <c r="L84" i="3"/>
  <c r="J85" i="3"/>
  <c r="L85" i="3"/>
  <c r="J86" i="3"/>
  <c r="L86" i="3"/>
  <c r="J87" i="3"/>
  <c r="L87" i="3"/>
  <c r="J88" i="3"/>
  <c r="L88" i="3"/>
  <c r="J89" i="3"/>
  <c r="L89" i="3"/>
  <c r="J90" i="3"/>
  <c r="L90" i="3"/>
  <c r="J91" i="3"/>
  <c r="L91" i="3"/>
  <c r="J92" i="3"/>
  <c r="L92" i="3"/>
  <c r="J93" i="3"/>
  <c r="L93" i="3"/>
  <c r="J94" i="3"/>
  <c r="L94" i="3"/>
  <c r="J95" i="3"/>
  <c r="L95" i="3"/>
  <c r="J96" i="3"/>
  <c r="L96" i="3"/>
  <c r="J97" i="3"/>
  <c r="L97" i="3"/>
  <c r="J98" i="3"/>
  <c r="L98" i="3"/>
  <c r="J99" i="3"/>
  <c r="L99" i="3"/>
  <c r="J100" i="3"/>
  <c r="L100" i="3"/>
  <c r="J101" i="3"/>
  <c r="L101" i="3"/>
  <c r="J102" i="3"/>
  <c r="L102" i="3"/>
  <c r="J103" i="3"/>
  <c r="L103" i="3"/>
  <c r="J104" i="3"/>
  <c r="L104" i="3"/>
  <c r="J105" i="3"/>
  <c r="L105" i="3"/>
  <c r="J106" i="3"/>
  <c r="L106" i="3"/>
  <c r="J107" i="3"/>
  <c r="L107" i="3"/>
  <c r="J108" i="3"/>
  <c r="L108" i="3"/>
  <c r="J109" i="3"/>
  <c r="L109" i="3"/>
  <c r="J110" i="3"/>
  <c r="L110" i="3"/>
  <c r="J111" i="3"/>
  <c r="L111" i="3"/>
  <c r="J112" i="3"/>
  <c r="L112" i="3"/>
  <c r="J113" i="3"/>
  <c r="L113" i="3"/>
  <c r="J114" i="3"/>
  <c r="L114" i="3"/>
  <c r="J115" i="3"/>
  <c r="L115" i="3"/>
  <c r="J116" i="3"/>
  <c r="L116" i="3"/>
  <c r="J117" i="3"/>
  <c r="L117" i="3"/>
  <c r="J118" i="3"/>
  <c r="L118" i="3"/>
  <c r="J119" i="3"/>
  <c r="L119" i="3"/>
  <c r="J120" i="3"/>
  <c r="L120" i="3"/>
  <c r="J121" i="3"/>
  <c r="L121" i="3"/>
  <c r="J122" i="3"/>
  <c r="L122" i="3"/>
  <c r="J123" i="3"/>
  <c r="L123" i="3"/>
  <c r="J124" i="3"/>
  <c r="L124" i="3"/>
  <c r="J125" i="3"/>
  <c r="L125" i="3"/>
  <c r="J126" i="3"/>
  <c r="L126" i="3"/>
  <c r="J127" i="3"/>
  <c r="L127" i="3"/>
  <c r="J128" i="3"/>
  <c r="L128" i="3"/>
  <c r="J129" i="3"/>
  <c r="L129" i="3"/>
  <c r="J130" i="3"/>
  <c r="L130" i="3"/>
  <c r="J131" i="3"/>
  <c r="L131" i="3"/>
  <c r="J132" i="3"/>
  <c r="L132" i="3"/>
  <c r="J133" i="3"/>
  <c r="L133" i="3"/>
  <c r="J134" i="3"/>
  <c r="L134" i="3"/>
  <c r="J135" i="3"/>
  <c r="L135" i="3"/>
  <c r="J136" i="3"/>
  <c r="L136" i="3"/>
  <c r="J137" i="3"/>
  <c r="L137" i="3"/>
  <c r="J138" i="3"/>
  <c r="L138" i="3"/>
  <c r="J139" i="3"/>
  <c r="L139" i="3"/>
  <c r="J140" i="3"/>
  <c r="L140" i="3"/>
  <c r="J141" i="3"/>
  <c r="L141" i="3"/>
  <c r="J142" i="3"/>
  <c r="L142" i="3"/>
  <c r="J143" i="3"/>
  <c r="L143" i="3"/>
  <c r="J144" i="3"/>
  <c r="L144" i="3"/>
  <c r="J145" i="3"/>
  <c r="L145" i="3"/>
  <c r="J146" i="3"/>
  <c r="L146" i="3"/>
  <c r="J147" i="3"/>
  <c r="L147" i="3"/>
  <c r="J148" i="3"/>
  <c r="L148" i="3"/>
  <c r="J149" i="3"/>
  <c r="L149" i="3"/>
  <c r="J150" i="3"/>
  <c r="L150" i="3"/>
  <c r="J151" i="3"/>
  <c r="L151" i="3"/>
  <c r="J152" i="3"/>
  <c r="L152" i="3"/>
  <c r="J153" i="3"/>
  <c r="L153" i="3"/>
  <c r="J154" i="3"/>
  <c r="L154" i="3"/>
  <c r="J155" i="3"/>
  <c r="L155" i="3"/>
  <c r="J156" i="3"/>
  <c r="L156" i="3"/>
  <c r="J157" i="3"/>
  <c r="L157" i="3"/>
  <c r="J158" i="3"/>
  <c r="L158" i="3"/>
  <c r="J159" i="3"/>
  <c r="L159" i="3"/>
  <c r="J160" i="3"/>
  <c r="L160" i="3"/>
  <c r="J161" i="3"/>
  <c r="L161" i="3"/>
  <c r="J162" i="3"/>
  <c r="L162" i="3"/>
  <c r="J163" i="3"/>
  <c r="L163" i="3"/>
  <c r="J164" i="3"/>
  <c r="L164" i="3"/>
  <c r="J165" i="3"/>
  <c r="L165" i="3"/>
  <c r="J166" i="3"/>
  <c r="L166" i="3"/>
  <c r="J167" i="3"/>
  <c r="L167" i="3"/>
  <c r="J168" i="3"/>
  <c r="L168" i="3"/>
  <c r="J169" i="3"/>
  <c r="L169" i="3"/>
  <c r="J170" i="3"/>
  <c r="L170" i="3"/>
  <c r="J171" i="3"/>
  <c r="L171" i="3"/>
  <c r="J172" i="3"/>
  <c r="L172" i="3"/>
  <c r="J173" i="3"/>
  <c r="L173" i="3"/>
  <c r="J174" i="3"/>
  <c r="L174" i="3"/>
  <c r="J175" i="3"/>
  <c r="L175" i="3"/>
  <c r="J176" i="3"/>
  <c r="L176" i="3"/>
  <c r="J177" i="3"/>
  <c r="L177" i="3"/>
  <c r="J178" i="3"/>
  <c r="L178" i="3"/>
  <c r="J179" i="3"/>
  <c r="L179" i="3"/>
  <c r="J180" i="3"/>
  <c r="L180" i="3"/>
  <c r="J181" i="3"/>
  <c r="L181" i="3"/>
  <c r="J182" i="3"/>
  <c r="L182" i="3"/>
  <c r="J183" i="3"/>
  <c r="L183" i="3"/>
  <c r="J184" i="3"/>
  <c r="L184" i="3"/>
  <c r="J185" i="3"/>
  <c r="L185" i="3"/>
  <c r="J186" i="3"/>
  <c r="L186" i="3"/>
  <c r="J187" i="3"/>
  <c r="L187" i="3"/>
  <c r="J188" i="3"/>
  <c r="L188" i="3"/>
  <c r="J189" i="3"/>
  <c r="L189" i="3"/>
  <c r="J190" i="3"/>
  <c r="L190" i="3"/>
  <c r="J191" i="3"/>
  <c r="L191" i="3"/>
  <c r="J192" i="3"/>
  <c r="L192" i="3"/>
  <c r="J193" i="3"/>
  <c r="L193" i="3"/>
  <c r="J194" i="3"/>
  <c r="L194" i="3"/>
  <c r="J195" i="3"/>
  <c r="L195" i="3"/>
  <c r="J196" i="3"/>
  <c r="L196" i="3"/>
  <c r="J197" i="3"/>
  <c r="L197" i="3"/>
  <c r="J198" i="3"/>
  <c r="L198" i="3"/>
  <c r="J199" i="3"/>
  <c r="L199" i="3"/>
  <c r="J200" i="3"/>
  <c r="L200" i="3"/>
  <c r="J201" i="3"/>
  <c r="L201" i="3"/>
  <c r="J202" i="3"/>
  <c r="L202" i="3"/>
  <c r="J203" i="3"/>
  <c r="L203" i="3"/>
  <c r="J204" i="3"/>
  <c r="L204" i="3"/>
  <c r="J205" i="3"/>
  <c r="L205" i="3"/>
  <c r="J206" i="3"/>
  <c r="L206" i="3"/>
  <c r="J207" i="3"/>
  <c r="L207" i="3"/>
  <c r="J208" i="3"/>
  <c r="L208" i="3"/>
  <c r="J209" i="3"/>
  <c r="L209" i="3"/>
  <c r="J210" i="3"/>
  <c r="L210" i="3"/>
  <c r="J211" i="3"/>
  <c r="L211" i="3"/>
  <c r="J212" i="3"/>
  <c r="L212" i="3"/>
  <c r="J213" i="3"/>
  <c r="L213" i="3"/>
  <c r="J214" i="3"/>
  <c r="L214" i="3"/>
  <c r="J215" i="3"/>
  <c r="L215" i="3"/>
  <c r="J216" i="3"/>
  <c r="L216" i="3"/>
  <c r="J217" i="3"/>
  <c r="L217" i="3"/>
  <c r="J218" i="3"/>
  <c r="L218" i="3"/>
  <c r="J219" i="3"/>
  <c r="L219" i="3"/>
  <c r="J220" i="3"/>
  <c r="L220" i="3"/>
  <c r="J221" i="3"/>
  <c r="L221" i="3"/>
  <c r="J222" i="3"/>
  <c r="L222" i="3"/>
  <c r="J223" i="3"/>
  <c r="L223" i="3"/>
  <c r="J224" i="3"/>
  <c r="L224" i="3"/>
  <c r="J225" i="3"/>
  <c r="L225" i="3"/>
  <c r="J226" i="3"/>
  <c r="L226" i="3"/>
  <c r="J227" i="3"/>
  <c r="L227" i="3"/>
  <c r="J228" i="3"/>
  <c r="L228" i="3"/>
  <c r="J229" i="3"/>
  <c r="L229" i="3"/>
  <c r="J230" i="3"/>
  <c r="L230" i="3"/>
  <c r="J231" i="3"/>
  <c r="L231" i="3"/>
  <c r="J232" i="3"/>
  <c r="L232" i="3"/>
  <c r="J233" i="3"/>
  <c r="L233" i="3"/>
  <c r="J234" i="3"/>
  <c r="L234" i="3"/>
  <c r="J235" i="3"/>
  <c r="L235" i="3"/>
  <c r="J236" i="3"/>
  <c r="L236" i="3"/>
  <c r="J237" i="3"/>
  <c r="L237" i="3"/>
  <c r="J238" i="3"/>
  <c r="L238" i="3"/>
  <c r="J239" i="3"/>
  <c r="L239" i="3"/>
  <c r="J240" i="3"/>
  <c r="L240" i="3"/>
  <c r="J241" i="3"/>
  <c r="L241" i="3"/>
  <c r="J242" i="3"/>
  <c r="L242" i="3"/>
  <c r="J243" i="3"/>
  <c r="L243" i="3"/>
  <c r="J244" i="3"/>
  <c r="L244" i="3"/>
  <c r="J245" i="3"/>
  <c r="L245" i="3"/>
  <c r="J246" i="3"/>
  <c r="L246" i="3"/>
  <c r="J247" i="3"/>
  <c r="L247" i="3"/>
  <c r="J248" i="3"/>
  <c r="L248" i="3"/>
  <c r="J249" i="3"/>
  <c r="L249" i="3"/>
  <c r="J250" i="3"/>
  <c r="L250" i="3"/>
  <c r="J251" i="3"/>
  <c r="L251" i="3"/>
  <c r="J252" i="3"/>
  <c r="L252" i="3"/>
  <c r="J253" i="3"/>
  <c r="L253" i="3"/>
  <c r="J254" i="3"/>
  <c r="L254" i="3"/>
  <c r="J255" i="3"/>
  <c r="L255" i="3"/>
  <c r="J256" i="3"/>
  <c r="L256" i="3"/>
  <c r="J257" i="3"/>
  <c r="L257" i="3"/>
  <c r="J258" i="3"/>
  <c r="L258" i="3"/>
  <c r="J259" i="3"/>
  <c r="L259" i="3"/>
  <c r="J260" i="3"/>
  <c r="L260" i="3"/>
  <c r="J261" i="3"/>
  <c r="L261" i="3"/>
  <c r="J262" i="3"/>
  <c r="L262" i="3"/>
  <c r="J263" i="3"/>
  <c r="L263" i="3"/>
  <c r="J264" i="3"/>
  <c r="L264" i="3"/>
  <c r="J265" i="3"/>
  <c r="L265" i="3"/>
  <c r="J266" i="3"/>
  <c r="L266" i="3"/>
  <c r="J267" i="3"/>
  <c r="L267" i="3"/>
  <c r="J268" i="3"/>
  <c r="L268" i="3"/>
  <c r="J269" i="3"/>
  <c r="L269" i="3"/>
  <c r="J270" i="3"/>
  <c r="L270" i="3"/>
  <c r="J271" i="3"/>
  <c r="L271" i="3"/>
  <c r="J272" i="3"/>
  <c r="L272" i="3"/>
  <c r="J273" i="3"/>
  <c r="L273" i="3"/>
  <c r="J274" i="3"/>
  <c r="L274" i="3"/>
  <c r="J275" i="3"/>
  <c r="L275" i="3"/>
  <c r="J276" i="3"/>
  <c r="L276" i="3"/>
  <c r="J277" i="3"/>
  <c r="L277" i="3"/>
  <c r="J278" i="3"/>
  <c r="L278" i="3"/>
  <c r="J279" i="3"/>
  <c r="L279" i="3"/>
  <c r="J280" i="3"/>
  <c r="L280" i="3"/>
  <c r="J281" i="3"/>
  <c r="L281" i="3"/>
  <c r="J282" i="3"/>
  <c r="L282" i="3"/>
  <c r="J283" i="3"/>
  <c r="L283" i="3"/>
  <c r="J284" i="3"/>
  <c r="L284" i="3"/>
  <c r="J285" i="3"/>
  <c r="L285" i="3"/>
  <c r="J286" i="3"/>
  <c r="L286" i="3"/>
  <c r="J287" i="3"/>
  <c r="L287" i="3"/>
  <c r="J288" i="3"/>
  <c r="L288" i="3"/>
  <c r="J289" i="3"/>
  <c r="L289" i="3"/>
  <c r="J290" i="3"/>
  <c r="L290" i="3"/>
  <c r="J291" i="3"/>
  <c r="L291" i="3"/>
  <c r="J292" i="3"/>
  <c r="L292" i="3"/>
  <c r="J293" i="3"/>
  <c r="L293" i="3"/>
  <c r="J294" i="3"/>
  <c r="L294" i="3"/>
  <c r="J295" i="3"/>
  <c r="L295" i="3"/>
  <c r="J296" i="3"/>
  <c r="L296" i="3"/>
  <c r="J297" i="3"/>
  <c r="L297" i="3"/>
  <c r="J298" i="3"/>
  <c r="L298" i="3"/>
  <c r="J299" i="3"/>
  <c r="L299" i="3"/>
  <c r="J300" i="3"/>
  <c r="L300" i="3"/>
  <c r="J301" i="3"/>
  <c r="L301" i="3"/>
  <c r="J302" i="3"/>
  <c r="L302" i="3"/>
  <c r="J303" i="3"/>
  <c r="L303" i="3"/>
  <c r="J304" i="3"/>
  <c r="L304" i="3"/>
  <c r="J305" i="3"/>
  <c r="L305" i="3"/>
  <c r="J306" i="3"/>
  <c r="L306" i="3"/>
  <c r="J307" i="3"/>
  <c r="L307" i="3"/>
  <c r="J308" i="3"/>
  <c r="L308" i="3"/>
  <c r="J309" i="3"/>
  <c r="L309" i="3"/>
  <c r="J310" i="3"/>
  <c r="L310" i="3"/>
  <c r="J311" i="3"/>
  <c r="L311" i="3"/>
  <c r="J312" i="3"/>
  <c r="L312" i="3"/>
  <c r="J313" i="3"/>
  <c r="L313" i="3"/>
  <c r="J314" i="3"/>
  <c r="L314" i="3"/>
  <c r="J315" i="3"/>
  <c r="L315" i="3"/>
  <c r="J316" i="3"/>
  <c r="L316" i="3"/>
  <c r="J317" i="3"/>
  <c r="L317" i="3"/>
  <c r="J318" i="3"/>
  <c r="L318" i="3"/>
  <c r="J319" i="3"/>
  <c r="L319" i="3"/>
  <c r="J320" i="3"/>
  <c r="L320" i="3"/>
  <c r="J321" i="3"/>
  <c r="L321" i="3"/>
  <c r="J322" i="3"/>
  <c r="L322" i="3"/>
  <c r="J323" i="3"/>
  <c r="L323" i="3"/>
  <c r="J324" i="3"/>
  <c r="L324" i="3"/>
  <c r="J325" i="3"/>
  <c r="L325" i="3"/>
  <c r="J326" i="3"/>
  <c r="L326" i="3"/>
  <c r="J327" i="3"/>
  <c r="L327" i="3"/>
  <c r="J328" i="3"/>
  <c r="L328" i="3"/>
  <c r="J329" i="3"/>
  <c r="L329" i="3"/>
  <c r="J330" i="3"/>
  <c r="L330" i="3"/>
  <c r="J331" i="3"/>
  <c r="L331" i="3"/>
  <c r="J332" i="3"/>
  <c r="L332" i="3"/>
  <c r="J333" i="3"/>
  <c r="L333" i="3"/>
  <c r="J334" i="3"/>
  <c r="L334" i="3"/>
  <c r="J335" i="3"/>
  <c r="L335" i="3"/>
  <c r="J336" i="3"/>
  <c r="L336" i="3"/>
  <c r="J337" i="3"/>
  <c r="L337" i="3"/>
  <c r="J338" i="3"/>
  <c r="L338" i="3"/>
  <c r="J339" i="3"/>
  <c r="L339" i="3"/>
  <c r="J340" i="3"/>
  <c r="L340" i="3"/>
  <c r="J341" i="3"/>
  <c r="L341" i="3"/>
  <c r="J342" i="3"/>
  <c r="L342" i="3"/>
  <c r="J343" i="3"/>
  <c r="L343" i="3"/>
  <c r="J344" i="3"/>
  <c r="L344" i="3"/>
  <c r="J345" i="3"/>
  <c r="L345" i="3"/>
  <c r="J346" i="3"/>
  <c r="L346" i="3"/>
  <c r="J347" i="3"/>
  <c r="L347" i="3"/>
  <c r="J348" i="3"/>
  <c r="L348" i="3"/>
  <c r="J349" i="3"/>
  <c r="L349" i="3"/>
  <c r="J350" i="3"/>
  <c r="L350" i="3"/>
  <c r="J351" i="3"/>
  <c r="L351" i="3"/>
  <c r="J352" i="3"/>
  <c r="L352" i="3"/>
  <c r="J353" i="3"/>
  <c r="L353" i="3"/>
  <c r="J354" i="3"/>
  <c r="L354" i="3"/>
  <c r="J355" i="3"/>
  <c r="L355" i="3"/>
  <c r="J356" i="3"/>
  <c r="L356" i="3"/>
  <c r="J357" i="3"/>
  <c r="L357" i="3"/>
  <c r="J358" i="3"/>
  <c r="L358" i="3"/>
  <c r="J359" i="3"/>
  <c r="L359" i="3"/>
  <c r="J360" i="3"/>
  <c r="L360" i="3"/>
  <c r="J361" i="3"/>
  <c r="L361" i="3"/>
  <c r="J362" i="3"/>
  <c r="L362" i="3"/>
  <c r="J363" i="3"/>
  <c r="L363" i="3"/>
  <c r="J364" i="3"/>
  <c r="L364" i="3"/>
  <c r="J365" i="3"/>
  <c r="L365" i="3"/>
  <c r="J366" i="3"/>
  <c r="L366" i="3"/>
  <c r="J367" i="3"/>
  <c r="L367" i="3"/>
  <c r="J368" i="3"/>
  <c r="L368" i="3"/>
  <c r="J369" i="3"/>
  <c r="L369" i="3"/>
  <c r="J370" i="3"/>
  <c r="L370" i="3"/>
  <c r="J371" i="3"/>
  <c r="L371" i="3"/>
  <c r="J372" i="3"/>
  <c r="L372" i="3"/>
  <c r="J373" i="3"/>
  <c r="L373" i="3"/>
  <c r="J374" i="3"/>
  <c r="L374" i="3"/>
  <c r="J375" i="3"/>
  <c r="L375" i="3"/>
  <c r="J376" i="3"/>
  <c r="L376" i="3"/>
  <c r="J377" i="3"/>
  <c r="L377" i="3"/>
  <c r="J378" i="3"/>
  <c r="L378" i="3"/>
  <c r="J379" i="3"/>
  <c r="L379" i="3"/>
  <c r="J380" i="3"/>
  <c r="L380" i="3"/>
  <c r="J381" i="3"/>
  <c r="L381" i="3"/>
  <c r="J382" i="3"/>
  <c r="L382" i="3"/>
  <c r="J383" i="3"/>
  <c r="L383" i="3"/>
  <c r="J384" i="3"/>
  <c r="L384" i="3"/>
  <c r="J385" i="3"/>
  <c r="L385" i="3"/>
  <c r="J386" i="3"/>
  <c r="L386" i="3"/>
  <c r="J387" i="3"/>
  <c r="L387" i="3"/>
  <c r="J388" i="3"/>
  <c r="L388" i="3"/>
  <c r="J389" i="3"/>
  <c r="L389" i="3"/>
  <c r="J390" i="3"/>
  <c r="L390" i="3"/>
  <c r="J391" i="3"/>
  <c r="L391" i="3"/>
  <c r="J392" i="3"/>
  <c r="L392" i="3"/>
  <c r="J393" i="3"/>
  <c r="L393" i="3"/>
  <c r="J394" i="3"/>
  <c r="L394" i="3"/>
  <c r="J395" i="3"/>
  <c r="L395" i="3"/>
  <c r="J396" i="3"/>
  <c r="L396" i="3"/>
  <c r="J397" i="3"/>
  <c r="L397" i="3"/>
  <c r="J398" i="3"/>
  <c r="L398" i="3"/>
  <c r="J399" i="3"/>
  <c r="L399" i="3"/>
  <c r="J400" i="3"/>
  <c r="L400" i="3"/>
  <c r="J401" i="3"/>
  <c r="L401" i="3"/>
  <c r="J402" i="3"/>
  <c r="L402" i="3"/>
  <c r="J403" i="3"/>
  <c r="L403" i="3"/>
  <c r="J404" i="3"/>
  <c r="L404" i="3"/>
  <c r="J405" i="3"/>
  <c r="L405" i="3"/>
  <c r="J406" i="3"/>
  <c r="L406" i="3"/>
  <c r="J407" i="3"/>
  <c r="L407" i="3"/>
  <c r="J408" i="3"/>
  <c r="L408" i="3"/>
  <c r="J409" i="3"/>
  <c r="L409" i="3"/>
  <c r="J410" i="3"/>
  <c r="L410" i="3"/>
  <c r="J411" i="3"/>
  <c r="L411" i="3"/>
  <c r="J412" i="3"/>
  <c r="L412" i="3"/>
  <c r="J413" i="3"/>
  <c r="L413" i="3"/>
  <c r="J414" i="3"/>
  <c r="L414" i="3"/>
  <c r="J415" i="3"/>
  <c r="L415" i="3"/>
  <c r="J416" i="3"/>
  <c r="L416" i="3"/>
  <c r="J417" i="3"/>
  <c r="L417" i="3"/>
  <c r="J418" i="3"/>
  <c r="L418" i="3"/>
  <c r="J419" i="3"/>
  <c r="L419" i="3"/>
  <c r="J420" i="3"/>
  <c r="L420" i="3"/>
  <c r="J421" i="3"/>
  <c r="L421" i="3"/>
  <c r="J422" i="3"/>
  <c r="L422" i="3"/>
  <c r="J423" i="3"/>
  <c r="L423" i="3"/>
  <c r="J424" i="3"/>
  <c r="L424" i="3"/>
  <c r="J425" i="3"/>
  <c r="L425" i="3"/>
  <c r="J426" i="3"/>
  <c r="L426" i="3"/>
  <c r="J427" i="3"/>
  <c r="L427" i="3"/>
  <c r="J428" i="3"/>
  <c r="L428" i="3"/>
  <c r="J429" i="3"/>
  <c r="L429" i="3"/>
  <c r="J430" i="3"/>
  <c r="L430" i="3"/>
  <c r="J431" i="3"/>
  <c r="L431" i="3"/>
  <c r="J432" i="3"/>
  <c r="L432" i="3"/>
  <c r="J433" i="3"/>
  <c r="L433" i="3"/>
  <c r="J434" i="3"/>
  <c r="L434" i="3"/>
  <c r="J435" i="3"/>
  <c r="L435" i="3"/>
  <c r="J436" i="3"/>
  <c r="L436" i="3"/>
  <c r="J437" i="3"/>
  <c r="L437" i="3"/>
  <c r="J438" i="3"/>
  <c r="L438" i="3"/>
  <c r="J439" i="3"/>
  <c r="L439" i="3"/>
  <c r="J440" i="3"/>
  <c r="L440" i="3"/>
  <c r="J441" i="3"/>
  <c r="L441" i="3"/>
  <c r="J442" i="3"/>
  <c r="L442" i="3"/>
  <c r="J443" i="3"/>
  <c r="L443" i="3"/>
  <c r="J444" i="3"/>
  <c r="L444" i="3"/>
  <c r="J445" i="3"/>
  <c r="L445" i="3"/>
  <c r="J446" i="3"/>
  <c r="L446" i="3"/>
  <c r="J447" i="3"/>
  <c r="L447" i="3"/>
  <c r="J448" i="3"/>
  <c r="L448" i="3"/>
  <c r="J449" i="3"/>
  <c r="L449" i="3"/>
  <c r="J450" i="3"/>
  <c r="L450" i="3"/>
  <c r="J451" i="3"/>
  <c r="L451" i="3"/>
  <c r="J452" i="3"/>
  <c r="L452" i="3"/>
  <c r="J453" i="3"/>
  <c r="L453" i="3"/>
  <c r="J454" i="3"/>
  <c r="L454" i="3"/>
  <c r="J455" i="3"/>
  <c r="L455" i="3"/>
  <c r="J456" i="3"/>
  <c r="L456" i="3"/>
  <c r="J457" i="3"/>
  <c r="L457" i="3"/>
  <c r="J458" i="3"/>
  <c r="L458" i="3"/>
  <c r="J459" i="3"/>
  <c r="L459" i="3"/>
  <c r="J460" i="3"/>
  <c r="L460" i="3"/>
  <c r="J461" i="3"/>
  <c r="L461" i="3"/>
  <c r="J462" i="3"/>
  <c r="L462" i="3"/>
  <c r="J463" i="3"/>
  <c r="L463" i="3"/>
  <c r="J464" i="3"/>
  <c r="L464" i="3"/>
  <c r="J465" i="3"/>
  <c r="L465" i="3"/>
  <c r="J466" i="3"/>
  <c r="L466" i="3"/>
  <c r="J467" i="3"/>
  <c r="L467" i="3"/>
  <c r="J468" i="3"/>
  <c r="L468" i="3"/>
  <c r="J469" i="3"/>
  <c r="L469" i="3"/>
  <c r="J470" i="3"/>
  <c r="L470" i="3"/>
  <c r="J471" i="3"/>
  <c r="L471" i="3"/>
  <c r="J472" i="3"/>
  <c r="L472" i="3"/>
  <c r="J473" i="3"/>
  <c r="L473" i="3"/>
  <c r="J474" i="3"/>
  <c r="L474" i="3"/>
  <c r="J475" i="3"/>
  <c r="L475" i="3"/>
  <c r="J476" i="3"/>
  <c r="L476" i="3"/>
  <c r="J477" i="3"/>
  <c r="L477" i="3"/>
  <c r="J478" i="3"/>
  <c r="L478" i="3"/>
  <c r="J479" i="3"/>
  <c r="L479" i="3"/>
  <c r="J480" i="3"/>
  <c r="L480" i="3"/>
  <c r="J481" i="3"/>
  <c r="L481" i="3"/>
  <c r="J482" i="3"/>
  <c r="L482" i="3"/>
  <c r="J483" i="3"/>
  <c r="L483" i="3"/>
  <c r="J484" i="3"/>
  <c r="L484" i="3"/>
  <c r="J485" i="3"/>
  <c r="L485" i="3"/>
  <c r="J486" i="3"/>
  <c r="L486" i="3"/>
  <c r="J487" i="3"/>
  <c r="L487" i="3"/>
  <c r="J488" i="3"/>
  <c r="L488" i="3"/>
  <c r="J489" i="3"/>
  <c r="L489" i="3"/>
  <c r="J490" i="3"/>
  <c r="L490" i="3"/>
  <c r="J491" i="3"/>
  <c r="L491" i="3"/>
  <c r="J492" i="3"/>
  <c r="L492" i="3"/>
  <c r="J493" i="3"/>
  <c r="L493" i="3"/>
  <c r="J494" i="3"/>
  <c r="L494" i="3"/>
  <c r="J495" i="3"/>
  <c r="L495" i="3"/>
  <c r="J496" i="3"/>
  <c r="L496" i="3"/>
  <c r="J497" i="3"/>
  <c r="L497" i="3"/>
  <c r="J498" i="3"/>
  <c r="L498" i="3"/>
  <c r="J499" i="3"/>
  <c r="L499" i="3"/>
  <c r="J500" i="3"/>
  <c r="L500" i="3"/>
  <c r="J501" i="3"/>
  <c r="L501" i="3"/>
  <c r="J502" i="3"/>
  <c r="L502" i="3"/>
  <c r="J503" i="3"/>
  <c r="L503" i="3"/>
  <c r="J504" i="3"/>
  <c r="L504" i="3"/>
  <c r="J505" i="3"/>
  <c r="L505" i="3"/>
  <c r="J506" i="3"/>
  <c r="L506" i="3"/>
  <c r="J507" i="3"/>
  <c r="L507" i="3"/>
  <c r="J508" i="3"/>
  <c r="L508" i="3"/>
  <c r="J509" i="3"/>
  <c r="L509" i="3"/>
  <c r="J510" i="3"/>
  <c r="L510" i="3"/>
  <c r="J511" i="3"/>
  <c r="L511" i="3"/>
  <c r="J512" i="3"/>
  <c r="L512" i="3"/>
  <c r="J513" i="3"/>
  <c r="L513" i="3"/>
  <c r="J514" i="3"/>
  <c r="L514" i="3"/>
  <c r="J515" i="3"/>
  <c r="L515" i="3"/>
  <c r="J516" i="3"/>
  <c r="L516" i="3"/>
  <c r="J517" i="3"/>
  <c r="L517" i="3"/>
  <c r="J518" i="3"/>
  <c r="L518" i="3"/>
  <c r="J519" i="3"/>
  <c r="L519" i="3"/>
  <c r="J520" i="3"/>
  <c r="L520" i="3"/>
  <c r="J521" i="3"/>
  <c r="L521" i="3"/>
  <c r="J522" i="3"/>
  <c r="L522" i="3"/>
  <c r="J523" i="3"/>
  <c r="L523" i="3"/>
  <c r="J524" i="3"/>
  <c r="L524" i="3"/>
  <c r="J525" i="3"/>
  <c r="L525" i="3"/>
  <c r="J526" i="3"/>
  <c r="L526" i="3"/>
  <c r="J527" i="3"/>
  <c r="L527" i="3"/>
  <c r="J528" i="3"/>
  <c r="L528" i="3"/>
  <c r="J529" i="3"/>
  <c r="L529" i="3"/>
  <c r="J530" i="3"/>
  <c r="L530" i="3"/>
  <c r="J531" i="3"/>
  <c r="L531" i="3"/>
  <c r="J532" i="3"/>
  <c r="L532" i="3"/>
  <c r="J533" i="3"/>
  <c r="L533" i="3"/>
  <c r="J534" i="3"/>
  <c r="L534" i="3"/>
  <c r="J535" i="3"/>
  <c r="L535" i="3"/>
  <c r="J536" i="3"/>
  <c r="L536" i="3"/>
  <c r="J537" i="3"/>
  <c r="L537" i="3"/>
  <c r="J538" i="3"/>
  <c r="L538" i="3"/>
  <c r="J539" i="3"/>
  <c r="L539" i="3"/>
  <c r="J540" i="3"/>
  <c r="L540" i="3"/>
  <c r="J541" i="3"/>
  <c r="L541" i="3"/>
  <c r="J542" i="3"/>
  <c r="L542" i="3"/>
  <c r="J543" i="3"/>
  <c r="L543" i="3"/>
  <c r="J544" i="3"/>
  <c r="L544" i="3"/>
  <c r="J545" i="3"/>
  <c r="L545" i="3"/>
  <c r="J546" i="3"/>
  <c r="L546" i="3"/>
  <c r="J547" i="3"/>
  <c r="L547" i="3"/>
  <c r="J548" i="3"/>
  <c r="L548" i="3"/>
  <c r="J549" i="3"/>
  <c r="L549" i="3"/>
  <c r="J550" i="3"/>
  <c r="L550" i="3"/>
  <c r="J551" i="3"/>
  <c r="L551" i="3"/>
  <c r="J552" i="3"/>
  <c r="L552" i="3"/>
  <c r="J553" i="3"/>
  <c r="L553" i="3"/>
  <c r="J554" i="3"/>
  <c r="L554" i="3"/>
  <c r="J555" i="3"/>
  <c r="L555" i="3"/>
  <c r="J556" i="3"/>
  <c r="L556" i="3"/>
  <c r="J557" i="3"/>
  <c r="L557" i="3"/>
  <c r="J558" i="3"/>
  <c r="L558" i="3"/>
  <c r="J559" i="3"/>
  <c r="L559" i="3"/>
  <c r="J560" i="3"/>
  <c r="L560" i="3"/>
  <c r="J561" i="3"/>
  <c r="L561" i="3"/>
  <c r="J562" i="3"/>
  <c r="L562" i="3"/>
  <c r="J563" i="3"/>
  <c r="L563" i="3"/>
  <c r="J564" i="3"/>
  <c r="L564" i="3"/>
  <c r="J565" i="3"/>
  <c r="L565" i="3"/>
  <c r="J566" i="3"/>
  <c r="L566" i="3"/>
  <c r="J567" i="3"/>
  <c r="L567" i="3"/>
  <c r="J568" i="3"/>
  <c r="L568" i="3"/>
  <c r="J569" i="3"/>
  <c r="L569" i="3"/>
  <c r="J570" i="3"/>
  <c r="L570" i="3"/>
  <c r="J571" i="3"/>
  <c r="L571" i="3"/>
  <c r="J572" i="3"/>
  <c r="L572" i="3"/>
  <c r="J573" i="3"/>
  <c r="L573" i="3"/>
  <c r="J574" i="3"/>
  <c r="L574" i="3"/>
  <c r="J575" i="3"/>
  <c r="L575" i="3"/>
  <c r="J576" i="3"/>
  <c r="L576" i="3"/>
  <c r="J577" i="3"/>
  <c r="L577" i="3"/>
  <c r="J578" i="3"/>
  <c r="L578" i="3"/>
  <c r="J579" i="3"/>
  <c r="L579" i="3"/>
  <c r="J580" i="3"/>
  <c r="L580" i="3"/>
  <c r="J581" i="3"/>
  <c r="L581" i="3"/>
  <c r="J582" i="3"/>
  <c r="L582" i="3"/>
  <c r="J583" i="3"/>
  <c r="L583" i="3"/>
  <c r="J584" i="3"/>
  <c r="L584" i="3"/>
  <c r="J585" i="3"/>
  <c r="L585" i="3"/>
  <c r="J586" i="3"/>
  <c r="L586" i="3"/>
  <c r="J587" i="3"/>
  <c r="L587" i="3"/>
  <c r="J588" i="3"/>
  <c r="L588" i="3"/>
  <c r="J589" i="3"/>
  <c r="L589" i="3"/>
  <c r="J590" i="3"/>
  <c r="L590" i="3"/>
  <c r="J591" i="3"/>
  <c r="L591" i="3"/>
  <c r="J592" i="3"/>
  <c r="L592" i="3"/>
  <c r="J593" i="3"/>
  <c r="L593" i="3"/>
  <c r="J594" i="3"/>
  <c r="L594" i="3"/>
  <c r="J595" i="3"/>
  <c r="L595" i="3"/>
  <c r="J596" i="3"/>
  <c r="L596" i="3"/>
  <c r="J597" i="3"/>
  <c r="L597" i="3"/>
  <c r="J598" i="3"/>
  <c r="L598" i="3"/>
  <c r="J3" i="3"/>
  <c r="J4" i="3"/>
  <c r="J2" i="3"/>
  <c r="L3" i="3"/>
  <c r="L4" i="3"/>
  <c r="L2" i="3"/>
</calcChain>
</file>

<file path=xl/sharedStrings.xml><?xml version="1.0" encoding="utf-8"?>
<sst xmlns="http://schemas.openxmlformats.org/spreadsheetml/2006/main" count="27458" uniqueCount="6120">
  <si>
    <t>ID</t>
  </si>
  <si>
    <t>DATE</t>
  </si>
  <si>
    <t>NAME</t>
  </si>
  <si>
    <t>AMOUNT</t>
  </si>
  <si>
    <t>Jeremy Smith</t>
  </si>
  <si>
    <t>Matt Ingalls</t>
  </si>
  <si>
    <t>Russell Phillips</t>
  </si>
  <si>
    <t>Cody Shill</t>
  </si>
  <si>
    <t>Chris Leonard</t>
  </si>
  <si>
    <t>Blake McCarty</t>
  </si>
  <si>
    <t>Matt Austin</t>
  </si>
  <si>
    <t>Tyson Cullimore</t>
  </si>
  <si>
    <t>Zsanett Fizli</t>
  </si>
  <si>
    <t>Ryan Brown</t>
  </si>
  <si>
    <t>Lenoir Menzes</t>
  </si>
  <si>
    <t>Noah Nethero</t>
  </si>
  <si>
    <t>Ryan Roach</t>
  </si>
  <si>
    <t>Braxton Tanner</t>
  </si>
  <si>
    <t>Everett Brewer</t>
  </si>
  <si>
    <t>Mike Restaino</t>
  </si>
  <si>
    <t>Baba Diallo</t>
  </si>
  <si>
    <t>Greg Weisman</t>
  </si>
  <si>
    <t>Benjamin Johns</t>
  </si>
  <si>
    <t>Scott Mehrer</t>
  </si>
  <si>
    <t>Cory Fields</t>
  </si>
  <si>
    <t>Jesus Becerra</t>
  </si>
  <si>
    <t>Eean Ovens</t>
  </si>
  <si>
    <t>Keenan Jones</t>
  </si>
  <si>
    <t>Chandler Coburn</t>
  </si>
  <si>
    <t>Eric Roberts</t>
  </si>
  <si>
    <t>Josh Collett</t>
  </si>
  <si>
    <t>John Cunningham</t>
  </si>
  <si>
    <t>Dover Janis</t>
  </si>
  <si>
    <t>Dave Turpin</t>
  </si>
  <si>
    <t>Zachary Collett</t>
  </si>
  <si>
    <t>Renee Smith</t>
  </si>
  <si>
    <t>Austin Young</t>
  </si>
  <si>
    <t>Igor Lima</t>
  </si>
  <si>
    <t>Laarne Wilde</t>
  </si>
  <si>
    <t>Ron Jensen</t>
  </si>
  <si>
    <t>Dave Martin</t>
  </si>
  <si>
    <t>Blake Cerin</t>
  </si>
  <si>
    <t>Heriberto Contreras</t>
  </si>
  <si>
    <t>Matthew Bilyeu</t>
  </si>
  <si>
    <t>Topher Haven</t>
  </si>
  <si>
    <t>Richard Ross</t>
  </si>
  <si>
    <t>Erik Munoz</t>
  </si>
  <si>
    <t>Veronica Kirchoff</t>
  </si>
  <si>
    <t>James Reed</t>
  </si>
  <si>
    <t>Mark Alaniz</t>
  </si>
  <si>
    <t>Daniel Garber</t>
  </si>
  <si>
    <t>Betsy Wanstall</t>
  </si>
  <si>
    <t>Marvan Taghvaie</t>
  </si>
  <si>
    <t>Tomas Molina</t>
  </si>
  <si>
    <t>Miguel Largaespada</t>
  </si>
  <si>
    <t>Han Yang</t>
  </si>
  <si>
    <t>Jacob Smith</t>
  </si>
  <si>
    <t>Kanu Obioha</t>
  </si>
  <si>
    <t>Myles Mossbacher</t>
  </si>
  <si>
    <t>Andrew Diaz</t>
  </si>
  <si>
    <t>Tim McKeever</t>
  </si>
  <si>
    <t>Isabela Belotto</t>
  </si>
  <si>
    <t>Nik Shehaj</t>
  </si>
  <si>
    <t>Pedro Gonzalez</t>
  </si>
  <si>
    <t>Alejandro Vazquez</t>
  </si>
  <si>
    <t>Marlee Trowbridge</t>
  </si>
  <si>
    <t>Edmond Ramos</t>
  </si>
  <si>
    <t>Alvaro Diaz</t>
  </si>
  <si>
    <t>Jerika Zimmerman</t>
  </si>
  <si>
    <t>James Zavala</t>
  </si>
  <si>
    <t>Bertha Dena</t>
  </si>
  <si>
    <t>Tyler Garrett</t>
  </si>
  <si>
    <t>Carole Onasch</t>
  </si>
  <si>
    <t>Noah O'Leno</t>
  </si>
  <si>
    <t>Brian Millard</t>
  </si>
  <si>
    <t>Chad Miller</t>
  </si>
  <si>
    <t>Anthony Gaetano</t>
  </si>
  <si>
    <t>Scott Knudsen</t>
  </si>
  <si>
    <t>David Loosli</t>
  </si>
  <si>
    <t>Jayson Anderson</t>
  </si>
  <si>
    <t>Steve Castorino</t>
  </si>
  <si>
    <t>Laura Eakes</t>
  </si>
  <si>
    <t>Scott Babb</t>
  </si>
  <si>
    <t>Ryan Martinez</t>
  </si>
  <si>
    <t>Myles Worster</t>
  </si>
  <si>
    <t>Landon Wells</t>
  </si>
  <si>
    <t>John Lopez</t>
  </si>
  <si>
    <t>Garrett Glissmeyer</t>
  </si>
  <si>
    <t>Dallas Porter</t>
  </si>
  <si>
    <t>Mike Huff</t>
  </si>
  <si>
    <t>Dan Chomyn</t>
  </si>
  <si>
    <t>Joshua Weltch</t>
  </si>
  <si>
    <t>James Marci</t>
  </si>
  <si>
    <t>Matt Merrill</t>
  </si>
  <si>
    <t>Bill Macwithey</t>
  </si>
  <si>
    <t>Jared Biesinger</t>
  </si>
  <si>
    <t>Steve O'Neill</t>
  </si>
  <si>
    <t>Duane Gerber</t>
  </si>
  <si>
    <t>Derik Eselius</t>
  </si>
  <si>
    <t>Spencer Jarman</t>
  </si>
  <si>
    <t>Ben Cunha</t>
  </si>
  <si>
    <t>Chris St. Clair</t>
  </si>
  <si>
    <t>Ryan Roling</t>
  </si>
  <si>
    <t>Adam Baroudi</t>
  </si>
  <si>
    <t>Hunter Smith</t>
  </si>
  <si>
    <t>Peter Moore</t>
  </si>
  <si>
    <t>Stephen Chapman</t>
  </si>
  <si>
    <t>Gordon Scott</t>
  </si>
  <si>
    <t>Chuck Riggs</t>
  </si>
  <si>
    <t>Justin Byrd</t>
  </si>
  <si>
    <t>Eric Stapleman</t>
  </si>
  <si>
    <t>Jason Manning</t>
  </si>
  <si>
    <t>Jeremy Reader</t>
  </si>
  <si>
    <t>Dan Kimball</t>
  </si>
  <si>
    <t>Barry Mamadou</t>
  </si>
  <si>
    <t>Ralph Platt</t>
  </si>
  <si>
    <t>David Utrera</t>
  </si>
  <si>
    <t>Parker Foley</t>
  </si>
  <si>
    <t>Kanaiyalal Lakhani</t>
  </si>
  <si>
    <t>Teg Devinder</t>
  </si>
  <si>
    <t>Mark Stoxen</t>
  </si>
  <si>
    <t>Naomi Cutshall</t>
  </si>
  <si>
    <t>Anthony Ellsworth</t>
  </si>
  <si>
    <t>Dwayne Turpin</t>
  </si>
  <si>
    <t>Paul Wilde</t>
  </si>
  <si>
    <t>Collin Terry</t>
  </si>
  <si>
    <t>Rose Haven</t>
  </si>
  <si>
    <t>Matthew McClure</t>
  </si>
  <si>
    <t>Samuel Schwartz</t>
  </si>
  <si>
    <t>David Campbell</t>
  </si>
  <si>
    <t>Dirk Martin</t>
  </si>
  <si>
    <t>Matthew O'Meara</t>
  </si>
  <si>
    <t>Erik Rojas</t>
  </si>
  <si>
    <t>Chris Simmonds</t>
  </si>
  <si>
    <t>Randy Searle</t>
  </si>
  <si>
    <t>Carlos Hanson</t>
  </si>
  <si>
    <t>Michael Babb</t>
  </si>
  <si>
    <t>Melissa von Lutzow</t>
  </si>
  <si>
    <t>Joseph Edmondson</t>
  </si>
  <si>
    <t>Ivan Valenzuela</t>
  </si>
  <si>
    <t>Rex Cooper</t>
  </si>
  <si>
    <t>Richard Burnworth</t>
  </si>
  <si>
    <t>Kenneth Nekotani</t>
  </si>
  <si>
    <t>Nakoyiss Jackson</t>
  </si>
  <si>
    <t>Sheridan Lake</t>
  </si>
  <si>
    <t>Henry Byrd</t>
  </si>
  <si>
    <t>John Broggi</t>
  </si>
  <si>
    <t>Jose Trujillo</t>
  </si>
  <si>
    <t>Keoni Pang</t>
  </si>
  <si>
    <t>Randy Arvelo</t>
  </si>
  <si>
    <t>Eric Rosales</t>
  </si>
  <si>
    <t>Valentin Pierre</t>
  </si>
  <si>
    <t>Wayne Mignogna</t>
  </si>
  <si>
    <t>Michael Guiliano</t>
  </si>
  <si>
    <t>Ryan Whitlock</t>
  </si>
  <si>
    <t>Mayri Lopez</t>
  </si>
  <si>
    <t>John Martelli</t>
  </si>
  <si>
    <t>Dan Larkin</t>
  </si>
  <si>
    <t>Jon Rasmussen</t>
  </si>
  <si>
    <t>Ryan Prothro</t>
  </si>
  <si>
    <t>Cameron Adamson</t>
  </si>
  <si>
    <t>Jake Butler</t>
  </si>
  <si>
    <t>Nathan Riddell</t>
  </si>
  <si>
    <t>Lee Draper</t>
  </si>
  <si>
    <t>Glenn Simmonds</t>
  </si>
  <si>
    <t>Jack Aranya</t>
  </si>
  <si>
    <t>Michael Sullivan</t>
  </si>
  <si>
    <t>Geoffrey Horvath</t>
  </si>
  <si>
    <t>Kevin Delabahan</t>
  </si>
  <si>
    <t>Daniel Field</t>
  </si>
  <si>
    <t>Drew Guzman</t>
  </si>
  <si>
    <t>Teresa Garcia</t>
  </si>
  <si>
    <t>Tatum Drecksel</t>
  </si>
  <si>
    <t>Jeri Anderson</t>
  </si>
  <si>
    <t>Phillip Garcia</t>
  </si>
  <si>
    <t>Trevor Goderum</t>
  </si>
  <si>
    <t>Andrew Jordan</t>
  </si>
  <si>
    <t>Sean Pearce</t>
  </si>
  <si>
    <t>Ruben Del Valle</t>
  </si>
  <si>
    <t>Gregory Carey</t>
  </si>
  <si>
    <t>Nick Patel</t>
  </si>
  <si>
    <t>Brandon Solomon</t>
  </si>
  <si>
    <t>Becky Hendrix</t>
  </si>
  <si>
    <t>Tasha White</t>
  </si>
  <si>
    <t>Bill Flahive</t>
  </si>
  <si>
    <t>Richard DeMauro</t>
  </si>
  <si>
    <t>Alfred Rascon</t>
  </si>
  <si>
    <t>Jacob Miller</t>
  </si>
  <si>
    <t>Desiree McQueen</t>
  </si>
  <si>
    <t>Zeke Coronado</t>
  </si>
  <si>
    <t>Parrish Tatum</t>
  </si>
  <si>
    <t>Matthew Crickmore</t>
  </si>
  <si>
    <t>Nick TenBarge</t>
  </si>
  <si>
    <t>Glen Dauman</t>
  </si>
  <si>
    <t>William Silberfeld</t>
  </si>
  <si>
    <t>Randy Campbell</t>
  </si>
  <si>
    <t>Diana Jurado</t>
  </si>
  <si>
    <t>Will Cantwell</t>
  </si>
  <si>
    <t>Barry Anderson</t>
  </si>
  <si>
    <t>Diana Bayer</t>
  </si>
  <si>
    <t>Anton Strihic</t>
  </si>
  <si>
    <t>Ryan Coakley</t>
  </si>
  <si>
    <t>Elizabeth Darby</t>
  </si>
  <si>
    <t>Jesus Lopez</t>
  </si>
  <si>
    <t>William Willard</t>
  </si>
  <si>
    <t>Marc Zetoff</t>
  </si>
  <si>
    <t>David Beskind</t>
  </si>
  <si>
    <t>Nathan Alexander</t>
  </si>
  <si>
    <t>Griffin Murray</t>
  </si>
  <si>
    <t>Stephen Brown</t>
  </si>
  <si>
    <t>Tyler Schwartz</t>
  </si>
  <si>
    <t>Ty Howell</t>
  </si>
  <si>
    <t>Carol Harry</t>
  </si>
  <si>
    <t>Steve Cohen</t>
  </si>
  <si>
    <t>George Fallica</t>
  </si>
  <si>
    <t>Mario Vazquez</t>
  </si>
  <si>
    <t>Seth Rea</t>
  </si>
  <si>
    <t>Jared Murphy</t>
  </si>
  <si>
    <t>Carl Milliman</t>
  </si>
  <si>
    <t>Stan Dotts</t>
  </si>
  <si>
    <t>Juan Martinez</t>
  </si>
  <si>
    <t>Dawn Longoria</t>
  </si>
  <si>
    <t>Mario Garcia</t>
  </si>
  <si>
    <t>Paul Emfield</t>
  </si>
  <si>
    <t>Ryan Dang</t>
  </si>
  <si>
    <t>Giancarlo Sapelli</t>
  </si>
  <si>
    <t>Aimee Pahl</t>
  </si>
  <si>
    <t>Christian Steigelmann</t>
  </si>
  <si>
    <t>Jordan Farr</t>
  </si>
  <si>
    <t>Marissa Frost</t>
  </si>
  <si>
    <t>Cameron Kerkar</t>
  </si>
  <si>
    <t>Chris Wheeler</t>
  </si>
  <si>
    <t>Eric Schwantes</t>
  </si>
  <si>
    <t>Ryan Myers</t>
  </si>
  <si>
    <t>Jacque Bond</t>
  </si>
  <si>
    <t>Paulette Bilella</t>
  </si>
  <si>
    <t>Michael Talone</t>
  </si>
  <si>
    <t>Aaron Osborne</t>
  </si>
  <si>
    <t>Steve von Lutzow</t>
  </si>
  <si>
    <t>Edward Morgan</t>
  </si>
  <si>
    <t>Charles Strange</t>
  </si>
  <si>
    <t>Chris Allison</t>
  </si>
  <si>
    <t>Lane Nash</t>
  </si>
  <si>
    <t>Daniel Buchanan</t>
  </si>
  <si>
    <t>Austin Coburn</t>
  </si>
  <si>
    <t>Sam Rade</t>
  </si>
  <si>
    <t>Kenneth James</t>
  </si>
  <si>
    <t>Sosiua Vamanrav</t>
  </si>
  <si>
    <t>Matthew Faria</t>
  </si>
  <si>
    <t>Alice Forquer</t>
  </si>
  <si>
    <t>David Moser</t>
  </si>
  <si>
    <t>Mariah Machado</t>
  </si>
  <si>
    <t>Mike Reeves</t>
  </si>
  <si>
    <t>Justin Lynch</t>
  </si>
  <si>
    <t>Jeff Rasmussen</t>
  </si>
  <si>
    <t>Luis Rios</t>
  </si>
  <si>
    <t>Matt Matsuda</t>
  </si>
  <si>
    <t>Nathan Vascones</t>
  </si>
  <si>
    <t>Sufyan Ottman</t>
  </si>
  <si>
    <t>Ershad Mahmood</t>
  </si>
  <si>
    <t>Rob Willbrant</t>
  </si>
  <si>
    <t>Greg Allen</t>
  </si>
  <si>
    <t>Trey Zelaya</t>
  </si>
  <si>
    <t>Shaneequa Burrell</t>
  </si>
  <si>
    <t>Logan Nikolaus</t>
  </si>
  <si>
    <t>Justin Burns</t>
  </si>
  <si>
    <t>Cory Risnes</t>
  </si>
  <si>
    <t>Brittanie Friend</t>
  </si>
  <si>
    <t>Alyssa Recinos</t>
  </si>
  <si>
    <t>Tom DeBenedetto</t>
  </si>
  <si>
    <t>Alisha Yackley</t>
  </si>
  <si>
    <t>Niko Borrelli</t>
  </si>
  <si>
    <t>Ka'ili Wells</t>
  </si>
  <si>
    <t>Ari Pine</t>
  </si>
  <si>
    <t>Austin Alexander</t>
  </si>
  <si>
    <t>Ryan Laney</t>
  </si>
  <si>
    <t>John Glinski Sr.</t>
  </si>
  <si>
    <t>Patrick Pierce</t>
  </si>
  <si>
    <t>Josh Karp</t>
  </si>
  <si>
    <t>Rick Gleason</t>
  </si>
  <si>
    <t>Joseph Benvenuto</t>
  </si>
  <si>
    <t>Crystal Sadlon</t>
  </si>
  <si>
    <t>Spencer Marcum</t>
  </si>
  <si>
    <t>Justin Perras</t>
  </si>
  <si>
    <t>Clarence Henning</t>
  </si>
  <si>
    <t>Jose Angel Zazueta</t>
  </si>
  <si>
    <t>Conrad Efaw</t>
  </si>
  <si>
    <t>Roddy Hanson</t>
  </si>
  <si>
    <t>Bruce Serkes</t>
  </si>
  <si>
    <t>Glenn Campbell</t>
  </si>
  <si>
    <t>Leah Daggett</t>
  </si>
  <si>
    <t>Ben Loertscher</t>
  </si>
  <si>
    <t>Steele Blue</t>
  </si>
  <si>
    <t>Joseph Auclair</t>
  </si>
  <si>
    <t>Sean Hoskins</t>
  </si>
  <si>
    <t>Jon Benninger</t>
  </si>
  <si>
    <t>Michael Campbell</t>
  </si>
  <si>
    <t>Adam Donovan</t>
  </si>
  <si>
    <t>Nick Lauver</t>
  </si>
  <si>
    <t>Sean Moriarity</t>
  </si>
  <si>
    <t>Keagan Parker</t>
  </si>
  <si>
    <t>James Bullock</t>
  </si>
  <si>
    <t>Donald Taylor</t>
  </si>
  <si>
    <t>Aaron Jackson</t>
  </si>
  <si>
    <t>David Brown</t>
  </si>
  <si>
    <t>Shawn Bennett</t>
  </si>
  <si>
    <t>Jack McWilliams</t>
  </si>
  <si>
    <t>Aaron Mott</t>
  </si>
  <si>
    <t>William Hutchens</t>
  </si>
  <si>
    <t>Sadie Harlow</t>
  </si>
  <si>
    <t>Trevor McGuire</t>
  </si>
  <si>
    <t>Zak Haws</t>
  </si>
  <si>
    <t>Jessica Moon</t>
  </si>
  <si>
    <t>Omar Mares</t>
  </si>
  <si>
    <t>Mike Halliday</t>
  </si>
  <si>
    <t>Marcus Adams</t>
  </si>
  <si>
    <t>Tanner Baldwin</t>
  </si>
  <si>
    <t>Nathan Smith</t>
  </si>
  <si>
    <t>Ryan Warren</t>
  </si>
  <si>
    <t>Steve Harkness</t>
  </si>
  <si>
    <t>Rachel Chapman</t>
  </si>
  <si>
    <t>Brent Plyler</t>
  </si>
  <si>
    <t>Kyle Holmberg</t>
  </si>
  <si>
    <t>Steven Johnson</t>
  </si>
  <si>
    <t>Drake Pearson</t>
  </si>
  <si>
    <t>Jeremy Haywood</t>
  </si>
  <si>
    <t>Harrison Moore</t>
  </si>
  <si>
    <t>Deepak Singh</t>
  </si>
  <si>
    <t>Evan Holenko</t>
  </si>
  <si>
    <t>Yosef Ali</t>
  </si>
  <si>
    <t>Annette Vigil</t>
  </si>
  <si>
    <t>Dylan Myers</t>
  </si>
  <si>
    <t>Andrew Leone</t>
  </si>
  <si>
    <t>Randy Rezendes</t>
  </si>
  <si>
    <t>Daniel Swick</t>
  </si>
  <si>
    <t>Taylor Johnston</t>
  </si>
  <si>
    <t>Baron Johnson</t>
  </si>
  <si>
    <t>Michael Ruefenacht</t>
  </si>
  <si>
    <t>Damian Garcia</t>
  </si>
  <si>
    <t>Pedro Mendoza</t>
  </si>
  <si>
    <t>Kyle Chadwick</t>
  </si>
  <si>
    <t>Devry Dixon</t>
  </si>
  <si>
    <t>Victor Hibbard</t>
  </si>
  <si>
    <t>Tim Bockelman</t>
  </si>
  <si>
    <t>Vince Murphy</t>
  </si>
  <si>
    <t>James Verbic</t>
  </si>
  <si>
    <t>Jason Richters</t>
  </si>
  <si>
    <t>Keegan Acker</t>
  </si>
  <si>
    <t>Justin Land</t>
  </si>
  <si>
    <t>Matt Macdonald</t>
  </si>
  <si>
    <t>Tayler Waddell</t>
  </si>
  <si>
    <t>Cody Anderson</t>
  </si>
  <si>
    <t>Mario West</t>
  </si>
  <si>
    <t>Omar Lopez</t>
  </si>
  <si>
    <t>Joe Schumann</t>
  </si>
  <si>
    <t>Juan Fuentes</t>
  </si>
  <si>
    <t>Kevin McClain</t>
  </si>
  <si>
    <t>Derek McAllister</t>
  </si>
  <si>
    <t>Michael Alvarez</t>
  </si>
  <si>
    <t>Joel Burrell</t>
  </si>
  <si>
    <t>Robin Skelton</t>
  </si>
  <si>
    <t>Kevin Black</t>
  </si>
  <si>
    <t>Peter Elmore</t>
  </si>
  <si>
    <t>Krystal Thompson</t>
  </si>
  <si>
    <t>Jennifer Ashby</t>
  </si>
  <si>
    <t>Taylor Tribett</t>
  </si>
  <si>
    <t>Stacy Rutstein</t>
  </si>
  <si>
    <t>Kevin Interiano</t>
  </si>
  <si>
    <t>Samuel Yarmagyam</t>
  </si>
  <si>
    <t>Nick Melikyan</t>
  </si>
  <si>
    <t>Nate Coffey</t>
  </si>
  <si>
    <t>Caleb Dixon</t>
  </si>
  <si>
    <t>Geoff Sheridan</t>
  </si>
  <si>
    <t>Enrique Rodriguez</t>
  </si>
  <si>
    <t>Tom Fuhriman</t>
  </si>
  <si>
    <t>Alex Marsden</t>
  </si>
  <si>
    <t>Sylvester Grant</t>
  </si>
  <si>
    <t>Rocio Ruiz</t>
  </si>
  <si>
    <t>Adam Huebner</t>
  </si>
  <si>
    <t>Terence Kraft</t>
  </si>
  <si>
    <t>Trevor Kaplan</t>
  </si>
  <si>
    <t>Eric Castillo</t>
  </si>
  <si>
    <t>Craig Schambach</t>
  </si>
  <si>
    <t>Jason Ko</t>
  </si>
  <si>
    <t>Josh Durling</t>
  </si>
  <si>
    <t>Josh Mainord</t>
  </si>
  <si>
    <t>Christine Luker</t>
  </si>
  <si>
    <t>Brandon Beard</t>
  </si>
  <si>
    <t>Lyndon Cadiz</t>
  </si>
  <si>
    <t>Steven Maher</t>
  </si>
  <si>
    <t>Trevor Buckingham</t>
  </si>
  <si>
    <t>Bryant Grant</t>
  </si>
  <si>
    <t>Stephanie Christensen</t>
  </si>
  <si>
    <t>Petra Alva</t>
  </si>
  <si>
    <t>Chaz Totschek</t>
  </si>
  <si>
    <t>Rep_ID</t>
  </si>
  <si>
    <t>Date</t>
  </si>
  <si>
    <t>rep_id</t>
  </si>
  <si>
    <t>date</t>
  </si>
  <si>
    <t>payment_sum</t>
  </si>
  <si>
    <t>Customer</t>
  </si>
  <si>
    <t>Y</t>
  </si>
  <si>
    <t>Reyes Avila Castillo</t>
  </si>
  <si>
    <t>JB-8504469-00</t>
  </si>
  <si>
    <t>Wilma Y Tohena</t>
  </si>
  <si>
    <t>JB-061401-00</t>
  </si>
  <si>
    <t>Marlene Wolthuis</t>
  </si>
  <si>
    <t>JB-8504662-00</t>
  </si>
  <si>
    <t>Manuel Venega</t>
  </si>
  <si>
    <t>JB-85310716-00</t>
  </si>
  <si>
    <t>Jose Taveras</t>
  </si>
  <si>
    <t>JB-1172799-00</t>
  </si>
  <si>
    <t>Elsa Bacigalupo</t>
  </si>
  <si>
    <t>JB-013196-00</t>
  </si>
  <si>
    <t>Charles Lim</t>
  </si>
  <si>
    <t>JB-9514254-00</t>
  </si>
  <si>
    <t>Marlee Wertin</t>
  </si>
  <si>
    <t>Patrick Stults</t>
  </si>
  <si>
    <t>JB-85310655-00</t>
  </si>
  <si>
    <t>Maria Romero</t>
  </si>
  <si>
    <t>JB-8574135-00</t>
  </si>
  <si>
    <t>Donald Arsenault</t>
  </si>
  <si>
    <t>JB-8513415-00</t>
  </si>
  <si>
    <t>James Kostiuk</t>
  </si>
  <si>
    <t>JB-9572766-00</t>
  </si>
  <si>
    <t>Gerald Marmillo</t>
  </si>
  <si>
    <t>JB-1201271-00</t>
  </si>
  <si>
    <t>Deanna Penzkofer</t>
  </si>
  <si>
    <t>JB-85310517-00</t>
  </si>
  <si>
    <t>Don Taylor</t>
  </si>
  <si>
    <t>JB-9335019-00</t>
  </si>
  <si>
    <t>Glenn Christensen</t>
  </si>
  <si>
    <t>JB-9572784-00</t>
  </si>
  <si>
    <t>Ethel Matthews</t>
  </si>
  <si>
    <t>JB-8574321-00</t>
  </si>
  <si>
    <t>Lucy Igna</t>
  </si>
  <si>
    <t>JB-85310727-00</t>
  </si>
  <si>
    <t>Julie Smith</t>
  </si>
  <si>
    <t>JB-9701844-00</t>
  </si>
  <si>
    <t>Mindy Engel</t>
  </si>
  <si>
    <t>JB-8504609-00</t>
  </si>
  <si>
    <t>JB-9572717-00</t>
  </si>
  <si>
    <t/>
  </si>
  <si>
    <t>Roberto Garcia</t>
  </si>
  <si>
    <t>JB-85310315-00</t>
  </si>
  <si>
    <t>Gerald Ottavino</t>
  </si>
  <si>
    <t>JB-1151147-00</t>
  </si>
  <si>
    <t>Sandra Lepp</t>
  </si>
  <si>
    <t>JB-9701860-00</t>
  </si>
  <si>
    <t>Wendy Hogan</t>
  </si>
  <si>
    <t>JB-9205729-00</t>
  </si>
  <si>
    <t>William Dwojakowski</t>
  </si>
  <si>
    <t>JB-123585-00</t>
  </si>
  <si>
    <t>Jim Cluff</t>
  </si>
  <si>
    <t>JB-8504447-00</t>
  </si>
  <si>
    <t>Jenny Warfield</t>
  </si>
  <si>
    <t>JB-9701858-00</t>
  </si>
  <si>
    <t>Carrie Marstall</t>
  </si>
  <si>
    <t>JB-9722382-00</t>
  </si>
  <si>
    <t>JB-1172730-00</t>
  </si>
  <si>
    <t>LeGrand Rogers</t>
  </si>
  <si>
    <t>JB-9566870-00</t>
  </si>
  <si>
    <t>Douglas J West</t>
  </si>
  <si>
    <t>JB-85310602-00</t>
  </si>
  <si>
    <t>Emilee Bellows</t>
  </si>
  <si>
    <t>JB-8526682-00</t>
  </si>
  <si>
    <t>Kelli Carpenter</t>
  </si>
  <si>
    <t>JB-9572732-00</t>
  </si>
  <si>
    <t>Jared Shroyer</t>
  </si>
  <si>
    <t>JB-8504532-00</t>
  </si>
  <si>
    <t>Daniel Peterson</t>
  </si>
  <si>
    <t>JB-8527095-00</t>
  </si>
  <si>
    <t>Thomas flaherty</t>
  </si>
  <si>
    <t>JB-85310756-00</t>
  </si>
  <si>
    <t>Dennis Underwood</t>
  </si>
  <si>
    <t>JB-9334997-00</t>
  </si>
  <si>
    <t>Bryan Guy</t>
  </si>
  <si>
    <t>JB-9593119-00</t>
  </si>
  <si>
    <t>Ming Hung</t>
  </si>
  <si>
    <t>JB-9572787-00</t>
  </si>
  <si>
    <t>Raychiel Craven</t>
  </si>
  <si>
    <t>JB-9572795-00</t>
  </si>
  <si>
    <t>Randolph Cordova</t>
  </si>
  <si>
    <t>JB-8513372-00</t>
  </si>
  <si>
    <t>James Martinez</t>
  </si>
  <si>
    <t>JB-9335013-00</t>
  </si>
  <si>
    <t>Sharon Elliott</t>
  </si>
  <si>
    <t>JB-8504438-00</t>
  </si>
  <si>
    <t>Efrain Gomez</t>
  </si>
  <si>
    <t>JB-8526881-00</t>
  </si>
  <si>
    <t>Joe Butler</t>
  </si>
  <si>
    <t>JB-9572869-00</t>
  </si>
  <si>
    <t>Victor Gonzalez</t>
  </si>
  <si>
    <t>JB-8504511-00</t>
  </si>
  <si>
    <t>Cynthia Lowry</t>
  </si>
  <si>
    <t>JB-85310339-00</t>
  </si>
  <si>
    <t>Kenneth Luu</t>
  </si>
  <si>
    <t>JB-9192699-00</t>
  </si>
  <si>
    <t>Lynn Godfrey</t>
  </si>
  <si>
    <t>JB-9701867-00</t>
  </si>
  <si>
    <t>George San Agustin</t>
  </si>
  <si>
    <t>JB-9071314-00</t>
  </si>
  <si>
    <t>Patrick Montoyo</t>
  </si>
  <si>
    <t>JB-8574278-00</t>
  </si>
  <si>
    <t>Erik Sargent</t>
  </si>
  <si>
    <t>JB-9722374-00</t>
  </si>
  <si>
    <t>Alvin Ilano</t>
  </si>
  <si>
    <t>JB-9572719-00</t>
  </si>
  <si>
    <t>Jessica Brewer</t>
  </si>
  <si>
    <t>JB-8574072-00</t>
  </si>
  <si>
    <t>Gale Taylor</t>
  </si>
  <si>
    <t>JB-9335018-00</t>
  </si>
  <si>
    <t>Allen Ayotte</t>
  </si>
  <si>
    <t>JB-1201277-00</t>
  </si>
  <si>
    <t>Patricia Wangerman</t>
  </si>
  <si>
    <t>JB-1151193-00</t>
  </si>
  <si>
    <t>John Burda</t>
  </si>
  <si>
    <t>JB-0601601-00</t>
  </si>
  <si>
    <t>Dannette Schumann</t>
  </si>
  <si>
    <t>JB-9701874-00</t>
  </si>
  <si>
    <t>Cheryl Ortner</t>
  </si>
  <si>
    <t>JB-9722350-00</t>
  </si>
  <si>
    <t>Karl Bright</t>
  </si>
  <si>
    <t>JB-85310523-00</t>
  </si>
  <si>
    <t>Steven Rosales</t>
  </si>
  <si>
    <t>JB-8574386-00</t>
  </si>
  <si>
    <t>Laura Plante</t>
  </si>
  <si>
    <t>JB-9572763-00</t>
  </si>
  <si>
    <t>Aladino Rodriguez</t>
  </si>
  <si>
    <t>JB-070836-00</t>
  </si>
  <si>
    <t>Francisco Trujillo</t>
  </si>
  <si>
    <t>JB-8574403-00</t>
  </si>
  <si>
    <t>Vern Stoneback</t>
  </si>
  <si>
    <t>JB-9701896-00</t>
  </si>
  <si>
    <t>Helen Espy</t>
  </si>
  <si>
    <t>JB-9363384-00</t>
  </si>
  <si>
    <t>David Lucas</t>
  </si>
  <si>
    <t>JB-0802541-00</t>
  </si>
  <si>
    <t>Jennifer Cartinella</t>
  </si>
  <si>
    <t>JB-9567318-00</t>
  </si>
  <si>
    <t>Melvina Campbell</t>
  </si>
  <si>
    <t>JB-061387-00</t>
  </si>
  <si>
    <t>Fernando Sanchez</t>
  </si>
  <si>
    <t>JB-9522033-00</t>
  </si>
  <si>
    <t>Debra Rothwell</t>
  </si>
  <si>
    <t>JB-8527066-00</t>
  </si>
  <si>
    <t>Michael Zhu</t>
  </si>
  <si>
    <t>JB-1172673-00</t>
  </si>
  <si>
    <t>Denise Rossi</t>
  </si>
  <si>
    <t>JB-1172696-00</t>
  </si>
  <si>
    <t>August politano</t>
  </si>
  <si>
    <t>JB-1172637-00</t>
  </si>
  <si>
    <t>Cindi Diaz</t>
  </si>
  <si>
    <t>JB-1172748-00</t>
  </si>
  <si>
    <t>Daniel Muñoz</t>
  </si>
  <si>
    <t>JB-85310734-00</t>
  </si>
  <si>
    <t>JB-9335020-00</t>
  </si>
  <si>
    <t>Karen Rader</t>
  </si>
  <si>
    <t>JB-9567213-00</t>
  </si>
  <si>
    <t>Jaren Murphy</t>
  </si>
  <si>
    <t>JB-8526894-00</t>
  </si>
  <si>
    <t>Mary Chan</t>
  </si>
  <si>
    <t>JB-9572720-00</t>
  </si>
  <si>
    <t>Justin Thompson</t>
  </si>
  <si>
    <t>JB-8526673-00</t>
  </si>
  <si>
    <t>Darryl Gill</t>
  </si>
  <si>
    <t>JB-94512028-00</t>
  </si>
  <si>
    <t>Chris Fantl</t>
  </si>
  <si>
    <t>JB-9593190-00</t>
  </si>
  <si>
    <t>Roberto Peralta</t>
  </si>
  <si>
    <t>JB-8574384-00</t>
  </si>
  <si>
    <t>Debra Driggs</t>
  </si>
  <si>
    <t>JB-9567098-00</t>
  </si>
  <si>
    <t>Lucas Duncan</t>
  </si>
  <si>
    <t>JB-8561179-00</t>
  </si>
  <si>
    <t>Jose Quintana</t>
  </si>
  <si>
    <t>JB-9582299-00</t>
  </si>
  <si>
    <t>Matthew Buechner</t>
  </si>
  <si>
    <t>JB-9567147-00</t>
  </si>
  <si>
    <t>Rolando Pagcaliwagan</t>
  </si>
  <si>
    <t>JB-076244-00</t>
  </si>
  <si>
    <t>Leslie Armstrong</t>
  </si>
  <si>
    <t>JB-1211049-00</t>
  </si>
  <si>
    <t>Javier Romero</t>
  </si>
  <si>
    <t>JB-85310661-00</t>
  </si>
  <si>
    <t>Kathy Pierce</t>
  </si>
  <si>
    <t>JB-9363303-00</t>
  </si>
  <si>
    <t>Hanru Lo</t>
  </si>
  <si>
    <t>JB-94512053-00</t>
  </si>
  <si>
    <t>Chuck Taylor</t>
  </si>
  <si>
    <t>JB-9514039-00</t>
  </si>
  <si>
    <t>JB-075049-00</t>
  </si>
  <si>
    <t>Sunkeshari Pradhan</t>
  </si>
  <si>
    <t>JB-1172603-00</t>
  </si>
  <si>
    <t>Daniel Andersen</t>
  </si>
  <si>
    <t>JB-9722387-00</t>
  </si>
  <si>
    <t>Bruce Rohde</t>
  </si>
  <si>
    <t>JB-9373210-00</t>
  </si>
  <si>
    <t>Denise Dashiell</t>
  </si>
  <si>
    <t>JB-9522293-00</t>
  </si>
  <si>
    <t>Marc Aldridge</t>
  </si>
  <si>
    <t>JB-9567089-00</t>
  </si>
  <si>
    <t>James Battin</t>
  </si>
  <si>
    <t>JB-9572810-00</t>
  </si>
  <si>
    <t>Marsha Scoles</t>
  </si>
  <si>
    <t>JB-9567223-00</t>
  </si>
  <si>
    <t>Leonard Woehler</t>
  </si>
  <si>
    <t>JB-9567140-00</t>
  </si>
  <si>
    <t>Jennifer Locken</t>
  </si>
  <si>
    <t>JB-9567165-00</t>
  </si>
  <si>
    <t>Shannon Lange</t>
  </si>
  <si>
    <t>JB-9572852-00</t>
  </si>
  <si>
    <t>Jackie Hansen</t>
  </si>
  <si>
    <t>JB-9593278-00</t>
  </si>
  <si>
    <t>Linda Wilson</t>
  </si>
  <si>
    <t>JB-9582373-00</t>
  </si>
  <si>
    <t>Starla Perlta</t>
  </si>
  <si>
    <t>JB-9567196-00</t>
  </si>
  <si>
    <t>Zollie Hill</t>
  </si>
  <si>
    <t>JB-9071304-00</t>
  </si>
  <si>
    <t>Athena Rivera</t>
  </si>
  <si>
    <t>JB-8504649-00</t>
  </si>
  <si>
    <t>Marni Poppick</t>
  </si>
  <si>
    <t>JB-9572797-00</t>
  </si>
  <si>
    <t>Richard D Mikulak</t>
  </si>
  <si>
    <t>JB-971828-00</t>
  </si>
  <si>
    <t>Michael Audens</t>
  </si>
  <si>
    <t>JB-9701852-00</t>
  </si>
  <si>
    <t>Andrew Benson</t>
  </si>
  <si>
    <t>JB-8526552-00</t>
  </si>
  <si>
    <t>Olufunlol Ogunwumiji</t>
  </si>
  <si>
    <t>JB-2071972-00</t>
  </si>
  <si>
    <t>Rommel De Guzman</t>
  </si>
  <si>
    <t>JB-9522126-00</t>
  </si>
  <si>
    <t>Shelton Willis</t>
  </si>
  <si>
    <t>JB-94512157-00</t>
  </si>
  <si>
    <t>Nicholas Galletti</t>
  </si>
  <si>
    <t>JB-118219-00</t>
  </si>
  <si>
    <t>Stacia Brethen</t>
  </si>
  <si>
    <t>JB-8513319-00</t>
  </si>
  <si>
    <t>Rolly Gelisanga</t>
  </si>
  <si>
    <t>JB-9522090-00</t>
  </si>
  <si>
    <t>Bill Jantzen</t>
  </si>
  <si>
    <t>JB-9572817-00</t>
  </si>
  <si>
    <t>Julio Garcia</t>
  </si>
  <si>
    <t>JB-9566893-00</t>
  </si>
  <si>
    <t>Mikhael D Lombard</t>
  </si>
  <si>
    <t>JB-9572740-00</t>
  </si>
  <si>
    <t>Raul Lopez</t>
  </si>
  <si>
    <t>JB-85310644-00</t>
  </si>
  <si>
    <t>Luis  A Perez</t>
  </si>
  <si>
    <t>JB-061359-00</t>
  </si>
  <si>
    <t>Ryan N Eriksson</t>
  </si>
  <si>
    <t>JB-061343-00</t>
  </si>
  <si>
    <t>Grace Blaney</t>
  </si>
  <si>
    <t>JB-1172665-00</t>
  </si>
  <si>
    <t>Ralph Botwinick</t>
  </si>
  <si>
    <t>JB-9701869-00</t>
  </si>
  <si>
    <t>JB-1172658-00</t>
  </si>
  <si>
    <t>Denise Myers</t>
  </si>
  <si>
    <t>JB-9572734-00</t>
  </si>
  <si>
    <t>Lorin Farr</t>
  </si>
  <si>
    <t>JB-9566943-00</t>
  </si>
  <si>
    <t>Ray Zink</t>
  </si>
  <si>
    <t>JB-9567016-00</t>
  </si>
  <si>
    <t>JB-9567011-00</t>
  </si>
  <si>
    <t>Rick Havey</t>
  </si>
  <si>
    <t>JB-9572709-00</t>
  </si>
  <si>
    <t>James A Tobias</t>
  </si>
  <si>
    <t>JB-85310438-00</t>
  </si>
  <si>
    <t>Mike Cabatingan</t>
  </si>
  <si>
    <t>JB-9071303-00</t>
  </si>
  <si>
    <t>Jeremiah Keator</t>
  </si>
  <si>
    <t>JB-8526916-00</t>
  </si>
  <si>
    <t>Chris Metzger</t>
  </si>
  <si>
    <t>JB-8574219-00</t>
  </si>
  <si>
    <t>Esperanza Rivas</t>
  </si>
  <si>
    <t>JB-8504494-00</t>
  </si>
  <si>
    <t>Balhar Sanghera</t>
  </si>
  <si>
    <t>JB-9572678-00</t>
  </si>
  <si>
    <t>Melissa Victoria</t>
  </si>
  <si>
    <t>JB-8574169-00</t>
  </si>
  <si>
    <t>Emilio Cruz</t>
  </si>
  <si>
    <t>JB-85310521-00</t>
  </si>
  <si>
    <t>JB-9572806-00</t>
  </si>
  <si>
    <t xml:space="preserve"> Marcia Murray</t>
  </si>
  <si>
    <t>JB-9335016-00</t>
  </si>
  <si>
    <t>Steve Wurzburg</t>
  </si>
  <si>
    <t>JB-9404649-00</t>
  </si>
  <si>
    <t>JB-9567127-00</t>
  </si>
  <si>
    <t>JB-9572791-00</t>
  </si>
  <si>
    <t>Jolie Vincent</t>
  </si>
  <si>
    <t>JB-9566956-00</t>
  </si>
  <si>
    <t>Edward Freeman</t>
  </si>
  <si>
    <t>JB-8574077-00</t>
  </si>
  <si>
    <t>Jennifer LaMoria</t>
  </si>
  <si>
    <t>JB-8513304-00</t>
  </si>
  <si>
    <t>John Terrill</t>
  </si>
  <si>
    <t>JB-0631922-00</t>
  </si>
  <si>
    <t>Luella Whitfield</t>
  </si>
  <si>
    <t>JB-9071320-00</t>
  </si>
  <si>
    <t>Julia Narvaez</t>
  </si>
  <si>
    <t>JB-9566954-00</t>
  </si>
  <si>
    <t>Ana Ramos</t>
  </si>
  <si>
    <t>JB-8504432-00</t>
  </si>
  <si>
    <t>Matthew Harrison</t>
  </si>
  <si>
    <t>JB-8526595-00</t>
  </si>
  <si>
    <t>Christine Richards</t>
  </si>
  <si>
    <t>JB-8527023-00</t>
  </si>
  <si>
    <t>Michael Kyro</t>
  </si>
  <si>
    <t>JB-9572703-00</t>
  </si>
  <si>
    <t>Yvette Caggiano</t>
  </si>
  <si>
    <t>JB-1172564-00</t>
  </si>
  <si>
    <t>Denise Reale</t>
  </si>
  <si>
    <t>JB-0601628-00</t>
  </si>
  <si>
    <t>Sherry Watson</t>
  </si>
  <si>
    <t>JB-85310484-00</t>
  </si>
  <si>
    <t>Lorne Zeni</t>
  </si>
  <si>
    <t>JB-9566904-00</t>
  </si>
  <si>
    <t>JB-0601665-00</t>
  </si>
  <si>
    <t>Laura Rivers</t>
  </si>
  <si>
    <t>JB-8526621-00</t>
  </si>
  <si>
    <t>Marc Eichenholtz</t>
  </si>
  <si>
    <t>JB-1151118-00</t>
  </si>
  <si>
    <t>Ruben Alvillar</t>
  </si>
  <si>
    <t>JB-8504414-00</t>
  </si>
  <si>
    <t>Robert Thomas</t>
  </si>
  <si>
    <t>JB-211568-00</t>
  </si>
  <si>
    <t>Allan Ricks</t>
  </si>
  <si>
    <t>JB-8526993-00</t>
  </si>
  <si>
    <t>Yoli Pena</t>
  </si>
  <si>
    <t>JB-8574138-00</t>
  </si>
  <si>
    <t>Pete Alvarez</t>
  </si>
  <si>
    <t>JB-8574184-00</t>
  </si>
  <si>
    <t>Dean Grivas</t>
  </si>
  <si>
    <t>JB-85310466-00</t>
  </si>
  <si>
    <t>Sampson Lopez</t>
  </si>
  <si>
    <t>JB-8574222-00</t>
  </si>
  <si>
    <t>Patricia Triana</t>
  </si>
  <si>
    <t>JB-8574133-00</t>
  </si>
  <si>
    <t>Margarita Zavala</t>
  </si>
  <si>
    <t>JB-8574280-00</t>
  </si>
  <si>
    <t>Rhett Akers</t>
  </si>
  <si>
    <t>JB-85310554-00</t>
  </si>
  <si>
    <t>Michael Zobel</t>
  </si>
  <si>
    <t>JB-9572690-00</t>
  </si>
  <si>
    <t>Melissa Rustong</t>
  </si>
  <si>
    <t>JB-9572688-00</t>
  </si>
  <si>
    <t>Kimson Harper</t>
  </si>
  <si>
    <t>JB-9572722-00</t>
  </si>
  <si>
    <t>Saba Arce</t>
  </si>
  <si>
    <t>JB-8526959-00</t>
  </si>
  <si>
    <t>Brisaney Vega</t>
  </si>
  <si>
    <t>JB-85310353-00</t>
  </si>
  <si>
    <t>Ron Wilson</t>
  </si>
  <si>
    <t>JB-9205615-00</t>
  </si>
  <si>
    <t>Adam Hill</t>
  </si>
  <si>
    <t>JB-8526548-00</t>
  </si>
  <si>
    <t>Favian Magallanes</t>
  </si>
  <si>
    <t>JB-8504455-00</t>
  </si>
  <si>
    <t>Salvatore Tese</t>
  </si>
  <si>
    <t>JB-1172534-00</t>
  </si>
  <si>
    <t>Michael Keator</t>
  </si>
  <si>
    <t>JB-8513191-00</t>
  </si>
  <si>
    <t>Diane Lavalee</t>
  </si>
  <si>
    <t>JB-8504525-00</t>
  </si>
  <si>
    <t>Nilsa Afre</t>
  </si>
  <si>
    <t>JB-85310275-00</t>
  </si>
  <si>
    <t>Erica Gastelum</t>
  </si>
  <si>
    <t>JB-8504420-00</t>
  </si>
  <si>
    <t>Pam Stevenson</t>
  </si>
  <si>
    <t>JB-8526635-00</t>
  </si>
  <si>
    <t>Marshall Gurian</t>
  </si>
  <si>
    <t>JB-8526686-00</t>
  </si>
  <si>
    <t>Laurence Maupin</t>
  </si>
  <si>
    <t>JB-8526667-00</t>
  </si>
  <si>
    <t>Salvador Perez</t>
  </si>
  <si>
    <t>JB-85310332-00</t>
  </si>
  <si>
    <t>Randolph Carter</t>
  </si>
  <si>
    <t>JB-8526663-00</t>
  </si>
  <si>
    <t>Eugene Sycz</t>
  </si>
  <si>
    <t>JB-8526805-00</t>
  </si>
  <si>
    <t>Brandon Fish</t>
  </si>
  <si>
    <t>JB-8526849-00</t>
  </si>
  <si>
    <t>Christina McAllister</t>
  </si>
  <si>
    <t>JB-8526850-00</t>
  </si>
  <si>
    <t>Aaron King</t>
  </si>
  <si>
    <t>JB-8526865-00</t>
  </si>
  <si>
    <t>Phil Clark</t>
  </si>
  <si>
    <t>JB-8526966-00</t>
  </si>
  <si>
    <t>Lis Chmiel</t>
  </si>
  <si>
    <t>JB-070782-00</t>
  </si>
  <si>
    <t>JB-078210-00</t>
  </si>
  <si>
    <t>JB-070797-00</t>
  </si>
  <si>
    <t>Abraham Masaniai</t>
  </si>
  <si>
    <t>JB-927797-00</t>
  </si>
  <si>
    <t>JB-075051-00</t>
  </si>
  <si>
    <t>JB-088654-00</t>
  </si>
  <si>
    <t>Amber Burnett</t>
  </si>
  <si>
    <t>JB-9582319-00</t>
  </si>
  <si>
    <t>Widchero Cherident</t>
  </si>
  <si>
    <t>JB-85310515-00</t>
  </si>
  <si>
    <t>Isidro Moreno</t>
  </si>
  <si>
    <t>JB-1151140-00</t>
  </si>
  <si>
    <t>Arthur Gerst</t>
  </si>
  <si>
    <t>JB-9071308-00</t>
  </si>
  <si>
    <t>Marvin Auerbach</t>
  </si>
  <si>
    <t>JB-1172540-00</t>
  </si>
  <si>
    <t>Lawrence Friedmann</t>
  </si>
  <si>
    <t>JB-9191958-00</t>
  </si>
  <si>
    <t>Edna Wisyanski</t>
  </si>
  <si>
    <t>JB-0601617-00</t>
  </si>
  <si>
    <t>Niko Lockiby</t>
  </si>
  <si>
    <t>JB-0601670-00</t>
  </si>
  <si>
    <t>Katherine Conley</t>
  </si>
  <si>
    <t>JB-0601706-00</t>
  </si>
  <si>
    <t>Clarence Roberts</t>
  </si>
  <si>
    <t>JB-8527062-00</t>
  </si>
  <si>
    <t>James Mullen</t>
  </si>
  <si>
    <t>JB-0641133-00</t>
  </si>
  <si>
    <t>Armando Ibarra</t>
  </si>
  <si>
    <t>JB-9582341-00</t>
  </si>
  <si>
    <t>JB-077465-00</t>
  </si>
  <si>
    <t>JB-1151197-00</t>
  </si>
  <si>
    <t>Keith Whitlock</t>
  </si>
  <si>
    <t>JB-087459-00</t>
  </si>
  <si>
    <t>JB-1172708-00</t>
  </si>
  <si>
    <t>JB-0802524-00</t>
  </si>
  <si>
    <t>JB-9567006-00</t>
  </si>
  <si>
    <t>Maria Louisa Lopez</t>
  </si>
  <si>
    <t>JB-8574293-00</t>
  </si>
  <si>
    <t>Jessica Yekin</t>
  </si>
  <si>
    <t>JB-85310557-00</t>
  </si>
  <si>
    <t>JB-0802565-00</t>
  </si>
  <si>
    <t>JB-103052-00</t>
  </si>
  <si>
    <t>Elisa Garcia</t>
  </si>
  <si>
    <t>JB-8574552-00</t>
  </si>
  <si>
    <t>JB-075053-00</t>
  </si>
  <si>
    <t>JB-075054-00</t>
  </si>
  <si>
    <t>JB-1172778-00</t>
  </si>
  <si>
    <t>Frank Espinoza</t>
  </si>
  <si>
    <t>JB-8574490-00</t>
  </si>
  <si>
    <t>JB-1172753-00</t>
  </si>
  <si>
    <t>Juan Reyes</t>
  </si>
  <si>
    <t>JB-1172741-00</t>
  </si>
  <si>
    <t>Marjolie Sanders</t>
  </si>
  <si>
    <t>JB-1172746-00</t>
  </si>
  <si>
    <t>Jessica Shaffer</t>
  </si>
  <si>
    <t>JB-9566938-00</t>
  </si>
  <si>
    <t>JB-1172875-00</t>
  </si>
  <si>
    <t>JB-087464-00</t>
  </si>
  <si>
    <t>JB-103055-00</t>
  </si>
  <si>
    <t>Maria Pereira</t>
  </si>
  <si>
    <t>JB-1172834-00</t>
  </si>
  <si>
    <t>Brett Deboer</t>
  </si>
  <si>
    <t>JB-9522302-00</t>
  </si>
  <si>
    <t>David Eastman</t>
  </si>
  <si>
    <t>JB-9722384-00</t>
  </si>
  <si>
    <t>Alvaro Briceño</t>
  </si>
  <si>
    <t>JB-8504654-00</t>
  </si>
  <si>
    <t>Belinda Ziegman</t>
  </si>
  <si>
    <t>JB-85310753-00</t>
  </si>
  <si>
    <t>Edward Dysart</t>
  </si>
  <si>
    <t>JB-8527068-00</t>
  </si>
  <si>
    <t>yoni irias erazo</t>
  </si>
  <si>
    <t>JB-1172744-00</t>
  </si>
  <si>
    <t>John Berger</t>
  </si>
  <si>
    <t>JB-9593230-00</t>
  </si>
  <si>
    <t>Stacy Schaefer</t>
  </si>
  <si>
    <t>JB-9593247-00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</si>
  <si>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</si>
  <si>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</si>
  <si>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</si>
  <si>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</si>
  <si>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</si>
  <si>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</si>
  <si>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</si>
  <si>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</si>
  <si>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</si>
  <si>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</si>
  <si>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</si>
  <si>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</si>
  <si>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</si>
  <si>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</si>
  <si>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</si>
  <si>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</si>
  <si>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</si>
  <si>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Pending</t>
  </si>
  <si>
    <t>Overrides</t>
  </si>
  <si>
    <t>Commission</t>
  </si>
  <si>
    <t>Reimbursement- Cables</t>
  </si>
  <si>
    <t>Expense</t>
  </si>
  <si>
    <t>Joseph Prichard</t>
  </si>
  <si>
    <t>JB-9564313-00</t>
  </si>
  <si>
    <t>Diana Stumbaugh</t>
  </si>
  <si>
    <t>JB-9564408-00</t>
  </si>
  <si>
    <t>True up from $200/kW to $250/kW</t>
  </si>
  <si>
    <t>Jim vanEck</t>
  </si>
  <si>
    <t>JB-9564455-00</t>
  </si>
  <si>
    <t>Richard Dowden</t>
  </si>
  <si>
    <t>JB-9564439-00</t>
  </si>
  <si>
    <t>Mikhael Lombard</t>
  </si>
  <si>
    <t>JB-9571876-00</t>
  </si>
  <si>
    <t>Iryna Kontsemal</t>
  </si>
  <si>
    <t>JB-9564774-00</t>
  </si>
  <si>
    <t>Submission hold</t>
  </si>
  <si>
    <t>Martin Morales</t>
  </si>
  <si>
    <t>JB-9564666-00</t>
  </si>
  <si>
    <t>Sima Dermishyan</t>
  </si>
  <si>
    <t>JB-9564672-00</t>
  </si>
  <si>
    <t>Cancelled Claw back 6/13/14</t>
  </si>
  <si>
    <t>Tommy Woodward</t>
  </si>
  <si>
    <t>JB-9564794-00</t>
  </si>
  <si>
    <t>Van Dam</t>
  </si>
  <si>
    <t>JB-9571921-00</t>
  </si>
  <si>
    <t>Diann Smith</t>
  </si>
  <si>
    <t>JB-9564559-00</t>
  </si>
  <si>
    <t>submission hold</t>
  </si>
  <si>
    <t>Esther Muradyan</t>
  </si>
  <si>
    <t>JB-9564888-00</t>
  </si>
  <si>
    <t>Kristina Dermichyan</t>
  </si>
  <si>
    <t>JB-9581471-00</t>
  </si>
  <si>
    <t>Margarita Paskevichyan</t>
  </si>
  <si>
    <t>JB-9581461-00</t>
  </si>
  <si>
    <t>Nirav Shah</t>
  </si>
  <si>
    <t>JB-9564867-00</t>
  </si>
  <si>
    <t>Overrides through May 2014</t>
  </si>
  <si>
    <t>Sirine Atoyan</t>
  </si>
  <si>
    <t>JB-9564760-00</t>
  </si>
  <si>
    <t>Janet Black</t>
  </si>
  <si>
    <t>JB-9565021-00</t>
  </si>
  <si>
    <t>Submission Hold</t>
  </si>
  <si>
    <t>Override True-up</t>
  </si>
  <si>
    <t>Cancelled, clawed back 6/27/14</t>
  </si>
  <si>
    <t>Eric Berg</t>
  </si>
  <si>
    <t>JB-9565083-00</t>
  </si>
  <si>
    <t>Eva Buchanan</t>
  </si>
  <si>
    <t>JB-9564999-00</t>
  </si>
  <si>
    <t>Mike Bizal</t>
  </si>
  <si>
    <t>JB-9565058-00</t>
  </si>
  <si>
    <t>Advance 7/18/14</t>
  </si>
  <si>
    <t>Dinner Goal</t>
  </si>
  <si>
    <t>Charlie Norwood</t>
  </si>
  <si>
    <t>JB-9581552-00</t>
  </si>
  <si>
    <t>Frank Garcia</t>
  </si>
  <si>
    <t>JB-9581563-00</t>
  </si>
  <si>
    <t>June Overrides</t>
  </si>
  <si>
    <t>Cancelled clawed back</t>
  </si>
  <si>
    <t>cancelled</t>
  </si>
  <si>
    <t>Cancelled</t>
  </si>
  <si>
    <t>fix last week</t>
  </si>
  <si>
    <t>Lani Jones</t>
  </si>
  <si>
    <t>JB-9581650-00</t>
  </si>
  <si>
    <t>Reimbursement- Team Dinner</t>
  </si>
  <si>
    <t>July Overrides</t>
  </si>
  <si>
    <t>Advance 9/9/14</t>
  </si>
  <si>
    <t>August Overiddes (Wired)</t>
  </si>
  <si>
    <t>Advance or Bonus?</t>
  </si>
  <si>
    <t>Assuming Bonus for now (Paid Twice due to wire)</t>
  </si>
  <si>
    <t>Interconnection</t>
  </si>
  <si>
    <t>September Overrides</t>
  </si>
  <si>
    <t>Advance Against October Overrides</t>
  </si>
  <si>
    <t>Reimbursment- Dinner Goal</t>
  </si>
  <si>
    <t>October Overrides</t>
  </si>
  <si>
    <t>October Overrides: Backends deducted against Overrides</t>
  </si>
  <si>
    <t>October Overrides: Pay advances against Overrides</t>
  </si>
  <si>
    <t>Advance Against November Overrides</t>
  </si>
  <si>
    <t>November Overrides</t>
  </si>
  <si>
    <t>November Overrides: The Advaance was not deducted</t>
  </si>
  <si>
    <t>December 2014 Overrides</t>
  </si>
  <si>
    <t>Override Difference from Interconnection to Installation</t>
  </si>
  <si>
    <t>Commision</t>
  </si>
  <si>
    <t>October Overrides- Backends deducted from total negatives (Possitive since we took it out of overides)</t>
  </si>
  <si>
    <t>October Overrides: Pay advances against Overrides (Possitive since we took it out of overides)</t>
  </si>
  <si>
    <t>Override Backend (Interconnection to Install)</t>
  </si>
  <si>
    <t>Dick Higashino</t>
  </si>
  <si>
    <t>JB-9564476-00</t>
  </si>
  <si>
    <t>Maria Trujillo</t>
  </si>
  <si>
    <t>JB-9564497-00</t>
  </si>
  <si>
    <t>Robert Schlegel</t>
  </si>
  <si>
    <t>JB-9564514-00</t>
  </si>
  <si>
    <t>Yvette Rapp</t>
  </si>
  <si>
    <t>JB-9564490-00</t>
  </si>
  <si>
    <t>Bryan Campbell</t>
  </si>
  <si>
    <t>JB-9564581-00</t>
  </si>
  <si>
    <t>Dannie Sanchez</t>
  </si>
  <si>
    <t>JB-9564627-00</t>
  </si>
  <si>
    <t>James Lyons</t>
  </si>
  <si>
    <t>JB-9564731-00</t>
  </si>
  <si>
    <t>Robert Mcnew</t>
  </si>
  <si>
    <t>JB-9564683-00</t>
  </si>
  <si>
    <t>Richard Spickard</t>
  </si>
  <si>
    <t>JB-9564786-00</t>
  </si>
  <si>
    <t>Brandi Race</t>
  </si>
  <si>
    <t>JB-9571861-00</t>
  </si>
  <si>
    <t>Cancelled Clawback 6/20/14</t>
  </si>
  <si>
    <t>Peter Wesley Stone</t>
  </si>
  <si>
    <t>JB-9581535-00</t>
  </si>
  <si>
    <t>Diane Duncan</t>
  </si>
  <si>
    <t>JB-9581554-00</t>
  </si>
  <si>
    <t>Nicole Wright</t>
  </si>
  <si>
    <t>JB-9581564-00</t>
  </si>
  <si>
    <t>Antonio Vargas</t>
  </si>
  <si>
    <t>JB-9581648-00</t>
  </si>
  <si>
    <t>submission Hold</t>
  </si>
  <si>
    <t>Tony Perez</t>
  </si>
  <si>
    <t>JB-9581645-00</t>
  </si>
  <si>
    <t>Barbara Martinez</t>
  </si>
  <si>
    <t>JB-9581633-00</t>
  </si>
  <si>
    <t>Sale</t>
  </si>
  <si>
    <t>Advance 8/15/14</t>
  </si>
  <si>
    <t>Adrian Weller</t>
  </si>
  <si>
    <t>JB-9565711-00</t>
  </si>
  <si>
    <t>Kevin Nowlan</t>
  </si>
  <si>
    <t>JB-9565659-00</t>
  </si>
  <si>
    <t>Install</t>
  </si>
  <si>
    <t>Yuvraj Sisodia</t>
  </si>
  <si>
    <t>JB-9565714-00</t>
  </si>
  <si>
    <t>Daniel Oswalt</t>
  </si>
  <si>
    <t>JB-9566256-00</t>
  </si>
  <si>
    <t>Genevieve Maiorana</t>
  </si>
  <si>
    <t>JB-9581900-00</t>
  </si>
  <si>
    <t>Advance 10/10/2014</t>
  </si>
  <si>
    <t>Henry Fujita</t>
  </si>
  <si>
    <t>JB-9566290-00</t>
  </si>
  <si>
    <t>Eric Stratton</t>
  </si>
  <si>
    <t>JB-9572484-00</t>
  </si>
  <si>
    <t>Robyn Graves</t>
  </si>
  <si>
    <t>JB-9566414-00</t>
  </si>
  <si>
    <t>Ariel Tribble</t>
  </si>
  <si>
    <t>JB-9572140-00</t>
  </si>
  <si>
    <t>Peter Wesley Stone 2 of 2: Split to be able to pay Russell on Nov 14, 2014</t>
  </si>
  <si>
    <t>Rene Cornejo</t>
  </si>
  <si>
    <t>JB-9582109-00</t>
  </si>
  <si>
    <t>Kevin Delebaha</t>
  </si>
  <si>
    <t>Fred Schubert</t>
  </si>
  <si>
    <t>JB-9572580-00</t>
  </si>
  <si>
    <t>Jennifer Behrens</t>
  </si>
  <si>
    <t>JB-9566489-00</t>
  </si>
  <si>
    <t>Lota Pilande</t>
  </si>
  <si>
    <t>JB-9572588-00</t>
  </si>
  <si>
    <t>Not His. It's Tim McEivies</t>
  </si>
  <si>
    <t>Michael Bessel Part 1/2</t>
  </si>
  <si>
    <t>JB-9566542-00</t>
  </si>
  <si>
    <t>Pay advance 12/19/14</t>
  </si>
  <si>
    <t>Taylor, Gale</t>
  </si>
  <si>
    <t>Brian Vidosh</t>
  </si>
  <si>
    <t>JB-9572602-00</t>
  </si>
  <si>
    <t>Eric Betz</t>
  </si>
  <si>
    <t>JB-9566769-00</t>
  </si>
  <si>
    <t>Gerald Shupe</t>
  </si>
  <si>
    <t>JB-9571907-00</t>
  </si>
  <si>
    <t>Jerald Keller</t>
  </si>
  <si>
    <t>JB-9071177-00</t>
  </si>
  <si>
    <t>Michael Bessel Part 2/2</t>
  </si>
  <si>
    <t>Pay advance 12/22/14</t>
  </si>
  <si>
    <t>Peter Wesley Stone 1 of 2: Split to be able to pay Russell on Nov 14, 2014</t>
  </si>
  <si>
    <t>Rainy Gordon</t>
  </si>
  <si>
    <t>JB-9581852-00</t>
  </si>
  <si>
    <t>Wing Mark</t>
  </si>
  <si>
    <t>JB-9572186-00</t>
  </si>
  <si>
    <t>Meghan Heimroth</t>
  </si>
  <si>
    <t>JB-121502-00</t>
  </si>
  <si>
    <t>Harold Rethmann</t>
  </si>
  <si>
    <t>JB-8023100-00</t>
  </si>
  <si>
    <t>Anna Berardi</t>
  </si>
  <si>
    <t>JB-9722084-00</t>
  </si>
  <si>
    <t>Chung Wang</t>
  </si>
  <si>
    <t>JB-9701623-00</t>
  </si>
  <si>
    <t>Denise Stephens</t>
  </si>
  <si>
    <t>JB-9722233-00</t>
  </si>
  <si>
    <t>Rent- June week 1</t>
  </si>
  <si>
    <t>Rent- May 2014</t>
  </si>
  <si>
    <t>Reimbursment- Rental car</t>
  </si>
  <si>
    <t>Isaiah Ochoa</t>
  </si>
  <si>
    <t>JB-761250-00</t>
  </si>
  <si>
    <t>Jordan StClair</t>
  </si>
  <si>
    <t>JB-761279-00</t>
  </si>
  <si>
    <t>Apartment set up in Shreveport</t>
  </si>
  <si>
    <t>Downpayment for ft.worth</t>
  </si>
  <si>
    <t>Lease bonus</t>
  </si>
  <si>
    <t>Reimbursment for apartments</t>
  </si>
  <si>
    <t>Boulders On Fern 610</t>
  </si>
  <si>
    <t>insurance from 6/11 to 6/27</t>
  </si>
  <si>
    <t>Renters insurance 28th of June to July 6th</t>
  </si>
  <si>
    <t>Cheryl Casares</t>
  </si>
  <si>
    <t>Sunova</t>
  </si>
  <si>
    <t>Sunnova</t>
  </si>
  <si>
    <t>Chris Ebarb</t>
  </si>
  <si>
    <t>Insurance</t>
  </si>
  <si>
    <t>for July 7th to  July 13th</t>
  </si>
  <si>
    <t>Kevin Phill</t>
  </si>
  <si>
    <t>Brenda Devore</t>
  </si>
  <si>
    <t>Emogene Blunt</t>
  </si>
  <si>
    <t>Jonathon Cogswell</t>
  </si>
  <si>
    <t>Keith Wolsey</t>
  </si>
  <si>
    <t>Tommy Smith</t>
  </si>
  <si>
    <t>Pay Advance 8/11/14</t>
  </si>
  <si>
    <t>August Overrides</t>
  </si>
  <si>
    <t>Corey Hartley</t>
  </si>
  <si>
    <t>JB-8539435-00</t>
  </si>
  <si>
    <t>Insurance 8/25-9/7</t>
  </si>
  <si>
    <t>Backend</t>
  </si>
  <si>
    <t>Kenneth Powell</t>
  </si>
  <si>
    <t>Rent - Aug 11, 2014 - Aug 17, 2014</t>
  </si>
  <si>
    <t>August 11th - 17th Rent insurance</t>
  </si>
  <si>
    <t>Rent- Aug 18, 2014 - Aug 24, 2014</t>
  </si>
  <si>
    <t>Rent 8/18 - 8/24</t>
  </si>
  <si>
    <t>Rent- Aug 4, 2014 - Aug 10, 2014</t>
  </si>
  <si>
    <t>Rent August 4th through the 10th</t>
  </si>
  <si>
    <t>Rent- Sep 15, 2014 - Sep 21, 2014</t>
  </si>
  <si>
    <t>Rent- Sep 8, 2014 - Sep 14, 2014</t>
  </si>
  <si>
    <t>Robert Olm</t>
  </si>
  <si>
    <t>JB-8512699-00</t>
  </si>
  <si>
    <t>Jeff Jenkins</t>
  </si>
  <si>
    <t>JB-8539496-00</t>
  </si>
  <si>
    <t>Penny Bonus</t>
  </si>
  <si>
    <t>Rent- Sep 22, 2014 - Sep 28, 2014</t>
  </si>
  <si>
    <t>Never had insurance with us. Fix</t>
  </si>
  <si>
    <t>Patricia Dennis</t>
  </si>
  <si>
    <t>JB-8539578-00</t>
  </si>
  <si>
    <t>Pay that Dan from previous negatives</t>
  </si>
  <si>
    <t>Chris Holstein</t>
  </si>
  <si>
    <t>JB-8539656-00</t>
  </si>
  <si>
    <t>Lynn Balay</t>
  </si>
  <si>
    <t>JB-8573587-00</t>
  </si>
  <si>
    <t>Jack Hord</t>
  </si>
  <si>
    <t>JB-8539963-00</t>
  </si>
  <si>
    <t>Lillie Brown</t>
  </si>
  <si>
    <t>JB-8539908-00</t>
  </si>
  <si>
    <t>Marco a Alaniz</t>
  </si>
  <si>
    <t>JB-8504095-00</t>
  </si>
  <si>
    <t>September Overrides Trueup</t>
  </si>
  <si>
    <t>Overpaid on September Overrides</t>
  </si>
  <si>
    <t>Tom Baker</t>
  </si>
  <si>
    <t>JB-85310135-00</t>
  </si>
  <si>
    <t>Lillie Brown belonged to Don Bucholzer and was paid on 11/7/14</t>
  </si>
  <si>
    <t>Phillip Guerrero</t>
  </si>
  <si>
    <t>JB-85310214-00</t>
  </si>
  <si>
    <t>Overrides True ups for November</t>
  </si>
  <si>
    <t>Backend: Correction from paying on incorrect system size PAID 1/5/2015</t>
  </si>
  <si>
    <t>Balay, Lynn</t>
  </si>
  <si>
    <t>Reimbursement- Office Printer</t>
  </si>
  <si>
    <t>Overrides from June</t>
  </si>
  <si>
    <t>David Tannaccio</t>
  </si>
  <si>
    <t>JB-8004008-00</t>
  </si>
  <si>
    <t>Karl Almquist</t>
  </si>
  <si>
    <t>JB-8003989-00</t>
  </si>
  <si>
    <t>Sally Pyle</t>
  </si>
  <si>
    <t>JB-8023337-00</t>
  </si>
  <si>
    <t>Bear Sawkins</t>
  </si>
  <si>
    <t>JB-8023556-00</t>
  </si>
  <si>
    <t>David Dye</t>
  </si>
  <si>
    <t>JB-8023562-00</t>
  </si>
  <si>
    <t>Kyle Tingle</t>
  </si>
  <si>
    <t>JB-8004266-00</t>
  </si>
  <si>
    <t>Charles Thomason</t>
  </si>
  <si>
    <t>JB-8004574-00</t>
  </si>
  <si>
    <t>Paid out</t>
  </si>
  <si>
    <t>Jerry Fry</t>
  </si>
  <si>
    <t>JB-8023797-00</t>
  </si>
  <si>
    <t>Amanda Howard</t>
  </si>
  <si>
    <t>JB-8024088-00</t>
  </si>
  <si>
    <t>Cory Clawson</t>
  </si>
  <si>
    <t>JB-8023857-00</t>
  </si>
  <si>
    <t>Jeffrey Tenhulzen</t>
  </si>
  <si>
    <t>JB-8024025-00</t>
  </si>
  <si>
    <t>Debra Guin</t>
  </si>
  <si>
    <t>JB-8024244-00</t>
  </si>
  <si>
    <t>Site Audit Scheduled</t>
  </si>
  <si>
    <t>Joe Dinnetz</t>
  </si>
  <si>
    <t>JB-8024216-00</t>
  </si>
  <si>
    <t>Jacqulyn Walden</t>
  </si>
  <si>
    <t>JB-8538328-00</t>
  </si>
  <si>
    <t>Antonio Leyba</t>
  </si>
  <si>
    <t>JB-8022870-00</t>
  </si>
  <si>
    <t>Laurie Meyers</t>
  </si>
  <si>
    <t>JB-8022860-00</t>
  </si>
  <si>
    <t>Bryan Malsom</t>
  </si>
  <si>
    <t>JB-8022900-00</t>
  </si>
  <si>
    <t>Janet Bugg</t>
  </si>
  <si>
    <t>JB-8023309-00</t>
  </si>
  <si>
    <t>Jonathan Wilson</t>
  </si>
  <si>
    <t>JB-8023343-00</t>
  </si>
  <si>
    <t>Irene Sais</t>
  </si>
  <si>
    <t>JB-8023393-00</t>
  </si>
  <si>
    <t>Linda Libeer</t>
  </si>
  <si>
    <t>JB-8023456-00</t>
  </si>
  <si>
    <t>Toby and Gloria Maez</t>
  </si>
  <si>
    <t>JB-8023433-00</t>
  </si>
  <si>
    <t>Amy Veniegas</t>
  </si>
  <si>
    <t>JB-8023472-00</t>
  </si>
  <si>
    <t>Boldtsetseg Tserenpuntsag</t>
  </si>
  <si>
    <t>JB-121498-00</t>
  </si>
  <si>
    <t>Iran Burgess</t>
  </si>
  <si>
    <t>JB-8023531-00</t>
  </si>
  <si>
    <t>Keith Pinheiro</t>
  </si>
  <si>
    <t>JB-121490-00</t>
  </si>
  <si>
    <t>Craig DeJulio</t>
  </si>
  <si>
    <t>JB-121501-00</t>
  </si>
  <si>
    <t>Anthony Tassone</t>
  </si>
  <si>
    <t>JB-105525-00</t>
  </si>
  <si>
    <t>Cancelled clawedback 6/20/14</t>
  </si>
  <si>
    <t>Michael Beaudet</t>
  </si>
  <si>
    <t>JB-120633-00</t>
  </si>
  <si>
    <t>Travel to Albany NY Reimbursements</t>
  </si>
  <si>
    <t>Mansions at Delmar</t>
  </si>
  <si>
    <t>Furniture from 1st of june to the 27th</t>
  </si>
  <si>
    <t>Kenneth Babb</t>
  </si>
  <si>
    <t>JB-121548-00</t>
  </si>
  <si>
    <t>Furniture from 28th of june to july 6th</t>
  </si>
  <si>
    <t>Furniture from 1st of june to the 27th(we paid out instead of charging last week)</t>
  </si>
  <si>
    <t>Furniture</t>
  </si>
  <si>
    <t>Furniture fix from last week</t>
  </si>
  <si>
    <t>Ray Russo</t>
  </si>
  <si>
    <t>JB-120637-00</t>
  </si>
  <si>
    <t>Christopher Avery</t>
  </si>
  <si>
    <t>JB-121586-00</t>
  </si>
  <si>
    <t>Furniture and Insurance</t>
  </si>
  <si>
    <t>July 14th through July 20th</t>
  </si>
  <si>
    <t>Kristen Hines</t>
  </si>
  <si>
    <t>JB-121581-00</t>
  </si>
  <si>
    <t>Sarah Davis</t>
  </si>
  <si>
    <t>JB-121585-00</t>
  </si>
  <si>
    <t>Toni Ann Grembocki</t>
  </si>
  <si>
    <t>JB-120720-00</t>
  </si>
  <si>
    <t>William Redden</t>
  </si>
  <si>
    <t>JB-121579-00</t>
  </si>
  <si>
    <t>21st- 27th of  July Rent</t>
  </si>
  <si>
    <t>Jonathan Eich</t>
  </si>
  <si>
    <t>JB-121628-00</t>
  </si>
  <si>
    <t>Paul Byrnes</t>
  </si>
  <si>
    <t>JB-106114-00</t>
  </si>
  <si>
    <t>Sheila Reilly</t>
  </si>
  <si>
    <t>JB-121625-00</t>
  </si>
  <si>
    <t>Kevin Perry</t>
  </si>
  <si>
    <t>JB-121648-00</t>
  </si>
  <si>
    <t>Rent- July 28, 2014 - Aug 3, 2014</t>
  </si>
  <si>
    <t>Rent July 28- August 3rd</t>
  </si>
  <si>
    <t>Christine Zeolla</t>
  </si>
  <si>
    <t>JB-121598-00</t>
  </si>
  <si>
    <t>Cancelled Clawed back 8/8/14</t>
  </si>
  <si>
    <t>Bonus</t>
  </si>
  <si>
    <t>August 11th - 17th Rent Furniture</t>
  </si>
  <si>
    <t>John Ceremuga</t>
  </si>
  <si>
    <t>JB-121649-00</t>
  </si>
  <si>
    <t>Jose Villegas</t>
  </si>
  <si>
    <t>JB-8023097-00</t>
  </si>
  <si>
    <t>Marcia Rossetti</t>
  </si>
  <si>
    <t>JB-120849-00</t>
  </si>
  <si>
    <t>Michael Beiter</t>
  </si>
  <si>
    <t>JB-120862-00</t>
  </si>
  <si>
    <t>David Riberdy</t>
  </si>
  <si>
    <t>JB-121672-00</t>
  </si>
  <si>
    <t>Mary Lee Hedrick</t>
  </si>
  <si>
    <t>JB-120893-00</t>
  </si>
  <si>
    <t>Reimbursement- Dinner Goal</t>
  </si>
  <si>
    <t>Bonnie Bingell</t>
  </si>
  <si>
    <t>JB-105636-00</t>
  </si>
  <si>
    <t>Christina Yager</t>
  </si>
  <si>
    <t>JB-120888-00</t>
  </si>
  <si>
    <t>Christine Sanderson</t>
  </si>
  <si>
    <t>JB-0601135-00</t>
  </si>
  <si>
    <t>Donna Picardi</t>
  </si>
  <si>
    <t>JB-0601137-00</t>
  </si>
  <si>
    <t>Jonathon Reickert</t>
  </si>
  <si>
    <t>JB-120887-00</t>
  </si>
  <si>
    <t>Laura Balogh</t>
  </si>
  <si>
    <t>JB-120909-00</t>
  </si>
  <si>
    <t>Rent- Aug 25, 2014 - Sep 7, 2014</t>
  </si>
  <si>
    <t>Kristin Maguire</t>
  </si>
  <si>
    <t>JB-120895-00</t>
  </si>
  <si>
    <t>Trueup from 9/5/14 Double Cancelled</t>
  </si>
  <si>
    <t>August Overides</t>
  </si>
  <si>
    <t>Reimbursments- Permit</t>
  </si>
  <si>
    <t>Albert Mincher</t>
  </si>
  <si>
    <t>JB-121856-00</t>
  </si>
  <si>
    <t>Christopher Hathaway</t>
  </si>
  <si>
    <t>JB-1201018-00</t>
  </si>
  <si>
    <t>Furniture and Insurance 8/29-9/5</t>
  </si>
  <si>
    <t>Peter Slattery</t>
  </si>
  <si>
    <t>JB-120971-00</t>
  </si>
  <si>
    <t>Rent- Oct 13, 2014 - Oct 19, 2014</t>
  </si>
  <si>
    <t>Rent-Oct 06, 2014 - Oct 12, 2014</t>
  </si>
  <si>
    <t>Vicky Wiley</t>
  </si>
  <si>
    <t>JB-1201005-00</t>
  </si>
  <si>
    <t>Charles LaFountain</t>
  </si>
  <si>
    <t>JB-1201063-00</t>
  </si>
  <si>
    <t>Jeffery M Arno</t>
  </si>
  <si>
    <t>JB-121888-00</t>
  </si>
  <si>
    <t>John Scott</t>
  </si>
  <si>
    <t>JB-121891-00</t>
  </si>
  <si>
    <t>Rent- Oct 20, 2014 - Oct 26, 2014</t>
  </si>
  <si>
    <t>Art Sabourin</t>
  </si>
  <si>
    <t>JB-121923-00</t>
  </si>
  <si>
    <t>Michael Hodgkinson</t>
  </si>
  <si>
    <t>JB-1201174-00</t>
  </si>
  <si>
    <t>MichaeLyn Gourlay-Doyle</t>
  </si>
  <si>
    <t>JB-121931-00</t>
  </si>
  <si>
    <t>Rent -Nov 03, 2014 - Nov 09, 2014</t>
  </si>
  <si>
    <t>Rent -Oct 27, 2014 - Nov 02, 2014</t>
  </si>
  <si>
    <t>September overide trueup</t>
  </si>
  <si>
    <t>Joyce Michaud</t>
  </si>
  <si>
    <t>JB-1201192-00</t>
  </si>
  <si>
    <t>Rent- Nov 10, 2014 - Nov 16, 2014</t>
  </si>
  <si>
    <t>Beverly Girard</t>
  </si>
  <si>
    <t>JB-1201157-00</t>
  </si>
  <si>
    <t>Anthony Kehrer</t>
  </si>
  <si>
    <t>JB-1201000-00</t>
  </si>
  <si>
    <t>John C Dahoda</t>
  </si>
  <si>
    <t>JB-1201162-00</t>
  </si>
  <si>
    <t>Rent for Dec 01, 2014 -  Dec 07, 2014</t>
  </si>
  <si>
    <t>Rent- Nov 17, 2014 - Nov 23, 2014</t>
  </si>
  <si>
    <t>Unknown Payment</t>
  </si>
  <si>
    <t>Jacket 11.25.14</t>
  </si>
  <si>
    <t>Rent- Dec 22, 2014 -  Dec 28, 2014</t>
  </si>
  <si>
    <t>Girard, Beverly</t>
  </si>
  <si>
    <t>Dahoda, John C</t>
  </si>
  <si>
    <t>Rent- Furniture</t>
  </si>
  <si>
    <t>Scott, John</t>
  </si>
  <si>
    <t>Divyesh Bhatt</t>
  </si>
  <si>
    <t>JB-7501437-00</t>
  </si>
  <si>
    <t>Beverly Bridgeman</t>
  </si>
  <si>
    <t>JB-761326-00</t>
  </si>
  <si>
    <t>Seydi Rodriguez</t>
  </si>
  <si>
    <t>JB-761323-00</t>
  </si>
  <si>
    <t>Ronald Goffrier</t>
  </si>
  <si>
    <t>JB-762052-00</t>
  </si>
  <si>
    <t>Joshua Stepp</t>
  </si>
  <si>
    <t>JB-760362-00</t>
  </si>
  <si>
    <t>Brenda Rodriguez</t>
  </si>
  <si>
    <t>JB-761310-00</t>
  </si>
  <si>
    <t>James Mckinney</t>
  </si>
  <si>
    <t>JB-761324-00</t>
  </si>
  <si>
    <t>Leslie Alvarez</t>
  </si>
  <si>
    <t>JB-761320-00</t>
  </si>
  <si>
    <t>Loretta Black</t>
  </si>
  <si>
    <t>JB-761327-00</t>
  </si>
  <si>
    <t>Megan Cousin</t>
  </si>
  <si>
    <t>JB-761328-00</t>
  </si>
  <si>
    <t>Gloria Espinoza</t>
  </si>
  <si>
    <t>JB-761331-00</t>
  </si>
  <si>
    <t>Rent-April/May Rent, Utilities, Furniture</t>
  </si>
  <si>
    <t>Michael Malczewski</t>
  </si>
  <si>
    <t>JB-751128-00</t>
  </si>
  <si>
    <t>Site audit Scheduled</t>
  </si>
  <si>
    <t>Bruce Haupers</t>
  </si>
  <si>
    <t>JB-760366-00</t>
  </si>
  <si>
    <t>Marci Godfroy</t>
  </si>
  <si>
    <t>JB-760365-00</t>
  </si>
  <si>
    <t>Rudy Bazaldua</t>
  </si>
  <si>
    <t>JB-760364-00</t>
  </si>
  <si>
    <t>Terrance Jones</t>
  </si>
  <si>
    <t>JB-751127-00</t>
  </si>
  <si>
    <t>Samuel George</t>
  </si>
  <si>
    <t>JB-7501451-00</t>
  </si>
  <si>
    <t>Pay Advance 5/12</t>
  </si>
  <si>
    <t>Christopher, Patrick</t>
  </si>
  <si>
    <t>JB-762058-00</t>
  </si>
  <si>
    <t>Debbie Hoeferkamp</t>
  </si>
  <si>
    <t>JB-762063-00</t>
  </si>
  <si>
    <t>Diane Turner</t>
  </si>
  <si>
    <t>JB-762060-00</t>
  </si>
  <si>
    <t>Linda Gilland</t>
  </si>
  <si>
    <t>JB-762061-00</t>
  </si>
  <si>
    <t>Olton Ingram</t>
  </si>
  <si>
    <t>JB-762062-00</t>
  </si>
  <si>
    <t>Pay Advance 5/12- Wire Fee</t>
  </si>
  <si>
    <t>Rachel Hudson</t>
  </si>
  <si>
    <t>JB-752304-00</t>
  </si>
  <si>
    <t>Rodica Szabados</t>
  </si>
  <si>
    <t>JB-762057-00</t>
  </si>
  <si>
    <t>Sharon Presley</t>
  </si>
  <si>
    <t>JB-762056-00</t>
  </si>
  <si>
    <t>Thomas Owens</t>
  </si>
  <si>
    <t>JB-762059-00</t>
  </si>
  <si>
    <t>Becky Chisenhall</t>
  </si>
  <si>
    <t>JB-762064-00</t>
  </si>
  <si>
    <t>Breanna Prior</t>
  </si>
  <si>
    <t>JB-762066-00</t>
  </si>
  <si>
    <t>Jason Good</t>
  </si>
  <si>
    <t>JB-760351-00</t>
  </si>
  <si>
    <t>John Buffone</t>
  </si>
  <si>
    <t>JB-760352-00</t>
  </si>
  <si>
    <t>Matt Bender</t>
  </si>
  <si>
    <t>JB-762067-00</t>
  </si>
  <si>
    <t>Sylvia White</t>
  </si>
  <si>
    <t>JB-762071-00</t>
  </si>
  <si>
    <t>Tammy Pruitt</t>
  </si>
  <si>
    <t>JB-762065-00</t>
  </si>
  <si>
    <t>Thurman Sneed</t>
  </si>
  <si>
    <t>JB-760355-00</t>
  </si>
  <si>
    <t>Brian Sterenberg</t>
  </si>
  <si>
    <t>JB-762077-00</t>
  </si>
  <si>
    <t>Dan Melgoza</t>
  </si>
  <si>
    <t>JB-762073-00</t>
  </si>
  <si>
    <t>David Wall</t>
  </si>
  <si>
    <t>JB-762069-00</t>
  </si>
  <si>
    <t>Jacquelyn Stinnett</t>
  </si>
  <si>
    <t>JB-762082-00</t>
  </si>
  <si>
    <t>Jeremy Link</t>
  </si>
  <si>
    <t>JB-762074-00</t>
  </si>
  <si>
    <t>John Gallahan</t>
  </si>
  <si>
    <t>JB-762078-00</t>
  </si>
  <si>
    <t>John Tyler</t>
  </si>
  <si>
    <t>JB-762083-00</t>
  </si>
  <si>
    <t>Jose De la Torre</t>
  </si>
  <si>
    <t>JB-760357-00</t>
  </si>
  <si>
    <t>Josh Johnson</t>
  </si>
  <si>
    <t>JB-762079-00</t>
  </si>
  <si>
    <t>Larry Thompson</t>
  </si>
  <si>
    <t>JB-760356-00</t>
  </si>
  <si>
    <t>Marcus Gardner</t>
  </si>
  <si>
    <t>JB-760361-00</t>
  </si>
  <si>
    <t>Maureen Franks</t>
  </si>
  <si>
    <t>JB-760360-00</t>
  </si>
  <si>
    <t>Rita Falk</t>
  </si>
  <si>
    <t>JB-762081-00</t>
  </si>
  <si>
    <t>Scott Wright</t>
  </si>
  <si>
    <t>JB-762080-00</t>
  </si>
  <si>
    <t>Sharon Pletcher</t>
  </si>
  <si>
    <t>JB-762072-00</t>
  </si>
  <si>
    <t>Stephen Pate</t>
  </si>
  <si>
    <t>JB-762076-00</t>
  </si>
  <si>
    <t>Tim Mainord</t>
  </si>
  <si>
    <t>JB-752337-00</t>
  </si>
  <si>
    <t>Andrew Small</t>
  </si>
  <si>
    <t>JB-762075-00</t>
  </si>
  <si>
    <t>Barbara Deveny</t>
  </si>
  <si>
    <t>JB-762055-00</t>
  </si>
  <si>
    <t>Pruitt, Tammy</t>
  </si>
  <si>
    <t>Chris Swanson</t>
  </si>
  <si>
    <t>JB-761276-00</t>
  </si>
  <si>
    <t>Sarah Webb</t>
  </si>
  <si>
    <t>JB-761270-00</t>
  </si>
  <si>
    <t>Shelby Humbles</t>
  </si>
  <si>
    <t>JB-761275-00</t>
  </si>
  <si>
    <t>LaPrelle Mainor</t>
  </si>
  <si>
    <t>JB-761299-00</t>
  </si>
  <si>
    <t>Trina Leise</t>
  </si>
  <si>
    <t>JB-761311-00</t>
  </si>
  <si>
    <t>Andrew Stephenson</t>
  </si>
  <si>
    <t>JB-761332-00</t>
  </si>
  <si>
    <t>Courtney Angell</t>
  </si>
  <si>
    <t>JB-761325-00</t>
  </si>
  <si>
    <t>Adam Sartain</t>
  </si>
  <si>
    <t>JB-9581382-00</t>
  </si>
  <si>
    <t>Lead Generation Expense for 10 Leads from Rick Cline</t>
  </si>
  <si>
    <t>Brenden Tennant</t>
  </si>
  <si>
    <t>JB-7501395-00</t>
  </si>
  <si>
    <t>Gabriela Deras</t>
  </si>
  <si>
    <t>JB-7501402-00</t>
  </si>
  <si>
    <t>Gary Wyatt</t>
  </si>
  <si>
    <t>JB-7501381-00</t>
  </si>
  <si>
    <t>Greg Pavlock</t>
  </si>
  <si>
    <t>JB-7501401-00</t>
  </si>
  <si>
    <t>Joel Harroff</t>
  </si>
  <si>
    <t>JB-7501404-00</t>
  </si>
  <si>
    <t>Lynette Haines</t>
  </si>
  <si>
    <t>JB-7501428-00</t>
  </si>
  <si>
    <t>Mechelle Hillman</t>
  </si>
  <si>
    <t>JB-7501414-00</t>
  </si>
  <si>
    <t>Ross Andis</t>
  </si>
  <si>
    <t>JB-7501430-00</t>
  </si>
  <si>
    <t>Melissa DeMasi</t>
  </si>
  <si>
    <t>JB-7501452-00</t>
  </si>
  <si>
    <t>Audit Incomplete</t>
  </si>
  <si>
    <t>Per diem</t>
  </si>
  <si>
    <t>Reimbursement- Gas</t>
  </si>
  <si>
    <t>Reimbursement- Gas to Shreveport</t>
  </si>
  <si>
    <t>Shreveport Hotel reimbursment</t>
  </si>
  <si>
    <t>Training</t>
  </si>
  <si>
    <t>True up from previous sales</t>
  </si>
  <si>
    <t>Unknown payment</t>
  </si>
  <si>
    <t>Corey Hatten</t>
  </si>
  <si>
    <t>Paid remaining upfront pay by request of Cody</t>
  </si>
  <si>
    <t>Justin Stone</t>
  </si>
  <si>
    <t>Lee Frey</t>
  </si>
  <si>
    <t>Reimbursement- Training, housing other rep</t>
  </si>
  <si>
    <t>Reimbursement- $280 Training, $200 housing other rep</t>
  </si>
  <si>
    <t>Rent- Aug 11, 2014 - Aug 17, 2014</t>
  </si>
  <si>
    <t>August 11th - 17th Rent</t>
  </si>
  <si>
    <t>Rent- July 14, 2014 - July 20, 2014</t>
  </si>
  <si>
    <t>Rent- July 21, 2014 - July 27, 2014</t>
  </si>
  <si>
    <t>Rent</t>
  </si>
  <si>
    <t>Rent- July 7, 2014- July 13, 2014</t>
  </si>
  <si>
    <t>Rent- June 28, 2014 - July 6, 2014</t>
  </si>
  <si>
    <t>Rent, and Insurance 28th of June to July 6th</t>
  </si>
  <si>
    <t>Taylor Thurston</t>
  </si>
  <si>
    <t>Virgina James 30%</t>
  </si>
  <si>
    <t>Cynthia Rizzo</t>
  </si>
  <si>
    <t>Eric Cheatham</t>
  </si>
  <si>
    <t>Geneva James adjusted to 50 percent</t>
  </si>
  <si>
    <t>Martin Andrews adjusted to 50 percent</t>
  </si>
  <si>
    <t>Peter Allen adjusted to 50 percent</t>
  </si>
  <si>
    <t>Robert Prock</t>
  </si>
  <si>
    <t>Wayne Nelson</t>
  </si>
  <si>
    <t>Crystal Wolcik</t>
  </si>
  <si>
    <t>JB-9566380-00</t>
  </si>
  <si>
    <t>Dino Gizzi (Training)</t>
  </si>
  <si>
    <t>JB-067497-00</t>
  </si>
  <si>
    <t>Frederick Norton(Training)</t>
  </si>
  <si>
    <t>JB-064952-00</t>
  </si>
  <si>
    <t>Howard Heavens (Training)</t>
  </si>
  <si>
    <t>JB-067499-00</t>
  </si>
  <si>
    <t>Reimbursment-cab 48.46, means and entertainment 40.95, rental car 105.88, fuel 23.68, per Diem 240, training expense 320</t>
  </si>
  <si>
    <t>Sharon Scharosch</t>
  </si>
  <si>
    <t>JB-9566392-00</t>
  </si>
  <si>
    <t>Negatives from 9/12/14</t>
  </si>
  <si>
    <t>Rent- Aug 29, 2014 - Sep 5, 2014</t>
  </si>
  <si>
    <t>Reimbursement- Dinner, Gas, Parking, Tolls, Per Diem, Training</t>
  </si>
  <si>
    <t>Edward Keeney</t>
  </si>
  <si>
    <t>JB-0641012-00</t>
  </si>
  <si>
    <t>Carmen Rivera</t>
  </si>
  <si>
    <t>JB-0601449-00</t>
  </si>
  <si>
    <t>Traveling Trainer Overrides</t>
  </si>
  <si>
    <t>Elsie Rodriguez</t>
  </si>
  <si>
    <t>JB-061293-00</t>
  </si>
  <si>
    <t>Madeline Martinez</t>
  </si>
  <si>
    <t>JB-061297-00</t>
  </si>
  <si>
    <t>Reimbursment- Rental car &amp; gas $178.15, toll*2 $15, Dinner with reps $42 perdiem $300</t>
  </si>
  <si>
    <t>Rent- Aug 29, 2014 - Sep 5, 2014 Correction</t>
  </si>
  <si>
    <t>Rent- Nov 17, 2014 - Nov 23, 2014 Correction</t>
  </si>
  <si>
    <t>Rent- Oct 13, 2014 - Oct 19, 2014 Correction</t>
  </si>
  <si>
    <t>Rent- Oct 20, 2014 - Oct 26, 2014 Correction</t>
  </si>
  <si>
    <t>Rent -Oct 27, 2014 - Nov 02, 2014 Correction</t>
  </si>
  <si>
    <t>Rent-Oct 06, 2014 - Oct 12, 2014 Correction</t>
  </si>
  <si>
    <t>Reimbursement: Training hours 80, Airport parking 36, Airoport parking 29, Gas in Connecticut 39.73, Tolls 6.70, Per diem 150</t>
  </si>
  <si>
    <t>Pay advance 6/27/14</t>
  </si>
  <si>
    <t>SunNova rep who need money</t>
  </si>
  <si>
    <t>Eric Oligan</t>
  </si>
  <si>
    <t>Marie King</t>
  </si>
  <si>
    <t>Robert Roberson</t>
  </si>
  <si>
    <t>Frances Reilly</t>
  </si>
  <si>
    <t>JB-8004014-00</t>
  </si>
  <si>
    <t>Lisa Horne</t>
  </si>
  <si>
    <t>JB-8004010-00</t>
  </si>
  <si>
    <t>Mark Bradford</t>
  </si>
  <si>
    <t>JB-8023327-00</t>
  </si>
  <si>
    <t>Michelle Robbins</t>
  </si>
  <si>
    <t>JB-8023338-00</t>
  </si>
  <si>
    <t>Robert Blair</t>
  </si>
  <si>
    <t>JB-8004316-00</t>
  </si>
  <si>
    <t>Scooter Nelson</t>
  </si>
  <si>
    <t>JB-8023543-00</t>
  </si>
  <si>
    <t>Shafiqa Nguyen</t>
  </si>
  <si>
    <t>JB-8004362-00</t>
  </si>
  <si>
    <t>Alex Barriga</t>
  </si>
  <si>
    <t>JB-8004404-00</t>
  </si>
  <si>
    <t>Marjorie Ginther</t>
  </si>
  <si>
    <t>JB-8004449-00</t>
  </si>
  <si>
    <t>Curtis Singleton</t>
  </si>
  <si>
    <t>JB-8023777-00</t>
  </si>
  <si>
    <t>Keith Hicks</t>
  </si>
  <si>
    <t>JB-7501415-00</t>
  </si>
  <si>
    <t>site audit scheduled</t>
  </si>
  <si>
    <t>Barry Jungjohan</t>
  </si>
  <si>
    <t>JB-7501448-00</t>
  </si>
  <si>
    <t>Elaine Karchaske</t>
  </si>
  <si>
    <t>JB-7501436-00</t>
  </si>
  <si>
    <t>Liangrong Wu</t>
  </si>
  <si>
    <t>JB-7501449-00</t>
  </si>
  <si>
    <t>Marisa Tinoco</t>
  </si>
  <si>
    <t>JB-7501453-00</t>
  </si>
  <si>
    <t>Adrian Rodriguez</t>
  </si>
  <si>
    <t>JB-8005215-00</t>
  </si>
  <si>
    <t>draft pending engineering</t>
  </si>
  <si>
    <t>Cindy Devillier</t>
  </si>
  <si>
    <t>JB-8024357-00</t>
  </si>
  <si>
    <t>Leroy Schleining</t>
  </si>
  <si>
    <t>JB-8005211-00</t>
  </si>
  <si>
    <t>William Devillier</t>
  </si>
  <si>
    <t>JB-806901-00</t>
  </si>
  <si>
    <t>Rent- July 7, 2014 - July 13, 2016</t>
  </si>
  <si>
    <t>Rent- June 22, 2014 - June 28, 2014</t>
  </si>
  <si>
    <t>Rent- June 29, 2014 - July 5, 2014</t>
  </si>
  <si>
    <t>scooter Nelson</t>
  </si>
  <si>
    <t>Jason Sedillo</t>
  </si>
  <si>
    <t>JB-8023087-00</t>
  </si>
  <si>
    <t>Kathy Smith</t>
  </si>
  <si>
    <t>JB-8023480-00</t>
  </si>
  <si>
    <t>Check SA notes</t>
  </si>
  <si>
    <t>Paid out twice. Discovered during year end audit (Jan 2015)</t>
  </si>
  <si>
    <t>Bill Billinghurst</t>
  </si>
  <si>
    <t>JB-8539409-00</t>
  </si>
  <si>
    <t>Brooke Bacon</t>
  </si>
  <si>
    <t>JB-8539412-00</t>
  </si>
  <si>
    <t>Diana Heard-Vaughn</t>
  </si>
  <si>
    <t>JB-8539391-00</t>
  </si>
  <si>
    <t>Incentive</t>
  </si>
  <si>
    <t>Carla Vanbockel</t>
  </si>
  <si>
    <t>JB-8539498-00</t>
  </si>
  <si>
    <t>Christine Dubois</t>
  </si>
  <si>
    <t>JB-8539495-00</t>
  </si>
  <si>
    <t>David Jozwiak</t>
  </si>
  <si>
    <t>JB-8539517-00</t>
  </si>
  <si>
    <t>Arrah-wonah Nester</t>
  </si>
  <si>
    <t>JB-8539641-00</t>
  </si>
  <si>
    <t>Marvin Hagen</t>
  </si>
  <si>
    <t>JB-8539689-00</t>
  </si>
  <si>
    <t>Sharyl Taylor</t>
  </si>
  <si>
    <t>JB-8539692-00</t>
  </si>
  <si>
    <t>Zaimary Marsh</t>
  </si>
  <si>
    <t>JB-8539674-00</t>
  </si>
  <si>
    <t>Rajeev Achari</t>
  </si>
  <si>
    <t>JB-85310037-00</t>
  </si>
  <si>
    <t>Barbara Bowen</t>
  </si>
  <si>
    <t>JB-85310055-00</t>
  </si>
  <si>
    <t>David Calderon</t>
  </si>
  <si>
    <t>JB-85310130-00</t>
  </si>
  <si>
    <t>Mark Hesse</t>
  </si>
  <si>
    <t>JB-85310018-00</t>
  </si>
  <si>
    <t>Martha Marcroft</t>
  </si>
  <si>
    <t>JB-85310057-00</t>
  </si>
  <si>
    <t>Stan Etienne</t>
  </si>
  <si>
    <t>JB-85310074-00</t>
  </si>
  <si>
    <t>Keith Holman</t>
  </si>
  <si>
    <t>JB-85310210-00</t>
  </si>
  <si>
    <t>Russell Clark</t>
  </si>
  <si>
    <t>JB-85310266-00</t>
  </si>
  <si>
    <t>Marcroft, Martha</t>
  </si>
  <si>
    <t>Clark, Russell</t>
  </si>
  <si>
    <t>Dustin Green</t>
  </si>
  <si>
    <t>JB-805536-00</t>
  </si>
  <si>
    <t>Shannon Phares</t>
  </si>
  <si>
    <t>JB-8012066-00</t>
  </si>
  <si>
    <t>Armando Gonzales</t>
  </si>
  <si>
    <t>JB-8003359-00</t>
  </si>
  <si>
    <t>Eugene McWilliams</t>
  </si>
  <si>
    <t>JB-8012081-00</t>
  </si>
  <si>
    <t>John Hummer</t>
  </si>
  <si>
    <t>JB-8012077-00</t>
  </si>
  <si>
    <t>Said Ibrahim</t>
  </si>
  <si>
    <t>JB-8012080-00</t>
  </si>
  <si>
    <t>Belhu Armidew</t>
  </si>
  <si>
    <t>JB-8003484-00</t>
  </si>
  <si>
    <t>Deborah Betts</t>
  </si>
  <si>
    <t>JB-8012101-00</t>
  </si>
  <si>
    <t>Douglas Reed</t>
  </si>
  <si>
    <t>JB-8012088-00</t>
  </si>
  <si>
    <t>Elizabeth Engelking</t>
  </si>
  <si>
    <t>JB-8003403-00</t>
  </si>
  <si>
    <t>Feleke Mekonnen</t>
  </si>
  <si>
    <t>JB-8003444-00</t>
  </si>
  <si>
    <t>Leslie Gorsuch</t>
  </si>
  <si>
    <t>JB-8003477-00</t>
  </si>
  <si>
    <t>Tulsa Gaire</t>
  </si>
  <si>
    <t>JB-8003483-00</t>
  </si>
  <si>
    <t>Damion Judkins</t>
  </si>
  <si>
    <t>JB-8003514-00</t>
  </si>
  <si>
    <t>Daniel Birara</t>
  </si>
  <si>
    <t>JB-8022850-00</t>
  </si>
  <si>
    <t>Solomon Dejene</t>
  </si>
  <si>
    <t>JB-8003506-00</t>
  </si>
  <si>
    <t>Terry Santorno</t>
  </si>
  <si>
    <t>JB-8003525-00</t>
  </si>
  <si>
    <t>Zewdinesh Wami</t>
  </si>
  <si>
    <t>JB-8003558-00</t>
  </si>
  <si>
    <t>Denice Wingate</t>
  </si>
  <si>
    <t>JB-8003606-00</t>
  </si>
  <si>
    <t>Gwendolyn Harrison</t>
  </si>
  <si>
    <t>JB-8003584-00</t>
  </si>
  <si>
    <t>Joe Bergman</t>
  </si>
  <si>
    <t>JB-8003612-00</t>
  </si>
  <si>
    <t>Roman Piwko</t>
  </si>
  <si>
    <t>JB-8003578-00</t>
  </si>
  <si>
    <t>Chris Geiss</t>
  </si>
  <si>
    <t>JB-8003677-00</t>
  </si>
  <si>
    <t>Harijanto Sugiarso</t>
  </si>
  <si>
    <t>JB-8003698-00</t>
  </si>
  <si>
    <t>Michael Evans</t>
  </si>
  <si>
    <t>JB-8003697-00</t>
  </si>
  <si>
    <t>Gary Traynor</t>
  </si>
  <si>
    <t>JB-8012206-00</t>
  </si>
  <si>
    <t>Nel Nelson</t>
  </si>
  <si>
    <t>JB-8003672-00</t>
  </si>
  <si>
    <t>Freddie Scott</t>
  </si>
  <si>
    <t>JB-8023167-00</t>
  </si>
  <si>
    <t>Johnny Bosser</t>
  </si>
  <si>
    <t>JB-8023184-00</t>
  </si>
  <si>
    <t>Terri Casias</t>
  </si>
  <si>
    <t>JB-8003905-00</t>
  </si>
  <si>
    <t>Michelle Munoz</t>
  </si>
  <si>
    <t>JB-8023274-00</t>
  </si>
  <si>
    <t>William Williams</t>
  </si>
  <si>
    <t>JB-8004017-00</t>
  </si>
  <si>
    <t>Adrian Palacios</t>
  </si>
  <si>
    <t>JB-8004097-00</t>
  </si>
  <si>
    <t>Jose Castanon</t>
  </si>
  <si>
    <t>JB-8023328-00</t>
  </si>
  <si>
    <t>JB-8023329-00</t>
  </si>
  <si>
    <t>Jose Martinez</t>
  </si>
  <si>
    <t>JB-8023312-00</t>
  </si>
  <si>
    <t>Maria Andrade</t>
  </si>
  <si>
    <t>JB-8023326-00</t>
  </si>
  <si>
    <t>Ramona Roberts</t>
  </si>
  <si>
    <t>JB-8023350-00</t>
  </si>
  <si>
    <t>Stephen Mailey</t>
  </si>
  <si>
    <t>JB-8012368-00</t>
  </si>
  <si>
    <t>Evan Binder</t>
  </si>
  <si>
    <t>JB-8012377-00</t>
  </si>
  <si>
    <t>Lynda Duncan</t>
  </si>
  <si>
    <t>JB-8012393-00</t>
  </si>
  <si>
    <t>Nancy Stevens</t>
  </si>
  <si>
    <t>JB-8012371-00</t>
  </si>
  <si>
    <t>Bogdan Karbowiak</t>
  </si>
  <si>
    <t>JB-8004502-00</t>
  </si>
  <si>
    <t>Deborah Dillon</t>
  </si>
  <si>
    <t>JB-8012517-00</t>
  </si>
  <si>
    <t>Julie Whalen</t>
  </si>
  <si>
    <t>JB-8004480-00</t>
  </si>
  <si>
    <t>Mario Badillo</t>
  </si>
  <si>
    <t>JB-8023590-00</t>
  </si>
  <si>
    <t>Phil Kneip</t>
  </si>
  <si>
    <t>JB-8012513-00</t>
  </si>
  <si>
    <t>Charles Corlett</t>
  </si>
  <si>
    <t>JB-8012548-00</t>
  </si>
  <si>
    <t>Darryl Habgood</t>
  </si>
  <si>
    <t>JB-8004568-00</t>
  </si>
  <si>
    <t>Glen Campbell</t>
  </si>
  <si>
    <t>JB-8012555-00</t>
  </si>
  <si>
    <t>Gloria Wedgle</t>
  </si>
  <si>
    <t>JB-8004511-00</t>
  </si>
  <si>
    <t>Leroy Kouri</t>
  </si>
  <si>
    <t>JB-8004621-00</t>
  </si>
  <si>
    <t>Jennifer Howell</t>
  </si>
  <si>
    <t>JB-8004653-00</t>
  </si>
  <si>
    <t>Jody Hale</t>
  </si>
  <si>
    <t>JB-8004689-00</t>
  </si>
  <si>
    <t>Johnny Cruz</t>
  </si>
  <si>
    <t>JB-8023970-00</t>
  </si>
  <si>
    <t>Leslie Farrell</t>
  </si>
  <si>
    <t>JB-8023964-00</t>
  </si>
  <si>
    <t>Timothy Eckenrode</t>
  </si>
  <si>
    <t>JB-8023956-00</t>
  </si>
  <si>
    <t>Dominick Romero</t>
  </si>
  <si>
    <t>JB-8024059-00</t>
  </si>
  <si>
    <t>Jeannie Cook</t>
  </si>
  <si>
    <t>JB-8004835-00</t>
  </si>
  <si>
    <t>Obdulia Arellano</t>
  </si>
  <si>
    <t>JB-8024113-00</t>
  </si>
  <si>
    <t>Robert Potter</t>
  </si>
  <si>
    <t>JB-8024021-00</t>
  </si>
  <si>
    <t>Mollie Chavez</t>
  </si>
  <si>
    <t>JB-8005107-00</t>
  </si>
  <si>
    <t>Moving Bonus</t>
  </si>
  <si>
    <t>Jeannie Cook G4G lead that sold</t>
  </si>
  <si>
    <t>Johnny Cruz g4g lead that sold</t>
  </si>
  <si>
    <t>Robert Potter G4G lead that sold lead</t>
  </si>
  <si>
    <t>Sean Zimmerman G4G lead that sold</t>
  </si>
  <si>
    <t>JB-8004874-00</t>
  </si>
  <si>
    <t>Billie-Jean Phillips</t>
  </si>
  <si>
    <t>JB-8003851-00</t>
  </si>
  <si>
    <t>Elizabeth Sprafka</t>
  </si>
  <si>
    <t>JB-8003864-00</t>
  </si>
  <si>
    <t>Floyd Kenison</t>
  </si>
  <si>
    <t>JB-8003879-00</t>
  </si>
  <si>
    <t>Lugo, Patrick &amp; Andrea</t>
  </si>
  <si>
    <t>JB-8003883-00</t>
  </si>
  <si>
    <t>Tyler Turpin</t>
  </si>
  <si>
    <t>JB-8003974-00</t>
  </si>
  <si>
    <t>Edward Lager</t>
  </si>
  <si>
    <t>JB-8004071-00</t>
  </si>
  <si>
    <t>Rozlyn Reece</t>
  </si>
  <si>
    <t>JB-8004100-00</t>
  </si>
  <si>
    <t>Jane Montressor</t>
  </si>
  <si>
    <t>JB-8004244-00</t>
  </si>
  <si>
    <t>Cancelled Clawed back 6/20/2014</t>
  </si>
  <si>
    <t>Paid out wrong person</t>
  </si>
  <si>
    <t>2014 Audit Adjustment</t>
  </si>
  <si>
    <t>Bradley Pollard</t>
  </si>
  <si>
    <t>JB-8004769-00</t>
  </si>
  <si>
    <t>Patricia Bruce</t>
  </si>
  <si>
    <t>JB-8004711-00</t>
  </si>
  <si>
    <t>Pay Advance from Dane Tribett</t>
  </si>
  <si>
    <t>Alice Atkins</t>
  </si>
  <si>
    <t>JB-8004866-00</t>
  </si>
  <si>
    <t>Matt Linn</t>
  </si>
  <si>
    <t>JB-8004826-00</t>
  </si>
  <si>
    <t>Matthew Miraflor</t>
  </si>
  <si>
    <t>JB-8004921-00</t>
  </si>
  <si>
    <t>Patricia Barrow</t>
  </si>
  <si>
    <t>JB-8004960-00</t>
  </si>
  <si>
    <t>Steven Hanger</t>
  </si>
  <si>
    <t>JB-8004821-00</t>
  </si>
  <si>
    <t>Ed McGuire</t>
  </si>
  <si>
    <t>JB-8004972-00</t>
  </si>
  <si>
    <t>Jared Gall</t>
  </si>
  <si>
    <t>JB-8005207-00</t>
  </si>
  <si>
    <t>Karen Belmore</t>
  </si>
  <si>
    <t>JB-8005175-00</t>
  </si>
  <si>
    <t>Cancelled Claw back 6/20/25</t>
  </si>
  <si>
    <t>Cancelled Claw back 6/20/24</t>
  </si>
  <si>
    <t>Tom Lau</t>
  </si>
  <si>
    <t>JB-8005197-00</t>
  </si>
  <si>
    <t>Daniel Lee</t>
  </si>
  <si>
    <t>JB-8538348-00</t>
  </si>
  <si>
    <t>Mark Stevens</t>
  </si>
  <si>
    <t>JB-8538300-00</t>
  </si>
  <si>
    <t>Cancelled Clawed back</t>
  </si>
  <si>
    <t>Dana Anderson</t>
  </si>
  <si>
    <t>JB-9253354-00</t>
  </si>
  <si>
    <t>Susan Palik</t>
  </si>
  <si>
    <t>JB-8538508-00</t>
  </si>
  <si>
    <t>Bill Stromblad</t>
  </si>
  <si>
    <t>JB-9253432-00</t>
  </si>
  <si>
    <t>Jose Carrasco</t>
  </si>
  <si>
    <t>JB-8538440-00</t>
  </si>
  <si>
    <t>Natalie Slivinskaya</t>
  </si>
  <si>
    <t>JB-9571825-00</t>
  </si>
  <si>
    <t>Claudia Helms</t>
  </si>
  <si>
    <t>JB-9571852-00</t>
  </si>
  <si>
    <t>Gregory Swanson</t>
  </si>
  <si>
    <t>JB-8004018-00</t>
  </si>
  <si>
    <t>Kasi Mireles</t>
  </si>
  <si>
    <t>JB-8003958-00</t>
  </si>
  <si>
    <t>Zane Ross</t>
  </si>
  <si>
    <t>JB-8003984-00</t>
  </si>
  <si>
    <t>Feng Yang</t>
  </si>
  <si>
    <t>JB-930934-00</t>
  </si>
  <si>
    <t>Erlinda Bautista</t>
  </si>
  <si>
    <t>JB-9135940-00</t>
  </si>
  <si>
    <t>Upsized</t>
  </si>
  <si>
    <t>JB-9135941-00</t>
  </si>
  <si>
    <t>Add the override in Branonds amount next week</t>
  </si>
  <si>
    <t>Curtis Anderson</t>
  </si>
  <si>
    <t>JB-9136058-00</t>
  </si>
  <si>
    <t>Alex Travis</t>
  </si>
  <si>
    <t>JB-8005128-00</t>
  </si>
  <si>
    <t>Jennifer Girvin</t>
  </si>
  <si>
    <t>JB-8005124-00</t>
  </si>
  <si>
    <t>Rent- June 10, 2014- June 21, 2014</t>
  </si>
  <si>
    <t>Move in date 6/10/14-6/21/14 12 days</t>
  </si>
  <si>
    <t>Thomas Hammar</t>
  </si>
  <si>
    <t>JB-8024355-00</t>
  </si>
  <si>
    <t>Cancelled Clawed back 6/27/14</t>
  </si>
  <si>
    <t>Joshua Claus</t>
  </si>
  <si>
    <t>JB-8538216-00</t>
  </si>
  <si>
    <t>Moving bonus</t>
  </si>
  <si>
    <t>6.22.14 - 6.28.14</t>
  </si>
  <si>
    <t>Steven Blackford</t>
  </si>
  <si>
    <t>JB-8538218-00</t>
  </si>
  <si>
    <t>Susan Seiler</t>
  </si>
  <si>
    <t>JB-8538243-00</t>
  </si>
  <si>
    <t>fix for the 125 upfront not 100</t>
  </si>
  <si>
    <t>Rent- July 7, 2014 - July 13, 2014</t>
  </si>
  <si>
    <t>July 7 through 13th</t>
  </si>
  <si>
    <t>fix for the 125 upfront not 101</t>
  </si>
  <si>
    <t>fix for the 125 upfront not 102</t>
  </si>
  <si>
    <t>Daniel Thompson</t>
  </si>
  <si>
    <t>JB-8538501-00</t>
  </si>
  <si>
    <t>6.29.14 - 7.5.14</t>
  </si>
  <si>
    <t>Rent 8/4/14 through 8/10/14</t>
  </si>
  <si>
    <t>Robert Cruthis</t>
  </si>
  <si>
    <t>JB-8538819-00</t>
  </si>
  <si>
    <t>Harry Doren</t>
  </si>
  <si>
    <t>JB-8503843-00</t>
  </si>
  <si>
    <t>Jennifer Martin</t>
  </si>
  <si>
    <t>JB-8539329-00</t>
  </si>
  <si>
    <t>Jaime Cooper</t>
  </si>
  <si>
    <t>JB-8539742-00</t>
  </si>
  <si>
    <t>John Armbrust</t>
  </si>
  <si>
    <t>JB-8539621-00</t>
  </si>
  <si>
    <t>September overides Trueup</t>
  </si>
  <si>
    <t>Natalie Martin</t>
  </si>
  <si>
    <t>JB-8003849-00</t>
  </si>
  <si>
    <t>Ella Mavasheva</t>
  </si>
  <si>
    <t>JB-8004021-00</t>
  </si>
  <si>
    <t>Troy Hanks</t>
  </si>
  <si>
    <t>JB-8003971-00</t>
  </si>
  <si>
    <t>Tuba Martin</t>
  </si>
  <si>
    <t>JB-8004214-00</t>
  </si>
  <si>
    <t>Marcos Dolla</t>
  </si>
  <si>
    <t>JB-8004442-00</t>
  </si>
  <si>
    <t>Chris Holmes</t>
  </si>
  <si>
    <t>JB-8004023-00</t>
  </si>
  <si>
    <t>Manuel Castanon</t>
  </si>
  <si>
    <t>JB-8003940-00</t>
  </si>
  <si>
    <t>Richard Botos</t>
  </si>
  <si>
    <t>JB-8004078-00</t>
  </si>
  <si>
    <t>Justin Blumling</t>
  </si>
  <si>
    <t>JB-8004224-00</t>
  </si>
  <si>
    <t>Jon Jahner</t>
  </si>
  <si>
    <t>JB-8004278-00</t>
  </si>
  <si>
    <t>Brad Thompson</t>
  </si>
  <si>
    <t>JB-8004410-00</t>
  </si>
  <si>
    <t>Shea Tobin</t>
  </si>
  <si>
    <t>JB-8004483-00</t>
  </si>
  <si>
    <t>Corissa Thornton</t>
  </si>
  <si>
    <t>JB-8004581-00</t>
  </si>
  <si>
    <t>Lee Mccuen</t>
  </si>
  <si>
    <t>JB-8004530-00</t>
  </si>
  <si>
    <t>Dilfaz Kaykayeva</t>
  </si>
  <si>
    <t>JB-8004715-00</t>
  </si>
  <si>
    <t>Carol Knight</t>
  </si>
  <si>
    <t>JB-8012705-00</t>
  </si>
  <si>
    <t>Cody Evans</t>
  </si>
  <si>
    <t>JB-804561-00</t>
  </si>
  <si>
    <t>Danielle Florio</t>
  </si>
  <si>
    <t>JB-8024064-00</t>
  </si>
  <si>
    <t>Debra Rollins</t>
  </si>
  <si>
    <t>JB-8004817-00</t>
  </si>
  <si>
    <t>Cancelled clawback 6/20/14</t>
  </si>
  <si>
    <t>Courtney Dauer</t>
  </si>
  <si>
    <t>JB-8005221-00</t>
  </si>
  <si>
    <t>David Wier</t>
  </si>
  <si>
    <t>JB-8005222-00</t>
  </si>
  <si>
    <t>Cancelled clawback 6/20/15</t>
  </si>
  <si>
    <t>interconnection</t>
  </si>
  <si>
    <t>Cody Evans G4G lead that sold</t>
  </si>
  <si>
    <t>Danielle Florio G4G lead that sold</t>
  </si>
  <si>
    <t>David Wier g4g lead that sold</t>
  </si>
  <si>
    <t>Harrison Loomis</t>
  </si>
  <si>
    <t>JB-8012059-00</t>
  </si>
  <si>
    <t>Von Rhea</t>
  </si>
  <si>
    <t>JB-8022826-00</t>
  </si>
  <si>
    <t>Stanley Jonekos</t>
  </si>
  <si>
    <t>JB-8023105-00</t>
  </si>
  <si>
    <t>Cameron Letterman</t>
  </si>
  <si>
    <t>JB-8023170-00</t>
  </si>
  <si>
    <t>Elizabeth Bergman</t>
  </si>
  <si>
    <t>JB-8012374-00</t>
  </si>
  <si>
    <t>Janell Robinson</t>
  </si>
  <si>
    <t>JB-8012432-00</t>
  </si>
  <si>
    <t>Nick Christensen</t>
  </si>
  <si>
    <t>JB-8023459-00</t>
  </si>
  <si>
    <t>Roxanne Koehler</t>
  </si>
  <si>
    <t>JB-8012461-00</t>
  </si>
  <si>
    <t>Spencer Hendrix</t>
  </si>
  <si>
    <t>JB-8023826-00</t>
  </si>
  <si>
    <t>Payout</t>
  </si>
  <si>
    <t>Sue Robinson</t>
  </si>
  <si>
    <t>JB-8524055-00</t>
  </si>
  <si>
    <t>Doreen Hines</t>
  </si>
  <si>
    <t>JB-8005033-00</t>
  </si>
  <si>
    <t>Harley Hines</t>
  </si>
  <si>
    <t>JB-8005031-00</t>
  </si>
  <si>
    <t>James Hendrix</t>
  </si>
  <si>
    <t>JB-8023834-00</t>
  </si>
  <si>
    <t>Switched from Dane Tribett</t>
  </si>
  <si>
    <t>Cindy Gunderson</t>
  </si>
  <si>
    <t>JB-8024375-00</t>
  </si>
  <si>
    <t>Shanda Hammond</t>
  </si>
  <si>
    <t>JB-8024368-00</t>
  </si>
  <si>
    <t>James Hendrix Part 1 of 2</t>
  </si>
  <si>
    <t>JB-8023813-00</t>
  </si>
  <si>
    <t>Customer Uncertain clawed back</t>
  </si>
  <si>
    <t>Cory Echols</t>
  </si>
  <si>
    <t>JB-8525091-00</t>
  </si>
  <si>
    <t>James Hendrix Part 2 of 2</t>
  </si>
  <si>
    <t>Tim Wiese</t>
  </si>
  <si>
    <t>JB-8524716-00</t>
  </si>
  <si>
    <t>Melissa van der Werf</t>
  </si>
  <si>
    <t>JB-8525299-00</t>
  </si>
  <si>
    <t>Daniel Dahl</t>
  </si>
  <si>
    <t>JB-8525706-00</t>
  </si>
  <si>
    <t>Randy Curtis</t>
  </si>
  <si>
    <t>JB-8526255-00</t>
  </si>
  <si>
    <t>Robert Newman</t>
  </si>
  <si>
    <t>JB-8526350-00</t>
  </si>
  <si>
    <t>Melissa Vanderwerf</t>
  </si>
  <si>
    <t>Curtis, Randy</t>
  </si>
  <si>
    <t>Erik Govednik</t>
  </si>
  <si>
    <t>JB-8004183-00</t>
  </si>
  <si>
    <t>Rent- June 18, 2014 - July 30, 14</t>
  </si>
  <si>
    <t>Blake Wilkes</t>
  </si>
  <si>
    <t>JB-8023898-00</t>
  </si>
  <si>
    <t>Utilities $15, $138.67 for furniture</t>
  </si>
  <si>
    <t>Iduviges Chavira</t>
  </si>
  <si>
    <t>JB-8024036-00</t>
  </si>
  <si>
    <t>Matthew Knapp</t>
  </si>
  <si>
    <t>JB-8024346-00</t>
  </si>
  <si>
    <t>Design Pending</t>
  </si>
  <si>
    <t>Rent- June 8, 2014 - June 21, 2014</t>
  </si>
  <si>
    <t>6/8/14-6/21/14</t>
  </si>
  <si>
    <t>Accounts Trued Up (2 of 3)</t>
  </si>
  <si>
    <t>Briggs Gamblin</t>
  </si>
  <si>
    <t>JB-8004955-00</t>
  </si>
  <si>
    <t>King, Ruth</t>
  </si>
  <si>
    <t>JB-8005610-00</t>
  </si>
  <si>
    <t>Sandy Gladney</t>
  </si>
  <si>
    <t>JB-8004464-00</t>
  </si>
  <si>
    <t>Brian Robertson</t>
  </si>
  <si>
    <t>JB-8012699-00</t>
  </si>
  <si>
    <t>Fred Lian</t>
  </si>
  <si>
    <t>JB-8012737-00</t>
  </si>
  <si>
    <t>Gordon Bell</t>
  </si>
  <si>
    <t>JB-8012686-00</t>
  </si>
  <si>
    <t>Kim Tran</t>
  </si>
  <si>
    <t>JB-8012748-00</t>
  </si>
  <si>
    <t>Nate Martin</t>
  </si>
  <si>
    <t>JB-8012713-00</t>
  </si>
  <si>
    <t>Rent $428.75, Utilities $15, Furniture $104, Insurance $2.69</t>
  </si>
  <si>
    <t>Tom Geislar</t>
  </si>
  <si>
    <t>JB-8012773-00</t>
  </si>
  <si>
    <t>Aaron Zoerner</t>
  </si>
  <si>
    <t>JB-8012827-00</t>
  </si>
  <si>
    <t>Corey Cecchini</t>
  </si>
  <si>
    <t>JB-8012831-00</t>
  </si>
  <si>
    <t>Rent- June 14, 2014- June 21, 2014</t>
  </si>
  <si>
    <t>Move in date 6/14/14-6/21/14</t>
  </si>
  <si>
    <t>Tuanandy Chung</t>
  </si>
  <si>
    <t>JB-8012838-00</t>
  </si>
  <si>
    <t>Reimbursement- Flight</t>
  </si>
  <si>
    <t>Michael Moore</t>
  </si>
  <si>
    <t>JB-8022934-00</t>
  </si>
  <si>
    <t>Pay him $500. He only has one sale. Paid half</t>
  </si>
  <si>
    <t>Dilawer Kamal</t>
  </si>
  <si>
    <t>JB-8004121-00</t>
  </si>
  <si>
    <t>Idell Grant</t>
  </si>
  <si>
    <t>JB-8004791-00</t>
  </si>
  <si>
    <t>Roberta Sears</t>
  </si>
  <si>
    <t>JB-8024083-00</t>
  </si>
  <si>
    <t>Carol Sporich</t>
  </si>
  <si>
    <t>JB-8005112-00</t>
  </si>
  <si>
    <t>Double payment</t>
  </si>
  <si>
    <t>Jackie Payne</t>
  </si>
  <si>
    <t>JB-8005216-00</t>
  </si>
  <si>
    <t>William Lancaster</t>
  </si>
  <si>
    <t>JB-8003848-00</t>
  </si>
  <si>
    <t>Terry Walsh</t>
  </si>
  <si>
    <t>JB-8023264-00</t>
  </si>
  <si>
    <t>Doesn’t have future sales</t>
  </si>
  <si>
    <t>Casey Matthews</t>
  </si>
  <si>
    <t>JB-8023378-00</t>
  </si>
  <si>
    <t>Renee Matthews</t>
  </si>
  <si>
    <t>JB-804520-00</t>
  </si>
  <si>
    <t>Tim Hartman</t>
  </si>
  <si>
    <t>JB-8023380-00</t>
  </si>
  <si>
    <t>Angelica Martinez</t>
  </si>
  <si>
    <t>JB-8004714-00</t>
  </si>
  <si>
    <t>Matthews, Casey</t>
  </si>
  <si>
    <t>Matthews, Renee</t>
  </si>
  <si>
    <t>Michelle Gillette</t>
  </si>
  <si>
    <t>JB-8023696-00</t>
  </si>
  <si>
    <t>Ahni Smith</t>
  </si>
  <si>
    <t>JB-8012547-00</t>
  </si>
  <si>
    <t>Daniel Bailey</t>
  </si>
  <si>
    <t>JB-8012789-00</t>
  </si>
  <si>
    <t>Heather Turtle</t>
  </si>
  <si>
    <t>JB-804565-00</t>
  </si>
  <si>
    <t>Stephanie Croach</t>
  </si>
  <si>
    <t>JB-8012785-00</t>
  </si>
  <si>
    <t>Robert Cook</t>
  </si>
  <si>
    <t>JB-9172586-00</t>
  </si>
  <si>
    <t>sale</t>
  </si>
  <si>
    <t>G4g Daniel Bailey lead</t>
  </si>
  <si>
    <t>iPad</t>
  </si>
  <si>
    <t>Rent- June 16, 2014- June 21, 2014</t>
  </si>
  <si>
    <t>Stephanie croach G4G lead that sold</t>
  </si>
  <si>
    <t>Loi Tran</t>
  </si>
  <si>
    <t>JB-8012836-00</t>
  </si>
  <si>
    <t>Rent- Phoenix 10 days/Denver 4 days</t>
  </si>
  <si>
    <t>Wendell Hutchings</t>
  </si>
  <si>
    <t>JB-8003819-00</t>
  </si>
  <si>
    <t>Joyce Ruisi</t>
  </si>
  <si>
    <t>JB-8003805-00</t>
  </si>
  <si>
    <t>Candy Donaldson</t>
  </si>
  <si>
    <t>JB-8004102-00</t>
  </si>
  <si>
    <t>Christine Santos</t>
  </si>
  <si>
    <t>JB-8004139-00</t>
  </si>
  <si>
    <t>Clara Earley</t>
  </si>
  <si>
    <t>JB-8004114-00</t>
  </si>
  <si>
    <t>Kassa Agegenw</t>
  </si>
  <si>
    <t>JB-8004117-00</t>
  </si>
  <si>
    <t>Rakhi Ihiga</t>
  </si>
  <si>
    <t>JB-8004137-00</t>
  </si>
  <si>
    <t>JB-8004141-00</t>
  </si>
  <si>
    <t>JB-8004142-00</t>
  </si>
  <si>
    <t>Mustapha Aichiouene</t>
  </si>
  <si>
    <t>JB-8004608-00</t>
  </si>
  <si>
    <t>Deborah Garcia</t>
  </si>
  <si>
    <t>JB-8004668-00</t>
  </si>
  <si>
    <t>Kyle Scheideman</t>
  </si>
  <si>
    <t>JB-8004665-00</t>
  </si>
  <si>
    <t>Pride-West Warah</t>
  </si>
  <si>
    <t>JB-8004691-00</t>
  </si>
  <si>
    <t>JB-8004836-00</t>
  </si>
  <si>
    <t>Jason Tabacheck</t>
  </si>
  <si>
    <t>JB-8004850-00</t>
  </si>
  <si>
    <t>Lahoucine Takajjart</t>
  </si>
  <si>
    <t>JB-8004611-00</t>
  </si>
  <si>
    <t>Fatima Iskenderove</t>
  </si>
  <si>
    <t>JB-8004973-00</t>
  </si>
  <si>
    <t>John Moore</t>
  </si>
  <si>
    <t>JB-8012745-00</t>
  </si>
  <si>
    <t>Rod Blincoe</t>
  </si>
  <si>
    <t>JB-8012738-00</t>
  </si>
  <si>
    <t>Angelica Hernandez</t>
  </si>
  <si>
    <t>JB-8538419-00</t>
  </si>
  <si>
    <t>Cancelled claw back 6/20/14</t>
  </si>
  <si>
    <t>Judas Santos</t>
  </si>
  <si>
    <t>JB-8005191-00</t>
  </si>
  <si>
    <t>Amy Corr</t>
  </si>
  <si>
    <t>JB-8012736-00</t>
  </si>
  <si>
    <t>Backends</t>
  </si>
  <si>
    <t>6.63kW Greg Allen is Chuck Barson's but Tyler's Greg Allen (6.12kW but paid for 6.63kW) cancelled</t>
  </si>
  <si>
    <t>Harry Pallas</t>
  </si>
  <si>
    <t>JB-118174-00</t>
  </si>
  <si>
    <t>JB-8005195-00</t>
  </si>
  <si>
    <t>Reimbursement- Rent</t>
  </si>
  <si>
    <t>Rent Trueup</t>
  </si>
  <si>
    <t>Reimbursement- Rental Car</t>
  </si>
  <si>
    <t>Scott Houghteling</t>
  </si>
  <si>
    <t>JB-8012733-00</t>
  </si>
  <si>
    <t>Werner Fischer</t>
  </si>
  <si>
    <t>JB-1171622-00</t>
  </si>
  <si>
    <t>Aichiouene, Mustapha</t>
  </si>
  <si>
    <t>Nicole J Fink</t>
  </si>
  <si>
    <t>JB-8003621-00</t>
  </si>
  <si>
    <t>Jason Thayer</t>
  </si>
  <si>
    <t>JB-8003904-00</t>
  </si>
  <si>
    <t>Laurie Paganini</t>
  </si>
  <si>
    <t>JB-8003870-00</t>
  </si>
  <si>
    <t>Anthony Amari</t>
  </si>
  <si>
    <t>JB-8539164-00</t>
  </si>
  <si>
    <t>Arthur Dutcher</t>
  </si>
  <si>
    <t>JB-8024333-00</t>
  </si>
  <si>
    <t>Bill Fry</t>
  </si>
  <si>
    <t>JB-8539814-00</t>
  </si>
  <si>
    <t>David Jackson</t>
  </si>
  <si>
    <t>JB-8024030-00</t>
  </si>
  <si>
    <t>Huascar Bodden</t>
  </si>
  <si>
    <t>JB-8539368-00</t>
  </si>
  <si>
    <t>Patricia Hess</t>
  </si>
  <si>
    <t>JB-8539315-00</t>
  </si>
  <si>
    <t>Richard Gomez</t>
  </si>
  <si>
    <t>JB-8539449-00</t>
  </si>
  <si>
    <t>Richard Rodriguez</t>
  </si>
  <si>
    <t>JB-8539577-00</t>
  </si>
  <si>
    <t>Adam Hergott</t>
  </si>
  <si>
    <t>JB-8023662-00</t>
  </si>
  <si>
    <t>Eric Hinds</t>
  </si>
  <si>
    <t>JB-8023660-00</t>
  </si>
  <si>
    <t>Mary Schmidt</t>
  </si>
  <si>
    <t>JB-8023611-00</t>
  </si>
  <si>
    <t>Bonnie Borgman</t>
  </si>
  <si>
    <t>JB-8012591-00</t>
  </si>
  <si>
    <t>Geoff Hames</t>
  </si>
  <si>
    <t>JB-8012546-00</t>
  </si>
  <si>
    <t>John La porte</t>
  </si>
  <si>
    <t>JB-8012540-00</t>
  </si>
  <si>
    <t>Johnath Pol</t>
  </si>
  <si>
    <t>JB-8012605-00</t>
  </si>
  <si>
    <t>Kim Anderson</t>
  </si>
  <si>
    <t>JB-8012563-00</t>
  </si>
  <si>
    <t>Larry Walter</t>
  </si>
  <si>
    <t>JB-8012588-00</t>
  </si>
  <si>
    <t>Sindy Dubishar</t>
  </si>
  <si>
    <t>JB-8012566-00</t>
  </si>
  <si>
    <t>Leatha Pearson</t>
  </si>
  <si>
    <t>JB-8012669-00</t>
  </si>
  <si>
    <t>Michael Wing</t>
  </si>
  <si>
    <t>JB-8012645-00</t>
  </si>
  <si>
    <t>Rent $430, April Rent $86 , Utilities $15, Furniture $119.33,April Furniture $4, Insurance $2.69</t>
  </si>
  <si>
    <t>Richard Bush</t>
  </si>
  <si>
    <t>JB-8012643-00</t>
  </si>
  <si>
    <t>Cyndi Fletcher</t>
  </si>
  <si>
    <t>JB-8012702-00</t>
  </si>
  <si>
    <t>Irish Keeton</t>
  </si>
  <si>
    <t>JB-8012741-00</t>
  </si>
  <si>
    <t>Kelly Gouge</t>
  </si>
  <si>
    <t>JB-8012703-00</t>
  </si>
  <si>
    <t>Canceled Clawed back 6/2/14</t>
  </si>
  <si>
    <t>Nancy Chardavoyne</t>
  </si>
  <si>
    <t>JB-8012715-00</t>
  </si>
  <si>
    <t>Didn’t take out enough rent or TOOK? Out too much rent?</t>
  </si>
  <si>
    <t>Steven Sterkel</t>
  </si>
  <si>
    <t>JB-8012743-00</t>
  </si>
  <si>
    <t>Casey Ward</t>
  </si>
  <si>
    <t>JB-8004805-00</t>
  </si>
  <si>
    <t>William Pool</t>
  </si>
  <si>
    <t>JB-8005022-00</t>
  </si>
  <si>
    <t>James Highland</t>
  </si>
  <si>
    <t>JB-8012811-00</t>
  </si>
  <si>
    <t>Karli Morton</t>
  </si>
  <si>
    <t>JB-8012832-00</t>
  </si>
  <si>
    <t>Kathryn Blitz</t>
  </si>
  <si>
    <t>JB-8012818-00</t>
  </si>
  <si>
    <t>Phillip Miller</t>
  </si>
  <si>
    <t>JB-8012805-00</t>
  </si>
  <si>
    <t>Lindsey Wynia</t>
  </si>
  <si>
    <t>JB-9253344-00</t>
  </si>
  <si>
    <t>Rent - June 28, 2014 - July 6, 2014 Part 1 of 2</t>
  </si>
  <si>
    <t>Divided into two so that negatives could be put off to get Cameron $500.00 this week.</t>
  </si>
  <si>
    <t>14th -20 reimbursment</t>
  </si>
  <si>
    <t>Kim Vu</t>
  </si>
  <si>
    <t>JB-9283349-00</t>
  </si>
  <si>
    <t>Rent - June 28, 2014 - July 6, 2014 Part 2 of 2</t>
  </si>
  <si>
    <t>Rent, and Insurance 28th of June to July 6th. Divided into two so that negatives could be put off to get Cameron $500.00  July 11th.</t>
  </si>
  <si>
    <t>Rent- July 8, 2014 - July 13, 2014 Correction</t>
  </si>
  <si>
    <t>Rent- June 22, 2014 - June 25, 2014 &amp; July 14, 2014 - July 20, 2014</t>
  </si>
  <si>
    <t>June 22nd to 25th and July 14th through July 20th</t>
  </si>
  <si>
    <t>Rent- June 23, 2014 - June 27, 2014</t>
  </si>
  <si>
    <t>Rent, furniture, and insurance for the 25th to the 27th of June</t>
  </si>
  <si>
    <t>JB-8012565-00</t>
  </si>
  <si>
    <t>True up from 5/30/14</t>
  </si>
  <si>
    <t>Robert Romero</t>
  </si>
  <si>
    <t>JB-8023575-00</t>
  </si>
  <si>
    <t>William Whitney</t>
  </si>
  <si>
    <t>JB-8023511-00</t>
  </si>
  <si>
    <t>Alicia Jeub</t>
  </si>
  <si>
    <t>JB-8023757-00</t>
  </si>
  <si>
    <t>Gerald Cunningham</t>
  </si>
  <si>
    <t>JB-8023747-00</t>
  </si>
  <si>
    <t>Juan Ibarra</t>
  </si>
  <si>
    <t>JB-8023840-00</t>
  </si>
  <si>
    <t>LeRoy Fox</t>
  </si>
  <si>
    <t>JB-8023741-00</t>
  </si>
  <si>
    <t>Loralee Haynie</t>
  </si>
  <si>
    <t>JB-8023684-00</t>
  </si>
  <si>
    <t>Pete Ellison</t>
  </si>
  <si>
    <t>JB-8023529-00</t>
  </si>
  <si>
    <t>Robert Finney</t>
  </si>
  <si>
    <t>JB-8023507-00</t>
  </si>
  <si>
    <t>Wesley Sthole</t>
  </si>
  <si>
    <t>JB-8023734-00</t>
  </si>
  <si>
    <t>JB-8023510-00</t>
  </si>
  <si>
    <t>Hein Tran</t>
  </si>
  <si>
    <t>JB-8023917-00</t>
  </si>
  <si>
    <t>Rozina Demissie</t>
  </si>
  <si>
    <t>JB-8023954-00</t>
  </si>
  <si>
    <t>Sareth Prum</t>
  </si>
  <si>
    <t>JB-8023897-00</t>
  </si>
  <si>
    <t>Anthony Holeman</t>
  </si>
  <si>
    <t>JB-8023991-00</t>
  </si>
  <si>
    <t>Cesar Pompa</t>
  </si>
  <si>
    <t>JB-8024010-00</t>
  </si>
  <si>
    <t>John Tucker</t>
  </si>
  <si>
    <t>JB-8023987-00</t>
  </si>
  <si>
    <t>JONAS MANCHO</t>
  </si>
  <si>
    <t>JB-8024004-00</t>
  </si>
  <si>
    <t>Derek Rosse</t>
  </si>
  <si>
    <t>JB-8024210-00</t>
  </si>
  <si>
    <t xml:space="preserve">Site Audit Scheduled </t>
  </si>
  <si>
    <t>Joseph Chavez</t>
  </si>
  <si>
    <t>JB-8024188-00</t>
  </si>
  <si>
    <t>Mark Brown</t>
  </si>
  <si>
    <t>JB-8024165-00</t>
  </si>
  <si>
    <t>Patrick Murphy</t>
  </si>
  <si>
    <t>JB-8024206-00</t>
  </si>
  <si>
    <t>Angel Perez</t>
  </si>
  <si>
    <t>JB-8024379-00</t>
  </si>
  <si>
    <t>Clifford Reese</t>
  </si>
  <si>
    <t>JB-9504065-00</t>
  </si>
  <si>
    <t>Jessica Vasquez</t>
  </si>
  <si>
    <t>JB-8503451-00</t>
  </si>
  <si>
    <t>Mike Wegman</t>
  </si>
  <si>
    <t>JB-8024382-00</t>
  </si>
  <si>
    <t>Reggie Deffebaugh</t>
  </si>
  <si>
    <t>JB-8024302-00</t>
  </si>
  <si>
    <t>Rosse, Derek</t>
  </si>
  <si>
    <t>JB-8512832-00</t>
  </si>
  <si>
    <t>Elise Edmonds</t>
  </si>
  <si>
    <t>JB-8022810-00</t>
  </si>
  <si>
    <t>Carrie Seibel</t>
  </si>
  <si>
    <t>JB-8012148-00</t>
  </si>
  <si>
    <t>Jim Archuletta</t>
  </si>
  <si>
    <t>JB-8012177-00</t>
  </si>
  <si>
    <t>S.E. Martin</t>
  </si>
  <si>
    <t>JB-8012167-00</t>
  </si>
  <si>
    <t>Bradley Wagner</t>
  </si>
  <si>
    <t>JB-8012204-00</t>
  </si>
  <si>
    <t>Carl Gibbons</t>
  </si>
  <si>
    <t>JB-8012202-00</t>
  </si>
  <si>
    <t>Robert Eke</t>
  </si>
  <si>
    <t>JB-8012198-00</t>
  </si>
  <si>
    <t>Customer cancelled</t>
  </si>
  <si>
    <t>Emily Gronseth</t>
  </si>
  <si>
    <t>JB-8012217-00</t>
  </si>
  <si>
    <t>Kenneth Sopel</t>
  </si>
  <si>
    <t>JB-8012233-00</t>
  </si>
  <si>
    <t>Roger Asmus</t>
  </si>
  <si>
    <t>JB-8012221-00</t>
  </si>
  <si>
    <t>Edward Adams</t>
  </si>
  <si>
    <t>JB-8012276-00</t>
  </si>
  <si>
    <t>Joan Mahoney</t>
  </si>
  <si>
    <t>JB-8012261-00</t>
  </si>
  <si>
    <t>John Blanton</t>
  </si>
  <si>
    <t>JB-8012240-00</t>
  </si>
  <si>
    <t>Josh Liss</t>
  </si>
  <si>
    <t>JB-8012250-00</t>
  </si>
  <si>
    <t>Ken Schauer</t>
  </si>
  <si>
    <t>JB-8012265-00</t>
  </si>
  <si>
    <t>Don Rack</t>
  </si>
  <si>
    <t>JB-8012283-00</t>
  </si>
  <si>
    <t>Paul Detschermitsch</t>
  </si>
  <si>
    <t>JB-8012300-00</t>
  </si>
  <si>
    <t>Gary Williamson</t>
  </si>
  <si>
    <t>JB-8012344-00</t>
  </si>
  <si>
    <t>Janet Gardelli</t>
  </si>
  <si>
    <t>JB-8012330-00</t>
  </si>
  <si>
    <t>Jay Rairigh</t>
  </si>
  <si>
    <t>JB-8012352-00</t>
  </si>
  <si>
    <t>Michael Claiborne</t>
  </si>
  <si>
    <t>JB-8012320-00</t>
  </si>
  <si>
    <t>Rudy Gonsales</t>
  </si>
  <si>
    <t>JB-8012417-00</t>
  </si>
  <si>
    <t>Ryan Schneider</t>
  </si>
  <si>
    <t>JB-8012395-00</t>
  </si>
  <si>
    <t>Rent- July 7, 2014 - July 13, 2015</t>
  </si>
  <si>
    <t>July 7 through 14</t>
  </si>
  <si>
    <t>Benito Castillo</t>
  </si>
  <si>
    <t>JB-8538563-00</t>
  </si>
  <si>
    <t>Gary Farmer 1 of 2: Split for Ryan to receive money July 18, 2014</t>
  </si>
  <si>
    <t>JB-8012569-00</t>
  </si>
  <si>
    <t>Travis Bilger</t>
  </si>
  <si>
    <t>JB-8538423-00</t>
  </si>
  <si>
    <t>Josh Corwin</t>
  </si>
  <si>
    <t>JB-8012538-00</t>
  </si>
  <si>
    <t>Ahmad Abid</t>
  </si>
  <si>
    <t>JB-8012813-00</t>
  </si>
  <si>
    <t>Betre Workie</t>
  </si>
  <si>
    <t>JB-8538514-00</t>
  </si>
  <si>
    <t>Christopher Herrera</t>
  </si>
  <si>
    <t>JB-8004869-00</t>
  </si>
  <si>
    <t>Gary Farmer</t>
  </si>
  <si>
    <t>Gary Farmer 2 of 2: Split for Ryan to receive money July 18, 2014</t>
  </si>
  <si>
    <t>Larry Kolacny</t>
  </si>
  <si>
    <t>JB-8012611-00</t>
  </si>
  <si>
    <t>Max Arney</t>
  </si>
  <si>
    <t>JB-8012465-00</t>
  </si>
  <si>
    <t>Rent- June 18, 2014- June 21, 2014</t>
  </si>
  <si>
    <t>Rudy Caro</t>
  </si>
  <si>
    <t>JB-9564560-00</t>
  </si>
  <si>
    <t>Randall Taylor</t>
  </si>
  <si>
    <t>JB-8003852-00</t>
  </si>
  <si>
    <t>Jane Sanford</t>
  </si>
  <si>
    <t>JB-8004101-00</t>
  </si>
  <si>
    <t>Kim Avalos</t>
  </si>
  <si>
    <t>JB-8004242-00</t>
  </si>
  <si>
    <t>Donald Lopez</t>
  </si>
  <si>
    <t>JB-8012658-00</t>
  </si>
  <si>
    <t>Robert Palatian</t>
  </si>
  <si>
    <t>JB-8012637-00</t>
  </si>
  <si>
    <t>Carlton Wynn</t>
  </si>
  <si>
    <t>JB-8004891-00</t>
  </si>
  <si>
    <t>Josh Brooks</t>
  </si>
  <si>
    <t>JB-8023120-00</t>
  </si>
  <si>
    <t>Ruth Possehl</t>
  </si>
  <si>
    <t>JB-8023239-00</t>
  </si>
  <si>
    <t>Eric Sakotas</t>
  </si>
  <si>
    <t>JB-8023475-00</t>
  </si>
  <si>
    <t>Glen Davis</t>
  </si>
  <si>
    <t>JB-8012506-00</t>
  </si>
  <si>
    <t>Mike Foster</t>
  </si>
  <si>
    <t>JB-8023665-00</t>
  </si>
  <si>
    <t>Martin Svoboda</t>
  </si>
  <si>
    <t>JB-8024316-00</t>
  </si>
  <si>
    <t>Ryan Stevens</t>
  </si>
  <si>
    <t>JB-8012820-00</t>
  </si>
  <si>
    <t>Past voided check #5050</t>
  </si>
  <si>
    <t>Past voided check#5010</t>
  </si>
  <si>
    <t>Cora Wilson</t>
  </si>
  <si>
    <t>JB-8023985-00</t>
  </si>
  <si>
    <t>Svoboda, Martin</t>
  </si>
  <si>
    <t>Jonathan Huckabee</t>
  </si>
  <si>
    <t>JB-8004069-00</t>
  </si>
  <si>
    <t>Robert Quintana</t>
  </si>
  <si>
    <t>JB-8023324-00</t>
  </si>
  <si>
    <t>Keith Sorensen</t>
  </si>
  <si>
    <t>JB-8023466-00</t>
  </si>
  <si>
    <t>Luann Hernandez</t>
  </si>
  <si>
    <t>JB-8023457-00</t>
  </si>
  <si>
    <t>Sarah Skigen</t>
  </si>
  <si>
    <t>JB-804523-00</t>
  </si>
  <si>
    <t>Jason Kosola</t>
  </si>
  <si>
    <t>JB-8023508-00</t>
  </si>
  <si>
    <t>John Negri</t>
  </si>
  <si>
    <t>JB-8023609-00</t>
  </si>
  <si>
    <t>Norma Prasad-Defreitas</t>
  </si>
  <si>
    <t>JB-8023635-00</t>
  </si>
  <si>
    <t>Paul Orlino</t>
  </si>
  <si>
    <t>JB-8023588-00</t>
  </si>
  <si>
    <t>Philip Cedillo</t>
  </si>
  <si>
    <t>JB-8023657-00</t>
  </si>
  <si>
    <t>Shawn Eagle</t>
  </si>
  <si>
    <t>JB-8023670-00</t>
  </si>
  <si>
    <t>Len Wheeler</t>
  </si>
  <si>
    <t>JB-8004658-00</t>
  </si>
  <si>
    <t>Tom Regan</t>
  </si>
  <si>
    <t>JB-8023728-00</t>
  </si>
  <si>
    <t>Susan Green</t>
  </si>
  <si>
    <t>JB-8024135-00</t>
  </si>
  <si>
    <t>Christian Hendrickson</t>
  </si>
  <si>
    <t>JB-8024231-00</t>
  </si>
  <si>
    <t>Donald Quade</t>
  </si>
  <si>
    <t>JB-8024213-00</t>
  </si>
  <si>
    <t>Paid out twice</t>
  </si>
  <si>
    <t>Aaron Benko</t>
  </si>
  <si>
    <t>JB-8024297-00</t>
  </si>
  <si>
    <t xml:space="preserve">Clawed back too much last week because of </t>
  </si>
  <si>
    <t xml:space="preserve">Cancelled Clawed back </t>
  </si>
  <si>
    <t>Alejandro Casillas</t>
  </si>
  <si>
    <t>JB-8023261-00</t>
  </si>
  <si>
    <t>Edgar Maya</t>
  </si>
  <si>
    <t>JB-8023349-00</t>
  </si>
  <si>
    <t>John Sava</t>
  </si>
  <si>
    <t>JB-8023315-00</t>
  </si>
  <si>
    <t>Ramon Escamilla-Cortez</t>
  </si>
  <si>
    <t>JB-8023353-00</t>
  </si>
  <si>
    <t>Rita Vegas</t>
  </si>
  <si>
    <t>JB-8023305-00</t>
  </si>
  <si>
    <t>Roberto Galvan Garcia</t>
  </si>
  <si>
    <t>JB-8004089-00</t>
  </si>
  <si>
    <t>Ligeia Craven</t>
  </si>
  <si>
    <t>JB-8023417-00</t>
  </si>
  <si>
    <t>JB-8023418-00</t>
  </si>
  <si>
    <t>Roland Mease</t>
  </si>
  <si>
    <t>JB-8023446-00</t>
  </si>
  <si>
    <t>Timothy Farad</t>
  </si>
  <si>
    <t>JB-8023442-00</t>
  </si>
  <si>
    <t>JB-8023463-00</t>
  </si>
  <si>
    <t>Charles Curley</t>
  </si>
  <si>
    <t>JB-8023487-00</t>
  </si>
  <si>
    <t>Maria Meza</t>
  </si>
  <si>
    <t>JB-8004271-00</t>
  </si>
  <si>
    <t>Melinda Smith</t>
  </si>
  <si>
    <t>JB-8023476-00</t>
  </si>
  <si>
    <t>Emilia Martel</t>
  </si>
  <si>
    <t>JB-8004460-00</t>
  </si>
  <si>
    <t>Jorge Rivera</t>
  </si>
  <si>
    <t>JB-8004491-00</t>
  </si>
  <si>
    <t>Jose Fontes</t>
  </si>
  <si>
    <t>JB-8004485-00</t>
  </si>
  <si>
    <t>Lisa Hager</t>
  </si>
  <si>
    <t>JB-8023693-00</t>
  </si>
  <si>
    <t>Angel Cordova</t>
  </si>
  <si>
    <t>JB-8023835-00</t>
  </si>
  <si>
    <t>Dale Oconnor</t>
  </si>
  <si>
    <t>JB-8023721-00</t>
  </si>
  <si>
    <t>Hidde stauthamer</t>
  </si>
  <si>
    <t>JB-8012559-00</t>
  </si>
  <si>
    <t>Laura Casillas</t>
  </si>
  <si>
    <t>JB-8023729-00</t>
  </si>
  <si>
    <t>Anthony toliver</t>
  </si>
  <si>
    <t>JB-8004686-00</t>
  </si>
  <si>
    <t>Anthony Toliver</t>
  </si>
  <si>
    <t>JB-8023895-00</t>
  </si>
  <si>
    <t>Cyrus Adams</t>
  </si>
  <si>
    <t>JB-8023888-00</t>
  </si>
  <si>
    <t>Emiliano Torres</t>
  </si>
  <si>
    <t>JB-8023963-00</t>
  </si>
  <si>
    <t>Jerome Fennell</t>
  </si>
  <si>
    <t>JB-8023889-00</t>
  </si>
  <si>
    <t>Robert Thompson</t>
  </si>
  <si>
    <t>JB-8004708-00</t>
  </si>
  <si>
    <t>Kaileigh Dowgin</t>
  </si>
  <si>
    <t>JB-805622-00</t>
  </si>
  <si>
    <t>Theresa Tenorio</t>
  </si>
  <si>
    <t>JB-8004952-00</t>
  </si>
  <si>
    <t>Brianna Karlen</t>
  </si>
  <si>
    <t>JB-8024209-00</t>
  </si>
  <si>
    <t>Raul Ramirez</t>
  </si>
  <si>
    <t>JB-8005073-00</t>
  </si>
  <si>
    <t>Sergio Flores</t>
  </si>
  <si>
    <t>JB-8005080-00</t>
  </si>
  <si>
    <t>Emilio Arguello</t>
  </si>
  <si>
    <t>JB-8005157-00</t>
  </si>
  <si>
    <t>Iryna Fedyash</t>
  </si>
  <si>
    <t>JB-8024281-00</t>
  </si>
  <si>
    <t>Cancelled Clawed back 6/20/2015</t>
  </si>
  <si>
    <t>Jose Arreguin</t>
  </si>
  <si>
    <t>JB-8005181-00</t>
  </si>
  <si>
    <t>Ben Getzel</t>
  </si>
  <si>
    <t>JB-8006005-00</t>
  </si>
  <si>
    <t>Brianna Karlen G4g Lead that sold</t>
  </si>
  <si>
    <t>Casillas, Laura</t>
  </si>
  <si>
    <t>Cruz, Laura de la</t>
  </si>
  <si>
    <t>JB-8024075-00</t>
  </si>
  <si>
    <t>Deborah Getzel</t>
  </si>
  <si>
    <t>JB-8013306-00</t>
  </si>
  <si>
    <t>Kailegh Dowgin</t>
  </si>
  <si>
    <t>Laura de la cruz g4g that sold</t>
  </si>
  <si>
    <t>Manuel Castillo-Ortiz</t>
  </si>
  <si>
    <t>JB-8004906-00</t>
  </si>
  <si>
    <t>Rosalind Jones</t>
  </si>
  <si>
    <t>JB-8024976-00</t>
  </si>
  <si>
    <t>Rick Reitz</t>
  </si>
  <si>
    <t>JB-8004478-00</t>
  </si>
  <si>
    <t>Linda Borrego</t>
  </si>
  <si>
    <t>JB-8004509-00</t>
  </si>
  <si>
    <t>Nate Hull</t>
  </si>
  <si>
    <t>JB-806856-00</t>
  </si>
  <si>
    <t>Ron Romero</t>
  </si>
  <si>
    <t>JB-8004512-00</t>
  </si>
  <si>
    <t>Craig Thomas</t>
  </si>
  <si>
    <t>JB-8004963-00</t>
  </si>
  <si>
    <t>Philip Mullins</t>
  </si>
  <si>
    <t>JB-8005104-00</t>
  </si>
  <si>
    <t>Charles Burnau</t>
  </si>
  <si>
    <t>JB-8524711-00</t>
  </si>
  <si>
    <t>Rent - June 30, 2014 - July 24, 2014</t>
  </si>
  <si>
    <t>Corbin Toby-Davis</t>
  </si>
  <si>
    <t>JB-8023632-00</t>
  </si>
  <si>
    <t>Ronald Pavlov</t>
  </si>
  <si>
    <t>JB-8012536-00</t>
  </si>
  <si>
    <t>Cristi Wayne</t>
  </si>
  <si>
    <t>JB-8005200-00</t>
  </si>
  <si>
    <t>Dylan Trollinger</t>
  </si>
  <si>
    <t>JB-8005177-00</t>
  </si>
  <si>
    <t>Lloyd Hartwell</t>
  </si>
  <si>
    <t>JB-8538295-00</t>
  </si>
  <si>
    <t>Rent- June 9, 2014- June 21, 2014</t>
  </si>
  <si>
    <t>Move in date 6/9/14-6/21/14</t>
  </si>
  <si>
    <t>Ryan Smith</t>
  </si>
  <si>
    <t>JB-8004937-00</t>
  </si>
  <si>
    <t>Unknown Additional Payment</t>
  </si>
  <si>
    <t>7/11/2014 Quickbooks say $1,489.89 but our files say $732.89</t>
  </si>
  <si>
    <t>Rent July 26, 2014 - July 28, 2014 Correction</t>
  </si>
  <si>
    <t>Rent- July 4, 2014 Correction</t>
  </si>
  <si>
    <t>Bill McCormick</t>
  </si>
  <si>
    <t>JB-8004597-00</t>
  </si>
  <si>
    <t>Dave Broussard</t>
  </si>
  <si>
    <t>JB-8004590-00</t>
  </si>
  <si>
    <t>Gary Watkins</t>
  </si>
  <si>
    <t>JB-8004570-00</t>
  </si>
  <si>
    <t>Jennifer Kenney</t>
  </si>
  <si>
    <t>JB-8004626-00</t>
  </si>
  <si>
    <t>Keya Redwood</t>
  </si>
  <si>
    <t>JB-8004646-00</t>
  </si>
  <si>
    <t>Chris Martinez</t>
  </si>
  <si>
    <t>JB-8004880-00</t>
  </si>
  <si>
    <t>Katherine Miller</t>
  </si>
  <si>
    <t>JB-9566059-00</t>
  </si>
  <si>
    <t>Chris Mackin</t>
  </si>
  <si>
    <t>JB-8012620-00</t>
  </si>
  <si>
    <t>Cindy Hancock</t>
  </si>
  <si>
    <t>JB-8012625-00</t>
  </si>
  <si>
    <t>James David</t>
  </si>
  <si>
    <t>JB-8012612-00</t>
  </si>
  <si>
    <t>Kathryn Stute</t>
  </si>
  <si>
    <t>JB-8012601-00</t>
  </si>
  <si>
    <t>Patricia Moyer</t>
  </si>
  <si>
    <t>JB-8012640-00</t>
  </si>
  <si>
    <t>Sergio Lopez</t>
  </si>
  <si>
    <t>JB-8012562-00</t>
  </si>
  <si>
    <t>Steven Dale</t>
  </si>
  <si>
    <t>JB-8012593-00</t>
  </si>
  <si>
    <t>Bryan Francis</t>
  </si>
  <si>
    <t>JB-8012718-00</t>
  </si>
  <si>
    <t>Nathan Otis</t>
  </si>
  <si>
    <t>JB-8004947-00</t>
  </si>
  <si>
    <t>Ben Mooney</t>
  </si>
  <si>
    <t>JB-8012793-00</t>
  </si>
  <si>
    <t>Bruce Allen</t>
  </si>
  <si>
    <t>JB-8012795-00</t>
  </si>
  <si>
    <t>Sherri Emmons</t>
  </si>
  <si>
    <t>JB-8012778-00</t>
  </si>
  <si>
    <t>JB-8012779-00</t>
  </si>
  <si>
    <t>Oakley Sherman</t>
  </si>
  <si>
    <t>JB-927588-00</t>
  </si>
  <si>
    <t>Pay Advance 8/8/14</t>
  </si>
  <si>
    <t>Pay Advance prior to payroll. $1000</t>
  </si>
  <si>
    <t>Bob Bales</t>
  </si>
  <si>
    <t>JB-927637-00</t>
  </si>
  <si>
    <t>Brian Birmingham</t>
  </si>
  <si>
    <t>JB-927610-00</t>
  </si>
  <si>
    <t>15th -20 rent</t>
  </si>
  <si>
    <t>Autumn Peters</t>
  </si>
  <si>
    <t>JB-8012837-00</t>
  </si>
  <si>
    <t>Delanne Marcussen</t>
  </si>
  <si>
    <t>JB-927598-00</t>
  </si>
  <si>
    <t>Heriberto Marron jr</t>
  </si>
  <si>
    <t>JB-9283382-00</t>
  </si>
  <si>
    <t>Jonathan Restelli</t>
  </si>
  <si>
    <t>JB-9263899-00</t>
  </si>
  <si>
    <t>Linda Chance</t>
  </si>
  <si>
    <t>JB-9263727-00</t>
  </si>
  <si>
    <t>Mark Muncey</t>
  </si>
  <si>
    <t>JB-8012810-00</t>
  </si>
  <si>
    <t>Pay Advance 8/4/14</t>
  </si>
  <si>
    <t>Rent - June 28, 2014 - July 6, 2014</t>
  </si>
  <si>
    <t>Rent for Dec 01, 2014 - Dec 07, 2014</t>
  </si>
  <si>
    <t>Rent- July 8, 2014 -July 13, 2014</t>
  </si>
  <si>
    <t>Rent- Sep 15, 2014 - Sep 19, 2014</t>
  </si>
  <si>
    <t>Joyce Carson</t>
  </si>
  <si>
    <t>JB-8004784-00</t>
  </si>
  <si>
    <t>Gary Slocum</t>
  </si>
  <si>
    <t>JB-8004838-00</t>
  </si>
  <si>
    <t>Jack Kennedy</t>
  </si>
  <si>
    <t>JB-8024013-00</t>
  </si>
  <si>
    <t>Neal Miller</t>
  </si>
  <si>
    <t>JB-8012684-00</t>
  </si>
  <si>
    <t>Ipad</t>
  </si>
  <si>
    <t>Marty Villalpando</t>
  </si>
  <si>
    <t>JB-8538289-00</t>
  </si>
  <si>
    <t>Cheryl Jackson</t>
  </si>
  <si>
    <t>JB-8538963-00</t>
  </si>
  <si>
    <t>Fix for neal miller</t>
  </si>
  <si>
    <t>Gary Slocum G4G lead that sold</t>
  </si>
  <si>
    <t>ipad</t>
  </si>
  <si>
    <t>Kelly Gier</t>
  </si>
  <si>
    <t>JB-9263629-00</t>
  </si>
  <si>
    <t>Neal Miller G4G lead that sold</t>
  </si>
  <si>
    <t>Rent - July 7, 2014 - Aug 3, 2014</t>
  </si>
  <si>
    <t>Rent- June 13, 2014- June 21, 2014</t>
  </si>
  <si>
    <t>Slocum, Gary</t>
  </si>
  <si>
    <t>Evelina Fortajada</t>
  </si>
  <si>
    <t>JB-8005214-00</t>
  </si>
  <si>
    <t>Joan Fulcher</t>
  </si>
  <si>
    <t>JB-9264013-00</t>
  </si>
  <si>
    <t>Reimbursement- Training, Per diem, Plane, Bags</t>
  </si>
  <si>
    <t>Anthony Leiber</t>
  </si>
  <si>
    <t>JB-8012623-00</t>
  </si>
  <si>
    <t>David Urlacher</t>
  </si>
  <si>
    <t>JB-8005100-00</t>
  </si>
  <si>
    <t>James Mancha</t>
  </si>
  <si>
    <t>JB-8004938-00</t>
  </si>
  <si>
    <t>Sandra Reid</t>
  </si>
  <si>
    <t>JB-8004731-00</t>
  </si>
  <si>
    <t>Kathryn French</t>
  </si>
  <si>
    <t>JB-8004829-00</t>
  </si>
  <si>
    <t>Robbie Garland</t>
  </si>
  <si>
    <t>JB-8005140-00</t>
  </si>
  <si>
    <t>Jill Hunt</t>
  </si>
  <si>
    <t>JB-8003561-00</t>
  </si>
  <si>
    <t>Anh Do</t>
  </si>
  <si>
    <t>JB-9282772-00</t>
  </si>
  <si>
    <t>Felia Cordova</t>
  </si>
  <si>
    <t>JB-8012662-00</t>
  </si>
  <si>
    <t>Leo Gala</t>
  </si>
  <si>
    <t>JB-8024091-00</t>
  </si>
  <si>
    <t>Otto Knutson</t>
  </si>
  <si>
    <t>JB-8004908-00</t>
  </si>
  <si>
    <t>Robert Mehle</t>
  </si>
  <si>
    <t>JB-8024033-00</t>
  </si>
  <si>
    <t>Yefim Mnushkin</t>
  </si>
  <si>
    <t>JB-8024067-00</t>
  </si>
  <si>
    <t>Kimber Jones</t>
  </si>
  <si>
    <t>JB-8005029-00</t>
  </si>
  <si>
    <t>Mike Kaufman</t>
  </si>
  <si>
    <t>JB-8004853-00</t>
  </si>
  <si>
    <t>Thomas Osborne</t>
  </si>
  <si>
    <t>JB-804566-00</t>
  </si>
  <si>
    <t>Carolyn Hounshell</t>
  </si>
  <si>
    <t>JB-8538397-00</t>
  </si>
  <si>
    <t>Leo Gala G4g lead that sold</t>
  </si>
  <si>
    <t>G4g</t>
  </si>
  <si>
    <t>Thomas Osborne G4G lead that sold</t>
  </si>
  <si>
    <t>Lous Villeneuve</t>
  </si>
  <si>
    <t>JB-121500-00</t>
  </si>
  <si>
    <t>Daniel Porter</t>
  </si>
  <si>
    <t>JB-8512003-00</t>
  </si>
  <si>
    <t>Permitt Rejected</t>
  </si>
  <si>
    <t>Jean Dalton</t>
  </si>
  <si>
    <t>JB-121505-00</t>
  </si>
  <si>
    <t>Brian Grennan</t>
  </si>
  <si>
    <t>JB-115708-00</t>
  </si>
  <si>
    <t>Reimbursement for Matresses</t>
  </si>
  <si>
    <t>Rent- June 18, 2014 - June 27, 2014</t>
  </si>
  <si>
    <t>Rent, furniture, and insurance for the 18th to the 27th of June</t>
  </si>
  <si>
    <t>Elaine Rouche</t>
  </si>
  <si>
    <t>JB-105563-00</t>
  </si>
  <si>
    <t>Rent, Furniture, and Insurance 28th of June to July 6th</t>
  </si>
  <si>
    <t>Richard Feldman</t>
  </si>
  <si>
    <t>JB-1171052-00</t>
  </si>
  <si>
    <t>Joshua Karp</t>
  </si>
  <si>
    <t>JB-118086-00</t>
  </si>
  <si>
    <t>Air mattress pump batteries</t>
  </si>
  <si>
    <t>Andrew Lichtenthal</t>
  </si>
  <si>
    <t>JB-118085-00</t>
  </si>
  <si>
    <t>Reimbursment- Craigslist</t>
  </si>
  <si>
    <t>Reimbursement 7/22</t>
  </si>
  <si>
    <t>Aaron Vine</t>
  </si>
  <si>
    <t>JB-118084-00</t>
  </si>
  <si>
    <t>Cara Roth</t>
  </si>
  <si>
    <t>JB-8512327-00</t>
  </si>
  <si>
    <t>Reimbursement</t>
  </si>
  <si>
    <t>kenneth napolitano</t>
  </si>
  <si>
    <t>JB-1251012-00</t>
  </si>
  <si>
    <t>Reimbursement- Craigslist</t>
  </si>
  <si>
    <t>Reimbursement- $150 Craigslist</t>
  </si>
  <si>
    <t>Peter Boccarossa</t>
  </si>
  <si>
    <t>JB-068416-00</t>
  </si>
  <si>
    <t>Reimbursement- Amazon</t>
  </si>
  <si>
    <t>Reimbursement- Ikea</t>
  </si>
  <si>
    <t>Reimbursement- Craings list, Team Game, Dinner, Dinner</t>
  </si>
  <si>
    <t>Rent- Aug 25, 2014 - Aug 27, 2014</t>
  </si>
  <si>
    <t>Rent- Aug 18, 2014 - Aug 24, 2014- Double Charged Correction</t>
  </si>
  <si>
    <t>Ashley Marie Barnett</t>
  </si>
  <si>
    <t>JB-8525681-00</t>
  </si>
  <si>
    <t>Matt Hertzberg</t>
  </si>
  <si>
    <t>JB-105768-00</t>
  </si>
  <si>
    <t>Reimbursement-Craigslist 9/13</t>
  </si>
  <si>
    <t>Napolitano, Kenneth</t>
  </si>
  <si>
    <t>Roth, Cara</t>
  </si>
  <si>
    <t>Pay advance 6/13/2014</t>
  </si>
  <si>
    <t>Gary Lambdin</t>
  </si>
  <si>
    <t>JB-118081-00</t>
  </si>
  <si>
    <t>Michael Yarocki</t>
  </si>
  <si>
    <t>JB-115707-00</t>
  </si>
  <si>
    <t>Steven Foster</t>
  </si>
  <si>
    <t>JB-118075-00</t>
  </si>
  <si>
    <t>Steven Randall</t>
  </si>
  <si>
    <t>JB-118101-00</t>
  </si>
  <si>
    <t>Lauren Goldman</t>
  </si>
  <si>
    <t>JB-118080-00</t>
  </si>
  <si>
    <t>Meredith Pieper</t>
  </si>
  <si>
    <t>JB-1171323-00</t>
  </si>
  <si>
    <t>Expense-Rent</t>
  </si>
  <si>
    <t>Pay Advance 8/15/14</t>
  </si>
  <si>
    <t>Reimbursment - for Flight</t>
  </si>
  <si>
    <t>August Pieper</t>
  </si>
  <si>
    <t>JB-1171473-00</t>
  </si>
  <si>
    <t>Chris Sullivan</t>
  </si>
  <si>
    <t>JB-8525824-00</t>
  </si>
  <si>
    <t>Christopher Stephens</t>
  </si>
  <si>
    <t>JB-1171528-00</t>
  </si>
  <si>
    <t>Philip Bruno jr</t>
  </si>
  <si>
    <t>JB-1171591-00</t>
  </si>
  <si>
    <t>Steven Randall back</t>
  </si>
  <si>
    <t>Steven Randall front</t>
  </si>
  <si>
    <t>Cathy Epstein</t>
  </si>
  <si>
    <t>JB-8024247-00</t>
  </si>
  <si>
    <t>Charles Weaver</t>
  </si>
  <si>
    <t>JB-8024310-00</t>
  </si>
  <si>
    <t>David Daniel</t>
  </si>
  <si>
    <t>JB-2071725-00</t>
  </si>
  <si>
    <t>Donna Johnson</t>
  </si>
  <si>
    <t>JB-2071405-00</t>
  </si>
  <si>
    <t>Eunice Nora Hippolyte</t>
  </si>
  <si>
    <t>JB-2071401-00</t>
  </si>
  <si>
    <t>Kathryn Jayme</t>
  </si>
  <si>
    <t>JB-8538577-00</t>
  </si>
  <si>
    <t>Leah Davis</t>
  </si>
  <si>
    <t>JB-2101191-00</t>
  </si>
  <si>
    <t>Philip Shaw</t>
  </si>
  <si>
    <t>JB-2101126-00</t>
  </si>
  <si>
    <t>Rent- Oct through Dec</t>
  </si>
  <si>
    <t>Richard James Parsons</t>
  </si>
  <si>
    <t>JB-2101161-00</t>
  </si>
  <si>
    <t>Rodney lee Angle</t>
  </si>
  <si>
    <t>JB-2101271-00</t>
  </si>
  <si>
    <t>Rolando A. Revollo</t>
  </si>
  <si>
    <t>JB-2071406-00</t>
  </si>
  <si>
    <t>Sarah McMahon</t>
  </si>
  <si>
    <t>JB-8005934-00</t>
  </si>
  <si>
    <t>Wendy Kulkusky</t>
  </si>
  <si>
    <t>JB-217328-00</t>
  </si>
  <si>
    <t>Wesley Brown</t>
  </si>
  <si>
    <t>JB-8024149-00</t>
  </si>
  <si>
    <t>Leonardo Lupian</t>
  </si>
  <si>
    <t>JB-8024069-00</t>
  </si>
  <si>
    <t>Site audit scheduled</t>
  </si>
  <si>
    <t>Clayton Weigel</t>
  </si>
  <si>
    <t>JB-8005109-00</t>
  </si>
  <si>
    <t>Daniel Elias</t>
  </si>
  <si>
    <t>JB-8004977-00</t>
  </si>
  <si>
    <t>Gerardo Galvan</t>
  </si>
  <si>
    <t>JB-8005111-00</t>
  </si>
  <si>
    <t>Jaime Avila</t>
  </si>
  <si>
    <t>JB-8024239-00</t>
  </si>
  <si>
    <t>Jesus Gomez</t>
  </si>
  <si>
    <t>JB-8004975-00</t>
  </si>
  <si>
    <t>Manuela Lopez</t>
  </si>
  <si>
    <t>JB-8005102-00</t>
  </si>
  <si>
    <t>Maria Pinedo</t>
  </si>
  <si>
    <t>JB-8005005-00</t>
  </si>
  <si>
    <t>Marycruz Astorga</t>
  </si>
  <si>
    <t>JB-8024211-00</t>
  </si>
  <si>
    <t>Norberto Martinez</t>
  </si>
  <si>
    <t>JB-8024250-00</t>
  </si>
  <si>
    <t>Sandra Elías-Pinedo</t>
  </si>
  <si>
    <t>JB-8005045-00</t>
  </si>
  <si>
    <t>Sylvia Chihuahua Martinez</t>
  </si>
  <si>
    <t>JB-8005091-00</t>
  </si>
  <si>
    <t>Angelica Olvera</t>
  </si>
  <si>
    <t>JB-8005147-00</t>
  </si>
  <si>
    <t>Rent- June 17, 2014- June 21, 2014</t>
  </si>
  <si>
    <t>Move in date 6/17/14-6/21/14</t>
  </si>
  <si>
    <t>Galvan, Gerardo</t>
  </si>
  <si>
    <t>Maria Ingracia Alonzo</t>
  </si>
  <si>
    <t>JB-8024718-00</t>
  </si>
  <si>
    <t>Weigel, Clayton</t>
  </si>
  <si>
    <t>Celia Navarro</t>
  </si>
  <si>
    <t>JB-8024126-00</t>
  </si>
  <si>
    <t>Duryea Desmarteau</t>
  </si>
  <si>
    <t>JB-8004912-00</t>
  </si>
  <si>
    <t>Mary Ann Jensen</t>
  </si>
  <si>
    <t>JB-8024109-00</t>
  </si>
  <si>
    <t>Robin Wilburn</t>
  </si>
  <si>
    <t>JB-8004872-00</t>
  </si>
  <si>
    <t>Gustavo Renteria</t>
  </si>
  <si>
    <t>JB-8024312-00</t>
  </si>
  <si>
    <t>design pending</t>
  </si>
  <si>
    <t>James Krantz</t>
  </si>
  <si>
    <t>JB-8024347-00</t>
  </si>
  <si>
    <t>Leilani Pender</t>
  </si>
  <si>
    <t>JB-8024314-00</t>
  </si>
  <si>
    <t>Louise Navarrete</t>
  </si>
  <si>
    <t>JB-8024352-00</t>
  </si>
  <si>
    <t>JB-8024377-00</t>
  </si>
  <si>
    <t>Ciro Lopez</t>
  </si>
  <si>
    <t>JB-8024694-00</t>
  </si>
  <si>
    <t>Herbert Higman</t>
  </si>
  <si>
    <t>JB-8005534-00</t>
  </si>
  <si>
    <t>Cancelled clawed back 7/4/14</t>
  </si>
  <si>
    <t>Georgene Barger</t>
  </si>
  <si>
    <t>JB-8538244-00</t>
  </si>
  <si>
    <t>Teryn Robinson</t>
  </si>
  <si>
    <t>JB-8024709-00</t>
  </si>
  <si>
    <t>Jose Navarro</t>
  </si>
  <si>
    <t>JB-8024695-00</t>
  </si>
  <si>
    <t>JB-8024711-00</t>
  </si>
  <si>
    <t>JB-8512245-00</t>
  </si>
  <si>
    <t>JB-8005665-00</t>
  </si>
  <si>
    <t>Ramiro Rodriguez</t>
  </si>
  <si>
    <t>JB-8024182-00</t>
  </si>
  <si>
    <t>Jesus Chavez</t>
  </si>
  <si>
    <t>JB-8024240-00</t>
  </si>
  <si>
    <t>Julian Carreon</t>
  </si>
  <si>
    <t>JB-8024205-00</t>
  </si>
  <si>
    <t>Laura Medina</t>
  </si>
  <si>
    <t>JB-8024242-00</t>
  </si>
  <si>
    <t>Peggy Marr</t>
  </si>
  <si>
    <t>JB-8024230-00</t>
  </si>
  <si>
    <t>Robert Switzer</t>
  </si>
  <si>
    <t>JB-8024715-00</t>
  </si>
  <si>
    <t>Brian Diaz</t>
  </si>
  <si>
    <t>JB-8023690-00</t>
  </si>
  <si>
    <t>Joe Slowey</t>
  </si>
  <si>
    <t>JB-8023844-00</t>
  </si>
  <si>
    <t>Aaron Holland</t>
  </si>
  <si>
    <t>JB-8024048-00</t>
  </si>
  <si>
    <t>John Bryck</t>
  </si>
  <si>
    <t>JB-8024016-00</t>
  </si>
  <si>
    <t>Mitchell Meier</t>
  </si>
  <si>
    <t>JB-8024120-00</t>
  </si>
  <si>
    <t>Venkat Thangaraj</t>
  </si>
  <si>
    <t>JB-8024178-00</t>
  </si>
  <si>
    <t>Kelsey Shane</t>
  </si>
  <si>
    <t>JB-8024295-00</t>
  </si>
  <si>
    <t>Arnold Greer</t>
  </si>
  <si>
    <t>JB-8024775-00</t>
  </si>
  <si>
    <t>CAncelled</t>
  </si>
  <si>
    <t>Cancelled clawed back6/27/14</t>
  </si>
  <si>
    <t>Slowey, Joe</t>
  </si>
  <si>
    <t>Corrilee Kielmeyer</t>
  </si>
  <si>
    <t>JB-8004783-00</t>
  </si>
  <si>
    <t>Mary Hill</t>
  </si>
  <si>
    <t>JB-8004779-00</t>
  </si>
  <si>
    <t>Rent Ect.</t>
  </si>
  <si>
    <t>Rodger Moores</t>
  </si>
  <si>
    <t>JB-8004766-00</t>
  </si>
  <si>
    <t>Kathryn Wilt</t>
  </si>
  <si>
    <t>JB-8012716-00</t>
  </si>
  <si>
    <t>Nicole Burrell</t>
  </si>
  <si>
    <t>JB-8012692-00</t>
  </si>
  <si>
    <t>Sean Pallas</t>
  </si>
  <si>
    <t>JB-8012732-00</t>
  </si>
  <si>
    <t>Tam Than</t>
  </si>
  <si>
    <t>JB-8012740-00</t>
  </si>
  <si>
    <t>Taun Doan</t>
  </si>
  <si>
    <t>JB-8012678-00</t>
  </si>
  <si>
    <t>Cecilia Rosales</t>
  </si>
  <si>
    <t>JB-8024282-00</t>
  </si>
  <si>
    <t>Justin Riggs</t>
  </si>
  <si>
    <t>JB-8024191-00</t>
  </si>
  <si>
    <t>Michael Wilcox</t>
  </si>
  <si>
    <t>JB-8024164-00</t>
  </si>
  <si>
    <t>Dena Olivett</t>
  </si>
  <si>
    <t>JB-8005131-00</t>
  </si>
  <si>
    <t>Nathan Bustamante</t>
  </si>
  <si>
    <t>JB-8024328-00</t>
  </si>
  <si>
    <t>Cancelled Claw back 6/20/14</t>
  </si>
  <si>
    <t>Sharon Hale</t>
  </si>
  <si>
    <t>JB-8005209-00</t>
  </si>
  <si>
    <t>Stephen Tucker</t>
  </si>
  <si>
    <t>JB-8538198-00</t>
  </si>
  <si>
    <t>Phalen Beatrix</t>
  </si>
  <si>
    <t>JB-8512283-00</t>
  </si>
  <si>
    <t>Charles Garcia</t>
  </si>
  <si>
    <t>JB-8524717-00</t>
  </si>
  <si>
    <t>Negative from 12.12.14</t>
  </si>
  <si>
    <t>Negatives from 12/19/14</t>
  </si>
  <si>
    <t>Olivett, Dena</t>
  </si>
  <si>
    <t>Jesus Cabral</t>
  </si>
  <si>
    <t>JB-8004927-00</t>
  </si>
  <si>
    <t>Maria Alvarez</t>
  </si>
  <si>
    <t>JB-8005084-00</t>
  </si>
  <si>
    <t>Alicia Gallardo</t>
  </si>
  <si>
    <t>JB-8024353-00</t>
  </si>
  <si>
    <t>Geraldine Brena</t>
  </si>
  <si>
    <t>JB-8024294-00</t>
  </si>
  <si>
    <t>Jennifer Pena</t>
  </si>
  <si>
    <t>JB-8024363-00</t>
  </si>
  <si>
    <t>Manuela Morris</t>
  </si>
  <si>
    <t>JB-8024309-00</t>
  </si>
  <si>
    <t>Carlos Rodriguez</t>
  </si>
  <si>
    <t>JB-8024749-00</t>
  </si>
  <si>
    <t>JB-8004984-00</t>
  </si>
  <si>
    <t>Cancellation</t>
  </si>
  <si>
    <t>Denise Rivera</t>
  </si>
  <si>
    <t>JB-8005570-00</t>
  </si>
  <si>
    <t>Matthew Wuest</t>
  </si>
  <si>
    <t>JB-8004612-00</t>
  </si>
  <si>
    <t>Dan Bacon</t>
  </si>
  <si>
    <t>JB-8004642-00</t>
  </si>
  <si>
    <t>Joseph Sciliano</t>
  </si>
  <si>
    <t>JB-8004789-00</t>
  </si>
  <si>
    <t>Lazaro Fuentes</t>
  </si>
  <si>
    <t>JB-8004721-00</t>
  </si>
  <si>
    <t>Ashenafi Woldemariam</t>
  </si>
  <si>
    <t>JB-8004886-00</t>
  </si>
  <si>
    <t>Dennis Braun</t>
  </si>
  <si>
    <t>JB-8004954-00</t>
  </si>
  <si>
    <t>Linda Eller</t>
  </si>
  <si>
    <t>JB-8004945-00</t>
  </si>
  <si>
    <t>Lisandro de la Oliva</t>
  </si>
  <si>
    <t>JB-8004967-00</t>
  </si>
  <si>
    <t>Robbie Jensen</t>
  </si>
  <si>
    <t>JB-8004839-00</t>
  </si>
  <si>
    <t>upsize from 5 to 6.12</t>
  </si>
  <si>
    <t>James Gordon</t>
  </si>
  <si>
    <t>JB-8538199-00</t>
  </si>
  <si>
    <t>Jason Kneip</t>
  </si>
  <si>
    <t>JB-8503425-00</t>
  </si>
  <si>
    <t>Joseph Sciliano Part 1 of 2</t>
  </si>
  <si>
    <t>Split so Drake could receive $500 on July 11, 2014</t>
  </si>
  <si>
    <t>July 7 through 13</t>
  </si>
  <si>
    <t>Mauricio Gonzalez</t>
  </si>
  <si>
    <t>JB-8503495-00</t>
  </si>
  <si>
    <t>Cancelled Clawed back 8/2/14</t>
  </si>
  <si>
    <t>Trent Rhodes</t>
  </si>
  <si>
    <t>JB-8538678-00</t>
  </si>
  <si>
    <t>Accidently Paid out twice</t>
  </si>
  <si>
    <t>Joseph Sciliano Part 2 of 2</t>
  </si>
  <si>
    <t>Rent- June 12, 2014- June 21, 2014</t>
  </si>
  <si>
    <t>Brian Bentley</t>
  </si>
  <si>
    <t>JB-8023830-00</t>
  </si>
  <si>
    <t>Derek Jones</t>
  </si>
  <si>
    <t>JB-8023868-00</t>
  </si>
  <si>
    <t>Jonathan Saari</t>
  </si>
  <si>
    <t>JB-8023758-00</t>
  </si>
  <si>
    <t>Max Shaffer</t>
  </si>
  <si>
    <t>JB-8023787-00</t>
  </si>
  <si>
    <t>Milan Voska</t>
  </si>
  <si>
    <t>JB-8004696-00</t>
  </si>
  <si>
    <t>Cheryl Gilbertson</t>
  </si>
  <si>
    <t>JB-8024058-00</t>
  </si>
  <si>
    <t>John Cronin</t>
  </si>
  <si>
    <t>JB-8024068-00</t>
  </si>
  <si>
    <t>Renata Windham</t>
  </si>
  <si>
    <t>JB-8024124-00</t>
  </si>
  <si>
    <t>Scott Ryan</t>
  </si>
  <si>
    <t>JB-8024273-00</t>
  </si>
  <si>
    <t>Donna Hall</t>
  </si>
  <si>
    <t>JB-8005156-00</t>
  </si>
  <si>
    <t>Jeanne Dwyer</t>
  </si>
  <si>
    <t>JB-8024342-00</t>
  </si>
  <si>
    <t>Seth Meyer</t>
  </si>
  <si>
    <t>JB-8024300-00</t>
  </si>
  <si>
    <t>Cheryl Gilbertson: 1 of 2 for Joel to be paid on 7/25/14</t>
  </si>
  <si>
    <t>Cancelled clawed back 6/27/14</t>
  </si>
  <si>
    <t>Jason Romero</t>
  </si>
  <si>
    <t>JB-8024774-00</t>
  </si>
  <si>
    <t>Marc Miller</t>
  </si>
  <si>
    <t>JB-8005580-00</t>
  </si>
  <si>
    <t>Cheryl Gilbertson: 2 of 2 for Joel to be paid on 7/25/14</t>
  </si>
  <si>
    <t>Donna Burrell</t>
  </si>
  <si>
    <t>JB-8024727-00</t>
  </si>
  <si>
    <t>Victoria Luna</t>
  </si>
  <si>
    <t>JB-8024050-00</t>
  </si>
  <si>
    <t>Melissa Capitani</t>
  </si>
  <si>
    <t>JB-8004419-00</t>
  </si>
  <si>
    <t>Clay Scherrer</t>
  </si>
  <si>
    <t>JB-8005034-00</t>
  </si>
  <si>
    <t>Julia Kragt</t>
  </si>
  <si>
    <t>JB-8005164-00</t>
  </si>
  <si>
    <t>Robert Malfa</t>
  </si>
  <si>
    <t>JB-8005198-00</t>
  </si>
  <si>
    <t>Susan Blackwell</t>
  </si>
  <si>
    <t>JB-8024362-00</t>
  </si>
  <si>
    <t>Robert Malfa 1 of 2: Split so Peter received money on July 18, 2014</t>
  </si>
  <si>
    <t>Robert Malfa 2 of 2: Split so Peter received money on July 18, 2014</t>
  </si>
  <si>
    <t>Manuel Melendez</t>
  </si>
  <si>
    <t>JB-8012735-00</t>
  </si>
  <si>
    <t>Norma Morales</t>
  </si>
  <si>
    <t>JB-8004968-00</t>
  </si>
  <si>
    <t>Juan Del Valle</t>
  </si>
  <si>
    <t>JB-8005110-00</t>
  </si>
  <si>
    <t>Valle, Juan Del</t>
  </si>
  <si>
    <t>Michael Daiegle</t>
  </si>
  <si>
    <t>JB-8538245-00</t>
  </si>
  <si>
    <t>Jennifer Smiddy</t>
  </si>
  <si>
    <t>JB-8538532-00</t>
  </si>
  <si>
    <t>Chad Schaffner</t>
  </si>
  <si>
    <t>JB-8538262-00</t>
  </si>
  <si>
    <t>Leo B Jr. Hall</t>
  </si>
  <si>
    <t>JB-8012821-00</t>
  </si>
  <si>
    <t>John Mitchell</t>
  </si>
  <si>
    <t>JB-8024196-00</t>
  </si>
  <si>
    <t>Carol Pokorny</t>
  </si>
  <si>
    <t>JB-8024330-00</t>
  </si>
  <si>
    <t>Marc Pokorny</t>
  </si>
  <si>
    <t>JB-8024323-00</t>
  </si>
  <si>
    <t>Jerome Feuer</t>
  </si>
  <si>
    <t>JB-8024289-00</t>
  </si>
  <si>
    <t>Connie Johnson</t>
  </si>
  <si>
    <t>JB-804570-00</t>
  </si>
  <si>
    <t>John Jeppson</t>
  </si>
  <si>
    <t>JB-8004971-00</t>
  </si>
  <si>
    <t>Michael Montag</t>
  </si>
  <si>
    <t>JB-8005048-00</t>
  </si>
  <si>
    <t>Mike Mincks</t>
  </si>
  <si>
    <t>JB-8005003-00</t>
  </si>
  <si>
    <t>Jeffrey Saba</t>
  </si>
  <si>
    <t>JB-8005141-00</t>
  </si>
  <si>
    <t>Melissa Tafoya</t>
  </si>
  <si>
    <t>JB-8005212-00</t>
  </si>
  <si>
    <t>Robert Cantrell</t>
  </si>
  <si>
    <t>JB-8005178-00</t>
  </si>
  <si>
    <t>Dan Scelza</t>
  </si>
  <si>
    <t>JB-8004962-00</t>
  </si>
  <si>
    <t>Michael Siedelberg</t>
  </si>
  <si>
    <t>JB-8005208-00</t>
  </si>
  <si>
    <t>Paul Lell</t>
  </si>
  <si>
    <t>JB-8005130-00</t>
  </si>
  <si>
    <t>Alisha Stewart</t>
  </si>
  <si>
    <t>JB-8538681-00</t>
  </si>
  <si>
    <t>Rent- July 7, 2014 - July 19, 2014</t>
  </si>
  <si>
    <t xml:space="preserve">July 7th through July 19th </t>
  </si>
  <si>
    <t>Rod Ireland</t>
  </si>
  <si>
    <t>JB-8005702-00</t>
  </si>
  <si>
    <t>Robin Rourk</t>
  </si>
  <si>
    <t>JB-8005817-00</t>
  </si>
  <si>
    <t>Lee Varner</t>
  </si>
  <si>
    <t>JB-8538253-00</t>
  </si>
  <si>
    <t>Move in date 6/13/14-6/21/14</t>
  </si>
  <si>
    <t>Travis Schnebly</t>
  </si>
  <si>
    <t>JB-8538480-00</t>
  </si>
  <si>
    <t>Rent- Correction June 11, 12, (under charged) July 2,3,4,5(over Charged)</t>
  </si>
  <si>
    <t>For June 11, 12, (under charged) July 2,3,4,5(over Charged)</t>
  </si>
  <si>
    <t>Rosyln Bauer</t>
  </si>
  <si>
    <t>JB-8024376-00</t>
  </si>
  <si>
    <t>Deanna Miller</t>
  </si>
  <si>
    <t>JB-8538259-00</t>
  </si>
  <si>
    <t>Paid Brandon last week</t>
  </si>
  <si>
    <t>Reggie Alexander</t>
  </si>
  <si>
    <t>JB-8024364-00</t>
  </si>
  <si>
    <t>Sushma Bagga</t>
  </si>
  <si>
    <t>JB-8005136-00</t>
  </si>
  <si>
    <t>Draft Pending Engineering</t>
  </si>
  <si>
    <t>Vicky Earnshaw</t>
  </si>
  <si>
    <t>JB-8012835-00</t>
  </si>
  <si>
    <t>Patrick Benninger</t>
  </si>
  <si>
    <t>JB-8524742-00</t>
  </si>
  <si>
    <t>Donna Giammaria</t>
  </si>
  <si>
    <t>JB-8005248-00</t>
  </si>
  <si>
    <t>Michael Skaggs</t>
  </si>
  <si>
    <t>JB-8005134-00</t>
  </si>
  <si>
    <t>Charles Heiner</t>
  </si>
  <si>
    <t>JB-8024298-00</t>
  </si>
  <si>
    <t>Jennifer Palmer</t>
  </si>
  <si>
    <t>JB-8024345-00</t>
  </si>
  <si>
    <t>Linda Eldridge</t>
  </si>
  <si>
    <t>JB-8024338-00</t>
  </si>
  <si>
    <t>Wanda Kaufmann Part 1 of 2- Split so James could receive requested money</t>
  </si>
  <si>
    <t>JB-8538479-00</t>
  </si>
  <si>
    <t>Split so James could receive $500 and push negatives off</t>
  </si>
  <si>
    <t>Pay Advance 8/1/14</t>
  </si>
  <si>
    <t>Pay Advance 8/1</t>
  </si>
  <si>
    <t>Pay Advance 8/18/14</t>
  </si>
  <si>
    <t>Pashupathi Bangalore 1 of 2- Split so James could receive requested money</t>
  </si>
  <si>
    <t>JB-0601108-00</t>
  </si>
  <si>
    <t>Edward Zack 1 of 2- Split so James could receive requested money</t>
  </si>
  <si>
    <t>JB-0601131-00</t>
  </si>
  <si>
    <t>Georgette Dutchin: 1 of 2- Split so James could receive requested money</t>
  </si>
  <si>
    <t>JB-0601104-00</t>
  </si>
  <si>
    <t>Edward Zack</t>
  </si>
  <si>
    <t>Edward Zack 2 of 2- Split so James could receive requested money</t>
  </si>
  <si>
    <t>Georgette Dutchin: 2 of 2- Split so James could receive requested money</t>
  </si>
  <si>
    <t>Pablo Torres</t>
  </si>
  <si>
    <t>JB-611001-00</t>
  </si>
  <si>
    <t>Pashupathi Bangalore 2 of 2- Split so James could receive requested money</t>
  </si>
  <si>
    <t>Rent- Dec 22, 2014 - Dec 28, 2014</t>
  </si>
  <si>
    <t>Rent- July 7</t>
  </si>
  <si>
    <t>Wanda Kaufmann</t>
  </si>
  <si>
    <t>Wanda Kaufmann Part 2 of 2-Split so James could receive requested money</t>
  </si>
  <si>
    <t>Michael Prange</t>
  </si>
  <si>
    <t>JB-8024307-00</t>
  </si>
  <si>
    <t>Sheila Carrigan</t>
  </si>
  <si>
    <t>JB-060848-00</t>
  </si>
  <si>
    <t>Esther Serrano</t>
  </si>
  <si>
    <t>JB-8024361-00</t>
  </si>
  <si>
    <t>Carlos Montoya</t>
  </si>
  <si>
    <t>JB-8024380-00</t>
  </si>
  <si>
    <t>Juan Macias</t>
  </si>
  <si>
    <t>JB-8005096-00</t>
  </si>
  <si>
    <t>John Rubano</t>
  </si>
  <si>
    <t>JB-8024336-00</t>
  </si>
  <si>
    <t>Jennie Davis</t>
  </si>
  <si>
    <t>JB-8024710-00</t>
  </si>
  <si>
    <t>Brian Richy</t>
  </si>
  <si>
    <t>JB-804588-00</t>
  </si>
  <si>
    <t>Charles Vannote</t>
  </si>
  <si>
    <t>JB-804590-00</t>
  </si>
  <si>
    <t>Lawless Barrientos</t>
  </si>
  <si>
    <t>JB-804589-00</t>
  </si>
  <si>
    <t>Vannote, Charles</t>
  </si>
  <si>
    <t>Jake Cleveland</t>
  </si>
  <si>
    <t>JB-8005097-00</t>
  </si>
  <si>
    <t>Jeffrey Chandler</t>
  </si>
  <si>
    <t>JB-8005187-00</t>
  </si>
  <si>
    <t>Jose Henriquez</t>
  </si>
  <si>
    <t>JB-8005598-00</t>
  </si>
  <si>
    <t>Kelly Fresquez</t>
  </si>
  <si>
    <t>JB-8004858-00</t>
  </si>
  <si>
    <t>Amber Hinton</t>
  </si>
  <si>
    <t>JB-8024293-00</t>
  </si>
  <si>
    <t>JB-8005039-00</t>
  </si>
  <si>
    <t>Liana Stepanyan</t>
  </si>
  <si>
    <t>JB-9581476-00</t>
  </si>
  <si>
    <t>Coreen Riley</t>
  </si>
  <si>
    <t>JB-9564891-00</t>
  </si>
  <si>
    <t>Mark Barnreiter</t>
  </si>
  <si>
    <t>JB-9565024-00</t>
  </si>
  <si>
    <t>Bejan Broukhim</t>
  </si>
  <si>
    <t>JB-9003774-00</t>
  </si>
  <si>
    <t>Lindsay Scott</t>
  </si>
  <si>
    <t>JB-7501406-00</t>
  </si>
  <si>
    <t>Chris Ford</t>
  </si>
  <si>
    <t>JB-7501429-00</t>
  </si>
  <si>
    <t>Matt Droege</t>
  </si>
  <si>
    <t>JB-760358-00</t>
  </si>
  <si>
    <t>needed to pay out 25 because we only paid 100</t>
  </si>
  <si>
    <t>Tyler Foley</t>
  </si>
  <si>
    <t>JB-7501413-00</t>
  </si>
  <si>
    <t>Mary Sallard</t>
  </si>
  <si>
    <t>Debbie Long</t>
  </si>
  <si>
    <t>Judith Bell</t>
  </si>
  <si>
    <t>Sent from J.P.T.</t>
  </si>
  <si>
    <t>Moving advance</t>
  </si>
  <si>
    <t>Alan Renico</t>
  </si>
  <si>
    <t>JB-8539781-00</t>
  </si>
  <si>
    <t>Carol Enriquez</t>
  </si>
  <si>
    <t>JB-8539839-00</t>
  </si>
  <si>
    <t>Carol Enriquez true up</t>
  </si>
  <si>
    <t>Zeb Masowdi</t>
  </si>
  <si>
    <t>JB-8539875-00</t>
  </si>
  <si>
    <t>True up from 11/7/14</t>
  </si>
  <si>
    <t>Moving advance from 9/12/14</t>
  </si>
  <si>
    <t>Laura Bernal</t>
  </si>
  <si>
    <t>JB-8512325-00</t>
  </si>
  <si>
    <t>Maria Lopez</t>
  </si>
  <si>
    <t>JB-8524552-00</t>
  </si>
  <si>
    <t>Renee Holloway</t>
  </si>
  <si>
    <t>JB-8524515-00</t>
  </si>
  <si>
    <t>Cody Wilson</t>
  </si>
  <si>
    <t>JB-8512304-00</t>
  </si>
  <si>
    <t>Thomas Butler</t>
  </si>
  <si>
    <t>JB-8524006-00</t>
  </si>
  <si>
    <t>In Quickbooks with no Excel history</t>
  </si>
  <si>
    <t>Deepak Sohi</t>
  </si>
  <si>
    <t>JB-118091-00</t>
  </si>
  <si>
    <t>Peter Klein</t>
  </si>
  <si>
    <t>JB-118139-00</t>
  </si>
  <si>
    <t>Mankanwal Singh</t>
  </si>
  <si>
    <t>JB-118152-00</t>
  </si>
  <si>
    <t>Genevieve Winter</t>
  </si>
  <si>
    <t>JB-1171456-00</t>
  </si>
  <si>
    <t>Nicholas Varrino</t>
  </si>
  <si>
    <t>JB-118129-00</t>
  </si>
  <si>
    <t>Silvio Lacobucco</t>
  </si>
  <si>
    <t>JB-118133-00</t>
  </si>
  <si>
    <t>Paid 100 last week only</t>
  </si>
  <si>
    <t>Silvio Iacobucci</t>
  </si>
  <si>
    <t>Melissa Benavides</t>
  </si>
  <si>
    <t>JB-8524314-00</t>
  </si>
  <si>
    <t>Ofelia Mann</t>
  </si>
  <si>
    <t>JB-8524299-00</t>
  </si>
  <si>
    <t>Mike Mcginn</t>
  </si>
  <si>
    <t>JB-8524387-00</t>
  </si>
  <si>
    <t>Tim Hood</t>
  </si>
  <si>
    <t>JB-8524497-00</t>
  </si>
  <si>
    <t>Trudy Hogin</t>
  </si>
  <si>
    <t>JB-8524603-00</t>
  </si>
  <si>
    <t>Jean Lewis</t>
  </si>
  <si>
    <t>JB-8524835-00</t>
  </si>
  <si>
    <t>Robert Owens</t>
  </si>
  <si>
    <t>JB-8524908-00</t>
  </si>
  <si>
    <t>Kathleen Oveson</t>
  </si>
  <si>
    <t>JB-8525053-00</t>
  </si>
  <si>
    <t>Pay Advance- 6/13/2014</t>
  </si>
  <si>
    <t>Pay Advance- 6/20/2014</t>
  </si>
  <si>
    <t>Pay advance- 6/27/2014</t>
  </si>
  <si>
    <t>Pay advance- 7/3/2014</t>
  </si>
  <si>
    <t>Pay Advance- 7/11/2014</t>
  </si>
  <si>
    <t>Pay advance- 7/18/2014</t>
  </si>
  <si>
    <t>NORMAL ADVANCE</t>
  </si>
  <si>
    <t>Pay advance- 7/25/2014</t>
  </si>
  <si>
    <t>Pay Advance- 8/1/2014</t>
  </si>
  <si>
    <t>Pay Advance 8/8/2014</t>
  </si>
  <si>
    <t>Bonus 8/15/14</t>
  </si>
  <si>
    <t>Pay Advance 8/21/2014</t>
  </si>
  <si>
    <t>Advance 8/25/2014</t>
  </si>
  <si>
    <t>He requested that we don't give him all $1,000 and ajust with July Overrides</t>
  </si>
  <si>
    <t>Pay advance 9/5/14</t>
  </si>
  <si>
    <t>Pay advance 9/12/14</t>
  </si>
  <si>
    <t>Draw 10/6/15</t>
  </si>
  <si>
    <t>Overrides deal from dan</t>
  </si>
  <si>
    <t>Kevin Illies</t>
  </si>
  <si>
    <t>JB-9701785-00</t>
  </si>
  <si>
    <t>Rent - November</t>
  </si>
  <si>
    <t xml:space="preserve">Rent- August </t>
  </si>
  <si>
    <t>Rent December</t>
  </si>
  <si>
    <t>Rent- feb 1, 2015- Feb 8, 2015</t>
  </si>
  <si>
    <t>Rent January</t>
  </si>
  <si>
    <t>Rent- October</t>
  </si>
  <si>
    <t>Rent- Sepember</t>
  </si>
  <si>
    <t>Shad Pollari</t>
  </si>
  <si>
    <t>JB-9722225-00</t>
  </si>
  <si>
    <t>Anthony Gonzalez</t>
  </si>
  <si>
    <t>JB-8005057-00</t>
  </si>
  <si>
    <t>Clint Goree</t>
  </si>
  <si>
    <t>JB-8005069-00</t>
  </si>
  <si>
    <t>Gonzalez, Anthony</t>
  </si>
  <si>
    <t>Miki Hamada</t>
  </si>
  <si>
    <t>JB-9701562-00</t>
  </si>
  <si>
    <t>martina Garcia</t>
  </si>
  <si>
    <t>JB-9722088-00</t>
  </si>
  <si>
    <t>Mary Charpentier</t>
  </si>
  <si>
    <t>JB-9701642-00</t>
  </si>
  <si>
    <t>Wettstein, Brad</t>
  </si>
  <si>
    <t>JB-9203402-00</t>
  </si>
  <si>
    <t>Allison Bannerman</t>
  </si>
  <si>
    <t>JB-9203354-00</t>
  </si>
  <si>
    <t>Tara Raleigh</t>
  </si>
  <si>
    <t>JB-9203824-00</t>
  </si>
  <si>
    <t>Glenn Sorensen</t>
  </si>
  <si>
    <t>JB-8005122-00</t>
  </si>
  <si>
    <t>Richard Bennett</t>
  </si>
  <si>
    <t>JB-8005220-00</t>
  </si>
  <si>
    <t>B. Eugene Fantasia</t>
  </si>
  <si>
    <t>JB-8524460-00</t>
  </si>
  <si>
    <t>Daniel Rogers</t>
  </si>
  <si>
    <t>JB-8538263-00</t>
  </si>
  <si>
    <t>Hubert Shelby</t>
  </si>
  <si>
    <t>JB-8503383-00</t>
  </si>
  <si>
    <t>Tim Rouiller</t>
  </si>
  <si>
    <t>JB-8524626-00</t>
  </si>
  <si>
    <t>Anne Ryant</t>
  </si>
  <si>
    <t>JB-8503394-00</t>
  </si>
  <si>
    <t>Trued from 100 to 125 upfront</t>
  </si>
  <si>
    <t>Michael Park</t>
  </si>
  <si>
    <t>JB-8524577-00</t>
  </si>
  <si>
    <t>Dinner goal</t>
  </si>
  <si>
    <t>Bonus- quickbooks</t>
  </si>
  <si>
    <t>Alex Moreno</t>
  </si>
  <si>
    <t>JB-8525319-00</t>
  </si>
  <si>
    <t>True up</t>
  </si>
  <si>
    <t>Advance</t>
  </si>
  <si>
    <t>Reimbursment - Dinner Goal</t>
  </si>
  <si>
    <t>Chris Bird</t>
  </si>
  <si>
    <t>JB-8524509-00</t>
  </si>
  <si>
    <t>Marianne Osesky</t>
  </si>
  <si>
    <t>JB-8524668-00</t>
  </si>
  <si>
    <t>Tammy King</t>
  </si>
  <si>
    <t>JB-8524702-00</t>
  </si>
  <si>
    <t>Oscar Corral</t>
  </si>
  <si>
    <t>JB-8524761-00</t>
  </si>
  <si>
    <t>Russell Marshall</t>
  </si>
  <si>
    <t>JB-8524777-00</t>
  </si>
  <si>
    <t>Will Bradford</t>
  </si>
  <si>
    <t>JB-8524957-00</t>
  </si>
  <si>
    <t>Marisol Archie</t>
  </si>
  <si>
    <t>JB-8525174-00</t>
  </si>
  <si>
    <t>Jamie Choffin</t>
  </si>
  <si>
    <t>JB-8573176-00</t>
  </si>
  <si>
    <t>July Overrides part 2</t>
  </si>
  <si>
    <t>Don Sylvester</t>
  </si>
  <si>
    <t>JB-8512717-00</t>
  </si>
  <si>
    <t>Matt Roberts</t>
  </si>
  <si>
    <t>JB-8524745-00</t>
  </si>
  <si>
    <t>Robert Gontarz</t>
  </si>
  <si>
    <t>JB-8512698-00</t>
  </si>
  <si>
    <t>Jose Javier Lopez</t>
  </si>
  <si>
    <t>JB-8573487-00</t>
  </si>
  <si>
    <t>Luis Altamirano</t>
  </si>
  <si>
    <t>JB-8573437-00</t>
  </si>
  <si>
    <t>Money for Incentive for Juan</t>
  </si>
  <si>
    <t>Ronald Howard</t>
  </si>
  <si>
    <t>JB-8525679-00</t>
  </si>
  <si>
    <t>April Vermuele</t>
  </si>
  <si>
    <t>JB-8573588-00</t>
  </si>
  <si>
    <t>Maria Pino</t>
  </si>
  <si>
    <t>JB-8573593-00</t>
  </si>
  <si>
    <t>Ofelia Amaro</t>
  </si>
  <si>
    <t>JB-8573581-00</t>
  </si>
  <si>
    <t>Patricia Jackson</t>
  </si>
  <si>
    <t>JB-8525958-00</t>
  </si>
  <si>
    <t>Reimbursment- Dinner goal</t>
  </si>
  <si>
    <t>September Overrides Part 2</t>
  </si>
  <si>
    <t>September overide Addition</t>
  </si>
  <si>
    <t>Juan Aguero</t>
  </si>
  <si>
    <t>JB-8526250-00</t>
  </si>
  <si>
    <t>Raymond Aguilar</t>
  </si>
  <si>
    <t>JB-8573718-00</t>
  </si>
  <si>
    <t>September overide Addition (Twice)</t>
  </si>
  <si>
    <t>Vermuele, April</t>
  </si>
  <si>
    <t>Reimbursement- Ping Pong Table</t>
  </si>
  <si>
    <t>Agnes Glasgow</t>
  </si>
  <si>
    <t>JB-8538217-00</t>
  </si>
  <si>
    <t>Bonnie Armstrong</t>
  </si>
  <si>
    <t>JB-8538339-00</t>
  </si>
  <si>
    <t>Rent- June 21, 2014 Correction</t>
  </si>
  <si>
    <t>Rent fix June 21st</t>
  </si>
  <si>
    <t>Rent- June 22, 2014 - June 28, 2014 Correction</t>
  </si>
  <si>
    <t>Rent- June 29, 2014 - July 5, 2014 Correction</t>
  </si>
  <si>
    <t>Kiet Truong???</t>
  </si>
  <si>
    <t>Kiet Truong</t>
  </si>
  <si>
    <t>JB-927565-00</t>
  </si>
  <si>
    <t>Kristie Musso</t>
  </si>
  <si>
    <t>JB-927607-00</t>
  </si>
  <si>
    <t>Thao Vu</t>
  </si>
  <si>
    <t>JB-9263560-00</t>
  </si>
  <si>
    <t>Hoanh Vu</t>
  </si>
  <si>
    <t>JB-9263712-00</t>
  </si>
  <si>
    <t>Irma Ciccarelli</t>
  </si>
  <si>
    <t>JB-9263762-00</t>
  </si>
  <si>
    <t>Carl Barnes</t>
  </si>
  <si>
    <t>JB-060786-00</t>
  </si>
  <si>
    <t>Marcia Fearon</t>
  </si>
  <si>
    <t>JB-061195-00</t>
  </si>
  <si>
    <t>Richard Potter</t>
  </si>
  <si>
    <t>JB-060910-00</t>
  </si>
  <si>
    <t>Theresa Caruso</t>
  </si>
  <si>
    <t>JB-0601012-00</t>
  </si>
  <si>
    <t>Crystal Lee</t>
  </si>
  <si>
    <t>JB-8524788-00</t>
  </si>
  <si>
    <t>Fanny Hernandez</t>
  </si>
  <si>
    <t>JB-8524783-00</t>
  </si>
  <si>
    <t>Positive from Last Week</t>
  </si>
  <si>
    <t>Hilary Erickson</t>
  </si>
  <si>
    <t>JB-8524954-00</t>
  </si>
  <si>
    <t>Ricky Black</t>
  </si>
  <si>
    <t>JB-8524966-00</t>
  </si>
  <si>
    <t>Brian Bovaird</t>
  </si>
  <si>
    <t>JB-8524604-00</t>
  </si>
  <si>
    <t>Daniel Emmons</t>
  </si>
  <si>
    <t>JB-8503687-00</t>
  </si>
  <si>
    <t>Kim Torres</t>
  </si>
  <si>
    <t>JB-8503708-00</t>
  </si>
  <si>
    <t>Darrell Jones</t>
  </si>
  <si>
    <t>JB-8525150-00</t>
  </si>
  <si>
    <t>Brad Presnick</t>
  </si>
  <si>
    <t>JB-0601342-00</t>
  </si>
  <si>
    <t>Edward Newton</t>
  </si>
  <si>
    <t>JB-8524699-00</t>
  </si>
  <si>
    <t>Eric Blakeslee</t>
  </si>
  <si>
    <t>JB-0601433-00</t>
  </si>
  <si>
    <t>Reimbursment- Gas</t>
  </si>
  <si>
    <t>Sandra Balaska</t>
  </si>
  <si>
    <t>JB-0601312-00</t>
  </si>
  <si>
    <t>Chinh Bui</t>
  </si>
  <si>
    <t>JB-0601260-00</t>
  </si>
  <si>
    <t>David Ragon</t>
  </si>
  <si>
    <t>JB-0601022-00</t>
  </si>
  <si>
    <t>Jeff Guerrette</t>
  </si>
  <si>
    <t>JB-0601080-00</t>
  </si>
  <si>
    <t>John Hitchcock</t>
  </si>
  <si>
    <t>JB-0601244-00</t>
  </si>
  <si>
    <t>Michael Nelligan</t>
  </si>
  <si>
    <t>JB-0601266-00</t>
  </si>
  <si>
    <t>Rent, furniture, and insurance for the 23rd to the 27th of June</t>
  </si>
  <si>
    <t>Ronald Squiers</t>
  </si>
  <si>
    <t>JB-0601276-00</t>
  </si>
  <si>
    <t>Stephen Meunier</t>
  </si>
  <si>
    <t>JB-0601099-00</t>
  </si>
  <si>
    <t>Paul Cappa</t>
  </si>
  <si>
    <t>JB-0601313-00</t>
  </si>
  <si>
    <t>Advance 10/17/14</t>
  </si>
  <si>
    <t>Paul Benis</t>
  </si>
  <si>
    <t>JB-0601280-00</t>
  </si>
  <si>
    <t>Pay advance 11/1/14</t>
  </si>
  <si>
    <t>Neeraj Mangla</t>
  </si>
  <si>
    <t>JB-0601424-00</t>
  </si>
  <si>
    <t>Rent- Aug 11, 2014 - Aug 17, 2014 Rent correction</t>
  </si>
  <si>
    <t>Rent- Aug 18, 2014 - Aug 24, 2014 Rent correction</t>
  </si>
  <si>
    <t>Rent -Aug 29, 2014 - Sep 5, 2014 Correction</t>
  </si>
  <si>
    <t>Rent- Aug 4, 2014 - Aug 10, 2014 Rent correction</t>
  </si>
  <si>
    <t>Rent- August 25, 2014- Sep 7, 2014 Rent correction</t>
  </si>
  <si>
    <t>Rent- July 14, 2014 - July 20, 2014 Rent correction</t>
  </si>
  <si>
    <t>Rent- July 28, 2014 - Aug 3, 2014 Rent correction</t>
  </si>
  <si>
    <t>Rent- June 27, 2014 - July 6, 2014 Rent correction</t>
  </si>
  <si>
    <t>Rent- Oct 06, 2014 - Oct 12, 2014 correction</t>
  </si>
  <si>
    <t>Rent- Sep 15, 2014 - Sep 21, 2013 correction</t>
  </si>
  <si>
    <t>Rent- Sep 22, 2014 - Sep 28, 2012 correction</t>
  </si>
  <si>
    <t>Rent- Sep 8, 2014 - Sep 14, 2014 correction</t>
  </si>
  <si>
    <t>Rent-July 21, 2014 - July 27, 2014 Rent correction</t>
  </si>
  <si>
    <t>Ronald Baer</t>
  </si>
  <si>
    <t>JB-0601401-00</t>
  </si>
  <si>
    <t>Scott Gould</t>
  </si>
  <si>
    <t>JB-0601307-00</t>
  </si>
  <si>
    <t>Gerald Talis</t>
  </si>
  <si>
    <t>JB-0601403-00</t>
  </si>
  <si>
    <t>Meunier, Stephen</t>
  </si>
  <si>
    <t>Stephanie Bednarczyk</t>
  </si>
  <si>
    <t>JB-0601427-00</t>
  </si>
  <si>
    <t>Pay advance</t>
  </si>
  <si>
    <t>Ferdo Bojic</t>
  </si>
  <si>
    <t>JB-060955-00</t>
  </si>
  <si>
    <t>Sharon Vacca</t>
  </si>
  <si>
    <t>JB-060902-00</t>
  </si>
  <si>
    <t>Melodie Larue</t>
  </si>
  <si>
    <t>JB-060929-00</t>
  </si>
  <si>
    <t>Shirley Garen</t>
  </si>
  <si>
    <t>JB-060954-00</t>
  </si>
  <si>
    <t>Thomas Rhodes</t>
  </si>
  <si>
    <t>JB-060920-00</t>
  </si>
  <si>
    <t>Richard Galvez</t>
  </si>
  <si>
    <t>JB-060973-00</t>
  </si>
  <si>
    <t>James Grala</t>
  </si>
  <si>
    <t>JB-0601015-00</t>
  </si>
  <si>
    <t>Advance 6/27/2014</t>
  </si>
  <si>
    <t>Advance 7/11/2014</t>
  </si>
  <si>
    <t>Advance 7/18/2014</t>
  </si>
  <si>
    <t>Carl Bury</t>
  </si>
  <si>
    <t>JB-118125-00</t>
  </si>
  <si>
    <t>Frank Dugan</t>
  </si>
  <si>
    <t>JB-118121-00</t>
  </si>
  <si>
    <t>Pay advance 7/11/14 (1 of 2: Split to ensure payout on 7/31/14)</t>
  </si>
  <si>
    <t>Advance 8/7/14</t>
  </si>
  <si>
    <t>Blane Bush</t>
  </si>
  <si>
    <t>JB-118128-00</t>
  </si>
  <si>
    <t>Janine Lewis</t>
  </si>
  <si>
    <t>JB-1171061-00</t>
  </si>
  <si>
    <t>Advance 8/22/14</t>
  </si>
  <si>
    <t>Advance 8/28/14</t>
  </si>
  <si>
    <t>Advance 9/5/14</t>
  </si>
  <si>
    <t>Pay advance 7/11/14 (2 of 2: Split to ensure payout on 7/31/14)</t>
  </si>
  <si>
    <t>Westwood Village Apt 68</t>
  </si>
  <si>
    <t>Robert McConchie</t>
  </si>
  <si>
    <t>JB-8524705-00</t>
  </si>
  <si>
    <t>James Lee</t>
  </si>
  <si>
    <t>JB-8524638-00</t>
  </si>
  <si>
    <t>Quickbook "Bonus"</t>
  </si>
  <si>
    <t>Mary Holt</t>
  </si>
  <si>
    <t>JB-8512668-00</t>
  </si>
  <si>
    <t>Edie Booth</t>
  </si>
  <si>
    <t>JB-8512746-00</t>
  </si>
  <si>
    <t>Daniela Lopez-Bulcroft</t>
  </si>
  <si>
    <t>JB-8525807-00</t>
  </si>
  <si>
    <t>Adam Wojcik</t>
  </si>
  <si>
    <t>JB-8526047-00</t>
  </si>
  <si>
    <t>Ernest Campbell</t>
  </si>
  <si>
    <t>JB-8526459-00</t>
  </si>
  <si>
    <t>Advance 6/20/14</t>
  </si>
  <si>
    <t>Ada Lind</t>
  </si>
  <si>
    <t>JB-118096-00</t>
  </si>
  <si>
    <t>Laura Basso</t>
  </si>
  <si>
    <t>JB-118098-00</t>
  </si>
  <si>
    <t>Westwood Village Apt 78</t>
  </si>
  <si>
    <t>Rent, furniture, and insurance from 20th to 27th of june</t>
  </si>
  <si>
    <t>Charles Zolnik</t>
  </si>
  <si>
    <t>JB-118092-00</t>
  </si>
  <si>
    <t>Kenneth Israelton</t>
  </si>
  <si>
    <t>JB-118114-00</t>
  </si>
  <si>
    <t>Eitan Zadok</t>
  </si>
  <si>
    <t>JB-118143-00</t>
  </si>
  <si>
    <t>Peter immediato</t>
  </si>
  <si>
    <t>JB-118103-00</t>
  </si>
  <si>
    <t>Anand Logani</t>
  </si>
  <si>
    <t>JB-118089-00</t>
  </si>
  <si>
    <t>Athanasia Biska</t>
  </si>
  <si>
    <t>JB-118141-00</t>
  </si>
  <si>
    <t>Commission Draw 8/8/14</t>
  </si>
  <si>
    <t>Commission from team meeting 8/12/14</t>
  </si>
  <si>
    <t>Reimbursement- Cab from airport</t>
  </si>
  <si>
    <t>Cab 70 ,8/10/2014</t>
  </si>
  <si>
    <t>Bernadette Palesty</t>
  </si>
  <si>
    <t>JB-118142-00</t>
  </si>
  <si>
    <t>Debbie Wetterich</t>
  </si>
  <si>
    <t>JB-118162-00</t>
  </si>
  <si>
    <t>Dipak Desai</t>
  </si>
  <si>
    <t>JB-118176-00</t>
  </si>
  <si>
    <t>Kiran Shah</t>
  </si>
  <si>
    <t>JB-1171555-00</t>
  </si>
  <si>
    <t>Praful Doshi</t>
  </si>
  <si>
    <t>JB-110210-00</t>
  </si>
  <si>
    <t>Rocco Passafuime</t>
  </si>
  <si>
    <t>JB-118172-00</t>
  </si>
  <si>
    <t>John Carcich</t>
  </si>
  <si>
    <t>JB-118184-00</t>
  </si>
  <si>
    <t>Neal Berman</t>
  </si>
  <si>
    <t>JB-118185-00</t>
  </si>
  <si>
    <t>Advance 9/29/14</t>
  </si>
  <si>
    <t>Deducted draw from overrides but he wanted it from istalls so we paid back the $500 he owes us</t>
  </si>
  <si>
    <t>Advance 10/6/14</t>
  </si>
  <si>
    <t>Advance 10/31/14</t>
  </si>
  <si>
    <t>John Torres</t>
  </si>
  <si>
    <t>JB-077356-00</t>
  </si>
  <si>
    <t>G4g Draw 11/17/14</t>
  </si>
  <si>
    <t>G4G Draw 11/24/14</t>
  </si>
  <si>
    <t>G4G Draw 11/25/14</t>
  </si>
  <si>
    <t>Staci Caruso</t>
  </si>
  <si>
    <t>JB-086091-00</t>
  </si>
  <si>
    <t>We Paid out Partial of this since Bobby told him he'd get some of it. However, Since it's the Marketing and he received a draw, no other front ends have been paid out for Marketing just yet. Starting Next week.</t>
  </si>
  <si>
    <t>Jignesh Mody</t>
  </si>
  <si>
    <t>JB-115842-00</t>
  </si>
  <si>
    <t>Joey Aurigemma</t>
  </si>
  <si>
    <t>JB-077415-00</t>
  </si>
  <si>
    <t>Shah, Kiran</t>
  </si>
  <si>
    <t>Utility paid 11/17/14</t>
  </si>
  <si>
    <t>Matthew Foster</t>
  </si>
  <si>
    <t>JB-8538387-00</t>
  </si>
  <si>
    <t>Rent- June 22, 2014- June 23, 2014</t>
  </si>
  <si>
    <t>6.22.14 - 6.23.14</t>
  </si>
  <si>
    <t>Kathryn Nance</t>
  </si>
  <si>
    <t>JB-9503258-00</t>
  </si>
  <si>
    <t>Cory Kretz</t>
  </si>
  <si>
    <t>JB-9283960-00</t>
  </si>
  <si>
    <t>Draw 2/6/15</t>
  </si>
  <si>
    <t>Reimbursement- Maserati upgrade</t>
  </si>
  <si>
    <t>Reimbursement- Training, Gas, Per Diem</t>
  </si>
  <si>
    <t>Pay Advance 6/20/2014</t>
  </si>
  <si>
    <t>Stephanie Locurto</t>
  </si>
  <si>
    <t>JB-1171088-00</t>
  </si>
  <si>
    <t>Rent, furniture, and insurance from 17th of june to 27th</t>
  </si>
  <si>
    <t>Melanie Garcia</t>
  </si>
  <si>
    <t>JB-118116-00</t>
  </si>
  <si>
    <t>Teresa Zic</t>
  </si>
  <si>
    <t>JB-118127-00</t>
  </si>
  <si>
    <t>Carrie O'conner</t>
  </si>
  <si>
    <t>JB-1171371-00</t>
  </si>
  <si>
    <t>Steve Mahlan</t>
  </si>
  <si>
    <t>JB-1171380-00</t>
  </si>
  <si>
    <t>Marc Harris</t>
  </si>
  <si>
    <t>JB-118095-00</t>
  </si>
  <si>
    <t>Donna Sonnenschein</t>
  </si>
  <si>
    <t>JB-1171327-00</t>
  </si>
  <si>
    <t>Commission Draw 8/7/14</t>
  </si>
  <si>
    <t>Edward Huether</t>
  </si>
  <si>
    <t>JB-1171318-00</t>
  </si>
  <si>
    <t>Commission Draw 8/28/14</t>
  </si>
  <si>
    <t>Westwood Village Apt 6</t>
  </si>
  <si>
    <t>Ralph Munn</t>
  </si>
  <si>
    <t>JB-118110-00</t>
  </si>
  <si>
    <t>Commission Draw 9/4/14</t>
  </si>
  <si>
    <t>Beau Baer</t>
  </si>
  <si>
    <t>JB-1171820-00</t>
  </si>
  <si>
    <t>Maeve Moore</t>
  </si>
  <si>
    <t>JB-118149-00</t>
  </si>
  <si>
    <t>Marla Scheid</t>
  </si>
  <si>
    <t>JB-1171678-00</t>
  </si>
  <si>
    <t>Scott Vedder</t>
  </si>
  <si>
    <t>JB-1171794-00</t>
  </si>
  <si>
    <t>Kenneth peters</t>
  </si>
  <si>
    <t>JB-118130-00</t>
  </si>
  <si>
    <t>Draw 8/7/14</t>
  </si>
  <si>
    <t>Maybe was not processed</t>
  </si>
  <si>
    <t>Tomasz Naprawa</t>
  </si>
  <si>
    <t>JB-1171402-00</t>
  </si>
  <si>
    <t>JB-1171404-00</t>
  </si>
  <si>
    <t>Douglas Hecker</t>
  </si>
  <si>
    <t>JB-1171447-00</t>
  </si>
  <si>
    <t>Draw 8/28/14</t>
  </si>
  <si>
    <t>Joanne Calise</t>
  </si>
  <si>
    <t>JB-1171692-00</t>
  </si>
  <si>
    <t>Elvia Rodriguez</t>
  </si>
  <si>
    <t>JB-927587-00</t>
  </si>
  <si>
    <t>Donald Killingbeck</t>
  </si>
  <si>
    <t>JB-927586-00</t>
  </si>
  <si>
    <t>Commission Draw 6/20/2014</t>
  </si>
  <si>
    <t>Charles Hoffman</t>
  </si>
  <si>
    <t>JB-1171165-00</t>
  </si>
  <si>
    <t>Susan Sciglibaglio</t>
  </si>
  <si>
    <t>JB-1171159-00</t>
  </si>
  <si>
    <t>Pamela Obritis</t>
  </si>
  <si>
    <t>JB-1171206-00</t>
  </si>
  <si>
    <t>Princess Saa</t>
  </si>
  <si>
    <t>JB-1171214-00</t>
  </si>
  <si>
    <t>Richard Naviasky</t>
  </si>
  <si>
    <t>JB-1171181-00</t>
  </si>
  <si>
    <t>Ron Johnson</t>
  </si>
  <si>
    <t>JB-1171200-00</t>
  </si>
  <si>
    <t>Tom Siano</t>
  </si>
  <si>
    <t>JB-1171225-00</t>
  </si>
  <si>
    <t>Bonnie Brennan</t>
  </si>
  <si>
    <t>JB-1171365-00</t>
  </si>
  <si>
    <t>Joe Blesi</t>
  </si>
  <si>
    <t>JB-1171183-00</t>
  </si>
  <si>
    <t>James Cranmer</t>
  </si>
  <si>
    <t>JB-1171337-00</t>
  </si>
  <si>
    <t>Frank Romeo</t>
  </si>
  <si>
    <t>JB-1171746-00</t>
  </si>
  <si>
    <t>Muhammad Mabin</t>
  </si>
  <si>
    <t>JB-118177-00</t>
  </si>
  <si>
    <t>Aldo Cimino</t>
  </si>
  <si>
    <t>JB-1171757-00</t>
  </si>
  <si>
    <t>Matthew Kondrup</t>
  </si>
  <si>
    <t>JB-1171895-00</t>
  </si>
  <si>
    <t>Pamela Lissy</t>
  </si>
  <si>
    <t>Nancy O'Neill</t>
  </si>
  <si>
    <t>JB-1171178-00</t>
  </si>
  <si>
    <t>Jairo Marietto</t>
  </si>
  <si>
    <t>JB-1171170-00</t>
  </si>
  <si>
    <t>Joseph Desmoie</t>
  </si>
  <si>
    <t>JB-1171296-00</t>
  </si>
  <si>
    <t>Karen Whittall</t>
  </si>
  <si>
    <t>JB-118099-00</t>
  </si>
  <si>
    <t>Lou Loria</t>
  </si>
  <si>
    <t>JB-1171333-00</t>
  </si>
  <si>
    <t>Edward Connolly</t>
  </si>
  <si>
    <t>JB-1171204-00</t>
  </si>
  <si>
    <t>Edward Riepe</t>
  </si>
  <si>
    <t>JB-1171261-00</t>
  </si>
  <si>
    <t>Michael Traversa</t>
  </si>
  <si>
    <t>JB-1171352-00</t>
  </si>
  <si>
    <t>Patrick Cary</t>
  </si>
  <si>
    <t>JB-1171440-00</t>
  </si>
  <si>
    <t>Robert Murtha</t>
  </si>
  <si>
    <t>JB-1171253-00</t>
  </si>
  <si>
    <t>Commission Draw 8/14/14</t>
  </si>
  <si>
    <t>Michael Downey</t>
  </si>
  <si>
    <t>JB-1171388-00</t>
  </si>
  <si>
    <t>Grace Palm</t>
  </si>
  <si>
    <t>JB-1171671-00</t>
  </si>
  <si>
    <t>Commission Draw 8/7/14 (1 of 2)</t>
  </si>
  <si>
    <t>Frank Apap</t>
  </si>
  <si>
    <t>JB-1171913-00</t>
  </si>
  <si>
    <t>Lou Bernardi</t>
  </si>
  <si>
    <t>JB-1171806-00</t>
  </si>
  <si>
    <t>Vincent Pellizzi</t>
  </si>
  <si>
    <t>JB-1171882-00</t>
  </si>
  <si>
    <t>William Mc Vicar</t>
  </si>
  <si>
    <t>JB-1171917-00</t>
  </si>
  <si>
    <t>Draw 9/22/2014</t>
  </si>
  <si>
    <t>Abraham Kaltsas</t>
  </si>
  <si>
    <t>JB-1171633-00</t>
  </si>
  <si>
    <t>Charles Leek</t>
  </si>
  <si>
    <t>JB-1171578-00</t>
  </si>
  <si>
    <t>2 sales</t>
  </si>
  <si>
    <t>Commission Draw 8/7/14 (2 of 2)</t>
  </si>
  <si>
    <t>Matthew Dowd</t>
  </si>
  <si>
    <t>JB-1171535-00</t>
  </si>
  <si>
    <t>Josephine Mackey</t>
  </si>
  <si>
    <t>JB-1171139-00</t>
  </si>
  <si>
    <t>Nicolas Macaluso</t>
  </si>
  <si>
    <t>JB-1171174-00</t>
  </si>
  <si>
    <t>John Borgia</t>
  </si>
  <si>
    <t>JB-1171458-00</t>
  </si>
  <si>
    <t>John Henehan</t>
  </si>
  <si>
    <t>JB-1171194-00</t>
  </si>
  <si>
    <t>Rob Romano</t>
  </si>
  <si>
    <t>JB-1171509-00</t>
  </si>
  <si>
    <t>Yvonn Iovieno</t>
  </si>
  <si>
    <t>JB-1171205-00</t>
  </si>
  <si>
    <t>JB-1171208-00</t>
  </si>
  <si>
    <t>William Kelly</t>
  </si>
  <si>
    <t>JB-1171433-00</t>
  </si>
  <si>
    <t>Dennis Gustafson</t>
  </si>
  <si>
    <t>JB-1171625-00</t>
  </si>
  <si>
    <t>Roger Van Laere</t>
  </si>
  <si>
    <t>JB-1171480-00</t>
  </si>
  <si>
    <t>Zeinab Nasr</t>
  </si>
  <si>
    <t>JB-1171568-00</t>
  </si>
  <si>
    <t>Unknown why we paid out. Also added 1 cent to match quickbooks overall total for Ben C.</t>
  </si>
  <si>
    <t>Robert Stubbs</t>
  </si>
  <si>
    <t>JB-1171766-00</t>
  </si>
  <si>
    <t>Vinny Khanija</t>
  </si>
  <si>
    <t>JB-1171719-00</t>
  </si>
  <si>
    <t>Barbara Haddow</t>
  </si>
  <si>
    <t>JB-1171829-00</t>
  </si>
  <si>
    <t>Diane Grossmann</t>
  </si>
  <si>
    <t>JB-1171844-00</t>
  </si>
  <si>
    <t>Edward Mullin</t>
  </si>
  <si>
    <t>JB-1171608-00</t>
  </si>
  <si>
    <t>Laura Schulze</t>
  </si>
  <si>
    <t>JB-1171796-00</t>
  </si>
  <si>
    <t>Thomas Tucker</t>
  </si>
  <si>
    <t>JB-1171774-00</t>
  </si>
  <si>
    <t>Yvonne Iovieno</t>
  </si>
  <si>
    <t>Double Paid on 9/5/2014. We needed to claw back</t>
  </si>
  <si>
    <t>Marcos Santos</t>
  </si>
  <si>
    <t>JB-9221874-00</t>
  </si>
  <si>
    <t>David McGuckin</t>
  </si>
  <si>
    <t>JB-1171257-00</t>
  </si>
  <si>
    <t>Mike Napolitano</t>
  </si>
  <si>
    <t>JB-1171454-00</t>
  </si>
  <si>
    <t>Mitchell Bestreich</t>
  </si>
  <si>
    <t>JB-1171407-00</t>
  </si>
  <si>
    <t>Salvatore Signa</t>
  </si>
  <si>
    <t>JB-1171202-00</t>
  </si>
  <si>
    <t>Connie Pryor</t>
  </si>
  <si>
    <t>JB-1171241-00</t>
  </si>
  <si>
    <t>Valarie Schiebel</t>
  </si>
  <si>
    <t>JB-1171300-00</t>
  </si>
  <si>
    <t>Joe Moscato</t>
  </si>
  <si>
    <t>JB-1171670-00</t>
  </si>
  <si>
    <t>Helen Weitman</t>
  </si>
  <si>
    <t>JB-1171768-00</t>
  </si>
  <si>
    <t>Matt Princi</t>
  </si>
  <si>
    <t>JB-1171756-00</t>
  </si>
  <si>
    <t>Anthony Shiu</t>
  </si>
  <si>
    <t>JB-119257-00</t>
  </si>
  <si>
    <t>Frank Bruni</t>
  </si>
  <si>
    <t>JB-1171709-00</t>
  </si>
  <si>
    <t>Angelo Cuozzo</t>
  </si>
  <si>
    <t>JB-1171457-00</t>
  </si>
  <si>
    <t>Larry Doniger</t>
  </si>
  <si>
    <t>JB-1171179-00</t>
  </si>
  <si>
    <t>JB-1171894-00</t>
  </si>
  <si>
    <t>Alfred Picone</t>
  </si>
  <si>
    <t>JB-1171607-00</t>
  </si>
  <si>
    <t>Lauren Parolisi</t>
  </si>
  <si>
    <t>JB-1171565-00</t>
  </si>
  <si>
    <t>Frank Golini</t>
  </si>
  <si>
    <t>JB-1171350-00</t>
  </si>
  <si>
    <t>John Bloom</t>
  </si>
  <si>
    <t>JB-1171610-00</t>
  </si>
  <si>
    <t>Justin O'Connell</t>
  </si>
  <si>
    <t>JB-1171228-00</t>
  </si>
  <si>
    <t>Roxanne Joseph</t>
  </si>
  <si>
    <t>JB-1171149-00</t>
  </si>
  <si>
    <t>Minning Xie</t>
  </si>
  <si>
    <t>JB-1171169-00</t>
  </si>
  <si>
    <t>Christina McCarthy</t>
  </si>
  <si>
    <t>JB-1171613-00</t>
  </si>
  <si>
    <t>$500 Draw 8/28</t>
  </si>
  <si>
    <t>Felipe Munoz</t>
  </si>
  <si>
    <t>JB-1171430-00</t>
  </si>
  <si>
    <t>Joan Kirsten</t>
  </si>
  <si>
    <t>JB-1171827-00</t>
  </si>
  <si>
    <t>Advance 11/21/14</t>
  </si>
  <si>
    <t>Rent- July 7,2014- July 13, 2014</t>
  </si>
  <si>
    <t>Rent- June 20,2014- June 27, 2014</t>
  </si>
  <si>
    <t>Rent- June 28,2014- July 6, 2014</t>
  </si>
  <si>
    <t>Advance 6/27/14</t>
  </si>
  <si>
    <t>Rent, furniture, and insurance for the 27th of June</t>
  </si>
  <si>
    <t>Advance 7/11/14</t>
  </si>
  <si>
    <t>Advance 7/25/14</t>
  </si>
  <si>
    <t>Advance 8/4/14</t>
  </si>
  <si>
    <t>Michael Garcia</t>
  </si>
  <si>
    <t>JB-1171238-00</t>
  </si>
  <si>
    <t>Shiraz Nasiri</t>
  </si>
  <si>
    <t>JB-1171249-00</t>
  </si>
  <si>
    <t>Giannis Skouloudis</t>
  </si>
  <si>
    <t>JB-1171293-00</t>
  </si>
  <si>
    <t>Jeanine and John McCreary</t>
  </si>
  <si>
    <t>JB-1171354-00</t>
  </si>
  <si>
    <t>George Bird</t>
  </si>
  <si>
    <t>JB-1171417-00</t>
  </si>
  <si>
    <t>Nicole Porter</t>
  </si>
  <si>
    <t>JB-1171553-00</t>
  </si>
  <si>
    <t>Patricia Wetzel</t>
  </si>
  <si>
    <t>JB-1171395-00</t>
  </si>
  <si>
    <t>Advance 8/29/14</t>
  </si>
  <si>
    <t>Harald Nagel</t>
  </si>
  <si>
    <t>JB-115886-00</t>
  </si>
  <si>
    <t>Nancy Neal</t>
  </si>
  <si>
    <t>JB-1171741-00</t>
  </si>
  <si>
    <t>Stephanie Faton</t>
  </si>
  <si>
    <t>JB-1171605-00</t>
  </si>
  <si>
    <t>Abdelaziz Tracy</t>
  </si>
  <si>
    <t>JB-1171305-00</t>
  </si>
  <si>
    <t>Anthony Lopinto</t>
  </si>
  <si>
    <t>JB-1171600-00</t>
  </si>
  <si>
    <t>Lopinto, Anthony</t>
  </si>
  <si>
    <t>Mark Guevarra</t>
  </si>
  <si>
    <t>JB-115896-00</t>
  </si>
  <si>
    <t>Nick Vento</t>
  </si>
  <si>
    <t>JB-1171663-00</t>
  </si>
  <si>
    <t>Draw 8/8/14</t>
  </si>
  <si>
    <t>Benedicto Trinidad</t>
  </si>
  <si>
    <t>JB-1171198-00</t>
  </si>
  <si>
    <t>Draw 8/28/2014</t>
  </si>
  <si>
    <t>Draw 8/8/2014</t>
  </si>
  <si>
    <t>Derek Colvin</t>
  </si>
  <si>
    <t>JB-971715-00</t>
  </si>
  <si>
    <t>Nancy Woo</t>
  </si>
  <si>
    <t>JB-927594-00</t>
  </si>
  <si>
    <t>Felipa Mendoza</t>
  </si>
  <si>
    <t>JB-927651-00</t>
  </si>
  <si>
    <t>Amber Musick</t>
  </si>
  <si>
    <t>JB-8538462-00</t>
  </si>
  <si>
    <t>Ramon Guevara</t>
  </si>
  <si>
    <t>JB-8538486-00</t>
  </si>
  <si>
    <t>Rent- June 25, 2014 - July 13, 2014</t>
  </si>
  <si>
    <t>Rent Correction</t>
  </si>
  <si>
    <t>Shawn Hinckley said Dan said they get free rent</t>
  </si>
  <si>
    <t>Rent- June 25, 2014 - July 13, 2014 (Took $25 Extra)</t>
  </si>
  <si>
    <t>Carmen Gomez</t>
  </si>
  <si>
    <t>JB-8503493-00</t>
  </si>
  <si>
    <t>June 25th through July 13th</t>
  </si>
  <si>
    <t>Richard Frazier</t>
  </si>
  <si>
    <t>JB-8503579-00</t>
  </si>
  <si>
    <t>Kasie Spilman</t>
  </si>
  <si>
    <t>JB-8538689-00</t>
  </si>
  <si>
    <t>Gillispie, Nancy</t>
  </si>
  <si>
    <t>JB-8503615-00</t>
  </si>
  <si>
    <t>Kristen Hartman</t>
  </si>
  <si>
    <t>JB-8512322-00</t>
  </si>
  <si>
    <t>Byron Singleton</t>
  </si>
  <si>
    <t>JB-8512357-00</t>
  </si>
  <si>
    <t>Jose Guerrero</t>
  </si>
  <si>
    <t>JB-8512315-00</t>
  </si>
  <si>
    <t>Jimmy Rush</t>
  </si>
  <si>
    <t>JB-8512404-00</t>
  </si>
  <si>
    <t>Andrea Wilary</t>
  </si>
  <si>
    <t>JB-120750-00</t>
  </si>
  <si>
    <t>Kerrie Williams</t>
  </si>
  <si>
    <t>JB-121611-00</t>
  </si>
  <si>
    <t>Tracey Stock</t>
  </si>
  <si>
    <t>JB-120743-00</t>
  </si>
  <si>
    <t>Heidi Aupperle</t>
  </si>
  <si>
    <t>JB-120794-00</t>
  </si>
  <si>
    <t>John McDonald</t>
  </si>
  <si>
    <t>JB-121660-00</t>
  </si>
  <si>
    <t>Laura Tobin</t>
  </si>
  <si>
    <t>JB-121601-00</t>
  </si>
  <si>
    <t>Barbara Walter</t>
  </si>
  <si>
    <t>JB-120810-00</t>
  </si>
  <si>
    <t>Charged for 2 iPads. Credit for one of them</t>
  </si>
  <si>
    <t>James Yonkers</t>
  </si>
  <si>
    <t>JB-120884-00</t>
  </si>
  <si>
    <t>Jeff Kaleta</t>
  </si>
  <si>
    <t>JB-120808-00</t>
  </si>
  <si>
    <t>Daniel Casullo</t>
  </si>
  <si>
    <t>JB-120834-00</t>
  </si>
  <si>
    <t>Sharon Blais</t>
  </si>
  <si>
    <t>JB-120913-00</t>
  </si>
  <si>
    <t>Darwin Cruz</t>
  </si>
  <si>
    <t>JB-120907-00</t>
  </si>
  <si>
    <t>Margaret Mchugh</t>
  </si>
  <si>
    <t>JB-120956-00</t>
  </si>
  <si>
    <t>Steven Blaney</t>
  </si>
  <si>
    <t>JB-120991-00</t>
  </si>
  <si>
    <t>Mike Christakis</t>
  </si>
  <si>
    <t>JB-1201043-00</t>
  </si>
  <si>
    <t>David W Clarke</t>
  </si>
  <si>
    <t>JB-1201100-00</t>
  </si>
  <si>
    <t>Elena Lysenko</t>
  </si>
  <si>
    <t>JB-121827-00</t>
  </si>
  <si>
    <t>Russell Peterson</t>
  </si>
  <si>
    <t>JB-121885-00</t>
  </si>
  <si>
    <t>Derek Rhein</t>
  </si>
  <si>
    <t>JB-1201148-00</t>
  </si>
  <si>
    <t>Oliver Rattigan</t>
  </si>
  <si>
    <t>JB-1201161-00</t>
  </si>
  <si>
    <t>Vladimir Ablin</t>
  </si>
  <si>
    <t>JB-121912-00</t>
  </si>
  <si>
    <t>Neil Piper</t>
  </si>
  <si>
    <t>JB-121933-00</t>
  </si>
  <si>
    <t>Ablin, Vladimir</t>
  </si>
  <si>
    <t>Lysenko, Elena</t>
  </si>
  <si>
    <t>Smith, Bernard</t>
  </si>
  <si>
    <t>JB-1201247-00</t>
  </si>
  <si>
    <t>Bernard Smith</t>
  </si>
  <si>
    <t>Blais, Sharon</t>
  </si>
  <si>
    <t>Rhein, Derek</t>
  </si>
  <si>
    <t>Joseph Anderson</t>
  </si>
  <si>
    <t>JB-121616-00</t>
  </si>
  <si>
    <t>Gas advance 7/15/2014</t>
  </si>
  <si>
    <t>Gas advance 7/18/2014</t>
  </si>
  <si>
    <t>Lois Gaines</t>
  </si>
  <si>
    <t>JB-121621-00</t>
  </si>
  <si>
    <t>Ashok Patel</t>
  </si>
  <si>
    <t>JB-110216-00</t>
  </si>
  <si>
    <t>Richard Gonzales</t>
  </si>
  <si>
    <t>JB-121615-00</t>
  </si>
  <si>
    <t>Paul Fuino</t>
  </si>
  <si>
    <t>JB-122347-00</t>
  </si>
  <si>
    <t>Bruce Austin</t>
  </si>
  <si>
    <t>JB-122371-00</t>
  </si>
  <si>
    <t>Margaret Bennett</t>
  </si>
  <si>
    <t>JB-121801-00</t>
  </si>
  <si>
    <t>Bry-Ann Yates</t>
  </si>
  <si>
    <t>JB-122376-00</t>
  </si>
  <si>
    <t>Jacket 12.19.14</t>
  </si>
  <si>
    <t>Anthony Stills</t>
  </si>
  <si>
    <t>JB-2071617-00</t>
  </si>
  <si>
    <t>Ben Biddix</t>
  </si>
  <si>
    <t>JB-8024755-00</t>
  </si>
  <si>
    <t>Calandreli, Abel</t>
  </si>
  <si>
    <t>JB-8023905-00</t>
  </si>
  <si>
    <t>Carranza, Maria</t>
  </si>
  <si>
    <t>JB-2071665-00</t>
  </si>
  <si>
    <t>Clyde Wallace</t>
  </si>
  <si>
    <t>JB-8024265-00</t>
  </si>
  <si>
    <t>David Asadi</t>
  </si>
  <si>
    <t>JB-8024370-00</t>
  </si>
  <si>
    <t>Debbie Heguy</t>
  </si>
  <si>
    <t>JB-8024915-00</t>
  </si>
  <si>
    <t>Dejene Zewdineh</t>
  </si>
  <si>
    <t>JB-8025062-00</t>
  </si>
  <si>
    <t>Derek Grady</t>
  </si>
  <si>
    <t>JB-8005577-00</t>
  </si>
  <si>
    <t>Egins, James</t>
  </si>
  <si>
    <t>JB-2071839-00</t>
  </si>
  <si>
    <t>Francisco Quintanilla</t>
  </si>
  <si>
    <t>JB-2071640-00</t>
  </si>
  <si>
    <t>Garcia, Manuel</t>
  </si>
  <si>
    <t>JB-8024846-00</t>
  </si>
  <si>
    <t>Gregory Woods</t>
  </si>
  <si>
    <t>JB-8024104-00</t>
  </si>
  <si>
    <t>Jesus Saucedo</t>
  </si>
  <si>
    <t>JB-8024790-00</t>
  </si>
  <si>
    <t>Joel Rodriguez</t>
  </si>
  <si>
    <t>JB-8023655-00</t>
  </si>
  <si>
    <t>Jr, Jesse Leon</t>
  </si>
  <si>
    <t>JB-8023717-00</t>
  </si>
  <si>
    <t>Kimberly Jones</t>
  </si>
  <si>
    <t>JB-8023899-00</t>
  </si>
  <si>
    <t>Leonides Cruz</t>
  </si>
  <si>
    <t>JB-2071394-00</t>
  </si>
  <si>
    <t>Marquez, Ramon</t>
  </si>
  <si>
    <t>JB-8024089-00</t>
  </si>
  <si>
    <t>Maurice Walker</t>
  </si>
  <si>
    <t>JB-8024888-00</t>
  </si>
  <si>
    <t>JB-8024927-00</t>
  </si>
  <si>
    <t>Micael, Tesfa</t>
  </si>
  <si>
    <t>JB-8024248-00</t>
  </si>
  <si>
    <t>Refujia Gomez</t>
  </si>
  <si>
    <t>JB-8024066-00</t>
  </si>
  <si>
    <t>Rent- His Team for September</t>
  </si>
  <si>
    <t>Rent- September Through November</t>
  </si>
  <si>
    <t>Richard Martinez</t>
  </si>
  <si>
    <t>JB-8004058-00</t>
  </si>
  <si>
    <t>SADAMO, RETA</t>
  </si>
  <si>
    <t>JB-8023968-00</t>
  </si>
  <si>
    <t>Sharifi, Asghar</t>
  </si>
  <si>
    <t>JB-8023406-00</t>
  </si>
  <si>
    <t>Stanley Bleus</t>
  </si>
  <si>
    <t>JB-8024798-00</t>
  </si>
  <si>
    <t>Tim Seest</t>
  </si>
  <si>
    <t>JB-8024284-00</t>
  </si>
  <si>
    <t>Wayne Nguyen</t>
  </si>
  <si>
    <t>JB-8024833-00</t>
  </si>
  <si>
    <t>JB-8024836-00</t>
  </si>
  <si>
    <t>Daniel Smith</t>
  </si>
  <si>
    <t>JB-8539011-00</t>
  </si>
  <si>
    <t>Denise Mariner</t>
  </si>
  <si>
    <t>JB-8539055-00</t>
  </si>
  <si>
    <t>Mandie Van Hook</t>
  </si>
  <si>
    <t>JB-8539017-00</t>
  </si>
  <si>
    <t>Staci Davis</t>
  </si>
  <si>
    <t>JB-8539016-00</t>
  </si>
  <si>
    <t>JB-8539093-00</t>
  </si>
  <si>
    <t>Jon Brown</t>
  </si>
  <si>
    <t>JB-8539152-00</t>
  </si>
  <si>
    <t>Samantha Abbott</t>
  </si>
  <si>
    <t>JB-8539148-00</t>
  </si>
  <si>
    <t>Cami Petersen</t>
  </si>
  <si>
    <t>JB-8539226-00</t>
  </si>
  <si>
    <t>David Thomas</t>
  </si>
  <si>
    <t>JB-8539209-00</t>
  </si>
  <si>
    <t>Mary Smith</t>
  </si>
  <si>
    <t>JB-8539204-00</t>
  </si>
  <si>
    <t>Natasha Bailey</t>
  </si>
  <si>
    <t>JB-8539192-00</t>
  </si>
  <si>
    <t>Jason Ward</t>
  </si>
  <si>
    <t>JB-8539353-00</t>
  </si>
  <si>
    <t>Trisha Mariner</t>
  </si>
  <si>
    <t>JB-8539228-00</t>
  </si>
  <si>
    <t>JB-8524738-00</t>
  </si>
  <si>
    <t>Glen VanSteeter</t>
  </si>
  <si>
    <t>JB-8503931-00</t>
  </si>
  <si>
    <t>James Callahan</t>
  </si>
  <si>
    <t>JB-8525749-00</t>
  </si>
  <si>
    <t>Susan Caughey</t>
  </si>
  <si>
    <t>JB-8525672-00</t>
  </si>
  <si>
    <t>Callahan, James</t>
  </si>
  <si>
    <t>Clemente Serna</t>
  </si>
  <si>
    <t>JB-9282770-00</t>
  </si>
  <si>
    <t>Olive Angus</t>
  </si>
  <si>
    <t>JB-927509-00</t>
  </si>
  <si>
    <t>Margarita Alva</t>
  </si>
  <si>
    <t>JB-927512-00</t>
  </si>
  <si>
    <t>Marina Salgado Nunez</t>
  </si>
  <si>
    <t>JB-9282815-00</t>
  </si>
  <si>
    <t>Maria del Rosario Garcia</t>
  </si>
  <si>
    <t>JB-9282866-00</t>
  </si>
  <si>
    <t>Josephine Martinez</t>
  </si>
  <si>
    <t>JB-9282880-00</t>
  </si>
  <si>
    <t>Adrian Irby</t>
  </si>
  <si>
    <t>JB-9581588-00</t>
  </si>
  <si>
    <t>Andrea Corzo</t>
  </si>
  <si>
    <t>JB-9572177-00</t>
  </si>
  <si>
    <t>Jose Bayog</t>
  </si>
  <si>
    <t>JB-9572206-00</t>
  </si>
  <si>
    <t>Shamim Ali</t>
  </si>
  <si>
    <t>JB-9581775-00</t>
  </si>
  <si>
    <t>Jill Bacon</t>
  </si>
  <si>
    <t>JB-9581614-00</t>
  </si>
  <si>
    <t>Manvir Badyal</t>
  </si>
  <si>
    <t>JB-9581640-00</t>
  </si>
  <si>
    <t>Robert Hester</t>
  </si>
  <si>
    <t>JB-9581600-00</t>
  </si>
  <si>
    <t>Derek Cowan</t>
  </si>
  <si>
    <t>JB-9565433-00</t>
  </si>
  <si>
    <t>Gautam Ramalingam</t>
  </si>
  <si>
    <t>JB-9565446-00</t>
  </si>
  <si>
    <t>Gina Bell</t>
  </si>
  <si>
    <t>JB-9581692-00</t>
  </si>
  <si>
    <t>Courtney Graham</t>
  </si>
  <si>
    <t>JB-9565431-00</t>
  </si>
  <si>
    <t>Erin Page</t>
  </si>
  <si>
    <t>JB-9581647-00</t>
  </si>
  <si>
    <t>Gillian Long</t>
  </si>
  <si>
    <t>JB-9565641-00</t>
  </si>
  <si>
    <t>Holly Hein</t>
  </si>
  <si>
    <t>JB-9581652-00</t>
  </si>
  <si>
    <t>Sara Henderson</t>
  </si>
  <si>
    <t>JB-9581734-00</t>
  </si>
  <si>
    <t>Tim Pettengill</t>
  </si>
  <si>
    <t>JB-9572147-00</t>
  </si>
  <si>
    <t>Draw 8/22/14</t>
  </si>
  <si>
    <t>Jim Curcio</t>
  </si>
  <si>
    <t>JB-9565771-00</t>
  </si>
  <si>
    <t>Patty Schumacher</t>
  </si>
  <si>
    <t>JB-9572240-00</t>
  </si>
  <si>
    <t>Robert Wilkerson</t>
  </si>
  <si>
    <t>JB-9572203-00</t>
  </si>
  <si>
    <t>Francesca Jacopi</t>
  </si>
  <si>
    <t>JB-9572258-00</t>
  </si>
  <si>
    <t>Jennifer Holloway</t>
  </si>
  <si>
    <t>JB-9572268-00</t>
  </si>
  <si>
    <t>Lynn Mccaleb</t>
  </si>
  <si>
    <t>JB-9572198-00</t>
  </si>
  <si>
    <t>Phil Glaiberman</t>
  </si>
  <si>
    <t>JB-9572237-00</t>
  </si>
  <si>
    <t>Rosina Kirkland</t>
  </si>
  <si>
    <t>JB-9572263-00</t>
  </si>
  <si>
    <t>Chris Mogan</t>
  </si>
  <si>
    <t>JB-9572149-00</t>
  </si>
  <si>
    <t>Erik Renga</t>
  </si>
  <si>
    <t>JB-9572323-00</t>
  </si>
  <si>
    <t>Kurt Blackwelder</t>
  </si>
  <si>
    <t>JB-9572320-00</t>
  </si>
  <si>
    <t>Mathew Herrera</t>
  </si>
  <si>
    <t>JB-9565517-00</t>
  </si>
  <si>
    <t>Ronnie Leavitt</t>
  </si>
  <si>
    <t>JB-9572277-00</t>
  </si>
  <si>
    <t>Saroj Mohapatra</t>
  </si>
  <si>
    <t>JB-9565438-00</t>
  </si>
  <si>
    <t>Sunny Lofton</t>
  </si>
  <si>
    <t>JB-9572305-00</t>
  </si>
  <si>
    <t>David Karabinus</t>
  </si>
  <si>
    <t>JB-9572238-00</t>
  </si>
  <si>
    <t>Virginia Brelsford</t>
  </si>
  <si>
    <t>JB-9572324-00</t>
  </si>
  <si>
    <t>Laura James</t>
  </si>
  <si>
    <t>JB-9572343-00</t>
  </si>
  <si>
    <t>Rebecca Nicole Dillingham</t>
  </si>
  <si>
    <t>JB-9581608-00</t>
  </si>
  <si>
    <t>Becky Alatorre</t>
  </si>
  <si>
    <t>JB-9572372-00</t>
  </si>
  <si>
    <t>Mike Burns</t>
  </si>
  <si>
    <t>JB-9572380-00</t>
  </si>
  <si>
    <t>Robert Silva</t>
  </si>
  <si>
    <t>JB-9572369-00</t>
  </si>
  <si>
    <t>Anthony Bersamin</t>
  </si>
  <si>
    <t>JB-9566259-00</t>
  </si>
  <si>
    <t>Byron Baker</t>
  </si>
  <si>
    <t>JB-9566270-00</t>
  </si>
  <si>
    <t>Eugene Samuelson</t>
  </si>
  <si>
    <t>JB-9572419-00</t>
  </si>
  <si>
    <t>Heather Fischer</t>
  </si>
  <si>
    <t>JB-9572418-00</t>
  </si>
  <si>
    <t>Eric Frye</t>
  </si>
  <si>
    <t>JB-9572358-00</t>
  </si>
  <si>
    <t>Noelle Moss</t>
  </si>
  <si>
    <t>JB-9566088-00</t>
  </si>
  <si>
    <t>September Overrides twice</t>
  </si>
  <si>
    <t>Adam Blaser</t>
  </si>
  <si>
    <t>JB-9566377-00</t>
  </si>
  <si>
    <t>Mel Gilfillan</t>
  </si>
  <si>
    <t>JB-9572473-00</t>
  </si>
  <si>
    <t>Raymunda Ortega</t>
  </si>
  <si>
    <t>JB-9582007-00</t>
  </si>
  <si>
    <t>Shawn Walsh</t>
  </si>
  <si>
    <t>JB-9582006-00</t>
  </si>
  <si>
    <t>Frank Rodriguez</t>
  </si>
  <si>
    <t>JB-9572501-00</t>
  </si>
  <si>
    <t>Gregory Dayog</t>
  </si>
  <si>
    <t>JB-9572499-00</t>
  </si>
  <si>
    <t>John Cipollone</t>
  </si>
  <si>
    <t>JB-9572495-00</t>
  </si>
  <si>
    <t>Richard Porter</t>
  </si>
  <si>
    <t>JB-9572508-00</t>
  </si>
  <si>
    <t>Alma Mendoza</t>
  </si>
  <si>
    <t>JB-9572531-00</t>
  </si>
  <si>
    <t>bonus 11/7/14</t>
  </si>
  <si>
    <t>Bret Curtis</t>
  </si>
  <si>
    <t>JB-9572517-00</t>
  </si>
  <si>
    <t>Isaac Clark</t>
  </si>
  <si>
    <t>JB-9572528-00</t>
  </si>
  <si>
    <t>Johnathan Titley</t>
  </si>
  <si>
    <t>JB-9572522-00</t>
  </si>
  <si>
    <t>Krista Cavender</t>
  </si>
  <si>
    <t>JB-9572503-00</t>
  </si>
  <si>
    <t>Libby Bennett</t>
  </si>
  <si>
    <t>JB-9582078-00</t>
  </si>
  <si>
    <t>Francisco Padilla</t>
  </si>
  <si>
    <t>JB-9582119-00</t>
  </si>
  <si>
    <t>Jason Butler</t>
  </si>
  <si>
    <t>JB-9566593-00</t>
  </si>
  <si>
    <t>Angel Adame</t>
  </si>
  <si>
    <t>JB-9572577-00</t>
  </si>
  <si>
    <t>Chris Richey</t>
  </si>
  <si>
    <t>JB-9572586-00</t>
  </si>
  <si>
    <t>Jason Adame</t>
  </si>
  <si>
    <t>JB-9572576-00</t>
  </si>
  <si>
    <t>Monette Crawford</t>
  </si>
  <si>
    <t>JB-9572564-00</t>
  </si>
  <si>
    <t>Richard Pike</t>
  </si>
  <si>
    <t>JB-9572572-00</t>
  </si>
  <si>
    <t>Aaron Czub</t>
  </si>
  <si>
    <t>JB-9572617-00</t>
  </si>
  <si>
    <t>Josh Paul</t>
  </si>
  <si>
    <t>JB-9566624-00</t>
  </si>
  <si>
    <t>Matt Adame</t>
  </si>
  <si>
    <t>JB-9572599-00</t>
  </si>
  <si>
    <t>Abdolkari Baghdadi</t>
  </si>
  <si>
    <t>JB-9581646-00</t>
  </si>
  <si>
    <t>Donna Garb</t>
  </si>
  <si>
    <t>JB-9572630-00</t>
  </si>
  <si>
    <t>Heidi smith</t>
  </si>
  <si>
    <t>JB-9572625-00</t>
  </si>
  <si>
    <t>Julianna Daniel</t>
  </si>
  <si>
    <t>JB-9572636-00</t>
  </si>
  <si>
    <t>Sandra Emerson</t>
  </si>
  <si>
    <t>JB-9334649-00</t>
  </si>
  <si>
    <t>Barbara Schultz</t>
  </si>
  <si>
    <t>JB-9566808-00</t>
  </si>
  <si>
    <t>Henderson, Sara True up from Interconnections</t>
  </si>
  <si>
    <t>James, Laura True up from Interconnections</t>
  </si>
  <si>
    <t>Lofton, Sunny True up from Interconnections</t>
  </si>
  <si>
    <t>Schumacher, Patty True up from Interconnections</t>
  </si>
  <si>
    <t>Alatorre, Becky</t>
  </si>
  <si>
    <t>Taylor, Don</t>
  </si>
  <si>
    <t>Wood, Terry</t>
  </si>
  <si>
    <t>Bacon, Jill</t>
  </si>
  <si>
    <t>Bennett, Libby</t>
  </si>
  <si>
    <t>Emerson, Sandra</t>
  </si>
  <si>
    <t>Smith, Heidi</t>
  </si>
  <si>
    <t>William Soresen</t>
  </si>
  <si>
    <t>JB-8024721-00</t>
  </si>
  <si>
    <t>Zeny Agullama</t>
  </si>
  <si>
    <t>JB-9581589-00</t>
  </si>
  <si>
    <t>Mark Wood</t>
  </si>
  <si>
    <t>JB-9581651-00</t>
  </si>
  <si>
    <t>Sagar Modi</t>
  </si>
  <si>
    <t>JB-9565437-00</t>
  </si>
  <si>
    <t>Conner Earl</t>
  </si>
  <si>
    <t>JB-9565723-00</t>
  </si>
  <si>
    <t>Janis Mathis</t>
  </si>
  <si>
    <t>JB-9565793-00</t>
  </si>
  <si>
    <t>John Broderick</t>
  </si>
  <si>
    <t>JB-9565773-00</t>
  </si>
  <si>
    <t>Julliet Coleman</t>
  </si>
  <si>
    <t>JB-9565781-00</t>
  </si>
  <si>
    <t>Shelby Maddux</t>
  </si>
  <si>
    <t>JB-9565857-00</t>
  </si>
  <si>
    <t>Charles Walker</t>
  </si>
  <si>
    <t>JB-9566057-00</t>
  </si>
  <si>
    <t>Darren Shelmadine</t>
  </si>
  <si>
    <t>JB-9566064-00</t>
  </si>
  <si>
    <t>Jeremy Harris</t>
  </si>
  <si>
    <t>JB-9566027-00</t>
  </si>
  <si>
    <t>Samuel Stephens</t>
  </si>
  <si>
    <t>JB-9565942-00</t>
  </si>
  <si>
    <t>Thane Takahasha</t>
  </si>
  <si>
    <t>JB-9566131-00</t>
  </si>
  <si>
    <t>Wendy Reed</t>
  </si>
  <si>
    <t>JB-9566114-00</t>
  </si>
  <si>
    <t>Jeremy Duke</t>
  </si>
  <si>
    <t>JB-9566147-00</t>
  </si>
  <si>
    <t>Sara Moniz</t>
  </si>
  <si>
    <t>JB-9566157-00</t>
  </si>
  <si>
    <t>Christopher Jordan</t>
  </si>
  <si>
    <t>JB-9566243-00</t>
  </si>
  <si>
    <t>Dennis E. Barich</t>
  </si>
  <si>
    <t>JB-9572458-00</t>
  </si>
  <si>
    <t>Steve Anderson</t>
  </si>
  <si>
    <t>JB-9572451-00</t>
  </si>
  <si>
    <t>Cory Runyan</t>
  </si>
  <si>
    <t>JB-9566519-00</t>
  </si>
  <si>
    <t>Natalie Damarto</t>
  </si>
  <si>
    <t>JB-9566534-00</t>
  </si>
  <si>
    <t>Dan Rosensteel</t>
  </si>
  <si>
    <t>JB-9566579-00</t>
  </si>
  <si>
    <t>Luz Nunez</t>
  </si>
  <si>
    <t>JB-9566620-00</t>
  </si>
  <si>
    <t>Advance 12.05.14</t>
  </si>
  <si>
    <t>Shelmadine, Darren</t>
  </si>
  <si>
    <t>Takahasha, Thane</t>
  </si>
  <si>
    <t>07/11/2014</t>
  </si>
  <si>
    <t>Danielle Godbold</t>
  </si>
  <si>
    <t>JB-9204138-00</t>
  </si>
  <si>
    <t>08/22/2014</t>
  </si>
  <si>
    <t>Draw 08/22/2014</t>
  </si>
  <si>
    <t>09/02/2014</t>
  </si>
  <si>
    <t>Draw 09/02/2014</t>
  </si>
  <si>
    <t>09/04/2014</t>
  </si>
  <si>
    <t>Draw 09/04/2014</t>
  </si>
  <si>
    <t>09/12/2014</t>
  </si>
  <si>
    <t>Draw 09/12/2014</t>
  </si>
  <si>
    <t>09/19/2014</t>
  </si>
  <si>
    <t>Draw 09/19/2014</t>
  </si>
  <si>
    <t>09/25/2014</t>
  </si>
  <si>
    <t>Draw 09/25/2014</t>
  </si>
  <si>
    <t>10/06/2014</t>
  </si>
  <si>
    <t>Draw 10/06/2014</t>
  </si>
  <si>
    <t>10/10/2014</t>
  </si>
  <si>
    <t>Draw 10/10/2014</t>
  </si>
  <si>
    <t>10/17/2014</t>
  </si>
  <si>
    <t>Draw 10/17/2014</t>
  </si>
  <si>
    <t>10/24/2014</t>
  </si>
  <si>
    <t>Draw 10/24/2014</t>
  </si>
  <si>
    <t>10/31/2014</t>
  </si>
  <si>
    <t>Draw 10/31/2014</t>
  </si>
  <si>
    <t>11/07/2014</t>
  </si>
  <si>
    <t>Draw 11/07/2014</t>
  </si>
  <si>
    <t>11/14/2014</t>
  </si>
  <si>
    <t>Draw 11/14/2014</t>
  </si>
  <si>
    <t>11/26/2014</t>
  </si>
  <si>
    <t>Draw 11/26/2014</t>
  </si>
  <si>
    <t>Derrick Alexander</t>
  </si>
  <si>
    <t>Rickie Carthon</t>
  </si>
  <si>
    <t>Ricky McGowan</t>
  </si>
  <si>
    <t>Bobby Alexander</t>
  </si>
  <si>
    <t>Eva Broadway</t>
  </si>
  <si>
    <t>Mike McCoy</t>
  </si>
  <si>
    <t>George Johnny Schultz</t>
  </si>
  <si>
    <t>Vennetta McCain</t>
  </si>
  <si>
    <t>Derrick Harper</t>
  </si>
  <si>
    <t>JB-8538602-00</t>
  </si>
  <si>
    <t>Adam Jowett</t>
  </si>
  <si>
    <t>JB-8538756-00</t>
  </si>
  <si>
    <t>April Toupin</t>
  </si>
  <si>
    <t>JB-8538926-00</t>
  </si>
  <si>
    <t>Victor Smith</t>
  </si>
  <si>
    <t>JB-8538883-00</t>
  </si>
  <si>
    <t>Jennifer Barraza</t>
  </si>
  <si>
    <t>JB-8539053-00</t>
  </si>
  <si>
    <t>Pam Barrozo</t>
  </si>
  <si>
    <t>JB-8539230-00</t>
  </si>
  <si>
    <t>Adrian Patrick</t>
  </si>
  <si>
    <t>JB-8539326-00</t>
  </si>
  <si>
    <t>Janet Satterfield</t>
  </si>
  <si>
    <t>JB-8539316-00</t>
  </si>
  <si>
    <t>Carlton Fike</t>
  </si>
  <si>
    <t>JB-8539421-00</t>
  </si>
  <si>
    <t>Mark Reblin</t>
  </si>
  <si>
    <t>JB-8539539-00</t>
  </si>
  <si>
    <t>Tiffine Pesuti</t>
  </si>
  <si>
    <t>JB-8539528-00</t>
  </si>
  <si>
    <t>Laura Quezada</t>
  </si>
  <si>
    <t>JB-8539724-00</t>
  </si>
  <si>
    <t>Susan Limper</t>
  </si>
  <si>
    <t>JB-8539596-00</t>
  </si>
  <si>
    <t>Andrew Gluvna</t>
  </si>
  <si>
    <t>JB-8539831-00</t>
  </si>
  <si>
    <t>Michael Kastler</t>
  </si>
  <si>
    <t>JB-8539823-00</t>
  </si>
  <si>
    <t>Carlo Bautista</t>
  </si>
  <si>
    <t>JB-8539940-00</t>
  </si>
  <si>
    <t>Heriberto Garcia</t>
  </si>
  <si>
    <t>JB-8539459-00</t>
  </si>
  <si>
    <t>Mikhail Lynch</t>
  </si>
  <si>
    <t>JB-8539784-00</t>
  </si>
  <si>
    <t>Tuan Nguyen</t>
  </si>
  <si>
    <t>JB-9263818-00</t>
  </si>
  <si>
    <t>Matt Ludwig</t>
  </si>
  <si>
    <t>JB-9301247-00</t>
  </si>
  <si>
    <t>Robert Nguyen</t>
  </si>
  <si>
    <t>JB-927575-00</t>
  </si>
  <si>
    <t>Kevin Mowdy</t>
  </si>
  <si>
    <t>JB-9221714-00</t>
  </si>
  <si>
    <t>Randy Whitcomb</t>
  </si>
  <si>
    <t>JB-9221994-00</t>
  </si>
  <si>
    <t>Interconnection on Randy Whitcomb</t>
  </si>
  <si>
    <t>Beatriz Mata</t>
  </si>
  <si>
    <t>JB-9221799-00</t>
  </si>
  <si>
    <t>Maria Antolin</t>
  </si>
  <si>
    <t>JB-8525561-00</t>
  </si>
  <si>
    <t>Frank Modica</t>
  </si>
  <si>
    <t>JB-8512336-00</t>
  </si>
  <si>
    <t>Sam Schlotman</t>
  </si>
  <si>
    <t>JB-8512478-00</t>
  </si>
  <si>
    <t>Sheena Blueeyes</t>
  </si>
  <si>
    <t>JB-8512490-00</t>
  </si>
  <si>
    <t>Advance 8/21/14</t>
  </si>
  <si>
    <t>Cash Deposit 9/22/14</t>
  </si>
  <si>
    <t>Draw 9/26/14- wired</t>
  </si>
  <si>
    <t>Wired</t>
  </si>
  <si>
    <t>Dustin Germaine</t>
  </si>
  <si>
    <t>JB-8512797-00</t>
  </si>
  <si>
    <t>George Wheeler</t>
  </si>
  <si>
    <t>JB-8512789-00</t>
  </si>
  <si>
    <t>Robert Fiemss</t>
  </si>
  <si>
    <t>JB-8512862-00</t>
  </si>
  <si>
    <t>Kary McBride</t>
  </si>
  <si>
    <t>JB-8512930-00</t>
  </si>
  <si>
    <t>Mike Navaho</t>
  </si>
  <si>
    <t>JB-8512820-00</t>
  </si>
  <si>
    <t>Nancy Parks</t>
  </si>
  <si>
    <t>JB-8512897-00</t>
  </si>
  <si>
    <t>Draw 10/31/14</t>
  </si>
  <si>
    <t>Advance 8/21/14 Part 1</t>
  </si>
  <si>
    <t>Larry Pietsch</t>
  </si>
  <si>
    <t>JB-8513021-00</t>
  </si>
  <si>
    <t>Margarita Garcia</t>
  </si>
  <si>
    <t>JB-8513009-00</t>
  </si>
  <si>
    <t>William Harner</t>
  </si>
  <si>
    <t>JB-8512915-00</t>
  </si>
  <si>
    <t>Alicia S Robertson</t>
  </si>
  <si>
    <t>JB-8513027-00</t>
  </si>
  <si>
    <t>Kari Stock</t>
  </si>
  <si>
    <t>JB-8513031-00</t>
  </si>
  <si>
    <t>Edith Rivera</t>
  </si>
  <si>
    <t>JB-8513071-00</t>
  </si>
  <si>
    <t>Fowziya Hall</t>
  </si>
  <si>
    <t>JB-8513050-00</t>
  </si>
  <si>
    <t>Michelle Wadsworth</t>
  </si>
  <si>
    <t>JB-8513075-00</t>
  </si>
  <si>
    <t>Advance 8/21/14 Part 2</t>
  </si>
  <si>
    <t>Alicia Robertson</t>
  </si>
  <si>
    <t>Jesus Tiscareno</t>
  </si>
  <si>
    <t>JB-8512778-00</t>
  </si>
  <si>
    <t>Nancy Colbert</t>
  </si>
  <si>
    <t>JB-8512676-00</t>
  </si>
  <si>
    <t>Navaho, Mike</t>
  </si>
  <si>
    <t>Robert Fiems</t>
  </si>
  <si>
    <t>Sharon Pearson</t>
  </si>
  <si>
    <t>JB-8513089-00</t>
  </si>
  <si>
    <t>David West</t>
  </si>
  <si>
    <t>JB-8525036-00</t>
  </si>
  <si>
    <t>John Day</t>
  </si>
  <si>
    <t>JB-8525202-00</t>
  </si>
  <si>
    <t>Dorothy Shupe</t>
  </si>
  <si>
    <t>JB-8525114-00</t>
  </si>
  <si>
    <t>James Shahbazian</t>
  </si>
  <si>
    <t>JB-8526039-00</t>
  </si>
  <si>
    <t>Angelica Gonzalez</t>
  </si>
  <si>
    <t>JB-8525357-00</t>
  </si>
  <si>
    <t>Belter Jacobo Cuellar-Montepeque</t>
  </si>
  <si>
    <t>JB-8539247-00</t>
  </si>
  <si>
    <t>July Override Adjustment</t>
  </si>
  <si>
    <t>Jason Benninger</t>
  </si>
  <si>
    <t>JB-8524920-00</t>
  </si>
  <si>
    <t>Mike Harty</t>
  </si>
  <si>
    <t>JB-8525291-00</t>
  </si>
  <si>
    <t>Patrick Benninger backend payadvance</t>
  </si>
  <si>
    <t>Lawrence Powell</t>
  </si>
  <si>
    <t>JB-8503563-00</t>
  </si>
  <si>
    <t>Rent- July 6, 2014 - July 13, 2014</t>
  </si>
  <si>
    <t>Patty Natt</t>
  </si>
  <si>
    <t>JB-8524879-00</t>
  </si>
  <si>
    <t>Bonnie Buining</t>
  </si>
  <si>
    <t>JB-8539171-00</t>
  </si>
  <si>
    <t>Solomon Kanu</t>
  </si>
  <si>
    <t>JB-8539225-00</t>
  </si>
  <si>
    <t>Chad Mehta</t>
  </si>
  <si>
    <t>JB-8503919-00</t>
  </si>
  <si>
    <t>Marcella Sanders</t>
  </si>
  <si>
    <t>JB-8503852-00</t>
  </si>
  <si>
    <t>Tuyen Nguyen</t>
  </si>
  <si>
    <t>JB-8539473-00</t>
  </si>
  <si>
    <t>Draw 10/3/14</t>
  </si>
  <si>
    <t>Lynnzie Smith</t>
  </si>
  <si>
    <t>JB-8539825-00</t>
  </si>
  <si>
    <t>Lindsey Smith</t>
  </si>
  <si>
    <t>Cheryl Anderson</t>
  </si>
  <si>
    <t>JB-8524776-00</t>
  </si>
  <si>
    <t>David Woods</t>
  </si>
  <si>
    <t>JB-8524936-00</t>
  </si>
  <si>
    <t>Pamela Grieco</t>
  </si>
  <si>
    <t>JB-8503596-00</t>
  </si>
  <si>
    <t>Richard Folkman</t>
  </si>
  <si>
    <t>JB-8013313-00</t>
  </si>
  <si>
    <t>Goddard, Janelle</t>
  </si>
  <si>
    <t>JB-8538388-00</t>
  </si>
  <si>
    <t>Ray Romero</t>
  </si>
  <si>
    <t>JB-8503516-00</t>
  </si>
  <si>
    <t>Ruben Moctezuma</t>
  </si>
  <si>
    <t>JB-8503413-00</t>
  </si>
  <si>
    <t>Ramon Romero</t>
  </si>
  <si>
    <t>JB-8503427-00</t>
  </si>
  <si>
    <t>Barbara Chapman</t>
  </si>
  <si>
    <t>JB-8524918-00</t>
  </si>
  <si>
    <t>Celia Sias</t>
  </si>
  <si>
    <t>JB-8503696-00</t>
  </si>
  <si>
    <t>Janelle Goddard</t>
  </si>
  <si>
    <t>Karen Moser</t>
  </si>
  <si>
    <t>JB-8538829-00</t>
  </si>
  <si>
    <t>Ronald Tenbarge</t>
  </si>
  <si>
    <t>JB-8538676-00</t>
  </si>
  <si>
    <t>Angelina Pecak</t>
  </si>
  <si>
    <t>JB-8539249-00</t>
  </si>
  <si>
    <t>Rent for total rent in Pheonix</t>
  </si>
  <si>
    <t>Lisa Ayers</t>
  </si>
  <si>
    <t>JB-8539122-00</t>
  </si>
  <si>
    <t>Rent- July 21, 2014 - Aug, 3, 2014</t>
  </si>
  <si>
    <t>Rent July 21st through August 3rd</t>
  </si>
  <si>
    <t>Ron Chapman</t>
  </si>
  <si>
    <t>JB-8538965-00</t>
  </si>
  <si>
    <t>Alirio Garcia</t>
  </si>
  <si>
    <t>JB-8539208-00</t>
  </si>
  <si>
    <t>Remijio Lovato</t>
  </si>
  <si>
    <t>JB-8539414-00</t>
  </si>
  <si>
    <t>James Zeigler</t>
  </si>
  <si>
    <t>JB-8539511-00</t>
  </si>
  <si>
    <t>John Wells</t>
  </si>
  <si>
    <t>JB-8539545-00</t>
  </si>
  <si>
    <t>Melissa Malone</t>
  </si>
  <si>
    <t>JB-8539890-00</t>
  </si>
  <si>
    <t>Jose Angel Ramirez</t>
  </si>
  <si>
    <t>JB-8539947-00</t>
  </si>
  <si>
    <t>Advance 11/21/2014</t>
  </si>
  <si>
    <t>Cesar Enriquez</t>
  </si>
  <si>
    <t>JB-85310241-00</t>
  </si>
  <si>
    <t>Dayan Mejia</t>
  </si>
  <si>
    <t>JB-85310263-00</t>
  </si>
  <si>
    <t>Gonzalo Mejia</t>
  </si>
  <si>
    <t>JB-85310253-00</t>
  </si>
  <si>
    <t>Jesus Mendoza</t>
  </si>
  <si>
    <t>JB-85310164-00</t>
  </si>
  <si>
    <t>Advance 12.22.14</t>
  </si>
  <si>
    <t>Emilio Cruz Sr</t>
  </si>
  <si>
    <t>Ramirez, Jose Angel</t>
  </si>
  <si>
    <t>Denise Dambrackas</t>
  </si>
  <si>
    <t>JB-8024818-00</t>
  </si>
  <si>
    <t>James Eichenberg</t>
  </si>
  <si>
    <t>JB-8524808-00</t>
  </si>
  <si>
    <t>Matt Stringer</t>
  </si>
  <si>
    <t>JB-8024855-00</t>
  </si>
  <si>
    <t>Pay Advance 8/28</t>
  </si>
  <si>
    <t>Draw 10/06/14</t>
  </si>
  <si>
    <t>Rent- Aug 28, 2014 - Sep 21, 2014 Correction</t>
  </si>
  <si>
    <t>Rent- Sep 1, 2014 - Sep 5, 2014 Correction</t>
  </si>
  <si>
    <t>Rent- Sep 22, 2014 - Sep 28, 2014 Correction</t>
  </si>
  <si>
    <t>Joseph Liuzzi</t>
  </si>
  <si>
    <t>JB-121651-00</t>
  </si>
  <si>
    <t>Peter D Anderson</t>
  </si>
  <si>
    <t>JB-121705-00</t>
  </si>
  <si>
    <t>Adam Ladopoulos</t>
  </si>
  <si>
    <t>JB-120953-00</t>
  </si>
  <si>
    <t>Perry Abel</t>
  </si>
  <si>
    <t>JB-121778-00</t>
  </si>
  <si>
    <t>Michael Basile</t>
  </si>
  <si>
    <t>JB-121788-00</t>
  </si>
  <si>
    <t>Richard Mattice</t>
  </si>
  <si>
    <t>JB-121824-00</t>
  </si>
  <si>
    <t>Scott Palmo</t>
  </si>
  <si>
    <t>JB-1201031-00</t>
  </si>
  <si>
    <t>Steve Mellor</t>
  </si>
  <si>
    <t>JB-121819-00</t>
  </si>
  <si>
    <t>David Gustafson</t>
  </si>
  <si>
    <t>JB-120943-00</t>
  </si>
  <si>
    <t>Frank Tedesco</t>
  </si>
  <si>
    <t>JB-1201171-00</t>
  </si>
  <si>
    <t>Chrisse Rasmussen</t>
  </si>
  <si>
    <t>JB-121989-00</t>
  </si>
  <si>
    <t>Palmo, Scott</t>
  </si>
  <si>
    <t>Sean Abernathy</t>
  </si>
  <si>
    <t>JB-1201068-00</t>
  </si>
  <si>
    <t>Aniksa Merced</t>
  </si>
  <si>
    <t>JB-121730-00</t>
  </si>
  <si>
    <t>David vielkind</t>
  </si>
  <si>
    <t>JB-121706-00</t>
  </si>
  <si>
    <t>Drew Romanowski</t>
  </si>
  <si>
    <t>JB-121711-00</t>
  </si>
  <si>
    <t>David Feldman</t>
  </si>
  <si>
    <t>JB-121748-00</t>
  </si>
  <si>
    <t>Joanne Deyette</t>
  </si>
  <si>
    <t>JB-121843-00</t>
  </si>
  <si>
    <t>Richard Neal</t>
  </si>
  <si>
    <t>JB-121763-00</t>
  </si>
  <si>
    <t>Robert Ziter</t>
  </si>
  <si>
    <t>JB-121814-00</t>
  </si>
  <si>
    <t>Raymond Cecot</t>
  </si>
  <si>
    <t>JB-123518-00</t>
  </si>
  <si>
    <t>Richard Aceto</t>
  </si>
  <si>
    <t>JB-123519-00</t>
  </si>
  <si>
    <t>Arzoo Syed</t>
  </si>
  <si>
    <t>JB-122397-00</t>
  </si>
  <si>
    <t>David Vielkind</t>
  </si>
  <si>
    <t>John Kean</t>
  </si>
  <si>
    <t>JB-123556-00</t>
  </si>
  <si>
    <t>John Wood</t>
  </si>
  <si>
    <t>JB-123576-00</t>
  </si>
  <si>
    <t>Paul Clark</t>
  </si>
  <si>
    <t>JB-122403-00</t>
  </si>
  <si>
    <t>Robert Dean</t>
  </si>
  <si>
    <t>JB-123565-00</t>
  </si>
  <si>
    <t>Aceto, Richard</t>
  </si>
  <si>
    <t>John Pugh</t>
  </si>
  <si>
    <t>JB-121712-00</t>
  </si>
  <si>
    <t>Reimbursment: Peddler Permit</t>
  </si>
  <si>
    <t>Reimbursment- Peddler permit $175</t>
  </si>
  <si>
    <t>Event marketing advance 12.23.14</t>
  </si>
  <si>
    <t>Fred Heilig (belongs to John Glinski)</t>
  </si>
  <si>
    <t>JB-8573180-00</t>
  </si>
  <si>
    <t>Juan Rascon (belongs to Sean Moriarty)</t>
  </si>
  <si>
    <t>JB-8503945-00</t>
  </si>
  <si>
    <t>Alice Spalding (belongs to John Glinski)</t>
  </si>
  <si>
    <t>JB-8573317-00</t>
  </si>
  <si>
    <t>Cam Lien Tran</t>
  </si>
  <si>
    <t>JB-9722182-00</t>
  </si>
  <si>
    <t>Patrick Dorr</t>
  </si>
  <si>
    <t>JB-9722208-00</t>
  </si>
  <si>
    <t>Joseph Cobarrubias</t>
  </si>
  <si>
    <t>JB-9701738-00</t>
  </si>
  <si>
    <t>Paul Grosjean</t>
  </si>
  <si>
    <t>JB-9722216-00</t>
  </si>
  <si>
    <t>Lucianna Carmen</t>
  </si>
  <si>
    <t>JB-9701754-00</t>
  </si>
  <si>
    <t>Ronald Mccormick</t>
  </si>
  <si>
    <t>JB-9701752-00</t>
  </si>
  <si>
    <t>Mark Briggs</t>
  </si>
  <si>
    <t>JB-9701761-00</t>
  </si>
  <si>
    <t>Rufus James Kerkulah</t>
  </si>
  <si>
    <t>JB-9701742-00</t>
  </si>
  <si>
    <t>Rent September</t>
  </si>
  <si>
    <t>Elvin Sanico</t>
  </si>
  <si>
    <t>JB-971733-00</t>
  </si>
  <si>
    <t>Brian Reed</t>
  </si>
  <si>
    <t>JB-971732-00</t>
  </si>
  <si>
    <t>Allison Bloom</t>
  </si>
  <si>
    <t>JB-115854-00</t>
  </si>
  <si>
    <t>Andrea Leeds</t>
  </si>
  <si>
    <t>JB-1171738-00</t>
  </si>
  <si>
    <t>Stephanie Laspina</t>
  </si>
  <si>
    <t>JB-118192-00</t>
  </si>
  <si>
    <t>Charles Guttilla</t>
  </si>
  <si>
    <t>JB-1172037-00</t>
  </si>
  <si>
    <t>Martin Hartmann</t>
  </si>
  <si>
    <t>JB-1172048-00</t>
  </si>
  <si>
    <t>Michael Coleman</t>
  </si>
  <si>
    <t>JB-1172254-00</t>
  </si>
  <si>
    <t>G4G Draw 8/22/14</t>
  </si>
  <si>
    <t>08/29/2014</t>
  </si>
  <si>
    <t>Draw 08/29/2014</t>
  </si>
  <si>
    <t>G4G Draw 9/18/14</t>
  </si>
  <si>
    <t>G4G Draw 9/29/14</t>
  </si>
  <si>
    <t>Reimbursment- Fed ex 14, Storage Unit 58,</t>
  </si>
  <si>
    <t>Draw 11/21/2014</t>
  </si>
  <si>
    <t>Draw 11/28/2014</t>
  </si>
  <si>
    <t>Reimbursment- Parking 10/10, parking 10/10, office Supplies, Event Supplies,</t>
  </si>
  <si>
    <t>Reimbursment- Printing supplies 9.98, Pringint 3.97, Craigslist add 25</t>
  </si>
  <si>
    <t>Reimbursement- Uniforms, office supplies</t>
  </si>
  <si>
    <t>Reimbursement- $94.42 Uniforms,  $13.07 office supplies</t>
  </si>
  <si>
    <t>Uniform clipps 30.52, uniform clips 41.36, Office Supplies 13.07, 22.54 Uniform clips</t>
  </si>
  <si>
    <t>Event marketing draw 1/16/15</t>
  </si>
  <si>
    <t>Event Marketing Draw 1/23/15</t>
  </si>
  <si>
    <t>Reimbursment- Gas 8.11, Rental Car 168.63 Storage unit 163</t>
  </si>
  <si>
    <t>Colvin, James</t>
  </si>
  <si>
    <t>JB-9232179-00</t>
  </si>
  <si>
    <t>Diaz, Jesse</t>
  </si>
  <si>
    <t>JB-9283531-00</t>
  </si>
  <si>
    <t>Matt Hanlon</t>
  </si>
  <si>
    <t>JB-124502-00</t>
  </si>
  <si>
    <t>Timmins, Matt</t>
  </si>
  <si>
    <t>JB-9283863-00</t>
  </si>
  <si>
    <t>John Carey</t>
  </si>
  <si>
    <t>JB-804642-00</t>
  </si>
  <si>
    <t>Dennis Monroe</t>
  </si>
  <si>
    <t>JB-8512519-00</t>
  </si>
  <si>
    <t>Shawn Treadway</t>
  </si>
  <si>
    <t>JB-8512563-00</t>
  </si>
  <si>
    <t>Virginia A. Woodbeck</t>
  </si>
  <si>
    <t>JB-8525281-00</t>
  </si>
  <si>
    <t>Christian Vetsch</t>
  </si>
  <si>
    <t>JB-8512720-00</t>
  </si>
  <si>
    <t>Eduardo Gamez</t>
  </si>
  <si>
    <t>JB-8525440-00</t>
  </si>
  <si>
    <t>Allen Robinson</t>
  </si>
  <si>
    <t>JB-2071585-00</t>
  </si>
  <si>
    <t>April Lee</t>
  </si>
  <si>
    <t>JB-2101205-00</t>
  </si>
  <si>
    <t>Rent- Aug 28, 2014 - Sep 21, 2014</t>
  </si>
  <si>
    <t>Baba covers rent till October</t>
  </si>
  <si>
    <t>Jagdish Chandra</t>
  </si>
  <si>
    <t>JB-2101219-00</t>
  </si>
  <si>
    <t>Joseph Chuisano</t>
  </si>
  <si>
    <t>JB-2101174-00</t>
  </si>
  <si>
    <t>Pinaki Panigrahi</t>
  </si>
  <si>
    <t>JB-2101220-00</t>
  </si>
  <si>
    <t>Wilbur Martinez</t>
  </si>
  <si>
    <t>JB-211512-00</t>
  </si>
  <si>
    <t>Lavetta Jackson</t>
  </si>
  <si>
    <t>JB-2071874-00</t>
  </si>
  <si>
    <t>Lynette Monsegue</t>
  </si>
  <si>
    <t>JB-209575-00</t>
  </si>
  <si>
    <t>Rent- Nov 24, 2014 - Nov 30, 2014</t>
  </si>
  <si>
    <t>William Glenn</t>
  </si>
  <si>
    <t>JB-2071846-00</t>
  </si>
  <si>
    <t>Monsegue, Lynette</t>
  </si>
  <si>
    <t>Hassan Abdul Kareem</t>
  </si>
  <si>
    <t>JB-8503740-00</t>
  </si>
  <si>
    <t>Shane Strauss</t>
  </si>
  <si>
    <t>JB-9565543-00</t>
  </si>
  <si>
    <t>Sean Leininger</t>
  </si>
  <si>
    <t>JB-9565443-00</t>
  </si>
  <si>
    <t>Kie Matsuda</t>
  </si>
  <si>
    <t>JB-9565439-00</t>
  </si>
  <si>
    <t>Ryan called to inform us that this is Eric Roberts</t>
  </si>
  <si>
    <t>Gina Ford</t>
  </si>
  <si>
    <t>JB-9565968-00</t>
  </si>
  <si>
    <t>Jennifer Noble</t>
  </si>
  <si>
    <t>JB-9565944-00</t>
  </si>
  <si>
    <t>Ted Gerbaz</t>
  </si>
  <si>
    <t>JB-9566051-00</t>
  </si>
  <si>
    <t>Marilee Marsh</t>
  </si>
  <si>
    <t>JB-9565933-00</t>
  </si>
  <si>
    <t>Scott Sheehan</t>
  </si>
  <si>
    <t>JB-9566055-00</t>
  </si>
  <si>
    <t>Caren Jackson</t>
  </si>
  <si>
    <t>JB-9566145-00</t>
  </si>
  <si>
    <t>Mike Serena</t>
  </si>
  <si>
    <t>JB-9566172-00</t>
  </si>
  <si>
    <t>Anthony Coleman</t>
  </si>
  <si>
    <t>JB-9566239-00</t>
  </si>
  <si>
    <t>Tricia Roberts</t>
  </si>
  <si>
    <t>JB-9566257-00</t>
  </si>
  <si>
    <t>Beverly Perry</t>
  </si>
  <si>
    <t>JB-9572436-00</t>
  </si>
  <si>
    <t>Ray Lee</t>
  </si>
  <si>
    <t>JB-9572434-00</t>
  </si>
  <si>
    <t>Richard Tomita</t>
  </si>
  <si>
    <t>JB-9572432-00</t>
  </si>
  <si>
    <t>Jason Unden</t>
  </si>
  <si>
    <t>JB-9572476-00</t>
  </si>
  <si>
    <t>Steve Magnussen</t>
  </si>
  <si>
    <t>JB-9572506-00</t>
  </si>
  <si>
    <t>Ben Capehart</t>
  </si>
  <si>
    <t>JB-9566532-00</t>
  </si>
  <si>
    <t>Karis Kominitsky</t>
  </si>
  <si>
    <t>JB-9566538-00</t>
  </si>
  <si>
    <t>Kristianne Miller</t>
  </si>
  <si>
    <t>JB-9566576-00</t>
  </si>
  <si>
    <t>Maurice Hall</t>
  </si>
  <si>
    <t>JB-9566648-00</t>
  </si>
  <si>
    <t>Steven Suwabe</t>
  </si>
  <si>
    <t>JB-9566646-00</t>
  </si>
  <si>
    <t>Deborah House</t>
  </si>
  <si>
    <t>JB-9566701-00</t>
  </si>
  <si>
    <t>Dominic Russo</t>
  </si>
  <si>
    <t>JB-9572647-00</t>
  </si>
  <si>
    <t>Finlayson, Kurt</t>
  </si>
  <si>
    <t>Martin Pennell</t>
  </si>
  <si>
    <t>JB-927643-00</t>
  </si>
  <si>
    <t>Nancy May</t>
  </si>
  <si>
    <t>JB-927644-00</t>
  </si>
  <si>
    <t>Jemini Mathew</t>
  </si>
  <si>
    <t>JB-061215-00</t>
  </si>
  <si>
    <t>Adolfo Rivera</t>
  </si>
  <si>
    <t>JB-060976-00</t>
  </si>
  <si>
    <t>Rivera, Adolfo</t>
  </si>
  <si>
    <t>Jacob Ostigaard</t>
  </si>
  <si>
    <t>JB-8022811-00</t>
  </si>
  <si>
    <t>Quickbooks has a check for $0.00.</t>
  </si>
  <si>
    <t>James Watson</t>
  </si>
  <si>
    <t>JB-8003528-00</t>
  </si>
  <si>
    <t>Annie Henry</t>
  </si>
  <si>
    <t>JB-8003808-00</t>
  </si>
  <si>
    <t>We paid for him</t>
  </si>
  <si>
    <t>Rent- Aug 8, 2014 - Sep 5, 2014</t>
  </si>
  <si>
    <t>Bonus- Recruting</t>
  </si>
  <si>
    <t>Douglas Lee</t>
  </si>
  <si>
    <t>JB-8512486-00</t>
  </si>
  <si>
    <t>Faye Reber</t>
  </si>
  <si>
    <t>JB-8512475-00</t>
  </si>
  <si>
    <t>Mike Sgro</t>
  </si>
  <si>
    <t>JB-8512466-00</t>
  </si>
  <si>
    <t>Dan Lindgren</t>
  </si>
  <si>
    <t>JB-8512498-00</t>
  </si>
  <si>
    <t>Mitchell Robinson</t>
  </si>
  <si>
    <t>JB-8538905-00</t>
  </si>
  <si>
    <t>Mel Knoy</t>
  </si>
  <si>
    <t>JB-8525528-00</t>
  </si>
  <si>
    <t>Colleen Schultz</t>
  </si>
  <si>
    <t>JB-8526445-00</t>
  </si>
  <si>
    <t>Pay Advance 7/18/2014</t>
  </si>
  <si>
    <t>Charles Baker</t>
  </si>
  <si>
    <t>Clyne Peak</t>
  </si>
  <si>
    <t>JB-8526452-00</t>
  </si>
  <si>
    <t>Spencer Slack</t>
  </si>
  <si>
    <t>Timothy Porter</t>
  </si>
  <si>
    <t xml:space="preserve">Closed so we subracted the 20 per kilowatt from the 100 for what it ended out. </t>
  </si>
  <si>
    <t>Sterling James</t>
  </si>
  <si>
    <t>Sunnova rep</t>
  </si>
  <si>
    <t>Riva Johnson</t>
  </si>
  <si>
    <t>per diem</t>
  </si>
  <si>
    <t>Dwayne Eto</t>
  </si>
  <si>
    <t>JB-9212407-00</t>
  </si>
  <si>
    <t>Rent- Aug 13, 2014 - Sep 5, 2014</t>
  </si>
  <si>
    <t>Rent- feb 2, 2015- Feb 8, 2015</t>
  </si>
  <si>
    <t>JB-856806-00</t>
  </si>
  <si>
    <t>Mike Shultz</t>
  </si>
  <si>
    <t>JB-856871-00</t>
  </si>
  <si>
    <t>Tom Bigelow</t>
  </si>
  <si>
    <t>JB-8573046-00</t>
  </si>
  <si>
    <t>Chris Miller</t>
  </si>
  <si>
    <t>JB-8573678-00</t>
  </si>
  <si>
    <t>Mike Moore</t>
  </si>
  <si>
    <t>JB-8573674-00</t>
  </si>
  <si>
    <t>Aaron Slachter</t>
  </si>
  <si>
    <t>JB-8573660-00</t>
  </si>
  <si>
    <t>Brice Womack</t>
  </si>
  <si>
    <t>JB-8573709-00</t>
  </si>
  <si>
    <t>Rebecca Carr</t>
  </si>
  <si>
    <t>JB-8561074-00</t>
  </si>
  <si>
    <t>Lance Bacon</t>
  </si>
  <si>
    <t>JB-8574026-00</t>
  </si>
  <si>
    <t>Michael Newton</t>
  </si>
  <si>
    <t>JB-8561167-00</t>
  </si>
  <si>
    <t>Bacon, Lance</t>
  </si>
  <si>
    <t>Bigelow, Tom</t>
  </si>
  <si>
    <t>John G Raymond iii</t>
  </si>
  <si>
    <t>JB-8572858-00</t>
  </si>
  <si>
    <t>Advance 8/8/14</t>
  </si>
  <si>
    <t>Arturo Garcia</t>
  </si>
  <si>
    <t>JB-8572969-00</t>
  </si>
  <si>
    <t>Li Tang</t>
  </si>
  <si>
    <t>JB-8573147-00</t>
  </si>
  <si>
    <t>Luis Barajas</t>
  </si>
  <si>
    <t>JB-8573153-00</t>
  </si>
  <si>
    <t>Advance 9/9/14- Wired to Mother's account</t>
  </si>
  <si>
    <t>Daniel Betancourt</t>
  </si>
  <si>
    <t>JB-8573379-00</t>
  </si>
  <si>
    <t>Jesus Rios</t>
  </si>
  <si>
    <t>JB-8573378-00</t>
  </si>
  <si>
    <t>Li Tang 1 of 3 as Juan Requested Money on Sept 19, 2014</t>
  </si>
  <si>
    <t>Mindy Cox</t>
  </si>
  <si>
    <t>JB-8573202-00</t>
  </si>
  <si>
    <t>Nicholas Jowders</t>
  </si>
  <si>
    <t>JB-8512751-00</t>
  </si>
  <si>
    <t>Armando Carlos</t>
  </si>
  <si>
    <t>JB-8573398-00</t>
  </si>
  <si>
    <t>Advance paid on 10/1/14</t>
  </si>
  <si>
    <t>Advance 10/3/14</t>
  </si>
  <si>
    <t>Anthony Chadwick</t>
  </si>
  <si>
    <t>JB-8573537-00</t>
  </si>
  <si>
    <t>Li Tang 2 of 3 as Juan Requested Money on Oct 10, 2014</t>
  </si>
  <si>
    <t>Ramon Gutierrez</t>
  </si>
  <si>
    <t>JB-8573307-00</t>
  </si>
  <si>
    <t>Advance 11/10/2014</t>
  </si>
  <si>
    <t>Alejandro Valenzuela</t>
  </si>
  <si>
    <t>JB-8573884-00</t>
  </si>
  <si>
    <t>Jose Luis Ortega</t>
  </si>
  <si>
    <t>JB-8573887-00</t>
  </si>
  <si>
    <t>JB-8573888-00</t>
  </si>
  <si>
    <t>Rodolfo Ruiz</t>
  </si>
  <si>
    <t>JB-8573825-00</t>
  </si>
  <si>
    <t>Celia Parra</t>
  </si>
  <si>
    <t>JB-8573408-00</t>
  </si>
  <si>
    <t>Elizabeth Bohman</t>
  </si>
  <si>
    <t>JB-8573063-00</t>
  </si>
  <si>
    <t>Felix Mario Aguirre</t>
  </si>
  <si>
    <t>JB-8573940-00</t>
  </si>
  <si>
    <t>Kristopher Pronk</t>
  </si>
  <si>
    <t>JB-8573057-00</t>
  </si>
  <si>
    <t>Li Tang 3 of 3 as Juan Requested Money on Sept 19, 2014</t>
  </si>
  <si>
    <t>Reginald Laister</t>
  </si>
  <si>
    <t>JB-8573738-00</t>
  </si>
  <si>
    <t>Tom Donnelly</t>
  </si>
  <si>
    <t>JB-9722204-00</t>
  </si>
  <si>
    <t>Christian Yee</t>
  </si>
  <si>
    <t>JB-9722214-00</t>
  </si>
  <si>
    <t>Delainia Saechao</t>
  </si>
  <si>
    <t>JB-9722292-00</t>
  </si>
  <si>
    <t>Jack Brophy</t>
  </si>
  <si>
    <t>JB-9722232-00</t>
  </si>
  <si>
    <t>Amos Mainard</t>
  </si>
  <si>
    <t>JB-8525025-00</t>
  </si>
  <si>
    <t>German Suarez</t>
  </si>
  <si>
    <t>JB-8538923-00</t>
  </si>
  <si>
    <t>Harry Rasmussen</t>
  </si>
  <si>
    <t>JB-8525117-00</t>
  </si>
  <si>
    <t>Jacob Juarez</t>
  </si>
  <si>
    <t>JB-8503677-00</t>
  </si>
  <si>
    <t>Russell Zabel</t>
  </si>
  <si>
    <t>JB-8525029-00</t>
  </si>
  <si>
    <t>J W Henderson</t>
  </si>
  <si>
    <t>JB-8525184-00</t>
  </si>
  <si>
    <t>Kathryn Sullivan</t>
  </si>
  <si>
    <t>JB-8525133-00</t>
  </si>
  <si>
    <t>Nancy Harman</t>
  </si>
  <si>
    <t>JB-8525210-00</t>
  </si>
  <si>
    <t>Benjamin Dickinson</t>
  </si>
  <si>
    <t>JB-8524999-00</t>
  </si>
  <si>
    <t>David Dunlap</t>
  </si>
  <si>
    <t>JB-8525305-00</t>
  </si>
  <si>
    <t>Hamza Al Baroudi</t>
  </si>
  <si>
    <t>JB-8525323-00</t>
  </si>
  <si>
    <t>Hector Vasquez</t>
  </si>
  <si>
    <t>JB-8525288-00</t>
  </si>
  <si>
    <t>Margarita Vasquez</t>
  </si>
  <si>
    <t>JB-8525289-00</t>
  </si>
  <si>
    <t>Michael Liburdi</t>
  </si>
  <si>
    <t>JB-8525147-00</t>
  </si>
  <si>
    <t>Paul Rife</t>
  </si>
  <si>
    <t>JB-8525279-00</t>
  </si>
  <si>
    <t>Yvonne Peets</t>
  </si>
  <si>
    <t>JB-8525301-00</t>
  </si>
  <si>
    <t>Jean Coleman</t>
  </si>
  <si>
    <t>JB-8525124-00</t>
  </si>
  <si>
    <t>David Meakes</t>
  </si>
  <si>
    <t>JB-8525488-00</t>
  </si>
  <si>
    <t>Eileen Bickle</t>
  </si>
  <si>
    <t>JB-8525503-00</t>
  </si>
  <si>
    <t>Irvin Holtzen</t>
  </si>
  <si>
    <t>JB-8525459-00</t>
  </si>
  <si>
    <t>Jeff Kay</t>
  </si>
  <si>
    <t>JB-8525447-00</t>
  </si>
  <si>
    <t>Linda Walker</t>
  </si>
  <si>
    <t>JB-8525454-00</t>
  </si>
  <si>
    <t>Spencer Stant</t>
  </si>
  <si>
    <t>JB-8525438-00</t>
  </si>
  <si>
    <t>Harry Morgan</t>
  </si>
  <si>
    <t>JB-8525482-00</t>
  </si>
  <si>
    <t>Jamie Jarman</t>
  </si>
  <si>
    <t>JB-8525665-00</t>
  </si>
  <si>
    <t>advance10/3/14</t>
  </si>
  <si>
    <t>Eleanor McKim</t>
  </si>
  <si>
    <t>JB-8525689-00</t>
  </si>
  <si>
    <t>Richard Larue</t>
  </si>
  <si>
    <t>JB-8525726-00</t>
  </si>
  <si>
    <t>advance10/6/14</t>
  </si>
  <si>
    <t>Daniel B. Enriquez</t>
  </si>
  <si>
    <t>JB-8525844-00</t>
  </si>
  <si>
    <t>Jeff Henry</t>
  </si>
  <si>
    <t>JB-8525766-00</t>
  </si>
  <si>
    <t>Tony Weres</t>
  </si>
  <si>
    <t>JB-8525848-00</t>
  </si>
  <si>
    <t>Carlos Young</t>
  </si>
  <si>
    <t>JB-8525918-00</t>
  </si>
  <si>
    <t>Harry Cole</t>
  </si>
  <si>
    <t>JB-8525938-00</t>
  </si>
  <si>
    <t>Leah Kleman</t>
  </si>
  <si>
    <t>JB-8525905-00</t>
  </si>
  <si>
    <t>Leonarda Rojo</t>
  </si>
  <si>
    <t>JB-8504128-00</t>
  </si>
  <si>
    <t>Margarito Rojo</t>
  </si>
  <si>
    <t>JB-8504135-00</t>
  </si>
  <si>
    <t>Marlene Blanksma</t>
  </si>
  <si>
    <t>JB-8525729-00</t>
  </si>
  <si>
    <t>Mary Hoy</t>
  </si>
  <si>
    <t>JB-8525917-00</t>
  </si>
  <si>
    <t>advance 11/4/14</t>
  </si>
  <si>
    <t>JB-8573788-00</t>
  </si>
  <si>
    <t>advance 11/7/14</t>
  </si>
  <si>
    <t>Brian England</t>
  </si>
  <si>
    <t>JB-8525986-00</t>
  </si>
  <si>
    <t>Donald Reuter</t>
  </si>
  <si>
    <t>JB-8526092-00</t>
  </si>
  <si>
    <t>Doris Gruner</t>
  </si>
  <si>
    <t>JB-8526093-00</t>
  </si>
  <si>
    <t>Gary Aper</t>
  </si>
  <si>
    <t>JB-8526118-00</t>
  </si>
  <si>
    <t>Glen Helms</t>
  </si>
  <si>
    <t>JB-8526109-00</t>
  </si>
  <si>
    <t>Jan Armstrong</t>
  </si>
  <si>
    <t>JB-8526108-00</t>
  </si>
  <si>
    <t>Lane Allen</t>
  </si>
  <si>
    <t>JB-8526081-00</t>
  </si>
  <si>
    <t>Patricia Thorpe</t>
  </si>
  <si>
    <t>JB-8526058-00</t>
  </si>
  <si>
    <t>Janice Wilson</t>
  </si>
  <si>
    <t>JB-8526154-00</t>
  </si>
  <si>
    <t>Kevin Hoy</t>
  </si>
  <si>
    <t>JB-8526157-00</t>
  </si>
  <si>
    <t>Willis Dahl</t>
  </si>
  <si>
    <t>JB-8526145-00</t>
  </si>
  <si>
    <t>Darrel Culver</t>
  </si>
  <si>
    <t>JB-8526293-00</t>
  </si>
  <si>
    <t>Jean Taylor</t>
  </si>
  <si>
    <t>JB-8526276-00</t>
  </si>
  <si>
    <t>Nille Ostgren</t>
  </si>
  <si>
    <t>JB-8526257-00</t>
  </si>
  <si>
    <t>Theodore Jackson</t>
  </si>
  <si>
    <t>JB-8526220-00</t>
  </si>
  <si>
    <t>Advance 11/4/14</t>
  </si>
  <si>
    <t>Dean Albertsen</t>
  </si>
  <si>
    <t>JB-8526339-00</t>
  </si>
  <si>
    <t>Advance 1/12/14</t>
  </si>
  <si>
    <t>Rojo, Leonarda</t>
  </si>
  <si>
    <t>Coleman, Jean</t>
  </si>
  <si>
    <t>Hoy, Kevin</t>
  </si>
  <si>
    <t>Amandeep Singh</t>
  </si>
  <si>
    <t>JB-8525671-00</t>
  </si>
  <si>
    <t>Cathleen Denny</t>
  </si>
  <si>
    <t>JB-8524902-00</t>
  </si>
  <si>
    <t>In Quickbooks as "Steve Hardness"</t>
  </si>
  <si>
    <t>Steven David</t>
  </si>
  <si>
    <t>JB-8503628-00</t>
  </si>
  <si>
    <t>Ezra Ehrhard</t>
  </si>
  <si>
    <t>JB-8503594-00</t>
  </si>
  <si>
    <t>Accidently paid out twice</t>
  </si>
  <si>
    <t>Dell Weaver</t>
  </si>
  <si>
    <t>JB-8525006-00</t>
  </si>
  <si>
    <t>Dana Cardenas</t>
  </si>
  <si>
    <t>JB-8525341-00</t>
  </si>
  <si>
    <t>Zach Green</t>
  </si>
  <si>
    <t>JB-8525336-00</t>
  </si>
  <si>
    <t>Juergen Schoepf</t>
  </si>
  <si>
    <t>JB-8525414-00</t>
  </si>
  <si>
    <t>Robert Strom</t>
  </si>
  <si>
    <t>JB-8525565-00</t>
  </si>
  <si>
    <t>Virginia Allen</t>
  </si>
  <si>
    <t>JB-8525594-00</t>
  </si>
  <si>
    <t>Allan Blubaum</t>
  </si>
  <si>
    <t>JB-8525702-00</t>
  </si>
  <si>
    <t>Hai Vo</t>
  </si>
  <si>
    <t>JB-8525797-00</t>
  </si>
  <si>
    <t>Herbert Meyer</t>
  </si>
  <si>
    <t>JB-8525809-00</t>
  </si>
  <si>
    <t>Joy Daniels</t>
  </si>
  <si>
    <t>JB-8525882-00</t>
  </si>
  <si>
    <t>Robert Laplante</t>
  </si>
  <si>
    <t>JB-8526022-00</t>
  </si>
  <si>
    <t>Tammy Dumelle</t>
  </si>
  <si>
    <t>JB-8526061-00</t>
  </si>
  <si>
    <t>Willie Dallas Jr.</t>
  </si>
  <si>
    <t>JB-8526281-00</t>
  </si>
  <si>
    <t>Scott Vote</t>
  </si>
  <si>
    <t>JB-8526310-00</t>
  </si>
  <si>
    <t>Marina Mclennan</t>
  </si>
  <si>
    <t>JB-8526521-00</t>
  </si>
  <si>
    <t>Richard Mccartney</t>
  </si>
  <si>
    <t>JB-8526529-00</t>
  </si>
  <si>
    <t>G4G Draw 8/29/14</t>
  </si>
  <si>
    <t>Chris Barton</t>
  </si>
  <si>
    <t>JB-8538416-00</t>
  </si>
  <si>
    <t>Bret Kostick</t>
  </si>
  <si>
    <t>JB-8503489-00</t>
  </si>
  <si>
    <t>Jessica Garrues</t>
  </si>
  <si>
    <t>JB-8503440-00</t>
  </si>
  <si>
    <t>Anthony Montemarano</t>
  </si>
  <si>
    <t>JB-1171400-00</t>
  </si>
  <si>
    <t>Roseanne Montemarano</t>
  </si>
  <si>
    <t>JB-1171423-00</t>
  </si>
  <si>
    <t>Jesse Kinneary</t>
  </si>
  <si>
    <t>JB-1171478-00</t>
  </si>
  <si>
    <t>Richard Debobes</t>
  </si>
  <si>
    <t>JB-1171755-00</t>
  </si>
  <si>
    <t>Eilleen Massmann</t>
  </si>
  <si>
    <t>JB-115888-00</t>
  </si>
  <si>
    <t>Louis Asaro</t>
  </si>
  <si>
    <t>JB-1171753-00</t>
  </si>
  <si>
    <t>Carol Sheridan</t>
  </si>
  <si>
    <t>JB-1171974-00</t>
  </si>
  <si>
    <t>Sharon Mauro</t>
  </si>
  <si>
    <t>JB-1171934-00</t>
  </si>
  <si>
    <t>Maria Herrero</t>
  </si>
  <si>
    <t>JB-1172046-00</t>
  </si>
  <si>
    <t>Juan Carrasquillo</t>
  </si>
  <si>
    <t>JB-115971-00</t>
  </si>
  <si>
    <t>Christine Lambert</t>
  </si>
  <si>
    <t>JB-1172093-00</t>
  </si>
  <si>
    <t>Kim Engler</t>
  </si>
  <si>
    <t>JB-1172144-00</t>
  </si>
  <si>
    <t>Fred Kabat</t>
  </si>
  <si>
    <t>JB-115963-00</t>
  </si>
  <si>
    <t>Reimbursment gas</t>
  </si>
  <si>
    <t>Alfonso Reyes</t>
  </si>
  <si>
    <t>JB-9222138-00</t>
  </si>
  <si>
    <t>Ceaser Reyes</t>
  </si>
  <si>
    <t>JB-9222154-00</t>
  </si>
  <si>
    <t>Rent- Aug 8, 2014 - Sep 5, 2014 Correction</t>
  </si>
  <si>
    <t>Rent- Sep 15, 2014 - Sep 21, 2014 Correction</t>
  </si>
  <si>
    <t>Rent- Sep 9, 2014 - Sep 14, 2014 Correction</t>
  </si>
  <si>
    <t>Rent-Oct 6, 2014 - Oct 10, 2014 Correction</t>
  </si>
  <si>
    <t>Overcharge</t>
  </si>
  <si>
    <t>Overcharges Correction</t>
  </si>
  <si>
    <t>Reimbursment gas double pay</t>
  </si>
  <si>
    <t>Advance 8/22/2014</t>
  </si>
  <si>
    <t>Advance 9/12/2014</t>
  </si>
  <si>
    <t>Pay advance 9/25/2014</t>
  </si>
  <si>
    <t>pay advance 9/25/2014</t>
  </si>
  <si>
    <t>Luis Rascon</t>
  </si>
  <si>
    <t>JB-8503718-00</t>
  </si>
  <si>
    <t>Jose Rios</t>
  </si>
  <si>
    <t>JB-8503939-00</t>
  </si>
  <si>
    <t>Teresa Storga</t>
  </si>
  <si>
    <t>JB-8504027-00</t>
  </si>
  <si>
    <t>Marcos Arreguin</t>
  </si>
  <si>
    <t>JB-8504164-00</t>
  </si>
  <si>
    <t>Fernando Villasenor</t>
  </si>
  <si>
    <t>JB-8539211-00</t>
  </si>
  <si>
    <t>Arreguin, Marcos</t>
  </si>
  <si>
    <t>Reimbursement- Craigslist, Gas, Hotel</t>
  </si>
  <si>
    <t>Reimbursement- $ 25 Craigslist, $107.70 Gas, $ 171.16 Hotel, $30 Per Diem</t>
  </si>
  <si>
    <t>Reimbursments: Recruit Ads</t>
  </si>
  <si>
    <t>Reimbursments: Recruitting Ads sacramento $270, Recruting adds Portland $25</t>
  </si>
  <si>
    <t>Reimbursement- Craigslist, Gas, Per Diem</t>
  </si>
  <si>
    <t>Reimbursement- $50 Craigslist, $82.02 Gas, $90 Per Diem</t>
  </si>
  <si>
    <t>Reimbursment- Craigs list</t>
  </si>
  <si>
    <t>Reimbursment- Craigs list 150</t>
  </si>
  <si>
    <t>Reimbursment- Craigs list orange county $110, Craigslist portland $75</t>
  </si>
  <si>
    <t>Reimbursment- Craigslist add 300</t>
  </si>
  <si>
    <t>Reimbursement- Portland Craigslist 75, Oc craigslist 75, Long island 75</t>
  </si>
  <si>
    <t>Pay advance 9/18/14</t>
  </si>
  <si>
    <t>Draw 10/10/14</t>
  </si>
  <si>
    <t>Carol Belluto</t>
  </si>
  <si>
    <t>JB-9204904-00</t>
  </si>
  <si>
    <t>Gonzalo Martinez</t>
  </si>
  <si>
    <t>JB-9191553-00</t>
  </si>
  <si>
    <t>Hernan Santos</t>
  </si>
  <si>
    <t>JB-9191610-00</t>
  </si>
  <si>
    <t>Jeff Blalock</t>
  </si>
  <si>
    <t>JB-9204885-00</t>
  </si>
  <si>
    <t>Never paid on Montana Fox</t>
  </si>
  <si>
    <t>JB-8525082-00</t>
  </si>
  <si>
    <t>Brandon Barlow</t>
  </si>
  <si>
    <t>JB-9204979-00</t>
  </si>
  <si>
    <t>Daniel Ficken</t>
  </si>
  <si>
    <t>JB-9205014-00</t>
  </si>
  <si>
    <t>David Lind</t>
  </si>
  <si>
    <t>JB-9191620-00</t>
  </si>
  <si>
    <t>Belongs to Dover Janis</t>
  </si>
  <si>
    <t>Jonathan Atkinson</t>
  </si>
  <si>
    <t>JB-9191615-00</t>
  </si>
  <si>
    <t>Montana Fox (Part 1 of 2 so Dover could receive $1500 on 10/31/14)</t>
  </si>
  <si>
    <t>See notes on 8/15/2014</t>
  </si>
  <si>
    <t>Reimbursment- Office Depot</t>
  </si>
  <si>
    <t>Reimbursment- Uhal $95.00 Gas $40.00</t>
  </si>
  <si>
    <t>Rick &amp; Robin Fiege</t>
  </si>
  <si>
    <t>JB-9205003-00</t>
  </si>
  <si>
    <t>Sally Morgan</t>
  </si>
  <si>
    <t>JB-9205035-00</t>
  </si>
  <si>
    <t>Draw 11/7/14</t>
  </si>
  <si>
    <t>Gina Lucatuorto</t>
  </si>
  <si>
    <t>JB-9204948-00</t>
  </si>
  <si>
    <t>Gregorio De Los Reyes</t>
  </si>
  <si>
    <t>JB-9204987-00</t>
  </si>
  <si>
    <t>James Parks</t>
  </si>
  <si>
    <t>JB-9205040-00</t>
  </si>
  <si>
    <t>Pay advance from 9/19/2014</t>
  </si>
  <si>
    <t>Due to 11/25th rent reimbursements an extra rent payment was charged so we credited Dec 22, 2014 rent to this</t>
  </si>
  <si>
    <t>This was taken care of on November 11th</t>
  </si>
  <si>
    <t>Rent- Sep 9, 2014 - Sep 21, 2014</t>
  </si>
  <si>
    <t>Rent- Sep 9, 2014 - Sep 21, 2014 Correction</t>
  </si>
  <si>
    <t>Susan Faucher</t>
  </si>
  <si>
    <t>JB-9191536-00</t>
  </si>
  <si>
    <t>Yessenia Garcia</t>
  </si>
  <si>
    <t>JB-9191544-00</t>
  </si>
  <si>
    <t>Dennis Spicuzza</t>
  </si>
  <si>
    <t>JB-9205191-00</t>
  </si>
  <si>
    <t>Marianne Mickelson</t>
  </si>
  <si>
    <t>JB-9205174-00</t>
  </si>
  <si>
    <t>Reimbursment- 6 Shirts</t>
  </si>
  <si>
    <t>Carol Craver</t>
  </si>
  <si>
    <t>JB-9205222-00</t>
  </si>
  <si>
    <t>Nov 03, 2014 - Nov 09, 2014 Rent</t>
  </si>
  <si>
    <t>Oct 13, 2014 - Oct 19, 2014 Rent</t>
  </si>
  <si>
    <t>Oct 20, 2014 - Oct 26, 2014 Rent</t>
  </si>
  <si>
    <t>Oct 27, 2014 - Nov 02, 2014 Rent</t>
  </si>
  <si>
    <t>Rent 8/29-9/5</t>
  </si>
  <si>
    <t>Rent for Nov 10, 2014 -  Nov 16, 2014</t>
  </si>
  <si>
    <t>Rent- Mixup. Paid this amount last week. The rest he didn't receive last week was added to this week</t>
  </si>
  <si>
    <t>Rosalinda Piasecki</t>
  </si>
  <si>
    <t>JB-9205323-00</t>
  </si>
  <si>
    <t>Steven Ancira</t>
  </si>
  <si>
    <t>JB-9205331-00</t>
  </si>
  <si>
    <t>Orrin Alford</t>
  </si>
  <si>
    <t>JB-9205374-00</t>
  </si>
  <si>
    <t>Dinner goal for 12</t>
  </si>
  <si>
    <t>Rent charged 11/7 but not returned</t>
  </si>
  <si>
    <t>Susan Faucher backend true up</t>
  </si>
  <si>
    <t>Lisa Prosser</t>
  </si>
  <si>
    <t>JB-9372706-00</t>
  </si>
  <si>
    <t>Gordon Skinner</t>
  </si>
  <si>
    <t>JB-8525161-00</t>
  </si>
  <si>
    <t>Reimbursment- Car Rental 368.74, Gas and Parking 63.58, Plane ticket 200, tyler lewis event lead gen 100, Perdiem 387.74</t>
  </si>
  <si>
    <t>Reimbursement- Car, Gas, Per Diem</t>
  </si>
  <si>
    <t>Eric Richters</t>
  </si>
  <si>
    <t>JB-0601046-00</t>
  </si>
  <si>
    <t>Robert Smith</t>
  </si>
  <si>
    <t>JB-0601059-00</t>
  </si>
  <si>
    <t>Ken Wong</t>
  </si>
  <si>
    <t>JB-115916-00</t>
  </si>
  <si>
    <t>Damon Huplosky</t>
  </si>
  <si>
    <t>JB-115923-00</t>
  </si>
  <si>
    <t>Eryn Kaplan</t>
  </si>
  <si>
    <t>JB-1171853-00</t>
  </si>
  <si>
    <t>John Madden</t>
  </si>
  <si>
    <t>JB-115926-00</t>
  </si>
  <si>
    <t>Raymond W Carroll</t>
  </si>
  <si>
    <t>JB-115939-00</t>
  </si>
  <si>
    <t>Robert Moss</t>
  </si>
  <si>
    <t>JB-115986-00</t>
  </si>
  <si>
    <t>Dan Coles</t>
  </si>
  <si>
    <t>JB-1172240-00</t>
  </si>
  <si>
    <t>Event Marketing Draw 12/12/14</t>
  </si>
  <si>
    <t>Event marketing draw 12/19/14</t>
  </si>
  <si>
    <t>Lang, Anne</t>
  </si>
  <si>
    <t>JB-1172424-00</t>
  </si>
  <si>
    <t>Michael Rodin</t>
  </si>
  <si>
    <t>JB-1171596-00</t>
  </si>
  <si>
    <t>Steven Cohen</t>
  </si>
  <si>
    <t>JB-115871-00</t>
  </si>
  <si>
    <t>Johnathan Poirot</t>
  </si>
  <si>
    <t>JB-115925-00</t>
  </si>
  <si>
    <t>Harry Gorkin</t>
  </si>
  <si>
    <t>JB-1151028-00</t>
  </si>
  <si>
    <t>Event marketing advance 12.31.14</t>
  </si>
  <si>
    <t>Daniel Estrella</t>
  </si>
  <si>
    <t>JB-8538994-00</t>
  </si>
  <si>
    <t>Richard Dobson</t>
  </si>
  <si>
    <t>JB-8525181-00</t>
  </si>
  <si>
    <t>Jan Milner</t>
  </si>
  <si>
    <t>JB-8525347-00</t>
  </si>
  <si>
    <t>Pay advance 9/26/14</t>
  </si>
  <si>
    <t>Was advanced</t>
  </si>
  <si>
    <t>Advance 10/11/14</t>
  </si>
  <si>
    <t>Janet Milner</t>
  </si>
  <si>
    <t>Michelle Hoy</t>
  </si>
  <si>
    <t>JB-8525920-00</t>
  </si>
  <si>
    <t>Ralph Sickler</t>
  </si>
  <si>
    <t>JB-8539387-00</t>
  </si>
  <si>
    <t>Justin Ballard</t>
  </si>
  <si>
    <t>JB-8512608-00</t>
  </si>
  <si>
    <t>Jeremy Demar</t>
  </si>
  <si>
    <t>JB-8525783-00</t>
  </si>
  <si>
    <t>Lillie Sly</t>
  </si>
  <si>
    <t>JB-8525799-00</t>
  </si>
  <si>
    <t>Roderick MacDonald</t>
  </si>
  <si>
    <t>JB-8525557-00</t>
  </si>
  <si>
    <t>Reimbursment Flight 523.20, soliciting permint 50</t>
  </si>
  <si>
    <t>Marsha Green</t>
  </si>
  <si>
    <t>JB-8512803-00</t>
  </si>
  <si>
    <t>Joanne West</t>
  </si>
  <si>
    <t>JB-8512587-00</t>
  </si>
  <si>
    <t>Cindy Clites</t>
  </si>
  <si>
    <t>JB-8512597-00</t>
  </si>
  <si>
    <t>Darold Hickox</t>
  </si>
  <si>
    <t>JB-8512586-00</t>
  </si>
  <si>
    <t>Kathleen Hansen</t>
  </si>
  <si>
    <t>JB-8512716-00</t>
  </si>
  <si>
    <t>Katherine Bailey</t>
  </si>
  <si>
    <t>JB-8512623-00</t>
  </si>
  <si>
    <t>Brian Tyler</t>
  </si>
  <si>
    <t>JB-8512791-00</t>
  </si>
  <si>
    <t>Sherle Smothers</t>
  </si>
  <si>
    <t>JB-8512781-00</t>
  </si>
  <si>
    <t>Nancy Loth</t>
  </si>
  <si>
    <t>JB-8512822-00</t>
  </si>
  <si>
    <t>Ronald Yeager</t>
  </si>
  <si>
    <t>JB-8512936-00</t>
  </si>
  <si>
    <t>Robert Becker</t>
  </si>
  <si>
    <t>JB-1171611-00</t>
  </si>
  <si>
    <t>Victor Reyes</t>
  </si>
  <si>
    <t>JB-115879-00</t>
  </si>
  <si>
    <t>Paul Reilly</t>
  </si>
  <si>
    <t>JB-115937-00</t>
  </si>
  <si>
    <t>Advance paid 10/3/14</t>
  </si>
  <si>
    <t>Kathryn Finley</t>
  </si>
  <si>
    <t>JB-8525404-00</t>
  </si>
  <si>
    <t>Jana Wong</t>
  </si>
  <si>
    <t>JB-9701702-00</t>
  </si>
  <si>
    <t>Rene Rubio</t>
  </si>
  <si>
    <t>JB-9264131-00</t>
  </si>
  <si>
    <t>Shawn Coan</t>
  </si>
  <si>
    <t>JB-1171785-00</t>
  </si>
  <si>
    <t>John Rickard</t>
  </si>
  <si>
    <t>JB-1171975-00</t>
  </si>
  <si>
    <t>Christopher Socko</t>
  </si>
  <si>
    <t>JB-1171711-00</t>
  </si>
  <si>
    <t>Michael Kelly</t>
  </si>
  <si>
    <t>JB-1172019-00</t>
  </si>
  <si>
    <t>Gina Marie Dawley</t>
  </si>
  <si>
    <t>JB-1172111-00</t>
  </si>
  <si>
    <t>Sign</t>
  </si>
  <si>
    <t>Andrea Casey</t>
  </si>
  <si>
    <t>JB-1172076-00</t>
  </si>
  <si>
    <t>Anthony Scotto</t>
  </si>
  <si>
    <t>JB-1172196-00</t>
  </si>
  <si>
    <t>Kelly, Michael</t>
  </si>
  <si>
    <t>Vipul Shah</t>
  </si>
  <si>
    <t>JB-1171964-00</t>
  </si>
  <si>
    <t>Naresh Shah</t>
  </si>
  <si>
    <t>JB-110256-00</t>
  </si>
  <si>
    <t>Vishal Mehta</t>
  </si>
  <si>
    <t>JB-115985-00</t>
  </si>
  <si>
    <t>William Rose</t>
  </si>
  <si>
    <t>JB-115883-00</t>
  </si>
  <si>
    <t>Manjeet Banga</t>
  </si>
  <si>
    <t>JB-8525226-00</t>
  </si>
  <si>
    <t>Abel Rivera</t>
  </si>
  <si>
    <t>JB-8504364-00</t>
  </si>
  <si>
    <t>Eduardo Nava</t>
  </si>
  <si>
    <t>JB-8504371-00</t>
  </si>
  <si>
    <t>Elisa Herrerra</t>
  </si>
  <si>
    <t>JB-85310216-00</t>
  </si>
  <si>
    <t>Elizabeth Herron</t>
  </si>
  <si>
    <t>JB-85310199-00</t>
  </si>
  <si>
    <t>Connie Acosta</t>
  </si>
  <si>
    <t>JB-8504378-00</t>
  </si>
  <si>
    <t>Santiago Briseno</t>
  </si>
  <si>
    <t>JB-8504388-00</t>
  </si>
  <si>
    <t>Reimbursement- Relocation Bonus</t>
  </si>
  <si>
    <t>G4G</t>
  </si>
  <si>
    <t>Gene McCutchen</t>
  </si>
  <si>
    <t>JB-9232300-00</t>
  </si>
  <si>
    <t>Kristin Dodier</t>
  </si>
  <si>
    <t>JB-9283603-00</t>
  </si>
  <si>
    <t>Jodi Fleishman</t>
  </si>
  <si>
    <t>JB-9283555-00</t>
  </si>
  <si>
    <t>Dawn Alfredo</t>
  </si>
  <si>
    <t>JB-8525531-00</t>
  </si>
  <si>
    <t>Michael Dory</t>
  </si>
  <si>
    <t>JB-8525839-00</t>
  </si>
  <si>
    <t>Michael Kent Dory</t>
  </si>
  <si>
    <t>Jeff Carey</t>
  </si>
  <si>
    <t>JB-8525815-00</t>
  </si>
  <si>
    <t>Reimbursment- Flight to Connecticut for Alyssa Recinos and Rachel Chapman</t>
  </si>
  <si>
    <t>Jagadish Akella</t>
  </si>
  <si>
    <t>JB-0601365-00</t>
  </si>
  <si>
    <t>Reimbursment- gas 47.90</t>
  </si>
  <si>
    <t>Albertine Williams</t>
  </si>
  <si>
    <t>JB-0601429-00</t>
  </si>
  <si>
    <t>James Booker</t>
  </si>
  <si>
    <t>JB-8526032-00</t>
  </si>
  <si>
    <t>Brian Allred</t>
  </si>
  <si>
    <t>JB-8526461-00</t>
  </si>
  <si>
    <t>Charles Hanson</t>
  </si>
  <si>
    <t>JB-8526393-00</t>
  </si>
  <si>
    <t>Richard Vaughn</t>
  </si>
  <si>
    <t>JB-8526506-00</t>
  </si>
  <si>
    <t>Travis Vaughn</t>
  </si>
  <si>
    <t>JB-8526501-00</t>
  </si>
  <si>
    <t>Pay advance 10/31/14</t>
  </si>
  <si>
    <t>Pay Advance 8/22/14</t>
  </si>
  <si>
    <t>Pay Advance 9/9/14</t>
  </si>
  <si>
    <t>Carl Claassen</t>
  </si>
  <si>
    <t>JB-8005877-00</t>
  </si>
  <si>
    <t>Wesley Martin</t>
  </si>
  <si>
    <t>JB-8005867-00</t>
  </si>
  <si>
    <t>Nicole Holmes</t>
  </si>
  <si>
    <t>JB-8025015-00</t>
  </si>
  <si>
    <t>James Porter</t>
  </si>
  <si>
    <t>JB-8005910-00</t>
  </si>
  <si>
    <t>John Karns</t>
  </si>
  <si>
    <t>JB-8013330-00</t>
  </si>
  <si>
    <t>Claassen, Carl</t>
  </si>
  <si>
    <t>Geraldine M. Scotti</t>
  </si>
  <si>
    <t>JB-1171843-00</t>
  </si>
  <si>
    <t>F Mary Goldstein</t>
  </si>
  <si>
    <t>JB-115992-00</t>
  </si>
  <si>
    <t>Ann Torcivia</t>
  </si>
  <si>
    <t>JB-1172107-00</t>
  </si>
  <si>
    <t>Thomas DeBenedetto</t>
  </si>
  <si>
    <t>JB-115975-00</t>
  </si>
  <si>
    <t>Adrian Rascon</t>
  </si>
  <si>
    <t>JB-8573174-00</t>
  </si>
  <si>
    <t>Rascon, Adrian</t>
  </si>
  <si>
    <t>Domenica Verni</t>
  </si>
  <si>
    <t>JB-110266-00</t>
  </si>
  <si>
    <t>Marko Jurlina</t>
  </si>
  <si>
    <t>JB-1172339-00</t>
  </si>
  <si>
    <t>Kirk Hansen</t>
  </si>
  <si>
    <t>JB-9701734-00</t>
  </si>
  <si>
    <t>Crystal Dashiell</t>
  </si>
  <si>
    <t>JB-8503934-00</t>
  </si>
  <si>
    <t>Gia Firicano</t>
  </si>
  <si>
    <t>JB-8503881-00</t>
  </si>
  <si>
    <t>Kyle Schmitt</t>
  </si>
  <si>
    <t>JB-8503923-00</t>
  </si>
  <si>
    <t>Todd Smith</t>
  </si>
  <si>
    <t>JB-8525605-00</t>
  </si>
  <si>
    <t>Edward Rosser</t>
  </si>
  <si>
    <t>JB-8525626-00</t>
  </si>
  <si>
    <t>Joan Freund</t>
  </si>
  <si>
    <t>JB-8525697-00</t>
  </si>
  <si>
    <t>Alan Rubenstein</t>
  </si>
  <si>
    <t>JB-8526072-00</t>
  </si>
  <si>
    <t>Daniel Boon</t>
  </si>
  <si>
    <t>JB-8525863-00</t>
  </si>
  <si>
    <t>Jerry Chamberlin</t>
  </si>
  <si>
    <t>JB-8526112-00</t>
  </si>
  <si>
    <t>Patty Moore</t>
  </si>
  <si>
    <t>JB-8526075-00</t>
  </si>
  <si>
    <t>Chris Husom</t>
  </si>
  <si>
    <t>JB-8504171-00</t>
  </si>
  <si>
    <t>Mary Jane Mogdans</t>
  </si>
  <si>
    <t>JB-8526292-00</t>
  </si>
  <si>
    <t>Sharon L Solomon</t>
  </si>
  <si>
    <t>JB-8526290-00</t>
  </si>
  <si>
    <t>Yolanda Alquist</t>
  </si>
  <si>
    <t>JB-85310046-00</t>
  </si>
  <si>
    <t>Marilynn May</t>
  </si>
  <si>
    <t>JB-8526318-00</t>
  </si>
  <si>
    <t>Nina Farrell</t>
  </si>
  <si>
    <t>JB-8526353-00</t>
  </si>
  <si>
    <t>Advance 12/19/14</t>
  </si>
  <si>
    <t>Solomon, Sharon L</t>
  </si>
  <si>
    <t>Santiago Diaz</t>
  </si>
  <si>
    <t>JB-8573218-00</t>
  </si>
  <si>
    <t>Maria  Guadalupe Jimenez</t>
  </si>
  <si>
    <t>JB-8573734-00</t>
  </si>
  <si>
    <t>Quickbooks shows NO payment. Check with Hunts. If NO payment, delete the pending clawback as well</t>
  </si>
  <si>
    <t>Gary Nelson</t>
  </si>
  <si>
    <t>JB-8539429-00</t>
  </si>
  <si>
    <t>Lourdes Hecht</t>
  </si>
  <si>
    <t>JB-8539411-00</t>
  </si>
  <si>
    <t>Charles Baughman</t>
  </si>
  <si>
    <t>JB-8539575-00</t>
  </si>
  <si>
    <t>Jerry Happeny</t>
  </si>
  <si>
    <t>JB-8539561-00</t>
  </si>
  <si>
    <t>Ibis Vasquez</t>
  </si>
  <si>
    <t>JB-8539721-00</t>
  </si>
  <si>
    <t>Iliana Perez</t>
  </si>
  <si>
    <t>JB-8539580-00</t>
  </si>
  <si>
    <t>Mike Burke</t>
  </si>
  <si>
    <t>JB-8539618-00</t>
  </si>
  <si>
    <t>Pet deposit</t>
  </si>
  <si>
    <t>Kieth Govan</t>
  </si>
  <si>
    <t>JB-8539813-00</t>
  </si>
  <si>
    <t>Luis Reyes</t>
  </si>
  <si>
    <t>JB-8539818-00</t>
  </si>
  <si>
    <t>Marc Chambers</t>
  </si>
  <si>
    <t>JB-8539885-00</t>
  </si>
  <si>
    <t>Pet damage to apt</t>
  </si>
  <si>
    <t>Nonda Meyers</t>
  </si>
  <si>
    <t>JB-8539340-00</t>
  </si>
  <si>
    <t>Adam Weinstock</t>
  </si>
  <si>
    <t>JB-1172331-00</t>
  </si>
  <si>
    <t>Cheryl Huneke</t>
  </si>
  <si>
    <t>JB-1172029-00</t>
  </si>
  <si>
    <t>Jeremiah Azevedo</t>
  </si>
  <si>
    <t>JB-9566190-00</t>
  </si>
  <si>
    <t>Thomas Wick</t>
  </si>
  <si>
    <t>JB-9566247-00</t>
  </si>
  <si>
    <t>Draw 9/18/14</t>
  </si>
  <si>
    <t>Chuck Smith</t>
  </si>
  <si>
    <t>JB-9566044-00</t>
  </si>
  <si>
    <t>Filip Popovici</t>
  </si>
  <si>
    <t>JB-9566002-00</t>
  </si>
  <si>
    <t>Ingeborg Popovich</t>
  </si>
  <si>
    <t>JB-9565979-00</t>
  </si>
  <si>
    <t>Ricardo Padilla</t>
  </si>
  <si>
    <t>JB-9566101-00</t>
  </si>
  <si>
    <t>Lynne Shelton</t>
  </si>
  <si>
    <t>JB-9566258-00</t>
  </si>
  <si>
    <t>Wayne Hart</t>
  </si>
  <si>
    <t>JB-9566233-00</t>
  </si>
  <si>
    <t>Jay Wedsted</t>
  </si>
  <si>
    <t>JB-9566495-00</t>
  </si>
  <si>
    <t>Vicente Dela Fuente</t>
  </si>
  <si>
    <t>JB-9566466-00</t>
  </si>
  <si>
    <t>James Redmond</t>
  </si>
  <si>
    <t>JB-9566551-00</t>
  </si>
  <si>
    <t>Lorenzo Ruelas</t>
  </si>
  <si>
    <t>JB-9582065-00</t>
  </si>
  <si>
    <t>Popovich, Ingeborg</t>
  </si>
  <si>
    <t>Andrew Mittleman</t>
  </si>
  <si>
    <t>JB-9565975-00</t>
  </si>
  <si>
    <t>Eugene Justus</t>
  </si>
  <si>
    <t>JB-9572318-00</t>
  </si>
  <si>
    <t>Maline Ouk</t>
  </si>
  <si>
    <t>JB-9572315-00</t>
  </si>
  <si>
    <t>Dory Ouk</t>
  </si>
  <si>
    <t>JB-9513523-00</t>
  </si>
  <si>
    <t>Robert Blanton</t>
  </si>
  <si>
    <t>JB-9572326-00</t>
  </si>
  <si>
    <t>Armenia Prasad</t>
  </si>
  <si>
    <t>JB-9572373-00</t>
  </si>
  <si>
    <t>Nimol Koch</t>
  </si>
  <si>
    <t>JB-9521675-00</t>
  </si>
  <si>
    <t>Kunthea Seang</t>
  </si>
  <si>
    <t>JB-9581927-00</t>
  </si>
  <si>
    <t>Michelle Rey</t>
  </si>
  <si>
    <t>JB-9572399-00</t>
  </si>
  <si>
    <t>Anna Scott</t>
  </si>
  <si>
    <t>JB-8525571-00</t>
  </si>
  <si>
    <t>James Angus</t>
  </si>
  <si>
    <t>JB-8525512-00</t>
  </si>
  <si>
    <t>Maree Romero</t>
  </si>
  <si>
    <t>JB-8525619-00</t>
  </si>
  <si>
    <t>Damon Pullman</t>
  </si>
  <si>
    <t>JB-8525695-00</t>
  </si>
  <si>
    <t>Marjorie Nett</t>
  </si>
  <si>
    <t>JB-8525927-00</t>
  </si>
  <si>
    <t>Elizabeth Allred</t>
  </si>
  <si>
    <t>JB-8526012-00</t>
  </si>
  <si>
    <t>Micah Tumerkan</t>
  </si>
  <si>
    <t>JB-8513033-00</t>
  </si>
  <si>
    <t>QB could show incorrect number</t>
  </si>
  <si>
    <t>Marge Nett</t>
  </si>
  <si>
    <t>Jeffrey Goodman</t>
  </si>
  <si>
    <t>JB-8503930-00</t>
  </si>
  <si>
    <t>Fred Auzenne</t>
  </si>
  <si>
    <t>JB-8526091-00</t>
  </si>
  <si>
    <t>Laurie Gonzalez</t>
  </si>
  <si>
    <t>JB-8525616-00</t>
  </si>
  <si>
    <t>Kristy Hofmann</t>
  </si>
  <si>
    <t>JB-8512780-00</t>
  </si>
  <si>
    <t>10/07/2014</t>
  </si>
  <si>
    <t>Draw 10/07/2014</t>
  </si>
  <si>
    <t>Draw 10/17/14</t>
  </si>
  <si>
    <t>Debra King</t>
  </si>
  <si>
    <t>JB-9204994-00</t>
  </si>
  <si>
    <t>Jacqueline Weese</t>
  </si>
  <si>
    <t>JB-9204945-00</t>
  </si>
  <si>
    <t xml:space="preserve">Charged rent when we were supposed to wait till November </t>
  </si>
  <si>
    <t>Shelley Ebbert</t>
  </si>
  <si>
    <t>JB-9204992-00</t>
  </si>
  <si>
    <t>Bobby Roberts</t>
  </si>
  <si>
    <t>JB-9205017-00</t>
  </si>
  <si>
    <t>Candy Sadleir</t>
  </si>
  <si>
    <t>JB-9204980-00</t>
  </si>
  <si>
    <t>Sandra Lopez</t>
  </si>
  <si>
    <t>JB-9205005-00</t>
  </si>
  <si>
    <t>Corey Wyrick</t>
  </si>
  <si>
    <t>JB-9205341-00</t>
  </si>
  <si>
    <t>Virgilio Cabalda</t>
  </si>
  <si>
    <t>JB-9212735-00</t>
  </si>
  <si>
    <t>Catherine Brown</t>
  </si>
  <si>
    <t>JB-9212415-00</t>
  </si>
  <si>
    <t>Advance 9/12/14</t>
  </si>
  <si>
    <t>Brown, Catherine</t>
  </si>
  <si>
    <t>Rent Correction (9/22/14-9/28/14)</t>
  </si>
  <si>
    <t>Weese, Jacqueline</t>
  </si>
  <si>
    <t>Draw 9/4/2014</t>
  </si>
  <si>
    <t>Draw 9/12/2014</t>
  </si>
  <si>
    <t>Draw 9/19/2014</t>
  </si>
  <si>
    <t>Draw 9/25/2014</t>
  </si>
  <si>
    <t>Draw 10/6/2014</t>
  </si>
  <si>
    <t>Draw 11/7/2014</t>
  </si>
  <si>
    <t>11/25/2014</t>
  </si>
  <si>
    <t>Draw 11/25/2014</t>
  </si>
  <si>
    <t>Received two Nov. 25th</t>
  </si>
  <si>
    <t>12/05/2014</t>
  </si>
  <si>
    <t>Draw 12/5/2014</t>
  </si>
  <si>
    <t>12/12/2014</t>
  </si>
  <si>
    <t>Draw 12/12/2014</t>
  </si>
  <si>
    <t>12/22/2014</t>
  </si>
  <si>
    <t>Draw 12/22/2014</t>
  </si>
  <si>
    <t>12/26/2014</t>
  </si>
  <si>
    <t>Draw 12/26/2014</t>
  </si>
  <si>
    <t>12/31/2014</t>
  </si>
  <si>
    <t>Draw 12/31/2014</t>
  </si>
  <si>
    <t>Reimbursment- Gas bay area 60, gas 60, gas 20, Perdiem 720</t>
  </si>
  <si>
    <t>Shaffer, Jessica</t>
  </si>
  <si>
    <t>JB-9362752-00</t>
  </si>
  <si>
    <t>G4G Draw 9/25/14</t>
  </si>
  <si>
    <t>Gary Blate</t>
  </si>
  <si>
    <t>JB-9362772-00</t>
  </si>
  <si>
    <t>G4G Draw 10/6/14</t>
  </si>
  <si>
    <t>G4G Draw 10/10/14</t>
  </si>
  <si>
    <t>G4G Draw 10/17/14</t>
  </si>
  <si>
    <t>Reimbursements- Post office Overnight, Signs to az Event</t>
  </si>
  <si>
    <t>G4G Draw 10/24/14</t>
  </si>
  <si>
    <t>G4G DRAW 10/31/14</t>
  </si>
  <si>
    <t>G4G DRAW 11/7/14</t>
  </si>
  <si>
    <t>G4g Draw 11/25/14</t>
  </si>
  <si>
    <t>Carolina Dionisio</t>
  </si>
  <si>
    <t>JB-0802231-00</t>
  </si>
  <si>
    <t>Earl Alberto</t>
  </si>
  <si>
    <t>JB-087406-00</t>
  </si>
  <si>
    <t>Juan F Sandoz Deguzman</t>
  </si>
  <si>
    <t>JB-087405-00</t>
  </si>
  <si>
    <t>Joseph Usi</t>
  </si>
  <si>
    <t>JB-087416-00</t>
  </si>
  <si>
    <t>Alan Brunet</t>
  </si>
  <si>
    <t>JB-078199-00</t>
  </si>
  <si>
    <t>Michael Roemer</t>
  </si>
  <si>
    <t>JB-076227-00</t>
  </si>
  <si>
    <t>Elzbieta Wladczyk-Wife's account (Laarne Wilde)</t>
  </si>
  <si>
    <t>JB-087384-00</t>
  </si>
  <si>
    <t>Dionisio, Carolina</t>
  </si>
  <si>
    <t>Dacumos, Arthur</t>
  </si>
  <si>
    <t>JB-087404-00</t>
  </si>
  <si>
    <t>Shannon Marie Lavin</t>
  </si>
  <si>
    <t>JB-2071688-00</t>
  </si>
  <si>
    <t>Ghislenny Gonzales</t>
  </si>
  <si>
    <t>JB-211523-00</t>
  </si>
  <si>
    <t xml:space="preserve">Rent- Oct 20, 2014 - Oct 26, 2014 </t>
  </si>
  <si>
    <t>Kenneth Marsh</t>
  </si>
  <si>
    <t>JB-2101254-00</t>
  </si>
  <si>
    <t>Gonzales, Ghislenny</t>
  </si>
  <si>
    <t>Esmeralda Angelito</t>
  </si>
  <si>
    <t>JB-9222089-00</t>
  </si>
  <si>
    <t>Joseph Dinardo</t>
  </si>
  <si>
    <t>JB-9191625-00</t>
  </si>
  <si>
    <t>Justin Gloyer</t>
  </si>
  <si>
    <t>JB-9205041-00</t>
  </si>
  <si>
    <t>pay advance 9/26/14</t>
  </si>
  <si>
    <t>Steve Rider</t>
  </si>
  <si>
    <t>JB-9212602-00</t>
  </si>
  <si>
    <t>Steve Ravalli</t>
  </si>
  <si>
    <t>JB-9205002-00</t>
  </si>
  <si>
    <t>Daniel Patulot</t>
  </si>
  <si>
    <t>JB-070676-00</t>
  </si>
  <si>
    <t>JB-087394-00</t>
  </si>
  <si>
    <t>Arthur Dacumos</t>
  </si>
  <si>
    <t>Gememiano Lamela</t>
  </si>
  <si>
    <t>JB-087392-00</t>
  </si>
  <si>
    <t>Jay Talag</t>
  </si>
  <si>
    <t>JB-087410-00</t>
  </si>
  <si>
    <t>Nida Alberto</t>
  </si>
  <si>
    <t>JB-087415-00</t>
  </si>
  <si>
    <t>Federico Mariano</t>
  </si>
  <si>
    <t>JB-087413-00</t>
  </si>
  <si>
    <t>Alberto Laquindanum</t>
  </si>
  <si>
    <t>JB-071107-00</t>
  </si>
  <si>
    <t>Elzbieta Wladczyk- Paid to Husband's Bank for $841.5 (Paul Wilde)</t>
  </si>
  <si>
    <t>Laquindanum, Alberto</t>
  </si>
  <si>
    <t>Aleksandr Shilo</t>
  </si>
  <si>
    <t>JB-9581879-00</t>
  </si>
  <si>
    <t>Vernon Tapp</t>
  </si>
  <si>
    <t>JB-9581876-00</t>
  </si>
  <si>
    <t>Luydmila Shilo</t>
  </si>
  <si>
    <t>JB-9581914-00</t>
  </si>
  <si>
    <t>Irma Pena</t>
  </si>
  <si>
    <t>JB-9581906-00</t>
  </si>
  <si>
    <t>Paul Mcquiston</t>
  </si>
  <si>
    <t>JB-8525813-00</t>
  </si>
  <si>
    <t>Nathan Essick</t>
  </si>
  <si>
    <t>JB-8526438-00</t>
  </si>
  <si>
    <t>Robert Bruce</t>
  </si>
  <si>
    <t>JB-8525866-00</t>
  </si>
  <si>
    <t>Brian Mcarthur</t>
  </si>
  <si>
    <t>JB-8526066-00</t>
  </si>
  <si>
    <t>Kyle Graf</t>
  </si>
  <si>
    <t>JB-8526111-00</t>
  </si>
  <si>
    <t>Aimee Keller</t>
  </si>
  <si>
    <t>JB-8526117-00</t>
  </si>
  <si>
    <t>Carol Ruggles</t>
  </si>
  <si>
    <t>JB-8526233-00</t>
  </si>
  <si>
    <t>Ed Simko</t>
  </si>
  <si>
    <t>JB-8526364-00</t>
  </si>
  <si>
    <t>Gregory Jones</t>
  </si>
  <si>
    <t>JB-8526367-00</t>
  </si>
  <si>
    <t>Bruce, Robert</t>
  </si>
  <si>
    <t>Maria Shanahan</t>
  </si>
  <si>
    <t>JB-8526472-00</t>
  </si>
  <si>
    <t>Richard Smith</t>
  </si>
  <si>
    <t>JB-9722209-00</t>
  </si>
  <si>
    <t>Archie Brentano</t>
  </si>
  <si>
    <t>JB-9722207-00</t>
  </si>
  <si>
    <t>Gary Jelinek</t>
  </si>
  <si>
    <t>JB-9722197-00</t>
  </si>
  <si>
    <t>Pam Kenyon</t>
  </si>
  <si>
    <t>JB-9722191-00</t>
  </si>
  <si>
    <t>James Bean</t>
  </si>
  <si>
    <t>JB-9722235-00</t>
  </si>
  <si>
    <t>Alissa Brandt</t>
  </si>
  <si>
    <t>JB-9722260-00</t>
  </si>
  <si>
    <t>Lydia Rivera</t>
  </si>
  <si>
    <t>JB-9722288-00</t>
  </si>
  <si>
    <t>Antonio Longo</t>
  </si>
  <si>
    <t>JB-1171996-00</t>
  </si>
  <si>
    <t>Bryan McClure</t>
  </si>
  <si>
    <t>JB-8512768-00</t>
  </si>
  <si>
    <t>Charles Son</t>
  </si>
  <si>
    <t>JB-1172134-00</t>
  </si>
  <si>
    <t>Christopher Neeson</t>
  </si>
  <si>
    <t>JB-1172275-00</t>
  </si>
  <si>
    <t>Scott Hanneman</t>
  </si>
  <si>
    <t>JB-8526126-00</t>
  </si>
  <si>
    <t>Thomas Dostal</t>
  </si>
  <si>
    <t>JB-8504260-00</t>
  </si>
  <si>
    <t>Dostal, Thomas</t>
  </si>
  <si>
    <t>Timothy Fisher</t>
  </si>
  <si>
    <t>JB-8512854-00</t>
  </si>
  <si>
    <t>Terence Coughlin</t>
  </si>
  <si>
    <t>JB-1172040-00</t>
  </si>
  <si>
    <t>Sunil Sharma</t>
  </si>
  <si>
    <t>JB-1151011-00</t>
  </si>
  <si>
    <t>Mary Darrow</t>
  </si>
  <si>
    <t>JB-9204926-00</t>
  </si>
  <si>
    <t>Roberta Morgan</t>
  </si>
  <si>
    <t>JB-9205229-00</t>
  </si>
  <si>
    <t>Rent- Sep 13, 2014 - Sep 21, 2014</t>
  </si>
  <si>
    <t>Rent- Sep 13, 2014 - Sep 21, 2014 Correction</t>
  </si>
  <si>
    <t>Timothy McCready</t>
  </si>
  <si>
    <t>JB-9566153-00</t>
  </si>
  <si>
    <t>Kendell Lewis</t>
  </si>
  <si>
    <t>JB-9204883-00</t>
  </si>
  <si>
    <t>Mary Knight</t>
  </si>
  <si>
    <t>JB-9204958-00</t>
  </si>
  <si>
    <t>Daniel Mais</t>
  </si>
  <si>
    <t>JB-9205130-00</t>
  </si>
  <si>
    <t>Alfonso Andrejauskas</t>
  </si>
  <si>
    <t>JB-9205328-00</t>
  </si>
  <si>
    <t>Patrick Phipps</t>
  </si>
  <si>
    <t>JB-9205334-00</t>
  </si>
  <si>
    <t>Rent- Oct 13, 2014 - Oct 19, 2014 (1 of 2)</t>
  </si>
  <si>
    <t>Rent- Oct 13, 2014 - Oct 19, 2014 (2 of 2)</t>
  </si>
  <si>
    <t>Paula Osheroff</t>
  </si>
  <si>
    <t>JB-9205195-00</t>
  </si>
  <si>
    <t xml:space="preserve">site Audit finished otherwise. </t>
  </si>
  <si>
    <t>Mark Parker</t>
  </si>
  <si>
    <t>JB-9254531-00</t>
  </si>
  <si>
    <t>Mike Tarantino</t>
  </si>
  <si>
    <t>JB-9204902-00</t>
  </si>
  <si>
    <t>Negative from Draw</t>
  </si>
  <si>
    <t>Ashley Lomax</t>
  </si>
  <si>
    <t>JB-9205104-00</t>
  </si>
  <si>
    <t>Patrick Sullivan</t>
  </si>
  <si>
    <t>JB-9205251-00</t>
  </si>
  <si>
    <t>Edward Cardoza</t>
  </si>
  <si>
    <t>JB-9205298-00</t>
  </si>
  <si>
    <t>Sullivan, Patrick</t>
  </si>
  <si>
    <t>Patrick Clancy</t>
  </si>
  <si>
    <t>JB-2101119-00</t>
  </si>
  <si>
    <t>Lynn Albizo</t>
  </si>
  <si>
    <t>JB-2101127-00</t>
  </si>
  <si>
    <t>Brian Hotchkiss</t>
  </si>
  <si>
    <t>JB-2101188-00</t>
  </si>
  <si>
    <t>Kimberly Carter</t>
  </si>
  <si>
    <t>JB-2101245-00</t>
  </si>
  <si>
    <t>Uzoma Ugoh</t>
  </si>
  <si>
    <t>JB-211526-00</t>
  </si>
  <si>
    <t>George Turner Martin</t>
  </si>
  <si>
    <t>JB-2101272-00</t>
  </si>
  <si>
    <t>Scott Grams</t>
  </si>
  <si>
    <t>JB-2101282-00</t>
  </si>
  <si>
    <t>Theodore Kuligowski</t>
  </si>
  <si>
    <t>JB-2101307-00</t>
  </si>
  <si>
    <t>Ugoh, Uzoma</t>
  </si>
  <si>
    <t>Rent- Oct through Dec (Minus $891.66 that was paid on 11/21/2014)</t>
  </si>
  <si>
    <t>Doug and Jerri Shupe</t>
  </si>
  <si>
    <t>JB-8573708-00</t>
  </si>
  <si>
    <t>Luis Vargas</t>
  </si>
  <si>
    <t>JB-8512956-00</t>
  </si>
  <si>
    <t>Mark McCallum</t>
  </si>
  <si>
    <t>JB-211518-00</t>
  </si>
  <si>
    <t>Vladimir Cerin</t>
  </si>
  <si>
    <t>JB-910877-00</t>
  </si>
  <si>
    <t>John Rivera</t>
  </si>
  <si>
    <t>JB-8574013-00</t>
  </si>
  <si>
    <t>Advance 1.2.14</t>
  </si>
  <si>
    <t>Commison</t>
  </si>
  <si>
    <t>Gildardo Juarez</t>
  </si>
  <si>
    <t>JB-910878-00</t>
  </si>
  <si>
    <t>Cerin, Vladimir</t>
  </si>
  <si>
    <t>Kaye Sapelli</t>
  </si>
  <si>
    <t>JB-8539566-00</t>
  </si>
  <si>
    <t>G4G DRAW 10/24/14</t>
  </si>
  <si>
    <t>Lisa Casida</t>
  </si>
  <si>
    <t>JB-9324334-00</t>
  </si>
  <si>
    <t>Robert Cullen</t>
  </si>
  <si>
    <t>JB-064909-00</t>
  </si>
  <si>
    <t>Adrienne McVamee</t>
  </si>
  <si>
    <t>JB-0151680-00</t>
  </si>
  <si>
    <t>Oscar Gallardo</t>
  </si>
  <si>
    <t>JB-8573516-00</t>
  </si>
  <si>
    <t>Diana Garcia</t>
  </si>
  <si>
    <t>JB-8539873-00</t>
  </si>
  <si>
    <t>Yvette Rodriguez</t>
  </si>
  <si>
    <t>JB-8504182-00</t>
  </si>
  <si>
    <t>Cherice Fuller</t>
  </si>
  <si>
    <t>JB-8504214-00</t>
  </si>
  <si>
    <t>Edmund Miera</t>
  </si>
  <si>
    <t>JB-8561108-00</t>
  </si>
  <si>
    <t>Harold Charter</t>
  </si>
  <si>
    <t>JB-8573990-00</t>
  </si>
  <si>
    <t>Alycia Gomez</t>
  </si>
  <si>
    <t>JB-8573563-00</t>
  </si>
  <si>
    <t>Heriberto Contreras 2</t>
  </si>
  <si>
    <t>JB-8561012-00</t>
  </si>
  <si>
    <t>Rosa Rojas</t>
  </si>
  <si>
    <t>JB-8573633-00</t>
  </si>
  <si>
    <t>Ricky Badilla</t>
  </si>
  <si>
    <t>JB-8573662-00</t>
  </si>
  <si>
    <t>JB-8561008-00</t>
  </si>
  <si>
    <t>Edward Rodriguez</t>
  </si>
  <si>
    <t>JB-8573769-00</t>
  </si>
  <si>
    <t>Matthew McLynn</t>
  </si>
  <si>
    <t>JB-8561080-00</t>
  </si>
  <si>
    <t>Bonus 11/7/14</t>
  </si>
  <si>
    <t>Luis Zazueta</t>
  </si>
  <si>
    <t>JB-8573836-00</t>
  </si>
  <si>
    <t>JB-8573807-00</t>
  </si>
  <si>
    <t>Mary Moreno</t>
  </si>
  <si>
    <t>JB-8561094-00</t>
  </si>
  <si>
    <t>Johnathan Humig</t>
  </si>
  <si>
    <t>JB-8573873-00</t>
  </si>
  <si>
    <t>Patricia Hill</t>
  </si>
  <si>
    <t>JB-8573917-00</t>
  </si>
  <si>
    <t>Robert Yrigoyen</t>
  </si>
  <si>
    <t>JB-8561138-00</t>
  </si>
  <si>
    <t>Rodriguez, Edward</t>
  </si>
  <si>
    <t>Rojas, Rosa</t>
  </si>
  <si>
    <t>Zazueta, Luis</t>
  </si>
  <si>
    <t>Eric Issler</t>
  </si>
  <si>
    <t>JB-0631810-00</t>
  </si>
  <si>
    <t>Lindsey Hall</t>
  </si>
  <si>
    <t>JB-0631812-00</t>
  </si>
  <si>
    <t>David Miller</t>
  </si>
  <si>
    <t>JB-0631828-00</t>
  </si>
  <si>
    <t>Doris Swan</t>
  </si>
  <si>
    <t>JB-0631817-00</t>
  </si>
  <si>
    <t>Eleni Vourtsis</t>
  </si>
  <si>
    <t>JB-0631819-00</t>
  </si>
  <si>
    <t>Ellen Curtin</t>
  </si>
  <si>
    <t>JB-0631827-00</t>
  </si>
  <si>
    <t>Susanmarie Page</t>
  </si>
  <si>
    <t>JB-0631825-00</t>
  </si>
  <si>
    <t>Daniel Sandoval</t>
  </si>
  <si>
    <t>JB-0631845-00</t>
  </si>
  <si>
    <t>Kathy Drenga</t>
  </si>
  <si>
    <t>JB-0631843-00</t>
  </si>
  <si>
    <t>Kevin Kotfer</t>
  </si>
  <si>
    <t>JB-0631831-00</t>
  </si>
  <si>
    <t>Jill Keith</t>
  </si>
  <si>
    <t>JB-0631857-00</t>
  </si>
  <si>
    <t>David Goss</t>
  </si>
  <si>
    <t>JB-0631847-00</t>
  </si>
  <si>
    <t>Juan Rascon (Aaron Mott's previously)</t>
  </si>
  <si>
    <t>Todd Connolly</t>
  </si>
  <si>
    <t>JB-8525819-00</t>
  </si>
  <si>
    <t>Robert Niemoller</t>
  </si>
  <si>
    <t>JB-8504074-00</t>
  </si>
  <si>
    <t>Richard Burke</t>
  </si>
  <si>
    <t>JB-9566356-00</t>
  </si>
  <si>
    <t>Steven Green</t>
  </si>
  <si>
    <t>JB-9566468-00</t>
  </si>
  <si>
    <t>Naresh Jain</t>
  </si>
  <si>
    <t>JB-9582062-00</t>
  </si>
  <si>
    <t>Thomas Hensley</t>
  </si>
  <si>
    <t>JB-9582059-00</t>
  </si>
  <si>
    <t>Daniel Derby</t>
  </si>
  <si>
    <t>JB-9572553-00</t>
  </si>
  <si>
    <t>Green, Steven</t>
  </si>
  <si>
    <t>Ryan Young</t>
  </si>
  <si>
    <t>JB-9572468-00</t>
  </si>
  <si>
    <t>Randy Rich</t>
  </si>
  <si>
    <t>JB-9572620-00</t>
  </si>
  <si>
    <t>Kathleen McBride</t>
  </si>
  <si>
    <t>JB-9566771-00</t>
  </si>
  <si>
    <t>Advance 12/11/14</t>
  </si>
  <si>
    <t>Myying McGloghlon</t>
  </si>
  <si>
    <t>JB-9722317-00</t>
  </si>
  <si>
    <t>Paul Covey</t>
  </si>
  <si>
    <t>JB-9722311-00</t>
  </si>
  <si>
    <t>Willard Kleen</t>
  </si>
  <si>
    <t>JB-9722315-00</t>
  </si>
  <si>
    <t>Peter Sirosh</t>
  </si>
  <si>
    <t>JB-9722312-00</t>
  </si>
  <si>
    <t>Luis Portillo</t>
  </si>
  <si>
    <t>JB-2071579-00</t>
  </si>
  <si>
    <t>Naveed Ahmed</t>
  </si>
  <si>
    <t>JB-209541-00</t>
  </si>
  <si>
    <t>Reimbursement- Training, Parking, Per Diem</t>
  </si>
  <si>
    <t>Exspense</t>
  </si>
  <si>
    <t>Reimbursement- $320 Training, $24 Parking, $60 Per Diem</t>
  </si>
  <si>
    <t>Reimbursement- $170 Training, $44 Parking, $75 Per Diem</t>
  </si>
  <si>
    <t>Reimbursements- Parking, Gas, Per Diem</t>
  </si>
  <si>
    <t>Reimbursements- $13 Parking, $ 18.47Gas, $30 Per Diem</t>
  </si>
  <si>
    <t>Overrides- November</t>
  </si>
  <si>
    <t>G4g Draw 11.21.14</t>
  </si>
  <si>
    <t>G4G Draw 12.5.14</t>
  </si>
  <si>
    <t>Andrew Kolar</t>
  </si>
  <si>
    <t>JB-9701768-00</t>
  </si>
  <si>
    <t>Event marketing advance 12.26.14</t>
  </si>
  <si>
    <t>Magdalena Blakes</t>
  </si>
  <si>
    <t>JB-9566403-00</t>
  </si>
  <si>
    <t>Draw 11/3/14</t>
  </si>
  <si>
    <t>Draw 10/31/14 Wired</t>
  </si>
  <si>
    <t>Draw from 11/14/14</t>
  </si>
  <si>
    <t>Erika Sanchez</t>
  </si>
  <si>
    <t>JB-9566672-00</t>
  </si>
  <si>
    <t>John Hayward</t>
  </si>
  <si>
    <t>JB-9572568-00</t>
  </si>
  <si>
    <t>Reimbursement- flyer and led gen software</t>
  </si>
  <si>
    <t>flyer 45, website led gen  29</t>
  </si>
  <si>
    <t>Scott Long</t>
  </si>
  <si>
    <t>JB-9572543-00</t>
  </si>
  <si>
    <t>Draw 12.5.14</t>
  </si>
  <si>
    <t>Reimbursment- Table poster</t>
  </si>
  <si>
    <t>Event marketing advance 12.23.14 Wired</t>
  </si>
  <si>
    <t>Draw 1/9/15</t>
  </si>
  <si>
    <t>Dominguez, Bernard</t>
  </si>
  <si>
    <t>Fantl, Chris</t>
  </si>
  <si>
    <t>Singh, Ravi</t>
  </si>
  <si>
    <t>Harrison, Isom</t>
  </si>
  <si>
    <t>David Winter</t>
  </si>
  <si>
    <t>JB-8525904-00</t>
  </si>
  <si>
    <t>Robert Cota</t>
  </si>
  <si>
    <t>JB-8513114-00</t>
  </si>
  <si>
    <t>louis villa</t>
  </si>
  <si>
    <t>JB-8539703-00</t>
  </si>
  <si>
    <t>Bryan Fitzpatrick</t>
  </si>
  <si>
    <t>JB-8539738-00</t>
  </si>
  <si>
    <t>Louis Villa Sr</t>
  </si>
  <si>
    <t>Dino Gizzi</t>
  </si>
  <si>
    <t>Howard Heavens</t>
  </si>
  <si>
    <t>Marco Poulin</t>
  </si>
  <si>
    <t>JB-0601339-00</t>
  </si>
  <si>
    <t>Ieronimo, Michael</t>
  </si>
  <si>
    <t>JB-067531-00</t>
  </si>
  <si>
    <t>Lida Keroski</t>
  </si>
  <si>
    <t>JB-067523-00</t>
  </si>
  <si>
    <t>JB-0601418-00</t>
  </si>
  <si>
    <t>Ryan Allaire</t>
  </si>
  <si>
    <t>JB-0601425-00</t>
  </si>
  <si>
    <t>Susan Coleman</t>
  </si>
  <si>
    <t>JB-0601419-00</t>
  </si>
  <si>
    <t>John Fasolo</t>
  </si>
  <si>
    <t>JB-0601430-00</t>
  </si>
  <si>
    <t>Richard Pinkerton</t>
  </si>
  <si>
    <t>JB-067527-00</t>
  </si>
  <si>
    <t>Donald Padlo</t>
  </si>
  <si>
    <t>JB-0601523-00</t>
  </si>
  <si>
    <t>Nicole Joy</t>
  </si>
  <si>
    <t>JB-0601505-00</t>
  </si>
  <si>
    <t>David Parker</t>
  </si>
  <si>
    <t>JB-0601482-00</t>
  </si>
  <si>
    <t>Richard Blais</t>
  </si>
  <si>
    <t>JB-0601544-00</t>
  </si>
  <si>
    <t>Magdeleno Andrade</t>
  </si>
  <si>
    <t>JB-8573704-00</t>
  </si>
  <si>
    <t>Edwin Hutchings</t>
  </si>
  <si>
    <t>JB-062382-00</t>
  </si>
  <si>
    <t>Reyna Ponce</t>
  </si>
  <si>
    <t>JB-0641009-00</t>
  </si>
  <si>
    <t>Reimbursement- $240 Training, $ 32 Gas, $180 Per Diem</t>
  </si>
  <si>
    <t>Jody Daymon</t>
  </si>
  <si>
    <t>JB-0641064-00</t>
  </si>
  <si>
    <t>David Ochan</t>
  </si>
  <si>
    <t>JB-9722222-00</t>
  </si>
  <si>
    <t>Debra Lazarone</t>
  </si>
  <si>
    <t>JB-9701755-00</t>
  </si>
  <si>
    <t>Garrett Barnum</t>
  </si>
  <si>
    <t>JB-9701750-00</t>
  </si>
  <si>
    <t>Advance 12.29.14</t>
  </si>
  <si>
    <t>Josh Machnik</t>
  </si>
  <si>
    <t>JB-0601347-00</t>
  </si>
  <si>
    <t>Carleton White</t>
  </si>
  <si>
    <t>JB-0601457-00</t>
  </si>
  <si>
    <t>Frederick Norton</t>
  </si>
  <si>
    <t>Fernando Candelaria</t>
  </si>
  <si>
    <t>JB-064961-00</t>
  </si>
  <si>
    <t>karen Duff</t>
  </si>
  <si>
    <t>JB-0631893-00</t>
  </si>
  <si>
    <t>Stacey Gonzales</t>
  </si>
  <si>
    <t>JB-8561096-00</t>
  </si>
  <si>
    <t>Kristen Allison</t>
  </si>
  <si>
    <t>JB-8561158-00</t>
  </si>
  <si>
    <t>Allison, Kristen</t>
  </si>
  <si>
    <t>Bruce Williams</t>
  </si>
  <si>
    <t>JB-8539938-00</t>
  </si>
  <si>
    <t>Anita Long</t>
  </si>
  <si>
    <t>JB-8539952-00</t>
  </si>
  <si>
    <t>Jennifer Cruz</t>
  </si>
  <si>
    <t>JB-85310143-00</t>
  </si>
  <si>
    <t>Jennifer Cook</t>
  </si>
  <si>
    <t>JB-8539779-00</t>
  </si>
  <si>
    <t>Gary Ritter</t>
  </si>
  <si>
    <t>JB-8539860-00</t>
  </si>
  <si>
    <t>Lori Godfrey</t>
  </si>
  <si>
    <t>JB-85310008-00</t>
  </si>
  <si>
    <t>Reimbursment- Gas 10.88, Parking 112.00 Per diem 120</t>
  </si>
  <si>
    <t>Reimbursement- Parking, Gas, Per Diem</t>
  </si>
  <si>
    <t>Reimbursement- Parking, Checked bags, Per Diem</t>
  </si>
  <si>
    <t>Reimbursement- Hotel, Parking, Gas, Car, Per Diem</t>
  </si>
  <si>
    <t>Reimbursement- $246.34 Hotel, $92 Parking, $87.80 Gas, $419.59 Car, $330 Per Diem</t>
  </si>
  <si>
    <t>Reimbursment- Car 466.44, Perdiem 230.17</t>
  </si>
  <si>
    <t>Reimbursment- Game ticket 9, Per diem 210</t>
  </si>
  <si>
    <t>Reimbursment- Gas 13.30, parking 99, Event display 200</t>
  </si>
  <si>
    <t>Reimbursment Toll fees 33.60, Gas 79.75, Rental Car 508.70, Perdiem 330</t>
  </si>
  <si>
    <t>Margarita Corona</t>
  </si>
  <si>
    <t>JB-9134805-00</t>
  </si>
  <si>
    <t>Edgardo Caparros</t>
  </si>
  <si>
    <t>JB-9134832-00</t>
  </si>
  <si>
    <t>Armando Referrals</t>
  </si>
  <si>
    <t>Pay advance 11/14/14</t>
  </si>
  <si>
    <t>Mark Gustavson</t>
  </si>
  <si>
    <t>JB-9283906-00</t>
  </si>
  <si>
    <t>Reimbursement- Gas, Tolls, Per Diem</t>
  </si>
  <si>
    <t>Reimbursement- Meals, Gas</t>
  </si>
  <si>
    <t>Winter coat</t>
  </si>
  <si>
    <t>James R Harlan</t>
  </si>
  <si>
    <t>JB-8525916-00</t>
  </si>
  <si>
    <t>Ramon Moreno</t>
  </si>
  <si>
    <t>JB-8539997-00</t>
  </si>
  <si>
    <t>Alaniz, Marco a</t>
  </si>
  <si>
    <t>Jodi Rinke</t>
  </si>
  <si>
    <t>JB-8526389-00</t>
  </si>
  <si>
    <t>Tina Steinbrecher</t>
  </si>
  <si>
    <t>JB-8526337-00</t>
  </si>
  <si>
    <t>Bruce Bonneau</t>
  </si>
  <si>
    <t>JB-8504363-00</t>
  </si>
  <si>
    <t>Kelly Bonneau</t>
  </si>
  <si>
    <t>JB-8504365-00</t>
  </si>
  <si>
    <t>Bonneau, Bruce</t>
  </si>
  <si>
    <t>JB-0631855-00</t>
  </si>
  <si>
    <t>Richard Chevalier</t>
  </si>
  <si>
    <t>JB-062383-00</t>
  </si>
  <si>
    <t>David Cikatz</t>
  </si>
  <si>
    <t>JB-0631869-00</t>
  </si>
  <si>
    <t>Todd Douton</t>
  </si>
  <si>
    <t>JB-0631888-00</t>
  </si>
  <si>
    <t>G4g Draw 10/24/14</t>
  </si>
  <si>
    <t>Daniel Walker</t>
  </si>
  <si>
    <t>JB-9566614-00</t>
  </si>
  <si>
    <t>Todd Boscia</t>
  </si>
  <si>
    <t>JB-9392113-00</t>
  </si>
  <si>
    <t>Rosemarie Beskind</t>
  </si>
  <si>
    <t>JB-0601414-00</t>
  </si>
  <si>
    <t>Debbie Ludwig</t>
  </si>
  <si>
    <t>JB-0601444-00</t>
  </si>
  <si>
    <t>Jim Trzcinski</t>
  </si>
  <si>
    <t>JB-0601470-00</t>
  </si>
  <si>
    <t>Susan Javarauckas</t>
  </si>
  <si>
    <t>JB-0601459-00</t>
  </si>
  <si>
    <t>Salvatore Alfarone</t>
  </si>
  <si>
    <t>JB-0601576-00</t>
  </si>
  <si>
    <t>Ann Guiliano</t>
  </si>
  <si>
    <t>JB-8539905-00</t>
  </si>
  <si>
    <t>Duane Petersen</t>
  </si>
  <si>
    <t>JB-8539915-00</t>
  </si>
  <si>
    <t>JB-85310217-00</t>
  </si>
  <si>
    <t>Ann Guiliano - Commissions</t>
  </si>
  <si>
    <t>Petersen, Duane</t>
  </si>
  <si>
    <t>Tatum, Parrish</t>
  </si>
  <si>
    <t>11/21/2014</t>
  </si>
  <si>
    <t>Draw 12/05/2014</t>
  </si>
  <si>
    <t>12/10/2014</t>
  </si>
  <si>
    <t>Draw 12/10/2014</t>
  </si>
  <si>
    <t>01/09/2015</t>
  </si>
  <si>
    <t>Draw 01/09/2015</t>
  </si>
  <si>
    <t>Cordoza, Collin</t>
  </si>
  <si>
    <t>JB-9722289-00</t>
  </si>
  <si>
    <t>Mikulak, Richard D</t>
  </si>
  <si>
    <t>Oathes, Dave S.</t>
  </si>
  <si>
    <t>JB-9722322-00</t>
  </si>
  <si>
    <t>Ellen Howard</t>
  </si>
  <si>
    <t>JB-1172270-00</t>
  </si>
  <si>
    <t>Jane Fitzpatrick</t>
  </si>
  <si>
    <t>JB-1172220-00</t>
  </si>
  <si>
    <t>Samantha Joltin</t>
  </si>
  <si>
    <t>JB-1151017-00</t>
  </si>
  <si>
    <t>Richard Canarick</t>
  </si>
  <si>
    <t>JB-1151055-00</t>
  </si>
  <si>
    <t>Mathew Thomas</t>
  </si>
  <si>
    <t>JB-9566502-00</t>
  </si>
  <si>
    <t>Martin P McCrory</t>
  </si>
  <si>
    <t>JB-9566543-00</t>
  </si>
  <si>
    <t>Barbara Brand</t>
  </si>
  <si>
    <t>JB-9572558-00</t>
  </si>
  <si>
    <t>Catherine Noble</t>
  </si>
  <si>
    <t>JB-9566659-00</t>
  </si>
  <si>
    <t>Everett McAdams</t>
  </si>
  <si>
    <t>JB-9566838-00</t>
  </si>
  <si>
    <t>Tekpin Tan</t>
  </si>
  <si>
    <t>JB-9566831-00</t>
  </si>
  <si>
    <t>Abel Tenorio</t>
  </si>
  <si>
    <t>JB-9572627-00</t>
  </si>
  <si>
    <t>Tan, Tekpin</t>
  </si>
  <si>
    <t>Draw 11/17/14</t>
  </si>
  <si>
    <t>Draw 11.25.14</t>
  </si>
  <si>
    <t>Draw 12/12/14</t>
  </si>
  <si>
    <t>Draw 12.23.14</t>
  </si>
  <si>
    <t>Norma Harnandez</t>
  </si>
  <si>
    <t>JB-061287-00</t>
  </si>
  <si>
    <t>Ana Gonzalez</t>
  </si>
  <si>
    <t>JB-061289-00</t>
  </si>
  <si>
    <t>Carmen B Rivera</t>
  </si>
  <si>
    <t>Ronald Mann</t>
  </si>
  <si>
    <t>JB-0601434-00</t>
  </si>
  <si>
    <t>Ana Natal</t>
  </si>
  <si>
    <t>JB-061303-00</t>
  </si>
  <si>
    <t>Ramon Perez</t>
  </si>
  <si>
    <t>JB-061306-00</t>
  </si>
  <si>
    <t>Julia Alamo</t>
  </si>
  <si>
    <t>JB-061323-00</t>
  </si>
  <si>
    <t>Cristobal Jiminian</t>
  </si>
  <si>
    <t>JB-061328-00</t>
  </si>
  <si>
    <t>Noel Rodriguez</t>
  </si>
  <si>
    <t>JB-061327-00</t>
  </si>
  <si>
    <t>Deanna Lee</t>
  </si>
  <si>
    <t>JB-9701776-00</t>
  </si>
  <si>
    <t>Nirmal Kanhai</t>
  </si>
  <si>
    <t>JB-1151078-00</t>
  </si>
  <si>
    <t>Kenya Dogan</t>
  </si>
  <si>
    <t>JB-9572578-00</t>
  </si>
  <si>
    <t>Laurence Popiel</t>
  </si>
  <si>
    <t>JB-118212-00</t>
  </si>
  <si>
    <t>G4g Draw 11/14/14</t>
  </si>
  <si>
    <t>Draw 12.12.14</t>
  </si>
  <si>
    <t>Orfil Garcia</t>
  </si>
  <si>
    <t>JB-9504107-00</t>
  </si>
  <si>
    <t>Wurzburg, Steve</t>
  </si>
  <si>
    <t>G4G Draw 11/24/14 (2 of 2)</t>
  </si>
  <si>
    <t>Victoria Hernandez</t>
  </si>
  <si>
    <t>JB-85310188-00</t>
  </si>
  <si>
    <t>George Weston</t>
  </si>
  <si>
    <t>JB-9071294-00</t>
  </si>
  <si>
    <t>Reimbursment- lease buy out</t>
  </si>
  <si>
    <t>Bruce Hart</t>
  </si>
  <si>
    <t>JB-8526629-00</t>
  </si>
  <si>
    <t>Margaret Swayze</t>
  </si>
  <si>
    <t>JB-8526427-00</t>
  </si>
  <si>
    <t>Larry Keenan</t>
  </si>
  <si>
    <t>JB-8526151-00</t>
  </si>
  <si>
    <t>Steven Pepper</t>
  </si>
  <si>
    <t>JB-8526138-00</t>
  </si>
  <si>
    <t>Ann Forster</t>
  </si>
  <si>
    <t>JB-8526265-00</t>
  </si>
  <si>
    <t>Deon Dourlein</t>
  </si>
  <si>
    <t>JB-8573879-00</t>
  </si>
  <si>
    <t>Robert Murray</t>
  </si>
  <si>
    <t>JB-8024098-00</t>
  </si>
  <si>
    <t>Patrica Hamilton</t>
  </si>
  <si>
    <t>JB-8526205-00</t>
  </si>
  <si>
    <t>Bernetta Coward</t>
  </si>
  <si>
    <t>JB-2071740-00</t>
  </si>
  <si>
    <t>Sandra Thompson</t>
  </si>
  <si>
    <t>JB-9204685-00</t>
  </si>
  <si>
    <t>Marion Leonard</t>
  </si>
  <si>
    <t>JB-2071763-00</t>
  </si>
  <si>
    <t>Marissa Workman</t>
  </si>
  <si>
    <t>JB-2071787-00</t>
  </si>
  <si>
    <t>Saul Rivera</t>
  </si>
  <si>
    <t>JB-2071788-00</t>
  </si>
  <si>
    <t>Thach Tran</t>
  </si>
  <si>
    <t>JB-209577-00</t>
  </si>
  <si>
    <t>Jeffrey Hardaway</t>
  </si>
  <si>
    <t>JB-2071767-00</t>
  </si>
  <si>
    <t>Iris Perera</t>
  </si>
  <si>
    <t>JB-2071828-00</t>
  </si>
  <si>
    <t>Julio Gutierrez</t>
  </si>
  <si>
    <t>JB-2071811-00</t>
  </si>
  <si>
    <t>JB-200662-00</t>
  </si>
  <si>
    <t>Draw 11/14/14</t>
  </si>
  <si>
    <t>11/12/2014</t>
  </si>
  <si>
    <t>Draw 11/12/2014</t>
  </si>
  <si>
    <t>12/09/2014</t>
  </si>
  <si>
    <t>Draw 12/09/2014</t>
  </si>
  <si>
    <t>Denise Jones</t>
  </si>
  <si>
    <t>JB-9205308-00</t>
  </si>
  <si>
    <t>Alice Spalding</t>
  </si>
  <si>
    <t>Fred Heilig</t>
  </si>
  <si>
    <t>David Pina</t>
  </si>
  <si>
    <t>JB-0641010-00</t>
  </si>
  <si>
    <t>Elizabeth Tomboly</t>
  </si>
  <si>
    <t>JB-0641022-00</t>
  </si>
  <si>
    <t>Mary Ellen Johnson</t>
  </si>
  <si>
    <t>JB-0641026-00</t>
  </si>
  <si>
    <t>Kevin Elak</t>
  </si>
  <si>
    <t>JB-0641085-00</t>
  </si>
  <si>
    <t>Krzysztof Tutka</t>
  </si>
  <si>
    <t>Shirley Carr</t>
  </si>
  <si>
    <t>JB-0601518-00</t>
  </si>
  <si>
    <t>Herbert Laurence</t>
  </si>
  <si>
    <t>JB-0601556-00</t>
  </si>
  <si>
    <t>Sean Medina</t>
  </si>
  <si>
    <t>JB-076225-00</t>
  </si>
  <si>
    <t>Ezzedina Bautista</t>
  </si>
  <si>
    <t>JB-071109-00</t>
  </si>
  <si>
    <t>Heidi D'alessio</t>
  </si>
  <si>
    <t>JB-074255-00</t>
  </si>
  <si>
    <t>Rob Defalco</t>
  </si>
  <si>
    <t>JB-087434-00</t>
  </si>
  <si>
    <t>Alan Kunie</t>
  </si>
  <si>
    <t>JB-077430-00</t>
  </si>
  <si>
    <t>Janine Cotton</t>
  </si>
  <si>
    <t>JB-087435-00</t>
  </si>
  <si>
    <t>Christopher Wilkinson</t>
  </si>
  <si>
    <t>JB-0641050-00</t>
  </si>
  <si>
    <t>Brian Deneen</t>
  </si>
  <si>
    <t>JB-9572611-00</t>
  </si>
  <si>
    <t>Edward Silvas</t>
  </si>
  <si>
    <t>JB-9572637-00</t>
  </si>
  <si>
    <t>Gary Goody</t>
  </si>
  <si>
    <t>JB-9572654-00</t>
  </si>
  <si>
    <t>JB-8573960-00</t>
  </si>
  <si>
    <t>Reimbursment-Regus office</t>
  </si>
  <si>
    <t>Quickbook Notation</t>
  </si>
  <si>
    <t>Lashonda Mitchell</t>
  </si>
  <si>
    <t>JB-8504288-00</t>
  </si>
  <si>
    <t xml:space="preserve">Paid out at 325 and has initial docs in. </t>
  </si>
  <si>
    <t>Eduardo Varela</t>
  </si>
  <si>
    <t>JB-0601510-00</t>
  </si>
  <si>
    <t>John Mieles</t>
  </si>
  <si>
    <t>JB-0601520-00</t>
  </si>
  <si>
    <t>Traci Moser</t>
  </si>
  <si>
    <t>JB-8526428-00</t>
  </si>
  <si>
    <t>Lydia Hall</t>
  </si>
  <si>
    <t>JB-85310212-00</t>
  </si>
  <si>
    <t>Hall, Lydia</t>
  </si>
  <si>
    <t>Advance from Jeremy</t>
  </si>
  <si>
    <t>Mike Stodghill</t>
  </si>
  <si>
    <t>JB-9566774-00</t>
  </si>
  <si>
    <t>Nellie Jensen</t>
  </si>
  <si>
    <t>JB-9255049-00</t>
  </si>
  <si>
    <t>Reimbursment- Relocation uhal 470.48 and gas 22.26, 41, 50.05</t>
  </si>
  <si>
    <t>Melba Cano</t>
  </si>
  <si>
    <t>JB-85310260-00</t>
  </si>
  <si>
    <t>JB-85310231-00</t>
  </si>
  <si>
    <t>Reimbursment- Travel expenses</t>
  </si>
  <si>
    <t>Security Deposit</t>
  </si>
  <si>
    <t>Advance 12/8/14</t>
  </si>
  <si>
    <t>Jacket</t>
  </si>
  <si>
    <t>Security Deposit- Paid Twice</t>
  </si>
  <si>
    <t>Bonus- override compensation bonus</t>
  </si>
  <si>
    <t>White, Harold</t>
  </si>
  <si>
    <t>Brown, Derrick</t>
  </si>
  <si>
    <t>Bunch, Venessa</t>
  </si>
  <si>
    <t>Pasquariello, Charles</t>
  </si>
  <si>
    <t>Galinski, Stanley</t>
  </si>
  <si>
    <t>Kalapoodakis, Debra</t>
  </si>
  <si>
    <t>Anderson, Damen</t>
  </si>
  <si>
    <t>Kalender, Katy</t>
  </si>
  <si>
    <t>Porter, Jeremy</t>
  </si>
  <si>
    <t>Pradhan, Sushant</t>
  </si>
  <si>
    <t>Larrea, Marcelo</t>
  </si>
  <si>
    <t>Caputi, Francis</t>
  </si>
  <si>
    <t>Advance 1/30/2015</t>
  </si>
  <si>
    <t>Avin, Howard</t>
  </si>
  <si>
    <t>Nolan, Jeffrey</t>
  </si>
  <si>
    <t>Schubiger, Robert</t>
  </si>
  <si>
    <t>Yoni Irias Erazo</t>
  </si>
  <si>
    <t>Connor, Gina</t>
  </si>
  <si>
    <t>Gergenti, Paul</t>
  </si>
  <si>
    <t>Diodato, Gregory</t>
  </si>
  <si>
    <t>Diodato, Nick</t>
  </si>
  <si>
    <t>Difference</t>
  </si>
  <si>
    <t>Rep Check</t>
  </si>
  <si>
    <t>Date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</si>
</sst>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#,##0.00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333333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charset val="1"/>
    </font>
    <font>
      <b/>
      <sz val="11"/>
      <color theme="0"/>
      <name val="Calibri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83">
    <xf numFmtId="0" fontId="0" fillId="0" borderId="0" xfId="0"/>
    <xf numFmtId="0" fontId="1" fillId="2" borderId="1" xfId="1" applyFill="1" applyBorder="1" applyAlignment="1">
      <alignment horizontal="center" vertical="center"/>
    </xf>
    <xf numFmtId="14" fontId="2" fillId="2" borderId="1" xfId="0" applyNumberFormat="1" applyFont="1" applyFill="1" applyBorder="1" applyAlignment="1">
      <alignment horizontal="right" vertical="center"/>
    </xf>
    <xf numFmtId="14" fontId="0" fillId="0" borderId="0" xfId="0" applyNumberFormat="1"/>
    <xf numFmtId="8" fontId="0" fillId="0" borderId="0" xfId="2" applyNumberFormat="1" applyFont="1"/>
    <xf numFmtId="8" fontId="2" fillId="2" borderId="1" xfId="2" applyNumberFormat="1" applyFont="1" applyFill="1" applyBorder="1" applyAlignment="1">
      <alignment horizontal="right" vertical="center"/>
    </xf>
    <xf numFmtId="0" fontId="1" fillId="2" borderId="0" xfId="1" applyFill="1" applyBorder="1" applyAlignment="1">
      <alignment horizontal="center" vertical="center"/>
    </xf>
    <xf numFmtId="0" fontId="0" fillId="0" borderId="2" xfId="0" applyBorder="1"/>
    <xf numFmtId="0" fontId="0" fillId="0" borderId="1" xfId="0" applyBorder="1"/>
    <xf numFmtId="14" fontId="2" fillId="2" borderId="0" xfId="0" applyNumberFormat="1" applyFont="1" applyFill="1" applyBorder="1" applyAlignment="1">
      <alignment horizontal="right" vertical="center"/>
    </xf>
    <xf numFmtId="14" fontId="0" fillId="0" borderId="2" xfId="0" applyNumberFormat="1" applyBorder="1"/>
    <xf numFmtId="14" fontId="0" fillId="0" borderId="1" xfId="0" applyNumberFormat="1" applyBorder="1"/>
    <xf numFmtId="8" fontId="2" fillId="2" borderId="0" xfId="2" applyNumberFormat="1" applyFont="1" applyFill="1" applyBorder="1" applyAlignment="1">
      <alignment horizontal="right" vertical="center"/>
    </xf>
    <xf numFmtId="8" fontId="0" fillId="0" borderId="2" xfId="2" applyNumberFormat="1" applyFont="1" applyBorder="1"/>
    <xf numFmtId="8" fontId="0" fillId="0" borderId="1" xfId="2" applyNumberFormat="1" applyFont="1" applyBorder="1"/>
    <xf numFmtId="14" fontId="2" fillId="2" borderId="3" xfId="0" applyNumberFormat="1" applyFont="1" applyFill="1" applyBorder="1" applyAlignment="1">
      <alignment horizontal="right" vertical="center"/>
    </xf>
    <xf numFmtId="14" fontId="0" fillId="0" borderId="1" xfId="0" applyNumberFormat="1" applyFont="1" applyBorder="1"/>
    <xf numFmtId="0" fontId="0" fillId="0" borderId="0" xfId="0" applyAlignment="1">
      <alignment horizontal="center" vertical="center"/>
    </xf>
    <xf numFmtId="8" fontId="0" fillId="0" borderId="0" xfId="0" applyNumberFormat="1"/>
    <xf numFmtId="0" fontId="0" fillId="0" borderId="0" xfId="0" applyAlignment="1">
      <alignment vertical="center"/>
    </xf>
    <xf numFmtId="0" fontId="0" fillId="0" borderId="0" xfId="0" applyFill="1"/>
    <xf numFmtId="14" fontId="0" fillId="0" borderId="0" xfId="0" applyNumberFormat="1" applyFill="1"/>
    <xf numFmtId="8" fontId="4" fillId="0" borderId="0" xfId="0" applyNumberFormat="1" applyFont="1" applyFill="1" applyBorder="1"/>
    <xf numFmtId="14" fontId="0" fillId="0" borderId="0" xfId="0" applyNumberFormat="1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/>
    <xf numFmtId="14" fontId="5" fillId="4" borderId="0" xfId="0" applyNumberFormat="1" applyFont="1" applyFill="1" applyBorder="1"/>
    <xf numFmtId="0" fontId="5" fillId="4" borderId="0" xfId="0" applyFont="1" applyFill="1" applyBorder="1"/>
    <xf numFmtId="2" fontId="5" fillId="4" borderId="0" xfId="0" applyNumberFormat="1" applyFont="1" applyFill="1" applyBorder="1"/>
    <xf numFmtId="8" fontId="5" fillId="4" borderId="0" xfId="0" applyNumberFormat="1" applyFont="1" applyFill="1" applyBorder="1"/>
    <xf numFmtId="0" fontId="6" fillId="3" borderId="0" xfId="0" applyFont="1" applyFill="1" applyBorder="1"/>
    <xf numFmtId="0" fontId="5" fillId="3" borderId="0" xfId="0" applyFont="1" applyFill="1" applyBorder="1"/>
    <xf numFmtId="14" fontId="7" fillId="0" borderId="0" xfId="0" applyNumberFormat="1" applyFont="1" applyFill="1" applyBorder="1"/>
    <xf numFmtId="0" fontId="7" fillId="0" borderId="0" xfId="0" applyFont="1" applyFill="1" applyBorder="1"/>
    <xf numFmtId="2" fontId="7" fillId="0" borderId="0" xfId="0" applyNumberFormat="1" applyFont="1" applyFill="1" applyBorder="1"/>
    <xf numFmtId="8" fontId="7" fillId="0" borderId="0" xfId="0" applyNumberFormat="1" applyFont="1" applyFill="1" applyBorder="1"/>
    <xf numFmtId="164" fontId="0" fillId="0" borderId="0" xfId="3" applyNumberFormat="1" applyFont="1"/>
    <xf numFmtId="14" fontId="0" fillId="0" borderId="0" xfId="0" applyNumberFormat="1" applyBorder="1"/>
    <xf numFmtId="0" fontId="0" fillId="0" borderId="0" xfId="0" applyBorder="1"/>
    <xf numFmtId="8" fontId="0" fillId="0" borderId="0" xfId="0" applyNumberFormat="1" applyBorder="1"/>
    <xf numFmtId="0" fontId="0" fillId="0" borderId="0" xfId="0" applyFill="1" applyBorder="1"/>
    <xf numFmtId="14" fontId="0" fillId="5" borderId="0" xfId="0" applyNumberFormat="1" applyFill="1" applyBorder="1"/>
    <xf numFmtId="164" fontId="0" fillId="5" borderId="0" xfId="3" applyNumberFormat="1" applyFont="1" applyFill="1"/>
    <xf numFmtId="0" fontId="0" fillId="5" borderId="0" xfId="0" applyFill="1" applyBorder="1"/>
    <xf numFmtId="8" fontId="0" fillId="5" borderId="0" xfId="0" applyNumberFormat="1" applyFill="1" applyBorder="1"/>
    <xf numFmtId="0" fontId="0" fillId="5" borderId="0" xfId="0" applyFill="1"/>
    <xf numFmtId="14" fontId="0" fillId="6" borderId="0" xfId="0" applyNumberFormat="1" applyFill="1"/>
    <xf numFmtId="0" fontId="0" fillId="6" borderId="0" xfId="0" applyFill="1"/>
    <xf numFmtId="8" fontId="0" fillId="6" borderId="0" xfId="0" applyNumberFormat="1" applyFill="1"/>
    <xf numFmtId="14" fontId="0" fillId="0" borderId="4" xfId="0" applyNumberFormat="1" applyBorder="1"/>
    <xf numFmtId="0" fontId="0" fillId="0" borderId="3" xfId="0" applyBorder="1"/>
    <xf numFmtId="8" fontId="0" fillId="0" borderId="3" xfId="0" applyNumberFormat="1" applyBorder="1"/>
    <xf numFmtId="0" fontId="0" fillId="0" borderId="3" xfId="0" applyFill="1" applyBorder="1"/>
    <xf numFmtId="2" fontId="0" fillId="0" borderId="3" xfId="0" applyNumberFormat="1" applyBorder="1"/>
    <xf numFmtId="2" fontId="0" fillId="0" borderId="0" xfId="0" applyNumberFormat="1" applyBorder="1"/>
    <xf numFmtId="2" fontId="0" fillId="0" borderId="0" xfId="0" applyNumberFormat="1"/>
    <xf numFmtId="0" fontId="4" fillId="0" borderId="0" xfId="0" applyFont="1" applyFill="1" applyBorder="1"/>
    <xf numFmtId="14" fontId="0" fillId="5" borderId="0" xfId="0" applyNumberFormat="1" applyFill="1"/>
    <xf numFmtId="8" fontId="0" fillId="5" borderId="0" xfId="0" applyNumberFormat="1" applyFill="1"/>
    <xf numFmtId="8" fontId="0" fillId="0" borderId="0" xfId="0" applyNumberFormat="1" applyFill="1"/>
    <xf numFmtId="14" fontId="4" fillId="0" borderId="0" xfId="0" applyNumberFormat="1" applyFont="1" applyFill="1" applyBorder="1"/>
    <xf numFmtId="14" fontId="4" fillId="7" borderId="0" xfId="0" applyNumberFormat="1" applyFont="1" applyFill="1" applyBorder="1"/>
    <xf numFmtId="0" fontId="4" fillId="7" borderId="0" xfId="0" applyFont="1" applyFill="1" applyBorder="1"/>
    <xf numFmtId="8" fontId="4" fillId="7" borderId="0" xfId="0" applyNumberFormat="1" applyFont="1" applyFill="1" applyBorder="1"/>
    <xf numFmtId="0" fontId="8" fillId="0" borderId="0" xfId="0" applyFont="1" applyFill="1" applyBorder="1"/>
    <xf numFmtId="8" fontId="8" fillId="0" borderId="0" xfId="0" applyNumberFormat="1" applyFont="1" applyFill="1" applyBorder="1"/>
    <xf numFmtId="14" fontId="0" fillId="6" borderId="0" xfId="0" applyNumberFormat="1" applyFill="1" applyBorder="1"/>
    <xf numFmtId="0" fontId="0" fillId="6" borderId="0" xfId="0" applyFill="1" applyBorder="1"/>
    <xf numFmtId="8" fontId="0" fillId="6" borderId="0" xfId="0" applyNumberFormat="1" applyFill="1" applyBorder="1"/>
    <xf numFmtId="14" fontId="0" fillId="0" borderId="0" xfId="0" applyNumberFormat="1" applyFill="1" applyBorder="1"/>
    <xf numFmtId="8" fontId="0" fillId="0" borderId="0" xfId="0" applyNumberFormat="1" applyFill="1" applyBorder="1"/>
    <xf numFmtId="2" fontId="0" fillId="0" borderId="0" xfId="0" applyNumberFormat="1" applyFill="1"/>
    <xf numFmtId="164" fontId="4" fillId="0" borderId="0" xfId="3" applyNumberFormat="1" applyFont="1" applyFill="1" applyBorder="1"/>
    <xf numFmtId="14" fontId="0" fillId="0" borderId="0" xfId="0" applyNumberFormat="1" applyFont="1" applyFill="1" applyBorder="1"/>
    <xf numFmtId="0" fontId="0" fillId="0" borderId="0" xfId="0" applyFont="1" applyFill="1" applyBorder="1"/>
    <xf numFmtId="8" fontId="0" fillId="0" borderId="0" xfId="0" applyNumberFormat="1" applyFont="1" applyFill="1" applyBorder="1"/>
    <xf numFmtId="2" fontId="0" fillId="5" borderId="0" xfId="0" applyNumberFormat="1" applyFill="1"/>
    <xf numFmtId="164" fontId="0" fillId="6" borderId="0" xfId="3" applyNumberFormat="1" applyFont="1" applyFill="1"/>
    <xf numFmtId="14" fontId="0" fillId="0" borderId="0" xfId="0" applyNumberFormat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165" fontId="0" fillId="0" borderId="0" xfId="0" applyNumberFormat="1"/>
    <xf numFmtId="8" fontId="0" fillId="0" borderId="0" xfId="2" applyNumberFormat="1" applyFont="1" applyAlignment="1">
      <alignment horizontal="center" vertical="center"/>
    </xf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Arial"/>
        <scheme val="none"/>
      </font>
      <numFmt numFmtId="12" formatCode="&quot;$&quot;#,##0.00_);[Red]\(&quot;$&quot;#,##0.00\)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33333"/>
        <name val="Arial"/>
        <scheme val="none"/>
      </font>
      <numFmt numFmtId="19" formatCode="m/d/yyyy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1" displayName="Table1" ref="A1:D2131" totalsRowShown="0" tableBorderDxfId="24">
  <autoFilter ref="A1:D2131"/>
  <sortState ref="A2:D2131">
    <sortCondition ref="B1:B2131"/>
  </sortState>
  <tableColumns count="4">
    <tableColumn id="1" name="ID" dataDxfId="23" dataCellStyle="Hyperlink"/>
    <tableColumn id="2" name="DATE" dataDxfId="22"/>
    <tableColumn id="3" name="NAME" dataDxfId="21" dataCellStyle="Hyperlink"/>
    <tableColumn id="4" name="AMOUNT" dataDxfId="20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dev.dashboard.evolvesolar.com/my-commissions.php?user_id=63&amp;payweek=2014-10-24" TargetMode="External"/><Relationship Id="rId3182" Type="http://schemas.openxmlformats.org/officeDocument/2006/relationships/hyperlink" Target="http://dev.dashboard.evolvesolar.com/my-commissions.php?user_id=192&amp;payweek=2014-07-31" TargetMode="External"/><Relationship Id="rId3999" Type="http://schemas.openxmlformats.org/officeDocument/2006/relationships/hyperlink" Target="http://dev.dashboard.evolvesolar.com/my-commissions.php?user_id=79&amp;payweek=2014-04-18" TargetMode="External"/><Relationship Id="rId170" Type="http://schemas.openxmlformats.org/officeDocument/2006/relationships/hyperlink" Target="http://dev.dashboard.evolvesolar.com/my-commissions.php?user_id=690&amp;payweek=2015-02-06" TargetMode="External"/><Relationship Id="rId987" Type="http://schemas.openxmlformats.org/officeDocument/2006/relationships/hyperlink" Target="http://dev.dashboard.evolvesolar.com/my-commissions.php?user_id=702&amp;payweek=2014-12-19" TargetMode="External"/><Relationship Id="rId2668" Type="http://schemas.openxmlformats.org/officeDocument/2006/relationships/hyperlink" Target="http://dev.dashboard.evolvesolar.com/my-commissions.php?user_id=391&amp;payweek=2014-09-04" TargetMode="External"/><Relationship Id="rId3719" Type="http://schemas.openxmlformats.org/officeDocument/2006/relationships/hyperlink" Target="http://dev.dashboard.evolvesolar.com/my-commissions.php?user_id=71&amp;payweek=2014-06-06" TargetMode="External"/><Relationship Id="rId4090" Type="http://schemas.openxmlformats.org/officeDocument/2006/relationships/hyperlink" Target="http://dev.dashboard.evolvesolar.com/my-commissions.php?user_id=79&amp;payweek=2014-03-07" TargetMode="External"/><Relationship Id="rId847" Type="http://schemas.openxmlformats.org/officeDocument/2006/relationships/hyperlink" Target="http://dev.dashboard.evolvesolar.com/my-commissions.php?user_id=646&amp;payweek=2014-12-26" TargetMode="External"/><Relationship Id="rId1477" Type="http://schemas.openxmlformats.org/officeDocument/2006/relationships/hyperlink" Target="http://dev.dashboard.evolvesolar.com/my-commissions.php?user_id=286&amp;payweek=2014-11-14" TargetMode="External"/><Relationship Id="rId1684" Type="http://schemas.openxmlformats.org/officeDocument/2006/relationships/hyperlink" Target="http://dev.dashboard.evolvesolar.com/my-commissions.php?user_id=650&amp;payweek=2014-11-07" TargetMode="External"/><Relationship Id="rId1891" Type="http://schemas.openxmlformats.org/officeDocument/2006/relationships/hyperlink" Target="http://dev.dashboard.evolvesolar.com/my-commissions.php?user_id=612&amp;payweek=2014-10-24" TargetMode="External"/><Relationship Id="rId2528" Type="http://schemas.openxmlformats.org/officeDocument/2006/relationships/hyperlink" Target="http://dev.dashboard.evolvesolar.com/my-commissions.php?user_id=407&amp;payweek=2014-09-12" TargetMode="External"/><Relationship Id="rId2735" Type="http://schemas.openxmlformats.org/officeDocument/2006/relationships/hyperlink" Target="http://dev.dashboard.evolvesolar.com/my-commissions.php?user_id=430&amp;payweek=2014-08-29" TargetMode="External"/><Relationship Id="rId2942" Type="http://schemas.openxmlformats.org/officeDocument/2006/relationships/hyperlink" Target="http://dev.dashboard.evolvesolar.com/my-commissions.php?user_id=180&amp;payweek=2014-08-15" TargetMode="External"/><Relationship Id="rId707" Type="http://schemas.openxmlformats.org/officeDocument/2006/relationships/hyperlink" Target="http://dev.dashboard.evolvesolar.com/my-commissions.php?user_id=453&amp;payweek=2014-12-31" TargetMode="External"/><Relationship Id="rId914" Type="http://schemas.openxmlformats.org/officeDocument/2006/relationships/hyperlink" Target="http://dev.dashboard.evolvesolar.com/my-commissions.php?user_id=378&amp;payweek=2014-12-22" TargetMode="External"/><Relationship Id="rId1337" Type="http://schemas.openxmlformats.org/officeDocument/2006/relationships/hyperlink" Target="http://dev.dashboard.evolvesolar.com/my-commissions.php?user_id=269&amp;payweek=2014-11-21" TargetMode="External"/><Relationship Id="rId1544" Type="http://schemas.openxmlformats.org/officeDocument/2006/relationships/hyperlink" Target="http://dev.dashboard.evolvesolar.com/my-commissions.php?user_id=696&amp;payweek=2014-11-14" TargetMode="External"/><Relationship Id="rId1751" Type="http://schemas.openxmlformats.org/officeDocument/2006/relationships/hyperlink" Target="http://dev.dashboard.evolvesolar.com/my-commissions.php?user_id=355&amp;payweek=2014-10-31" TargetMode="External"/><Relationship Id="rId2802" Type="http://schemas.openxmlformats.org/officeDocument/2006/relationships/hyperlink" Target="http://dev.dashboard.evolvesolar.com/my-commissions.php?user_id=41&amp;payweek=2014-08-22" TargetMode="External"/><Relationship Id="rId43" Type="http://schemas.openxmlformats.org/officeDocument/2006/relationships/hyperlink" Target="http://dev.dashboard.evolvesolar.com/my-commissions.php?user_id=152&amp;payweek=2015-02-06" TargetMode="External"/><Relationship Id="rId1404" Type="http://schemas.openxmlformats.org/officeDocument/2006/relationships/hyperlink" Target="http://dev.dashboard.evolvesolar.com/my-commissions.php?user_id=703&amp;payweek=2014-11-21" TargetMode="External"/><Relationship Id="rId1611" Type="http://schemas.openxmlformats.org/officeDocument/2006/relationships/hyperlink" Target="http://dev.dashboard.evolvesolar.com/my-commissions.php?user_id=211&amp;payweek=2014-11-07" TargetMode="External"/><Relationship Id="rId3369" Type="http://schemas.openxmlformats.org/officeDocument/2006/relationships/hyperlink" Target="http://dev.dashboard.evolvesolar.com/my-commissions.php?user_id=37&amp;payweek=2014-07-11" TargetMode="External"/><Relationship Id="rId3576" Type="http://schemas.openxmlformats.org/officeDocument/2006/relationships/hyperlink" Target="http://dev.dashboard.evolvesolar.com/my-commissions.php?user_id=152&amp;payweek=2014-06-20" TargetMode="External"/><Relationship Id="rId497" Type="http://schemas.openxmlformats.org/officeDocument/2006/relationships/hyperlink" Target="http://dev.dashboard.evolvesolar.com/my-commissions.php?user_id=711&amp;payweek=2015-01-15" TargetMode="External"/><Relationship Id="rId2178" Type="http://schemas.openxmlformats.org/officeDocument/2006/relationships/hyperlink" Target="http://dev.dashboard.evolvesolar.com/my-commissions.php?user_id=282&amp;payweek=2014-10-06" TargetMode="External"/><Relationship Id="rId2385" Type="http://schemas.openxmlformats.org/officeDocument/2006/relationships/hyperlink" Target="http://dev.dashboard.evolvesolar.com/my-commissions.php?user_id=180&amp;payweek=2014-09-19" TargetMode="External"/><Relationship Id="rId3229" Type="http://schemas.openxmlformats.org/officeDocument/2006/relationships/hyperlink" Target="http://dev.dashboard.evolvesolar.com/my-commissions.php?user_id=94&amp;payweek=2014-07-25" TargetMode="External"/><Relationship Id="rId3783" Type="http://schemas.openxmlformats.org/officeDocument/2006/relationships/hyperlink" Target="http://dev.dashboard.evolvesolar.com/my-commissions.php?user_id=41&amp;payweek=2014-05-30" TargetMode="External"/><Relationship Id="rId3990" Type="http://schemas.openxmlformats.org/officeDocument/2006/relationships/hyperlink" Target="http://dev.dashboard.evolvesolar.com/my-commissions.php?user_id=100&amp;payweek=2014-04-24" TargetMode="External"/><Relationship Id="rId357" Type="http://schemas.openxmlformats.org/officeDocument/2006/relationships/hyperlink" Target="http://dev.dashboard.evolvesolar.com/my-commissions.php?user_id=133&amp;payweek=2015-01-23" TargetMode="External"/><Relationship Id="rId1194" Type="http://schemas.openxmlformats.org/officeDocument/2006/relationships/hyperlink" Target="http://dev.dashboard.evolvesolar.com/my-commissions.php?user_id=807&amp;payweek=2014-12-05" TargetMode="External"/><Relationship Id="rId2038" Type="http://schemas.openxmlformats.org/officeDocument/2006/relationships/hyperlink" Target="http://dev.dashboard.evolvesolar.com/my-commissions.php?user_id=653&amp;payweek=2014-10-17" TargetMode="External"/><Relationship Id="rId2592" Type="http://schemas.openxmlformats.org/officeDocument/2006/relationships/hyperlink" Target="http://dev.dashboard.evolvesolar.com/my-commissions.php?user_id=85&amp;payweek=2014-09-05" TargetMode="External"/><Relationship Id="rId3436" Type="http://schemas.openxmlformats.org/officeDocument/2006/relationships/hyperlink" Target="http://dev.dashboard.evolvesolar.com/my-commissions.php?user_id=276&amp;payweek=2014-07-11" TargetMode="External"/><Relationship Id="rId3643" Type="http://schemas.openxmlformats.org/officeDocument/2006/relationships/hyperlink" Target="http://dev.dashboard.evolvesolar.com/my-commissions.php?user_id=83&amp;payweek=2014-06-13" TargetMode="External"/><Relationship Id="rId3850" Type="http://schemas.openxmlformats.org/officeDocument/2006/relationships/hyperlink" Target="http://dev.dashboard.evolvesolar.com/my-commissions.php?user_id=87&amp;payweek=2014-05-23" TargetMode="External"/><Relationship Id="rId217" Type="http://schemas.openxmlformats.org/officeDocument/2006/relationships/hyperlink" Target="http://dev.dashboard.evolvesolar.com/my-commissions.php?user_id=949&amp;payweek=2015-02-06" TargetMode="External"/><Relationship Id="rId564" Type="http://schemas.openxmlformats.org/officeDocument/2006/relationships/hyperlink" Target="http://dev.dashboard.evolvesolar.com/my-commissions.php?user_id=382&amp;payweek=2015-01-09" TargetMode="External"/><Relationship Id="rId771" Type="http://schemas.openxmlformats.org/officeDocument/2006/relationships/hyperlink" Target="http://dev.dashboard.evolvesolar.com/my-commissions.php?user_id=161&amp;payweek=2014-12-26" TargetMode="External"/><Relationship Id="rId2245" Type="http://schemas.openxmlformats.org/officeDocument/2006/relationships/hyperlink" Target="http://dev.dashboard.evolvesolar.com/my-commissions.php?user_id=458&amp;payweek=2014-10-03" TargetMode="External"/><Relationship Id="rId2452" Type="http://schemas.openxmlformats.org/officeDocument/2006/relationships/hyperlink" Target="http://dev.dashboard.evolvesolar.com/my-commissions.php?user_id=77&amp;payweek=2014-09-12" TargetMode="External"/><Relationship Id="rId3503" Type="http://schemas.openxmlformats.org/officeDocument/2006/relationships/hyperlink" Target="http://dev.dashboard.evolvesolar.com/my-commissions.php?user_id=148&amp;payweek=2014-06-27" TargetMode="External"/><Relationship Id="rId3710" Type="http://schemas.openxmlformats.org/officeDocument/2006/relationships/hyperlink" Target="http://dev.dashboard.evolvesolar.com/my-commissions.php?user_id=50&amp;payweek=2014-06-06" TargetMode="External"/><Relationship Id="rId424" Type="http://schemas.openxmlformats.org/officeDocument/2006/relationships/hyperlink" Target="http://dev.dashboard.evolvesolar.com/my-commissions.php?user_id=817&amp;payweek=2015-01-23" TargetMode="External"/><Relationship Id="rId631" Type="http://schemas.openxmlformats.org/officeDocument/2006/relationships/hyperlink" Target="http://dev.dashboard.evolvesolar.com/my-commissions.php?user_id=817&amp;payweek=2015-01-09" TargetMode="External"/><Relationship Id="rId1054" Type="http://schemas.openxmlformats.org/officeDocument/2006/relationships/hyperlink" Target="http://dev.dashboard.evolvesolar.com/my-commissions.php?user_id=475&amp;payweek=2014-12-12" TargetMode="External"/><Relationship Id="rId1261" Type="http://schemas.openxmlformats.org/officeDocument/2006/relationships/hyperlink" Target="http://dev.dashboard.evolvesolar.com/my-commissions.php?user_id=392&amp;payweek=2014-11-25" TargetMode="External"/><Relationship Id="rId2105" Type="http://schemas.openxmlformats.org/officeDocument/2006/relationships/hyperlink" Target="http://dev.dashboard.evolvesolar.com/my-commissions.php?user_id=401&amp;payweek=2014-10-10" TargetMode="External"/><Relationship Id="rId2312" Type="http://schemas.openxmlformats.org/officeDocument/2006/relationships/hyperlink" Target="http://dev.dashboard.evolvesolar.com/my-commissions.php?user_id=397&amp;payweek=2014-09-25" TargetMode="External"/><Relationship Id="rId1121" Type="http://schemas.openxmlformats.org/officeDocument/2006/relationships/hyperlink" Target="http://dev.dashboard.evolvesolar.com/my-commissions.php?user_id=250&amp;payweek=2014-12-05" TargetMode="External"/><Relationship Id="rId3086" Type="http://schemas.openxmlformats.org/officeDocument/2006/relationships/hyperlink" Target="http://dev.dashboard.evolvesolar.com/my-commissions.php?user_id=217&amp;payweek=2014-08-07" TargetMode="External"/><Relationship Id="rId3293" Type="http://schemas.openxmlformats.org/officeDocument/2006/relationships/hyperlink" Target="http://dev.dashboard.evolvesolar.com/my-commissions.php?user_id=396&amp;payweek=2014-07-25" TargetMode="External"/><Relationship Id="rId1938" Type="http://schemas.openxmlformats.org/officeDocument/2006/relationships/hyperlink" Target="http://dev.dashboard.evolvesolar.com/my-commissions.php?user_id=664&amp;payweek=2014-10-20" TargetMode="External"/><Relationship Id="rId3153" Type="http://schemas.openxmlformats.org/officeDocument/2006/relationships/hyperlink" Target="http://dev.dashboard.evolvesolar.com/my-commissions.php?user_id=28&amp;payweek=2014-07-31" TargetMode="External"/><Relationship Id="rId3360" Type="http://schemas.openxmlformats.org/officeDocument/2006/relationships/hyperlink" Target="http://dev.dashboard.evolvesolar.com/my-commissions.php?user_id=263&amp;payweek=2014-07-18" TargetMode="External"/><Relationship Id="rId281" Type="http://schemas.openxmlformats.org/officeDocument/2006/relationships/hyperlink" Target="http://dev.dashboard.evolvesolar.com/my-commissions.php?user_id=593&amp;payweek=2015-01-30" TargetMode="External"/><Relationship Id="rId3013" Type="http://schemas.openxmlformats.org/officeDocument/2006/relationships/hyperlink" Target="http://dev.dashboard.evolvesolar.com/my-commissions.php?user_id=383&amp;payweek=2014-08-11" TargetMode="External"/><Relationship Id="rId141" Type="http://schemas.openxmlformats.org/officeDocument/2006/relationships/hyperlink" Target="http://dev.dashboard.evolvesolar.com/my-commissions.php?user_id=599&amp;payweek=2015-02-06" TargetMode="External"/><Relationship Id="rId3220" Type="http://schemas.openxmlformats.org/officeDocument/2006/relationships/hyperlink" Target="http://dev.dashboard.evolvesolar.com/my-commissions.php?user_id=396&amp;payweek=2014-07-31" TargetMode="External"/><Relationship Id="rId7" Type="http://schemas.openxmlformats.org/officeDocument/2006/relationships/hyperlink" Target="http://dev.dashboard.evolvesolar.com/my-commissions.php?user_id=37&amp;payweek=2015-02-06" TargetMode="External"/><Relationship Id="rId2779" Type="http://schemas.openxmlformats.org/officeDocument/2006/relationships/hyperlink" Target="http://dev.dashboard.evolvesolar.com/my-commissions.php?user_id=304&amp;payweek=2014-08-28" TargetMode="External"/><Relationship Id="rId2986" Type="http://schemas.openxmlformats.org/officeDocument/2006/relationships/hyperlink" Target="http://dev.dashboard.evolvesolar.com/my-commissions.php?user_id=232&amp;payweek=2014-08-14" TargetMode="External"/><Relationship Id="rId958" Type="http://schemas.openxmlformats.org/officeDocument/2006/relationships/hyperlink" Target="http://dev.dashboard.evolvesolar.com/my-commissions.php?user_id=202&amp;payweek=2014-12-19" TargetMode="External"/><Relationship Id="rId1588" Type="http://schemas.openxmlformats.org/officeDocument/2006/relationships/hyperlink" Target="http://dev.dashboard.evolvesolar.com/my-commissions.php?user_id=383&amp;payweek=2014-11-10" TargetMode="External"/><Relationship Id="rId1795" Type="http://schemas.openxmlformats.org/officeDocument/2006/relationships/hyperlink" Target="http://dev.dashboard.evolvesolar.com/my-commissions.php?user_id=612&amp;payweek=2014-10-31" TargetMode="External"/><Relationship Id="rId2639" Type="http://schemas.openxmlformats.org/officeDocument/2006/relationships/hyperlink" Target="http://dev.dashboard.evolvesolar.com/my-commissions.php?user_id=225&amp;payweek=2014-09-04" TargetMode="External"/><Relationship Id="rId2846" Type="http://schemas.openxmlformats.org/officeDocument/2006/relationships/hyperlink" Target="http://dev.dashboard.evolvesolar.com/my-commissions.php?user_id=244&amp;payweek=2014-08-22" TargetMode="External"/><Relationship Id="rId87" Type="http://schemas.openxmlformats.org/officeDocument/2006/relationships/hyperlink" Target="http://dev.dashboard.evolvesolar.com/my-commissions.php?user_id=324&amp;payweek=2015-02-06" TargetMode="External"/><Relationship Id="rId818" Type="http://schemas.openxmlformats.org/officeDocument/2006/relationships/hyperlink" Target="http://dev.dashboard.evolvesolar.com/my-commissions.php?user_id=428&amp;payweek=2014-12-26" TargetMode="External"/><Relationship Id="rId1448" Type="http://schemas.openxmlformats.org/officeDocument/2006/relationships/hyperlink" Target="http://dev.dashboard.evolvesolar.com/my-commissions.php?user_id=104&amp;payweek=2014-11-14" TargetMode="External"/><Relationship Id="rId1655" Type="http://schemas.openxmlformats.org/officeDocument/2006/relationships/hyperlink" Target="http://dev.dashboard.evolvesolar.com/my-commissions.php?user_id=553&amp;payweek=2014-11-07" TargetMode="External"/><Relationship Id="rId2706" Type="http://schemas.openxmlformats.org/officeDocument/2006/relationships/hyperlink" Target="http://dev.dashboard.evolvesolar.com/my-commissions.php?user_id=254&amp;payweek=2014-08-29" TargetMode="External"/><Relationship Id="rId4061" Type="http://schemas.openxmlformats.org/officeDocument/2006/relationships/hyperlink" Target="http://dev.dashboard.evolvesolar.com/my-commissions.php?user_id=257&amp;payweek=2014-04-03" TargetMode="External"/><Relationship Id="rId1308" Type="http://schemas.openxmlformats.org/officeDocument/2006/relationships/hyperlink" Target="http://dev.dashboard.evolvesolar.com/my-commissions.php?user_id=295&amp;payweek=2014-11-23" TargetMode="External"/><Relationship Id="rId1862" Type="http://schemas.openxmlformats.org/officeDocument/2006/relationships/hyperlink" Target="http://dev.dashboard.evolvesolar.com/my-commissions.php?user_id=397&amp;payweek=2014-10-24" TargetMode="External"/><Relationship Id="rId2913" Type="http://schemas.openxmlformats.org/officeDocument/2006/relationships/hyperlink" Target="http://dev.dashboard.evolvesolar.com/my-commissions.php?user_id=640&amp;payweek=2014-08-22" TargetMode="External"/><Relationship Id="rId1515" Type="http://schemas.openxmlformats.org/officeDocument/2006/relationships/hyperlink" Target="http://dev.dashboard.evolvesolar.com/my-commissions.php?user_id=586&amp;payweek=2014-11-14" TargetMode="External"/><Relationship Id="rId1722" Type="http://schemas.openxmlformats.org/officeDocument/2006/relationships/hyperlink" Target="http://dev.dashboard.evolvesolar.com/my-commissions.php?user_id=212&amp;payweek=2014-11-03" TargetMode="External"/><Relationship Id="rId14" Type="http://schemas.openxmlformats.org/officeDocument/2006/relationships/hyperlink" Target="http://dev.dashboard.evolvesolar.com/my-commissions.php?user_id=77&amp;payweek=2015-02-06" TargetMode="External"/><Relationship Id="rId3687" Type="http://schemas.openxmlformats.org/officeDocument/2006/relationships/hyperlink" Target="http://dev.dashboard.evolvesolar.com/my-commissions.php?user_id=149&amp;payweek=2014-06-13" TargetMode="External"/><Relationship Id="rId3894" Type="http://schemas.openxmlformats.org/officeDocument/2006/relationships/hyperlink" Target="http://dev.dashboard.evolvesolar.com/my-commissions.php?user_id=108&amp;payweek=2014-05-16" TargetMode="External"/><Relationship Id="rId2289" Type="http://schemas.openxmlformats.org/officeDocument/2006/relationships/hyperlink" Target="http://dev.dashboard.evolvesolar.com/my-commissions.php?user_id=248&amp;payweek=2014-09-25" TargetMode="External"/><Relationship Id="rId2496" Type="http://schemas.openxmlformats.org/officeDocument/2006/relationships/hyperlink" Target="http://dev.dashboard.evolvesolar.com/my-commissions.php?user_id=347&amp;payweek=2014-09-12" TargetMode="External"/><Relationship Id="rId3547" Type="http://schemas.openxmlformats.org/officeDocument/2006/relationships/hyperlink" Target="http://dev.dashboard.evolvesolar.com/my-commissions.php?user_id=108&amp;payweek=2014-06-20" TargetMode="External"/><Relationship Id="rId3754" Type="http://schemas.openxmlformats.org/officeDocument/2006/relationships/hyperlink" Target="http://dev.dashboard.evolvesolar.com/my-commissions.php?user_id=119&amp;payweek=2014-06-06" TargetMode="External"/><Relationship Id="rId3961" Type="http://schemas.openxmlformats.org/officeDocument/2006/relationships/hyperlink" Target="http://dev.dashboard.evolvesolar.com/my-commissions.php?user_id=95&amp;payweek=2014-05-02" TargetMode="External"/><Relationship Id="rId468" Type="http://schemas.openxmlformats.org/officeDocument/2006/relationships/hyperlink" Target="http://dev.dashboard.evolvesolar.com/my-commissions.php?user_id=458&amp;payweek=2015-01-15" TargetMode="External"/><Relationship Id="rId675" Type="http://schemas.openxmlformats.org/officeDocument/2006/relationships/hyperlink" Target="http://dev.dashboard.evolvesolar.com/my-commissions.php?user_id=219&amp;payweek=2014-12-31" TargetMode="External"/><Relationship Id="rId882" Type="http://schemas.openxmlformats.org/officeDocument/2006/relationships/hyperlink" Target="http://dev.dashboard.evolvesolar.com/my-commissions.php?user_id=857&amp;payweek=2014-12-26" TargetMode="External"/><Relationship Id="rId1098" Type="http://schemas.openxmlformats.org/officeDocument/2006/relationships/hyperlink" Target="http://dev.dashboard.evolvesolar.com/my-commissions.php?user_id=823&amp;payweek=2014-12-12" TargetMode="External"/><Relationship Id="rId2149" Type="http://schemas.openxmlformats.org/officeDocument/2006/relationships/hyperlink" Target="http://dev.dashboard.evolvesolar.com/my-commissions.php?user_id=650&amp;payweek=2014-10-10" TargetMode="External"/><Relationship Id="rId2356" Type="http://schemas.openxmlformats.org/officeDocument/2006/relationships/hyperlink" Target="http://dev.dashboard.evolvesolar.com/my-commissions.php?user_id=615&amp;payweek=2014-09-25" TargetMode="External"/><Relationship Id="rId2563" Type="http://schemas.openxmlformats.org/officeDocument/2006/relationships/hyperlink" Target="http://dev.dashboard.evolvesolar.com/my-commissions.php?user_id=580&amp;payweek=2014-09-12" TargetMode="External"/><Relationship Id="rId2770" Type="http://schemas.openxmlformats.org/officeDocument/2006/relationships/hyperlink" Target="http://dev.dashboard.evolvesolar.com/my-commissions.php?user_id=234&amp;payweek=2014-08-28" TargetMode="External"/><Relationship Id="rId3407" Type="http://schemas.openxmlformats.org/officeDocument/2006/relationships/hyperlink" Target="http://dev.dashboard.evolvesolar.com/my-commissions.php?user_id=185&amp;payweek=2014-07-11" TargetMode="External"/><Relationship Id="rId3614" Type="http://schemas.openxmlformats.org/officeDocument/2006/relationships/hyperlink" Target="http://dev.dashboard.evolvesolar.com/my-commissions.php?user_id=164&amp;payweek=2014-06-16" TargetMode="External"/><Relationship Id="rId3821" Type="http://schemas.openxmlformats.org/officeDocument/2006/relationships/hyperlink" Target="http://dev.dashboard.evolvesolar.com/my-commissions.php?user_id=130&amp;payweek=2014-05-30" TargetMode="External"/><Relationship Id="rId328" Type="http://schemas.openxmlformats.org/officeDocument/2006/relationships/hyperlink" Target="http://dev.dashboard.evolvesolar.com/my-commissions.php?user_id=894&amp;payweek=2015-01-30" TargetMode="External"/><Relationship Id="rId535" Type="http://schemas.openxmlformats.org/officeDocument/2006/relationships/hyperlink" Target="http://dev.dashboard.evolvesolar.com/my-commissions.php?user_id=179&amp;payweek=2015-01-09" TargetMode="External"/><Relationship Id="rId742" Type="http://schemas.openxmlformats.org/officeDocument/2006/relationships/hyperlink" Target="http://dev.dashboard.evolvesolar.com/my-commissions.php?user_id=714&amp;payweek=2014-12-31" TargetMode="External"/><Relationship Id="rId1165" Type="http://schemas.openxmlformats.org/officeDocument/2006/relationships/hyperlink" Target="http://dev.dashboard.evolvesolar.com/my-commissions.php?user_id=676&amp;payweek=2014-12-05" TargetMode="External"/><Relationship Id="rId1372" Type="http://schemas.openxmlformats.org/officeDocument/2006/relationships/hyperlink" Target="http://dev.dashboard.evolvesolar.com/my-commissions.php?user_id=530&amp;payweek=2014-11-21" TargetMode="External"/><Relationship Id="rId2009" Type="http://schemas.openxmlformats.org/officeDocument/2006/relationships/hyperlink" Target="http://dev.dashboard.evolvesolar.com/my-commissions.php?user_id=422&amp;payweek=2014-10-17" TargetMode="External"/><Relationship Id="rId2216" Type="http://schemas.openxmlformats.org/officeDocument/2006/relationships/hyperlink" Target="http://dev.dashboard.evolvesolar.com/my-commissions.php?user_id=580&amp;payweek=2014-10-06" TargetMode="External"/><Relationship Id="rId2423" Type="http://schemas.openxmlformats.org/officeDocument/2006/relationships/hyperlink" Target="http://dev.dashboard.evolvesolar.com/my-commissions.php?user_id=410&amp;payweek=2014-09-19" TargetMode="External"/><Relationship Id="rId2630" Type="http://schemas.openxmlformats.org/officeDocument/2006/relationships/hyperlink" Target="http://dev.dashboard.evolvesolar.com/my-commissions.php?user_id=185&amp;payweek=2014-09-04" TargetMode="External"/><Relationship Id="rId602" Type="http://schemas.openxmlformats.org/officeDocument/2006/relationships/hyperlink" Target="http://dev.dashboard.evolvesolar.com/my-commissions.php?user_id=648&amp;payweek=2015-01-09" TargetMode="External"/><Relationship Id="rId1025" Type="http://schemas.openxmlformats.org/officeDocument/2006/relationships/hyperlink" Target="http://dev.dashboard.evolvesolar.com/my-commissions.php?user_id=261&amp;payweek=2014-12-12" TargetMode="External"/><Relationship Id="rId1232" Type="http://schemas.openxmlformats.org/officeDocument/2006/relationships/hyperlink" Target="http://dev.dashboard.evolvesolar.com/my-commissions.php?user_id=691&amp;payweek=2014-11-28" TargetMode="External"/><Relationship Id="rId3197" Type="http://schemas.openxmlformats.org/officeDocument/2006/relationships/hyperlink" Target="http://dev.dashboard.evolvesolar.com/my-commissions.php?user_id=231&amp;payweek=2014-07-31" TargetMode="External"/><Relationship Id="rId3057" Type="http://schemas.openxmlformats.org/officeDocument/2006/relationships/hyperlink" Target="http://dev.dashboard.evolvesolar.com/my-commissions.php?user_id=319&amp;payweek=2014-08-08" TargetMode="External"/><Relationship Id="rId4108" Type="http://schemas.openxmlformats.org/officeDocument/2006/relationships/hyperlink" Target="http://dev.dashboard.evolvesolar.com/my-commissions.php?user_id=212&amp;payweek=2014-01-06" TargetMode="External"/><Relationship Id="rId185" Type="http://schemas.openxmlformats.org/officeDocument/2006/relationships/hyperlink" Target="http://dev.dashboard.evolvesolar.com/my-commissions.php?user_id=823&amp;payweek=2015-02-06" TargetMode="External"/><Relationship Id="rId1909" Type="http://schemas.openxmlformats.org/officeDocument/2006/relationships/hyperlink" Target="http://dev.dashboard.evolvesolar.com/my-commissions.php?user_id=672&amp;payweek=2014-10-24" TargetMode="External"/><Relationship Id="rId3264" Type="http://schemas.openxmlformats.org/officeDocument/2006/relationships/hyperlink" Target="http://dev.dashboard.evolvesolar.com/my-commissions.php?user_id=213&amp;payweek=2014-07-25" TargetMode="External"/><Relationship Id="rId3471" Type="http://schemas.openxmlformats.org/officeDocument/2006/relationships/hyperlink" Target="http://dev.dashboard.evolvesolar.com/my-commissions.php?user_id=185&amp;payweek=2014-07-03" TargetMode="External"/><Relationship Id="rId392" Type="http://schemas.openxmlformats.org/officeDocument/2006/relationships/hyperlink" Target="http://dev.dashboard.evolvesolar.com/my-commissions.php?user_id=530&amp;payweek=2015-01-23" TargetMode="External"/><Relationship Id="rId2073" Type="http://schemas.openxmlformats.org/officeDocument/2006/relationships/hyperlink" Target="http://dev.dashboard.evolvesolar.com/my-commissions.php?user_id=217&amp;payweek=2014-10-10" TargetMode="External"/><Relationship Id="rId2280" Type="http://schemas.openxmlformats.org/officeDocument/2006/relationships/hyperlink" Target="http://dev.dashboard.evolvesolar.com/my-commissions.php?user_id=464&amp;payweek=2014-09-26" TargetMode="External"/><Relationship Id="rId3124" Type="http://schemas.openxmlformats.org/officeDocument/2006/relationships/hyperlink" Target="http://dev.dashboard.evolvesolar.com/my-commissions.php?user_id=211&amp;payweek=2014-08-04" TargetMode="External"/><Relationship Id="rId3331" Type="http://schemas.openxmlformats.org/officeDocument/2006/relationships/hyperlink" Target="http://dev.dashboard.evolvesolar.com/my-commissions.php?user_id=202&amp;payweek=2014-07-18" TargetMode="External"/><Relationship Id="rId252" Type="http://schemas.openxmlformats.org/officeDocument/2006/relationships/hyperlink" Target="http://dev.dashboard.evolvesolar.com/my-commissions.php?user_id=203&amp;payweek=2015-01-30" TargetMode="External"/><Relationship Id="rId2140" Type="http://schemas.openxmlformats.org/officeDocument/2006/relationships/hyperlink" Target="http://dev.dashboard.evolvesolar.com/my-commissions.php?user_id=614&amp;payweek=2014-10-10" TargetMode="External"/><Relationship Id="rId112" Type="http://schemas.openxmlformats.org/officeDocument/2006/relationships/hyperlink" Target="http://dev.dashboard.evolvesolar.com/my-commissions.php?user_id=417&amp;payweek=2015-02-06" TargetMode="External"/><Relationship Id="rId1699" Type="http://schemas.openxmlformats.org/officeDocument/2006/relationships/hyperlink" Target="http://dev.dashboard.evolvesolar.com/my-commissions.php?user_id=705&amp;payweek=2014-11-07" TargetMode="External"/><Relationship Id="rId2000" Type="http://schemas.openxmlformats.org/officeDocument/2006/relationships/hyperlink" Target="http://dev.dashboard.evolvesolar.com/my-commissions.php?user_id=365&amp;payweek=2014-10-17" TargetMode="External"/><Relationship Id="rId2957" Type="http://schemas.openxmlformats.org/officeDocument/2006/relationships/hyperlink" Target="http://dev.dashboard.evolvesolar.com/my-commissions.php?user_id=261&amp;payweek=2014-08-15" TargetMode="External"/><Relationship Id="rId929" Type="http://schemas.openxmlformats.org/officeDocument/2006/relationships/hyperlink" Target="http://dev.dashboard.evolvesolar.com/my-commissions.php?user_id=679&amp;payweek=2014-12-22" TargetMode="External"/><Relationship Id="rId1559" Type="http://schemas.openxmlformats.org/officeDocument/2006/relationships/hyperlink" Target="http://dev.dashboard.evolvesolar.com/my-commissions.php?user_id=725&amp;payweek=2014-11-14" TargetMode="External"/><Relationship Id="rId1766" Type="http://schemas.openxmlformats.org/officeDocument/2006/relationships/hyperlink" Target="http://dev.dashboard.evolvesolar.com/my-commissions.php?user_id=438&amp;payweek=2014-10-31" TargetMode="External"/><Relationship Id="rId1973" Type="http://schemas.openxmlformats.org/officeDocument/2006/relationships/hyperlink" Target="http://dev.dashboard.evolvesolar.com/my-commissions.php?user_id=202&amp;payweek=2014-10-17" TargetMode="External"/><Relationship Id="rId2817" Type="http://schemas.openxmlformats.org/officeDocument/2006/relationships/hyperlink" Target="http://dev.dashboard.evolvesolar.com/my-commissions.php?user_id=206&amp;payweek=2014-08-22" TargetMode="External"/><Relationship Id="rId4032" Type="http://schemas.openxmlformats.org/officeDocument/2006/relationships/hyperlink" Target="http://dev.dashboard.evolvesolar.com/my-commissions.php?user_id=101&amp;payweek=2014-04-11" TargetMode="External"/><Relationship Id="rId58" Type="http://schemas.openxmlformats.org/officeDocument/2006/relationships/hyperlink" Target="http://dev.dashboard.evolvesolar.com/my-commissions.php?user_id=217&amp;payweek=2015-02-06" TargetMode="External"/><Relationship Id="rId1419" Type="http://schemas.openxmlformats.org/officeDocument/2006/relationships/hyperlink" Target="http://dev.dashboard.evolvesolar.com/my-commissions.php?user_id=790&amp;payweek=2014-11-21" TargetMode="External"/><Relationship Id="rId1626" Type="http://schemas.openxmlformats.org/officeDocument/2006/relationships/hyperlink" Target="http://dev.dashboard.evolvesolar.com/my-commissions.php?user_id=352&amp;payweek=2014-11-07" TargetMode="External"/><Relationship Id="rId1833" Type="http://schemas.openxmlformats.org/officeDocument/2006/relationships/hyperlink" Target="http://dev.dashboard.evolvesolar.com/my-commissions.php?user_id=175&amp;payweek=2014-10-24" TargetMode="External"/><Relationship Id="rId1900" Type="http://schemas.openxmlformats.org/officeDocument/2006/relationships/hyperlink" Target="http://dev.dashboard.evolvesolar.com/my-commissions.php?user_id=635&amp;payweek=2014-10-24" TargetMode="External"/><Relationship Id="rId3798" Type="http://schemas.openxmlformats.org/officeDocument/2006/relationships/hyperlink" Target="http://dev.dashboard.evolvesolar.com/my-commissions.php?user_id=88&amp;payweek=2014-05-30" TargetMode="External"/><Relationship Id="rId3658" Type="http://schemas.openxmlformats.org/officeDocument/2006/relationships/hyperlink" Target="http://dev.dashboard.evolvesolar.com/my-commissions.php?user_id=113&amp;payweek=2014-06-13" TargetMode="External"/><Relationship Id="rId3865" Type="http://schemas.openxmlformats.org/officeDocument/2006/relationships/hyperlink" Target="http://dev.dashboard.evolvesolar.com/my-commissions.php?user_id=116&amp;payweek=2014-05-23" TargetMode="External"/><Relationship Id="rId579" Type="http://schemas.openxmlformats.org/officeDocument/2006/relationships/hyperlink" Target="http://dev.dashboard.evolvesolar.com/my-commissions.php?user_id=468&amp;payweek=2015-01-09" TargetMode="External"/><Relationship Id="rId786" Type="http://schemas.openxmlformats.org/officeDocument/2006/relationships/hyperlink" Target="http://dev.dashboard.evolvesolar.com/my-commissions.php?user_id=268&amp;payweek=2014-12-26" TargetMode="External"/><Relationship Id="rId993" Type="http://schemas.openxmlformats.org/officeDocument/2006/relationships/hyperlink" Target="http://dev.dashboard.evolvesolar.com/my-commissions.php?user_id=890&amp;payweek=2014-12-15" TargetMode="External"/><Relationship Id="rId2467" Type="http://schemas.openxmlformats.org/officeDocument/2006/relationships/hyperlink" Target="http://dev.dashboard.evolvesolar.com/my-commissions.php?user_id=231&amp;payweek=2014-09-12" TargetMode="External"/><Relationship Id="rId2674" Type="http://schemas.openxmlformats.org/officeDocument/2006/relationships/hyperlink" Target="http://dev.dashboard.evolvesolar.com/my-commissions.php?user_id=401&amp;payweek=2014-09-04" TargetMode="External"/><Relationship Id="rId3518" Type="http://schemas.openxmlformats.org/officeDocument/2006/relationships/hyperlink" Target="http://dev.dashboard.evolvesolar.com/my-commissions.php?user_id=79&amp;payweek=2014-06-23" TargetMode="External"/><Relationship Id="rId439" Type="http://schemas.openxmlformats.org/officeDocument/2006/relationships/hyperlink" Target="http://dev.dashboard.evolvesolar.com/my-commissions.php?user_id=41&amp;payweek=2015-01-15" TargetMode="External"/><Relationship Id="rId646" Type="http://schemas.openxmlformats.org/officeDocument/2006/relationships/hyperlink" Target="http://dev.dashboard.evolvesolar.com/my-commissions.php?user_id=389&amp;payweek=2015-01-02" TargetMode="External"/><Relationship Id="rId1069" Type="http://schemas.openxmlformats.org/officeDocument/2006/relationships/hyperlink" Target="http://dev.dashboard.evolvesolar.com/my-commissions.php?user_id=632&amp;payweek=2014-12-12" TargetMode="External"/><Relationship Id="rId1276" Type="http://schemas.openxmlformats.org/officeDocument/2006/relationships/hyperlink" Target="http://dev.dashboard.evolvesolar.com/my-commissions.php?user_id=664&amp;payweek=2014-11-25" TargetMode="External"/><Relationship Id="rId1483" Type="http://schemas.openxmlformats.org/officeDocument/2006/relationships/hyperlink" Target="http://dev.dashboard.evolvesolar.com/my-commissions.php?user_id=321&amp;payweek=2014-11-14" TargetMode="External"/><Relationship Id="rId2327" Type="http://schemas.openxmlformats.org/officeDocument/2006/relationships/hyperlink" Target="http://dev.dashboard.evolvesolar.com/my-commissions.php?user_id=458&amp;payweek=2014-09-25" TargetMode="External"/><Relationship Id="rId2881" Type="http://schemas.openxmlformats.org/officeDocument/2006/relationships/hyperlink" Target="http://dev.dashboard.evolvesolar.com/my-commissions.php?user_id=368&amp;payweek=2014-08-22" TargetMode="External"/><Relationship Id="rId3725" Type="http://schemas.openxmlformats.org/officeDocument/2006/relationships/hyperlink" Target="http://dev.dashboard.evolvesolar.com/my-commissions.php?user_id=85&amp;payweek=2014-06-06" TargetMode="External"/><Relationship Id="rId3932" Type="http://schemas.openxmlformats.org/officeDocument/2006/relationships/hyperlink" Target="http://dev.dashboard.evolvesolar.com/my-commissions.php?user_id=112&amp;payweek=2014-05-09" TargetMode="External"/><Relationship Id="rId506" Type="http://schemas.openxmlformats.org/officeDocument/2006/relationships/hyperlink" Target="http://dev.dashboard.evolvesolar.com/my-commissions.php?user_id=817&amp;payweek=2015-01-15" TargetMode="External"/><Relationship Id="rId853" Type="http://schemas.openxmlformats.org/officeDocument/2006/relationships/hyperlink" Target="http://dev.dashboard.evolvesolar.com/my-commissions.php?user_id=664&amp;payweek=2014-12-26" TargetMode="External"/><Relationship Id="rId1136" Type="http://schemas.openxmlformats.org/officeDocument/2006/relationships/hyperlink" Target="http://dev.dashboard.evolvesolar.com/my-commissions.php?user_id=468&amp;payweek=2014-12-05" TargetMode="External"/><Relationship Id="rId1690" Type="http://schemas.openxmlformats.org/officeDocument/2006/relationships/hyperlink" Target="http://dev.dashboard.evolvesolar.com/my-commissions.php?user_id=674&amp;payweek=2014-11-07" TargetMode="External"/><Relationship Id="rId2534" Type="http://schemas.openxmlformats.org/officeDocument/2006/relationships/hyperlink" Target="http://dev.dashboard.evolvesolar.com/my-commissions.php?user_id=428&amp;payweek=2014-09-12" TargetMode="External"/><Relationship Id="rId2741" Type="http://schemas.openxmlformats.org/officeDocument/2006/relationships/hyperlink" Target="http://dev.dashboard.evolvesolar.com/my-commissions.php?user_id=580&amp;payweek=2014-08-29" TargetMode="External"/><Relationship Id="rId713" Type="http://schemas.openxmlformats.org/officeDocument/2006/relationships/hyperlink" Target="http://dev.dashboard.evolvesolar.com/my-commissions.php?user_id=512&amp;payweek=2014-12-31" TargetMode="External"/><Relationship Id="rId920" Type="http://schemas.openxmlformats.org/officeDocument/2006/relationships/hyperlink" Target="http://dev.dashboard.evolvesolar.com/my-commissions.php?user_id=422&amp;payweek=2014-12-22" TargetMode="External"/><Relationship Id="rId1343" Type="http://schemas.openxmlformats.org/officeDocument/2006/relationships/hyperlink" Target="http://dev.dashboard.evolvesolar.com/my-commissions.php?user_id=303&amp;payweek=2014-11-21" TargetMode="External"/><Relationship Id="rId1550" Type="http://schemas.openxmlformats.org/officeDocument/2006/relationships/hyperlink" Target="http://dev.dashboard.evolvesolar.com/my-commissions.php?user_id=708&amp;payweek=2014-11-14" TargetMode="External"/><Relationship Id="rId2601" Type="http://schemas.openxmlformats.org/officeDocument/2006/relationships/hyperlink" Target="http://dev.dashboard.evolvesolar.com/my-commissions.php?user_id=261&amp;payweek=2014-09-05" TargetMode="External"/><Relationship Id="rId1203" Type="http://schemas.openxmlformats.org/officeDocument/2006/relationships/hyperlink" Target="http://dev.dashboard.evolvesolar.com/my-commissions.php?user_id=890&amp;payweek=2014-12-05" TargetMode="External"/><Relationship Id="rId1410" Type="http://schemas.openxmlformats.org/officeDocument/2006/relationships/hyperlink" Target="http://dev.dashboard.evolvesolar.com/my-commissions.php?user_id=726&amp;payweek=2014-11-21" TargetMode="External"/><Relationship Id="rId3168" Type="http://schemas.openxmlformats.org/officeDocument/2006/relationships/hyperlink" Target="http://dev.dashboard.evolvesolar.com/my-commissions.php?user_id=138&amp;payweek=2014-07-31" TargetMode="External"/><Relationship Id="rId3375" Type="http://schemas.openxmlformats.org/officeDocument/2006/relationships/hyperlink" Target="http://dev.dashboard.evolvesolar.com/my-commissions.php?user_id=83&amp;payweek=2014-07-11" TargetMode="External"/><Relationship Id="rId3582" Type="http://schemas.openxmlformats.org/officeDocument/2006/relationships/hyperlink" Target="http://dev.dashboard.evolvesolar.com/my-commissions.php?user_id=157&amp;payweek=2014-06-20" TargetMode="External"/><Relationship Id="rId296" Type="http://schemas.openxmlformats.org/officeDocument/2006/relationships/hyperlink" Target="http://dev.dashboard.evolvesolar.com/my-commissions.php?user_id=692&amp;payweek=2015-01-30" TargetMode="External"/><Relationship Id="rId2184" Type="http://schemas.openxmlformats.org/officeDocument/2006/relationships/hyperlink" Target="http://dev.dashboard.evolvesolar.com/my-commissions.php?user_id=328&amp;payweek=2014-10-06" TargetMode="External"/><Relationship Id="rId2391" Type="http://schemas.openxmlformats.org/officeDocument/2006/relationships/hyperlink" Target="http://dev.dashboard.evolvesolar.com/my-commissions.php?user_id=218&amp;payweek=2014-09-19" TargetMode="External"/><Relationship Id="rId3028" Type="http://schemas.openxmlformats.org/officeDocument/2006/relationships/hyperlink" Target="http://dev.dashboard.evolvesolar.com/my-commissions.php?user_id=185&amp;payweek=2014-08-08" TargetMode="External"/><Relationship Id="rId3235" Type="http://schemas.openxmlformats.org/officeDocument/2006/relationships/hyperlink" Target="http://dev.dashboard.evolvesolar.com/my-commissions.php?user_id=116&amp;payweek=2014-07-25" TargetMode="External"/><Relationship Id="rId3442" Type="http://schemas.openxmlformats.org/officeDocument/2006/relationships/hyperlink" Target="http://dev.dashboard.evolvesolar.com/my-commissions.php?user_id=41&amp;payweek=2014-07-04" TargetMode="External"/><Relationship Id="rId156" Type="http://schemas.openxmlformats.org/officeDocument/2006/relationships/hyperlink" Target="http://dev.dashboard.evolvesolar.com/my-commissions.php?user_id=616&amp;payweek=2015-02-06" TargetMode="External"/><Relationship Id="rId363" Type="http://schemas.openxmlformats.org/officeDocument/2006/relationships/hyperlink" Target="http://dev.dashboard.evolvesolar.com/my-commissions.php?user_id=217&amp;payweek=2015-01-23" TargetMode="External"/><Relationship Id="rId570" Type="http://schemas.openxmlformats.org/officeDocument/2006/relationships/hyperlink" Target="http://dev.dashboard.evolvesolar.com/my-commissions.php?user_id=401&amp;payweek=2015-01-09" TargetMode="External"/><Relationship Id="rId2044" Type="http://schemas.openxmlformats.org/officeDocument/2006/relationships/hyperlink" Target="http://dev.dashboard.evolvesolar.com/my-commissions.php?user_id=37&amp;payweek=2014-10-14" TargetMode="External"/><Relationship Id="rId2251" Type="http://schemas.openxmlformats.org/officeDocument/2006/relationships/hyperlink" Target="http://dev.dashboard.evolvesolar.com/my-commissions.php?user_id=594&amp;payweek=2014-10-03" TargetMode="External"/><Relationship Id="rId3302" Type="http://schemas.openxmlformats.org/officeDocument/2006/relationships/hyperlink" Target="http://dev.dashboard.evolvesolar.com/my-commissions.php?user_id=244&amp;payweek=2014-07-21" TargetMode="External"/><Relationship Id="rId223" Type="http://schemas.openxmlformats.org/officeDocument/2006/relationships/hyperlink" Target="http://dev.dashboard.evolvesolar.com/my-commissions.php?user_id=966&amp;payweek=2015-02-06" TargetMode="External"/><Relationship Id="rId430" Type="http://schemas.openxmlformats.org/officeDocument/2006/relationships/hyperlink" Target="http://dev.dashboard.evolvesolar.com/my-commissions.php?user_id=203&amp;payweek=2015-01-20" TargetMode="External"/><Relationship Id="rId1060" Type="http://schemas.openxmlformats.org/officeDocument/2006/relationships/hyperlink" Target="http://dev.dashboard.evolvesolar.com/my-commissions.php?user_id=582&amp;payweek=2014-12-12" TargetMode="External"/><Relationship Id="rId2111" Type="http://schemas.openxmlformats.org/officeDocument/2006/relationships/hyperlink" Target="http://dev.dashboard.evolvesolar.com/my-commissions.php?user_id=429&amp;payweek=2014-10-10" TargetMode="External"/><Relationship Id="rId4076" Type="http://schemas.openxmlformats.org/officeDocument/2006/relationships/hyperlink" Target="http://dev.dashboard.evolvesolar.com/my-commissions.php?user_id=79&amp;payweek=2014-03-21" TargetMode="External"/><Relationship Id="rId1877" Type="http://schemas.openxmlformats.org/officeDocument/2006/relationships/hyperlink" Target="http://dev.dashboard.evolvesolar.com/my-commissions.php?user_id=582&amp;payweek=2014-10-24" TargetMode="External"/><Relationship Id="rId2928" Type="http://schemas.openxmlformats.org/officeDocument/2006/relationships/hyperlink" Target="http://dev.dashboard.evolvesolar.com/my-commissions.php?user_id=74&amp;payweek=2014-08-15" TargetMode="External"/><Relationship Id="rId1737" Type="http://schemas.openxmlformats.org/officeDocument/2006/relationships/hyperlink" Target="http://dev.dashboard.evolvesolar.com/my-commissions.php?user_id=269&amp;payweek=2014-10-31" TargetMode="External"/><Relationship Id="rId1944" Type="http://schemas.openxmlformats.org/officeDocument/2006/relationships/hyperlink" Target="http://dev.dashboard.evolvesolar.com/my-commissions.php?user_id=685&amp;payweek=2014-10-20" TargetMode="External"/><Relationship Id="rId3092" Type="http://schemas.openxmlformats.org/officeDocument/2006/relationships/hyperlink" Target="http://dev.dashboard.evolvesolar.com/my-commissions.php?user_id=227&amp;payweek=2014-08-07" TargetMode="External"/><Relationship Id="rId29" Type="http://schemas.openxmlformats.org/officeDocument/2006/relationships/hyperlink" Target="http://dev.dashboard.evolvesolar.com/my-commissions.php?user_id=118&amp;payweek=2015-02-06" TargetMode="External"/><Relationship Id="rId4003" Type="http://schemas.openxmlformats.org/officeDocument/2006/relationships/hyperlink" Target="http://dev.dashboard.evolvesolar.com/my-commissions.php?user_id=110&amp;payweek=2014-04-18" TargetMode="External"/><Relationship Id="rId1804" Type="http://schemas.openxmlformats.org/officeDocument/2006/relationships/hyperlink" Target="http://dev.dashboard.evolvesolar.com/my-commissions.php?user_id=648&amp;payweek=2014-10-31" TargetMode="External"/><Relationship Id="rId3769" Type="http://schemas.openxmlformats.org/officeDocument/2006/relationships/hyperlink" Target="http://dev.dashboard.evolvesolar.com/my-commissions.php?user_id=142&amp;payweek=2014-06-06" TargetMode="External"/><Relationship Id="rId3976" Type="http://schemas.openxmlformats.org/officeDocument/2006/relationships/hyperlink" Target="http://dev.dashboard.evolvesolar.com/my-commissions.php?user_id=27&amp;payweek=2014-04-24" TargetMode="External"/><Relationship Id="rId897" Type="http://schemas.openxmlformats.org/officeDocument/2006/relationships/hyperlink" Target="http://dev.dashboard.evolvesolar.com/my-commissions.php?user_id=114&amp;payweek=2014-12-22" TargetMode="External"/><Relationship Id="rId2578" Type="http://schemas.openxmlformats.org/officeDocument/2006/relationships/hyperlink" Target="http://dev.dashboard.evolvesolar.com/my-commissions.php?user_id=383&amp;payweek=2014-09-09" TargetMode="External"/><Relationship Id="rId2785" Type="http://schemas.openxmlformats.org/officeDocument/2006/relationships/hyperlink" Target="http://dev.dashboard.evolvesolar.com/my-commissions.php?user_id=382&amp;payweek=2014-08-28" TargetMode="External"/><Relationship Id="rId2992" Type="http://schemas.openxmlformats.org/officeDocument/2006/relationships/hyperlink" Target="http://dev.dashboard.evolvesolar.com/my-commissions.php?user_id=282&amp;payweek=2014-08-14" TargetMode="External"/><Relationship Id="rId3629" Type="http://schemas.openxmlformats.org/officeDocument/2006/relationships/hyperlink" Target="http://dev.dashboard.evolvesolar.com/my-commissions.php?user_id=52&amp;payweek=2014-06-13" TargetMode="External"/><Relationship Id="rId3836" Type="http://schemas.openxmlformats.org/officeDocument/2006/relationships/hyperlink" Target="http://dev.dashboard.evolvesolar.com/my-commissions.php?user_id=38&amp;payweek=2014-05-23" TargetMode="External"/><Relationship Id="rId757" Type="http://schemas.openxmlformats.org/officeDocument/2006/relationships/hyperlink" Target="http://dev.dashboard.evolvesolar.com/my-commissions.php?user_id=77&amp;payweek=2014-12-26" TargetMode="External"/><Relationship Id="rId964" Type="http://schemas.openxmlformats.org/officeDocument/2006/relationships/hyperlink" Target="http://dev.dashboard.evolvesolar.com/my-commissions.php?user_id=358&amp;payweek=2014-12-19" TargetMode="External"/><Relationship Id="rId1387" Type="http://schemas.openxmlformats.org/officeDocument/2006/relationships/hyperlink" Target="http://dev.dashboard.evolvesolar.com/my-commissions.php?user_id=656&amp;payweek=2014-11-21" TargetMode="External"/><Relationship Id="rId1594" Type="http://schemas.openxmlformats.org/officeDocument/2006/relationships/hyperlink" Target="http://dev.dashboard.evolvesolar.com/my-commissions.php?user_id=616&amp;payweek=2014-11-08" TargetMode="External"/><Relationship Id="rId2438" Type="http://schemas.openxmlformats.org/officeDocument/2006/relationships/hyperlink" Target="http://dev.dashboard.evolvesolar.com/my-commissions.php?user_id=574&amp;payweek=2014-09-19" TargetMode="External"/><Relationship Id="rId2645" Type="http://schemas.openxmlformats.org/officeDocument/2006/relationships/hyperlink" Target="http://dev.dashboard.evolvesolar.com/my-commissions.php?user_id=232&amp;payweek=2014-09-04" TargetMode="External"/><Relationship Id="rId2852" Type="http://schemas.openxmlformats.org/officeDocument/2006/relationships/hyperlink" Target="http://dev.dashboard.evolvesolar.com/my-commissions.php?user_id=248&amp;payweek=2014-08-22" TargetMode="External"/><Relationship Id="rId3903" Type="http://schemas.openxmlformats.org/officeDocument/2006/relationships/hyperlink" Target="http://dev.dashboard.evolvesolar.com/my-commissions.php?user_id=116&amp;payweek=2014-05-16" TargetMode="External"/><Relationship Id="rId93" Type="http://schemas.openxmlformats.org/officeDocument/2006/relationships/hyperlink" Target="http://dev.dashboard.evolvesolar.com/my-commissions.php?user_id=332&amp;payweek=2015-02-06" TargetMode="External"/><Relationship Id="rId617" Type="http://schemas.openxmlformats.org/officeDocument/2006/relationships/hyperlink" Target="http://dev.dashboard.evolvesolar.com/my-commissions.php?user_id=708&amp;payweek=2015-01-09" TargetMode="External"/><Relationship Id="rId824" Type="http://schemas.openxmlformats.org/officeDocument/2006/relationships/hyperlink" Target="http://dev.dashboard.evolvesolar.com/my-commissions.php?user_id=530&amp;payweek=2014-12-26" TargetMode="External"/><Relationship Id="rId1247" Type="http://schemas.openxmlformats.org/officeDocument/2006/relationships/hyperlink" Target="http://dev.dashboard.evolvesolar.com/my-commissions.php?user_id=615&amp;payweek=2014-11-26" TargetMode="External"/><Relationship Id="rId1454" Type="http://schemas.openxmlformats.org/officeDocument/2006/relationships/hyperlink" Target="http://dev.dashboard.evolvesolar.com/my-commissions.php?user_id=149&amp;payweek=2014-11-14" TargetMode="External"/><Relationship Id="rId1661" Type="http://schemas.openxmlformats.org/officeDocument/2006/relationships/hyperlink" Target="http://dev.dashboard.evolvesolar.com/my-commissions.php?user_id=583&amp;payweek=2014-11-07" TargetMode="External"/><Relationship Id="rId2505" Type="http://schemas.openxmlformats.org/officeDocument/2006/relationships/hyperlink" Target="http://dev.dashboard.evolvesolar.com/my-commissions.php?user_id=365&amp;payweek=2014-09-12" TargetMode="External"/><Relationship Id="rId2712" Type="http://schemas.openxmlformats.org/officeDocument/2006/relationships/hyperlink" Target="http://dev.dashboard.evolvesolar.com/my-commissions.php?user_id=321&amp;payweek=2014-08-29" TargetMode="External"/><Relationship Id="rId1107" Type="http://schemas.openxmlformats.org/officeDocument/2006/relationships/hyperlink" Target="http://dev.dashboard.evolvesolar.com/my-commissions.php?user_id=890&amp;payweek=2014-12-08" TargetMode="External"/><Relationship Id="rId1314" Type="http://schemas.openxmlformats.org/officeDocument/2006/relationships/hyperlink" Target="http://dev.dashboard.evolvesolar.com/my-commissions.php?user_id=37&amp;payweek=2014-11-21" TargetMode="External"/><Relationship Id="rId1521" Type="http://schemas.openxmlformats.org/officeDocument/2006/relationships/hyperlink" Target="http://dev.dashboard.evolvesolar.com/my-commissions.php?user_id=606&amp;payweek=2014-11-14" TargetMode="External"/><Relationship Id="rId3279" Type="http://schemas.openxmlformats.org/officeDocument/2006/relationships/hyperlink" Target="http://dev.dashboard.evolvesolar.com/my-commissions.php?user_id=247&amp;payweek=2014-07-25" TargetMode="External"/><Relationship Id="rId3486" Type="http://schemas.openxmlformats.org/officeDocument/2006/relationships/hyperlink" Target="http://dev.dashboard.evolvesolar.com/my-commissions.php?user_id=85&amp;payweek=2014-06-27" TargetMode="External"/><Relationship Id="rId3693" Type="http://schemas.openxmlformats.org/officeDocument/2006/relationships/hyperlink" Target="http://dev.dashboard.evolvesolar.com/my-commissions.php?user_id=160&amp;payweek=2014-06-13" TargetMode="External"/><Relationship Id="rId20" Type="http://schemas.openxmlformats.org/officeDocument/2006/relationships/hyperlink" Target="http://dev.dashboard.evolvesolar.com/my-commissions.php?user_id=101&amp;payweek=2015-02-06" TargetMode="External"/><Relationship Id="rId2088" Type="http://schemas.openxmlformats.org/officeDocument/2006/relationships/hyperlink" Target="http://dev.dashboard.evolvesolar.com/my-commissions.php?user_id=295&amp;payweek=2014-10-10" TargetMode="External"/><Relationship Id="rId2295" Type="http://schemas.openxmlformats.org/officeDocument/2006/relationships/hyperlink" Target="http://dev.dashboard.evolvesolar.com/my-commissions.php?user_id=269&amp;payweek=2014-09-25" TargetMode="External"/><Relationship Id="rId3139" Type="http://schemas.openxmlformats.org/officeDocument/2006/relationships/hyperlink" Target="http://dev.dashboard.evolvesolar.com/my-commissions.php?user_id=261&amp;payweek=2014-08-02" TargetMode="External"/><Relationship Id="rId3346" Type="http://schemas.openxmlformats.org/officeDocument/2006/relationships/hyperlink" Target="http://dev.dashboard.evolvesolar.com/my-commissions.php?user_id=228&amp;payweek=2014-07-18" TargetMode="External"/><Relationship Id="rId267" Type="http://schemas.openxmlformats.org/officeDocument/2006/relationships/hyperlink" Target="http://dev.dashboard.evolvesolar.com/my-commissions.php?user_id=382&amp;payweek=2015-01-30" TargetMode="External"/><Relationship Id="rId474" Type="http://schemas.openxmlformats.org/officeDocument/2006/relationships/hyperlink" Target="http://dev.dashboard.evolvesolar.com/my-commissions.php?user_id=583&amp;payweek=2015-01-15" TargetMode="External"/><Relationship Id="rId2155" Type="http://schemas.openxmlformats.org/officeDocument/2006/relationships/hyperlink" Target="http://dev.dashboard.evolvesolar.com/my-commissions.php?user_id=574&amp;payweek=2014-10-07" TargetMode="External"/><Relationship Id="rId3553" Type="http://schemas.openxmlformats.org/officeDocument/2006/relationships/hyperlink" Target="http://dev.dashboard.evolvesolar.com/my-commissions.php?user_id=125&amp;payweek=2014-06-20" TargetMode="External"/><Relationship Id="rId3760" Type="http://schemas.openxmlformats.org/officeDocument/2006/relationships/hyperlink" Target="http://dev.dashboard.evolvesolar.com/my-commissions.php?user_id=130&amp;payweek=2014-06-06" TargetMode="External"/><Relationship Id="rId127" Type="http://schemas.openxmlformats.org/officeDocument/2006/relationships/hyperlink" Target="http://dev.dashboard.evolvesolar.com/my-commissions.php?user_id=475&amp;payweek=2015-02-06" TargetMode="External"/><Relationship Id="rId681" Type="http://schemas.openxmlformats.org/officeDocument/2006/relationships/hyperlink" Target="http://dev.dashboard.evolvesolar.com/my-commissions.php?user_id=261&amp;payweek=2014-12-31" TargetMode="External"/><Relationship Id="rId2362" Type="http://schemas.openxmlformats.org/officeDocument/2006/relationships/hyperlink" Target="http://dev.dashboard.evolvesolar.com/my-commissions.php?user_id=202&amp;payweek=2014-09-22" TargetMode="External"/><Relationship Id="rId3206" Type="http://schemas.openxmlformats.org/officeDocument/2006/relationships/hyperlink" Target="http://dev.dashboard.evolvesolar.com/my-commissions.php?user_id=237&amp;payweek=2014-07-31" TargetMode="External"/><Relationship Id="rId3413" Type="http://schemas.openxmlformats.org/officeDocument/2006/relationships/hyperlink" Target="http://dev.dashboard.evolvesolar.com/my-commissions.php?user_id=204&amp;payweek=2014-07-11" TargetMode="External"/><Relationship Id="rId3620" Type="http://schemas.openxmlformats.org/officeDocument/2006/relationships/hyperlink" Target="http://dev.dashboard.evolvesolar.com/my-commissions.php?user_id=28&amp;payweek=2014-06-13" TargetMode="External"/><Relationship Id="rId334" Type="http://schemas.openxmlformats.org/officeDocument/2006/relationships/hyperlink" Target="http://dev.dashboard.evolvesolar.com/my-commissions.php?user_id=908&amp;payweek=2015-01-30" TargetMode="External"/><Relationship Id="rId541" Type="http://schemas.openxmlformats.org/officeDocument/2006/relationships/hyperlink" Target="http://dev.dashboard.evolvesolar.com/my-commissions.php?user_id=261&amp;payweek=2015-01-09" TargetMode="External"/><Relationship Id="rId1171" Type="http://schemas.openxmlformats.org/officeDocument/2006/relationships/hyperlink" Target="http://dev.dashboard.evolvesolar.com/my-commissions.php?user_id=690&amp;payweek=2014-12-05" TargetMode="External"/><Relationship Id="rId2015" Type="http://schemas.openxmlformats.org/officeDocument/2006/relationships/hyperlink" Target="http://dev.dashboard.evolvesolar.com/my-commissions.php?user_id=472&amp;payweek=2014-10-17" TargetMode="External"/><Relationship Id="rId2222" Type="http://schemas.openxmlformats.org/officeDocument/2006/relationships/hyperlink" Target="http://dev.dashboard.evolvesolar.com/my-commissions.php?user_id=615&amp;payweek=2014-10-06" TargetMode="External"/><Relationship Id="rId401" Type="http://schemas.openxmlformats.org/officeDocument/2006/relationships/hyperlink" Target="http://dev.dashboard.evolvesolar.com/my-commissions.php?user_id=648&amp;payweek=2015-01-23" TargetMode="External"/><Relationship Id="rId1031" Type="http://schemas.openxmlformats.org/officeDocument/2006/relationships/hyperlink" Target="http://dev.dashboard.evolvesolar.com/my-commissions.php?user_id=308&amp;payweek=2014-12-12" TargetMode="External"/><Relationship Id="rId1988" Type="http://schemas.openxmlformats.org/officeDocument/2006/relationships/hyperlink" Target="http://dev.dashboard.evolvesolar.com/my-commissions.php?user_id=269&amp;payweek=2014-10-17" TargetMode="External"/><Relationship Id="rId4047" Type="http://schemas.openxmlformats.org/officeDocument/2006/relationships/hyperlink" Target="http://dev.dashboard.evolvesolar.com/my-commissions.php?user_id=79&amp;payweek=2014-04-04" TargetMode="External"/><Relationship Id="rId1848" Type="http://schemas.openxmlformats.org/officeDocument/2006/relationships/hyperlink" Target="http://dev.dashboard.evolvesolar.com/my-commissions.php?user_id=295&amp;payweek=2014-10-24" TargetMode="External"/><Relationship Id="rId3063" Type="http://schemas.openxmlformats.org/officeDocument/2006/relationships/hyperlink" Target="http://dev.dashboard.evolvesolar.com/my-commissions.php?user_id=382&amp;payweek=2014-08-08" TargetMode="External"/><Relationship Id="rId3270" Type="http://schemas.openxmlformats.org/officeDocument/2006/relationships/hyperlink" Target="http://dev.dashboard.evolvesolar.com/my-commissions.php?user_id=225&amp;payweek=2014-07-25" TargetMode="External"/><Relationship Id="rId4114" Type="http://schemas.openxmlformats.org/officeDocument/2006/relationships/table" Target="../tables/table1.xml"/><Relationship Id="rId191" Type="http://schemas.openxmlformats.org/officeDocument/2006/relationships/hyperlink" Target="http://dev.dashboard.evolvesolar.com/my-commissions.php?user_id=867&amp;payweek=2015-02-06" TargetMode="External"/><Relationship Id="rId1708" Type="http://schemas.openxmlformats.org/officeDocument/2006/relationships/hyperlink" Target="http://dev.dashboard.evolvesolar.com/my-commissions.php?user_id=716&amp;payweek=2014-11-07" TargetMode="External"/><Relationship Id="rId1915" Type="http://schemas.openxmlformats.org/officeDocument/2006/relationships/hyperlink" Target="http://dev.dashboard.evolvesolar.com/my-commissions.php?user_id=683&amp;payweek=2014-10-24" TargetMode="External"/><Relationship Id="rId3130" Type="http://schemas.openxmlformats.org/officeDocument/2006/relationships/hyperlink" Target="http://dev.dashboard.evolvesolar.com/my-commissions.php?user_id=365&amp;payweek=2014-08-04" TargetMode="External"/><Relationship Id="rId2689" Type="http://schemas.openxmlformats.org/officeDocument/2006/relationships/hyperlink" Target="http://dev.dashboard.evolvesolar.com/my-commissions.php?user_id=87&amp;payweek=2014-08-29" TargetMode="External"/><Relationship Id="rId2896" Type="http://schemas.openxmlformats.org/officeDocument/2006/relationships/hyperlink" Target="http://dev.dashboard.evolvesolar.com/my-commissions.php?user_id=405&amp;payweek=2014-08-22" TargetMode="External"/><Relationship Id="rId3947" Type="http://schemas.openxmlformats.org/officeDocument/2006/relationships/hyperlink" Target="http://dev.dashboard.evolvesolar.com/my-commissions.php?user_id=113&amp;payweek=2014-05-03" TargetMode="External"/><Relationship Id="rId868" Type="http://schemas.openxmlformats.org/officeDocument/2006/relationships/hyperlink" Target="http://dev.dashboard.evolvesolar.com/my-commissions.php?user_id=702&amp;payweek=2014-12-26" TargetMode="External"/><Relationship Id="rId1498" Type="http://schemas.openxmlformats.org/officeDocument/2006/relationships/hyperlink" Target="http://dev.dashboard.evolvesolar.com/my-commissions.php?user_id=389&amp;payweek=2014-11-14" TargetMode="External"/><Relationship Id="rId2549" Type="http://schemas.openxmlformats.org/officeDocument/2006/relationships/hyperlink" Target="http://dev.dashboard.evolvesolar.com/my-commissions.php?user_id=539&amp;payweek=2014-09-12" TargetMode="External"/><Relationship Id="rId2756" Type="http://schemas.openxmlformats.org/officeDocument/2006/relationships/hyperlink" Target="http://dev.dashboard.evolvesolar.com/my-commissions.php?user_id=157&amp;payweek=2014-08-28" TargetMode="External"/><Relationship Id="rId2963" Type="http://schemas.openxmlformats.org/officeDocument/2006/relationships/hyperlink" Target="http://dev.dashboard.evolvesolar.com/my-commissions.php?user_id=389&amp;payweek=2014-08-15" TargetMode="External"/><Relationship Id="rId3807" Type="http://schemas.openxmlformats.org/officeDocument/2006/relationships/hyperlink" Target="http://dev.dashboard.evolvesolar.com/my-commissions.php?user_id=109&amp;payweek=2014-05-30" TargetMode="External"/><Relationship Id="rId728" Type="http://schemas.openxmlformats.org/officeDocument/2006/relationships/hyperlink" Target="http://dev.dashboard.evolvesolar.com/my-commissions.php?user_id=610&amp;payweek=2014-12-31" TargetMode="External"/><Relationship Id="rId935" Type="http://schemas.openxmlformats.org/officeDocument/2006/relationships/hyperlink" Target="http://dev.dashboard.evolvesolar.com/my-commissions.php?user_id=714&amp;payweek=2014-12-22" TargetMode="External"/><Relationship Id="rId1358" Type="http://schemas.openxmlformats.org/officeDocument/2006/relationships/hyperlink" Target="http://dev.dashboard.evolvesolar.com/my-commissions.php?user_id=389&amp;payweek=2014-11-21" TargetMode="External"/><Relationship Id="rId1565" Type="http://schemas.openxmlformats.org/officeDocument/2006/relationships/hyperlink" Target="http://dev.dashboard.evolvesolar.com/my-commissions.php?user_id=739&amp;payweek=2014-11-14" TargetMode="External"/><Relationship Id="rId1772" Type="http://schemas.openxmlformats.org/officeDocument/2006/relationships/hyperlink" Target="http://dev.dashboard.evolvesolar.com/my-commissions.php?user_id=472&amp;payweek=2014-10-31" TargetMode="External"/><Relationship Id="rId2409" Type="http://schemas.openxmlformats.org/officeDocument/2006/relationships/hyperlink" Target="http://dev.dashboard.evolvesolar.com/my-commissions.php?user_id=365&amp;payweek=2014-09-19" TargetMode="External"/><Relationship Id="rId2616" Type="http://schemas.openxmlformats.org/officeDocument/2006/relationships/hyperlink" Target="http://dev.dashboard.evolvesolar.com/my-commissions.php?user_id=446&amp;payweek=2014-09-05" TargetMode="External"/><Relationship Id="rId64" Type="http://schemas.openxmlformats.org/officeDocument/2006/relationships/hyperlink" Target="http://dev.dashboard.evolvesolar.com/my-commissions.php?user_id=228&amp;payweek=2015-02-06" TargetMode="External"/><Relationship Id="rId1218" Type="http://schemas.openxmlformats.org/officeDocument/2006/relationships/hyperlink" Target="http://dev.dashboard.evolvesolar.com/my-commissions.php?user_id=458&amp;payweek=2014-11-28" TargetMode="External"/><Relationship Id="rId1425" Type="http://schemas.openxmlformats.org/officeDocument/2006/relationships/hyperlink" Target="http://dev.dashboard.evolvesolar.com/my-commissions.php?user_id=692&amp;payweek=2014-11-20" TargetMode="External"/><Relationship Id="rId2823" Type="http://schemas.openxmlformats.org/officeDocument/2006/relationships/hyperlink" Target="http://dev.dashboard.evolvesolar.com/my-commissions.php?user_id=214&amp;payweek=2014-08-22" TargetMode="External"/><Relationship Id="rId1632" Type="http://schemas.openxmlformats.org/officeDocument/2006/relationships/hyperlink" Target="http://dev.dashboard.evolvesolar.com/my-commissions.php?user_id=365&amp;payweek=2014-11-07" TargetMode="External"/><Relationship Id="rId2199" Type="http://schemas.openxmlformats.org/officeDocument/2006/relationships/hyperlink" Target="http://dev.dashboard.evolvesolar.com/my-commissions.php?user_id=397&amp;payweek=2014-10-06" TargetMode="External"/><Relationship Id="rId3597" Type="http://schemas.openxmlformats.org/officeDocument/2006/relationships/hyperlink" Target="http://dev.dashboard.evolvesolar.com/my-commissions.php?user_id=192&amp;payweek=2014-06-20" TargetMode="External"/><Relationship Id="rId3457" Type="http://schemas.openxmlformats.org/officeDocument/2006/relationships/hyperlink" Target="http://dev.dashboard.evolvesolar.com/my-commissions.php?user_id=27&amp;payweek=2014-07-03" TargetMode="External"/><Relationship Id="rId3664" Type="http://schemas.openxmlformats.org/officeDocument/2006/relationships/hyperlink" Target="http://dev.dashboard.evolvesolar.com/my-commissions.php?user_id=119&amp;payweek=2014-06-13" TargetMode="External"/><Relationship Id="rId3871" Type="http://schemas.openxmlformats.org/officeDocument/2006/relationships/hyperlink" Target="http://dev.dashboard.evolvesolar.com/my-commissions.php?user_id=139&amp;payweek=2014-05-23" TargetMode="External"/><Relationship Id="rId378" Type="http://schemas.openxmlformats.org/officeDocument/2006/relationships/hyperlink" Target="http://dev.dashboard.evolvesolar.com/my-commissions.php?user_id=332&amp;payweek=2015-01-23" TargetMode="External"/><Relationship Id="rId585" Type="http://schemas.openxmlformats.org/officeDocument/2006/relationships/hyperlink" Target="http://dev.dashboard.evolvesolar.com/my-commissions.php?user_id=551&amp;payweek=2015-01-09" TargetMode="External"/><Relationship Id="rId792" Type="http://schemas.openxmlformats.org/officeDocument/2006/relationships/hyperlink" Target="http://dev.dashboard.evolvesolar.com/my-commissions.php?user_id=322&amp;payweek=2014-12-26" TargetMode="External"/><Relationship Id="rId2059" Type="http://schemas.openxmlformats.org/officeDocument/2006/relationships/hyperlink" Target="http://dev.dashboard.evolvesolar.com/my-commissions.php?user_id=660&amp;payweek=2014-10-14" TargetMode="External"/><Relationship Id="rId2266" Type="http://schemas.openxmlformats.org/officeDocument/2006/relationships/hyperlink" Target="http://dev.dashboard.evolvesolar.com/my-commissions.php?user_id=335&amp;payweek=2014-09-29" TargetMode="External"/><Relationship Id="rId2473" Type="http://schemas.openxmlformats.org/officeDocument/2006/relationships/hyperlink" Target="http://dev.dashboard.evolvesolar.com/my-commissions.php?user_id=248&amp;payweek=2014-09-12" TargetMode="External"/><Relationship Id="rId2680" Type="http://schemas.openxmlformats.org/officeDocument/2006/relationships/hyperlink" Target="http://dev.dashboard.evolvesolar.com/my-commissions.php?user_id=580&amp;payweek=2014-09-04" TargetMode="External"/><Relationship Id="rId3317" Type="http://schemas.openxmlformats.org/officeDocument/2006/relationships/hyperlink" Target="http://dev.dashboard.evolvesolar.com/my-commissions.php?user_id=133&amp;payweek=2014-07-18" TargetMode="External"/><Relationship Id="rId3524" Type="http://schemas.openxmlformats.org/officeDocument/2006/relationships/hyperlink" Target="http://dev.dashboard.evolvesolar.com/my-commissions.php?user_id=37&amp;payweek=2014-06-20" TargetMode="External"/><Relationship Id="rId3731" Type="http://schemas.openxmlformats.org/officeDocument/2006/relationships/hyperlink" Target="http://dev.dashboard.evolvesolar.com/my-commissions.php?user_id=99&amp;payweek=2014-06-06" TargetMode="External"/><Relationship Id="rId238" Type="http://schemas.openxmlformats.org/officeDocument/2006/relationships/hyperlink" Target="http://dev.dashboard.evolvesolar.com/my-commissions.php?user_id=27&amp;payweek=2015-01-30" TargetMode="External"/><Relationship Id="rId445" Type="http://schemas.openxmlformats.org/officeDocument/2006/relationships/hyperlink" Target="http://dev.dashboard.evolvesolar.com/my-commissions.php?user_id=94&amp;payweek=2015-01-15" TargetMode="External"/><Relationship Id="rId652" Type="http://schemas.openxmlformats.org/officeDocument/2006/relationships/hyperlink" Target="http://dev.dashboard.evolvesolar.com/my-commissions.php?user_id=63&amp;payweek=2014-12-31" TargetMode="External"/><Relationship Id="rId1075" Type="http://schemas.openxmlformats.org/officeDocument/2006/relationships/hyperlink" Target="http://dev.dashboard.evolvesolar.com/my-commissions.php?user_id=672&amp;payweek=2014-12-12" TargetMode="External"/><Relationship Id="rId1282" Type="http://schemas.openxmlformats.org/officeDocument/2006/relationships/hyperlink" Target="http://dev.dashboard.evolvesolar.com/my-commissions.php?user_id=703&amp;payweek=2014-11-25" TargetMode="External"/><Relationship Id="rId2126" Type="http://schemas.openxmlformats.org/officeDocument/2006/relationships/hyperlink" Target="http://dev.dashboard.evolvesolar.com/my-commissions.php?user_id=580&amp;payweek=2014-10-10" TargetMode="External"/><Relationship Id="rId2333" Type="http://schemas.openxmlformats.org/officeDocument/2006/relationships/hyperlink" Target="http://dev.dashboard.evolvesolar.com/my-commissions.php?user_id=487&amp;payweek=2014-09-25" TargetMode="External"/><Relationship Id="rId2540" Type="http://schemas.openxmlformats.org/officeDocument/2006/relationships/hyperlink" Target="http://dev.dashboard.evolvesolar.com/my-commissions.php?user_id=472&amp;payweek=2014-09-12" TargetMode="External"/><Relationship Id="rId305" Type="http://schemas.openxmlformats.org/officeDocument/2006/relationships/hyperlink" Target="http://dev.dashboard.evolvesolar.com/my-commissions.php?user_id=726&amp;payweek=2015-01-30" TargetMode="External"/><Relationship Id="rId512" Type="http://schemas.openxmlformats.org/officeDocument/2006/relationships/hyperlink" Target="http://dev.dashboard.evolvesolar.com/my-commissions.php?user_id=699&amp;payweek=2015-01-13" TargetMode="External"/><Relationship Id="rId1142" Type="http://schemas.openxmlformats.org/officeDocument/2006/relationships/hyperlink" Target="http://dev.dashboard.evolvesolar.com/my-commissions.php?user_id=580&amp;payweek=2014-12-05" TargetMode="External"/><Relationship Id="rId2400" Type="http://schemas.openxmlformats.org/officeDocument/2006/relationships/hyperlink" Target="http://dev.dashboard.evolvesolar.com/my-commissions.php?user_id=248&amp;payweek=2014-09-19" TargetMode="External"/><Relationship Id="rId1002" Type="http://schemas.openxmlformats.org/officeDocument/2006/relationships/hyperlink" Target="http://dev.dashboard.evolvesolar.com/my-commissions.php?user_id=77&amp;payweek=2014-12-12" TargetMode="External"/><Relationship Id="rId1959" Type="http://schemas.openxmlformats.org/officeDocument/2006/relationships/hyperlink" Target="http://dev.dashboard.evolvesolar.com/my-commissions.php?user_id=82&amp;payweek=2014-10-17" TargetMode="External"/><Relationship Id="rId3174" Type="http://schemas.openxmlformats.org/officeDocument/2006/relationships/hyperlink" Target="http://dev.dashboard.evolvesolar.com/my-commissions.php?user_id=155&amp;payweek=2014-07-31" TargetMode="External"/><Relationship Id="rId4018" Type="http://schemas.openxmlformats.org/officeDocument/2006/relationships/hyperlink" Target="http://dev.dashboard.evolvesolar.com/my-commissions.php?user_id=114&amp;payweek=2014-04-17" TargetMode="External"/><Relationship Id="rId1819" Type="http://schemas.openxmlformats.org/officeDocument/2006/relationships/hyperlink" Target="http://dev.dashboard.evolvesolar.com/my-commissions.php?user_id=722&amp;payweek=2014-10-31" TargetMode="External"/><Relationship Id="rId3381" Type="http://schemas.openxmlformats.org/officeDocument/2006/relationships/hyperlink" Target="http://dev.dashboard.evolvesolar.com/my-commissions.php?user_id=102&amp;payweek=2014-07-11" TargetMode="External"/><Relationship Id="rId2190" Type="http://schemas.openxmlformats.org/officeDocument/2006/relationships/hyperlink" Target="http://dev.dashboard.evolvesolar.com/my-commissions.php?user_id=355&amp;payweek=2014-10-06" TargetMode="External"/><Relationship Id="rId3034" Type="http://schemas.openxmlformats.org/officeDocument/2006/relationships/hyperlink" Target="http://dev.dashboard.evolvesolar.com/my-commissions.php?user_id=227&amp;payweek=2014-08-08" TargetMode="External"/><Relationship Id="rId3241" Type="http://schemas.openxmlformats.org/officeDocument/2006/relationships/hyperlink" Target="http://dev.dashboard.evolvesolar.com/my-commissions.php?user_id=138&amp;payweek=2014-07-25" TargetMode="External"/><Relationship Id="rId162" Type="http://schemas.openxmlformats.org/officeDocument/2006/relationships/hyperlink" Target="http://dev.dashboard.evolvesolar.com/my-commissions.php?user_id=657&amp;payweek=2015-02-06" TargetMode="External"/><Relationship Id="rId2050" Type="http://schemas.openxmlformats.org/officeDocument/2006/relationships/hyperlink" Target="http://dev.dashboard.evolvesolar.com/my-commissions.php?user_id=387&amp;payweek=2014-10-14" TargetMode="External"/><Relationship Id="rId3101" Type="http://schemas.openxmlformats.org/officeDocument/2006/relationships/hyperlink" Target="http://dev.dashboard.evolvesolar.com/my-commissions.php?user_id=236&amp;payweek=2014-08-07" TargetMode="External"/><Relationship Id="rId979" Type="http://schemas.openxmlformats.org/officeDocument/2006/relationships/hyperlink" Target="http://dev.dashboard.evolvesolar.com/my-commissions.php?user_id=607&amp;payweek=2014-12-19" TargetMode="External"/><Relationship Id="rId839" Type="http://schemas.openxmlformats.org/officeDocument/2006/relationships/hyperlink" Target="http://dev.dashboard.evolvesolar.com/my-commissions.php?user_id=621&amp;payweek=2014-12-26" TargetMode="External"/><Relationship Id="rId1469" Type="http://schemas.openxmlformats.org/officeDocument/2006/relationships/hyperlink" Target="http://dev.dashboard.evolvesolar.com/my-commissions.php?user_id=261&amp;payweek=2014-11-14" TargetMode="External"/><Relationship Id="rId2867" Type="http://schemas.openxmlformats.org/officeDocument/2006/relationships/hyperlink" Target="http://dev.dashboard.evolvesolar.com/my-commissions.php?user_id=286&amp;payweek=2014-08-22" TargetMode="External"/><Relationship Id="rId3918" Type="http://schemas.openxmlformats.org/officeDocument/2006/relationships/hyperlink" Target="http://dev.dashboard.evolvesolar.com/my-commissions.php?user_id=41&amp;payweek=2014-05-09" TargetMode="External"/><Relationship Id="rId4082" Type="http://schemas.openxmlformats.org/officeDocument/2006/relationships/hyperlink" Target="http://dev.dashboard.evolvesolar.com/my-commissions.php?user_id=79&amp;payweek=2014-03-14" TargetMode="External"/><Relationship Id="rId1676" Type="http://schemas.openxmlformats.org/officeDocument/2006/relationships/hyperlink" Target="http://dev.dashboard.evolvesolar.com/my-commissions.php?user_id=621&amp;payweek=2014-11-07" TargetMode="External"/><Relationship Id="rId1883" Type="http://schemas.openxmlformats.org/officeDocument/2006/relationships/hyperlink" Target="http://dev.dashboard.evolvesolar.com/my-commissions.php?user_id=593&amp;payweek=2014-10-24" TargetMode="External"/><Relationship Id="rId2727" Type="http://schemas.openxmlformats.org/officeDocument/2006/relationships/hyperlink" Target="http://dev.dashboard.evolvesolar.com/my-commissions.php?user_id=395&amp;payweek=2014-08-29" TargetMode="External"/><Relationship Id="rId2934" Type="http://schemas.openxmlformats.org/officeDocument/2006/relationships/hyperlink" Target="http://dev.dashboard.evolvesolar.com/my-commissions.php?user_id=119&amp;payweek=2014-08-15" TargetMode="External"/><Relationship Id="rId906" Type="http://schemas.openxmlformats.org/officeDocument/2006/relationships/hyperlink" Target="http://dev.dashboard.evolvesolar.com/my-commissions.php?user_id=255&amp;payweek=2014-12-22" TargetMode="External"/><Relationship Id="rId1329" Type="http://schemas.openxmlformats.org/officeDocument/2006/relationships/hyperlink" Target="http://dev.dashboard.evolvesolar.com/my-commissions.php?user_id=217&amp;payweek=2014-11-21" TargetMode="External"/><Relationship Id="rId1536" Type="http://schemas.openxmlformats.org/officeDocument/2006/relationships/hyperlink" Target="http://dev.dashboard.evolvesolar.com/my-commissions.php?user_id=679&amp;payweek=2014-11-14" TargetMode="External"/><Relationship Id="rId1743" Type="http://schemas.openxmlformats.org/officeDocument/2006/relationships/hyperlink" Target="http://dev.dashboard.evolvesolar.com/my-commissions.php?user_id=302&amp;payweek=2014-10-31" TargetMode="External"/><Relationship Id="rId1950" Type="http://schemas.openxmlformats.org/officeDocument/2006/relationships/hyperlink" Target="http://dev.dashboard.evolvesolar.com/my-commissions.php?user_id=27&amp;payweek=2014-10-17" TargetMode="External"/><Relationship Id="rId35" Type="http://schemas.openxmlformats.org/officeDocument/2006/relationships/hyperlink" Target="http://dev.dashboard.evolvesolar.com/my-commissions.php?user_id=136&amp;payweek=2015-02-06" TargetMode="External"/><Relationship Id="rId1603" Type="http://schemas.openxmlformats.org/officeDocument/2006/relationships/hyperlink" Target="http://dev.dashboard.evolvesolar.com/my-commissions.php?user_id=85&amp;payweek=2014-11-07" TargetMode="External"/><Relationship Id="rId1810" Type="http://schemas.openxmlformats.org/officeDocument/2006/relationships/hyperlink" Target="http://dev.dashboard.evolvesolar.com/my-commissions.php?user_id=657&amp;payweek=2014-10-31" TargetMode="External"/><Relationship Id="rId3568" Type="http://schemas.openxmlformats.org/officeDocument/2006/relationships/hyperlink" Target="http://dev.dashboard.evolvesolar.com/my-commissions.php?user_id=143&amp;payweek=2014-06-20" TargetMode="External"/><Relationship Id="rId3775" Type="http://schemas.openxmlformats.org/officeDocument/2006/relationships/hyperlink" Target="http://dev.dashboard.evolvesolar.com/my-commissions.php?user_id=152&amp;payweek=2014-06-06" TargetMode="External"/><Relationship Id="rId3982" Type="http://schemas.openxmlformats.org/officeDocument/2006/relationships/hyperlink" Target="http://dev.dashboard.evolvesolar.com/my-commissions.php?user_id=71&amp;payweek=2014-04-24" TargetMode="External"/><Relationship Id="rId489" Type="http://schemas.openxmlformats.org/officeDocument/2006/relationships/hyperlink" Target="http://dev.dashboard.evolvesolar.com/my-commissions.php?user_id=679&amp;payweek=2015-01-15" TargetMode="External"/><Relationship Id="rId696" Type="http://schemas.openxmlformats.org/officeDocument/2006/relationships/hyperlink" Target="http://dev.dashboard.evolvesolar.com/my-commissions.php?user_id=387&amp;payweek=2014-12-31" TargetMode="External"/><Relationship Id="rId2377" Type="http://schemas.openxmlformats.org/officeDocument/2006/relationships/hyperlink" Target="http://dev.dashboard.evolvesolar.com/my-commissions.php?user_id=63&amp;payweek=2014-09-19" TargetMode="External"/><Relationship Id="rId2584" Type="http://schemas.openxmlformats.org/officeDocument/2006/relationships/hyperlink" Target="http://dev.dashboard.evolvesolar.com/my-commissions.php?user_id=41&amp;payweek=2014-09-07" TargetMode="External"/><Relationship Id="rId2791" Type="http://schemas.openxmlformats.org/officeDocument/2006/relationships/hyperlink" Target="http://dev.dashboard.evolvesolar.com/my-commissions.php?user_id=134&amp;payweek=2014-08-26" TargetMode="External"/><Relationship Id="rId3428" Type="http://schemas.openxmlformats.org/officeDocument/2006/relationships/hyperlink" Target="http://dev.dashboard.evolvesolar.com/my-commissions.php?user_id=242&amp;payweek=2014-07-11" TargetMode="External"/><Relationship Id="rId3635" Type="http://schemas.openxmlformats.org/officeDocument/2006/relationships/hyperlink" Target="http://dev.dashboard.evolvesolar.com/my-commissions.php?user_id=55&amp;payweek=2014-06-13" TargetMode="External"/><Relationship Id="rId349" Type="http://schemas.openxmlformats.org/officeDocument/2006/relationships/hyperlink" Target="http://dev.dashboard.evolvesolar.com/my-commissions.php?user_id=190&amp;payweek=2015-01-27" TargetMode="External"/><Relationship Id="rId556" Type="http://schemas.openxmlformats.org/officeDocument/2006/relationships/hyperlink" Target="http://dev.dashboard.evolvesolar.com/my-commissions.php?user_id=332&amp;payweek=2015-01-09" TargetMode="External"/><Relationship Id="rId763" Type="http://schemas.openxmlformats.org/officeDocument/2006/relationships/hyperlink" Target="http://dev.dashboard.evolvesolar.com/my-commissions.php?user_id=113&amp;payweek=2014-12-26" TargetMode="External"/><Relationship Id="rId1186" Type="http://schemas.openxmlformats.org/officeDocument/2006/relationships/hyperlink" Target="http://dev.dashboard.evolvesolar.com/my-commissions.php?user_id=753&amp;payweek=2014-12-05" TargetMode="External"/><Relationship Id="rId1393" Type="http://schemas.openxmlformats.org/officeDocument/2006/relationships/hyperlink" Target="http://dev.dashboard.evolvesolar.com/my-commissions.php?user_id=679&amp;payweek=2014-11-21" TargetMode="External"/><Relationship Id="rId2237" Type="http://schemas.openxmlformats.org/officeDocument/2006/relationships/hyperlink" Target="http://dev.dashboard.evolvesolar.com/my-commissions.php?user_id=389&amp;payweek=2014-10-03" TargetMode="External"/><Relationship Id="rId2444" Type="http://schemas.openxmlformats.org/officeDocument/2006/relationships/hyperlink" Target="http://dev.dashboard.evolvesolar.com/my-commissions.php?user_id=347&amp;payweek=2014-09-15" TargetMode="External"/><Relationship Id="rId3842" Type="http://schemas.openxmlformats.org/officeDocument/2006/relationships/hyperlink" Target="http://dev.dashboard.evolvesolar.com/my-commissions.php?user_id=71&amp;payweek=2014-05-23" TargetMode="External"/><Relationship Id="rId209" Type="http://schemas.openxmlformats.org/officeDocument/2006/relationships/hyperlink" Target="http://dev.dashboard.evolvesolar.com/my-commissions.php?user_id=930&amp;payweek=2015-02-06" TargetMode="External"/><Relationship Id="rId416" Type="http://schemas.openxmlformats.org/officeDocument/2006/relationships/hyperlink" Target="http://dev.dashboard.evolvesolar.com/my-commissions.php?user_id=726&amp;payweek=2015-01-23" TargetMode="External"/><Relationship Id="rId970" Type="http://schemas.openxmlformats.org/officeDocument/2006/relationships/hyperlink" Target="http://dev.dashboard.evolvesolar.com/my-commissions.php?user_id=410&amp;payweek=2014-12-19" TargetMode="External"/><Relationship Id="rId1046" Type="http://schemas.openxmlformats.org/officeDocument/2006/relationships/hyperlink" Target="http://dev.dashboard.evolvesolar.com/my-commissions.php?user_id=392&amp;payweek=2014-12-12" TargetMode="External"/><Relationship Id="rId1253" Type="http://schemas.openxmlformats.org/officeDocument/2006/relationships/hyperlink" Target="http://dev.dashboard.evolvesolar.com/my-commissions.php?user_id=250&amp;payweek=2014-11-25" TargetMode="External"/><Relationship Id="rId2651" Type="http://schemas.openxmlformats.org/officeDocument/2006/relationships/hyperlink" Target="http://dev.dashboard.evolvesolar.com/my-commissions.php?user_id=248&amp;payweek=2014-09-04" TargetMode="External"/><Relationship Id="rId3702" Type="http://schemas.openxmlformats.org/officeDocument/2006/relationships/hyperlink" Target="http://dev.dashboard.evolvesolar.com/my-commissions.php?user_id=28&amp;payweek=2014-06-06" TargetMode="External"/><Relationship Id="rId623" Type="http://schemas.openxmlformats.org/officeDocument/2006/relationships/hyperlink" Target="http://dev.dashboard.evolvesolar.com/my-commissions.php?user_id=755&amp;payweek=2015-01-09" TargetMode="External"/><Relationship Id="rId830" Type="http://schemas.openxmlformats.org/officeDocument/2006/relationships/hyperlink" Target="http://dev.dashboard.evolvesolar.com/my-commissions.php?user_id=580&amp;payweek=2014-12-26" TargetMode="External"/><Relationship Id="rId1460" Type="http://schemas.openxmlformats.org/officeDocument/2006/relationships/hyperlink" Target="http://dev.dashboard.evolvesolar.com/my-commissions.php?user_id=202&amp;payweek=2014-11-14" TargetMode="External"/><Relationship Id="rId2304" Type="http://schemas.openxmlformats.org/officeDocument/2006/relationships/hyperlink" Target="http://dev.dashboard.evolvesolar.com/my-commissions.php?user_id=352&amp;payweek=2014-09-25" TargetMode="External"/><Relationship Id="rId2511" Type="http://schemas.openxmlformats.org/officeDocument/2006/relationships/hyperlink" Target="http://dev.dashboard.evolvesolar.com/my-commissions.php?user_id=389&amp;payweek=2014-09-12" TargetMode="External"/><Relationship Id="rId1113" Type="http://schemas.openxmlformats.org/officeDocument/2006/relationships/hyperlink" Target="http://dev.dashboard.evolvesolar.com/my-commissions.php?user_id=41&amp;payweek=2014-12-05" TargetMode="External"/><Relationship Id="rId1320" Type="http://schemas.openxmlformats.org/officeDocument/2006/relationships/hyperlink" Target="http://dev.dashboard.evolvesolar.com/my-commissions.php?user_id=77&amp;payweek=2014-11-21" TargetMode="External"/><Relationship Id="rId3078" Type="http://schemas.openxmlformats.org/officeDocument/2006/relationships/hyperlink" Target="http://dev.dashboard.evolvesolar.com/my-commissions.php?user_id=203&amp;payweek=2014-08-07" TargetMode="External"/><Relationship Id="rId3285" Type="http://schemas.openxmlformats.org/officeDocument/2006/relationships/hyperlink" Target="http://dev.dashboard.evolvesolar.com/my-commissions.php?user_id=255&amp;payweek=2014-07-25" TargetMode="External"/><Relationship Id="rId3492" Type="http://schemas.openxmlformats.org/officeDocument/2006/relationships/hyperlink" Target="http://dev.dashboard.evolvesolar.com/my-commissions.php?user_id=99&amp;payweek=2014-06-27" TargetMode="External"/><Relationship Id="rId2094" Type="http://schemas.openxmlformats.org/officeDocument/2006/relationships/hyperlink" Target="http://dev.dashboard.evolvesolar.com/my-commissions.php?user_id=343&amp;payweek=2014-10-10" TargetMode="External"/><Relationship Id="rId3145" Type="http://schemas.openxmlformats.org/officeDocument/2006/relationships/hyperlink" Target="http://dev.dashboard.evolvesolar.com/my-commissions.php?user_id=285&amp;payweek=2014-08-02" TargetMode="External"/><Relationship Id="rId3352" Type="http://schemas.openxmlformats.org/officeDocument/2006/relationships/hyperlink" Target="http://dev.dashboard.evolvesolar.com/my-commissions.php?user_id=247&amp;payweek=2014-07-18" TargetMode="External"/><Relationship Id="rId273" Type="http://schemas.openxmlformats.org/officeDocument/2006/relationships/hyperlink" Target="http://dev.dashboard.evolvesolar.com/my-commissions.php?user_id=464&amp;payweek=2015-01-30" TargetMode="External"/><Relationship Id="rId480" Type="http://schemas.openxmlformats.org/officeDocument/2006/relationships/hyperlink" Target="http://dev.dashboard.evolvesolar.com/my-commissions.php?user_id=632&amp;payweek=2015-01-15" TargetMode="External"/><Relationship Id="rId2161" Type="http://schemas.openxmlformats.org/officeDocument/2006/relationships/hyperlink" Target="http://dev.dashboard.evolvesolar.com/my-commissions.php?user_id=41&amp;payweek=2014-10-06" TargetMode="External"/><Relationship Id="rId3005" Type="http://schemas.openxmlformats.org/officeDocument/2006/relationships/hyperlink" Target="http://dev.dashboard.evolvesolar.com/my-commissions.php?user_id=392&amp;payweek=2014-08-14" TargetMode="External"/><Relationship Id="rId3212" Type="http://schemas.openxmlformats.org/officeDocument/2006/relationships/hyperlink" Target="http://dev.dashboard.evolvesolar.com/my-commissions.php?user_id=255&amp;payweek=2014-07-31" TargetMode="External"/><Relationship Id="rId133" Type="http://schemas.openxmlformats.org/officeDocument/2006/relationships/hyperlink" Target="http://dev.dashboard.evolvesolar.com/my-commissions.php?user_id=539&amp;payweek=2015-02-06" TargetMode="External"/><Relationship Id="rId340" Type="http://schemas.openxmlformats.org/officeDocument/2006/relationships/hyperlink" Target="http://dev.dashboard.evolvesolar.com/my-commissions.php?user_id=943&amp;payweek=2015-01-30" TargetMode="External"/><Relationship Id="rId2021" Type="http://schemas.openxmlformats.org/officeDocument/2006/relationships/hyperlink" Target="http://dev.dashboard.evolvesolar.com/my-commissions.php?user_id=539&amp;payweek=2014-10-17" TargetMode="External"/><Relationship Id="rId200" Type="http://schemas.openxmlformats.org/officeDocument/2006/relationships/hyperlink" Target="http://dev.dashboard.evolvesolar.com/my-commissions.php?user_id=897&amp;payweek=2015-02-06" TargetMode="External"/><Relationship Id="rId2978" Type="http://schemas.openxmlformats.org/officeDocument/2006/relationships/hyperlink" Target="http://dev.dashboard.evolvesolar.com/my-commissions.php?user_id=213&amp;payweek=2014-08-14" TargetMode="External"/><Relationship Id="rId1787" Type="http://schemas.openxmlformats.org/officeDocument/2006/relationships/hyperlink" Target="http://dev.dashboard.evolvesolar.com/my-commissions.php?user_id=576&amp;payweek=2014-10-31" TargetMode="External"/><Relationship Id="rId1994" Type="http://schemas.openxmlformats.org/officeDocument/2006/relationships/hyperlink" Target="http://dev.dashboard.evolvesolar.com/my-commissions.php?user_id=332&amp;payweek=2014-10-17" TargetMode="External"/><Relationship Id="rId2838" Type="http://schemas.openxmlformats.org/officeDocument/2006/relationships/hyperlink" Target="http://dev.dashboard.evolvesolar.com/my-commissions.php?user_id=233&amp;payweek=2014-08-22" TargetMode="External"/><Relationship Id="rId79" Type="http://schemas.openxmlformats.org/officeDocument/2006/relationships/hyperlink" Target="http://dev.dashboard.evolvesolar.com/my-commissions.php?user_id=285&amp;payweek=2015-02-06" TargetMode="External"/><Relationship Id="rId1647" Type="http://schemas.openxmlformats.org/officeDocument/2006/relationships/hyperlink" Target="http://dev.dashboard.evolvesolar.com/my-commissions.php?user_id=472&amp;payweek=2014-11-07" TargetMode="External"/><Relationship Id="rId1854" Type="http://schemas.openxmlformats.org/officeDocument/2006/relationships/hyperlink" Target="http://dev.dashboard.evolvesolar.com/my-commissions.php?user_id=365&amp;payweek=2014-10-24" TargetMode="External"/><Relationship Id="rId2905" Type="http://schemas.openxmlformats.org/officeDocument/2006/relationships/hyperlink" Target="http://dev.dashboard.evolvesolar.com/my-commissions.php?user_id=472&amp;payweek=2014-08-22" TargetMode="External"/><Relationship Id="rId4053" Type="http://schemas.openxmlformats.org/officeDocument/2006/relationships/hyperlink" Target="http://dev.dashboard.evolvesolar.com/my-commissions.php?user_id=112&amp;payweek=2014-04-04" TargetMode="External"/><Relationship Id="rId1507" Type="http://schemas.openxmlformats.org/officeDocument/2006/relationships/hyperlink" Target="http://dev.dashboard.evolvesolar.com/my-commissions.php?user_id=493&amp;payweek=2014-11-14" TargetMode="External"/><Relationship Id="rId1714" Type="http://schemas.openxmlformats.org/officeDocument/2006/relationships/hyperlink" Target="http://dev.dashboard.evolvesolar.com/my-commissions.php?user_id=771&amp;payweek=2014-11-07" TargetMode="External"/><Relationship Id="rId1921" Type="http://schemas.openxmlformats.org/officeDocument/2006/relationships/hyperlink" Target="http://dev.dashboard.evolvesolar.com/my-commissions.php?user_id=638&amp;payweek=2014-10-22" TargetMode="External"/><Relationship Id="rId3679" Type="http://schemas.openxmlformats.org/officeDocument/2006/relationships/hyperlink" Target="http://dev.dashboard.evolvesolar.com/my-commissions.php?user_id=141&amp;payweek=2014-06-13" TargetMode="External"/><Relationship Id="rId2488" Type="http://schemas.openxmlformats.org/officeDocument/2006/relationships/hyperlink" Target="http://dev.dashboard.evolvesolar.com/my-commissions.php?user_id=321&amp;payweek=2014-09-12" TargetMode="External"/><Relationship Id="rId3886" Type="http://schemas.openxmlformats.org/officeDocument/2006/relationships/hyperlink" Target="http://dev.dashboard.evolvesolar.com/my-commissions.php?user_id=71&amp;payweek=2014-05-16" TargetMode="External"/><Relationship Id="rId1297" Type="http://schemas.openxmlformats.org/officeDocument/2006/relationships/hyperlink" Target="http://dev.dashboard.evolvesolar.com/my-commissions.php?user_id=782&amp;payweek=2014-11-25" TargetMode="External"/><Relationship Id="rId2695" Type="http://schemas.openxmlformats.org/officeDocument/2006/relationships/hyperlink" Target="http://dev.dashboard.evolvesolar.com/my-commissions.php?user_id=227&amp;payweek=2014-08-29" TargetMode="External"/><Relationship Id="rId3539" Type="http://schemas.openxmlformats.org/officeDocument/2006/relationships/hyperlink" Target="http://dev.dashboard.evolvesolar.com/my-commissions.php?user_id=94&amp;payweek=2014-06-20" TargetMode="External"/><Relationship Id="rId3746" Type="http://schemas.openxmlformats.org/officeDocument/2006/relationships/hyperlink" Target="http://dev.dashboard.evolvesolar.com/my-commissions.php?user_id=113&amp;payweek=2014-06-06" TargetMode="External"/><Relationship Id="rId3953" Type="http://schemas.openxmlformats.org/officeDocument/2006/relationships/hyperlink" Target="http://dev.dashboard.evolvesolar.com/my-commissions.php?user_id=82&amp;payweek=2014-05-02" TargetMode="External"/><Relationship Id="rId667" Type="http://schemas.openxmlformats.org/officeDocument/2006/relationships/hyperlink" Target="http://dev.dashboard.evolvesolar.com/my-commissions.php?user_id=152&amp;payweek=2014-12-31" TargetMode="External"/><Relationship Id="rId874" Type="http://schemas.openxmlformats.org/officeDocument/2006/relationships/hyperlink" Target="http://dev.dashboard.evolvesolar.com/my-commissions.php?user_id=725&amp;payweek=2014-12-26" TargetMode="External"/><Relationship Id="rId2348" Type="http://schemas.openxmlformats.org/officeDocument/2006/relationships/hyperlink" Target="http://dev.dashboard.evolvesolar.com/my-commissions.php?user_id=582&amp;payweek=2014-09-25" TargetMode="External"/><Relationship Id="rId2555" Type="http://schemas.openxmlformats.org/officeDocument/2006/relationships/hyperlink" Target="http://dev.dashboard.evolvesolar.com/my-commissions.php?user_id=550&amp;payweek=2014-09-12" TargetMode="External"/><Relationship Id="rId2762" Type="http://schemas.openxmlformats.org/officeDocument/2006/relationships/hyperlink" Target="http://dev.dashboard.evolvesolar.com/my-commissions.php?user_id=218&amp;payweek=2014-08-28" TargetMode="External"/><Relationship Id="rId3606" Type="http://schemas.openxmlformats.org/officeDocument/2006/relationships/hyperlink" Target="http://dev.dashboard.evolvesolar.com/my-commissions.php?user_id=225&amp;payweek=2014-06-20" TargetMode="External"/><Relationship Id="rId3813" Type="http://schemas.openxmlformats.org/officeDocument/2006/relationships/hyperlink" Target="http://dev.dashboard.evolvesolar.com/my-commissions.php?user_id=114&amp;payweek=2014-05-30" TargetMode="External"/><Relationship Id="rId527" Type="http://schemas.openxmlformats.org/officeDocument/2006/relationships/hyperlink" Target="http://dev.dashboard.evolvesolar.com/my-commissions.php?user_id=109&amp;payweek=2015-01-09" TargetMode="External"/><Relationship Id="rId734" Type="http://schemas.openxmlformats.org/officeDocument/2006/relationships/hyperlink" Target="http://dev.dashboard.evolvesolar.com/my-commissions.php?user_id=632&amp;payweek=2014-12-31" TargetMode="External"/><Relationship Id="rId941" Type="http://schemas.openxmlformats.org/officeDocument/2006/relationships/hyperlink" Target="http://dev.dashboard.evolvesolar.com/my-commissions.php?user_id=782&amp;payweek=2014-12-22" TargetMode="External"/><Relationship Id="rId1157" Type="http://schemas.openxmlformats.org/officeDocument/2006/relationships/hyperlink" Target="http://dev.dashboard.evolvesolar.com/my-commissions.php?user_id=657&amp;payweek=2014-12-05" TargetMode="External"/><Relationship Id="rId1364" Type="http://schemas.openxmlformats.org/officeDocument/2006/relationships/hyperlink" Target="http://dev.dashboard.evolvesolar.com/my-commissions.php?user_id=405&amp;payweek=2014-11-21" TargetMode="External"/><Relationship Id="rId1571" Type="http://schemas.openxmlformats.org/officeDocument/2006/relationships/hyperlink" Target="http://dev.dashboard.evolvesolar.com/my-commissions.php?user_id=772&amp;payweek=2014-11-14" TargetMode="External"/><Relationship Id="rId2208" Type="http://schemas.openxmlformats.org/officeDocument/2006/relationships/hyperlink" Target="http://dev.dashboard.evolvesolar.com/my-commissions.php?user_id=530&amp;payweek=2014-10-06" TargetMode="External"/><Relationship Id="rId2415" Type="http://schemas.openxmlformats.org/officeDocument/2006/relationships/hyperlink" Target="http://dev.dashboard.evolvesolar.com/my-commissions.php?user_id=383&amp;payweek=2014-09-19" TargetMode="External"/><Relationship Id="rId2622" Type="http://schemas.openxmlformats.org/officeDocument/2006/relationships/hyperlink" Target="http://dev.dashboard.evolvesolar.com/my-commissions.php?user_id=41&amp;payweek=2014-09-04" TargetMode="External"/><Relationship Id="rId70" Type="http://schemas.openxmlformats.org/officeDocument/2006/relationships/hyperlink" Target="http://dev.dashboard.evolvesolar.com/my-commissions.php?user_id=251&amp;payweek=2015-02-06" TargetMode="External"/><Relationship Id="rId801" Type="http://schemas.openxmlformats.org/officeDocument/2006/relationships/hyperlink" Target="http://dev.dashboard.evolvesolar.com/my-commissions.php?user_id=382&amp;payweek=2014-12-26" TargetMode="External"/><Relationship Id="rId1017" Type="http://schemas.openxmlformats.org/officeDocument/2006/relationships/hyperlink" Target="http://dev.dashboard.evolvesolar.com/my-commissions.php?user_id=204&amp;payweek=2014-12-12" TargetMode="External"/><Relationship Id="rId1224" Type="http://schemas.openxmlformats.org/officeDocument/2006/relationships/hyperlink" Target="http://dev.dashboard.evolvesolar.com/my-commissions.php?user_id=583&amp;payweek=2014-11-28" TargetMode="External"/><Relationship Id="rId1431" Type="http://schemas.openxmlformats.org/officeDocument/2006/relationships/hyperlink" Target="http://dev.dashboard.evolvesolar.com/my-commissions.php?user_id=672&amp;payweek=2014-11-18" TargetMode="External"/><Relationship Id="rId3189" Type="http://schemas.openxmlformats.org/officeDocument/2006/relationships/hyperlink" Target="http://dev.dashboard.evolvesolar.com/my-commissions.php?user_id=218&amp;payweek=2014-07-31" TargetMode="External"/><Relationship Id="rId3396" Type="http://schemas.openxmlformats.org/officeDocument/2006/relationships/hyperlink" Target="http://dev.dashboard.evolvesolar.com/my-commissions.php?user_id=133&amp;payweek=2014-07-11" TargetMode="External"/><Relationship Id="rId3049" Type="http://schemas.openxmlformats.org/officeDocument/2006/relationships/hyperlink" Target="http://dev.dashboard.evolvesolar.com/my-commissions.php?user_id=248&amp;payweek=2014-08-08" TargetMode="External"/><Relationship Id="rId3256" Type="http://schemas.openxmlformats.org/officeDocument/2006/relationships/hyperlink" Target="http://dev.dashboard.evolvesolar.com/my-commissions.php?user_id=183&amp;payweek=2014-07-25" TargetMode="External"/><Relationship Id="rId3463" Type="http://schemas.openxmlformats.org/officeDocument/2006/relationships/hyperlink" Target="http://dev.dashboard.evolvesolar.com/my-commissions.php?user_id=120&amp;payweek=2014-07-03" TargetMode="External"/><Relationship Id="rId177" Type="http://schemas.openxmlformats.org/officeDocument/2006/relationships/hyperlink" Target="http://dev.dashboard.evolvesolar.com/my-commissions.php?user_id=726&amp;payweek=2015-02-06" TargetMode="External"/><Relationship Id="rId384" Type="http://schemas.openxmlformats.org/officeDocument/2006/relationships/hyperlink" Target="http://dev.dashboard.evolvesolar.com/my-commissions.php?user_id=365&amp;payweek=2015-01-23" TargetMode="External"/><Relationship Id="rId591" Type="http://schemas.openxmlformats.org/officeDocument/2006/relationships/hyperlink" Target="http://dev.dashboard.evolvesolar.com/my-commissions.php?user_id=615&amp;payweek=2015-01-09" TargetMode="External"/><Relationship Id="rId2065" Type="http://schemas.openxmlformats.org/officeDocument/2006/relationships/hyperlink" Target="http://dev.dashboard.evolvesolar.com/my-commissions.php?user_id=27&amp;payweek=2014-10-10" TargetMode="External"/><Relationship Id="rId2272" Type="http://schemas.openxmlformats.org/officeDocument/2006/relationships/hyperlink" Target="http://dev.dashboard.evolvesolar.com/my-commissions.php?user_id=293&amp;payweek=2014-09-26" TargetMode="External"/><Relationship Id="rId3116" Type="http://schemas.openxmlformats.org/officeDocument/2006/relationships/hyperlink" Target="http://dev.dashboard.evolvesolar.com/my-commissions.php?user_id=365&amp;payweek=2014-08-07" TargetMode="External"/><Relationship Id="rId3670" Type="http://schemas.openxmlformats.org/officeDocument/2006/relationships/hyperlink" Target="http://dev.dashboard.evolvesolar.com/my-commissions.php?user_id=133&amp;payweek=2014-06-13" TargetMode="External"/><Relationship Id="rId244" Type="http://schemas.openxmlformats.org/officeDocument/2006/relationships/hyperlink" Target="http://dev.dashboard.evolvesolar.com/my-commissions.php?user_id=37&amp;payweek=2015-01-30" TargetMode="External"/><Relationship Id="rId1081" Type="http://schemas.openxmlformats.org/officeDocument/2006/relationships/hyperlink" Target="http://dev.dashboard.evolvesolar.com/my-commissions.php?user_id=715&amp;payweek=2014-12-12" TargetMode="External"/><Relationship Id="rId3323" Type="http://schemas.openxmlformats.org/officeDocument/2006/relationships/hyperlink" Target="http://dev.dashboard.evolvesolar.com/my-commissions.php?user_id=146&amp;payweek=2014-07-18" TargetMode="External"/><Relationship Id="rId3530" Type="http://schemas.openxmlformats.org/officeDocument/2006/relationships/hyperlink" Target="http://dev.dashboard.evolvesolar.com/my-commissions.php?user_id=59&amp;payweek=2014-06-20" TargetMode="External"/><Relationship Id="rId451" Type="http://schemas.openxmlformats.org/officeDocument/2006/relationships/hyperlink" Target="http://dev.dashboard.evolvesolar.com/my-commissions.php?user_id=217&amp;payweek=2015-01-15" TargetMode="External"/><Relationship Id="rId2132" Type="http://schemas.openxmlformats.org/officeDocument/2006/relationships/hyperlink" Target="http://dev.dashboard.evolvesolar.com/my-commissions.php?user_id=598&amp;payweek=2014-10-10" TargetMode="External"/><Relationship Id="rId104" Type="http://schemas.openxmlformats.org/officeDocument/2006/relationships/hyperlink" Target="http://dev.dashboard.evolvesolar.com/my-commissions.php?user_id=389&amp;payweek=2015-02-06" TargetMode="External"/><Relationship Id="rId311" Type="http://schemas.openxmlformats.org/officeDocument/2006/relationships/hyperlink" Target="http://dev.dashboard.evolvesolar.com/my-commissions.php?user_id=771&amp;payweek=2015-01-30" TargetMode="External"/><Relationship Id="rId1898" Type="http://schemas.openxmlformats.org/officeDocument/2006/relationships/hyperlink" Target="http://dev.dashboard.evolvesolar.com/my-commissions.php?user_id=632&amp;payweek=2014-10-24" TargetMode="External"/><Relationship Id="rId2949" Type="http://schemas.openxmlformats.org/officeDocument/2006/relationships/hyperlink" Target="http://dev.dashboard.evolvesolar.com/my-commissions.php?user_id=217&amp;payweek=2014-08-15" TargetMode="External"/><Relationship Id="rId4097" Type="http://schemas.openxmlformats.org/officeDocument/2006/relationships/hyperlink" Target="http://dev.dashboard.evolvesolar.com/my-commissions.php?user_id=89&amp;payweek=2014-02-21" TargetMode="External"/><Relationship Id="rId1758" Type="http://schemas.openxmlformats.org/officeDocument/2006/relationships/hyperlink" Target="http://dev.dashboard.evolvesolar.com/my-commissions.php?user_id=382&amp;payweek=2014-10-31" TargetMode="External"/><Relationship Id="rId2809" Type="http://schemas.openxmlformats.org/officeDocument/2006/relationships/hyperlink" Target="http://dev.dashboard.evolvesolar.com/my-commissions.php?user_id=133&amp;payweek=2014-08-22" TargetMode="External"/><Relationship Id="rId1965" Type="http://schemas.openxmlformats.org/officeDocument/2006/relationships/hyperlink" Target="http://dev.dashboard.evolvesolar.com/my-commissions.php?user_id=105&amp;payweek=2014-10-17" TargetMode="External"/><Relationship Id="rId3180" Type="http://schemas.openxmlformats.org/officeDocument/2006/relationships/hyperlink" Target="http://dev.dashboard.evolvesolar.com/my-commissions.php?user_id=184&amp;payweek=2014-07-31" TargetMode="External"/><Relationship Id="rId4024" Type="http://schemas.openxmlformats.org/officeDocument/2006/relationships/hyperlink" Target="http://dev.dashboard.evolvesolar.com/my-commissions.php?user_id=82&amp;payweek=2014-04-11" TargetMode="External"/><Relationship Id="rId1618" Type="http://schemas.openxmlformats.org/officeDocument/2006/relationships/hyperlink" Target="http://dev.dashboard.evolvesolar.com/my-commissions.php?user_id=261&amp;payweek=2014-11-07" TargetMode="External"/><Relationship Id="rId1825" Type="http://schemas.openxmlformats.org/officeDocument/2006/relationships/hyperlink" Target="http://dev.dashboard.evolvesolar.com/my-commissions.php?user_id=41&amp;payweek=2014-10-24" TargetMode="External"/><Relationship Id="rId3040" Type="http://schemas.openxmlformats.org/officeDocument/2006/relationships/hyperlink" Target="http://dev.dashboard.evolvesolar.com/my-commissions.php?user_id=232&amp;payweek=2014-08-08" TargetMode="External"/><Relationship Id="rId3997" Type="http://schemas.openxmlformats.org/officeDocument/2006/relationships/hyperlink" Target="http://dev.dashboard.evolvesolar.com/my-commissions.php?user_id=71&amp;payweek=2014-04-18" TargetMode="External"/><Relationship Id="rId2599" Type="http://schemas.openxmlformats.org/officeDocument/2006/relationships/hyperlink" Target="http://dev.dashboard.evolvesolar.com/my-commissions.php?user_id=254&amp;payweek=2014-09-05" TargetMode="External"/><Relationship Id="rId3857" Type="http://schemas.openxmlformats.org/officeDocument/2006/relationships/hyperlink" Target="http://dev.dashboard.evolvesolar.com/my-commissions.php?user_id=104&amp;payweek=2014-05-23" TargetMode="External"/><Relationship Id="rId778" Type="http://schemas.openxmlformats.org/officeDocument/2006/relationships/hyperlink" Target="http://dev.dashboard.evolvesolar.com/my-commissions.php?user_id=203&amp;payweek=2014-12-26" TargetMode="External"/><Relationship Id="rId985" Type="http://schemas.openxmlformats.org/officeDocument/2006/relationships/hyperlink" Target="http://dev.dashboard.evolvesolar.com/my-commissions.php?user_id=664&amp;payweek=2014-12-19" TargetMode="External"/><Relationship Id="rId2459" Type="http://schemas.openxmlformats.org/officeDocument/2006/relationships/hyperlink" Target="http://dev.dashboard.evolvesolar.com/my-commissions.php?user_id=185&amp;payweek=2014-09-12" TargetMode="External"/><Relationship Id="rId2666" Type="http://schemas.openxmlformats.org/officeDocument/2006/relationships/hyperlink" Target="http://dev.dashboard.evolvesolar.com/my-commissions.php?user_id=383&amp;payweek=2014-09-04" TargetMode="External"/><Relationship Id="rId2873" Type="http://schemas.openxmlformats.org/officeDocument/2006/relationships/hyperlink" Target="http://dev.dashboard.evolvesolar.com/my-commissions.php?user_id=324&amp;payweek=2014-08-22" TargetMode="External"/><Relationship Id="rId3717" Type="http://schemas.openxmlformats.org/officeDocument/2006/relationships/hyperlink" Target="http://dev.dashboard.evolvesolar.com/my-commissions.php?user_id=63&amp;payweek=2014-06-06" TargetMode="External"/><Relationship Id="rId3924" Type="http://schemas.openxmlformats.org/officeDocument/2006/relationships/hyperlink" Target="http://dev.dashboard.evolvesolar.com/my-commissions.php?user_id=84&amp;payweek=2014-05-09" TargetMode="External"/><Relationship Id="rId638" Type="http://schemas.openxmlformats.org/officeDocument/2006/relationships/hyperlink" Target="http://dev.dashboard.evolvesolar.com/my-commissions.php?user_id=927&amp;payweek=2015-01-09" TargetMode="External"/><Relationship Id="rId845" Type="http://schemas.openxmlformats.org/officeDocument/2006/relationships/hyperlink" Target="http://dev.dashboard.evolvesolar.com/my-commissions.php?user_id=635&amp;payweek=2014-12-26" TargetMode="External"/><Relationship Id="rId1268" Type="http://schemas.openxmlformats.org/officeDocument/2006/relationships/hyperlink" Target="http://dev.dashboard.evolvesolar.com/my-commissions.php?user_id=580&amp;payweek=2014-11-25" TargetMode="External"/><Relationship Id="rId1475" Type="http://schemas.openxmlformats.org/officeDocument/2006/relationships/hyperlink" Target="http://dev.dashboard.evolvesolar.com/my-commissions.php?user_id=282&amp;payweek=2014-11-14" TargetMode="External"/><Relationship Id="rId1682" Type="http://schemas.openxmlformats.org/officeDocument/2006/relationships/hyperlink" Target="http://dev.dashboard.evolvesolar.com/my-commissions.php?user_id=648&amp;payweek=2014-11-07" TargetMode="External"/><Relationship Id="rId2319" Type="http://schemas.openxmlformats.org/officeDocument/2006/relationships/hyperlink" Target="http://dev.dashboard.evolvesolar.com/my-commissions.php?user_id=422&amp;payweek=2014-09-25" TargetMode="External"/><Relationship Id="rId2526" Type="http://schemas.openxmlformats.org/officeDocument/2006/relationships/hyperlink" Target="http://dev.dashboard.evolvesolar.com/my-commissions.php?user_id=405&amp;payweek=2014-09-12" TargetMode="External"/><Relationship Id="rId2733" Type="http://schemas.openxmlformats.org/officeDocument/2006/relationships/hyperlink" Target="http://dev.dashboard.evolvesolar.com/my-commissions.php?user_id=429&amp;payweek=2014-08-29" TargetMode="External"/><Relationship Id="rId705" Type="http://schemas.openxmlformats.org/officeDocument/2006/relationships/hyperlink" Target="http://dev.dashboard.evolvesolar.com/my-commissions.php?user_id=446&amp;payweek=2014-12-31" TargetMode="External"/><Relationship Id="rId1128" Type="http://schemas.openxmlformats.org/officeDocument/2006/relationships/hyperlink" Target="http://dev.dashboard.evolvesolar.com/my-commissions.php?user_id=329&amp;payweek=2014-12-05" TargetMode="External"/><Relationship Id="rId1335" Type="http://schemas.openxmlformats.org/officeDocument/2006/relationships/hyperlink" Target="http://dev.dashboard.evolvesolar.com/my-commissions.php?user_id=261&amp;payweek=2014-11-21" TargetMode="External"/><Relationship Id="rId1542" Type="http://schemas.openxmlformats.org/officeDocument/2006/relationships/hyperlink" Target="http://dev.dashboard.evolvesolar.com/my-commissions.php?user_id=691&amp;payweek=2014-11-14" TargetMode="External"/><Relationship Id="rId2940" Type="http://schemas.openxmlformats.org/officeDocument/2006/relationships/hyperlink" Target="http://dev.dashboard.evolvesolar.com/my-commissions.php?user_id=157&amp;payweek=2014-08-15" TargetMode="External"/><Relationship Id="rId912" Type="http://schemas.openxmlformats.org/officeDocument/2006/relationships/hyperlink" Target="http://dev.dashboard.evolvesolar.com/my-commissions.php?user_id=373&amp;payweek=2014-12-22" TargetMode="External"/><Relationship Id="rId2800" Type="http://schemas.openxmlformats.org/officeDocument/2006/relationships/hyperlink" Target="http://dev.dashboard.evolvesolar.com/my-commissions.php?user_id=383&amp;payweek=2014-08-25" TargetMode="External"/><Relationship Id="rId41" Type="http://schemas.openxmlformats.org/officeDocument/2006/relationships/hyperlink" Target="http://dev.dashboard.evolvesolar.com/my-commissions.php?user_id=148&amp;payweek=2015-02-06" TargetMode="External"/><Relationship Id="rId1402" Type="http://schemas.openxmlformats.org/officeDocument/2006/relationships/hyperlink" Target="http://dev.dashboard.evolvesolar.com/my-commissions.php?user_id=699&amp;payweek=2014-11-21" TargetMode="External"/><Relationship Id="rId288" Type="http://schemas.openxmlformats.org/officeDocument/2006/relationships/hyperlink" Target="http://dev.dashboard.evolvesolar.com/my-commissions.php?user_id=656&amp;payweek=2015-01-30" TargetMode="External"/><Relationship Id="rId3367" Type="http://schemas.openxmlformats.org/officeDocument/2006/relationships/hyperlink" Target="http://dev.dashboard.evolvesolar.com/my-commissions.php?user_id=236&amp;payweek=2014-07-14" TargetMode="External"/><Relationship Id="rId3574" Type="http://schemas.openxmlformats.org/officeDocument/2006/relationships/hyperlink" Target="http://dev.dashboard.evolvesolar.com/my-commissions.php?user_id=151&amp;payweek=2014-06-20" TargetMode="External"/><Relationship Id="rId3781" Type="http://schemas.openxmlformats.org/officeDocument/2006/relationships/hyperlink" Target="http://dev.dashboard.evolvesolar.com/my-commissions.php?user_id=28&amp;payweek=2014-05-30" TargetMode="External"/><Relationship Id="rId495" Type="http://schemas.openxmlformats.org/officeDocument/2006/relationships/hyperlink" Target="http://dev.dashboard.evolvesolar.com/my-commissions.php?user_id=702&amp;payweek=2015-01-15" TargetMode="External"/><Relationship Id="rId2176" Type="http://schemas.openxmlformats.org/officeDocument/2006/relationships/hyperlink" Target="http://dev.dashboard.evolvesolar.com/my-commissions.php?user_id=269&amp;payweek=2014-10-06" TargetMode="External"/><Relationship Id="rId2383" Type="http://schemas.openxmlformats.org/officeDocument/2006/relationships/hyperlink" Target="http://dev.dashboard.evolvesolar.com/my-commissions.php?user_id=133&amp;payweek=2014-09-19" TargetMode="External"/><Relationship Id="rId2590" Type="http://schemas.openxmlformats.org/officeDocument/2006/relationships/hyperlink" Target="http://dev.dashboard.evolvesolar.com/my-commissions.php?user_id=63&amp;payweek=2014-09-05" TargetMode="External"/><Relationship Id="rId3227" Type="http://schemas.openxmlformats.org/officeDocument/2006/relationships/hyperlink" Target="http://dev.dashboard.evolvesolar.com/my-commissions.php?user_id=41&amp;payweek=2014-07-25" TargetMode="External"/><Relationship Id="rId3434" Type="http://schemas.openxmlformats.org/officeDocument/2006/relationships/hyperlink" Target="http://dev.dashboard.evolvesolar.com/my-commissions.php?user_id=269&amp;payweek=2014-07-11" TargetMode="External"/><Relationship Id="rId3641" Type="http://schemas.openxmlformats.org/officeDocument/2006/relationships/hyperlink" Target="http://dev.dashboard.evolvesolar.com/my-commissions.php?user_id=79&amp;payweek=2014-06-13" TargetMode="External"/><Relationship Id="rId148" Type="http://schemas.openxmlformats.org/officeDocument/2006/relationships/hyperlink" Target="http://dev.dashboard.evolvesolar.com/my-commissions.php?user_id=606&amp;payweek=2015-02-06" TargetMode="External"/><Relationship Id="rId355" Type="http://schemas.openxmlformats.org/officeDocument/2006/relationships/hyperlink" Target="http://dev.dashboard.evolvesolar.com/my-commissions.php?user_id=41&amp;payweek=2015-01-23" TargetMode="External"/><Relationship Id="rId562" Type="http://schemas.openxmlformats.org/officeDocument/2006/relationships/hyperlink" Target="http://dev.dashboard.evolvesolar.com/my-commissions.php?user_id=365&amp;payweek=2015-01-09" TargetMode="External"/><Relationship Id="rId1192" Type="http://schemas.openxmlformats.org/officeDocument/2006/relationships/hyperlink" Target="http://dev.dashboard.evolvesolar.com/my-commissions.php?user_id=790&amp;payweek=2014-12-05" TargetMode="External"/><Relationship Id="rId2036" Type="http://schemas.openxmlformats.org/officeDocument/2006/relationships/hyperlink" Target="http://dev.dashboard.evolvesolar.com/my-commissions.php?user_id=650&amp;payweek=2014-10-17" TargetMode="External"/><Relationship Id="rId2243" Type="http://schemas.openxmlformats.org/officeDocument/2006/relationships/hyperlink" Target="http://dev.dashboard.evolvesolar.com/my-commissions.php?user_id=438&amp;payweek=2014-10-03" TargetMode="External"/><Relationship Id="rId2450" Type="http://schemas.openxmlformats.org/officeDocument/2006/relationships/hyperlink" Target="http://dev.dashboard.evolvesolar.com/my-commissions.php?user_id=41&amp;payweek=2014-09-12" TargetMode="External"/><Relationship Id="rId3501" Type="http://schemas.openxmlformats.org/officeDocument/2006/relationships/hyperlink" Target="http://dev.dashboard.evolvesolar.com/my-commissions.php?user_id=143&amp;payweek=2014-06-27" TargetMode="External"/><Relationship Id="rId215" Type="http://schemas.openxmlformats.org/officeDocument/2006/relationships/hyperlink" Target="http://dev.dashboard.evolvesolar.com/my-commissions.php?user_id=945&amp;payweek=2015-02-06" TargetMode="External"/><Relationship Id="rId422" Type="http://schemas.openxmlformats.org/officeDocument/2006/relationships/hyperlink" Target="http://dev.dashboard.evolvesolar.com/my-commissions.php?user_id=809&amp;payweek=2015-01-23" TargetMode="External"/><Relationship Id="rId1052" Type="http://schemas.openxmlformats.org/officeDocument/2006/relationships/hyperlink" Target="http://dev.dashboard.evolvesolar.com/my-commissions.php?user_id=468&amp;payweek=2014-12-12" TargetMode="External"/><Relationship Id="rId2103" Type="http://schemas.openxmlformats.org/officeDocument/2006/relationships/hyperlink" Target="http://dev.dashboard.evolvesolar.com/my-commissions.php?user_id=397&amp;payweek=2014-10-10" TargetMode="External"/><Relationship Id="rId2310" Type="http://schemas.openxmlformats.org/officeDocument/2006/relationships/hyperlink" Target="http://dev.dashboard.evolvesolar.com/my-commissions.php?user_id=389&amp;payweek=2014-09-25" TargetMode="External"/><Relationship Id="rId4068" Type="http://schemas.openxmlformats.org/officeDocument/2006/relationships/hyperlink" Target="http://dev.dashboard.evolvesolar.com/my-commissions.php?user_id=130&amp;payweek=2014-03-28" TargetMode="External"/><Relationship Id="rId1869" Type="http://schemas.openxmlformats.org/officeDocument/2006/relationships/hyperlink" Target="http://dev.dashboard.evolvesolar.com/my-commissions.php?user_id=539&amp;payweek=2014-10-24" TargetMode="External"/><Relationship Id="rId3084" Type="http://schemas.openxmlformats.org/officeDocument/2006/relationships/hyperlink" Target="http://dev.dashboard.evolvesolar.com/my-commissions.php?user_id=214&amp;payweek=2014-08-07" TargetMode="External"/><Relationship Id="rId3291" Type="http://schemas.openxmlformats.org/officeDocument/2006/relationships/hyperlink" Target="http://dev.dashboard.evolvesolar.com/my-commissions.php?user_id=324&amp;payweek=2014-07-25" TargetMode="External"/><Relationship Id="rId1729" Type="http://schemas.openxmlformats.org/officeDocument/2006/relationships/hyperlink" Target="http://dev.dashboard.evolvesolar.com/my-commissions.php?user_id=218&amp;payweek=2014-10-31" TargetMode="External"/><Relationship Id="rId1936" Type="http://schemas.openxmlformats.org/officeDocument/2006/relationships/hyperlink" Target="http://dev.dashboard.evolvesolar.com/my-commissions.php?user_id=656&amp;payweek=2014-10-20" TargetMode="External"/><Relationship Id="rId3151" Type="http://schemas.openxmlformats.org/officeDocument/2006/relationships/hyperlink" Target="http://dev.dashboard.evolvesolar.com/my-commissions.php?user_id=27&amp;payweek=2014-07-31" TargetMode="External"/><Relationship Id="rId3011" Type="http://schemas.openxmlformats.org/officeDocument/2006/relationships/hyperlink" Target="http://dev.dashboard.evolvesolar.com/my-commissions.php?user_id=373&amp;payweek=2014-08-11" TargetMode="External"/><Relationship Id="rId3968" Type="http://schemas.openxmlformats.org/officeDocument/2006/relationships/hyperlink" Target="http://dev.dashboard.evolvesolar.com/my-commissions.php?user_id=114&amp;payweek=2014-05-02" TargetMode="External"/><Relationship Id="rId5" Type="http://schemas.openxmlformats.org/officeDocument/2006/relationships/hyperlink" Target="http://dev.dashboard.evolvesolar.com/my-commissions.php?user_id=34&amp;payweek=2015-02-06" TargetMode="External"/><Relationship Id="rId889" Type="http://schemas.openxmlformats.org/officeDocument/2006/relationships/hyperlink" Target="http://dev.dashboard.evolvesolar.com/my-commissions.php?user_id=672&amp;payweek=2014-12-24" TargetMode="External"/><Relationship Id="rId2777" Type="http://schemas.openxmlformats.org/officeDocument/2006/relationships/hyperlink" Target="http://dev.dashboard.evolvesolar.com/my-commissions.php?user_id=302&amp;payweek=2014-08-28" TargetMode="External"/><Relationship Id="rId749" Type="http://schemas.openxmlformats.org/officeDocument/2006/relationships/hyperlink" Target="http://dev.dashboard.evolvesolar.com/my-commissions.php?user_id=904&amp;payweek=2014-12-31" TargetMode="External"/><Relationship Id="rId1379" Type="http://schemas.openxmlformats.org/officeDocument/2006/relationships/hyperlink" Target="http://dev.dashboard.evolvesolar.com/my-commissions.php?user_id=621&amp;payweek=2014-11-21" TargetMode="External"/><Relationship Id="rId1586" Type="http://schemas.openxmlformats.org/officeDocument/2006/relationships/hyperlink" Target="http://dev.dashboard.evolvesolar.com/my-commissions.php?user_id=175&amp;payweek=2014-11-10" TargetMode="External"/><Relationship Id="rId2984" Type="http://schemas.openxmlformats.org/officeDocument/2006/relationships/hyperlink" Target="http://dev.dashboard.evolvesolar.com/my-commissions.php?user_id=231&amp;payweek=2014-08-14" TargetMode="External"/><Relationship Id="rId3828" Type="http://schemas.openxmlformats.org/officeDocument/2006/relationships/hyperlink" Target="http://dev.dashboard.evolvesolar.com/my-commissions.php?user_id=175&amp;payweek=2014-05-30" TargetMode="External"/><Relationship Id="rId609" Type="http://schemas.openxmlformats.org/officeDocument/2006/relationships/hyperlink" Target="http://dev.dashboard.evolvesolar.com/my-commissions.php?user_id=690&amp;payweek=2015-01-09" TargetMode="External"/><Relationship Id="rId956" Type="http://schemas.openxmlformats.org/officeDocument/2006/relationships/hyperlink" Target="http://dev.dashboard.evolvesolar.com/my-commissions.php?user_id=27&amp;payweek=2014-12-19" TargetMode="External"/><Relationship Id="rId1239" Type="http://schemas.openxmlformats.org/officeDocument/2006/relationships/hyperlink" Target="http://dev.dashboard.evolvesolar.com/my-commissions.php?user_id=813&amp;payweek=2014-11-28" TargetMode="External"/><Relationship Id="rId1793" Type="http://schemas.openxmlformats.org/officeDocument/2006/relationships/hyperlink" Target="http://dev.dashboard.evolvesolar.com/my-commissions.php?user_id=592&amp;payweek=2014-10-31" TargetMode="External"/><Relationship Id="rId2637" Type="http://schemas.openxmlformats.org/officeDocument/2006/relationships/hyperlink" Target="http://dev.dashboard.evolvesolar.com/my-commissions.php?user_id=223&amp;payweek=2014-09-04" TargetMode="External"/><Relationship Id="rId2844" Type="http://schemas.openxmlformats.org/officeDocument/2006/relationships/hyperlink" Target="http://dev.dashboard.evolvesolar.com/my-commissions.php?user_id=242&amp;payweek=2014-08-22" TargetMode="External"/><Relationship Id="rId85" Type="http://schemas.openxmlformats.org/officeDocument/2006/relationships/hyperlink" Target="http://dev.dashboard.evolvesolar.com/my-commissions.php?user_id=321&amp;payweek=2015-02-06" TargetMode="External"/><Relationship Id="rId816" Type="http://schemas.openxmlformats.org/officeDocument/2006/relationships/hyperlink" Target="http://dev.dashboard.evolvesolar.com/my-commissions.php?user_id=422&amp;payweek=2014-12-26" TargetMode="External"/><Relationship Id="rId1446" Type="http://schemas.openxmlformats.org/officeDocument/2006/relationships/hyperlink" Target="http://dev.dashboard.evolvesolar.com/my-commissions.php?user_id=94&amp;payweek=2014-11-14" TargetMode="External"/><Relationship Id="rId1653" Type="http://schemas.openxmlformats.org/officeDocument/2006/relationships/hyperlink" Target="http://dev.dashboard.evolvesolar.com/my-commissions.php?user_id=549&amp;payweek=2014-11-07" TargetMode="External"/><Relationship Id="rId1860" Type="http://schemas.openxmlformats.org/officeDocument/2006/relationships/hyperlink" Target="http://dev.dashboard.evolvesolar.com/my-commissions.php?user_id=389&amp;payweek=2014-10-24" TargetMode="External"/><Relationship Id="rId2704" Type="http://schemas.openxmlformats.org/officeDocument/2006/relationships/hyperlink" Target="http://dev.dashboard.evolvesolar.com/my-commissions.php?user_id=236&amp;payweek=2014-08-29" TargetMode="External"/><Relationship Id="rId2911" Type="http://schemas.openxmlformats.org/officeDocument/2006/relationships/hyperlink" Target="http://dev.dashboard.evolvesolar.com/my-commissions.php?user_id=580&amp;payweek=2014-08-22" TargetMode="External"/><Relationship Id="rId1306" Type="http://schemas.openxmlformats.org/officeDocument/2006/relationships/hyperlink" Target="http://dev.dashboard.evolvesolar.com/my-commissions.php?user_id=551&amp;payweek=2014-11-24" TargetMode="External"/><Relationship Id="rId1513" Type="http://schemas.openxmlformats.org/officeDocument/2006/relationships/hyperlink" Target="http://dev.dashboard.evolvesolar.com/my-commissions.php?user_id=583&amp;payweek=2014-11-14" TargetMode="External"/><Relationship Id="rId1720" Type="http://schemas.openxmlformats.org/officeDocument/2006/relationships/hyperlink" Target="http://dev.dashboard.evolvesolar.com/my-commissions.php?user_id=715&amp;payweek=2014-11-04" TargetMode="External"/><Relationship Id="rId12" Type="http://schemas.openxmlformats.org/officeDocument/2006/relationships/hyperlink" Target="http://dev.dashboard.evolvesolar.com/my-commissions.php?user_id=46&amp;payweek=2015-02-06" TargetMode="External"/><Relationship Id="rId3478" Type="http://schemas.openxmlformats.org/officeDocument/2006/relationships/hyperlink" Target="http://dev.dashboard.evolvesolar.com/my-commissions.php?user_id=27&amp;payweek=2014-06-27" TargetMode="External"/><Relationship Id="rId3685" Type="http://schemas.openxmlformats.org/officeDocument/2006/relationships/hyperlink" Target="http://dev.dashboard.evolvesolar.com/my-commissions.php?user_id=147&amp;payweek=2014-06-13" TargetMode="External"/><Relationship Id="rId3892" Type="http://schemas.openxmlformats.org/officeDocument/2006/relationships/hyperlink" Target="http://dev.dashboard.evolvesolar.com/my-commissions.php?user_id=102&amp;payweek=2014-05-16" TargetMode="External"/><Relationship Id="rId399" Type="http://schemas.openxmlformats.org/officeDocument/2006/relationships/hyperlink" Target="http://dev.dashboard.evolvesolar.com/my-commissions.php?user_id=607&amp;payweek=2015-01-23" TargetMode="External"/><Relationship Id="rId2287" Type="http://schemas.openxmlformats.org/officeDocument/2006/relationships/hyperlink" Target="http://dev.dashboard.evolvesolar.com/my-commissions.php?user_id=203&amp;payweek=2014-09-25" TargetMode="External"/><Relationship Id="rId2494" Type="http://schemas.openxmlformats.org/officeDocument/2006/relationships/hyperlink" Target="http://dev.dashboard.evolvesolar.com/my-commissions.php?user_id=341&amp;payweek=2014-09-12" TargetMode="External"/><Relationship Id="rId3338" Type="http://schemas.openxmlformats.org/officeDocument/2006/relationships/hyperlink" Target="http://dev.dashboard.evolvesolar.com/my-commissions.php?user_id=214&amp;payweek=2014-07-18" TargetMode="External"/><Relationship Id="rId3545" Type="http://schemas.openxmlformats.org/officeDocument/2006/relationships/hyperlink" Target="http://dev.dashboard.evolvesolar.com/my-commissions.php?user_id=100&amp;payweek=2014-06-20" TargetMode="External"/><Relationship Id="rId3752" Type="http://schemas.openxmlformats.org/officeDocument/2006/relationships/hyperlink" Target="http://dev.dashboard.evolvesolar.com/my-commissions.php?user_id=118&amp;payweek=2014-06-06" TargetMode="External"/><Relationship Id="rId259" Type="http://schemas.openxmlformats.org/officeDocument/2006/relationships/hyperlink" Target="http://dev.dashboard.evolvesolar.com/my-commissions.php?user_id=300&amp;payweek=2015-01-30" TargetMode="External"/><Relationship Id="rId466" Type="http://schemas.openxmlformats.org/officeDocument/2006/relationships/hyperlink" Target="http://dev.dashboard.evolvesolar.com/my-commissions.php?user_id=407&amp;payweek=2015-01-15" TargetMode="External"/><Relationship Id="rId673" Type="http://schemas.openxmlformats.org/officeDocument/2006/relationships/hyperlink" Target="http://dev.dashboard.evolvesolar.com/my-commissions.php?user_id=217&amp;payweek=2014-12-31" TargetMode="External"/><Relationship Id="rId880" Type="http://schemas.openxmlformats.org/officeDocument/2006/relationships/hyperlink" Target="http://dev.dashboard.evolvesolar.com/my-commissions.php?user_id=807&amp;payweek=2014-12-26" TargetMode="External"/><Relationship Id="rId1096" Type="http://schemas.openxmlformats.org/officeDocument/2006/relationships/hyperlink" Target="http://dev.dashboard.evolvesolar.com/my-commissions.php?user_id=817&amp;payweek=2014-12-12" TargetMode="External"/><Relationship Id="rId2147" Type="http://schemas.openxmlformats.org/officeDocument/2006/relationships/hyperlink" Target="http://dev.dashboard.evolvesolar.com/my-commissions.php?user_id=648&amp;payweek=2014-10-10" TargetMode="External"/><Relationship Id="rId2354" Type="http://schemas.openxmlformats.org/officeDocument/2006/relationships/hyperlink" Target="http://dev.dashboard.evolvesolar.com/my-commissions.php?user_id=604&amp;payweek=2014-09-25" TargetMode="External"/><Relationship Id="rId2561" Type="http://schemas.openxmlformats.org/officeDocument/2006/relationships/hyperlink" Target="http://dev.dashboard.evolvesolar.com/my-commissions.php?user_id=576&amp;payweek=2014-09-12" TargetMode="External"/><Relationship Id="rId3405" Type="http://schemas.openxmlformats.org/officeDocument/2006/relationships/hyperlink" Target="http://dev.dashboard.evolvesolar.com/my-commissions.php?user_id=184&amp;payweek=2014-07-11" TargetMode="External"/><Relationship Id="rId119" Type="http://schemas.openxmlformats.org/officeDocument/2006/relationships/hyperlink" Target="http://dev.dashboard.evolvesolar.com/my-commissions.php?user_id=453&amp;payweek=2015-02-06" TargetMode="External"/><Relationship Id="rId326" Type="http://schemas.openxmlformats.org/officeDocument/2006/relationships/hyperlink" Target="http://dev.dashboard.evolvesolar.com/my-commissions.php?user_id=860&amp;payweek=2015-01-30" TargetMode="External"/><Relationship Id="rId533" Type="http://schemas.openxmlformats.org/officeDocument/2006/relationships/hyperlink" Target="http://dev.dashboard.evolvesolar.com/my-commissions.php?user_id=141&amp;payweek=2015-01-09" TargetMode="External"/><Relationship Id="rId1163" Type="http://schemas.openxmlformats.org/officeDocument/2006/relationships/hyperlink" Target="http://dev.dashboard.evolvesolar.com/my-commissions.php?user_id=674&amp;payweek=2014-12-05" TargetMode="External"/><Relationship Id="rId1370" Type="http://schemas.openxmlformats.org/officeDocument/2006/relationships/hyperlink" Target="http://dev.dashboard.evolvesolar.com/my-commissions.php?user_id=499&amp;payweek=2014-11-21" TargetMode="External"/><Relationship Id="rId2007" Type="http://schemas.openxmlformats.org/officeDocument/2006/relationships/hyperlink" Target="http://dev.dashboard.evolvesolar.com/my-commissions.php?user_id=410&amp;payweek=2014-10-17" TargetMode="External"/><Relationship Id="rId2214" Type="http://schemas.openxmlformats.org/officeDocument/2006/relationships/hyperlink" Target="http://dev.dashboard.evolvesolar.com/my-commissions.php?user_id=569&amp;payweek=2014-10-06" TargetMode="External"/><Relationship Id="rId3612" Type="http://schemas.openxmlformats.org/officeDocument/2006/relationships/hyperlink" Target="http://dev.dashboard.evolvesolar.com/my-commissions.php?user_id=138&amp;payweek=2014-06-16" TargetMode="External"/><Relationship Id="rId740" Type="http://schemas.openxmlformats.org/officeDocument/2006/relationships/hyperlink" Target="http://dev.dashboard.evolvesolar.com/my-commissions.php?user_id=661&amp;payweek=2014-12-31" TargetMode="External"/><Relationship Id="rId1023" Type="http://schemas.openxmlformats.org/officeDocument/2006/relationships/hyperlink" Target="http://dev.dashboard.evolvesolar.com/my-commissions.php?user_id=219&amp;payweek=2014-12-12" TargetMode="External"/><Relationship Id="rId2421" Type="http://schemas.openxmlformats.org/officeDocument/2006/relationships/hyperlink" Target="http://dev.dashboard.evolvesolar.com/my-commissions.php?user_id=401&amp;payweek=2014-09-19" TargetMode="External"/><Relationship Id="rId600" Type="http://schemas.openxmlformats.org/officeDocument/2006/relationships/hyperlink" Target="http://dev.dashboard.evolvesolar.com/my-commissions.php?user_id=646&amp;payweek=2015-01-09" TargetMode="External"/><Relationship Id="rId1230" Type="http://schemas.openxmlformats.org/officeDocument/2006/relationships/hyperlink" Target="http://dev.dashboard.evolvesolar.com/my-commissions.php?user_id=657&amp;payweek=2014-11-28" TargetMode="External"/><Relationship Id="rId3195" Type="http://schemas.openxmlformats.org/officeDocument/2006/relationships/hyperlink" Target="http://dev.dashboard.evolvesolar.com/my-commissions.php?user_id=230&amp;payweek=2014-07-31" TargetMode="External"/><Relationship Id="rId4039" Type="http://schemas.openxmlformats.org/officeDocument/2006/relationships/hyperlink" Target="http://dev.dashboard.evolvesolar.com/my-commissions.php?user_id=111&amp;payweek=2014-04-11" TargetMode="External"/><Relationship Id="rId3055" Type="http://schemas.openxmlformats.org/officeDocument/2006/relationships/hyperlink" Target="http://dev.dashboard.evolvesolar.com/my-commissions.php?user_id=295&amp;payweek=2014-08-08" TargetMode="External"/><Relationship Id="rId3262" Type="http://schemas.openxmlformats.org/officeDocument/2006/relationships/hyperlink" Target="http://dev.dashboard.evolvesolar.com/my-commissions.php?user_id=202&amp;payweek=2014-07-25" TargetMode="External"/><Relationship Id="rId4106" Type="http://schemas.openxmlformats.org/officeDocument/2006/relationships/hyperlink" Target="http://dev.dashboard.evolvesolar.com/my-commissions.php?user_id=831&amp;payweek=2014-01-12" TargetMode="External"/><Relationship Id="rId183" Type="http://schemas.openxmlformats.org/officeDocument/2006/relationships/hyperlink" Target="http://dev.dashboard.evolvesolar.com/my-commissions.php?user_id=817&amp;payweek=2015-02-06" TargetMode="External"/><Relationship Id="rId390" Type="http://schemas.openxmlformats.org/officeDocument/2006/relationships/hyperlink" Target="http://dev.dashboard.evolvesolar.com/my-commissions.php?user_id=407&amp;payweek=2015-01-23" TargetMode="External"/><Relationship Id="rId1907" Type="http://schemas.openxmlformats.org/officeDocument/2006/relationships/hyperlink" Target="http://dev.dashboard.evolvesolar.com/my-commissions.php?user_id=664&amp;payweek=2014-10-24" TargetMode="External"/><Relationship Id="rId2071" Type="http://schemas.openxmlformats.org/officeDocument/2006/relationships/hyperlink" Target="http://dev.dashboard.evolvesolar.com/my-commissions.php?user_id=77&amp;payweek=2014-10-10" TargetMode="External"/><Relationship Id="rId3122" Type="http://schemas.openxmlformats.org/officeDocument/2006/relationships/hyperlink" Target="http://dev.dashboard.evolvesolar.com/my-commissions.php?user_id=160&amp;payweek=2014-08-04" TargetMode="External"/><Relationship Id="rId250" Type="http://schemas.openxmlformats.org/officeDocument/2006/relationships/hyperlink" Target="http://dev.dashboard.evolvesolar.com/my-commissions.php?user_id=180&amp;payweek=2015-01-30" TargetMode="External"/><Relationship Id="rId110" Type="http://schemas.openxmlformats.org/officeDocument/2006/relationships/hyperlink" Target="http://dev.dashboard.evolvesolar.com/my-commissions.php?user_id=407&amp;payweek=2015-02-06" TargetMode="External"/><Relationship Id="rId2888" Type="http://schemas.openxmlformats.org/officeDocument/2006/relationships/hyperlink" Target="http://dev.dashboard.evolvesolar.com/my-commissions.php?user_id=395&amp;payweek=2014-08-22" TargetMode="External"/><Relationship Id="rId3939" Type="http://schemas.openxmlformats.org/officeDocument/2006/relationships/hyperlink" Target="http://dev.dashboard.evolvesolar.com/my-commissions.php?user_id=38&amp;payweek=2014-05-03" TargetMode="External"/><Relationship Id="rId1697" Type="http://schemas.openxmlformats.org/officeDocument/2006/relationships/hyperlink" Target="http://dev.dashboard.evolvesolar.com/my-commissions.php?user_id=703&amp;payweek=2014-11-07" TargetMode="External"/><Relationship Id="rId2748" Type="http://schemas.openxmlformats.org/officeDocument/2006/relationships/hyperlink" Target="http://dev.dashboard.evolvesolar.com/my-commissions.php?user_id=94&amp;payweek=2014-08-28" TargetMode="External"/><Relationship Id="rId2955" Type="http://schemas.openxmlformats.org/officeDocument/2006/relationships/hyperlink" Target="http://dev.dashboard.evolvesolar.com/my-commissions.php?user_id=244&amp;payweek=2014-08-15" TargetMode="External"/><Relationship Id="rId927" Type="http://schemas.openxmlformats.org/officeDocument/2006/relationships/hyperlink" Target="http://dev.dashboard.evolvesolar.com/my-commissions.php?user_id=672&amp;payweek=2014-12-22" TargetMode="External"/><Relationship Id="rId1557" Type="http://schemas.openxmlformats.org/officeDocument/2006/relationships/hyperlink" Target="http://dev.dashboard.evolvesolar.com/my-commissions.php?user_id=722&amp;payweek=2014-11-14" TargetMode="External"/><Relationship Id="rId1764" Type="http://schemas.openxmlformats.org/officeDocument/2006/relationships/hyperlink" Target="http://dev.dashboard.evolvesolar.com/my-commissions.php?user_id=410&amp;payweek=2014-10-31" TargetMode="External"/><Relationship Id="rId1971" Type="http://schemas.openxmlformats.org/officeDocument/2006/relationships/hyperlink" Target="http://dev.dashboard.evolvesolar.com/my-commissions.php?user_id=134&amp;payweek=2014-10-17" TargetMode="External"/><Relationship Id="rId2608" Type="http://schemas.openxmlformats.org/officeDocument/2006/relationships/hyperlink" Target="http://dev.dashboard.evolvesolar.com/my-commissions.php?user_id=341&amp;payweek=2014-09-05" TargetMode="External"/><Relationship Id="rId2815" Type="http://schemas.openxmlformats.org/officeDocument/2006/relationships/hyperlink" Target="http://dev.dashboard.evolvesolar.com/my-commissions.php?user_id=191&amp;payweek=2014-08-22" TargetMode="External"/><Relationship Id="rId56" Type="http://schemas.openxmlformats.org/officeDocument/2006/relationships/hyperlink" Target="http://dev.dashboard.evolvesolar.com/my-commissions.php?user_id=211&amp;payweek=2015-02-06" TargetMode="External"/><Relationship Id="rId1417" Type="http://schemas.openxmlformats.org/officeDocument/2006/relationships/hyperlink" Target="http://dev.dashboard.evolvesolar.com/my-commissions.php?user_id=782&amp;payweek=2014-11-21" TargetMode="External"/><Relationship Id="rId1624" Type="http://schemas.openxmlformats.org/officeDocument/2006/relationships/hyperlink" Target="http://dev.dashboard.evolvesolar.com/my-commissions.php?user_id=326&amp;payweek=2014-11-07" TargetMode="External"/><Relationship Id="rId1831" Type="http://schemas.openxmlformats.org/officeDocument/2006/relationships/hyperlink" Target="http://dev.dashboard.evolvesolar.com/my-commissions.php?user_id=133&amp;payweek=2014-10-24" TargetMode="External"/><Relationship Id="rId4030" Type="http://schemas.openxmlformats.org/officeDocument/2006/relationships/hyperlink" Target="http://dev.dashboard.evolvesolar.com/my-commissions.php?user_id=100&amp;payweek=2014-04-11" TargetMode="External"/><Relationship Id="rId3589" Type="http://schemas.openxmlformats.org/officeDocument/2006/relationships/hyperlink" Target="http://dev.dashboard.evolvesolar.com/my-commissions.php?user_id=163&amp;payweek=2014-06-20" TargetMode="External"/><Relationship Id="rId3796" Type="http://schemas.openxmlformats.org/officeDocument/2006/relationships/hyperlink" Target="http://dev.dashboard.evolvesolar.com/my-commissions.php?user_id=85&amp;payweek=2014-05-30" TargetMode="External"/><Relationship Id="rId2398" Type="http://schemas.openxmlformats.org/officeDocument/2006/relationships/hyperlink" Target="http://dev.dashboard.evolvesolar.com/my-commissions.php?user_id=244&amp;payweek=2014-09-19" TargetMode="External"/><Relationship Id="rId3449" Type="http://schemas.openxmlformats.org/officeDocument/2006/relationships/hyperlink" Target="http://dev.dashboard.evolvesolar.com/my-commissions.php?user_id=168&amp;payweek=2014-07-04" TargetMode="External"/><Relationship Id="rId577" Type="http://schemas.openxmlformats.org/officeDocument/2006/relationships/hyperlink" Target="http://dev.dashboard.evolvesolar.com/my-commissions.php?user_id=464&amp;payweek=2015-01-09" TargetMode="External"/><Relationship Id="rId2258" Type="http://schemas.openxmlformats.org/officeDocument/2006/relationships/hyperlink" Target="http://dev.dashboard.evolvesolar.com/my-commissions.php?user_id=692&amp;payweek=2014-10-01" TargetMode="External"/><Relationship Id="rId3656" Type="http://schemas.openxmlformats.org/officeDocument/2006/relationships/hyperlink" Target="http://dev.dashboard.evolvesolar.com/my-commissions.php?user_id=109&amp;payweek=2014-06-13" TargetMode="External"/><Relationship Id="rId3863" Type="http://schemas.openxmlformats.org/officeDocument/2006/relationships/hyperlink" Target="http://dev.dashboard.evolvesolar.com/my-commissions.php?user_id=114&amp;payweek=2014-05-23" TargetMode="External"/><Relationship Id="rId784" Type="http://schemas.openxmlformats.org/officeDocument/2006/relationships/hyperlink" Target="http://dev.dashboard.evolvesolar.com/my-commissions.php?user_id=261&amp;payweek=2014-12-26" TargetMode="External"/><Relationship Id="rId991" Type="http://schemas.openxmlformats.org/officeDocument/2006/relationships/hyperlink" Target="http://dev.dashboard.evolvesolar.com/my-commissions.php?user_id=631&amp;payweek=2014-12-15" TargetMode="External"/><Relationship Id="rId1067" Type="http://schemas.openxmlformats.org/officeDocument/2006/relationships/hyperlink" Target="http://dev.dashboard.evolvesolar.com/my-commissions.php?user_id=612&amp;payweek=2014-12-12" TargetMode="External"/><Relationship Id="rId2465" Type="http://schemas.openxmlformats.org/officeDocument/2006/relationships/hyperlink" Target="http://dev.dashboard.evolvesolar.com/my-commissions.php?user_id=230&amp;payweek=2014-09-12" TargetMode="External"/><Relationship Id="rId2672" Type="http://schemas.openxmlformats.org/officeDocument/2006/relationships/hyperlink" Target="http://dev.dashboard.evolvesolar.com/my-commissions.php?user_id=397&amp;payweek=2014-09-04" TargetMode="External"/><Relationship Id="rId3309" Type="http://schemas.openxmlformats.org/officeDocument/2006/relationships/hyperlink" Target="http://dev.dashboard.evolvesolar.com/my-commissions.php?user_id=83&amp;payweek=2014-07-18" TargetMode="External"/><Relationship Id="rId3516" Type="http://schemas.openxmlformats.org/officeDocument/2006/relationships/hyperlink" Target="http://dev.dashboard.evolvesolar.com/my-commissions.php?user_id=236&amp;payweek=2014-06-27" TargetMode="External"/><Relationship Id="rId3723" Type="http://schemas.openxmlformats.org/officeDocument/2006/relationships/hyperlink" Target="http://dev.dashboard.evolvesolar.com/my-commissions.php?user_id=83&amp;payweek=2014-06-06" TargetMode="External"/><Relationship Id="rId3930" Type="http://schemas.openxmlformats.org/officeDocument/2006/relationships/hyperlink" Target="http://dev.dashboard.evolvesolar.com/my-commissions.php?user_id=89&amp;payweek=2014-05-09" TargetMode="External"/><Relationship Id="rId437" Type="http://schemas.openxmlformats.org/officeDocument/2006/relationships/hyperlink" Target="http://dev.dashboard.evolvesolar.com/my-commissions.php?user_id=37&amp;payweek=2015-01-15" TargetMode="External"/><Relationship Id="rId644" Type="http://schemas.openxmlformats.org/officeDocument/2006/relationships/hyperlink" Target="http://dev.dashboard.evolvesolar.com/my-commissions.php?user_id=690&amp;payweek=2015-01-06" TargetMode="External"/><Relationship Id="rId851" Type="http://schemas.openxmlformats.org/officeDocument/2006/relationships/hyperlink" Target="http://dev.dashboard.evolvesolar.com/my-commissions.php?user_id=656&amp;payweek=2014-12-26" TargetMode="External"/><Relationship Id="rId1274" Type="http://schemas.openxmlformats.org/officeDocument/2006/relationships/hyperlink" Target="http://dev.dashboard.evolvesolar.com/my-commissions.php?user_id=626&amp;payweek=2014-11-25" TargetMode="External"/><Relationship Id="rId1481" Type="http://schemas.openxmlformats.org/officeDocument/2006/relationships/hyperlink" Target="http://dev.dashboard.evolvesolar.com/my-commissions.php?user_id=302&amp;payweek=2014-11-14" TargetMode="External"/><Relationship Id="rId2118" Type="http://schemas.openxmlformats.org/officeDocument/2006/relationships/hyperlink" Target="http://dev.dashboard.evolvesolar.com/my-commissions.php?user_id=472&amp;payweek=2014-10-10" TargetMode="External"/><Relationship Id="rId2325" Type="http://schemas.openxmlformats.org/officeDocument/2006/relationships/hyperlink" Target="http://dev.dashboard.evolvesolar.com/my-commissions.php?user_id=443&amp;payweek=2014-09-25" TargetMode="External"/><Relationship Id="rId2532" Type="http://schemas.openxmlformats.org/officeDocument/2006/relationships/hyperlink" Target="http://dev.dashboard.evolvesolar.com/my-commissions.php?user_id=422&amp;payweek=2014-09-12" TargetMode="External"/><Relationship Id="rId504" Type="http://schemas.openxmlformats.org/officeDocument/2006/relationships/hyperlink" Target="http://dev.dashboard.evolvesolar.com/my-commissions.php?user_id=793&amp;payweek=2015-01-15" TargetMode="External"/><Relationship Id="rId711" Type="http://schemas.openxmlformats.org/officeDocument/2006/relationships/hyperlink" Target="http://dev.dashboard.evolvesolar.com/my-commissions.php?user_id=465&amp;payweek=2014-12-31" TargetMode="External"/><Relationship Id="rId1134" Type="http://schemas.openxmlformats.org/officeDocument/2006/relationships/hyperlink" Target="http://dev.dashboard.evolvesolar.com/my-commissions.php?user_id=410&amp;payweek=2014-12-05" TargetMode="External"/><Relationship Id="rId1341" Type="http://schemas.openxmlformats.org/officeDocument/2006/relationships/hyperlink" Target="http://dev.dashboard.evolvesolar.com/my-commissions.php?user_id=295&amp;payweek=2014-11-21" TargetMode="External"/><Relationship Id="rId1201" Type="http://schemas.openxmlformats.org/officeDocument/2006/relationships/hyperlink" Target="http://dev.dashboard.evolvesolar.com/my-commissions.php?user_id=854&amp;payweek=2014-12-05" TargetMode="External"/><Relationship Id="rId3099" Type="http://schemas.openxmlformats.org/officeDocument/2006/relationships/hyperlink" Target="http://dev.dashboard.evolvesolar.com/my-commissions.php?user_id=233&amp;payweek=2014-08-07" TargetMode="External"/><Relationship Id="rId3166" Type="http://schemas.openxmlformats.org/officeDocument/2006/relationships/hyperlink" Target="http://dev.dashboard.evolvesolar.com/my-commissions.php?user_id=134&amp;payweek=2014-07-31" TargetMode="External"/><Relationship Id="rId3373" Type="http://schemas.openxmlformats.org/officeDocument/2006/relationships/hyperlink" Target="http://dev.dashboard.evolvesolar.com/my-commissions.php?user_id=67&amp;payweek=2014-07-11" TargetMode="External"/><Relationship Id="rId3580" Type="http://schemas.openxmlformats.org/officeDocument/2006/relationships/hyperlink" Target="http://dev.dashboard.evolvesolar.com/my-commissions.php?user_id=156&amp;payweek=2014-06-20" TargetMode="External"/><Relationship Id="rId294" Type="http://schemas.openxmlformats.org/officeDocument/2006/relationships/hyperlink" Target="http://dev.dashboard.evolvesolar.com/my-commissions.php?user_id=679&amp;payweek=2015-01-30" TargetMode="External"/><Relationship Id="rId2182" Type="http://schemas.openxmlformats.org/officeDocument/2006/relationships/hyperlink" Target="http://dev.dashboard.evolvesolar.com/my-commissions.php?user_id=326&amp;payweek=2014-10-06" TargetMode="External"/><Relationship Id="rId3026" Type="http://schemas.openxmlformats.org/officeDocument/2006/relationships/hyperlink" Target="http://dev.dashboard.evolvesolar.com/my-commissions.php?user_id=153&amp;payweek=2014-08-08" TargetMode="External"/><Relationship Id="rId3233" Type="http://schemas.openxmlformats.org/officeDocument/2006/relationships/hyperlink" Target="http://dev.dashboard.evolvesolar.com/my-commissions.php?user_id=108&amp;payweek=2014-07-25" TargetMode="External"/><Relationship Id="rId154" Type="http://schemas.openxmlformats.org/officeDocument/2006/relationships/hyperlink" Target="http://dev.dashboard.evolvesolar.com/my-commissions.php?user_id=614&amp;payweek=2015-02-06" TargetMode="External"/><Relationship Id="rId361" Type="http://schemas.openxmlformats.org/officeDocument/2006/relationships/hyperlink" Target="http://dev.dashboard.evolvesolar.com/my-commissions.php?user_id=203&amp;payweek=2015-01-23" TargetMode="External"/><Relationship Id="rId2042" Type="http://schemas.openxmlformats.org/officeDocument/2006/relationships/hyperlink" Target="http://dev.dashboard.evolvesolar.com/my-commissions.php?user_id=680&amp;payweek=2014-10-17" TargetMode="External"/><Relationship Id="rId3440" Type="http://schemas.openxmlformats.org/officeDocument/2006/relationships/hyperlink" Target="http://dev.dashboard.evolvesolar.com/my-commissions.php?user_id=175&amp;payweek=2014-07-08" TargetMode="External"/><Relationship Id="rId2999" Type="http://schemas.openxmlformats.org/officeDocument/2006/relationships/hyperlink" Target="http://dev.dashboard.evolvesolar.com/my-commissions.php?user_id=373&amp;payweek=2014-08-14" TargetMode="External"/><Relationship Id="rId3300" Type="http://schemas.openxmlformats.org/officeDocument/2006/relationships/hyperlink" Target="http://dev.dashboard.evolvesolar.com/my-commissions.php?user_id=179&amp;payweek=2014-07-21" TargetMode="External"/><Relationship Id="rId221" Type="http://schemas.openxmlformats.org/officeDocument/2006/relationships/hyperlink" Target="http://dev.dashboard.evolvesolar.com/my-commissions.php?user_id=962&amp;payweek=2015-02-06" TargetMode="External"/><Relationship Id="rId2859" Type="http://schemas.openxmlformats.org/officeDocument/2006/relationships/hyperlink" Target="http://dev.dashboard.evolvesolar.com/my-commissions.php?user_id=261&amp;payweek=2014-08-22" TargetMode="External"/><Relationship Id="rId1668" Type="http://schemas.openxmlformats.org/officeDocument/2006/relationships/hyperlink" Target="http://dev.dashboard.evolvesolar.com/my-commissions.php?user_id=593&amp;payweek=2014-11-07" TargetMode="External"/><Relationship Id="rId1875" Type="http://schemas.openxmlformats.org/officeDocument/2006/relationships/hyperlink" Target="http://dev.dashboard.evolvesolar.com/my-commissions.php?user_id=580&amp;payweek=2014-10-24" TargetMode="External"/><Relationship Id="rId2719" Type="http://schemas.openxmlformats.org/officeDocument/2006/relationships/hyperlink" Target="http://dev.dashboard.evolvesolar.com/my-commissions.php?user_id=332&amp;payweek=2014-08-29" TargetMode="External"/><Relationship Id="rId4074" Type="http://schemas.openxmlformats.org/officeDocument/2006/relationships/hyperlink" Target="http://dev.dashboard.evolvesolar.com/my-commissions.php?user_id=105&amp;payweek=2014-03-21" TargetMode="External"/><Relationship Id="rId1528" Type="http://schemas.openxmlformats.org/officeDocument/2006/relationships/hyperlink" Target="http://dev.dashboard.evolvesolar.com/my-commissions.php?user_id=646&amp;payweek=2014-11-14" TargetMode="External"/><Relationship Id="rId2926" Type="http://schemas.openxmlformats.org/officeDocument/2006/relationships/hyperlink" Target="http://dev.dashboard.evolvesolar.com/my-commissions.php?user_id=41&amp;payweek=2014-08-15" TargetMode="External"/><Relationship Id="rId3090" Type="http://schemas.openxmlformats.org/officeDocument/2006/relationships/hyperlink" Target="http://dev.dashboard.evolvesolar.com/my-commissions.php?user_id=225&amp;payweek=2014-08-07" TargetMode="External"/><Relationship Id="rId1735" Type="http://schemas.openxmlformats.org/officeDocument/2006/relationships/hyperlink" Target="http://dev.dashboard.evolvesolar.com/my-commissions.php?user_id=268&amp;payweek=2014-10-31" TargetMode="External"/><Relationship Id="rId1942" Type="http://schemas.openxmlformats.org/officeDocument/2006/relationships/hyperlink" Target="http://dev.dashboard.evolvesolar.com/my-commissions.php?user_id=679&amp;payweek=2014-10-20" TargetMode="External"/><Relationship Id="rId4001" Type="http://schemas.openxmlformats.org/officeDocument/2006/relationships/hyperlink" Target="http://dev.dashboard.evolvesolar.com/my-commissions.php?user_id=87&amp;payweek=2014-04-18" TargetMode="External"/><Relationship Id="rId27" Type="http://schemas.openxmlformats.org/officeDocument/2006/relationships/hyperlink" Target="http://dev.dashboard.evolvesolar.com/my-commissions.php?user_id=113&amp;payweek=2015-02-06" TargetMode="External"/><Relationship Id="rId1802" Type="http://schemas.openxmlformats.org/officeDocument/2006/relationships/hyperlink" Target="http://dev.dashboard.evolvesolar.com/my-commissions.php?user_id=635&amp;payweek=2014-10-31" TargetMode="External"/><Relationship Id="rId3767" Type="http://schemas.openxmlformats.org/officeDocument/2006/relationships/hyperlink" Target="http://dev.dashboard.evolvesolar.com/my-commissions.php?user_id=140&amp;payweek=2014-06-06" TargetMode="External"/><Relationship Id="rId3974" Type="http://schemas.openxmlformats.org/officeDocument/2006/relationships/hyperlink" Target="http://dev.dashboard.evolvesolar.com/my-commissions.php?user_id=113&amp;payweek=2014-04-25" TargetMode="External"/><Relationship Id="rId688" Type="http://schemas.openxmlformats.org/officeDocument/2006/relationships/hyperlink" Target="http://dev.dashboard.evolvesolar.com/my-commissions.php?user_id=295&amp;payweek=2014-12-31" TargetMode="External"/><Relationship Id="rId895" Type="http://schemas.openxmlformats.org/officeDocument/2006/relationships/hyperlink" Target="http://dev.dashboard.evolvesolar.com/my-commissions.php?user_id=85&amp;payweek=2014-12-22" TargetMode="External"/><Relationship Id="rId2369" Type="http://schemas.openxmlformats.org/officeDocument/2006/relationships/hyperlink" Target="http://dev.dashboard.evolvesolar.com/my-commissions.php?user_id=582&amp;payweek=2014-09-22" TargetMode="External"/><Relationship Id="rId2576" Type="http://schemas.openxmlformats.org/officeDocument/2006/relationships/hyperlink" Target="http://dev.dashboard.evolvesolar.com/my-commissions.php?user_id=282&amp;payweek=2014-09-09" TargetMode="External"/><Relationship Id="rId2783" Type="http://schemas.openxmlformats.org/officeDocument/2006/relationships/hyperlink" Target="http://dev.dashboard.evolvesolar.com/my-commissions.php?user_id=358&amp;payweek=2014-08-28" TargetMode="External"/><Relationship Id="rId2990" Type="http://schemas.openxmlformats.org/officeDocument/2006/relationships/hyperlink" Target="http://dev.dashboard.evolvesolar.com/my-commissions.php?user_id=245&amp;payweek=2014-08-14" TargetMode="External"/><Relationship Id="rId3627" Type="http://schemas.openxmlformats.org/officeDocument/2006/relationships/hyperlink" Target="http://dev.dashboard.evolvesolar.com/my-commissions.php?user_id=50&amp;payweek=2014-06-13" TargetMode="External"/><Relationship Id="rId3834" Type="http://schemas.openxmlformats.org/officeDocument/2006/relationships/hyperlink" Target="http://dev.dashboard.evolvesolar.com/my-commissions.php?user_id=37&amp;payweek=2014-05-23" TargetMode="External"/><Relationship Id="rId548" Type="http://schemas.openxmlformats.org/officeDocument/2006/relationships/hyperlink" Target="http://dev.dashboard.evolvesolar.com/my-commissions.php?user_id=321&amp;payweek=2015-01-09" TargetMode="External"/><Relationship Id="rId755" Type="http://schemas.openxmlformats.org/officeDocument/2006/relationships/hyperlink" Target="http://dev.dashboard.evolvesolar.com/my-commissions.php?user_id=63&amp;payweek=2014-12-26" TargetMode="External"/><Relationship Id="rId962" Type="http://schemas.openxmlformats.org/officeDocument/2006/relationships/hyperlink" Target="http://dev.dashboard.evolvesolar.com/my-commissions.php?user_id=261&amp;payweek=2014-12-19" TargetMode="External"/><Relationship Id="rId1178" Type="http://schemas.openxmlformats.org/officeDocument/2006/relationships/hyperlink" Target="http://dev.dashboard.evolvesolar.com/my-commissions.php?user_id=714&amp;payweek=2014-12-05" TargetMode="External"/><Relationship Id="rId1385" Type="http://schemas.openxmlformats.org/officeDocument/2006/relationships/hyperlink" Target="http://dev.dashboard.evolvesolar.com/my-commissions.php?user_id=648&amp;payweek=2014-11-21" TargetMode="External"/><Relationship Id="rId1592" Type="http://schemas.openxmlformats.org/officeDocument/2006/relationships/hyperlink" Target="http://dev.dashboard.evolvesolar.com/my-commissions.php?user_id=788&amp;payweek=2014-11-10" TargetMode="External"/><Relationship Id="rId2229" Type="http://schemas.openxmlformats.org/officeDocument/2006/relationships/hyperlink" Target="http://dev.dashboard.evolvesolar.com/my-commissions.php?user_id=248&amp;payweek=2014-10-03" TargetMode="External"/><Relationship Id="rId2436" Type="http://schemas.openxmlformats.org/officeDocument/2006/relationships/hyperlink" Target="http://dev.dashboard.evolvesolar.com/my-commissions.php?user_id=550&amp;payweek=2014-09-19" TargetMode="External"/><Relationship Id="rId2643" Type="http://schemas.openxmlformats.org/officeDocument/2006/relationships/hyperlink" Target="http://dev.dashboard.evolvesolar.com/my-commissions.php?user_id=231&amp;payweek=2014-09-04" TargetMode="External"/><Relationship Id="rId2850" Type="http://schemas.openxmlformats.org/officeDocument/2006/relationships/hyperlink" Target="http://dev.dashboard.evolvesolar.com/my-commissions.php?user_id=247&amp;payweek=2014-08-22" TargetMode="External"/><Relationship Id="rId91" Type="http://schemas.openxmlformats.org/officeDocument/2006/relationships/hyperlink" Target="http://dev.dashboard.evolvesolar.com/my-commissions.php?user_id=326&amp;payweek=2015-02-06" TargetMode="External"/><Relationship Id="rId408" Type="http://schemas.openxmlformats.org/officeDocument/2006/relationships/hyperlink" Target="http://dev.dashboard.evolvesolar.com/my-commissions.php?user_id=679&amp;payweek=2015-01-23" TargetMode="External"/><Relationship Id="rId615" Type="http://schemas.openxmlformats.org/officeDocument/2006/relationships/hyperlink" Target="http://dev.dashboard.evolvesolar.com/my-commissions.php?user_id=703&amp;payweek=2015-01-09" TargetMode="External"/><Relationship Id="rId822" Type="http://schemas.openxmlformats.org/officeDocument/2006/relationships/hyperlink" Target="http://dev.dashboard.evolvesolar.com/my-commissions.php?user_id=468&amp;payweek=2014-12-26" TargetMode="External"/><Relationship Id="rId1038" Type="http://schemas.openxmlformats.org/officeDocument/2006/relationships/hyperlink" Target="http://dev.dashboard.evolvesolar.com/my-commissions.php?user_id=355&amp;payweek=2014-12-12" TargetMode="External"/><Relationship Id="rId1245" Type="http://schemas.openxmlformats.org/officeDocument/2006/relationships/hyperlink" Target="http://dev.dashboard.evolvesolar.com/my-commissions.php?user_id=269&amp;payweek=2014-11-26" TargetMode="External"/><Relationship Id="rId1452" Type="http://schemas.openxmlformats.org/officeDocument/2006/relationships/hyperlink" Target="http://dev.dashboard.evolvesolar.com/my-commissions.php?user_id=139&amp;payweek=2014-11-14" TargetMode="External"/><Relationship Id="rId2503" Type="http://schemas.openxmlformats.org/officeDocument/2006/relationships/hyperlink" Target="http://dev.dashboard.evolvesolar.com/my-commissions.php?user_id=363&amp;payweek=2014-09-12" TargetMode="External"/><Relationship Id="rId3901" Type="http://schemas.openxmlformats.org/officeDocument/2006/relationships/hyperlink" Target="http://dev.dashboard.evolvesolar.com/my-commissions.php?user_id=114&amp;payweek=2014-05-16" TargetMode="External"/><Relationship Id="rId1105" Type="http://schemas.openxmlformats.org/officeDocument/2006/relationships/hyperlink" Target="http://dev.dashboard.evolvesolar.com/my-commissions.php?user_id=782&amp;payweek=2014-12-09" TargetMode="External"/><Relationship Id="rId1312" Type="http://schemas.openxmlformats.org/officeDocument/2006/relationships/hyperlink" Target="http://dev.dashboard.evolvesolar.com/my-commissions.php?user_id=28&amp;payweek=2014-11-21" TargetMode="External"/><Relationship Id="rId2710" Type="http://schemas.openxmlformats.org/officeDocument/2006/relationships/hyperlink" Target="http://dev.dashboard.evolvesolar.com/my-commissions.php?user_id=268&amp;payweek=2014-08-29" TargetMode="External"/><Relationship Id="rId3277" Type="http://schemas.openxmlformats.org/officeDocument/2006/relationships/hyperlink" Target="http://dev.dashboard.evolvesolar.com/my-commissions.php?user_id=244&amp;payweek=2014-07-25" TargetMode="External"/><Relationship Id="rId198" Type="http://schemas.openxmlformats.org/officeDocument/2006/relationships/hyperlink" Target="http://dev.dashboard.evolvesolar.com/my-commissions.php?user_id=894&amp;payweek=2015-02-06" TargetMode="External"/><Relationship Id="rId2086" Type="http://schemas.openxmlformats.org/officeDocument/2006/relationships/hyperlink" Target="http://dev.dashboard.evolvesolar.com/my-commissions.php?user_id=285&amp;payweek=2014-10-10" TargetMode="External"/><Relationship Id="rId3484" Type="http://schemas.openxmlformats.org/officeDocument/2006/relationships/hyperlink" Target="http://dev.dashboard.evolvesolar.com/my-commissions.php?user_id=67&amp;payweek=2014-06-27" TargetMode="External"/><Relationship Id="rId3691" Type="http://schemas.openxmlformats.org/officeDocument/2006/relationships/hyperlink" Target="http://dev.dashboard.evolvesolar.com/my-commissions.php?user_id=151&amp;payweek=2014-06-13" TargetMode="External"/><Relationship Id="rId2293" Type="http://schemas.openxmlformats.org/officeDocument/2006/relationships/hyperlink" Target="http://dev.dashboard.evolvesolar.com/my-commissions.php?user_id=268&amp;payweek=2014-09-25" TargetMode="External"/><Relationship Id="rId3137" Type="http://schemas.openxmlformats.org/officeDocument/2006/relationships/hyperlink" Target="http://dev.dashboard.evolvesolar.com/my-commissions.php?user_id=227&amp;payweek=2014-08-02" TargetMode="External"/><Relationship Id="rId3344" Type="http://schemas.openxmlformats.org/officeDocument/2006/relationships/hyperlink" Target="http://dev.dashboard.evolvesolar.com/my-commissions.php?user_id=224&amp;payweek=2014-07-18" TargetMode="External"/><Relationship Id="rId3551" Type="http://schemas.openxmlformats.org/officeDocument/2006/relationships/hyperlink" Target="http://dev.dashboard.evolvesolar.com/my-commissions.php?user_id=114&amp;payweek=2014-06-20" TargetMode="External"/><Relationship Id="rId265" Type="http://schemas.openxmlformats.org/officeDocument/2006/relationships/hyperlink" Target="http://dev.dashboard.evolvesolar.com/my-commissions.php?user_id=365&amp;payweek=2015-01-30" TargetMode="External"/><Relationship Id="rId472" Type="http://schemas.openxmlformats.org/officeDocument/2006/relationships/hyperlink" Target="http://dev.dashboard.evolvesolar.com/my-commissions.php?user_id=580&amp;payweek=2015-01-15" TargetMode="External"/><Relationship Id="rId2153" Type="http://schemas.openxmlformats.org/officeDocument/2006/relationships/hyperlink" Target="http://dev.dashboard.evolvesolar.com/my-commissions.php?user_id=389&amp;payweek=2014-10-07" TargetMode="External"/><Relationship Id="rId2360" Type="http://schemas.openxmlformats.org/officeDocument/2006/relationships/hyperlink" Target="http://dev.dashboard.evolvesolar.com/my-commissions.php?user_id=383&amp;payweek=2014-09-23" TargetMode="External"/><Relationship Id="rId3204" Type="http://schemas.openxmlformats.org/officeDocument/2006/relationships/hyperlink" Target="http://dev.dashboard.evolvesolar.com/my-commissions.php?user_id=234&amp;payweek=2014-07-31" TargetMode="External"/><Relationship Id="rId3411" Type="http://schemas.openxmlformats.org/officeDocument/2006/relationships/hyperlink" Target="http://dev.dashboard.evolvesolar.com/my-commissions.php?user_id=203&amp;payweek=2014-07-11" TargetMode="External"/><Relationship Id="rId125" Type="http://schemas.openxmlformats.org/officeDocument/2006/relationships/hyperlink" Target="http://dev.dashboard.evolvesolar.com/my-commissions.php?user_id=468&amp;payweek=2015-02-06" TargetMode="External"/><Relationship Id="rId332" Type="http://schemas.openxmlformats.org/officeDocument/2006/relationships/hyperlink" Target="http://dev.dashboard.evolvesolar.com/my-commissions.php?user_id=906&amp;payweek=2015-01-30" TargetMode="External"/><Relationship Id="rId2013" Type="http://schemas.openxmlformats.org/officeDocument/2006/relationships/hyperlink" Target="http://dev.dashboard.evolvesolar.com/my-commissions.php?user_id=464&amp;payweek=2014-10-17" TargetMode="External"/><Relationship Id="rId2220" Type="http://schemas.openxmlformats.org/officeDocument/2006/relationships/hyperlink" Target="http://dev.dashboard.evolvesolar.com/my-commissions.php?user_id=593&amp;payweek=2014-10-06" TargetMode="External"/><Relationship Id="rId1779" Type="http://schemas.openxmlformats.org/officeDocument/2006/relationships/hyperlink" Target="http://dev.dashboard.evolvesolar.com/my-commissions.php?user_id=534&amp;payweek=2014-10-31" TargetMode="External"/><Relationship Id="rId1986" Type="http://schemas.openxmlformats.org/officeDocument/2006/relationships/hyperlink" Target="http://dev.dashboard.evolvesolar.com/my-commissions.php?user_id=261&amp;payweek=2014-10-17" TargetMode="External"/><Relationship Id="rId4045" Type="http://schemas.openxmlformats.org/officeDocument/2006/relationships/hyperlink" Target="http://dev.dashboard.evolvesolar.com/my-commissions.php?user_id=74&amp;payweek=2014-04-04" TargetMode="External"/><Relationship Id="rId1639" Type="http://schemas.openxmlformats.org/officeDocument/2006/relationships/hyperlink" Target="http://dev.dashboard.evolvesolar.com/my-commissions.php?user_id=410&amp;payweek=2014-11-07" TargetMode="External"/><Relationship Id="rId1846" Type="http://schemas.openxmlformats.org/officeDocument/2006/relationships/hyperlink" Target="http://dev.dashboard.evolvesolar.com/my-commissions.php?user_id=269&amp;payweek=2014-10-24" TargetMode="External"/><Relationship Id="rId3061" Type="http://schemas.openxmlformats.org/officeDocument/2006/relationships/hyperlink" Target="http://dev.dashboard.evolvesolar.com/my-commissions.php?user_id=370&amp;payweek=2014-08-08" TargetMode="External"/><Relationship Id="rId1706" Type="http://schemas.openxmlformats.org/officeDocument/2006/relationships/hyperlink" Target="http://dev.dashboard.evolvesolar.com/my-commissions.php?user_id=715&amp;payweek=2014-11-07" TargetMode="External"/><Relationship Id="rId1913" Type="http://schemas.openxmlformats.org/officeDocument/2006/relationships/hyperlink" Target="http://dev.dashboard.evolvesolar.com/my-commissions.php?user_id=676&amp;payweek=2014-10-24" TargetMode="External"/><Relationship Id="rId4112" Type="http://schemas.openxmlformats.org/officeDocument/2006/relationships/hyperlink" Target="http://dev.dashboard.evolvesolar.com/my-commissions.php?user_id=692&amp;payweek=2013-12-23" TargetMode="External"/><Relationship Id="rId3878" Type="http://schemas.openxmlformats.org/officeDocument/2006/relationships/hyperlink" Target="http://dev.dashboard.evolvesolar.com/my-commissions.php?user_id=146&amp;payweek=2014-05-23" TargetMode="External"/><Relationship Id="rId799" Type="http://schemas.openxmlformats.org/officeDocument/2006/relationships/hyperlink" Target="http://dev.dashboard.evolvesolar.com/my-commissions.php?user_id=365&amp;payweek=2014-12-26" TargetMode="External"/><Relationship Id="rId2687" Type="http://schemas.openxmlformats.org/officeDocument/2006/relationships/hyperlink" Target="http://dev.dashboard.evolvesolar.com/my-commissions.php?user_id=74&amp;payweek=2014-08-29" TargetMode="External"/><Relationship Id="rId2894" Type="http://schemas.openxmlformats.org/officeDocument/2006/relationships/hyperlink" Target="http://dev.dashboard.evolvesolar.com/my-commissions.php?user_id=404&amp;payweek=2014-08-22" TargetMode="External"/><Relationship Id="rId3738" Type="http://schemas.openxmlformats.org/officeDocument/2006/relationships/hyperlink" Target="http://dev.dashboard.evolvesolar.com/my-commissions.php?user_id=104&amp;payweek=2014-06-06" TargetMode="External"/><Relationship Id="rId659" Type="http://schemas.openxmlformats.org/officeDocument/2006/relationships/hyperlink" Target="http://dev.dashboard.evolvesolar.com/my-commissions.php?user_id=104&amp;payweek=2014-12-31" TargetMode="External"/><Relationship Id="rId866" Type="http://schemas.openxmlformats.org/officeDocument/2006/relationships/hyperlink" Target="http://dev.dashboard.evolvesolar.com/my-commissions.php?user_id=696&amp;payweek=2014-12-26" TargetMode="External"/><Relationship Id="rId1289" Type="http://schemas.openxmlformats.org/officeDocument/2006/relationships/hyperlink" Target="http://dev.dashboard.evolvesolar.com/my-commissions.php?user_id=715&amp;payweek=2014-11-25" TargetMode="External"/><Relationship Id="rId1496" Type="http://schemas.openxmlformats.org/officeDocument/2006/relationships/hyperlink" Target="http://dev.dashboard.evolvesolar.com/my-commissions.php?user_id=382&amp;payweek=2014-11-14" TargetMode="External"/><Relationship Id="rId2547" Type="http://schemas.openxmlformats.org/officeDocument/2006/relationships/hyperlink" Target="http://dev.dashboard.evolvesolar.com/my-commissions.php?user_id=534&amp;payweek=2014-09-12" TargetMode="External"/><Relationship Id="rId3945" Type="http://schemas.openxmlformats.org/officeDocument/2006/relationships/hyperlink" Target="http://dev.dashboard.evolvesolar.com/my-commissions.php?user_id=101&amp;payweek=2014-05-03" TargetMode="External"/><Relationship Id="rId519" Type="http://schemas.openxmlformats.org/officeDocument/2006/relationships/hyperlink" Target="http://dev.dashboard.evolvesolar.com/my-commissions.php?user_id=55&amp;payweek=2015-01-09" TargetMode="External"/><Relationship Id="rId1149" Type="http://schemas.openxmlformats.org/officeDocument/2006/relationships/hyperlink" Target="http://dev.dashboard.evolvesolar.com/my-commissions.php?user_id=632&amp;payweek=2014-12-05" TargetMode="External"/><Relationship Id="rId1356" Type="http://schemas.openxmlformats.org/officeDocument/2006/relationships/hyperlink" Target="http://dev.dashboard.evolvesolar.com/my-commissions.php?user_id=383&amp;payweek=2014-11-21" TargetMode="External"/><Relationship Id="rId2754" Type="http://schemas.openxmlformats.org/officeDocument/2006/relationships/hyperlink" Target="http://dev.dashboard.evolvesolar.com/my-commissions.php?user_id=152&amp;payweek=2014-08-28" TargetMode="External"/><Relationship Id="rId2961" Type="http://schemas.openxmlformats.org/officeDocument/2006/relationships/hyperlink" Target="http://dev.dashboard.evolvesolar.com/my-commissions.php?user_id=379&amp;payweek=2014-08-15" TargetMode="External"/><Relationship Id="rId3805" Type="http://schemas.openxmlformats.org/officeDocument/2006/relationships/hyperlink" Target="http://dev.dashboard.evolvesolar.com/my-commissions.php?user_id=108&amp;payweek=2014-05-30" TargetMode="External"/><Relationship Id="rId726" Type="http://schemas.openxmlformats.org/officeDocument/2006/relationships/hyperlink" Target="http://dev.dashboard.evolvesolar.com/my-commissions.php?user_id=607&amp;payweek=2014-12-31" TargetMode="External"/><Relationship Id="rId933" Type="http://schemas.openxmlformats.org/officeDocument/2006/relationships/hyperlink" Target="http://dev.dashboard.evolvesolar.com/my-commissions.php?user_id=708&amp;payweek=2014-12-22" TargetMode="External"/><Relationship Id="rId1009" Type="http://schemas.openxmlformats.org/officeDocument/2006/relationships/hyperlink" Target="http://dev.dashboard.evolvesolar.com/my-commissions.php?user_id=152&amp;payweek=2014-12-12" TargetMode="External"/><Relationship Id="rId1563" Type="http://schemas.openxmlformats.org/officeDocument/2006/relationships/hyperlink" Target="http://dev.dashboard.evolvesolar.com/my-commissions.php?user_id=728&amp;payweek=2014-11-14" TargetMode="External"/><Relationship Id="rId1770" Type="http://schemas.openxmlformats.org/officeDocument/2006/relationships/hyperlink" Target="http://dev.dashboard.evolvesolar.com/my-commissions.php?user_id=458&amp;payweek=2014-10-31" TargetMode="External"/><Relationship Id="rId2407" Type="http://schemas.openxmlformats.org/officeDocument/2006/relationships/hyperlink" Target="http://dev.dashboard.evolvesolar.com/my-commissions.php?user_id=355&amp;payweek=2014-09-19" TargetMode="External"/><Relationship Id="rId2614" Type="http://schemas.openxmlformats.org/officeDocument/2006/relationships/hyperlink" Target="http://dev.dashboard.evolvesolar.com/my-commissions.php?user_id=438&amp;payweek=2014-09-05" TargetMode="External"/><Relationship Id="rId2821" Type="http://schemas.openxmlformats.org/officeDocument/2006/relationships/hyperlink" Target="http://dev.dashboard.evolvesolar.com/my-commissions.php?user_id=213&amp;payweek=2014-08-22" TargetMode="External"/><Relationship Id="rId62" Type="http://schemas.openxmlformats.org/officeDocument/2006/relationships/hyperlink" Target="http://dev.dashboard.evolvesolar.com/my-commissions.php?user_id=222&amp;payweek=2015-02-06" TargetMode="External"/><Relationship Id="rId1216" Type="http://schemas.openxmlformats.org/officeDocument/2006/relationships/hyperlink" Target="http://dev.dashboard.evolvesolar.com/my-commissions.php?user_id=355&amp;payweek=2014-11-28" TargetMode="External"/><Relationship Id="rId1423" Type="http://schemas.openxmlformats.org/officeDocument/2006/relationships/hyperlink" Target="http://dev.dashboard.evolvesolar.com/my-commissions.php?user_id=831&amp;payweek=2014-11-21" TargetMode="External"/><Relationship Id="rId1630" Type="http://schemas.openxmlformats.org/officeDocument/2006/relationships/hyperlink" Target="http://dev.dashboard.evolvesolar.com/my-commissions.php?user_id=358&amp;payweek=2014-11-07" TargetMode="External"/><Relationship Id="rId3388" Type="http://schemas.openxmlformats.org/officeDocument/2006/relationships/hyperlink" Target="http://dev.dashboard.evolvesolar.com/my-commissions.php?user_id=110&amp;payweek=2014-07-11" TargetMode="External"/><Relationship Id="rId3595" Type="http://schemas.openxmlformats.org/officeDocument/2006/relationships/hyperlink" Target="http://dev.dashboard.evolvesolar.com/my-commissions.php?user_id=185&amp;payweek=2014-06-20" TargetMode="External"/><Relationship Id="rId2197" Type="http://schemas.openxmlformats.org/officeDocument/2006/relationships/hyperlink" Target="http://dev.dashboard.evolvesolar.com/my-commissions.php?user_id=392&amp;payweek=2014-10-06" TargetMode="External"/><Relationship Id="rId3248" Type="http://schemas.openxmlformats.org/officeDocument/2006/relationships/hyperlink" Target="http://dev.dashboard.evolvesolar.com/my-commissions.php?user_id=156&amp;payweek=2014-07-25" TargetMode="External"/><Relationship Id="rId3455" Type="http://schemas.openxmlformats.org/officeDocument/2006/relationships/hyperlink" Target="http://dev.dashboard.evolvesolar.com/my-commissions.php?user_id=223&amp;payweek=2014-07-04" TargetMode="External"/><Relationship Id="rId3662" Type="http://schemas.openxmlformats.org/officeDocument/2006/relationships/hyperlink" Target="http://dev.dashboard.evolvesolar.com/my-commissions.php?user_id=116&amp;payweek=2014-06-13" TargetMode="External"/><Relationship Id="rId169" Type="http://schemas.openxmlformats.org/officeDocument/2006/relationships/hyperlink" Target="http://dev.dashboard.evolvesolar.com/my-commissions.php?user_id=690&amp;payweek=2015-02-06" TargetMode="External"/><Relationship Id="rId376" Type="http://schemas.openxmlformats.org/officeDocument/2006/relationships/hyperlink" Target="http://dev.dashboard.evolvesolar.com/my-commissions.php?user_id=326&amp;payweek=2015-01-23" TargetMode="External"/><Relationship Id="rId583" Type="http://schemas.openxmlformats.org/officeDocument/2006/relationships/hyperlink" Target="http://dev.dashboard.evolvesolar.com/my-commissions.php?user_id=499&amp;payweek=2015-01-09" TargetMode="External"/><Relationship Id="rId790" Type="http://schemas.openxmlformats.org/officeDocument/2006/relationships/hyperlink" Target="http://dev.dashboard.evolvesolar.com/my-commissions.php?user_id=303&amp;payweek=2014-12-26" TargetMode="External"/><Relationship Id="rId2057" Type="http://schemas.openxmlformats.org/officeDocument/2006/relationships/hyperlink" Target="http://dev.dashboard.evolvesolar.com/my-commissions.php?user_id=653&amp;payweek=2014-10-14" TargetMode="External"/><Relationship Id="rId2264" Type="http://schemas.openxmlformats.org/officeDocument/2006/relationships/hyperlink" Target="http://dev.dashboard.evolvesolar.com/my-commissions.php?user_id=334&amp;payweek=2014-09-29" TargetMode="External"/><Relationship Id="rId2471" Type="http://schemas.openxmlformats.org/officeDocument/2006/relationships/hyperlink" Target="http://dev.dashboard.evolvesolar.com/my-commissions.php?user_id=233&amp;payweek=2014-09-12" TargetMode="External"/><Relationship Id="rId3108" Type="http://schemas.openxmlformats.org/officeDocument/2006/relationships/hyperlink" Target="http://dev.dashboard.evolvesolar.com/my-commissions.php?user_id=286&amp;payweek=2014-08-07" TargetMode="External"/><Relationship Id="rId3315" Type="http://schemas.openxmlformats.org/officeDocument/2006/relationships/hyperlink" Target="http://dev.dashboard.evolvesolar.com/my-commissions.php?user_id=117&amp;payweek=2014-07-18" TargetMode="External"/><Relationship Id="rId3522" Type="http://schemas.openxmlformats.org/officeDocument/2006/relationships/hyperlink" Target="http://dev.dashboard.evolvesolar.com/my-commissions.php?user_id=27&amp;payweek=2014-06-20" TargetMode="External"/><Relationship Id="rId236" Type="http://schemas.openxmlformats.org/officeDocument/2006/relationships/hyperlink" Target="http://dev.dashboard.evolvesolar.com/my-commissions.php?user_id=24&amp;payweek=2015-01-30" TargetMode="External"/><Relationship Id="rId443" Type="http://schemas.openxmlformats.org/officeDocument/2006/relationships/hyperlink" Target="http://dev.dashboard.evolvesolar.com/my-commissions.php?user_id=77&amp;payweek=2015-01-15" TargetMode="External"/><Relationship Id="rId650" Type="http://schemas.openxmlformats.org/officeDocument/2006/relationships/hyperlink" Target="http://dev.dashboard.evolvesolar.com/my-commissions.php?user_id=46&amp;payweek=2014-12-31" TargetMode="External"/><Relationship Id="rId1073" Type="http://schemas.openxmlformats.org/officeDocument/2006/relationships/hyperlink" Target="http://dev.dashboard.evolvesolar.com/my-commissions.php?user_id=664&amp;payweek=2014-12-12" TargetMode="External"/><Relationship Id="rId1280" Type="http://schemas.openxmlformats.org/officeDocument/2006/relationships/hyperlink" Target="http://dev.dashboard.evolvesolar.com/my-commissions.php?user_id=678&amp;payweek=2014-11-25" TargetMode="External"/><Relationship Id="rId2124" Type="http://schemas.openxmlformats.org/officeDocument/2006/relationships/hyperlink" Target="http://dev.dashboard.evolvesolar.com/my-commissions.php?user_id=574&amp;payweek=2014-10-10" TargetMode="External"/><Relationship Id="rId2331" Type="http://schemas.openxmlformats.org/officeDocument/2006/relationships/hyperlink" Target="http://dev.dashboard.evolvesolar.com/my-commissions.php?user_id=477&amp;payweek=2014-09-25" TargetMode="External"/><Relationship Id="rId303" Type="http://schemas.openxmlformats.org/officeDocument/2006/relationships/hyperlink" Target="http://dev.dashboard.evolvesolar.com/my-commissions.php?user_id=722&amp;payweek=2015-01-30" TargetMode="External"/><Relationship Id="rId1140" Type="http://schemas.openxmlformats.org/officeDocument/2006/relationships/hyperlink" Target="http://dev.dashboard.evolvesolar.com/my-commissions.php?user_id=576&amp;payweek=2014-12-05" TargetMode="External"/><Relationship Id="rId4089" Type="http://schemas.openxmlformats.org/officeDocument/2006/relationships/hyperlink" Target="http://dev.dashboard.evolvesolar.com/my-commissions.php?user_id=79&amp;payweek=2014-03-07" TargetMode="External"/><Relationship Id="rId510" Type="http://schemas.openxmlformats.org/officeDocument/2006/relationships/hyperlink" Target="http://dev.dashboard.evolvesolar.com/my-commissions.php?user_id=389&amp;payweek=2015-01-13" TargetMode="External"/><Relationship Id="rId1000" Type="http://schemas.openxmlformats.org/officeDocument/2006/relationships/hyperlink" Target="http://dev.dashboard.evolvesolar.com/my-commissions.php?user_id=47&amp;payweek=2014-12-12" TargetMode="External"/><Relationship Id="rId1957" Type="http://schemas.openxmlformats.org/officeDocument/2006/relationships/hyperlink" Target="http://dev.dashboard.evolvesolar.com/my-commissions.php?user_id=77&amp;payweek=2014-10-17" TargetMode="External"/><Relationship Id="rId1817" Type="http://schemas.openxmlformats.org/officeDocument/2006/relationships/hyperlink" Target="http://dev.dashboard.evolvesolar.com/my-commissions.php?user_id=705&amp;payweek=2014-10-31" TargetMode="External"/><Relationship Id="rId3172" Type="http://schemas.openxmlformats.org/officeDocument/2006/relationships/hyperlink" Target="http://dev.dashboard.evolvesolar.com/my-commissions.php?user_id=141&amp;payweek=2014-07-31" TargetMode="External"/><Relationship Id="rId4016" Type="http://schemas.openxmlformats.org/officeDocument/2006/relationships/hyperlink" Target="http://dev.dashboard.evolvesolar.com/my-commissions.php?user_id=112&amp;payweek=2014-04-17" TargetMode="External"/><Relationship Id="rId3032" Type="http://schemas.openxmlformats.org/officeDocument/2006/relationships/hyperlink" Target="http://dev.dashboard.evolvesolar.com/my-commissions.php?user_id=218&amp;payweek=2014-08-08" TargetMode="External"/><Relationship Id="rId160" Type="http://schemas.openxmlformats.org/officeDocument/2006/relationships/hyperlink" Target="http://dev.dashboard.evolvesolar.com/my-commissions.php?user_id=656&amp;payweek=2015-02-06" TargetMode="External"/><Relationship Id="rId3989" Type="http://schemas.openxmlformats.org/officeDocument/2006/relationships/hyperlink" Target="http://dev.dashboard.evolvesolar.com/my-commissions.php?user_id=100&amp;payweek=2014-04-24" TargetMode="External"/><Relationship Id="rId2798" Type="http://schemas.openxmlformats.org/officeDocument/2006/relationships/hyperlink" Target="http://dev.dashboard.evolvesolar.com/my-commissions.php?user_id=379&amp;payweek=2014-08-25" TargetMode="External"/><Relationship Id="rId3849" Type="http://schemas.openxmlformats.org/officeDocument/2006/relationships/hyperlink" Target="http://dev.dashboard.evolvesolar.com/my-commissions.php?user_id=87&amp;payweek=2014-05-23" TargetMode="External"/><Relationship Id="rId977" Type="http://schemas.openxmlformats.org/officeDocument/2006/relationships/hyperlink" Target="http://dev.dashboard.evolvesolar.com/my-commissions.php?user_id=576&amp;payweek=2014-12-19" TargetMode="External"/><Relationship Id="rId2658" Type="http://schemas.openxmlformats.org/officeDocument/2006/relationships/hyperlink" Target="http://dev.dashboard.evolvesolar.com/my-commissions.php?user_id=269&amp;payweek=2014-09-04" TargetMode="External"/><Relationship Id="rId2865" Type="http://schemas.openxmlformats.org/officeDocument/2006/relationships/hyperlink" Target="http://dev.dashboard.evolvesolar.com/my-commissions.php?user_id=282&amp;payweek=2014-08-22" TargetMode="External"/><Relationship Id="rId3709" Type="http://schemas.openxmlformats.org/officeDocument/2006/relationships/hyperlink" Target="http://dev.dashboard.evolvesolar.com/my-commissions.php?user_id=50&amp;payweek=2014-06-06" TargetMode="External"/><Relationship Id="rId3916" Type="http://schemas.openxmlformats.org/officeDocument/2006/relationships/hyperlink" Target="http://dev.dashboard.evolvesolar.com/my-commissions.php?user_id=38&amp;payweek=2014-05-09" TargetMode="External"/><Relationship Id="rId4080" Type="http://schemas.openxmlformats.org/officeDocument/2006/relationships/hyperlink" Target="http://dev.dashboard.evolvesolar.com/my-commissions.php?user_id=41&amp;payweek=2014-03-14" TargetMode="External"/><Relationship Id="rId837" Type="http://schemas.openxmlformats.org/officeDocument/2006/relationships/hyperlink" Target="http://dev.dashboard.evolvesolar.com/my-commissions.php?user_id=615&amp;payweek=2014-12-26" TargetMode="External"/><Relationship Id="rId1467" Type="http://schemas.openxmlformats.org/officeDocument/2006/relationships/hyperlink" Target="http://dev.dashboard.evolvesolar.com/my-commissions.php?user_id=248&amp;payweek=2014-11-14" TargetMode="External"/><Relationship Id="rId1674" Type="http://schemas.openxmlformats.org/officeDocument/2006/relationships/hyperlink" Target="http://dev.dashboard.evolvesolar.com/my-commissions.php?user_id=615&amp;payweek=2014-11-07" TargetMode="External"/><Relationship Id="rId1881" Type="http://schemas.openxmlformats.org/officeDocument/2006/relationships/hyperlink" Target="http://dev.dashboard.evolvesolar.com/my-commissions.php?user_id=586&amp;payweek=2014-10-24" TargetMode="External"/><Relationship Id="rId2518" Type="http://schemas.openxmlformats.org/officeDocument/2006/relationships/hyperlink" Target="http://dev.dashboard.evolvesolar.com/my-commissions.php?user_id=397&amp;payweek=2014-09-12" TargetMode="External"/><Relationship Id="rId2725" Type="http://schemas.openxmlformats.org/officeDocument/2006/relationships/hyperlink" Target="http://dev.dashboard.evolvesolar.com/my-commissions.php?user_id=389&amp;payweek=2014-08-29" TargetMode="External"/><Relationship Id="rId2932" Type="http://schemas.openxmlformats.org/officeDocument/2006/relationships/hyperlink" Target="http://dev.dashboard.evolvesolar.com/my-commissions.php?user_id=117&amp;payweek=2014-08-15" TargetMode="External"/><Relationship Id="rId904" Type="http://schemas.openxmlformats.org/officeDocument/2006/relationships/hyperlink" Target="http://dev.dashboard.evolvesolar.com/my-commissions.php?user_id=218&amp;payweek=2014-12-22" TargetMode="External"/><Relationship Id="rId1327" Type="http://schemas.openxmlformats.org/officeDocument/2006/relationships/hyperlink" Target="http://dev.dashboard.evolvesolar.com/my-commissions.php?user_id=203&amp;payweek=2014-11-21" TargetMode="External"/><Relationship Id="rId1534" Type="http://schemas.openxmlformats.org/officeDocument/2006/relationships/hyperlink" Target="http://dev.dashboard.evolvesolar.com/my-commissions.php?user_id=676&amp;payweek=2014-11-14" TargetMode="External"/><Relationship Id="rId1741" Type="http://schemas.openxmlformats.org/officeDocument/2006/relationships/hyperlink" Target="http://dev.dashboard.evolvesolar.com/my-commissions.php?user_id=295&amp;payweek=2014-10-31" TargetMode="External"/><Relationship Id="rId33" Type="http://schemas.openxmlformats.org/officeDocument/2006/relationships/hyperlink" Target="http://dev.dashboard.evolvesolar.com/my-commissions.php?user_id=133&amp;payweek=2015-02-06" TargetMode="External"/><Relationship Id="rId1601" Type="http://schemas.openxmlformats.org/officeDocument/2006/relationships/hyperlink" Target="http://dev.dashboard.evolvesolar.com/my-commissions.php?user_id=77&amp;payweek=2014-11-07" TargetMode="External"/><Relationship Id="rId3499" Type="http://schemas.openxmlformats.org/officeDocument/2006/relationships/hyperlink" Target="http://dev.dashboard.evolvesolar.com/my-commissions.php?user_id=133&amp;payweek=2014-06-27" TargetMode="External"/><Relationship Id="rId3359" Type="http://schemas.openxmlformats.org/officeDocument/2006/relationships/hyperlink" Target="http://dev.dashboard.evolvesolar.com/my-commissions.php?user_id=263&amp;payweek=2014-07-18" TargetMode="External"/><Relationship Id="rId3566" Type="http://schemas.openxmlformats.org/officeDocument/2006/relationships/hyperlink" Target="http://dev.dashboard.evolvesolar.com/my-commissions.php?user_id=141&amp;payweek=2014-06-20" TargetMode="External"/><Relationship Id="rId487" Type="http://schemas.openxmlformats.org/officeDocument/2006/relationships/hyperlink" Target="http://dev.dashboard.evolvesolar.com/my-commissions.php?user_id=672&amp;payweek=2015-01-15" TargetMode="External"/><Relationship Id="rId694" Type="http://schemas.openxmlformats.org/officeDocument/2006/relationships/hyperlink" Target="http://dev.dashboard.evolvesolar.com/my-commissions.php?user_id=378&amp;payweek=2014-12-31" TargetMode="External"/><Relationship Id="rId2168" Type="http://schemas.openxmlformats.org/officeDocument/2006/relationships/hyperlink" Target="http://dev.dashboard.evolvesolar.com/my-commissions.php?user_id=185&amp;payweek=2014-10-06" TargetMode="External"/><Relationship Id="rId2375" Type="http://schemas.openxmlformats.org/officeDocument/2006/relationships/hyperlink" Target="http://dev.dashboard.evolvesolar.com/my-commissions.php?user_id=41&amp;payweek=2014-09-19" TargetMode="External"/><Relationship Id="rId3219" Type="http://schemas.openxmlformats.org/officeDocument/2006/relationships/hyperlink" Target="http://dev.dashboard.evolvesolar.com/my-commissions.php?user_id=396&amp;payweek=2014-07-31" TargetMode="External"/><Relationship Id="rId3773" Type="http://schemas.openxmlformats.org/officeDocument/2006/relationships/hyperlink" Target="http://dev.dashboard.evolvesolar.com/my-commissions.php?user_id=147&amp;payweek=2014-06-06" TargetMode="External"/><Relationship Id="rId3980" Type="http://schemas.openxmlformats.org/officeDocument/2006/relationships/hyperlink" Target="http://dev.dashboard.evolvesolar.com/my-commissions.php?user_id=41&amp;payweek=2014-04-24" TargetMode="External"/><Relationship Id="rId347" Type="http://schemas.openxmlformats.org/officeDocument/2006/relationships/hyperlink" Target="http://dev.dashboard.evolvesolar.com/my-commissions.php?user_id=974&amp;payweek=2015-01-30" TargetMode="External"/><Relationship Id="rId1184" Type="http://schemas.openxmlformats.org/officeDocument/2006/relationships/hyperlink" Target="http://dev.dashboard.evolvesolar.com/my-commissions.php?user_id=752&amp;payweek=2014-12-05" TargetMode="External"/><Relationship Id="rId2028" Type="http://schemas.openxmlformats.org/officeDocument/2006/relationships/hyperlink" Target="http://dev.dashboard.evolvesolar.com/my-commissions.php?user_id=582&amp;payweek=2014-10-17" TargetMode="External"/><Relationship Id="rId2582" Type="http://schemas.openxmlformats.org/officeDocument/2006/relationships/hyperlink" Target="http://dev.dashboard.evolvesolar.com/my-commissions.php?user_id=41&amp;payweek=2014-09-08" TargetMode="External"/><Relationship Id="rId3426" Type="http://schemas.openxmlformats.org/officeDocument/2006/relationships/hyperlink" Target="http://dev.dashboard.evolvesolar.com/my-commissions.php?user_id=236&amp;payweek=2014-07-11" TargetMode="External"/><Relationship Id="rId3633" Type="http://schemas.openxmlformats.org/officeDocument/2006/relationships/hyperlink" Target="http://dev.dashboard.evolvesolar.com/my-commissions.php?user_id=54&amp;payweek=2014-06-13" TargetMode="External"/><Relationship Id="rId3840" Type="http://schemas.openxmlformats.org/officeDocument/2006/relationships/hyperlink" Target="http://dev.dashboard.evolvesolar.com/my-commissions.php?user_id=55&amp;payweek=2014-05-23" TargetMode="External"/><Relationship Id="rId554" Type="http://schemas.openxmlformats.org/officeDocument/2006/relationships/hyperlink" Target="http://dev.dashboard.evolvesolar.com/my-commissions.php?user_id=329&amp;payweek=2015-01-09" TargetMode="External"/><Relationship Id="rId761" Type="http://schemas.openxmlformats.org/officeDocument/2006/relationships/hyperlink" Target="http://dev.dashboard.evolvesolar.com/my-commissions.php?user_id=109&amp;payweek=2014-12-26" TargetMode="External"/><Relationship Id="rId1391" Type="http://schemas.openxmlformats.org/officeDocument/2006/relationships/hyperlink" Target="http://dev.dashboard.evolvesolar.com/my-commissions.php?user_id=672&amp;payweek=2014-11-21" TargetMode="External"/><Relationship Id="rId2235" Type="http://schemas.openxmlformats.org/officeDocument/2006/relationships/hyperlink" Target="http://dev.dashboard.evolvesolar.com/my-commissions.php?user_id=373&amp;payweek=2014-10-03" TargetMode="External"/><Relationship Id="rId2442" Type="http://schemas.openxmlformats.org/officeDocument/2006/relationships/hyperlink" Target="http://dev.dashboard.evolvesolar.com/my-commissions.php?user_id=63&amp;payweek=2014-09-15" TargetMode="External"/><Relationship Id="rId3700" Type="http://schemas.openxmlformats.org/officeDocument/2006/relationships/hyperlink" Target="http://dev.dashboard.evolvesolar.com/my-commissions.php?user_id=27&amp;payweek=2014-06-06" TargetMode="External"/><Relationship Id="rId207" Type="http://schemas.openxmlformats.org/officeDocument/2006/relationships/hyperlink" Target="http://dev.dashboard.evolvesolar.com/my-commissions.php?user_id=915&amp;payweek=2015-02-06" TargetMode="External"/><Relationship Id="rId414" Type="http://schemas.openxmlformats.org/officeDocument/2006/relationships/hyperlink" Target="http://dev.dashboard.evolvesolar.com/my-commissions.php?user_id=722&amp;payweek=2015-01-23" TargetMode="External"/><Relationship Id="rId621" Type="http://schemas.openxmlformats.org/officeDocument/2006/relationships/hyperlink" Target="http://dev.dashboard.evolvesolar.com/my-commissions.php?user_id=753&amp;payweek=2015-01-09" TargetMode="External"/><Relationship Id="rId1044" Type="http://schemas.openxmlformats.org/officeDocument/2006/relationships/hyperlink" Target="http://dev.dashboard.evolvesolar.com/my-commissions.php?user_id=389&amp;payweek=2014-12-12" TargetMode="External"/><Relationship Id="rId1251" Type="http://schemas.openxmlformats.org/officeDocument/2006/relationships/hyperlink" Target="http://dev.dashboard.evolvesolar.com/my-commissions.php?user_id=218&amp;payweek=2014-11-25" TargetMode="External"/><Relationship Id="rId2302" Type="http://schemas.openxmlformats.org/officeDocument/2006/relationships/hyperlink" Target="http://dev.dashboard.evolvesolar.com/my-commissions.php?user_id=341&amp;payweek=2014-09-25" TargetMode="External"/><Relationship Id="rId1111" Type="http://schemas.openxmlformats.org/officeDocument/2006/relationships/hyperlink" Target="http://dev.dashboard.evolvesolar.com/my-commissions.php?user_id=28&amp;payweek=2014-12-05" TargetMode="External"/><Relationship Id="rId3076" Type="http://schemas.openxmlformats.org/officeDocument/2006/relationships/hyperlink" Target="http://dev.dashboard.evolvesolar.com/my-commissions.php?user_id=184&amp;payweek=2014-08-07" TargetMode="External"/><Relationship Id="rId3283" Type="http://schemas.openxmlformats.org/officeDocument/2006/relationships/hyperlink" Target="http://dev.dashboard.evolvesolar.com/my-commissions.php?user_id=249&amp;payweek=2014-07-25" TargetMode="External"/><Relationship Id="rId3490" Type="http://schemas.openxmlformats.org/officeDocument/2006/relationships/hyperlink" Target="http://dev.dashboard.evolvesolar.com/my-commissions.php?user_id=94&amp;payweek=2014-06-27" TargetMode="External"/><Relationship Id="rId1928" Type="http://schemas.openxmlformats.org/officeDocument/2006/relationships/hyperlink" Target="http://dev.dashboard.evolvesolar.com/my-commissions.php?user_id=203&amp;payweek=2014-10-20" TargetMode="External"/><Relationship Id="rId2092" Type="http://schemas.openxmlformats.org/officeDocument/2006/relationships/hyperlink" Target="http://dev.dashboard.evolvesolar.com/my-commissions.php?user_id=329&amp;payweek=2014-10-10" TargetMode="External"/><Relationship Id="rId3143" Type="http://schemas.openxmlformats.org/officeDocument/2006/relationships/hyperlink" Target="http://dev.dashboard.evolvesolar.com/my-commissions.php?user_id=276&amp;payweek=2014-08-02" TargetMode="External"/><Relationship Id="rId3350" Type="http://schemas.openxmlformats.org/officeDocument/2006/relationships/hyperlink" Target="http://dev.dashboard.evolvesolar.com/my-commissions.php?user_id=232&amp;payweek=2014-07-18" TargetMode="External"/><Relationship Id="rId271" Type="http://schemas.openxmlformats.org/officeDocument/2006/relationships/hyperlink" Target="http://dev.dashboard.evolvesolar.com/my-commissions.php?user_id=422&amp;payweek=2015-01-30" TargetMode="External"/><Relationship Id="rId3003" Type="http://schemas.openxmlformats.org/officeDocument/2006/relationships/hyperlink" Target="http://dev.dashboard.evolvesolar.com/my-commissions.php?user_id=383&amp;payweek=2014-08-14" TargetMode="External"/><Relationship Id="rId131" Type="http://schemas.openxmlformats.org/officeDocument/2006/relationships/hyperlink" Target="http://dev.dashboard.evolvesolar.com/my-commissions.php?user_id=530&amp;payweek=2015-02-06" TargetMode="External"/><Relationship Id="rId3210" Type="http://schemas.openxmlformats.org/officeDocument/2006/relationships/hyperlink" Target="http://dev.dashboard.evolvesolar.com/my-commissions.php?user_id=250&amp;payweek=2014-07-31" TargetMode="External"/><Relationship Id="rId2769" Type="http://schemas.openxmlformats.org/officeDocument/2006/relationships/hyperlink" Target="http://dev.dashboard.evolvesolar.com/my-commissions.php?user_id=234&amp;payweek=2014-08-28" TargetMode="External"/><Relationship Id="rId2976" Type="http://schemas.openxmlformats.org/officeDocument/2006/relationships/hyperlink" Target="http://dev.dashboard.evolvesolar.com/my-commissions.php?user_id=211&amp;payweek=2014-08-14" TargetMode="External"/><Relationship Id="rId948" Type="http://schemas.openxmlformats.org/officeDocument/2006/relationships/hyperlink" Target="http://dev.dashboard.evolvesolar.com/my-commissions.php?user_id=832&amp;payweek=2014-12-22" TargetMode="External"/><Relationship Id="rId1578" Type="http://schemas.openxmlformats.org/officeDocument/2006/relationships/hyperlink" Target="http://dev.dashboard.evolvesolar.com/my-commissions.php?user_id=807&amp;payweek=2014-11-14" TargetMode="External"/><Relationship Id="rId1785" Type="http://schemas.openxmlformats.org/officeDocument/2006/relationships/hyperlink" Target="http://dev.dashboard.evolvesolar.com/my-commissions.php?user_id=551&amp;payweek=2014-10-31" TargetMode="External"/><Relationship Id="rId1992" Type="http://schemas.openxmlformats.org/officeDocument/2006/relationships/hyperlink" Target="http://dev.dashboard.evolvesolar.com/my-commissions.php?user_id=329&amp;payweek=2014-10-17" TargetMode="External"/><Relationship Id="rId2629" Type="http://schemas.openxmlformats.org/officeDocument/2006/relationships/hyperlink" Target="http://dev.dashboard.evolvesolar.com/my-commissions.php?user_id=185&amp;payweek=2014-09-04" TargetMode="External"/><Relationship Id="rId2836" Type="http://schemas.openxmlformats.org/officeDocument/2006/relationships/hyperlink" Target="http://dev.dashboard.evolvesolar.com/my-commissions.php?user_id=232&amp;payweek=2014-08-22" TargetMode="External"/><Relationship Id="rId77" Type="http://schemas.openxmlformats.org/officeDocument/2006/relationships/hyperlink" Target="http://dev.dashboard.evolvesolar.com/my-commissions.php?user_id=283&amp;payweek=2015-02-06" TargetMode="External"/><Relationship Id="rId808" Type="http://schemas.openxmlformats.org/officeDocument/2006/relationships/hyperlink" Target="http://dev.dashboard.evolvesolar.com/my-commissions.php?user_id=392&amp;payweek=2014-12-26" TargetMode="External"/><Relationship Id="rId1438" Type="http://schemas.openxmlformats.org/officeDocument/2006/relationships/hyperlink" Target="http://dev.dashboard.evolvesolar.com/my-commissions.php?user_id=37&amp;payweek=2014-11-14" TargetMode="External"/><Relationship Id="rId1645" Type="http://schemas.openxmlformats.org/officeDocument/2006/relationships/hyperlink" Target="http://dev.dashboard.evolvesolar.com/my-commissions.php?user_id=464&amp;payweek=2014-11-07" TargetMode="External"/><Relationship Id="rId4051" Type="http://schemas.openxmlformats.org/officeDocument/2006/relationships/hyperlink" Target="http://dev.dashboard.evolvesolar.com/my-commissions.php?user_id=110&amp;payweek=2014-04-04" TargetMode="External"/><Relationship Id="rId1852" Type="http://schemas.openxmlformats.org/officeDocument/2006/relationships/hyperlink" Target="http://dev.dashboard.evolvesolar.com/my-commissions.php?user_id=355&amp;payweek=2014-10-24" TargetMode="External"/><Relationship Id="rId2903" Type="http://schemas.openxmlformats.org/officeDocument/2006/relationships/hyperlink" Target="http://dev.dashboard.evolvesolar.com/my-commissions.php?user_id=465&amp;payweek=2014-08-22" TargetMode="External"/><Relationship Id="rId1505" Type="http://schemas.openxmlformats.org/officeDocument/2006/relationships/hyperlink" Target="http://dev.dashboard.evolvesolar.com/my-commissions.php?user_id=474&amp;payweek=2014-11-14" TargetMode="External"/><Relationship Id="rId1712" Type="http://schemas.openxmlformats.org/officeDocument/2006/relationships/hyperlink" Target="http://dev.dashboard.evolvesolar.com/my-commissions.php?user_id=726&amp;payweek=2014-11-07" TargetMode="External"/><Relationship Id="rId3677" Type="http://schemas.openxmlformats.org/officeDocument/2006/relationships/hyperlink" Target="http://dev.dashboard.evolvesolar.com/my-commissions.php?user_id=140&amp;payweek=2014-06-13" TargetMode="External"/><Relationship Id="rId3884" Type="http://schemas.openxmlformats.org/officeDocument/2006/relationships/hyperlink" Target="http://dev.dashboard.evolvesolar.com/my-commissions.php?user_id=41&amp;payweek=2014-05-16" TargetMode="External"/><Relationship Id="rId598" Type="http://schemas.openxmlformats.org/officeDocument/2006/relationships/hyperlink" Target="http://dev.dashboard.evolvesolar.com/my-commissions.php?user_id=632&amp;payweek=2015-01-09" TargetMode="External"/><Relationship Id="rId2279" Type="http://schemas.openxmlformats.org/officeDocument/2006/relationships/hyperlink" Target="http://dev.dashboard.evolvesolar.com/my-commissions.php?user_id=464&amp;payweek=2014-09-26" TargetMode="External"/><Relationship Id="rId2486" Type="http://schemas.openxmlformats.org/officeDocument/2006/relationships/hyperlink" Target="http://dev.dashboard.evolvesolar.com/my-commissions.php?user_id=285&amp;payweek=2014-09-12" TargetMode="External"/><Relationship Id="rId2693" Type="http://schemas.openxmlformats.org/officeDocument/2006/relationships/hyperlink" Target="http://dev.dashboard.evolvesolar.com/my-commissions.php?user_id=159&amp;payweek=2014-08-29" TargetMode="External"/><Relationship Id="rId3537" Type="http://schemas.openxmlformats.org/officeDocument/2006/relationships/hyperlink" Target="http://dev.dashboard.evolvesolar.com/my-commissions.php?user_id=85&amp;payweek=2014-06-20" TargetMode="External"/><Relationship Id="rId3744" Type="http://schemas.openxmlformats.org/officeDocument/2006/relationships/hyperlink" Target="http://dev.dashboard.evolvesolar.com/my-commissions.php?user_id=111&amp;payweek=2014-06-06" TargetMode="External"/><Relationship Id="rId3951" Type="http://schemas.openxmlformats.org/officeDocument/2006/relationships/hyperlink" Target="http://dev.dashboard.evolvesolar.com/my-commissions.php?user_id=58&amp;payweek=2014-05-02" TargetMode="External"/><Relationship Id="rId458" Type="http://schemas.openxmlformats.org/officeDocument/2006/relationships/hyperlink" Target="http://dev.dashboard.evolvesolar.com/my-commissions.php?user_id=326&amp;payweek=2015-01-15" TargetMode="External"/><Relationship Id="rId665" Type="http://schemas.openxmlformats.org/officeDocument/2006/relationships/hyperlink" Target="http://dev.dashboard.evolvesolar.com/my-commissions.php?user_id=148&amp;payweek=2014-12-31" TargetMode="External"/><Relationship Id="rId872" Type="http://schemas.openxmlformats.org/officeDocument/2006/relationships/hyperlink" Target="http://dev.dashboard.evolvesolar.com/my-commissions.php?user_id=722&amp;payweek=2014-12-26" TargetMode="External"/><Relationship Id="rId1088" Type="http://schemas.openxmlformats.org/officeDocument/2006/relationships/hyperlink" Target="http://dev.dashboard.evolvesolar.com/my-commissions.php?user_id=726&amp;payweek=2014-12-12" TargetMode="External"/><Relationship Id="rId1295" Type="http://schemas.openxmlformats.org/officeDocument/2006/relationships/hyperlink" Target="http://dev.dashboard.evolvesolar.com/my-commissions.php?user_id=750&amp;payweek=2014-11-25" TargetMode="External"/><Relationship Id="rId2139" Type="http://schemas.openxmlformats.org/officeDocument/2006/relationships/hyperlink" Target="http://dev.dashboard.evolvesolar.com/my-commissions.php?user_id=614&amp;payweek=2014-10-10" TargetMode="External"/><Relationship Id="rId2346" Type="http://schemas.openxmlformats.org/officeDocument/2006/relationships/hyperlink" Target="http://dev.dashboard.evolvesolar.com/my-commissions.php?user_id=580&amp;payweek=2014-09-25" TargetMode="External"/><Relationship Id="rId2553" Type="http://schemas.openxmlformats.org/officeDocument/2006/relationships/hyperlink" Target="http://dev.dashboard.evolvesolar.com/my-commissions.php?user_id=549&amp;payweek=2014-09-12" TargetMode="External"/><Relationship Id="rId2760" Type="http://schemas.openxmlformats.org/officeDocument/2006/relationships/hyperlink" Target="http://dev.dashboard.evolvesolar.com/my-commissions.php?user_id=214&amp;payweek=2014-08-28" TargetMode="External"/><Relationship Id="rId3604" Type="http://schemas.openxmlformats.org/officeDocument/2006/relationships/hyperlink" Target="http://dev.dashboard.evolvesolar.com/my-commissions.php?user_id=223&amp;payweek=2014-06-20" TargetMode="External"/><Relationship Id="rId3811" Type="http://schemas.openxmlformats.org/officeDocument/2006/relationships/hyperlink" Target="http://dev.dashboard.evolvesolar.com/my-commissions.php?user_id=113&amp;payweek=2014-05-30" TargetMode="External"/><Relationship Id="rId318" Type="http://schemas.openxmlformats.org/officeDocument/2006/relationships/hyperlink" Target="http://dev.dashboard.evolvesolar.com/my-commissions.php?user_id=817&amp;payweek=2015-01-30" TargetMode="External"/><Relationship Id="rId525" Type="http://schemas.openxmlformats.org/officeDocument/2006/relationships/hyperlink" Target="http://dev.dashboard.evolvesolar.com/my-commissions.php?user_id=85&amp;payweek=2015-01-09" TargetMode="External"/><Relationship Id="rId732" Type="http://schemas.openxmlformats.org/officeDocument/2006/relationships/hyperlink" Target="http://dev.dashboard.evolvesolar.com/my-commissions.php?user_id=626&amp;payweek=2014-12-31" TargetMode="External"/><Relationship Id="rId1155" Type="http://schemas.openxmlformats.org/officeDocument/2006/relationships/hyperlink" Target="http://dev.dashboard.evolvesolar.com/my-commissions.php?user_id=648&amp;payweek=2014-12-05" TargetMode="External"/><Relationship Id="rId1362" Type="http://schemas.openxmlformats.org/officeDocument/2006/relationships/hyperlink" Target="http://dev.dashboard.evolvesolar.com/my-commissions.php?user_id=401&amp;payweek=2014-11-21" TargetMode="External"/><Relationship Id="rId2206" Type="http://schemas.openxmlformats.org/officeDocument/2006/relationships/hyperlink" Target="http://dev.dashboard.evolvesolar.com/my-commissions.php?user_id=472&amp;payweek=2014-10-06" TargetMode="External"/><Relationship Id="rId2413" Type="http://schemas.openxmlformats.org/officeDocument/2006/relationships/hyperlink" Target="http://dev.dashboard.evolvesolar.com/my-commissions.php?user_id=379&amp;payweek=2014-09-19" TargetMode="External"/><Relationship Id="rId2620" Type="http://schemas.openxmlformats.org/officeDocument/2006/relationships/hyperlink" Target="http://dev.dashboard.evolvesolar.com/my-commissions.php?user_id=487&amp;payweek=2014-09-05" TargetMode="External"/><Relationship Id="rId1015" Type="http://schemas.openxmlformats.org/officeDocument/2006/relationships/hyperlink" Target="http://dev.dashboard.evolvesolar.com/my-commissions.php?user_id=203&amp;payweek=2014-12-12" TargetMode="External"/><Relationship Id="rId1222" Type="http://schemas.openxmlformats.org/officeDocument/2006/relationships/hyperlink" Target="http://dev.dashboard.evolvesolar.com/my-commissions.php?user_id=576&amp;payweek=2014-11-28" TargetMode="External"/><Relationship Id="rId3187" Type="http://schemas.openxmlformats.org/officeDocument/2006/relationships/hyperlink" Target="http://dev.dashboard.evolvesolar.com/my-commissions.php?user_id=214&amp;payweek=2014-07-31" TargetMode="External"/><Relationship Id="rId3394" Type="http://schemas.openxmlformats.org/officeDocument/2006/relationships/hyperlink" Target="http://dev.dashboard.evolvesolar.com/my-commissions.php?user_id=130&amp;payweek=2014-07-11" TargetMode="External"/><Relationship Id="rId3047" Type="http://schemas.openxmlformats.org/officeDocument/2006/relationships/hyperlink" Target="http://dev.dashboard.evolvesolar.com/my-commissions.php?user_id=237&amp;payweek=2014-08-08" TargetMode="External"/><Relationship Id="rId175" Type="http://schemas.openxmlformats.org/officeDocument/2006/relationships/hyperlink" Target="http://dev.dashboard.evolvesolar.com/my-commissions.php?user_id=722&amp;payweek=2015-02-06" TargetMode="External"/><Relationship Id="rId3254" Type="http://schemas.openxmlformats.org/officeDocument/2006/relationships/hyperlink" Target="http://dev.dashboard.evolvesolar.com/my-commissions.php?user_id=175&amp;payweek=2014-07-25" TargetMode="External"/><Relationship Id="rId3461" Type="http://schemas.openxmlformats.org/officeDocument/2006/relationships/hyperlink" Target="http://dev.dashboard.evolvesolar.com/my-commissions.php?user_id=83&amp;payweek=2014-07-03" TargetMode="External"/><Relationship Id="rId382" Type="http://schemas.openxmlformats.org/officeDocument/2006/relationships/hyperlink" Target="http://dev.dashboard.evolvesolar.com/my-commissions.php?user_id=358&amp;payweek=2015-01-23" TargetMode="External"/><Relationship Id="rId2063" Type="http://schemas.openxmlformats.org/officeDocument/2006/relationships/hyperlink" Target="http://dev.dashboard.evolvesolar.com/my-commissions.php?user_id=680&amp;payweek=2014-10-14" TargetMode="External"/><Relationship Id="rId2270" Type="http://schemas.openxmlformats.org/officeDocument/2006/relationships/hyperlink" Target="http://dev.dashboard.evolvesolar.com/my-commissions.php?user_id=268&amp;payweek=2014-09-26" TargetMode="External"/><Relationship Id="rId3114" Type="http://schemas.openxmlformats.org/officeDocument/2006/relationships/hyperlink" Target="http://dev.dashboard.evolvesolar.com/my-commissions.php?user_id=358&amp;payweek=2014-08-07" TargetMode="External"/><Relationship Id="rId3321" Type="http://schemas.openxmlformats.org/officeDocument/2006/relationships/hyperlink" Target="http://dev.dashboard.evolvesolar.com/my-commissions.php?user_id=142&amp;payweek=2014-07-18" TargetMode="External"/><Relationship Id="rId242" Type="http://schemas.openxmlformats.org/officeDocument/2006/relationships/hyperlink" Target="http://dev.dashboard.evolvesolar.com/my-commissions.php?user_id=32&amp;payweek=2015-01-30" TargetMode="External"/><Relationship Id="rId2130" Type="http://schemas.openxmlformats.org/officeDocument/2006/relationships/hyperlink" Target="http://dev.dashboard.evolvesolar.com/my-commissions.php?user_id=590&amp;payweek=2014-10-10" TargetMode="External"/><Relationship Id="rId102" Type="http://schemas.openxmlformats.org/officeDocument/2006/relationships/hyperlink" Target="http://dev.dashboard.evolvesolar.com/my-commissions.php?user_id=387&amp;payweek=2015-02-06" TargetMode="External"/><Relationship Id="rId1689" Type="http://schemas.openxmlformats.org/officeDocument/2006/relationships/hyperlink" Target="http://dev.dashboard.evolvesolar.com/my-commissions.php?user_id=674&amp;payweek=2014-11-07" TargetMode="External"/><Relationship Id="rId4095" Type="http://schemas.openxmlformats.org/officeDocument/2006/relationships/hyperlink" Target="http://dev.dashboard.evolvesolar.com/my-commissions.php?user_id=79&amp;payweek=2014-02-21" TargetMode="External"/><Relationship Id="rId1896" Type="http://schemas.openxmlformats.org/officeDocument/2006/relationships/hyperlink" Target="http://dev.dashboard.evolvesolar.com/my-commissions.php?user_id=615&amp;payweek=2014-10-24" TargetMode="External"/><Relationship Id="rId2947" Type="http://schemas.openxmlformats.org/officeDocument/2006/relationships/hyperlink" Target="http://dev.dashboard.evolvesolar.com/my-commissions.php?user_id=203&amp;payweek=2014-08-15" TargetMode="External"/><Relationship Id="rId919" Type="http://schemas.openxmlformats.org/officeDocument/2006/relationships/hyperlink" Target="http://dev.dashboard.evolvesolar.com/my-commissions.php?user_id=422&amp;payweek=2014-12-22" TargetMode="External"/><Relationship Id="rId1549" Type="http://schemas.openxmlformats.org/officeDocument/2006/relationships/hyperlink" Target="http://dev.dashboard.evolvesolar.com/my-commissions.php?user_id=708&amp;payweek=2014-11-14" TargetMode="External"/><Relationship Id="rId1756" Type="http://schemas.openxmlformats.org/officeDocument/2006/relationships/hyperlink" Target="http://dev.dashboard.evolvesolar.com/my-commissions.php?user_id=365&amp;payweek=2014-10-31" TargetMode="External"/><Relationship Id="rId1963" Type="http://schemas.openxmlformats.org/officeDocument/2006/relationships/hyperlink" Target="http://dev.dashboard.evolvesolar.com/my-commissions.php?user_id=99&amp;payweek=2014-10-17" TargetMode="External"/><Relationship Id="rId2807" Type="http://schemas.openxmlformats.org/officeDocument/2006/relationships/hyperlink" Target="http://dev.dashboard.evolvesolar.com/my-commissions.php?user_id=120&amp;payweek=2014-08-22" TargetMode="External"/><Relationship Id="rId4022" Type="http://schemas.openxmlformats.org/officeDocument/2006/relationships/hyperlink" Target="http://dev.dashboard.evolvesolar.com/my-commissions.php?user_id=79&amp;payweek=2014-04-11" TargetMode="External"/><Relationship Id="rId48" Type="http://schemas.openxmlformats.org/officeDocument/2006/relationships/hyperlink" Target="http://dev.dashboard.evolvesolar.com/my-commissions.php?user_id=157&amp;payweek=2015-02-06" TargetMode="External"/><Relationship Id="rId1409" Type="http://schemas.openxmlformats.org/officeDocument/2006/relationships/hyperlink" Target="http://dev.dashboard.evolvesolar.com/my-commissions.php?user_id=726&amp;payweek=2014-11-21" TargetMode="External"/><Relationship Id="rId1616" Type="http://schemas.openxmlformats.org/officeDocument/2006/relationships/hyperlink" Target="http://dev.dashboard.evolvesolar.com/my-commissions.php?user_id=250&amp;payweek=2014-11-07" TargetMode="External"/><Relationship Id="rId1823" Type="http://schemas.openxmlformats.org/officeDocument/2006/relationships/hyperlink" Target="http://dev.dashboard.evolvesolar.com/my-commissions.php?user_id=610&amp;payweek=2014-10-27" TargetMode="External"/><Relationship Id="rId3788" Type="http://schemas.openxmlformats.org/officeDocument/2006/relationships/hyperlink" Target="http://dev.dashboard.evolvesolar.com/my-commissions.php?user_id=55&amp;payweek=2014-05-30" TargetMode="External"/><Relationship Id="rId3995" Type="http://schemas.openxmlformats.org/officeDocument/2006/relationships/hyperlink" Target="http://dev.dashboard.evolvesolar.com/my-commissions.php?user_id=114&amp;payweek=2014-04-24" TargetMode="External"/><Relationship Id="rId2597" Type="http://schemas.openxmlformats.org/officeDocument/2006/relationships/hyperlink" Target="http://dev.dashboard.evolvesolar.com/my-commissions.php?user_id=214&amp;payweek=2014-09-05" TargetMode="External"/><Relationship Id="rId3648" Type="http://schemas.openxmlformats.org/officeDocument/2006/relationships/hyperlink" Target="http://dev.dashboard.evolvesolar.com/my-commissions.php?user_id=99&amp;payweek=2014-06-13" TargetMode="External"/><Relationship Id="rId3855" Type="http://schemas.openxmlformats.org/officeDocument/2006/relationships/hyperlink" Target="http://dev.dashboard.evolvesolar.com/my-commissions.php?user_id=102&amp;payweek=2014-05-23" TargetMode="External"/><Relationship Id="rId569" Type="http://schemas.openxmlformats.org/officeDocument/2006/relationships/hyperlink" Target="http://dev.dashboard.evolvesolar.com/my-commissions.php?user_id=401&amp;payweek=2015-01-09" TargetMode="External"/><Relationship Id="rId776" Type="http://schemas.openxmlformats.org/officeDocument/2006/relationships/hyperlink" Target="http://dev.dashboard.evolvesolar.com/my-commissions.php?user_id=184&amp;payweek=2014-12-26" TargetMode="External"/><Relationship Id="rId983" Type="http://schemas.openxmlformats.org/officeDocument/2006/relationships/hyperlink" Target="http://dev.dashboard.evolvesolar.com/my-commissions.php?user_id=659&amp;payweek=2014-12-19" TargetMode="External"/><Relationship Id="rId1199" Type="http://schemas.openxmlformats.org/officeDocument/2006/relationships/hyperlink" Target="http://dev.dashboard.evolvesolar.com/my-commissions.php?user_id=844&amp;payweek=2014-12-05" TargetMode="External"/><Relationship Id="rId2457" Type="http://schemas.openxmlformats.org/officeDocument/2006/relationships/hyperlink" Target="http://dev.dashboard.evolvesolar.com/my-commissions.php?user_id=175&amp;payweek=2014-09-12" TargetMode="External"/><Relationship Id="rId2664" Type="http://schemas.openxmlformats.org/officeDocument/2006/relationships/hyperlink" Target="http://dev.dashboard.evolvesolar.com/my-commissions.php?user_id=355&amp;payweek=2014-09-04" TargetMode="External"/><Relationship Id="rId3508" Type="http://schemas.openxmlformats.org/officeDocument/2006/relationships/hyperlink" Target="http://dev.dashboard.evolvesolar.com/my-commissions.php?user_id=175&amp;payweek=2014-06-27" TargetMode="External"/><Relationship Id="rId429" Type="http://schemas.openxmlformats.org/officeDocument/2006/relationships/hyperlink" Target="http://dev.dashboard.evolvesolar.com/my-commissions.php?user_id=203&amp;payweek=2015-01-20" TargetMode="External"/><Relationship Id="rId636" Type="http://schemas.openxmlformats.org/officeDocument/2006/relationships/hyperlink" Target="http://dev.dashboard.evolvesolar.com/my-commissions.php?user_id=857&amp;payweek=2015-01-09" TargetMode="External"/><Relationship Id="rId1059" Type="http://schemas.openxmlformats.org/officeDocument/2006/relationships/hyperlink" Target="http://dev.dashboard.evolvesolar.com/my-commissions.php?user_id=582&amp;payweek=2014-12-12" TargetMode="External"/><Relationship Id="rId1266" Type="http://schemas.openxmlformats.org/officeDocument/2006/relationships/hyperlink" Target="http://dev.dashboard.evolvesolar.com/my-commissions.php?user_id=422&amp;payweek=2014-11-25" TargetMode="External"/><Relationship Id="rId1473" Type="http://schemas.openxmlformats.org/officeDocument/2006/relationships/hyperlink" Target="http://dev.dashboard.evolvesolar.com/my-commissions.php?user_id=269&amp;payweek=2014-11-14" TargetMode="External"/><Relationship Id="rId2317" Type="http://schemas.openxmlformats.org/officeDocument/2006/relationships/hyperlink" Target="http://dev.dashboard.evolvesolar.com/my-commissions.php?user_id=407&amp;payweek=2014-09-25" TargetMode="External"/><Relationship Id="rId2871" Type="http://schemas.openxmlformats.org/officeDocument/2006/relationships/hyperlink" Target="http://dev.dashboard.evolvesolar.com/my-commissions.php?user_id=302&amp;payweek=2014-08-22" TargetMode="External"/><Relationship Id="rId3715" Type="http://schemas.openxmlformats.org/officeDocument/2006/relationships/hyperlink" Target="http://dev.dashboard.evolvesolar.com/my-commissions.php?user_id=54&amp;payweek=2014-06-06" TargetMode="External"/><Relationship Id="rId3922" Type="http://schemas.openxmlformats.org/officeDocument/2006/relationships/hyperlink" Target="http://dev.dashboard.evolvesolar.com/my-commissions.php?user_id=74&amp;payweek=2014-05-09" TargetMode="External"/><Relationship Id="rId843" Type="http://schemas.openxmlformats.org/officeDocument/2006/relationships/hyperlink" Target="http://dev.dashboard.evolvesolar.com/my-commissions.php?user_id=634&amp;payweek=2014-12-26" TargetMode="External"/><Relationship Id="rId1126" Type="http://schemas.openxmlformats.org/officeDocument/2006/relationships/hyperlink" Target="http://dev.dashboard.evolvesolar.com/my-commissions.php?user_id=268&amp;payweek=2014-12-05" TargetMode="External"/><Relationship Id="rId1680" Type="http://schemas.openxmlformats.org/officeDocument/2006/relationships/hyperlink" Target="http://dev.dashboard.evolvesolar.com/my-commissions.php?user_id=646&amp;payweek=2014-11-07" TargetMode="External"/><Relationship Id="rId2524" Type="http://schemas.openxmlformats.org/officeDocument/2006/relationships/hyperlink" Target="http://dev.dashboard.evolvesolar.com/my-commissions.php?user_id=404&amp;payweek=2014-09-12" TargetMode="External"/><Relationship Id="rId2731" Type="http://schemas.openxmlformats.org/officeDocument/2006/relationships/hyperlink" Target="http://dev.dashboard.evolvesolar.com/my-commissions.php?user_id=410&amp;payweek=2014-08-29" TargetMode="External"/><Relationship Id="rId703" Type="http://schemas.openxmlformats.org/officeDocument/2006/relationships/hyperlink" Target="http://dev.dashboard.evolvesolar.com/my-commissions.php?user_id=438&amp;payweek=2014-12-31" TargetMode="External"/><Relationship Id="rId910" Type="http://schemas.openxmlformats.org/officeDocument/2006/relationships/hyperlink" Target="http://dev.dashboard.evolvesolar.com/my-commissions.php?user_id=329&amp;payweek=2014-12-22" TargetMode="External"/><Relationship Id="rId1333" Type="http://schemas.openxmlformats.org/officeDocument/2006/relationships/hyperlink" Target="http://dev.dashboard.evolvesolar.com/my-commissions.php?user_id=249&amp;payweek=2014-11-21" TargetMode="External"/><Relationship Id="rId1540" Type="http://schemas.openxmlformats.org/officeDocument/2006/relationships/hyperlink" Target="http://dev.dashboard.evolvesolar.com/my-commissions.php?user_id=690&amp;payweek=2014-11-14" TargetMode="External"/><Relationship Id="rId1400" Type="http://schemas.openxmlformats.org/officeDocument/2006/relationships/hyperlink" Target="http://dev.dashboard.evolvesolar.com/my-commissions.php?user_id=692&amp;payweek=2014-11-21" TargetMode="External"/><Relationship Id="rId3298" Type="http://schemas.openxmlformats.org/officeDocument/2006/relationships/hyperlink" Target="http://dev.dashboard.evolvesolar.com/my-commissions.php?user_id=28&amp;payweek=2014-07-21" TargetMode="External"/><Relationship Id="rId3158" Type="http://schemas.openxmlformats.org/officeDocument/2006/relationships/hyperlink" Target="http://dev.dashboard.evolvesolar.com/my-commissions.php?user_id=41&amp;payweek=2014-07-31" TargetMode="External"/><Relationship Id="rId3365" Type="http://schemas.openxmlformats.org/officeDocument/2006/relationships/hyperlink" Target="http://dev.dashboard.evolvesolar.com/my-commissions.php?user_id=183&amp;payweek=2014-07-14" TargetMode="External"/><Relationship Id="rId3572" Type="http://schemas.openxmlformats.org/officeDocument/2006/relationships/hyperlink" Target="http://dev.dashboard.evolvesolar.com/my-commissions.php?user_id=149&amp;payweek=2014-06-20" TargetMode="External"/><Relationship Id="rId286" Type="http://schemas.openxmlformats.org/officeDocument/2006/relationships/hyperlink" Target="http://dev.dashboard.evolvesolar.com/my-commissions.php?user_id=635&amp;payweek=2015-01-30" TargetMode="External"/><Relationship Id="rId493" Type="http://schemas.openxmlformats.org/officeDocument/2006/relationships/hyperlink" Target="http://dev.dashboard.evolvesolar.com/my-commissions.php?user_id=699&amp;payweek=2015-01-15" TargetMode="External"/><Relationship Id="rId2174" Type="http://schemas.openxmlformats.org/officeDocument/2006/relationships/hyperlink" Target="http://dev.dashboard.evolvesolar.com/my-commissions.php?user_id=268&amp;payweek=2014-10-06" TargetMode="External"/><Relationship Id="rId2381" Type="http://schemas.openxmlformats.org/officeDocument/2006/relationships/hyperlink" Target="http://dev.dashboard.evolvesolar.com/my-commissions.php?user_id=85&amp;payweek=2014-09-19" TargetMode="External"/><Relationship Id="rId3018" Type="http://schemas.openxmlformats.org/officeDocument/2006/relationships/hyperlink" Target="http://dev.dashboard.evolvesolar.com/my-commissions.php?user_id=83&amp;payweek=2014-08-08" TargetMode="External"/><Relationship Id="rId3225" Type="http://schemas.openxmlformats.org/officeDocument/2006/relationships/hyperlink" Target="http://dev.dashboard.evolvesolar.com/my-commissions.php?user_id=28&amp;payweek=2014-07-25" TargetMode="External"/><Relationship Id="rId3432" Type="http://schemas.openxmlformats.org/officeDocument/2006/relationships/hyperlink" Target="http://dev.dashboard.evolvesolar.com/my-commissions.php?user_id=268&amp;payweek=2014-07-11" TargetMode="External"/><Relationship Id="rId146" Type="http://schemas.openxmlformats.org/officeDocument/2006/relationships/hyperlink" Target="http://dev.dashboard.evolvesolar.com/my-commissions.php?user_id=604&amp;payweek=2015-02-06" TargetMode="External"/><Relationship Id="rId353" Type="http://schemas.openxmlformats.org/officeDocument/2006/relationships/hyperlink" Target="http://dev.dashboard.evolvesolar.com/my-commissions.php?user_id=28&amp;payweek=2015-01-23" TargetMode="External"/><Relationship Id="rId560" Type="http://schemas.openxmlformats.org/officeDocument/2006/relationships/hyperlink" Target="http://dev.dashboard.evolvesolar.com/my-commissions.php?user_id=358&amp;payweek=2015-01-09" TargetMode="External"/><Relationship Id="rId1190" Type="http://schemas.openxmlformats.org/officeDocument/2006/relationships/hyperlink" Target="http://dev.dashboard.evolvesolar.com/my-commissions.php?user_id=771&amp;payweek=2014-12-05" TargetMode="External"/><Relationship Id="rId2034" Type="http://schemas.openxmlformats.org/officeDocument/2006/relationships/hyperlink" Target="http://dev.dashboard.evolvesolar.com/my-commissions.php?user_id=648&amp;payweek=2014-10-17" TargetMode="External"/><Relationship Id="rId2241" Type="http://schemas.openxmlformats.org/officeDocument/2006/relationships/hyperlink" Target="http://dev.dashboard.evolvesolar.com/my-commissions.php?user_id=436&amp;payweek=2014-10-03" TargetMode="External"/><Relationship Id="rId213" Type="http://schemas.openxmlformats.org/officeDocument/2006/relationships/hyperlink" Target="http://dev.dashboard.evolvesolar.com/my-commissions.php?user_id=941&amp;payweek=2015-02-06" TargetMode="External"/><Relationship Id="rId420" Type="http://schemas.openxmlformats.org/officeDocument/2006/relationships/hyperlink" Target="http://dev.dashboard.evolvesolar.com/my-commissions.php?user_id=784&amp;payweek=2015-01-23" TargetMode="External"/><Relationship Id="rId1050" Type="http://schemas.openxmlformats.org/officeDocument/2006/relationships/hyperlink" Target="http://dev.dashboard.evolvesolar.com/my-commissions.php?user_id=422&amp;payweek=2014-12-12" TargetMode="External"/><Relationship Id="rId2101" Type="http://schemas.openxmlformats.org/officeDocument/2006/relationships/hyperlink" Target="http://dev.dashboard.evolvesolar.com/my-commissions.php?user_id=392&amp;payweek=2014-10-10" TargetMode="External"/><Relationship Id="rId4066" Type="http://schemas.openxmlformats.org/officeDocument/2006/relationships/hyperlink" Target="http://dev.dashboard.evolvesolar.com/my-commissions.php?user_id=110&amp;payweek=2014-03-28" TargetMode="External"/><Relationship Id="rId1867" Type="http://schemas.openxmlformats.org/officeDocument/2006/relationships/hyperlink" Target="http://dev.dashboard.evolvesolar.com/my-commissions.php?user_id=489&amp;payweek=2014-10-24" TargetMode="External"/><Relationship Id="rId2918" Type="http://schemas.openxmlformats.org/officeDocument/2006/relationships/hyperlink" Target="http://dev.dashboard.evolvesolar.com/my-commissions.php?user_id=185&amp;payweek=2014-08-21" TargetMode="External"/><Relationship Id="rId1727" Type="http://schemas.openxmlformats.org/officeDocument/2006/relationships/hyperlink" Target="http://dev.dashboard.evolvesolar.com/my-commissions.php?user_id=217&amp;payweek=2014-10-31" TargetMode="External"/><Relationship Id="rId1934" Type="http://schemas.openxmlformats.org/officeDocument/2006/relationships/hyperlink" Target="http://dev.dashboard.evolvesolar.com/my-commissions.php?user_id=512&amp;payweek=2014-10-20" TargetMode="External"/><Relationship Id="rId3082" Type="http://schemas.openxmlformats.org/officeDocument/2006/relationships/hyperlink" Target="http://dev.dashboard.evolvesolar.com/my-commissions.php?user_id=213&amp;payweek=2014-08-07" TargetMode="External"/><Relationship Id="rId19" Type="http://schemas.openxmlformats.org/officeDocument/2006/relationships/hyperlink" Target="http://dev.dashboard.evolvesolar.com/my-commissions.php?user_id=101&amp;payweek=2015-02-06" TargetMode="External"/><Relationship Id="rId3899" Type="http://schemas.openxmlformats.org/officeDocument/2006/relationships/hyperlink" Target="http://dev.dashboard.evolvesolar.com/my-commissions.php?user_id=113&amp;payweek=2014-05-16" TargetMode="External"/><Relationship Id="rId3759" Type="http://schemas.openxmlformats.org/officeDocument/2006/relationships/hyperlink" Target="http://dev.dashboard.evolvesolar.com/my-commissions.php?user_id=130&amp;payweek=2014-06-06" TargetMode="External"/><Relationship Id="rId3966" Type="http://schemas.openxmlformats.org/officeDocument/2006/relationships/hyperlink" Target="http://dev.dashboard.evolvesolar.com/my-commissions.php?user_id=111&amp;payweek=2014-05-02" TargetMode="External"/><Relationship Id="rId3" Type="http://schemas.openxmlformats.org/officeDocument/2006/relationships/hyperlink" Target="http://dev.dashboard.evolvesolar.com/my-commissions.php?user_id=32&amp;payweek=2015-02-06" TargetMode="External"/><Relationship Id="rId887" Type="http://schemas.openxmlformats.org/officeDocument/2006/relationships/hyperlink" Target="http://dev.dashboard.evolvesolar.com/my-commissions.php?user_id=906&amp;payweek=2014-12-26" TargetMode="External"/><Relationship Id="rId2568" Type="http://schemas.openxmlformats.org/officeDocument/2006/relationships/hyperlink" Target="http://dev.dashboard.evolvesolar.com/my-commissions.php?user_id=41&amp;payweek=2014-09-11" TargetMode="External"/><Relationship Id="rId2775" Type="http://schemas.openxmlformats.org/officeDocument/2006/relationships/hyperlink" Target="http://dev.dashboard.evolvesolar.com/my-commissions.php?user_id=260&amp;payweek=2014-08-28" TargetMode="External"/><Relationship Id="rId2982" Type="http://schemas.openxmlformats.org/officeDocument/2006/relationships/hyperlink" Target="http://dev.dashboard.evolvesolar.com/my-commissions.php?user_id=228&amp;payweek=2014-08-14" TargetMode="External"/><Relationship Id="rId3619" Type="http://schemas.openxmlformats.org/officeDocument/2006/relationships/hyperlink" Target="http://dev.dashboard.evolvesolar.com/my-commissions.php?user_id=28&amp;payweek=2014-06-13" TargetMode="External"/><Relationship Id="rId3826" Type="http://schemas.openxmlformats.org/officeDocument/2006/relationships/hyperlink" Target="http://dev.dashboard.evolvesolar.com/my-commissions.php?user_id=142&amp;payweek=2014-05-30" TargetMode="External"/><Relationship Id="rId747" Type="http://schemas.openxmlformats.org/officeDocument/2006/relationships/hyperlink" Target="http://dev.dashboard.evolvesolar.com/my-commissions.php?user_id=852&amp;payweek=2014-12-31" TargetMode="External"/><Relationship Id="rId954" Type="http://schemas.openxmlformats.org/officeDocument/2006/relationships/hyperlink" Target="http://dev.dashboard.evolvesolar.com/my-commissions.php?user_id=904&amp;payweek=2014-12-22" TargetMode="External"/><Relationship Id="rId1377" Type="http://schemas.openxmlformats.org/officeDocument/2006/relationships/hyperlink" Target="http://dev.dashboard.evolvesolar.com/my-commissions.php?user_id=607&amp;payweek=2014-11-21" TargetMode="External"/><Relationship Id="rId1584" Type="http://schemas.openxmlformats.org/officeDocument/2006/relationships/hyperlink" Target="http://dev.dashboard.evolvesolar.com/my-commissions.php?user_id=782&amp;payweek=2014-11-12" TargetMode="External"/><Relationship Id="rId1791" Type="http://schemas.openxmlformats.org/officeDocument/2006/relationships/hyperlink" Target="http://dev.dashboard.evolvesolar.com/my-commissions.php?user_id=582&amp;payweek=2014-10-31" TargetMode="External"/><Relationship Id="rId2428" Type="http://schemas.openxmlformats.org/officeDocument/2006/relationships/hyperlink" Target="http://dev.dashboard.evolvesolar.com/my-commissions.php?user_id=438&amp;payweek=2014-09-19" TargetMode="External"/><Relationship Id="rId2635" Type="http://schemas.openxmlformats.org/officeDocument/2006/relationships/hyperlink" Target="http://dev.dashboard.evolvesolar.com/my-commissions.php?user_id=218&amp;payweek=2014-09-04" TargetMode="External"/><Relationship Id="rId2842" Type="http://schemas.openxmlformats.org/officeDocument/2006/relationships/hyperlink" Target="http://dev.dashboard.evolvesolar.com/my-commissions.php?user_id=236&amp;payweek=2014-08-22" TargetMode="External"/><Relationship Id="rId83" Type="http://schemas.openxmlformats.org/officeDocument/2006/relationships/hyperlink" Target="http://dev.dashboard.evolvesolar.com/my-commissions.php?user_id=302&amp;payweek=2015-02-06" TargetMode="External"/><Relationship Id="rId607" Type="http://schemas.openxmlformats.org/officeDocument/2006/relationships/hyperlink" Target="http://dev.dashboard.evolvesolar.com/my-commissions.php?user_id=685&amp;payweek=2015-01-09" TargetMode="External"/><Relationship Id="rId814" Type="http://schemas.openxmlformats.org/officeDocument/2006/relationships/hyperlink" Target="http://dev.dashboard.evolvesolar.com/my-commissions.php?user_id=410&amp;payweek=2014-12-26" TargetMode="External"/><Relationship Id="rId1237" Type="http://schemas.openxmlformats.org/officeDocument/2006/relationships/hyperlink" Target="http://dev.dashboard.evolvesolar.com/my-commissions.php?user_id=784&amp;payweek=2014-11-28" TargetMode="External"/><Relationship Id="rId1444" Type="http://schemas.openxmlformats.org/officeDocument/2006/relationships/hyperlink" Target="http://dev.dashboard.evolvesolar.com/my-commissions.php?user_id=85&amp;payweek=2014-11-14" TargetMode="External"/><Relationship Id="rId1651" Type="http://schemas.openxmlformats.org/officeDocument/2006/relationships/hyperlink" Target="http://dev.dashboard.evolvesolar.com/my-commissions.php?user_id=539&amp;payweek=2014-11-07" TargetMode="External"/><Relationship Id="rId2702" Type="http://schemas.openxmlformats.org/officeDocument/2006/relationships/hyperlink" Target="http://dev.dashboard.evolvesolar.com/my-commissions.php?user_id=233&amp;payweek=2014-08-29" TargetMode="External"/><Relationship Id="rId1304" Type="http://schemas.openxmlformats.org/officeDocument/2006/relationships/hyperlink" Target="http://dev.dashboard.evolvesolar.com/my-commissions.php?user_id=821&amp;payweek=2014-11-25" TargetMode="External"/><Relationship Id="rId1511" Type="http://schemas.openxmlformats.org/officeDocument/2006/relationships/hyperlink" Target="http://dev.dashboard.evolvesolar.com/my-commissions.php?user_id=580&amp;payweek=2014-11-14" TargetMode="External"/><Relationship Id="rId3269" Type="http://schemas.openxmlformats.org/officeDocument/2006/relationships/hyperlink" Target="http://dev.dashboard.evolvesolar.com/my-commissions.php?user_id=225&amp;payweek=2014-07-25" TargetMode="External"/><Relationship Id="rId3476" Type="http://schemas.openxmlformats.org/officeDocument/2006/relationships/hyperlink" Target="http://dev.dashboard.evolvesolar.com/my-commissions.php?user_id=156&amp;payweek=2014-06-30" TargetMode="External"/><Relationship Id="rId3683" Type="http://schemas.openxmlformats.org/officeDocument/2006/relationships/hyperlink" Target="http://dev.dashboard.evolvesolar.com/my-commissions.php?user_id=146&amp;payweek=2014-06-13" TargetMode="External"/><Relationship Id="rId10" Type="http://schemas.openxmlformats.org/officeDocument/2006/relationships/hyperlink" Target="http://dev.dashboard.evolvesolar.com/my-commissions.php?user_id=41&amp;payweek=2015-02-06" TargetMode="External"/><Relationship Id="rId397" Type="http://schemas.openxmlformats.org/officeDocument/2006/relationships/hyperlink" Target="http://dev.dashboard.evolvesolar.com/my-commissions.php?user_id=593&amp;payweek=2015-01-23" TargetMode="External"/><Relationship Id="rId2078" Type="http://schemas.openxmlformats.org/officeDocument/2006/relationships/hyperlink" Target="http://dev.dashboard.evolvesolar.com/my-commissions.php?user_id=255&amp;payweek=2014-10-10" TargetMode="External"/><Relationship Id="rId2285" Type="http://schemas.openxmlformats.org/officeDocument/2006/relationships/hyperlink" Target="http://dev.dashboard.evolvesolar.com/my-commissions.php?user_id=133&amp;payweek=2014-09-25" TargetMode="External"/><Relationship Id="rId2492" Type="http://schemas.openxmlformats.org/officeDocument/2006/relationships/hyperlink" Target="http://dev.dashboard.evolvesolar.com/my-commissions.php?user_id=329&amp;payweek=2014-09-12" TargetMode="External"/><Relationship Id="rId3129" Type="http://schemas.openxmlformats.org/officeDocument/2006/relationships/hyperlink" Target="http://dev.dashboard.evolvesolar.com/my-commissions.php?user_id=365&amp;payweek=2014-08-04" TargetMode="External"/><Relationship Id="rId3336" Type="http://schemas.openxmlformats.org/officeDocument/2006/relationships/hyperlink" Target="http://dev.dashboard.evolvesolar.com/my-commissions.php?user_id=206&amp;payweek=2014-07-18" TargetMode="External"/><Relationship Id="rId3890" Type="http://schemas.openxmlformats.org/officeDocument/2006/relationships/hyperlink" Target="http://dev.dashboard.evolvesolar.com/my-commissions.php?user_id=88&amp;payweek=2014-05-16" TargetMode="External"/><Relationship Id="rId257" Type="http://schemas.openxmlformats.org/officeDocument/2006/relationships/hyperlink" Target="http://dev.dashboard.evolvesolar.com/my-commissions.php?user_id=268&amp;payweek=2015-01-30" TargetMode="External"/><Relationship Id="rId464" Type="http://schemas.openxmlformats.org/officeDocument/2006/relationships/hyperlink" Target="http://dev.dashboard.evolvesolar.com/my-commissions.php?user_id=401&amp;payweek=2015-01-15" TargetMode="External"/><Relationship Id="rId1094" Type="http://schemas.openxmlformats.org/officeDocument/2006/relationships/hyperlink" Target="http://dev.dashboard.evolvesolar.com/my-commissions.php?user_id=782&amp;payweek=2014-12-12" TargetMode="External"/><Relationship Id="rId2145" Type="http://schemas.openxmlformats.org/officeDocument/2006/relationships/hyperlink" Target="http://dev.dashboard.evolvesolar.com/my-commissions.php?user_id=646&amp;payweek=2014-10-10" TargetMode="External"/><Relationship Id="rId3543" Type="http://schemas.openxmlformats.org/officeDocument/2006/relationships/hyperlink" Target="http://dev.dashboard.evolvesolar.com/my-commissions.php?user_id=99&amp;payweek=2014-06-20" TargetMode="External"/><Relationship Id="rId3750" Type="http://schemas.openxmlformats.org/officeDocument/2006/relationships/hyperlink" Target="http://dev.dashboard.evolvesolar.com/my-commissions.php?user_id=116&amp;payweek=2014-06-06" TargetMode="External"/><Relationship Id="rId117" Type="http://schemas.openxmlformats.org/officeDocument/2006/relationships/hyperlink" Target="http://dev.dashboard.evolvesolar.com/my-commissions.php?user_id=446&amp;payweek=2015-02-06" TargetMode="External"/><Relationship Id="rId671" Type="http://schemas.openxmlformats.org/officeDocument/2006/relationships/hyperlink" Target="http://dev.dashboard.evolvesolar.com/my-commissions.php?user_id=203&amp;payweek=2014-12-31" TargetMode="External"/><Relationship Id="rId2352" Type="http://schemas.openxmlformats.org/officeDocument/2006/relationships/hyperlink" Target="http://dev.dashboard.evolvesolar.com/my-commissions.php?user_id=594&amp;payweek=2014-09-25" TargetMode="External"/><Relationship Id="rId3403" Type="http://schemas.openxmlformats.org/officeDocument/2006/relationships/hyperlink" Target="http://dev.dashboard.evolvesolar.com/my-commissions.php?user_id=175&amp;payweek=2014-07-11" TargetMode="External"/><Relationship Id="rId3610" Type="http://schemas.openxmlformats.org/officeDocument/2006/relationships/hyperlink" Target="http://dev.dashboard.evolvesolar.com/my-commissions.php?user_id=230&amp;payweek=2014-06-20" TargetMode="External"/><Relationship Id="rId324" Type="http://schemas.openxmlformats.org/officeDocument/2006/relationships/hyperlink" Target="http://dev.dashboard.evolvesolar.com/my-commissions.php?user_id=859&amp;payweek=2015-01-30" TargetMode="External"/><Relationship Id="rId531" Type="http://schemas.openxmlformats.org/officeDocument/2006/relationships/hyperlink" Target="http://dev.dashboard.evolvesolar.com/my-commissions.php?user_id=138&amp;payweek=2015-01-09" TargetMode="External"/><Relationship Id="rId1161" Type="http://schemas.openxmlformats.org/officeDocument/2006/relationships/hyperlink" Target="http://dev.dashboard.evolvesolar.com/my-commissions.php?user_id=672&amp;payweek=2014-12-05" TargetMode="External"/><Relationship Id="rId2005" Type="http://schemas.openxmlformats.org/officeDocument/2006/relationships/hyperlink" Target="http://dev.dashboard.evolvesolar.com/my-commissions.php?user_id=401&amp;payweek=2014-10-17" TargetMode="External"/><Relationship Id="rId2212" Type="http://schemas.openxmlformats.org/officeDocument/2006/relationships/hyperlink" Target="http://dev.dashboard.evolvesolar.com/my-commissions.php?user_id=551&amp;payweek=2014-10-06" TargetMode="External"/><Relationship Id="rId1021" Type="http://schemas.openxmlformats.org/officeDocument/2006/relationships/hyperlink" Target="http://dev.dashboard.evolvesolar.com/my-commissions.php?user_id=218&amp;payweek=2014-12-12" TargetMode="External"/><Relationship Id="rId1978" Type="http://schemas.openxmlformats.org/officeDocument/2006/relationships/hyperlink" Target="http://dev.dashboard.evolvesolar.com/my-commissions.php?user_id=212&amp;payweek=2014-10-17" TargetMode="External"/><Relationship Id="rId3193" Type="http://schemas.openxmlformats.org/officeDocument/2006/relationships/hyperlink" Target="http://dev.dashboard.evolvesolar.com/my-commissions.php?user_id=223&amp;payweek=2014-07-31" TargetMode="External"/><Relationship Id="rId4037" Type="http://schemas.openxmlformats.org/officeDocument/2006/relationships/hyperlink" Target="http://dev.dashboard.evolvesolar.com/my-commissions.php?user_id=110&amp;payweek=2014-04-11" TargetMode="External"/><Relationship Id="rId1838" Type="http://schemas.openxmlformats.org/officeDocument/2006/relationships/hyperlink" Target="http://dev.dashboard.evolvesolar.com/my-commissions.php?user_id=211&amp;payweek=2014-10-24" TargetMode="External"/><Relationship Id="rId3053" Type="http://schemas.openxmlformats.org/officeDocument/2006/relationships/hyperlink" Target="http://dev.dashboard.evolvesolar.com/my-commissions.php?user_id=276&amp;payweek=2014-08-08" TargetMode="External"/><Relationship Id="rId3260" Type="http://schemas.openxmlformats.org/officeDocument/2006/relationships/hyperlink" Target="http://dev.dashboard.evolvesolar.com/my-commissions.php?user_id=191&amp;payweek=2014-07-25" TargetMode="External"/><Relationship Id="rId4104" Type="http://schemas.openxmlformats.org/officeDocument/2006/relationships/hyperlink" Target="http://dev.dashboard.evolvesolar.com/my-commissions.php?user_id=699&amp;payweek=2014-01-13" TargetMode="External"/><Relationship Id="rId181" Type="http://schemas.openxmlformats.org/officeDocument/2006/relationships/hyperlink" Target="http://dev.dashboard.evolvesolar.com/my-commissions.php?user_id=775&amp;payweek=2015-02-06" TargetMode="External"/><Relationship Id="rId1905" Type="http://schemas.openxmlformats.org/officeDocument/2006/relationships/hyperlink" Target="http://dev.dashboard.evolvesolar.com/my-commissions.php?user_id=661&amp;payweek=2014-10-24" TargetMode="External"/><Relationship Id="rId3120" Type="http://schemas.openxmlformats.org/officeDocument/2006/relationships/hyperlink" Target="http://dev.dashboard.evolvesolar.com/my-commissions.php?user_id=383&amp;payweek=2014-08-07" TargetMode="External"/><Relationship Id="rId998" Type="http://schemas.openxmlformats.org/officeDocument/2006/relationships/hyperlink" Target="http://dev.dashboard.evolvesolar.com/my-commissions.php?user_id=41&amp;payweek=2014-12-12" TargetMode="External"/><Relationship Id="rId2679" Type="http://schemas.openxmlformats.org/officeDocument/2006/relationships/hyperlink" Target="http://dev.dashboard.evolvesolar.com/my-commissions.php?user_id=580&amp;payweek=2014-09-04" TargetMode="External"/><Relationship Id="rId2886" Type="http://schemas.openxmlformats.org/officeDocument/2006/relationships/hyperlink" Target="http://dev.dashboard.evolvesolar.com/my-commissions.php?user_id=389&amp;payweek=2014-08-22" TargetMode="External"/><Relationship Id="rId3937" Type="http://schemas.openxmlformats.org/officeDocument/2006/relationships/hyperlink" Target="http://dev.dashboard.evolvesolar.com/my-commissions.php?user_id=191&amp;payweek=2014-05-09" TargetMode="External"/><Relationship Id="rId858" Type="http://schemas.openxmlformats.org/officeDocument/2006/relationships/hyperlink" Target="http://dev.dashboard.evolvesolar.com/my-commissions.php?user_id=675&amp;payweek=2014-12-26" TargetMode="External"/><Relationship Id="rId1488" Type="http://schemas.openxmlformats.org/officeDocument/2006/relationships/hyperlink" Target="http://dev.dashboard.evolvesolar.com/my-commissions.php?user_id=326&amp;payweek=2014-11-14" TargetMode="External"/><Relationship Id="rId1695" Type="http://schemas.openxmlformats.org/officeDocument/2006/relationships/hyperlink" Target="http://dev.dashboard.evolvesolar.com/my-commissions.php?user_id=691&amp;payweek=2014-11-07" TargetMode="External"/><Relationship Id="rId2539" Type="http://schemas.openxmlformats.org/officeDocument/2006/relationships/hyperlink" Target="http://dev.dashboard.evolvesolar.com/my-commissions.php?user_id=472&amp;payweek=2014-09-12" TargetMode="External"/><Relationship Id="rId2746" Type="http://schemas.openxmlformats.org/officeDocument/2006/relationships/hyperlink" Target="http://dev.dashboard.evolvesolar.com/my-commissions.php?user_id=47&amp;payweek=2014-08-28" TargetMode="External"/><Relationship Id="rId2953" Type="http://schemas.openxmlformats.org/officeDocument/2006/relationships/hyperlink" Target="http://dev.dashboard.evolvesolar.com/my-commissions.php?user_id=236&amp;payweek=2014-08-15" TargetMode="External"/><Relationship Id="rId718" Type="http://schemas.openxmlformats.org/officeDocument/2006/relationships/hyperlink" Target="http://dev.dashboard.evolvesolar.com/my-commissions.php?user_id=583&amp;payweek=2014-12-31" TargetMode="External"/><Relationship Id="rId925" Type="http://schemas.openxmlformats.org/officeDocument/2006/relationships/hyperlink" Target="http://dev.dashboard.evolvesolar.com/my-commissions.php?user_id=599&amp;payweek=2014-12-22" TargetMode="External"/><Relationship Id="rId1348" Type="http://schemas.openxmlformats.org/officeDocument/2006/relationships/hyperlink" Target="http://dev.dashboard.evolvesolar.com/my-commissions.php?user_id=326&amp;payweek=2014-11-21" TargetMode="External"/><Relationship Id="rId1555" Type="http://schemas.openxmlformats.org/officeDocument/2006/relationships/hyperlink" Target="http://dev.dashboard.evolvesolar.com/my-commissions.php?user_id=716&amp;payweek=2014-11-14" TargetMode="External"/><Relationship Id="rId1762" Type="http://schemas.openxmlformats.org/officeDocument/2006/relationships/hyperlink" Target="http://dev.dashboard.evolvesolar.com/my-commissions.php?user_id=407&amp;payweek=2014-10-31" TargetMode="External"/><Relationship Id="rId2606" Type="http://schemas.openxmlformats.org/officeDocument/2006/relationships/hyperlink" Target="http://dev.dashboard.evolvesolar.com/my-commissions.php?user_id=321&amp;payweek=2014-09-05" TargetMode="External"/><Relationship Id="rId1208" Type="http://schemas.openxmlformats.org/officeDocument/2006/relationships/hyperlink" Target="http://dev.dashboard.evolvesolar.com/my-commissions.php?user_id=94&amp;payweek=2014-11-28" TargetMode="External"/><Relationship Id="rId1415" Type="http://schemas.openxmlformats.org/officeDocument/2006/relationships/hyperlink" Target="http://dev.dashboard.evolvesolar.com/my-commissions.php?user_id=771&amp;payweek=2014-11-21" TargetMode="External"/><Relationship Id="rId2813" Type="http://schemas.openxmlformats.org/officeDocument/2006/relationships/hyperlink" Target="http://dev.dashboard.evolvesolar.com/my-commissions.php?user_id=152&amp;payweek=2014-08-22" TargetMode="External"/><Relationship Id="rId54" Type="http://schemas.openxmlformats.org/officeDocument/2006/relationships/hyperlink" Target="http://dev.dashboard.evolvesolar.com/my-commissions.php?user_id=203&amp;payweek=2015-02-06" TargetMode="External"/><Relationship Id="rId1622" Type="http://schemas.openxmlformats.org/officeDocument/2006/relationships/hyperlink" Target="http://dev.dashboard.evolvesolar.com/my-commissions.php?user_id=269&amp;payweek=2014-11-07" TargetMode="External"/><Relationship Id="rId2189" Type="http://schemas.openxmlformats.org/officeDocument/2006/relationships/hyperlink" Target="http://dev.dashboard.evolvesolar.com/my-commissions.php?user_id=355&amp;payweek=2014-10-06" TargetMode="External"/><Relationship Id="rId3587" Type="http://schemas.openxmlformats.org/officeDocument/2006/relationships/hyperlink" Target="http://dev.dashboard.evolvesolar.com/my-commissions.php?user_id=161&amp;payweek=2014-06-20" TargetMode="External"/><Relationship Id="rId3794" Type="http://schemas.openxmlformats.org/officeDocument/2006/relationships/hyperlink" Target="http://dev.dashboard.evolvesolar.com/my-commissions.php?user_id=83&amp;payweek=2014-05-30" TargetMode="External"/><Relationship Id="rId2396" Type="http://schemas.openxmlformats.org/officeDocument/2006/relationships/hyperlink" Target="http://dev.dashboard.evolvesolar.com/my-commissions.php?user_id=233&amp;payweek=2014-09-19" TargetMode="External"/><Relationship Id="rId3447" Type="http://schemas.openxmlformats.org/officeDocument/2006/relationships/hyperlink" Target="http://dev.dashboard.evolvesolar.com/my-commissions.php?user_id=167&amp;payweek=2014-07-04" TargetMode="External"/><Relationship Id="rId3654" Type="http://schemas.openxmlformats.org/officeDocument/2006/relationships/hyperlink" Target="http://dev.dashboard.evolvesolar.com/my-commissions.php?user_id=108&amp;payweek=2014-06-13" TargetMode="External"/><Relationship Id="rId3861" Type="http://schemas.openxmlformats.org/officeDocument/2006/relationships/hyperlink" Target="http://dev.dashboard.evolvesolar.com/my-commissions.php?user_id=109&amp;payweek=2014-05-23" TargetMode="External"/><Relationship Id="rId368" Type="http://schemas.openxmlformats.org/officeDocument/2006/relationships/hyperlink" Target="http://dev.dashboard.evolvesolar.com/my-commissions.php?user_id=255&amp;payweek=2015-01-23" TargetMode="External"/><Relationship Id="rId575" Type="http://schemas.openxmlformats.org/officeDocument/2006/relationships/hyperlink" Target="http://dev.dashboard.evolvesolar.com/my-commissions.php?user_id=438&amp;payweek=2015-01-09" TargetMode="External"/><Relationship Id="rId782" Type="http://schemas.openxmlformats.org/officeDocument/2006/relationships/hyperlink" Target="http://dev.dashboard.evolvesolar.com/my-commissions.php?user_id=255&amp;payweek=2014-12-26" TargetMode="External"/><Relationship Id="rId2049" Type="http://schemas.openxmlformats.org/officeDocument/2006/relationships/hyperlink" Target="http://dev.dashboard.evolvesolar.com/my-commissions.php?user_id=387&amp;payweek=2014-10-14" TargetMode="External"/><Relationship Id="rId2256" Type="http://schemas.openxmlformats.org/officeDocument/2006/relationships/hyperlink" Target="http://dev.dashboard.evolvesolar.com/my-commissions.php?user_id=383&amp;payweek=2014-10-01" TargetMode="External"/><Relationship Id="rId2463" Type="http://schemas.openxmlformats.org/officeDocument/2006/relationships/hyperlink" Target="http://dev.dashboard.evolvesolar.com/my-commissions.php?user_id=217&amp;payweek=2014-09-12" TargetMode="External"/><Relationship Id="rId2670" Type="http://schemas.openxmlformats.org/officeDocument/2006/relationships/hyperlink" Target="http://dev.dashboard.evolvesolar.com/my-commissions.php?user_id=392&amp;payweek=2014-09-04" TargetMode="External"/><Relationship Id="rId3307" Type="http://schemas.openxmlformats.org/officeDocument/2006/relationships/hyperlink" Target="http://dev.dashboard.evolvesolar.com/my-commissions.php?user_id=41&amp;payweek=2014-07-18" TargetMode="External"/><Relationship Id="rId3514" Type="http://schemas.openxmlformats.org/officeDocument/2006/relationships/hyperlink" Target="http://dev.dashboard.evolvesolar.com/my-commissions.php?user_id=217&amp;payweek=2014-06-27" TargetMode="External"/><Relationship Id="rId3721" Type="http://schemas.openxmlformats.org/officeDocument/2006/relationships/hyperlink" Target="http://dev.dashboard.evolvesolar.com/my-commissions.php?user_id=79&amp;payweek=2014-06-06" TargetMode="External"/><Relationship Id="rId228" Type="http://schemas.openxmlformats.org/officeDocument/2006/relationships/hyperlink" Target="http://dev.dashboard.evolvesolar.com/my-commissions.php?user_id=969&amp;payweek=2015-02-06" TargetMode="External"/><Relationship Id="rId435" Type="http://schemas.openxmlformats.org/officeDocument/2006/relationships/hyperlink" Target="http://dev.dashboard.evolvesolar.com/my-commissions.php?user_id=28&amp;payweek=2015-01-15" TargetMode="External"/><Relationship Id="rId642" Type="http://schemas.openxmlformats.org/officeDocument/2006/relationships/hyperlink" Target="http://dev.dashboard.evolvesolar.com/my-commissions.php?user_id=539&amp;payweek=2015-01-06" TargetMode="External"/><Relationship Id="rId1065" Type="http://schemas.openxmlformats.org/officeDocument/2006/relationships/hyperlink" Target="http://dev.dashboard.evolvesolar.com/my-commissions.php?user_id=600&amp;payweek=2014-12-12" TargetMode="External"/><Relationship Id="rId1272" Type="http://schemas.openxmlformats.org/officeDocument/2006/relationships/hyperlink" Target="http://dev.dashboard.evolvesolar.com/my-commissions.php?user_id=599&amp;payweek=2014-11-25" TargetMode="External"/><Relationship Id="rId2116" Type="http://schemas.openxmlformats.org/officeDocument/2006/relationships/hyperlink" Target="http://dev.dashboard.evolvesolar.com/my-commissions.php?user_id=438&amp;payweek=2014-10-10" TargetMode="External"/><Relationship Id="rId2323" Type="http://schemas.openxmlformats.org/officeDocument/2006/relationships/hyperlink" Target="http://dev.dashboard.evolvesolar.com/my-commissions.php?user_id=438&amp;payweek=2014-09-25" TargetMode="External"/><Relationship Id="rId2530" Type="http://schemas.openxmlformats.org/officeDocument/2006/relationships/hyperlink" Target="http://dev.dashboard.evolvesolar.com/my-commissions.php?user_id=410&amp;payweek=2014-09-12" TargetMode="External"/><Relationship Id="rId502" Type="http://schemas.openxmlformats.org/officeDocument/2006/relationships/hyperlink" Target="http://dev.dashboard.evolvesolar.com/my-commissions.php?user_id=750&amp;payweek=2015-01-15" TargetMode="External"/><Relationship Id="rId1132" Type="http://schemas.openxmlformats.org/officeDocument/2006/relationships/hyperlink" Target="http://dev.dashboard.evolvesolar.com/my-commissions.php?user_id=365&amp;payweek=2014-12-05" TargetMode="External"/><Relationship Id="rId3097" Type="http://schemas.openxmlformats.org/officeDocument/2006/relationships/hyperlink" Target="http://dev.dashboard.evolvesolar.com/my-commissions.php?user_id=232&amp;payweek=2014-08-07" TargetMode="External"/><Relationship Id="rId1949" Type="http://schemas.openxmlformats.org/officeDocument/2006/relationships/hyperlink" Target="http://dev.dashboard.evolvesolar.com/my-commissions.php?user_id=27&amp;payweek=2014-10-17" TargetMode="External"/><Relationship Id="rId3164" Type="http://schemas.openxmlformats.org/officeDocument/2006/relationships/hyperlink" Target="http://dev.dashboard.evolvesolar.com/my-commissions.php?user_id=133&amp;payweek=2014-07-31" TargetMode="External"/><Relationship Id="rId4008" Type="http://schemas.openxmlformats.org/officeDocument/2006/relationships/hyperlink" Target="http://dev.dashboard.evolvesolar.com/my-commissions.php?user_id=82&amp;payweek=2014-04-17" TargetMode="External"/><Relationship Id="rId292" Type="http://schemas.openxmlformats.org/officeDocument/2006/relationships/hyperlink" Target="http://dev.dashboard.evolvesolar.com/my-commissions.php?user_id=672&amp;payweek=2015-01-30" TargetMode="External"/><Relationship Id="rId1809" Type="http://schemas.openxmlformats.org/officeDocument/2006/relationships/hyperlink" Target="http://dev.dashboard.evolvesolar.com/my-commissions.php?user_id=657&amp;payweek=2014-10-31" TargetMode="External"/><Relationship Id="rId3371" Type="http://schemas.openxmlformats.org/officeDocument/2006/relationships/hyperlink" Target="http://dev.dashboard.evolvesolar.com/my-commissions.php?user_id=41&amp;payweek=2014-07-11" TargetMode="External"/><Relationship Id="rId2180" Type="http://schemas.openxmlformats.org/officeDocument/2006/relationships/hyperlink" Target="http://dev.dashboard.evolvesolar.com/my-commissions.php?user_id=295&amp;payweek=2014-10-06" TargetMode="External"/><Relationship Id="rId3024" Type="http://schemas.openxmlformats.org/officeDocument/2006/relationships/hyperlink" Target="http://dev.dashboard.evolvesolar.com/my-commissions.php?user_id=152&amp;payweek=2014-08-08" TargetMode="External"/><Relationship Id="rId3231" Type="http://schemas.openxmlformats.org/officeDocument/2006/relationships/hyperlink" Target="http://dev.dashboard.evolvesolar.com/my-commissions.php?user_id=99&amp;payweek=2014-07-25" TargetMode="External"/><Relationship Id="rId152" Type="http://schemas.openxmlformats.org/officeDocument/2006/relationships/hyperlink" Target="http://dev.dashboard.evolvesolar.com/my-commissions.php?user_id=610&amp;payweek=2015-02-06" TargetMode="External"/><Relationship Id="rId2040" Type="http://schemas.openxmlformats.org/officeDocument/2006/relationships/hyperlink" Target="http://dev.dashboard.evolvesolar.com/my-commissions.php?user_id=676&amp;payweek=2014-10-17" TargetMode="External"/><Relationship Id="rId2997" Type="http://schemas.openxmlformats.org/officeDocument/2006/relationships/hyperlink" Target="http://dev.dashboard.evolvesolar.com/my-commissions.php?user_id=324&amp;payweek=2014-08-14" TargetMode="External"/><Relationship Id="rId969" Type="http://schemas.openxmlformats.org/officeDocument/2006/relationships/hyperlink" Target="http://dev.dashboard.evolvesolar.com/my-commissions.php?user_id=410&amp;payweek=2014-12-19" TargetMode="External"/><Relationship Id="rId1599" Type="http://schemas.openxmlformats.org/officeDocument/2006/relationships/hyperlink" Target="http://dev.dashboard.evolvesolar.com/my-commissions.php?user_id=63&amp;payweek=2014-11-07" TargetMode="External"/><Relationship Id="rId1459" Type="http://schemas.openxmlformats.org/officeDocument/2006/relationships/hyperlink" Target="http://dev.dashboard.evolvesolar.com/my-commissions.php?user_id=202&amp;payweek=2014-11-14" TargetMode="External"/><Relationship Id="rId2857" Type="http://schemas.openxmlformats.org/officeDocument/2006/relationships/hyperlink" Target="http://dev.dashboard.evolvesolar.com/my-commissions.php?user_id=260&amp;payweek=2014-08-22" TargetMode="External"/><Relationship Id="rId3908" Type="http://schemas.openxmlformats.org/officeDocument/2006/relationships/hyperlink" Target="http://dev.dashboard.evolvesolar.com/my-commissions.php?user_id=139&amp;payweek=2014-05-16" TargetMode="External"/><Relationship Id="rId4072" Type="http://schemas.openxmlformats.org/officeDocument/2006/relationships/hyperlink" Target="http://dev.dashboard.evolvesolar.com/my-commissions.php?user_id=110&amp;payweek=2014-03-21" TargetMode="External"/><Relationship Id="rId98" Type="http://schemas.openxmlformats.org/officeDocument/2006/relationships/hyperlink" Target="http://dev.dashboard.evolvesolar.com/my-commissions.php?user_id=365&amp;payweek=2015-02-06" TargetMode="External"/><Relationship Id="rId829" Type="http://schemas.openxmlformats.org/officeDocument/2006/relationships/hyperlink" Target="http://dev.dashboard.evolvesolar.com/my-commissions.php?user_id=580&amp;payweek=2014-12-26" TargetMode="External"/><Relationship Id="rId1666" Type="http://schemas.openxmlformats.org/officeDocument/2006/relationships/hyperlink" Target="http://dev.dashboard.evolvesolar.com/my-commissions.php?user_id=590&amp;payweek=2014-11-07" TargetMode="External"/><Relationship Id="rId1873" Type="http://schemas.openxmlformats.org/officeDocument/2006/relationships/hyperlink" Target="http://dev.dashboard.evolvesolar.com/my-commissions.php?user_id=576&amp;payweek=2014-10-24" TargetMode="External"/><Relationship Id="rId2717" Type="http://schemas.openxmlformats.org/officeDocument/2006/relationships/hyperlink" Target="http://dev.dashboard.evolvesolar.com/my-commissions.php?user_id=329&amp;payweek=2014-08-29" TargetMode="External"/><Relationship Id="rId2924" Type="http://schemas.openxmlformats.org/officeDocument/2006/relationships/hyperlink" Target="http://dev.dashboard.evolvesolar.com/my-commissions.php?user_id=37&amp;payweek=2014-08-15" TargetMode="External"/><Relationship Id="rId1319" Type="http://schemas.openxmlformats.org/officeDocument/2006/relationships/hyperlink" Target="http://dev.dashboard.evolvesolar.com/my-commissions.php?user_id=77&amp;payweek=2014-11-21" TargetMode="External"/><Relationship Id="rId1526" Type="http://schemas.openxmlformats.org/officeDocument/2006/relationships/hyperlink" Target="http://dev.dashboard.evolvesolar.com/my-commissions.php?user_id=631&amp;payweek=2014-11-14" TargetMode="External"/><Relationship Id="rId1733" Type="http://schemas.openxmlformats.org/officeDocument/2006/relationships/hyperlink" Target="http://dev.dashboard.evolvesolar.com/my-commissions.php?user_id=261&amp;payweek=2014-10-31" TargetMode="External"/><Relationship Id="rId1940" Type="http://schemas.openxmlformats.org/officeDocument/2006/relationships/hyperlink" Target="http://dev.dashboard.evolvesolar.com/my-commissions.php?user_id=675&amp;payweek=2014-10-20" TargetMode="External"/><Relationship Id="rId25" Type="http://schemas.openxmlformats.org/officeDocument/2006/relationships/hyperlink" Target="http://dev.dashboard.evolvesolar.com/my-commissions.php?user_id=110&amp;payweek=2015-02-06" TargetMode="External"/><Relationship Id="rId1800" Type="http://schemas.openxmlformats.org/officeDocument/2006/relationships/hyperlink" Target="http://dev.dashboard.evolvesolar.com/my-commissions.php?user_id=629&amp;payweek=2014-10-31" TargetMode="External"/><Relationship Id="rId3698" Type="http://schemas.openxmlformats.org/officeDocument/2006/relationships/hyperlink" Target="http://dev.dashboard.evolvesolar.com/my-commissions.php?user_id=185&amp;payweek=2014-06-13" TargetMode="External"/><Relationship Id="rId3558" Type="http://schemas.openxmlformats.org/officeDocument/2006/relationships/hyperlink" Target="http://dev.dashboard.evolvesolar.com/my-commissions.php?user_id=137&amp;payweek=2014-06-20" TargetMode="External"/><Relationship Id="rId3765" Type="http://schemas.openxmlformats.org/officeDocument/2006/relationships/hyperlink" Target="http://dev.dashboard.evolvesolar.com/my-commissions.php?user_id=139&amp;payweek=2014-06-06" TargetMode="External"/><Relationship Id="rId3972" Type="http://schemas.openxmlformats.org/officeDocument/2006/relationships/hyperlink" Target="http://dev.dashboard.evolvesolar.com/my-commissions.php?user_id=104&amp;payweek=2014-04-25" TargetMode="External"/><Relationship Id="rId479" Type="http://schemas.openxmlformats.org/officeDocument/2006/relationships/hyperlink" Target="http://dev.dashboard.evolvesolar.com/my-commissions.php?user_id=632&amp;payweek=2015-01-15" TargetMode="External"/><Relationship Id="rId686" Type="http://schemas.openxmlformats.org/officeDocument/2006/relationships/hyperlink" Target="http://dev.dashboard.evolvesolar.com/my-commissions.php?user_id=285&amp;payweek=2014-12-31" TargetMode="External"/><Relationship Id="rId893" Type="http://schemas.openxmlformats.org/officeDocument/2006/relationships/hyperlink" Target="http://dev.dashboard.evolvesolar.com/my-commissions.php?user_id=37&amp;payweek=2014-12-22" TargetMode="External"/><Relationship Id="rId2367" Type="http://schemas.openxmlformats.org/officeDocument/2006/relationships/hyperlink" Target="http://dev.dashboard.evolvesolar.com/my-commissions.php?user_id=379&amp;payweek=2014-09-22" TargetMode="External"/><Relationship Id="rId2574" Type="http://schemas.openxmlformats.org/officeDocument/2006/relationships/hyperlink" Target="http://dev.dashboard.evolvesolar.com/my-commissions.php?user_id=41&amp;payweek=2014-09-09" TargetMode="External"/><Relationship Id="rId2781" Type="http://schemas.openxmlformats.org/officeDocument/2006/relationships/hyperlink" Target="http://dev.dashboard.evolvesolar.com/my-commissions.php?user_id=328&amp;payweek=2014-08-28" TargetMode="External"/><Relationship Id="rId3418" Type="http://schemas.openxmlformats.org/officeDocument/2006/relationships/hyperlink" Target="http://dev.dashboard.evolvesolar.com/my-commissions.php?user_id=214&amp;payweek=2014-07-11" TargetMode="External"/><Relationship Id="rId3625" Type="http://schemas.openxmlformats.org/officeDocument/2006/relationships/hyperlink" Target="http://dev.dashboard.evolvesolar.com/my-commissions.php?user_id=45&amp;payweek=2014-06-13" TargetMode="External"/><Relationship Id="rId339" Type="http://schemas.openxmlformats.org/officeDocument/2006/relationships/hyperlink" Target="http://dev.dashboard.evolvesolar.com/my-commissions.php?user_id=943&amp;payweek=2015-01-30" TargetMode="External"/><Relationship Id="rId546" Type="http://schemas.openxmlformats.org/officeDocument/2006/relationships/hyperlink" Target="http://dev.dashboard.evolvesolar.com/my-commissions.php?user_id=282&amp;payweek=2015-01-09" TargetMode="External"/><Relationship Id="rId753" Type="http://schemas.openxmlformats.org/officeDocument/2006/relationships/hyperlink" Target="http://dev.dashboard.evolvesolar.com/my-commissions.php?user_id=41&amp;payweek=2014-12-26" TargetMode="External"/><Relationship Id="rId1176" Type="http://schemas.openxmlformats.org/officeDocument/2006/relationships/hyperlink" Target="http://dev.dashboard.evolvesolar.com/my-commissions.php?user_id=711&amp;payweek=2014-12-05" TargetMode="External"/><Relationship Id="rId1383" Type="http://schemas.openxmlformats.org/officeDocument/2006/relationships/hyperlink" Target="http://dev.dashboard.evolvesolar.com/my-commissions.php?user_id=646&amp;payweek=2014-11-21" TargetMode="External"/><Relationship Id="rId2227" Type="http://schemas.openxmlformats.org/officeDocument/2006/relationships/hyperlink" Target="http://dev.dashboard.evolvesolar.com/my-commissions.php?user_id=77&amp;payweek=2014-10-03" TargetMode="External"/><Relationship Id="rId2434" Type="http://schemas.openxmlformats.org/officeDocument/2006/relationships/hyperlink" Target="http://dev.dashboard.evolvesolar.com/my-commissions.php?user_id=548&amp;payweek=2014-09-19" TargetMode="External"/><Relationship Id="rId3832" Type="http://schemas.openxmlformats.org/officeDocument/2006/relationships/hyperlink" Target="http://dev.dashboard.evolvesolar.com/my-commissions.php?user_id=28&amp;payweek=2014-05-23" TargetMode="External"/><Relationship Id="rId406" Type="http://schemas.openxmlformats.org/officeDocument/2006/relationships/hyperlink" Target="http://dev.dashboard.evolvesolar.com/my-commissions.php?user_id=659&amp;payweek=2015-01-23" TargetMode="External"/><Relationship Id="rId960" Type="http://schemas.openxmlformats.org/officeDocument/2006/relationships/hyperlink" Target="http://dev.dashboard.evolvesolar.com/my-commissions.php?user_id=203&amp;payweek=2014-12-19" TargetMode="External"/><Relationship Id="rId1036" Type="http://schemas.openxmlformats.org/officeDocument/2006/relationships/hyperlink" Target="http://dev.dashboard.evolvesolar.com/my-commissions.php?user_id=326&amp;payweek=2014-12-12" TargetMode="External"/><Relationship Id="rId1243" Type="http://schemas.openxmlformats.org/officeDocument/2006/relationships/hyperlink" Target="http://dev.dashboard.evolvesolar.com/my-commissions.php?user_id=854&amp;payweek=2014-11-28" TargetMode="External"/><Relationship Id="rId1590" Type="http://schemas.openxmlformats.org/officeDocument/2006/relationships/hyperlink" Target="http://dev.dashboard.evolvesolar.com/my-commissions.php?user_id=648&amp;payweek=2014-11-10" TargetMode="External"/><Relationship Id="rId2641" Type="http://schemas.openxmlformats.org/officeDocument/2006/relationships/hyperlink" Target="http://dev.dashboard.evolvesolar.com/my-commissions.php?user_id=230&amp;payweek=2014-09-04" TargetMode="External"/><Relationship Id="rId613" Type="http://schemas.openxmlformats.org/officeDocument/2006/relationships/hyperlink" Target="http://dev.dashboard.evolvesolar.com/my-commissions.php?user_id=702&amp;payweek=2015-01-09" TargetMode="External"/><Relationship Id="rId820" Type="http://schemas.openxmlformats.org/officeDocument/2006/relationships/hyperlink" Target="http://dev.dashboard.evolvesolar.com/my-commissions.php?user_id=438&amp;payweek=2014-12-26" TargetMode="External"/><Relationship Id="rId1450" Type="http://schemas.openxmlformats.org/officeDocument/2006/relationships/hyperlink" Target="http://dev.dashboard.evolvesolar.com/my-commissions.php?user_id=133&amp;payweek=2014-11-14" TargetMode="External"/><Relationship Id="rId2501" Type="http://schemas.openxmlformats.org/officeDocument/2006/relationships/hyperlink" Target="http://dev.dashboard.evolvesolar.com/my-commissions.php?user_id=358&amp;payweek=2014-09-12" TargetMode="External"/><Relationship Id="rId1103" Type="http://schemas.openxmlformats.org/officeDocument/2006/relationships/hyperlink" Target="http://dev.dashboard.evolvesolar.com/my-commissions.php?user_id=714&amp;payweek=2014-12-10" TargetMode="External"/><Relationship Id="rId1310" Type="http://schemas.openxmlformats.org/officeDocument/2006/relationships/hyperlink" Target="http://dev.dashboard.evolvesolar.com/my-commissions.php?user_id=27&amp;payweek=2014-11-21" TargetMode="External"/><Relationship Id="rId3068" Type="http://schemas.openxmlformats.org/officeDocument/2006/relationships/hyperlink" Target="http://dev.dashboard.evolvesolar.com/my-commissions.php?user_id=391&amp;payweek=2014-08-08" TargetMode="External"/><Relationship Id="rId3275" Type="http://schemas.openxmlformats.org/officeDocument/2006/relationships/hyperlink" Target="http://dev.dashboard.evolvesolar.com/my-commissions.php?user_id=236&amp;payweek=2014-07-25" TargetMode="External"/><Relationship Id="rId3482" Type="http://schemas.openxmlformats.org/officeDocument/2006/relationships/hyperlink" Target="http://dev.dashboard.evolvesolar.com/my-commissions.php?user_id=63&amp;payweek=2014-06-27" TargetMode="External"/><Relationship Id="rId196" Type="http://schemas.openxmlformats.org/officeDocument/2006/relationships/hyperlink" Target="http://dev.dashboard.evolvesolar.com/my-commissions.php?user_id=893&amp;payweek=2015-02-06" TargetMode="External"/><Relationship Id="rId2084" Type="http://schemas.openxmlformats.org/officeDocument/2006/relationships/hyperlink" Target="http://dev.dashboard.evolvesolar.com/my-commissions.php?user_id=269&amp;payweek=2014-10-10" TargetMode="External"/><Relationship Id="rId2291" Type="http://schemas.openxmlformats.org/officeDocument/2006/relationships/hyperlink" Target="http://dev.dashboard.evolvesolar.com/my-commissions.php?user_id=261&amp;payweek=2014-09-25" TargetMode="External"/><Relationship Id="rId3135" Type="http://schemas.openxmlformats.org/officeDocument/2006/relationships/hyperlink" Target="http://dev.dashboard.evolvesolar.com/my-commissions.php?user_id=224&amp;payweek=2014-08-02" TargetMode="External"/><Relationship Id="rId3342" Type="http://schemas.openxmlformats.org/officeDocument/2006/relationships/hyperlink" Target="http://dev.dashboard.evolvesolar.com/my-commissions.php?user_id=223&amp;payweek=2014-07-18" TargetMode="External"/><Relationship Id="rId263" Type="http://schemas.openxmlformats.org/officeDocument/2006/relationships/hyperlink" Target="http://dev.dashboard.evolvesolar.com/my-commissions.php?user_id=355&amp;payweek=2015-01-30" TargetMode="External"/><Relationship Id="rId470" Type="http://schemas.openxmlformats.org/officeDocument/2006/relationships/hyperlink" Target="http://dev.dashboard.evolvesolar.com/my-commissions.php?user_id=498&amp;payweek=2015-01-15" TargetMode="External"/><Relationship Id="rId2151" Type="http://schemas.openxmlformats.org/officeDocument/2006/relationships/hyperlink" Target="http://dev.dashboard.evolvesolar.com/my-commissions.php?user_id=652&amp;payweek=2014-10-10" TargetMode="External"/><Relationship Id="rId3202" Type="http://schemas.openxmlformats.org/officeDocument/2006/relationships/hyperlink" Target="http://dev.dashboard.evolvesolar.com/my-commissions.php?user_id=233&amp;payweek=2014-07-31" TargetMode="External"/><Relationship Id="rId123" Type="http://schemas.openxmlformats.org/officeDocument/2006/relationships/hyperlink" Target="http://dev.dashboard.evolvesolar.com/my-commissions.php?user_id=465&amp;payweek=2015-02-06" TargetMode="External"/><Relationship Id="rId330" Type="http://schemas.openxmlformats.org/officeDocument/2006/relationships/hyperlink" Target="http://dev.dashboard.evolvesolar.com/my-commissions.php?user_id=897&amp;payweek=2015-01-30" TargetMode="External"/><Relationship Id="rId2011" Type="http://schemas.openxmlformats.org/officeDocument/2006/relationships/hyperlink" Target="http://dev.dashboard.evolvesolar.com/my-commissions.php?user_id=458&amp;payweek=2014-10-17" TargetMode="External"/><Relationship Id="rId2968" Type="http://schemas.openxmlformats.org/officeDocument/2006/relationships/hyperlink" Target="http://dev.dashboard.evolvesolar.com/my-commissions.php?user_id=183&amp;payweek=2014-08-14" TargetMode="External"/><Relationship Id="rId1777" Type="http://schemas.openxmlformats.org/officeDocument/2006/relationships/hyperlink" Target="http://dev.dashboard.evolvesolar.com/my-commissions.php?user_id=477&amp;payweek=2014-10-31" TargetMode="External"/><Relationship Id="rId1984" Type="http://schemas.openxmlformats.org/officeDocument/2006/relationships/hyperlink" Target="http://dev.dashboard.evolvesolar.com/my-commissions.php?user_id=250&amp;payweek=2014-10-17" TargetMode="External"/><Relationship Id="rId2828" Type="http://schemas.openxmlformats.org/officeDocument/2006/relationships/hyperlink" Target="http://dev.dashboard.evolvesolar.com/my-commissions.php?user_id=224&amp;payweek=2014-08-22" TargetMode="External"/><Relationship Id="rId69" Type="http://schemas.openxmlformats.org/officeDocument/2006/relationships/hyperlink" Target="http://dev.dashboard.evolvesolar.com/my-commissions.php?user_id=251&amp;payweek=2015-02-06" TargetMode="External"/><Relationship Id="rId1637" Type="http://schemas.openxmlformats.org/officeDocument/2006/relationships/hyperlink" Target="http://dev.dashboard.evolvesolar.com/my-commissions.php?user_id=392&amp;payweek=2014-11-07" TargetMode="External"/><Relationship Id="rId1844" Type="http://schemas.openxmlformats.org/officeDocument/2006/relationships/hyperlink" Target="http://dev.dashboard.evolvesolar.com/my-commissions.php?user_id=268&amp;payweek=2014-10-24" TargetMode="External"/><Relationship Id="rId4043" Type="http://schemas.openxmlformats.org/officeDocument/2006/relationships/hyperlink" Target="http://dev.dashboard.evolvesolar.com/my-commissions.php?user_id=100&amp;payweek=2014-04-07" TargetMode="External"/><Relationship Id="rId1704" Type="http://schemas.openxmlformats.org/officeDocument/2006/relationships/hyperlink" Target="http://dev.dashboard.evolvesolar.com/my-commissions.php?user_id=711&amp;payweek=2014-11-07" TargetMode="External"/><Relationship Id="rId4110" Type="http://schemas.openxmlformats.org/officeDocument/2006/relationships/hyperlink" Target="http://dev.dashboard.evolvesolar.com/my-commissions.php?user_id=692&amp;payweek=2014-01-03" TargetMode="External"/><Relationship Id="rId1911" Type="http://schemas.openxmlformats.org/officeDocument/2006/relationships/hyperlink" Target="http://dev.dashboard.evolvesolar.com/my-commissions.php?user_id=675&amp;payweek=2014-10-24" TargetMode="External"/><Relationship Id="rId3669" Type="http://schemas.openxmlformats.org/officeDocument/2006/relationships/hyperlink" Target="http://dev.dashboard.evolvesolar.com/my-commissions.php?user_id=133&amp;payweek=2014-06-13" TargetMode="External"/><Relationship Id="rId797" Type="http://schemas.openxmlformats.org/officeDocument/2006/relationships/hyperlink" Target="http://dev.dashboard.evolvesolar.com/my-commissions.php?user_id=343&amp;payweek=2014-12-26" TargetMode="External"/><Relationship Id="rId2478" Type="http://schemas.openxmlformats.org/officeDocument/2006/relationships/hyperlink" Target="http://dev.dashboard.evolvesolar.com/my-commissions.php?user_id=261&amp;payweek=2014-09-12" TargetMode="External"/><Relationship Id="rId3876" Type="http://schemas.openxmlformats.org/officeDocument/2006/relationships/hyperlink" Target="http://dev.dashboard.evolvesolar.com/my-commissions.php?user_id=143&amp;payweek=2014-05-23" TargetMode="External"/><Relationship Id="rId1287" Type="http://schemas.openxmlformats.org/officeDocument/2006/relationships/hyperlink" Target="http://dev.dashboard.evolvesolar.com/my-commissions.php?user_id=714&amp;payweek=2014-11-25" TargetMode="External"/><Relationship Id="rId2685" Type="http://schemas.openxmlformats.org/officeDocument/2006/relationships/hyperlink" Target="http://dev.dashboard.evolvesolar.com/my-commissions.php?user_id=46&amp;payweek=2014-08-29" TargetMode="External"/><Relationship Id="rId2892" Type="http://schemas.openxmlformats.org/officeDocument/2006/relationships/hyperlink" Target="http://dev.dashboard.evolvesolar.com/my-commissions.php?user_id=401&amp;payweek=2014-08-22" TargetMode="External"/><Relationship Id="rId3529" Type="http://schemas.openxmlformats.org/officeDocument/2006/relationships/hyperlink" Target="http://dev.dashboard.evolvesolar.com/my-commissions.php?user_id=59&amp;payweek=2014-06-20" TargetMode="External"/><Relationship Id="rId3736" Type="http://schemas.openxmlformats.org/officeDocument/2006/relationships/hyperlink" Target="http://dev.dashboard.evolvesolar.com/my-commissions.php?user_id=101&amp;payweek=2014-06-06" TargetMode="External"/><Relationship Id="rId3943" Type="http://schemas.openxmlformats.org/officeDocument/2006/relationships/hyperlink" Target="http://dev.dashboard.evolvesolar.com/my-commissions.php?user_id=79&amp;payweek=2014-05-03" TargetMode="External"/><Relationship Id="rId657" Type="http://schemas.openxmlformats.org/officeDocument/2006/relationships/hyperlink" Target="http://dev.dashboard.evolvesolar.com/my-commissions.php?user_id=94&amp;payweek=2014-12-31" TargetMode="External"/><Relationship Id="rId864" Type="http://schemas.openxmlformats.org/officeDocument/2006/relationships/hyperlink" Target="http://dev.dashboard.evolvesolar.com/my-commissions.php?user_id=690&amp;payweek=2014-12-26" TargetMode="External"/><Relationship Id="rId1494" Type="http://schemas.openxmlformats.org/officeDocument/2006/relationships/hyperlink" Target="http://dev.dashboard.evolvesolar.com/my-commissions.php?user_id=365&amp;payweek=2014-11-14" TargetMode="External"/><Relationship Id="rId2338" Type="http://schemas.openxmlformats.org/officeDocument/2006/relationships/hyperlink" Target="http://dev.dashboard.evolvesolar.com/my-commissions.php?user_id=549&amp;payweek=2014-09-25" TargetMode="External"/><Relationship Id="rId2545" Type="http://schemas.openxmlformats.org/officeDocument/2006/relationships/hyperlink" Target="http://dev.dashboard.evolvesolar.com/my-commissions.php?user_id=530&amp;payweek=2014-09-12" TargetMode="External"/><Relationship Id="rId2752" Type="http://schemas.openxmlformats.org/officeDocument/2006/relationships/hyperlink" Target="http://dev.dashboard.evolvesolar.com/my-commissions.php?user_id=133&amp;payweek=2014-08-28" TargetMode="External"/><Relationship Id="rId3803" Type="http://schemas.openxmlformats.org/officeDocument/2006/relationships/hyperlink" Target="http://dev.dashboard.evolvesolar.com/my-commissions.php?user_id=104&amp;payweek=2014-05-30" TargetMode="External"/><Relationship Id="rId517" Type="http://schemas.openxmlformats.org/officeDocument/2006/relationships/hyperlink" Target="http://dev.dashboard.evolvesolar.com/my-commissions.php?user_id=41&amp;payweek=2015-01-09" TargetMode="External"/><Relationship Id="rId724" Type="http://schemas.openxmlformats.org/officeDocument/2006/relationships/hyperlink" Target="http://dev.dashboard.evolvesolar.com/my-commissions.php?user_id=606&amp;payweek=2014-12-31" TargetMode="External"/><Relationship Id="rId931" Type="http://schemas.openxmlformats.org/officeDocument/2006/relationships/hyperlink" Target="http://dev.dashboard.evolvesolar.com/my-commissions.php?user_id=699&amp;payweek=2014-12-22" TargetMode="External"/><Relationship Id="rId1147" Type="http://schemas.openxmlformats.org/officeDocument/2006/relationships/hyperlink" Target="http://dev.dashboard.evolvesolar.com/my-commissions.php?user_id=626&amp;payweek=2014-12-05" TargetMode="External"/><Relationship Id="rId1354" Type="http://schemas.openxmlformats.org/officeDocument/2006/relationships/hyperlink" Target="http://dev.dashboard.evolvesolar.com/my-commissions.php?user_id=365&amp;payweek=2014-11-21" TargetMode="External"/><Relationship Id="rId1561" Type="http://schemas.openxmlformats.org/officeDocument/2006/relationships/hyperlink" Target="http://dev.dashboard.evolvesolar.com/my-commissions.php?user_id=726&amp;payweek=2014-11-14" TargetMode="External"/><Relationship Id="rId2405" Type="http://schemas.openxmlformats.org/officeDocument/2006/relationships/hyperlink" Target="http://dev.dashboard.evolvesolar.com/my-commissions.php?user_id=282&amp;payweek=2014-09-19" TargetMode="External"/><Relationship Id="rId2612" Type="http://schemas.openxmlformats.org/officeDocument/2006/relationships/hyperlink" Target="http://dev.dashboard.evolvesolar.com/my-commissions.php?user_id=389&amp;payweek=2014-09-05" TargetMode="External"/><Relationship Id="rId60" Type="http://schemas.openxmlformats.org/officeDocument/2006/relationships/hyperlink" Target="http://dev.dashboard.evolvesolar.com/my-commissions.php?user_id=219&amp;payweek=2015-02-06" TargetMode="External"/><Relationship Id="rId1007" Type="http://schemas.openxmlformats.org/officeDocument/2006/relationships/hyperlink" Target="http://dev.dashboard.evolvesolar.com/my-commissions.php?user_id=149&amp;payweek=2014-12-12" TargetMode="External"/><Relationship Id="rId1214" Type="http://schemas.openxmlformats.org/officeDocument/2006/relationships/hyperlink" Target="http://dev.dashboard.evolvesolar.com/my-commissions.php?user_id=261&amp;payweek=2014-11-28" TargetMode="External"/><Relationship Id="rId1421" Type="http://schemas.openxmlformats.org/officeDocument/2006/relationships/hyperlink" Target="http://dev.dashboard.evolvesolar.com/my-commissions.php?user_id=807&amp;payweek=2014-11-21" TargetMode="External"/><Relationship Id="rId3179" Type="http://schemas.openxmlformats.org/officeDocument/2006/relationships/hyperlink" Target="http://dev.dashboard.evolvesolar.com/my-commissions.php?user_id=184&amp;payweek=2014-07-31" TargetMode="External"/><Relationship Id="rId3386" Type="http://schemas.openxmlformats.org/officeDocument/2006/relationships/hyperlink" Target="http://dev.dashboard.evolvesolar.com/my-commissions.php?user_id=108&amp;payweek=2014-07-11" TargetMode="External"/><Relationship Id="rId3593" Type="http://schemas.openxmlformats.org/officeDocument/2006/relationships/hyperlink" Target="http://dev.dashboard.evolvesolar.com/my-commissions.php?user_id=184&amp;payweek=2014-06-20" TargetMode="External"/><Relationship Id="rId2195" Type="http://schemas.openxmlformats.org/officeDocument/2006/relationships/hyperlink" Target="http://dev.dashboard.evolvesolar.com/my-commissions.php?user_id=389&amp;payweek=2014-10-06" TargetMode="External"/><Relationship Id="rId3039" Type="http://schemas.openxmlformats.org/officeDocument/2006/relationships/hyperlink" Target="http://dev.dashboard.evolvesolar.com/my-commissions.php?user_id=232&amp;payweek=2014-08-08" TargetMode="External"/><Relationship Id="rId3246" Type="http://schemas.openxmlformats.org/officeDocument/2006/relationships/hyperlink" Target="http://dev.dashboard.evolvesolar.com/my-commissions.php?user_id=152&amp;payweek=2014-07-25" TargetMode="External"/><Relationship Id="rId3453" Type="http://schemas.openxmlformats.org/officeDocument/2006/relationships/hyperlink" Target="http://dev.dashboard.evolvesolar.com/my-commissions.php?user_id=218&amp;payweek=2014-07-04" TargetMode="External"/><Relationship Id="rId167" Type="http://schemas.openxmlformats.org/officeDocument/2006/relationships/hyperlink" Target="http://dev.dashboard.evolvesolar.com/my-commissions.php?user_id=687&amp;payweek=2015-02-06" TargetMode="External"/><Relationship Id="rId374" Type="http://schemas.openxmlformats.org/officeDocument/2006/relationships/hyperlink" Target="http://dev.dashboard.evolvesolar.com/my-commissions.php?user_id=282&amp;payweek=2015-01-23" TargetMode="External"/><Relationship Id="rId581" Type="http://schemas.openxmlformats.org/officeDocument/2006/relationships/hyperlink" Target="http://dev.dashboard.evolvesolar.com/my-commissions.php?user_id=475&amp;payweek=2015-01-09" TargetMode="External"/><Relationship Id="rId2055" Type="http://schemas.openxmlformats.org/officeDocument/2006/relationships/hyperlink" Target="http://dev.dashboard.evolvesolar.com/my-commissions.php?user_id=649&amp;payweek=2014-10-14" TargetMode="External"/><Relationship Id="rId2262" Type="http://schemas.openxmlformats.org/officeDocument/2006/relationships/hyperlink" Target="http://dev.dashboard.evolvesolar.com/my-commissions.php?user_id=218&amp;payweek=2014-09-29" TargetMode="External"/><Relationship Id="rId3106" Type="http://schemas.openxmlformats.org/officeDocument/2006/relationships/hyperlink" Target="http://dev.dashboard.evolvesolar.com/my-commissions.php?user_id=245&amp;payweek=2014-08-07" TargetMode="External"/><Relationship Id="rId3660" Type="http://schemas.openxmlformats.org/officeDocument/2006/relationships/hyperlink" Target="http://dev.dashboard.evolvesolar.com/my-commissions.php?user_id=114&amp;payweek=2014-06-13" TargetMode="External"/><Relationship Id="rId234" Type="http://schemas.openxmlformats.org/officeDocument/2006/relationships/hyperlink" Target="http://dev.dashboard.evolvesolar.com/my-commissions.php?user_id=614&amp;payweek=2015-02-01" TargetMode="External"/><Relationship Id="rId3313" Type="http://schemas.openxmlformats.org/officeDocument/2006/relationships/hyperlink" Target="http://dev.dashboard.evolvesolar.com/my-commissions.php?user_id=110&amp;payweek=2014-07-18" TargetMode="External"/><Relationship Id="rId3520" Type="http://schemas.openxmlformats.org/officeDocument/2006/relationships/hyperlink" Target="http://dev.dashboard.evolvesolar.com/my-commissions.php?user_id=142&amp;payweek=2014-06-23" TargetMode="External"/><Relationship Id="rId441" Type="http://schemas.openxmlformats.org/officeDocument/2006/relationships/hyperlink" Target="http://dev.dashboard.evolvesolar.com/my-commissions.php?user_id=63&amp;payweek=2015-01-15" TargetMode="External"/><Relationship Id="rId1071" Type="http://schemas.openxmlformats.org/officeDocument/2006/relationships/hyperlink" Target="http://dev.dashboard.evolvesolar.com/my-commissions.php?user_id=659&amp;payweek=2014-12-12" TargetMode="External"/><Relationship Id="rId2122" Type="http://schemas.openxmlformats.org/officeDocument/2006/relationships/hyperlink" Target="http://dev.dashboard.evolvesolar.com/my-commissions.php?user_id=550&amp;payweek=2014-10-10" TargetMode="External"/><Relationship Id="rId301" Type="http://schemas.openxmlformats.org/officeDocument/2006/relationships/hyperlink" Target="http://dev.dashboard.evolvesolar.com/my-commissions.php?user_id=714&amp;payweek=2015-01-30" TargetMode="External"/><Relationship Id="rId1888" Type="http://schemas.openxmlformats.org/officeDocument/2006/relationships/hyperlink" Target="http://dev.dashboard.evolvesolar.com/my-commissions.php?user_id=601&amp;payweek=2014-10-24" TargetMode="External"/><Relationship Id="rId2939" Type="http://schemas.openxmlformats.org/officeDocument/2006/relationships/hyperlink" Target="http://dev.dashboard.evolvesolar.com/my-commissions.php?user_id=157&amp;payweek=2014-08-15" TargetMode="External"/><Relationship Id="rId4087" Type="http://schemas.openxmlformats.org/officeDocument/2006/relationships/hyperlink" Target="http://dev.dashboard.evolvesolar.com/my-commissions.php?user_id=130&amp;payweek=2014-03-14" TargetMode="External"/><Relationship Id="rId1748" Type="http://schemas.openxmlformats.org/officeDocument/2006/relationships/hyperlink" Target="http://dev.dashboard.evolvesolar.com/my-commissions.php?user_id=332&amp;payweek=2014-10-31" TargetMode="External"/><Relationship Id="rId1955" Type="http://schemas.openxmlformats.org/officeDocument/2006/relationships/hyperlink" Target="http://dev.dashboard.evolvesolar.com/my-commissions.php?user_id=41&amp;payweek=2014-10-17" TargetMode="External"/><Relationship Id="rId3170" Type="http://schemas.openxmlformats.org/officeDocument/2006/relationships/hyperlink" Target="http://dev.dashboard.evolvesolar.com/my-commissions.php?user_id=140&amp;payweek=2014-07-31" TargetMode="External"/><Relationship Id="rId4014" Type="http://schemas.openxmlformats.org/officeDocument/2006/relationships/hyperlink" Target="http://dev.dashboard.evolvesolar.com/my-commissions.php?user_id=101&amp;payweek=2014-04-17" TargetMode="External"/><Relationship Id="rId1608" Type="http://schemas.openxmlformats.org/officeDocument/2006/relationships/hyperlink" Target="http://dev.dashboard.evolvesolar.com/my-commissions.php?user_id=175&amp;payweek=2014-11-07" TargetMode="External"/><Relationship Id="rId1815" Type="http://schemas.openxmlformats.org/officeDocument/2006/relationships/hyperlink" Target="http://dev.dashboard.evolvesolar.com/my-commissions.php?user_id=680&amp;payweek=2014-10-31" TargetMode="External"/><Relationship Id="rId3030" Type="http://schemas.openxmlformats.org/officeDocument/2006/relationships/hyperlink" Target="http://dev.dashboard.evolvesolar.com/my-commissions.php?user_id=214&amp;payweek=2014-08-08" TargetMode="External"/><Relationship Id="rId3987" Type="http://schemas.openxmlformats.org/officeDocument/2006/relationships/hyperlink" Target="http://dev.dashboard.evolvesolar.com/my-commissions.php?user_id=88&amp;payweek=2014-04-24" TargetMode="External"/><Relationship Id="rId2589" Type="http://schemas.openxmlformats.org/officeDocument/2006/relationships/hyperlink" Target="http://dev.dashboard.evolvesolar.com/my-commissions.php?user_id=63&amp;payweek=2014-09-05" TargetMode="External"/><Relationship Id="rId2796" Type="http://schemas.openxmlformats.org/officeDocument/2006/relationships/hyperlink" Target="http://dev.dashboard.evolvesolar.com/my-commissions.php?user_id=185&amp;payweek=2014-08-25" TargetMode="External"/><Relationship Id="rId3847" Type="http://schemas.openxmlformats.org/officeDocument/2006/relationships/hyperlink" Target="http://dev.dashboard.evolvesolar.com/my-commissions.php?user_id=85&amp;payweek=2014-05-23" TargetMode="External"/><Relationship Id="rId768" Type="http://schemas.openxmlformats.org/officeDocument/2006/relationships/hyperlink" Target="http://dev.dashboard.evolvesolar.com/my-commissions.php?user_id=141&amp;payweek=2014-12-26" TargetMode="External"/><Relationship Id="rId975" Type="http://schemas.openxmlformats.org/officeDocument/2006/relationships/hyperlink" Target="http://dev.dashboard.evolvesolar.com/my-commissions.php?user_id=530&amp;payweek=2014-12-19" TargetMode="External"/><Relationship Id="rId1398" Type="http://schemas.openxmlformats.org/officeDocument/2006/relationships/hyperlink" Target="http://dev.dashboard.evolvesolar.com/my-commissions.php?user_id=690&amp;payweek=2014-11-21" TargetMode="External"/><Relationship Id="rId2449" Type="http://schemas.openxmlformats.org/officeDocument/2006/relationships/hyperlink" Target="http://dev.dashboard.evolvesolar.com/my-commissions.php?user_id=41&amp;payweek=2014-09-12" TargetMode="External"/><Relationship Id="rId2656" Type="http://schemas.openxmlformats.org/officeDocument/2006/relationships/hyperlink" Target="http://dev.dashboard.evolvesolar.com/my-commissions.php?user_id=260&amp;payweek=2014-09-04" TargetMode="External"/><Relationship Id="rId2863" Type="http://schemas.openxmlformats.org/officeDocument/2006/relationships/hyperlink" Target="http://dev.dashboard.evolvesolar.com/my-commissions.php?user_id=276&amp;payweek=2014-08-22" TargetMode="External"/><Relationship Id="rId3707" Type="http://schemas.openxmlformats.org/officeDocument/2006/relationships/hyperlink" Target="http://dev.dashboard.evolvesolar.com/my-commissions.php?user_id=45&amp;payweek=2014-06-06" TargetMode="External"/><Relationship Id="rId3914" Type="http://schemas.openxmlformats.org/officeDocument/2006/relationships/hyperlink" Target="http://dev.dashboard.evolvesolar.com/my-commissions.php?user_id=37&amp;payweek=2014-05-09" TargetMode="External"/><Relationship Id="rId628" Type="http://schemas.openxmlformats.org/officeDocument/2006/relationships/hyperlink" Target="http://dev.dashboard.evolvesolar.com/my-commissions.php?user_id=790&amp;payweek=2015-01-09" TargetMode="External"/><Relationship Id="rId835" Type="http://schemas.openxmlformats.org/officeDocument/2006/relationships/hyperlink" Target="http://dev.dashboard.evolvesolar.com/my-commissions.php?user_id=601&amp;payweek=2014-12-26" TargetMode="External"/><Relationship Id="rId1258" Type="http://schemas.openxmlformats.org/officeDocument/2006/relationships/hyperlink" Target="http://dev.dashboard.evolvesolar.com/my-commissions.php?user_id=365&amp;payweek=2014-11-25" TargetMode="External"/><Relationship Id="rId1465" Type="http://schemas.openxmlformats.org/officeDocument/2006/relationships/hyperlink" Target="http://dev.dashboard.evolvesolar.com/my-commissions.php?user_id=218&amp;payweek=2014-11-14" TargetMode="External"/><Relationship Id="rId1672" Type="http://schemas.openxmlformats.org/officeDocument/2006/relationships/hyperlink" Target="http://dev.dashboard.evolvesolar.com/my-commissions.php?user_id=607&amp;payweek=2014-11-07" TargetMode="External"/><Relationship Id="rId2309" Type="http://schemas.openxmlformats.org/officeDocument/2006/relationships/hyperlink" Target="http://dev.dashboard.evolvesolar.com/my-commissions.php?user_id=389&amp;payweek=2014-09-25" TargetMode="External"/><Relationship Id="rId2516" Type="http://schemas.openxmlformats.org/officeDocument/2006/relationships/hyperlink" Target="http://dev.dashboard.evolvesolar.com/my-commissions.php?user_id=392&amp;payweek=2014-09-12" TargetMode="External"/><Relationship Id="rId2723" Type="http://schemas.openxmlformats.org/officeDocument/2006/relationships/hyperlink" Target="http://dev.dashboard.evolvesolar.com/my-commissions.php?user_id=355&amp;payweek=2014-08-29" TargetMode="External"/><Relationship Id="rId1118" Type="http://schemas.openxmlformats.org/officeDocument/2006/relationships/hyperlink" Target="http://dev.dashboard.evolvesolar.com/my-commissions.php?user_id=217&amp;payweek=2014-12-05" TargetMode="External"/><Relationship Id="rId1325" Type="http://schemas.openxmlformats.org/officeDocument/2006/relationships/hyperlink" Target="http://dev.dashboard.evolvesolar.com/my-commissions.php?user_id=202&amp;payweek=2014-11-21" TargetMode="External"/><Relationship Id="rId1532" Type="http://schemas.openxmlformats.org/officeDocument/2006/relationships/hyperlink" Target="http://dev.dashboard.evolvesolar.com/my-commissions.php?user_id=664&amp;payweek=2014-11-14" TargetMode="External"/><Relationship Id="rId2930" Type="http://schemas.openxmlformats.org/officeDocument/2006/relationships/hyperlink" Target="http://dev.dashboard.evolvesolar.com/my-commissions.php?user_id=85&amp;payweek=2014-08-15" TargetMode="External"/><Relationship Id="rId902" Type="http://schemas.openxmlformats.org/officeDocument/2006/relationships/hyperlink" Target="http://dev.dashboard.evolvesolar.com/my-commissions.php?user_id=217&amp;payweek=2014-12-22" TargetMode="External"/><Relationship Id="rId3497" Type="http://schemas.openxmlformats.org/officeDocument/2006/relationships/hyperlink" Target="http://dev.dashboard.evolvesolar.com/my-commissions.php?user_id=125&amp;payweek=2014-06-27" TargetMode="External"/><Relationship Id="rId31" Type="http://schemas.openxmlformats.org/officeDocument/2006/relationships/hyperlink" Target="http://dev.dashboard.evolvesolar.com/my-commissions.php?user_id=121&amp;payweek=2015-02-06" TargetMode="External"/><Relationship Id="rId2099" Type="http://schemas.openxmlformats.org/officeDocument/2006/relationships/hyperlink" Target="http://dev.dashboard.evolvesolar.com/my-commissions.php?user_id=365&amp;payweek=2014-10-10" TargetMode="External"/><Relationship Id="rId278" Type="http://schemas.openxmlformats.org/officeDocument/2006/relationships/hyperlink" Target="http://dev.dashboard.evolvesolar.com/my-commissions.php?user_id=580&amp;payweek=2015-01-30" TargetMode="External"/><Relationship Id="rId3357" Type="http://schemas.openxmlformats.org/officeDocument/2006/relationships/hyperlink" Target="http://dev.dashboard.evolvesolar.com/my-commissions.php?user_id=260&amp;payweek=2014-07-18" TargetMode="External"/><Relationship Id="rId3564" Type="http://schemas.openxmlformats.org/officeDocument/2006/relationships/hyperlink" Target="http://dev.dashboard.evolvesolar.com/my-commissions.php?user_id=140&amp;payweek=2014-06-20" TargetMode="External"/><Relationship Id="rId3771" Type="http://schemas.openxmlformats.org/officeDocument/2006/relationships/hyperlink" Target="http://dev.dashboard.evolvesolar.com/my-commissions.php?user_id=143&amp;payweek=2014-06-06" TargetMode="External"/><Relationship Id="rId485" Type="http://schemas.openxmlformats.org/officeDocument/2006/relationships/hyperlink" Target="http://dev.dashboard.evolvesolar.com/my-commissions.php?user_id=661&amp;payweek=2015-01-15" TargetMode="External"/><Relationship Id="rId692" Type="http://schemas.openxmlformats.org/officeDocument/2006/relationships/hyperlink" Target="http://dev.dashboard.evolvesolar.com/my-commissions.php?user_id=324&amp;payweek=2014-12-31" TargetMode="External"/><Relationship Id="rId2166" Type="http://schemas.openxmlformats.org/officeDocument/2006/relationships/hyperlink" Target="http://dev.dashboard.evolvesolar.com/my-commissions.php?user_id=133&amp;payweek=2014-10-06" TargetMode="External"/><Relationship Id="rId2373" Type="http://schemas.openxmlformats.org/officeDocument/2006/relationships/hyperlink" Target="http://dev.dashboard.evolvesolar.com/my-commissions.php?user_id=37&amp;payweek=2014-09-19" TargetMode="External"/><Relationship Id="rId2580" Type="http://schemas.openxmlformats.org/officeDocument/2006/relationships/hyperlink" Target="http://dev.dashboard.evolvesolar.com/my-commissions.php?user_id=480&amp;payweek=2014-09-09" TargetMode="External"/><Relationship Id="rId3217" Type="http://schemas.openxmlformats.org/officeDocument/2006/relationships/hyperlink" Target="http://dev.dashboard.evolvesolar.com/my-commissions.php?user_id=379&amp;payweek=2014-07-31" TargetMode="External"/><Relationship Id="rId3424" Type="http://schemas.openxmlformats.org/officeDocument/2006/relationships/hyperlink" Target="http://dev.dashboard.evolvesolar.com/my-commissions.php?user_id=232&amp;payweek=2014-07-11" TargetMode="External"/><Relationship Id="rId3631" Type="http://schemas.openxmlformats.org/officeDocument/2006/relationships/hyperlink" Target="http://dev.dashboard.evolvesolar.com/my-commissions.php?user_id=53&amp;payweek=2014-06-13" TargetMode="External"/><Relationship Id="rId138" Type="http://schemas.openxmlformats.org/officeDocument/2006/relationships/hyperlink" Target="http://dev.dashboard.evolvesolar.com/my-commissions.php?user_id=583&amp;payweek=2015-02-06" TargetMode="External"/><Relationship Id="rId345" Type="http://schemas.openxmlformats.org/officeDocument/2006/relationships/hyperlink" Target="http://dev.dashboard.evolvesolar.com/my-commissions.php?user_id=969&amp;payweek=2015-01-30" TargetMode="External"/><Relationship Id="rId552" Type="http://schemas.openxmlformats.org/officeDocument/2006/relationships/hyperlink" Target="http://dev.dashboard.evolvesolar.com/my-commissions.php?user_id=326&amp;payweek=2015-01-09" TargetMode="External"/><Relationship Id="rId1182" Type="http://schemas.openxmlformats.org/officeDocument/2006/relationships/hyperlink" Target="http://dev.dashboard.evolvesolar.com/my-commissions.php?user_id=726&amp;payweek=2014-12-05" TargetMode="External"/><Relationship Id="rId2026" Type="http://schemas.openxmlformats.org/officeDocument/2006/relationships/hyperlink" Target="http://dev.dashboard.evolvesolar.com/my-commissions.php?user_id=580&amp;payweek=2014-10-17" TargetMode="External"/><Relationship Id="rId2233" Type="http://schemas.openxmlformats.org/officeDocument/2006/relationships/hyperlink" Target="http://dev.dashboard.evolvesolar.com/my-commissions.php?user_id=321&amp;payweek=2014-10-03" TargetMode="External"/><Relationship Id="rId2440" Type="http://schemas.openxmlformats.org/officeDocument/2006/relationships/hyperlink" Target="http://dev.dashboard.evolvesolar.com/my-commissions.php?user_id=580&amp;payweek=2014-09-19" TargetMode="External"/><Relationship Id="rId205" Type="http://schemas.openxmlformats.org/officeDocument/2006/relationships/hyperlink" Target="http://dev.dashboard.evolvesolar.com/my-commissions.php?user_id=912&amp;payweek=2015-02-06" TargetMode="External"/><Relationship Id="rId412" Type="http://schemas.openxmlformats.org/officeDocument/2006/relationships/hyperlink" Target="http://dev.dashboard.evolvesolar.com/my-commissions.php?user_id=714&amp;payweek=2015-01-23" TargetMode="External"/><Relationship Id="rId1042" Type="http://schemas.openxmlformats.org/officeDocument/2006/relationships/hyperlink" Target="http://dev.dashboard.evolvesolar.com/my-commissions.php?user_id=382&amp;payweek=2014-12-12" TargetMode="External"/><Relationship Id="rId2300" Type="http://schemas.openxmlformats.org/officeDocument/2006/relationships/hyperlink" Target="http://dev.dashboard.evolvesolar.com/my-commissions.php?user_id=321&amp;payweek=2014-09-25" TargetMode="External"/><Relationship Id="rId1999" Type="http://schemas.openxmlformats.org/officeDocument/2006/relationships/hyperlink" Target="http://dev.dashboard.evolvesolar.com/my-commissions.php?user_id=365&amp;payweek=2014-10-17" TargetMode="External"/><Relationship Id="rId4058" Type="http://schemas.openxmlformats.org/officeDocument/2006/relationships/hyperlink" Target="http://dev.dashboard.evolvesolar.com/my-commissions.php?user_id=33&amp;payweek=2014-04-03" TargetMode="External"/><Relationship Id="rId1859" Type="http://schemas.openxmlformats.org/officeDocument/2006/relationships/hyperlink" Target="http://dev.dashboard.evolvesolar.com/my-commissions.php?user_id=389&amp;payweek=2014-10-24" TargetMode="External"/><Relationship Id="rId3074" Type="http://schemas.openxmlformats.org/officeDocument/2006/relationships/hyperlink" Target="http://dev.dashboard.evolvesolar.com/my-commissions.php?user_id=183&amp;payweek=2014-08-07" TargetMode="External"/><Relationship Id="rId1719" Type="http://schemas.openxmlformats.org/officeDocument/2006/relationships/hyperlink" Target="http://dev.dashboard.evolvesolar.com/my-commissions.php?user_id=715&amp;payweek=2014-11-04" TargetMode="External"/><Relationship Id="rId1926" Type="http://schemas.openxmlformats.org/officeDocument/2006/relationships/hyperlink" Target="http://dev.dashboard.evolvesolar.com/my-commissions.php?user_id=699&amp;payweek=2014-10-21" TargetMode="External"/><Relationship Id="rId3281" Type="http://schemas.openxmlformats.org/officeDocument/2006/relationships/hyperlink" Target="http://dev.dashboard.evolvesolar.com/my-commissions.php?user_id=248&amp;payweek=2014-07-25" TargetMode="External"/><Relationship Id="rId2090" Type="http://schemas.openxmlformats.org/officeDocument/2006/relationships/hyperlink" Target="http://dev.dashboard.evolvesolar.com/my-commissions.php?user_id=304&amp;payweek=2014-10-10" TargetMode="External"/><Relationship Id="rId3141" Type="http://schemas.openxmlformats.org/officeDocument/2006/relationships/hyperlink" Target="http://dev.dashboard.evolvesolar.com/my-commissions.php?user_id=268&amp;payweek=2014-08-02" TargetMode="External"/><Relationship Id="rId3001" Type="http://schemas.openxmlformats.org/officeDocument/2006/relationships/hyperlink" Target="http://dev.dashboard.evolvesolar.com/my-commissions.php?user_id=378&amp;payweek=2014-08-14" TargetMode="External"/><Relationship Id="rId3958" Type="http://schemas.openxmlformats.org/officeDocument/2006/relationships/hyperlink" Target="http://dev.dashboard.evolvesolar.com/my-commissions.php?user_id=88&amp;payweek=2014-05-02" TargetMode="External"/><Relationship Id="rId879" Type="http://schemas.openxmlformats.org/officeDocument/2006/relationships/hyperlink" Target="http://dev.dashboard.evolvesolar.com/my-commissions.php?user_id=807&amp;payweek=2014-12-26" TargetMode="External"/><Relationship Id="rId2767" Type="http://schemas.openxmlformats.org/officeDocument/2006/relationships/hyperlink" Target="http://dev.dashboard.evolvesolar.com/my-commissions.php?user_id=232&amp;payweek=2014-08-28" TargetMode="External"/><Relationship Id="rId739" Type="http://schemas.openxmlformats.org/officeDocument/2006/relationships/hyperlink" Target="http://dev.dashboard.evolvesolar.com/my-commissions.php?user_id=661&amp;payweek=2014-12-31" TargetMode="External"/><Relationship Id="rId1369" Type="http://schemas.openxmlformats.org/officeDocument/2006/relationships/hyperlink" Target="http://dev.dashboard.evolvesolar.com/my-commissions.php?user_id=499&amp;payweek=2014-11-21" TargetMode="External"/><Relationship Id="rId1576" Type="http://schemas.openxmlformats.org/officeDocument/2006/relationships/hyperlink" Target="http://dev.dashboard.evolvesolar.com/my-commissions.php?user_id=790&amp;payweek=2014-11-14" TargetMode="External"/><Relationship Id="rId2974" Type="http://schemas.openxmlformats.org/officeDocument/2006/relationships/hyperlink" Target="http://dev.dashboard.evolvesolar.com/my-commissions.php?user_id=203&amp;payweek=2014-08-14" TargetMode="External"/><Relationship Id="rId3818" Type="http://schemas.openxmlformats.org/officeDocument/2006/relationships/hyperlink" Target="http://dev.dashboard.evolvesolar.com/my-commissions.php?user_id=119&amp;payweek=2014-05-30" TargetMode="External"/><Relationship Id="rId946" Type="http://schemas.openxmlformats.org/officeDocument/2006/relationships/hyperlink" Target="http://dev.dashboard.evolvesolar.com/my-commissions.php?user_id=807&amp;payweek=2014-12-22" TargetMode="External"/><Relationship Id="rId1229" Type="http://schemas.openxmlformats.org/officeDocument/2006/relationships/hyperlink" Target="http://dev.dashboard.evolvesolar.com/my-commissions.php?user_id=657&amp;payweek=2014-11-28" TargetMode="External"/><Relationship Id="rId1783" Type="http://schemas.openxmlformats.org/officeDocument/2006/relationships/hyperlink" Target="http://dev.dashboard.evolvesolar.com/my-commissions.php?user_id=549&amp;payweek=2014-10-31" TargetMode="External"/><Relationship Id="rId1990" Type="http://schemas.openxmlformats.org/officeDocument/2006/relationships/hyperlink" Target="http://dev.dashboard.evolvesolar.com/my-commissions.php?user_id=282&amp;payweek=2014-10-17" TargetMode="External"/><Relationship Id="rId2627" Type="http://schemas.openxmlformats.org/officeDocument/2006/relationships/hyperlink" Target="http://dev.dashboard.evolvesolar.com/my-commissions.php?user_id=142&amp;payweek=2014-09-04" TargetMode="External"/><Relationship Id="rId2834" Type="http://schemas.openxmlformats.org/officeDocument/2006/relationships/hyperlink" Target="http://dev.dashboard.evolvesolar.com/my-commissions.php?user_id=231&amp;payweek=2014-08-22" TargetMode="External"/><Relationship Id="rId75" Type="http://schemas.openxmlformats.org/officeDocument/2006/relationships/hyperlink" Target="http://dev.dashboard.evolvesolar.com/my-commissions.php?user_id=282&amp;payweek=2015-02-06" TargetMode="External"/><Relationship Id="rId806" Type="http://schemas.openxmlformats.org/officeDocument/2006/relationships/hyperlink" Target="http://dev.dashboard.evolvesolar.com/my-commissions.php?user_id=389&amp;payweek=2014-12-26" TargetMode="External"/><Relationship Id="rId1436" Type="http://schemas.openxmlformats.org/officeDocument/2006/relationships/hyperlink" Target="http://dev.dashboard.evolvesolar.com/my-commissions.php?user_id=28&amp;payweek=2014-11-14" TargetMode="External"/><Relationship Id="rId1643" Type="http://schemas.openxmlformats.org/officeDocument/2006/relationships/hyperlink" Target="http://dev.dashboard.evolvesolar.com/my-commissions.php?user_id=428&amp;payweek=2014-11-07" TargetMode="External"/><Relationship Id="rId1850" Type="http://schemas.openxmlformats.org/officeDocument/2006/relationships/hyperlink" Target="http://dev.dashboard.evolvesolar.com/my-commissions.php?user_id=343&amp;payweek=2014-10-24" TargetMode="External"/><Relationship Id="rId2901" Type="http://schemas.openxmlformats.org/officeDocument/2006/relationships/hyperlink" Target="http://dev.dashboard.evolvesolar.com/my-commissions.php?user_id=418&amp;payweek=2014-08-22" TargetMode="External"/><Relationship Id="rId1503" Type="http://schemas.openxmlformats.org/officeDocument/2006/relationships/hyperlink" Target="http://dev.dashboard.evolvesolar.com/my-commissions.php?user_id=430&amp;payweek=2014-11-14" TargetMode="External"/><Relationship Id="rId1710" Type="http://schemas.openxmlformats.org/officeDocument/2006/relationships/hyperlink" Target="http://dev.dashboard.evolvesolar.com/my-commissions.php?user_id=722&amp;payweek=2014-11-07" TargetMode="External"/><Relationship Id="rId3468" Type="http://schemas.openxmlformats.org/officeDocument/2006/relationships/hyperlink" Target="http://dev.dashboard.evolvesolar.com/my-commissions.php?user_id=140&amp;payweek=2014-07-03" TargetMode="External"/><Relationship Id="rId3675" Type="http://schemas.openxmlformats.org/officeDocument/2006/relationships/hyperlink" Target="http://dev.dashboard.evolvesolar.com/my-commissions.php?user_id=139&amp;payweek=2014-06-13" TargetMode="External"/><Relationship Id="rId3882" Type="http://schemas.openxmlformats.org/officeDocument/2006/relationships/hyperlink" Target="http://dev.dashboard.evolvesolar.com/my-commissions.php?user_id=37&amp;payweek=2014-05-16" TargetMode="External"/><Relationship Id="rId389" Type="http://schemas.openxmlformats.org/officeDocument/2006/relationships/hyperlink" Target="http://dev.dashboard.evolvesolar.com/my-commissions.php?user_id=407&amp;payweek=2015-01-23" TargetMode="External"/><Relationship Id="rId596" Type="http://schemas.openxmlformats.org/officeDocument/2006/relationships/hyperlink" Target="http://dev.dashboard.evolvesolar.com/my-commissions.php?user_id=631&amp;payweek=2015-01-09" TargetMode="External"/><Relationship Id="rId2277" Type="http://schemas.openxmlformats.org/officeDocument/2006/relationships/hyperlink" Target="http://dev.dashboard.evolvesolar.com/my-commissions.php?user_id=458&amp;payweek=2014-09-26" TargetMode="External"/><Relationship Id="rId2484" Type="http://schemas.openxmlformats.org/officeDocument/2006/relationships/hyperlink" Target="http://dev.dashboard.evolvesolar.com/my-commissions.php?user_id=282&amp;payweek=2014-09-12" TargetMode="External"/><Relationship Id="rId2691" Type="http://schemas.openxmlformats.org/officeDocument/2006/relationships/hyperlink" Target="http://dev.dashboard.evolvesolar.com/my-commissions.php?user_id=149&amp;payweek=2014-08-29" TargetMode="External"/><Relationship Id="rId3328" Type="http://schemas.openxmlformats.org/officeDocument/2006/relationships/hyperlink" Target="http://dev.dashboard.evolvesolar.com/my-commissions.php?user_id=185&amp;payweek=2014-07-18" TargetMode="External"/><Relationship Id="rId3535" Type="http://schemas.openxmlformats.org/officeDocument/2006/relationships/hyperlink" Target="http://dev.dashboard.evolvesolar.com/my-commissions.php?user_id=83&amp;payweek=2014-06-20" TargetMode="External"/><Relationship Id="rId3742" Type="http://schemas.openxmlformats.org/officeDocument/2006/relationships/hyperlink" Target="http://dev.dashboard.evolvesolar.com/my-commissions.php?user_id=109&amp;payweek=2014-06-06" TargetMode="External"/><Relationship Id="rId249" Type="http://schemas.openxmlformats.org/officeDocument/2006/relationships/hyperlink" Target="http://dev.dashboard.evolvesolar.com/my-commissions.php?user_id=180&amp;payweek=2015-01-30" TargetMode="External"/><Relationship Id="rId456" Type="http://schemas.openxmlformats.org/officeDocument/2006/relationships/hyperlink" Target="http://dev.dashboard.evolvesolar.com/my-commissions.php?user_id=282&amp;payweek=2015-01-15" TargetMode="External"/><Relationship Id="rId663" Type="http://schemas.openxmlformats.org/officeDocument/2006/relationships/hyperlink" Target="http://dev.dashboard.evolvesolar.com/my-commissions.php?user_id=133&amp;payweek=2014-12-31" TargetMode="External"/><Relationship Id="rId870" Type="http://schemas.openxmlformats.org/officeDocument/2006/relationships/hyperlink" Target="http://dev.dashboard.evolvesolar.com/my-commissions.php?user_id=711&amp;payweek=2014-12-26" TargetMode="External"/><Relationship Id="rId1086" Type="http://schemas.openxmlformats.org/officeDocument/2006/relationships/hyperlink" Target="http://dev.dashboard.evolvesolar.com/my-commissions.php?user_id=725&amp;payweek=2014-12-12" TargetMode="External"/><Relationship Id="rId1293" Type="http://schemas.openxmlformats.org/officeDocument/2006/relationships/hyperlink" Target="http://dev.dashboard.evolvesolar.com/my-commissions.php?user_id=730&amp;payweek=2014-11-25" TargetMode="External"/><Relationship Id="rId2137" Type="http://schemas.openxmlformats.org/officeDocument/2006/relationships/hyperlink" Target="http://dev.dashboard.evolvesolar.com/my-commissions.php?user_id=612&amp;payweek=2014-10-10" TargetMode="External"/><Relationship Id="rId2344" Type="http://schemas.openxmlformats.org/officeDocument/2006/relationships/hyperlink" Target="http://dev.dashboard.evolvesolar.com/my-commissions.php?user_id=574&amp;payweek=2014-09-25" TargetMode="External"/><Relationship Id="rId2551" Type="http://schemas.openxmlformats.org/officeDocument/2006/relationships/hyperlink" Target="http://dev.dashboard.evolvesolar.com/my-commissions.php?user_id=541&amp;payweek=2014-09-12" TargetMode="External"/><Relationship Id="rId109" Type="http://schemas.openxmlformats.org/officeDocument/2006/relationships/hyperlink" Target="http://dev.dashboard.evolvesolar.com/my-commissions.php?user_id=407&amp;payweek=2015-02-06" TargetMode="External"/><Relationship Id="rId316" Type="http://schemas.openxmlformats.org/officeDocument/2006/relationships/hyperlink" Target="http://dev.dashboard.evolvesolar.com/my-commissions.php?user_id=809&amp;payweek=2015-01-30" TargetMode="External"/><Relationship Id="rId523" Type="http://schemas.openxmlformats.org/officeDocument/2006/relationships/hyperlink" Target="http://dev.dashboard.evolvesolar.com/my-commissions.php?user_id=77&amp;payweek=2015-01-09" TargetMode="External"/><Relationship Id="rId1153" Type="http://schemas.openxmlformats.org/officeDocument/2006/relationships/hyperlink" Target="http://dev.dashboard.evolvesolar.com/my-commissions.php?user_id=646&amp;payweek=2014-12-05" TargetMode="External"/><Relationship Id="rId2204" Type="http://schemas.openxmlformats.org/officeDocument/2006/relationships/hyperlink" Target="http://dev.dashboard.evolvesolar.com/my-commissions.php?user_id=464&amp;payweek=2014-10-06" TargetMode="External"/><Relationship Id="rId3602" Type="http://schemas.openxmlformats.org/officeDocument/2006/relationships/hyperlink" Target="http://dev.dashboard.evolvesolar.com/my-commissions.php?user_id=218&amp;payweek=2014-06-20" TargetMode="External"/><Relationship Id="rId730" Type="http://schemas.openxmlformats.org/officeDocument/2006/relationships/hyperlink" Target="http://dev.dashboard.evolvesolar.com/my-commissions.php?user_id=616&amp;payweek=2014-12-31" TargetMode="External"/><Relationship Id="rId1013" Type="http://schemas.openxmlformats.org/officeDocument/2006/relationships/hyperlink" Target="http://dev.dashboard.evolvesolar.com/my-commissions.php?user_id=184&amp;payweek=2014-12-12" TargetMode="External"/><Relationship Id="rId1360" Type="http://schemas.openxmlformats.org/officeDocument/2006/relationships/hyperlink" Target="http://dev.dashboard.evolvesolar.com/my-commissions.php?user_id=392&amp;payweek=2014-11-21" TargetMode="External"/><Relationship Id="rId2411" Type="http://schemas.openxmlformats.org/officeDocument/2006/relationships/hyperlink" Target="http://dev.dashboard.evolvesolar.com/my-commissions.php?user_id=373&amp;payweek=2014-09-19" TargetMode="External"/><Relationship Id="rId1220" Type="http://schemas.openxmlformats.org/officeDocument/2006/relationships/hyperlink" Target="http://dev.dashboard.evolvesolar.com/my-commissions.php?user_id=530&amp;payweek=2014-11-28" TargetMode="External"/><Relationship Id="rId3185" Type="http://schemas.openxmlformats.org/officeDocument/2006/relationships/hyperlink" Target="http://dev.dashboard.evolvesolar.com/my-commissions.php?user_id=213&amp;payweek=2014-07-31" TargetMode="External"/><Relationship Id="rId3392" Type="http://schemas.openxmlformats.org/officeDocument/2006/relationships/hyperlink" Target="http://dev.dashboard.evolvesolar.com/my-commissions.php?user_id=119&amp;payweek=2014-07-11" TargetMode="External"/><Relationship Id="rId4029" Type="http://schemas.openxmlformats.org/officeDocument/2006/relationships/hyperlink" Target="http://dev.dashboard.evolvesolar.com/my-commissions.php?user_id=100&amp;payweek=2014-04-11" TargetMode="External"/><Relationship Id="rId3045" Type="http://schemas.openxmlformats.org/officeDocument/2006/relationships/hyperlink" Target="http://dev.dashboard.evolvesolar.com/my-commissions.php?user_id=236&amp;payweek=2014-08-08" TargetMode="External"/><Relationship Id="rId3252" Type="http://schemas.openxmlformats.org/officeDocument/2006/relationships/hyperlink" Target="http://dev.dashboard.evolvesolar.com/my-commissions.php?user_id=164&amp;payweek=2014-07-25" TargetMode="External"/><Relationship Id="rId173" Type="http://schemas.openxmlformats.org/officeDocument/2006/relationships/hyperlink" Target="http://dev.dashboard.evolvesolar.com/my-commissions.php?user_id=707&amp;payweek=2015-02-06" TargetMode="External"/><Relationship Id="rId380" Type="http://schemas.openxmlformats.org/officeDocument/2006/relationships/hyperlink" Target="http://dev.dashboard.evolvesolar.com/my-commissions.php?user_id=355&amp;payweek=2015-01-23" TargetMode="External"/><Relationship Id="rId2061" Type="http://schemas.openxmlformats.org/officeDocument/2006/relationships/hyperlink" Target="http://dev.dashboard.evolvesolar.com/my-commissions.php?user_id=661&amp;payweek=2014-10-14" TargetMode="External"/><Relationship Id="rId3112" Type="http://schemas.openxmlformats.org/officeDocument/2006/relationships/hyperlink" Target="http://dev.dashboard.evolvesolar.com/my-commissions.php?user_id=328&amp;payweek=2014-08-07" TargetMode="External"/><Relationship Id="rId240" Type="http://schemas.openxmlformats.org/officeDocument/2006/relationships/hyperlink" Target="http://dev.dashboard.evolvesolar.com/my-commissions.php?user_id=28&amp;payweek=2015-01-30" TargetMode="External"/><Relationship Id="rId100" Type="http://schemas.openxmlformats.org/officeDocument/2006/relationships/hyperlink" Target="http://dev.dashboard.evolvesolar.com/my-commissions.php?user_id=378&amp;payweek=2015-02-06" TargetMode="External"/><Relationship Id="rId2878" Type="http://schemas.openxmlformats.org/officeDocument/2006/relationships/hyperlink" Target="http://dev.dashboard.evolvesolar.com/my-commissions.php?user_id=355&amp;payweek=2014-08-22" TargetMode="External"/><Relationship Id="rId3929" Type="http://schemas.openxmlformats.org/officeDocument/2006/relationships/hyperlink" Target="http://dev.dashboard.evolvesolar.com/my-commissions.php?user_id=89&amp;payweek=2014-05-09" TargetMode="External"/><Relationship Id="rId4093" Type="http://schemas.openxmlformats.org/officeDocument/2006/relationships/hyperlink" Target="http://dev.dashboard.evolvesolar.com/my-commissions.php?user_id=373&amp;payweek=2014-03-07" TargetMode="External"/><Relationship Id="rId1687" Type="http://schemas.openxmlformats.org/officeDocument/2006/relationships/hyperlink" Target="http://dev.dashboard.evolvesolar.com/my-commissions.php?user_id=664&amp;payweek=2014-11-07" TargetMode="External"/><Relationship Id="rId1894" Type="http://schemas.openxmlformats.org/officeDocument/2006/relationships/hyperlink" Target="http://dev.dashboard.evolvesolar.com/my-commissions.php?user_id=614&amp;payweek=2014-10-24" TargetMode="External"/><Relationship Id="rId2738" Type="http://schemas.openxmlformats.org/officeDocument/2006/relationships/hyperlink" Target="http://dev.dashboard.evolvesolar.com/my-commissions.php?user_id=443&amp;payweek=2014-08-29" TargetMode="External"/><Relationship Id="rId2945" Type="http://schemas.openxmlformats.org/officeDocument/2006/relationships/hyperlink" Target="http://dev.dashboard.evolvesolar.com/my-commissions.php?user_id=202&amp;payweek=2014-08-15" TargetMode="External"/><Relationship Id="rId917" Type="http://schemas.openxmlformats.org/officeDocument/2006/relationships/hyperlink" Target="http://dev.dashboard.evolvesolar.com/my-commissions.php?user_id=407&amp;payweek=2014-12-22" TargetMode="External"/><Relationship Id="rId1547" Type="http://schemas.openxmlformats.org/officeDocument/2006/relationships/hyperlink" Target="http://dev.dashboard.evolvesolar.com/my-commissions.php?user_id=705&amp;payweek=2014-11-14" TargetMode="External"/><Relationship Id="rId1754" Type="http://schemas.openxmlformats.org/officeDocument/2006/relationships/hyperlink" Target="http://dev.dashboard.evolvesolar.com/my-commissions.php?user_id=358&amp;payweek=2014-10-31" TargetMode="External"/><Relationship Id="rId1961" Type="http://schemas.openxmlformats.org/officeDocument/2006/relationships/hyperlink" Target="http://dev.dashboard.evolvesolar.com/my-commissions.php?user_id=85&amp;payweek=2014-10-17" TargetMode="External"/><Relationship Id="rId2805" Type="http://schemas.openxmlformats.org/officeDocument/2006/relationships/hyperlink" Target="http://dev.dashboard.evolvesolar.com/my-commissions.php?user_id=94&amp;payweek=2014-08-22" TargetMode="External"/><Relationship Id="rId46" Type="http://schemas.openxmlformats.org/officeDocument/2006/relationships/hyperlink" Target="http://dev.dashboard.evolvesolar.com/my-commissions.php?user_id=155&amp;payweek=2015-02-06" TargetMode="External"/><Relationship Id="rId1407" Type="http://schemas.openxmlformats.org/officeDocument/2006/relationships/hyperlink" Target="http://dev.dashboard.evolvesolar.com/my-commissions.php?user_id=719&amp;payweek=2014-11-21" TargetMode="External"/><Relationship Id="rId1614" Type="http://schemas.openxmlformats.org/officeDocument/2006/relationships/hyperlink" Target="http://dev.dashboard.evolvesolar.com/my-commissions.php?user_id=212&amp;payweek=2014-11-07" TargetMode="External"/><Relationship Id="rId1821" Type="http://schemas.openxmlformats.org/officeDocument/2006/relationships/hyperlink" Target="http://dev.dashboard.evolvesolar.com/my-commissions.php?user_id=203&amp;payweek=2014-10-28" TargetMode="External"/><Relationship Id="rId4020" Type="http://schemas.openxmlformats.org/officeDocument/2006/relationships/hyperlink" Target="http://dev.dashboard.evolvesolar.com/my-commissions.php?user_id=257&amp;payweek=2014-04-17" TargetMode="External"/><Relationship Id="rId3579" Type="http://schemas.openxmlformats.org/officeDocument/2006/relationships/hyperlink" Target="http://dev.dashboard.evolvesolar.com/my-commissions.php?user_id=156&amp;payweek=2014-06-20" TargetMode="External"/><Relationship Id="rId3786" Type="http://schemas.openxmlformats.org/officeDocument/2006/relationships/hyperlink" Target="http://dev.dashboard.evolvesolar.com/my-commissions.php?user_id=54&amp;payweek=2014-05-30" TargetMode="External"/><Relationship Id="rId2388" Type="http://schemas.openxmlformats.org/officeDocument/2006/relationships/hyperlink" Target="http://dev.dashboard.evolvesolar.com/my-commissions.php?user_id=203&amp;payweek=2014-09-19" TargetMode="External"/><Relationship Id="rId2595" Type="http://schemas.openxmlformats.org/officeDocument/2006/relationships/hyperlink" Target="http://dev.dashboard.evolvesolar.com/my-commissions.php?user_id=203&amp;payweek=2014-09-05" TargetMode="External"/><Relationship Id="rId3439" Type="http://schemas.openxmlformats.org/officeDocument/2006/relationships/hyperlink" Target="http://dev.dashboard.evolvesolar.com/my-commissions.php?user_id=175&amp;payweek=2014-07-08" TargetMode="External"/><Relationship Id="rId3993" Type="http://schemas.openxmlformats.org/officeDocument/2006/relationships/hyperlink" Target="http://dev.dashboard.evolvesolar.com/my-commissions.php?user_id=111&amp;payweek=2014-04-24" TargetMode="External"/><Relationship Id="rId567" Type="http://schemas.openxmlformats.org/officeDocument/2006/relationships/hyperlink" Target="http://dev.dashboard.evolvesolar.com/my-commissions.php?user_id=392&amp;payweek=2015-01-09" TargetMode="External"/><Relationship Id="rId1197" Type="http://schemas.openxmlformats.org/officeDocument/2006/relationships/hyperlink" Target="http://dev.dashboard.evolvesolar.com/my-commissions.php?user_id=842&amp;payweek=2014-12-05" TargetMode="External"/><Relationship Id="rId2248" Type="http://schemas.openxmlformats.org/officeDocument/2006/relationships/hyperlink" Target="http://dev.dashboard.evolvesolar.com/my-commissions.php?user_id=487&amp;payweek=2014-10-03" TargetMode="External"/><Relationship Id="rId3646" Type="http://schemas.openxmlformats.org/officeDocument/2006/relationships/hyperlink" Target="http://dev.dashboard.evolvesolar.com/my-commissions.php?user_id=94&amp;payweek=2014-06-13" TargetMode="External"/><Relationship Id="rId3853" Type="http://schemas.openxmlformats.org/officeDocument/2006/relationships/hyperlink" Target="http://dev.dashboard.evolvesolar.com/my-commissions.php?user_id=94&amp;payweek=2014-05-23" TargetMode="External"/><Relationship Id="rId774" Type="http://schemas.openxmlformats.org/officeDocument/2006/relationships/hyperlink" Target="http://dev.dashboard.evolvesolar.com/my-commissions.php?user_id=179&amp;payweek=2014-12-26" TargetMode="External"/><Relationship Id="rId981" Type="http://schemas.openxmlformats.org/officeDocument/2006/relationships/hyperlink" Target="http://dev.dashboard.evolvesolar.com/my-commissions.php?user_id=646&amp;payweek=2014-12-19" TargetMode="External"/><Relationship Id="rId1057" Type="http://schemas.openxmlformats.org/officeDocument/2006/relationships/hyperlink" Target="http://dev.dashboard.evolvesolar.com/my-commissions.php?user_id=580&amp;payweek=2014-12-12" TargetMode="External"/><Relationship Id="rId2455" Type="http://schemas.openxmlformats.org/officeDocument/2006/relationships/hyperlink" Target="http://dev.dashboard.evolvesolar.com/my-commissions.php?user_id=157&amp;payweek=2014-09-12" TargetMode="External"/><Relationship Id="rId2662" Type="http://schemas.openxmlformats.org/officeDocument/2006/relationships/hyperlink" Target="http://dev.dashboard.evolvesolar.com/my-commissions.php?user_id=326&amp;payweek=2014-09-04" TargetMode="External"/><Relationship Id="rId3506" Type="http://schemas.openxmlformats.org/officeDocument/2006/relationships/hyperlink" Target="http://dev.dashboard.evolvesolar.com/my-commissions.php?user_id=155&amp;payweek=2014-06-27" TargetMode="External"/><Relationship Id="rId3713" Type="http://schemas.openxmlformats.org/officeDocument/2006/relationships/hyperlink" Target="http://dev.dashboard.evolvesolar.com/my-commissions.php?user_id=53&amp;payweek=2014-06-06" TargetMode="External"/><Relationship Id="rId3920" Type="http://schemas.openxmlformats.org/officeDocument/2006/relationships/hyperlink" Target="http://dev.dashboard.evolvesolar.com/my-commissions.php?user_id=71&amp;payweek=2014-05-09" TargetMode="External"/><Relationship Id="rId427" Type="http://schemas.openxmlformats.org/officeDocument/2006/relationships/hyperlink" Target="http://dev.dashboard.evolvesolar.com/my-commissions.php?user_id=927&amp;payweek=2015-01-23" TargetMode="External"/><Relationship Id="rId634" Type="http://schemas.openxmlformats.org/officeDocument/2006/relationships/hyperlink" Target="http://dev.dashboard.evolvesolar.com/my-commissions.php?user_id=832&amp;payweek=2015-01-09" TargetMode="External"/><Relationship Id="rId841" Type="http://schemas.openxmlformats.org/officeDocument/2006/relationships/hyperlink" Target="http://dev.dashboard.evolvesolar.com/my-commissions.php?user_id=626&amp;payweek=2014-12-26" TargetMode="External"/><Relationship Id="rId1264" Type="http://schemas.openxmlformats.org/officeDocument/2006/relationships/hyperlink" Target="http://dev.dashboard.evolvesolar.com/my-commissions.php?user_id=410&amp;payweek=2014-11-25" TargetMode="External"/><Relationship Id="rId1471" Type="http://schemas.openxmlformats.org/officeDocument/2006/relationships/hyperlink" Target="http://dev.dashboard.evolvesolar.com/my-commissions.php?user_id=268&amp;payweek=2014-11-14" TargetMode="External"/><Relationship Id="rId2108" Type="http://schemas.openxmlformats.org/officeDocument/2006/relationships/hyperlink" Target="http://dev.dashboard.evolvesolar.com/my-commissions.php?user_id=405&amp;payweek=2014-10-10" TargetMode="External"/><Relationship Id="rId2315" Type="http://schemas.openxmlformats.org/officeDocument/2006/relationships/hyperlink" Target="http://dev.dashboard.evolvesolar.com/my-commissions.php?user_id=404&amp;payweek=2014-09-25" TargetMode="External"/><Relationship Id="rId2522" Type="http://schemas.openxmlformats.org/officeDocument/2006/relationships/hyperlink" Target="http://dev.dashboard.evolvesolar.com/my-commissions.php?user_id=403&amp;payweek=2014-09-12" TargetMode="External"/><Relationship Id="rId701" Type="http://schemas.openxmlformats.org/officeDocument/2006/relationships/hyperlink" Target="http://dev.dashboard.evolvesolar.com/my-commissions.php?user_id=428&amp;payweek=2014-12-31" TargetMode="External"/><Relationship Id="rId1124" Type="http://schemas.openxmlformats.org/officeDocument/2006/relationships/hyperlink" Target="http://dev.dashboard.evolvesolar.com/my-commissions.php?user_id=261&amp;payweek=2014-12-05" TargetMode="External"/><Relationship Id="rId1331" Type="http://schemas.openxmlformats.org/officeDocument/2006/relationships/hyperlink" Target="http://dev.dashboard.evolvesolar.com/my-commissions.php?user_id=234&amp;payweek=2014-11-21" TargetMode="External"/><Relationship Id="rId3089" Type="http://schemas.openxmlformats.org/officeDocument/2006/relationships/hyperlink" Target="http://dev.dashboard.evolvesolar.com/my-commissions.php?user_id=225&amp;payweek=2014-08-07" TargetMode="External"/><Relationship Id="rId3296" Type="http://schemas.openxmlformats.org/officeDocument/2006/relationships/hyperlink" Target="http://dev.dashboard.evolvesolar.com/my-commissions.php?user_id=373&amp;payweek=2014-07-23" TargetMode="External"/><Relationship Id="rId3156" Type="http://schemas.openxmlformats.org/officeDocument/2006/relationships/hyperlink" Target="http://dev.dashboard.evolvesolar.com/my-commissions.php?user_id=37&amp;payweek=2014-07-31" TargetMode="External"/><Relationship Id="rId3363" Type="http://schemas.openxmlformats.org/officeDocument/2006/relationships/hyperlink" Target="http://dev.dashboard.evolvesolar.com/my-commissions.php?user_id=250&amp;payweek=2014-07-15" TargetMode="External"/><Relationship Id="rId284" Type="http://schemas.openxmlformats.org/officeDocument/2006/relationships/hyperlink" Target="http://dev.dashboard.evolvesolar.com/my-commissions.php?user_id=632&amp;payweek=2015-01-30" TargetMode="External"/><Relationship Id="rId491" Type="http://schemas.openxmlformats.org/officeDocument/2006/relationships/hyperlink" Target="http://dev.dashboard.evolvesolar.com/my-commissions.php?user_id=690&amp;payweek=2015-01-15" TargetMode="External"/><Relationship Id="rId2172" Type="http://schemas.openxmlformats.org/officeDocument/2006/relationships/hyperlink" Target="http://dev.dashboard.evolvesolar.com/my-commissions.php?user_id=234&amp;payweek=2014-10-06" TargetMode="External"/><Relationship Id="rId3016" Type="http://schemas.openxmlformats.org/officeDocument/2006/relationships/hyperlink" Target="http://dev.dashboard.evolvesolar.com/my-commissions.php?user_id=41&amp;payweek=2014-08-08" TargetMode="External"/><Relationship Id="rId3223" Type="http://schemas.openxmlformats.org/officeDocument/2006/relationships/hyperlink" Target="http://dev.dashboard.evolvesolar.com/my-commissions.php?user_id=175&amp;payweek=2014-07-29" TargetMode="External"/><Relationship Id="rId3570" Type="http://schemas.openxmlformats.org/officeDocument/2006/relationships/hyperlink" Target="http://dev.dashboard.evolvesolar.com/my-commissions.php?user_id=146&amp;payweek=2014-06-20" TargetMode="External"/><Relationship Id="rId144" Type="http://schemas.openxmlformats.org/officeDocument/2006/relationships/hyperlink" Target="http://dev.dashboard.evolvesolar.com/my-commissions.php?user_id=601&amp;payweek=2015-02-06" TargetMode="External"/><Relationship Id="rId3430" Type="http://schemas.openxmlformats.org/officeDocument/2006/relationships/hyperlink" Target="http://dev.dashboard.evolvesolar.com/my-commissions.php?user_id=245&amp;payweek=2014-07-11" TargetMode="External"/><Relationship Id="rId351" Type="http://schemas.openxmlformats.org/officeDocument/2006/relationships/hyperlink" Target="http://dev.dashboard.evolvesolar.com/my-commissions.php?user_id=27&amp;payweek=2015-01-23" TargetMode="External"/><Relationship Id="rId2032" Type="http://schemas.openxmlformats.org/officeDocument/2006/relationships/hyperlink" Target="http://dev.dashboard.evolvesolar.com/my-commissions.php?user_id=599&amp;payweek=2014-10-17" TargetMode="External"/><Relationship Id="rId2989" Type="http://schemas.openxmlformats.org/officeDocument/2006/relationships/hyperlink" Target="http://dev.dashboard.evolvesolar.com/my-commissions.php?user_id=245&amp;payweek=2014-08-14" TargetMode="External"/><Relationship Id="rId211" Type="http://schemas.openxmlformats.org/officeDocument/2006/relationships/hyperlink" Target="http://dev.dashboard.evolvesolar.com/my-commissions.php?user_id=940&amp;payweek=2015-02-06" TargetMode="External"/><Relationship Id="rId1798" Type="http://schemas.openxmlformats.org/officeDocument/2006/relationships/hyperlink" Target="http://dev.dashboard.evolvesolar.com/my-commissions.php?user_id=626&amp;payweek=2014-10-31" TargetMode="External"/><Relationship Id="rId2849" Type="http://schemas.openxmlformats.org/officeDocument/2006/relationships/hyperlink" Target="http://dev.dashboard.evolvesolar.com/my-commissions.php?user_id=247&amp;payweek=2014-08-22" TargetMode="External"/><Relationship Id="rId1658" Type="http://schemas.openxmlformats.org/officeDocument/2006/relationships/hyperlink" Target="http://dev.dashboard.evolvesolar.com/my-commissions.php?user_id=580&amp;payweek=2014-11-07" TargetMode="External"/><Relationship Id="rId1865" Type="http://schemas.openxmlformats.org/officeDocument/2006/relationships/hyperlink" Target="http://dev.dashboard.evolvesolar.com/my-commissions.php?user_id=472&amp;payweek=2014-10-24" TargetMode="External"/><Relationship Id="rId2709" Type="http://schemas.openxmlformats.org/officeDocument/2006/relationships/hyperlink" Target="http://dev.dashboard.evolvesolar.com/my-commissions.php?user_id=268&amp;payweek=2014-08-29" TargetMode="External"/><Relationship Id="rId4064" Type="http://schemas.openxmlformats.org/officeDocument/2006/relationships/hyperlink" Target="http://dev.dashboard.evolvesolar.com/my-commissions.php?user_id=79&amp;payweek=2014-03-28" TargetMode="External"/><Relationship Id="rId1518" Type="http://schemas.openxmlformats.org/officeDocument/2006/relationships/hyperlink" Target="http://dev.dashboard.evolvesolar.com/my-commissions.php?user_id=593&amp;payweek=2014-11-14" TargetMode="External"/><Relationship Id="rId2916" Type="http://schemas.openxmlformats.org/officeDocument/2006/relationships/hyperlink" Target="http://dev.dashboard.evolvesolar.com/my-commissions.php?user_id=667&amp;payweek=2014-08-22" TargetMode="External"/><Relationship Id="rId3080" Type="http://schemas.openxmlformats.org/officeDocument/2006/relationships/hyperlink" Target="http://dev.dashboard.evolvesolar.com/my-commissions.php?user_id=211&amp;payweek=2014-08-07" TargetMode="External"/><Relationship Id="rId1725" Type="http://schemas.openxmlformats.org/officeDocument/2006/relationships/hyperlink" Target="http://dev.dashboard.evolvesolar.com/my-commissions.php?user_id=175&amp;payweek=2014-10-31" TargetMode="External"/><Relationship Id="rId1932" Type="http://schemas.openxmlformats.org/officeDocument/2006/relationships/hyperlink" Target="http://dev.dashboard.evolvesolar.com/my-commissions.php?user_id=489&amp;payweek=2014-10-20" TargetMode="External"/><Relationship Id="rId17" Type="http://schemas.openxmlformats.org/officeDocument/2006/relationships/hyperlink" Target="http://dev.dashboard.evolvesolar.com/my-commissions.php?user_id=98&amp;payweek=2015-02-06" TargetMode="External"/><Relationship Id="rId3897" Type="http://schemas.openxmlformats.org/officeDocument/2006/relationships/hyperlink" Target="http://dev.dashboard.evolvesolar.com/my-commissions.php?user_id=112&amp;payweek=2014-05-16" TargetMode="External"/><Relationship Id="rId2499" Type="http://schemas.openxmlformats.org/officeDocument/2006/relationships/hyperlink" Target="http://dev.dashboard.evolvesolar.com/my-commissions.php?user_id=355&amp;payweek=2014-09-12" TargetMode="External"/><Relationship Id="rId3757" Type="http://schemas.openxmlformats.org/officeDocument/2006/relationships/hyperlink" Target="http://dev.dashboard.evolvesolar.com/my-commissions.php?user_id=125&amp;payweek=2014-06-06" TargetMode="External"/><Relationship Id="rId3964" Type="http://schemas.openxmlformats.org/officeDocument/2006/relationships/hyperlink" Target="http://dev.dashboard.evolvesolar.com/my-commissions.php?user_id=110&amp;payweek=2014-05-02" TargetMode="External"/><Relationship Id="rId1" Type="http://schemas.openxmlformats.org/officeDocument/2006/relationships/hyperlink" Target="http://dev.dashboard.evolvesolar.com/my-commissions.php?user_id=23&amp;payweek=2015-02-06" TargetMode="External"/><Relationship Id="rId678" Type="http://schemas.openxmlformats.org/officeDocument/2006/relationships/hyperlink" Target="http://dev.dashboard.evolvesolar.com/my-commissions.php?user_id=236&amp;payweek=2014-12-31" TargetMode="External"/><Relationship Id="rId885" Type="http://schemas.openxmlformats.org/officeDocument/2006/relationships/hyperlink" Target="http://dev.dashboard.evolvesolar.com/my-commissions.php?user_id=897&amp;payweek=2014-12-26" TargetMode="External"/><Relationship Id="rId2359" Type="http://schemas.openxmlformats.org/officeDocument/2006/relationships/hyperlink" Target="http://dev.dashboard.evolvesolar.com/my-commissions.php?user_id=383&amp;payweek=2014-09-23" TargetMode="External"/><Relationship Id="rId2566" Type="http://schemas.openxmlformats.org/officeDocument/2006/relationships/hyperlink" Target="http://dev.dashboard.evolvesolar.com/my-commissions.php?user_id=581&amp;payweek=2014-09-12" TargetMode="External"/><Relationship Id="rId2773" Type="http://schemas.openxmlformats.org/officeDocument/2006/relationships/hyperlink" Target="http://dev.dashboard.evolvesolar.com/my-commissions.php?user_id=248&amp;payweek=2014-08-28" TargetMode="External"/><Relationship Id="rId2980" Type="http://schemas.openxmlformats.org/officeDocument/2006/relationships/hyperlink" Target="http://dev.dashboard.evolvesolar.com/my-commissions.php?user_id=218&amp;payweek=2014-08-14" TargetMode="External"/><Relationship Id="rId3617" Type="http://schemas.openxmlformats.org/officeDocument/2006/relationships/hyperlink" Target="http://dev.dashboard.evolvesolar.com/my-commissions.php?user_id=27&amp;payweek=2014-06-13" TargetMode="External"/><Relationship Id="rId3824" Type="http://schemas.openxmlformats.org/officeDocument/2006/relationships/hyperlink" Target="http://dev.dashboard.evolvesolar.com/my-commissions.php?user_id=140&amp;payweek=2014-05-30" TargetMode="External"/><Relationship Id="rId538" Type="http://schemas.openxmlformats.org/officeDocument/2006/relationships/hyperlink" Target="http://dev.dashboard.evolvesolar.com/my-commissions.php?user_id=203&amp;payweek=2015-01-09" TargetMode="External"/><Relationship Id="rId745" Type="http://schemas.openxmlformats.org/officeDocument/2006/relationships/hyperlink" Target="http://dev.dashboard.evolvesolar.com/my-commissions.php?user_id=775&amp;payweek=2014-12-31" TargetMode="External"/><Relationship Id="rId952" Type="http://schemas.openxmlformats.org/officeDocument/2006/relationships/hyperlink" Target="http://dev.dashboard.evolvesolar.com/my-commissions.php?user_id=857&amp;payweek=2014-12-22" TargetMode="External"/><Relationship Id="rId1168" Type="http://schemas.openxmlformats.org/officeDocument/2006/relationships/hyperlink" Target="http://dev.dashboard.evolvesolar.com/my-commissions.php?user_id=679&amp;payweek=2014-12-05" TargetMode="External"/><Relationship Id="rId1375" Type="http://schemas.openxmlformats.org/officeDocument/2006/relationships/hyperlink" Target="http://dev.dashboard.evolvesolar.com/my-commissions.php?user_id=599&amp;payweek=2014-11-21" TargetMode="External"/><Relationship Id="rId1582" Type="http://schemas.openxmlformats.org/officeDocument/2006/relationships/hyperlink" Target="http://dev.dashboard.evolvesolar.com/my-commissions.php?user_id=672&amp;payweek=2014-11-12" TargetMode="External"/><Relationship Id="rId2219" Type="http://schemas.openxmlformats.org/officeDocument/2006/relationships/hyperlink" Target="http://dev.dashboard.evolvesolar.com/my-commissions.php?user_id=593&amp;payweek=2014-10-06" TargetMode="External"/><Relationship Id="rId2426" Type="http://schemas.openxmlformats.org/officeDocument/2006/relationships/hyperlink" Target="http://dev.dashboard.evolvesolar.com/my-commissions.php?user_id=422&amp;payweek=2014-09-19" TargetMode="External"/><Relationship Id="rId2633" Type="http://schemas.openxmlformats.org/officeDocument/2006/relationships/hyperlink" Target="http://dev.dashboard.evolvesolar.com/my-commissions.php?user_id=217&amp;payweek=2014-09-04" TargetMode="External"/><Relationship Id="rId81" Type="http://schemas.openxmlformats.org/officeDocument/2006/relationships/hyperlink" Target="http://dev.dashboard.evolvesolar.com/my-commissions.php?user_id=295&amp;payweek=2015-02-06" TargetMode="External"/><Relationship Id="rId605" Type="http://schemas.openxmlformats.org/officeDocument/2006/relationships/hyperlink" Target="http://dev.dashboard.evolvesolar.com/my-commissions.php?user_id=679&amp;payweek=2015-01-09" TargetMode="External"/><Relationship Id="rId812" Type="http://schemas.openxmlformats.org/officeDocument/2006/relationships/hyperlink" Target="http://dev.dashboard.evolvesolar.com/my-commissions.php?user_id=407&amp;payweek=2014-12-26" TargetMode="External"/><Relationship Id="rId1028" Type="http://schemas.openxmlformats.org/officeDocument/2006/relationships/hyperlink" Target="http://dev.dashboard.evolvesolar.com/my-commissions.php?user_id=282&amp;payweek=2014-12-12" TargetMode="External"/><Relationship Id="rId1235" Type="http://schemas.openxmlformats.org/officeDocument/2006/relationships/hyperlink" Target="http://dev.dashboard.evolvesolar.com/my-commissions.php?user_id=771&amp;payweek=2014-11-28" TargetMode="External"/><Relationship Id="rId1442" Type="http://schemas.openxmlformats.org/officeDocument/2006/relationships/hyperlink" Target="http://dev.dashboard.evolvesolar.com/my-commissions.php?user_id=63&amp;payweek=2014-11-14" TargetMode="External"/><Relationship Id="rId2840" Type="http://schemas.openxmlformats.org/officeDocument/2006/relationships/hyperlink" Target="http://dev.dashboard.evolvesolar.com/my-commissions.php?user_id=234&amp;payweek=2014-08-22" TargetMode="External"/><Relationship Id="rId1302" Type="http://schemas.openxmlformats.org/officeDocument/2006/relationships/hyperlink" Target="http://dev.dashboard.evolvesolar.com/my-commissions.php?user_id=817&amp;payweek=2014-11-25" TargetMode="External"/><Relationship Id="rId2700" Type="http://schemas.openxmlformats.org/officeDocument/2006/relationships/hyperlink" Target="http://dev.dashboard.evolvesolar.com/my-commissions.php?user_id=232&amp;payweek=2014-08-29" TargetMode="External"/><Relationship Id="rId3267" Type="http://schemas.openxmlformats.org/officeDocument/2006/relationships/hyperlink" Target="http://dev.dashboard.evolvesolar.com/my-commissions.php?user_id=218&amp;payweek=2014-07-25" TargetMode="External"/><Relationship Id="rId188" Type="http://schemas.openxmlformats.org/officeDocument/2006/relationships/hyperlink" Target="http://dev.dashboard.evolvesolar.com/my-commissions.php?user_id=832&amp;payweek=2015-02-06" TargetMode="External"/><Relationship Id="rId395" Type="http://schemas.openxmlformats.org/officeDocument/2006/relationships/hyperlink" Target="http://dev.dashboard.evolvesolar.com/my-commissions.php?user_id=583&amp;payweek=2015-01-23" TargetMode="External"/><Relationship Id="rId2076" Type="http://schemas.openxmlformats.org/officeDocument/2006/relationships/hyperlink" Target="http://dev.dashboard.evolvesolar.com/my-commissions.php?user_id=233&amp;payweek=2014-10-10" TargetMode="External"/><Relationship Id="rId3474" Type="http://schemas.openxmlformats.org/officeDocument/2006/relationships/hyperlink" Target="http://dev.dashboard.evolvesolar.com/my-commissions.php?user_id=219&amp;payweek=2014-07-03" TargetMode="External"/><Relationship Id="rId3681" Type="http://schemas.openxmlformats.org/officeDocument/2006/relationships/hyperlink" Target="http://dev.dashboard.evolvesolar.com/my-commissions.php?user_id=143&amp;payweek=2014-06-13" TargetMode="External"/><Relationship Id="rId2283" Type="http://schemas.openxmlformats.org/officeDocument/2006/relationships/hyperlink" Target="http://dev.dashboard.evolvesolar.com/my-commissions.php?user_id=77&amp;payweek=2014-09-25" TargetMode="External"/><Relationship Id="rId2490" Type="http://schemas.openxmlformats.org/officeDocument/2006/relationships/hyperlink" Target="http://dev.dashboard.evolvesolar.com/my-commissions.php?user_id=326&amp;payweek=2014-09-12" TargetMode="External"/><Relationship Id="rId3127" Type="http://schemas.openxmlformats.org/officeDocument/2006/relationships/hyperlink" Target="http://dev.dashboard.evolvesolar.com/my-commissions.php?user_id=304&amp;payweek=2014-08-04" TargetMode="External"/><Relationship Id="rId3334" Type="http://schemas.openxmlformats.org/officeDocument/2006/relationships/hyperlink" Target="http://dev.dashboard.evolvesolar.com/my-commissions.php?user_id=203&amp;payweek=2014-07-18" TargetMode="External"/><Relationship Id="rId3541" Type="http://schemas.openxmlformats.org/officeDocument/2006/relationships/hyperlink" Target="http://dev.dashboard.evolvesolar.com/my-commissions.php?user_id=96&amp;payweek=2014-06-20" TargetMode="External"/><Relationship Id="rId255" Type="http://schemas.openxmlformats.org/officeDocument/2006/relationships/hyperlink" Target="http://dev.dashboard.evolvesolar.com/my-commissions.php?user_id=261&amp;payweek=2015-01-30" TargetMode="External"/><Relationship Id="rId462" Type="http://schemas.openxmlformats.org/officeDocument/2006/relationships/hyperlink" Target="http://dev.dashboard.evolvesolar.com/my-commissions.php?user_id=365&amp;payweek=2015-01-15" TargetMode="External"/><Relationship Id="rId1092" Type="http://schemas.openxmlformats.org/officeDocument/2006/relationships/hyperlink" Target="http://dev.dashboard.evolvesolar.com/my-commissions.php?user_id=771&amp;payweek=2014-12-12" TargetMode="External"/><Relationship Id="rId2143" Type="http://schemas.openxmlformats.org/officeDocument/2006/relationships/hyperlink" Target="http://dev.dashboard.evolvesolar.com/my-commissions.php?user_id=626&amp;payweek=2014-10-10" TargetMode="External"/><Relationship Id="rId2350" Type="http://schemas.openxmlformats.org/officeDocument/2006/relationships/hyperlink" Target="http://dev.dashboard.evolvesolar.com/my-commissions.php?user_id=590&amp;payweek=2014-09-25" TargetMode="External"/><Relationship Id="rId3401" Type="http://schemas.openxmlformats.org/officeDocument/2006/relationships/hyperlink" Target="http://dev.dashboard.evolvesolar.com/my-commissions.php?user_id=142&amp;payweek=2014-07-11" TargetMode="External"/><Relationship Id="rId115" Type="http://schemas.openxmlformats.org/officeDocument/2006/relationships/hyperlink" Target="http://dev.dashboard.evolvesolar.com/my-commissions.php?user_id=438&amp;payweek=2015-02-06" TargetMode="External"/><Relationship Id="rId322" Type="http://schemas.openxmlformats.org/officeDocument/2006/relationships/hyperlink" Target="http://dev.dashboard.evolvesolar.com/my-commissions.php?user_id=856&amp;payweek=2015-01-30" TargetMode="External"/><Relationship Id="rId2003" Type="http://schemas.openxmlformats.org/officeDocument/2006/relationships/hyperlink" Target="http://dev.dashboard.evolvesolar.com/my-commissions.php?user_id=389&amp;payweek=2014-10-17" TargetMode="External"/><Relationship Id="rId2210" Type="http://schemas.openxmlformats.org/officeDocument/2006/relationships/hyperlink" Target="http://dev.dashboard.evolvesolar.com/my-commissions.php?user_id=550&amp;payweek=2014-10-06" TargetMode="External"/><Relationship Id="rId1769" Type="http://schemas.openxmlformats.org/officeDocument/2006/relationships/hyperlink" Target="http://dev.dashboard.evolvesolar.com/my-commissions.php?user_id=458&amp;payweek=2014-10-31" TargetMode="External"/><Relationship Id="rId1976" Type="http://schemas.openxmlformats.org/officeDocument/2006/relationships/hyperlink" Target="http://dev.dashboard.evolvesolar.com/my-commissions.php?user_id=203&amp;payweek=2014-10-17" TargetMode="External"/><Relationship Id="rId3191" Type="http://schemas.openxmlformats.org/officeDocument/2006/relationships/hyperlink" Target="http://dev.dashboard.evolvesolar.com/my-commissions.php?user_id=219&amp;payweek=2014-07-31" TargetMode="External"/><Relationship Id="rId4035" Type="http://schemas.openxmlformats.org/officeDocument/2006/relationships/hyperlink" Target="http://dev.dashboard.evolvesolar.com/my-commissions.php?user_id=105&amp;payweek=2014-04-11" TargetMode="External"/><Relationship Id="rId1629" Type="http://schemas.openxmlformats.org/officeDocument/2006/relationships/hyperlink" Target="http://dev.dashboard.evolvesolar.com/my-commissions.php?user_id=358&amp;payweek=2014-11-07" TargetMode="External"/><Relationship Id="rId1836" Type="http://schemas.openxmlformats.org/officeDocument/2006/relationships/hyperlink" Target="http://dev.dashboard.evolvesolar.com/my-commissions.php?user_id=203&amp;payweek=2014-10-24" TargetMode="External"/><Relationship Id="rId1903" Type="http://schemas.openxmlformats.org/officeDocument/2006/relationships/hyperlink" Target="http://dev.dashboard.evolvesolar.com/my-commissions.php?user_id=648&amp;payweek=2014-10-24" TargetMode="External"/><Relationship Id="rId3051" Type="http://schemas.openxmlformats.org/officeDocument/2006/relationships/hyperlink" Target="http://dev.dashboard.evolvesolar.com/my-commissions.php?user_id=261&amp;payweek=2014-08-08" TargetMode="External"/><Relationship Id="rId4102" Type="http://schemas.openxmlformats.org/officeDocument/2006/relationships/hyperlink" Target="http://dev.dashboard.evolvesolar.com/my-commissions.php?user_id=191&amp;payweek=2014-01-31" TargetMode="External"/><Relationship Id="rId3868" Type="http://schemas.openxmlformats.org/officeDocument/2006/relationships/hyperlink" Target="http://dev.dashboard.evolvesolar.com/my-commissions.php?user_id=125&amp;payweek=2014-05-23" TargetMode="External"/><Relationship Id="rId789" Type="http://schemas.openxmlformats.org/officeDocument/2006/relationships/hyperlink" Target="http://dev.dashboard.evolvesolar.com/my-commissions.php?user_id=303&amp;payweek=2014-12-26" TargetMode="External"/><Relationship Id="rId996" Type="http://schemas.openxmlformats.org/officeDocument/2006/relationships/hyperlink" Target="http://dev.dashboard.evolvesolar.com/my-commissions.php?user_id=37&amp;payweek=2014-12-12" TargetMode="External"/><Relationship Id="rId2677" Type="http://schemas.openxmlformats.org/officeDocument/2006/relationships/hyperlink" Target="http://dev.dashboard.evolvesolar.com/my-commissions.php?user_id=472&amp;payweek=2014-09-04" TargetMode="External"/><Relationship Id="rId2884" Type="http://schemas.openxmlformats.org/officeDocument/2006/relationships/hyperlink" Target="http://dev.dashboard.evolvesolar.com/my-commissions.php?user_id=370&amp;payweek=2014-08-22" TargetMode="External"/><Relationship Id="rId3728" Type="http://schemas.openxmlformats.org/officeDocument/2006/relationships/hyperlink" Target="http://dev.dashboard.evolvesolar.com/my-commissions.php?user_id=88&amp;payweek=2014-06-06" TargetMode="External"/><Relationship Id="rId649" Type="http://schemas.openxmlformats.org/officeDocument/2006/relationships/hyperlink" Target="http://dev.dashboard.evolvesolar.com/my-commissions.php?user_id=46&amp;payweek=2014-12-31" TargetMode="External"/><Relationship Id="rId856" Type="http://schemas.openxmlformats.org/officeDocument/2006/relationships/hyperlink" Target="http://dev.dashboard.evolvesolar.com/my-commissions.php?user_id=665&amp;payweek=2014-12-26" TargetMode="External"/><Relationship Id="rId1279" Type="http://schemas.openxmlformats.org/officeDocument/2006/relationships/hyperlink" Target="http://dev.dashboard.evolvesolar.com/my-commissions.php?user_id=678&amp;payweek=2014-11-25" TargetMode="External"/><Relationship Id="rId1486" Type="http://schemas.openxmlformats.org/officeDocument/2006/relationships/hyperlink" Target="http://dev.dashboard.evolvesolar.com/my-commissions.php?user_id=322&amp;payweek=2014-11-14" TargetMode="External"/><Relationship Id="rId2537" Type="http://schemas.openxmlformats.org/officeDocument/2006/relationships/hyperlink" Target="http://dev.dashboard.evolvesolar.com/my-commissions.php?user_id=446&amp;payweek=2014-09-12" TargetMode="External"/><Relationship Id="rId3935" Type="http://schemas.openxmlformats.org/officeDocument/2006/relationships/hyperlink" Target="http://dev.dashboard.evolvesolar.com/my-commissions.php?user_id=114&amp;payweek=2014-05-09" TargetMode="External"/><Relationship Id="rId509" Type="http://schemas.openxmlformats.org/officeDocument/2006/relationships/hyperlink" Target="http://dev.dashboard.evolvesolar.com/my-commissions.php?user_id=389&amp;payweek=2015-01-13" TargetMode="External"/><Relationship Id="rId1139" Type="http://schemas.openxmlformats.org/officeDocument/2006/relationships/hyperlink" Target="http://dev.dashboard.evolvesolar.com/my-commissions.php?user_id=576&amp;payweek=2014-12-05" TargetMode="External"/><Relationship Id="rId1346" Type="http://schemas.openxmlformats.org/officeDocument/2006/relationships/hyperlink" Target="http://dev.dashboard.evolvesolar.com/my-commissions.php?user_id=324&amp;payweek=2014-11-21" TargetMode="External"/><Relationship Id="rId1693" Type="http://schemas.openxmlformats.org/officeDocument/2006/relationships/hyperlink" Target="http://dev.dashboard.evolvesolar.com/my-commissions.php?user_id=685&amp;payweek=2014-11-07" TargetMode="External"/><Relationship Id="rId2744" Type="http://schemas.openxmlformats.org/officeDocument/2006/relationships/hyperlink" Target="http://dev.dashboard.evolvesolar.com/my-commissions.php?user_id=642&amp;payweek=2014-08-29" TargetMode="External"/><Relationship Id="rId2951" Type="http://schemas.openxmlformats.org/officeDocument/2006/relationships/hyperlink" Target="http://dev.dashboard.evolvesolar.com/my-commissions.php?user_id=218&amp;payweek=2014-08-15" TargetMode="External"/><Relationship Id="rId716" Type="http://schemas.openxmlformats.org/officeDocument/2006/relationships/hyperlink" Target="http://dev.dashboard.evolvesolar.com/my-commissions.php?user_id=580&amp;payweek=2014-12-31" TargetMode="External"/><Relationship Id="rId923" Type="http://schemas.openxmlformats.org/officeDocument/2006/relationships/hyperlink" Target="http://dev.dashboard.evolvesolar.com/my-commissions.php?user_id=580&amp;payweek=2014-12-22" TargetMode="External"/><Relationship Id="rId1553" Type="http://schemas.openxmlformats.org/officeDocument/2006/relationships/hyperlink" Target="http://dev.dashboard.evolvesolar.com/my-commissions.php?user_id=715&amp;payweek=2014-11-14" TargetMode="External"/><Relationship Id="rId1760" Type="http://schemas.openxmlformats.org/officeDocument/2006/relationships/hyperlink" Target="http://dev.dashboard.evolvesolar.com/my-commissions.php?user_id=405&amp;payweek=2014-10-31" TargetMode="External"/><Relationship Id="rId2604" Type="http://schemas.openxmlformats.org/officeDocument/2006/relationships/hyperlink" Target="http://dev.dashboard.evolvesolar.com/my-commissions.php?user_id=268&amp;payweek=2014-09-05" TargetMode="External"/><Relationship Id="rId2811" Type="http://schemas.openxmlformats.org/officeDocument/2006/relationships/hyperlink" Target="http://dev.dashboard.evolvesolar.com/my-commissions.php?user_id=141&amp;payweek=2014-08-22" TargetMode="External"/><Relationship Id="rId52" Type="http://schemas.openxmlformats.org/officeDocument/2006/relationships/hyperlink" Target="http://dev.dashboard.evolvesolar.com/my-commissions.php?user_id=192&amp;payweek=2015-02-06" TargetMode="External"/><Relationship Id="rId1206" Type="http://schemas.openxmlformats.org/officeDocument/2006/relationships/hyperlink" Target="http://dev.dashboard.evolvesolar.com/my-commissions.php?user_id=77&amp;payweek=2014-11-28" TargetMode="External"/><Relationship Id="rId1413" Type="http://schemas.openxmlformats.org/officeDocument/2006/relationships/hyperlink" Target="http://dev.dashboard.evolvesolar.com/my-commissions.php?user_id=764&amp;payweek=2014-11-21" TargetMode="External"/><Relationship Id="rId1620" Type="http://schemas.openxmlformats.org/officeDocument/2006/relationships/hyperlink" Target="http://dev.dashboard.evolvesolar.com/my-commissions.php?user_id=268&amp;payweek=2014-11-07" TargetMode="External"/><Relationship Id="rId3378" Type="http://schemas.openxmlformats.org/officeDocument/2006/relationships/hyperlink" Target="http://dev.dashboard.evolvesolar.com/my-commissions.php?user_id=85&amp;payweek=2014-07-11" TargetMode="External"/><Relationship Id="rId3585" Type="http://schemas.openxmlformats.org/officeDocument/2006/relationships/hyperlink" Target="http://dev.dashboard.evolvesolar.com/my-commissions.php?user_id=160&amp;payweek=2014-06-20" TargetMode="External"/><Relationship Id="rId3792" Type="http://schemas.openxmlformats.org/officeDocument/2006/relationships/hyperlink" Target="http://dev.dashboard.evolvesolar.com/my-commissions.php?user_id=79&amp;payweek=2014-05-30" TargetMode="External"/><Relationship Id="rId299" Type="http://schemas.openxmlformats.org/officeDocument/2006/relationships/hyperlink" Target="http://dev.dashboard.evolvesolar.com/my-commissions.php?user_id=702&amp;payweek=2015-01-30" TargetMode="External"/><Relationship Id="rId2187" Type="http://schemas.openxmlformats.org/officeDocument/2006/relationships/hyperlink" Target="http://dev.dashboard.evolvesolar.com/my-commissions.php?user_id=343&amp;payweek=2014-10-06" TargetMode="External"/><Relationship Id="rId2394" Type="http://schemas.openxmlformats.org/officeDocument/2006/relationships/hyperlink" Target="http://dev.dashboard.evolvesolar.com/my-commissions.php?user_id=232&amp;payweek=2014-09-19" TargetMode="External"/><Relationship Id="rId3238" Type="http://schemas.openxmlformats.org/officeDocument/2006/relationships/hyperlink" Target="http://dev.dashboard.evolvesolar.com/my-commissions.php?user_id=133&amp;payweek=2014-07-25" TargetMode="External"/><Relationship Id="rId3445" Type="http://schemas.openxmlformats.org/officeDocument/2006/relationships/hyperlink" Target="http://dev.dashboard.evolvesolar.com/my-commissions.php?user_id=154&amp;payweek=2014-07-04" TargetMode="External"/><Relationship Id="rId3652" Type="http://schemas.openxmlformats.org/officeDocument/2006/relationships/hyperlink" Target="http://dev.dashboard.evolvesolar.com/my-commissions.php?user_id=104&amp;payweek=2014-06-13" TargetMode="External"/><Relationship Id="rId159" Type="http://schemas.openxmlformats.org/officeDocument/2006/relationships/hyperlink" Target="http://dev.dashboard.evolvesolar.com/my-commissions.php?user_id=656&amp;payweek=2015-02-06" TargetMode="External"/><Relationship Id="rId366" Type="http://schemas.openxmlformats.org/officeDocument/2006/relationships/hyperlink" Target="http://dev.dashboard.evolvesolar.com/my-commissions.php?user_id=248&amp;payweek=2015-01-23" TargetMode="External"/><Relationship Id="rId573" Type="http://schemas.openxmlformats.org/officeDocument/2006/relationships/hyperlink" Target="http://dev.dashboard.evolvesolar.com/my-commissions.php?user_id=422&amp;payweek=2015-01-09" TargetMode="External"/><Relationship Id="rId780" Type="http://schemas.openxmlformats.org/officeDocument/2006/relationships/hyperlink" Target="http://dev.dashboard.evolvesolar.com/my-commissions.php?user_id=211&amp;payweek=2014-12-26" TargetMode="External"/><Relationship Id="rId2047" Type="http://schemas.openxmlformats.org/officeDocument/2006/relationships/hyperlink" Target="http://dev.dashboard.evolvesolar.com/my-commissions.php?user_id=383&amp;payweek=2014-10-14" TargetMode="External"/><Relationship Id="rId2254" Type="http://schemas.openxmlformats.org/officeDocument/2006/relationships/hyperlink" Target="http://dev.dashboard.evolvesolar.com/my-commissions.php?user_id=626&amp;payweek=2014-10-03" TargetMode="External"/><Relationship Id="rId2461" Type="http://schemas.openxmlformats.org/officeDocument/2006/relationships/hyperlink" Target="http://dev.dashboard.evolvesolar.com/my-commissions.php?user_id=203&amp;payweek=2014-09-12" TargetMode="External"/><Relationship Id="rId3305" Type="http://schemas.openxmlformats.org/officeDocument/2006/relationships/hyperlink" Target="http://dev.dashboard.evolvesolar.com/my-commissions.php?user_id=27&amp;payweek=2014-07-18" TargetMode="External"/><Relationship Id="rId3512" Type="http://schemas.openxmlformats.org/officeDocument/2006/relationships/hyperlink" Target="http://dev.dashboard.evolvesolar.com/my-commissions.php?user_id=214&amp;payweek=2014-06-27" TargetMode="External"/><Relationship Id="rId226" Type="http://schemas.openxmlformats.org/officeDocument/2006/relationships/hyperlink" Target="http://dev.dashboard.evolvesolar.com/my-commissions.php?user_id=967&amp;payweek=2015-02-06" TargetMode="External"/><Relationship Id="rId433" Type="http://schemas.openxmlformats.org/officeDocument/2006/relationships/hyperlink" Target="http://dev.dashboard.evolvesolar.com/my-commissions.php?user_id=27&amp;payweek=2015-01-15" TargetMode="External"/><Relationship Id="rId1063" Type="http://schemas.openxmlformats.org/officeDocument/2006/relationships/hyperlink" Target="http://dev.dashboard.evolvesolar.com/my-commissions.php?user_id=593&amp;payweek=2014-12-12" TargetMode="External"/><Relationship Id="rId1270" Type="http://schemas.openxmlformats.org/officeDocument/2006/relationships/hyperlink" Target="http://dev.dashboard.evolvesolar.com/my-commissions.php?user_id=582&amp;payweek=2014-11-25" TargetMode="External"/><Relationship Id="rId2114" Type="http://schemas.openxmlformats.org/officeDocument/2006/relationships/hyperlink" Target="http://dev.dashboard.evolvesolar.com/my-commissions.php?user_id=430&amp;payweek=2014-10-10" TargetMode="External"/><Relationship Id="rId640" Type="http://schemas.openxmlformats.org/officeDocument/2006/relationships/hyperlink" Target="http://dev.dashboard.evolvesolar.com/my-commissions.php?user_id=37&amp;payweek=2015-01-06" TargetMode="External"/><Relationship Id="rId2321" Type="http://schemas.openxmlformats.org/officeDocument/2006/relationships/hyperlink" Target="http://dev.dashboard.evolvesolar.com/my-commissions.php?user_id=437&amp;payweek=2014-09-25" TargetMode="External"/><Relationship Id="rId4079" Type="http://schemas.openxmlformats.org/officeDocument/2006/relationships/hyperlink" Target="http://dev.dashboard.evolvesolar.com/my-commissions.php?user_id=41&amp;payweek=2014-03-14" TargetMode="External"/><Relationship Id="rId500" Type="http://schemas.openxmlformats.org/officeDocument/2006/relationships/hyperlink" Target="http://dev.dashboard.evolvesolar.com/my-commissions.php?user_id=735&amp;payweek=2015-01-15" TargetMode="External"/><Relationship Id="rId1130" Type="http://schemas.openxmlformats.org/officeDocument/2006/relationships/hyperlink" Target="http://dev.dashboard.evolvesolar.com/my-commissions.php?user_id=332&amp;payweek=2014-12-05" TargetMode="External"/><Relationship Id="rId1947" Type="http://schemas.openxmlformats.org/officeDocument/2006/relationships/hyperlink" Target="http://dev.dashboard.evolvesolar.com/my-commissions.php?user_id=719&amp;payweek=2014-10-20" TargetMode="External"/><Relationship Id="rId3095" Type="http://schemas.openxmlformats.org/officeDocument/2006/relationships/hyperlink" Target="http://dev.dashboard.evolvesolar.com/my-commissions.php?user_id=231&amp;payweek=2014-08-07" TargetMode="External"/><Relationship Id="rId1807" Type="http://schemas.openxmlformats.org/officeDocument/2006/relationships/hyperlink" Target="http://dev.dashboard.evolvesolar.com/my-commissions.php?user_id=656&amp;payweek=2014-10-31" TargetMode="External"/><Relationship Id="rId3162" Type="http://schemas.openxmlformats.org/officeDocument/2006/relationships/hyperlink" Target="http://dev.dashboard.evolvesolar.com/my-commissions.php?user_id=67&amp;payweek=2014-07-31" TargetMode="External"/><Relationship Id="rId4006" Type="http://schemas.openxmlformats.org/officeDocument/2006/relationships/hyperlink" Target="http://dev.dashboard.evolvesolar.com/my-commissions.php?user_id=38&amp;payweek=2014-04-17" TargetMode="External"/><Relationship Id="rId290" Type="http://schemas.openxmlformats.org/officeDocument/2006/relationships/hyperlink" Target="http://dev.dashboard.evolvesolar.com/my-commissions.php?user_id=659&amp;payweek=2015-01-30" TargetMode="External"/><Relationship Id="rId3022" Type="http://schemas.openxmlformats.org/officeDocument/2006/relationships/hyperlink" Target="http://dev.dashboard.evolvesolar.com/my-commissions.php?user_id=119&amp;payweek=2014-08-08" TargetMode="External"/><Relationship Id="rId150" Type="http://schemas.openxmlformats.org/officeDocument/2006/relationships/hyperlink" Target="http://dev.dashboard.evolvesolar.com/my-commissions.php?user_id=607&amp;payweek=2015-02-06" TargetMode="External"/><Relationship Id="rId3979" Type="http://schemas.openxmlformats.org/officeDocument/2006/relationships/hyperlink" Target="http://dev.dashboard.evolvesolar.com/my-commissions.php?user_id=41&amp;payweek=2014-04-24" TargetMode="External"/><Relationship Id="rId2788" Type="http://schemas.openxmlformats.org/officeDocument/2006/relationships/hyperlink" Target="http://dev.dashboard.evolvesolar.com/my-commissions.php?user_id=391&amp;payweek=2014-08-28" TargetMode="External"/><Relationship Id="rId2995" Type="http://schemas.openxmlformats.org/officeDocument/2006/relationships/hyperlink" Target="http://dev.dashboard.evolvesolar.com/my-commissions.php?user_id=304&amp;payweek=2014-08-14" TargetMode="External"/><Relationship Id="rId3839" Type="http://schemas.openxmlformats.org/officeDocument/2006/relationships/hyperlink" Target="http://dev.dashboard.evolvesolar.com/my-commissions.php?user_id=55&amp;payweek=2014-05-23" TargetMode="External"/><Relationship Id="rId967" Type="http://schemas.openxmlformats.org/officeDocument/2006/relationships/hyperlink" Target="http://dev.dashboard.evolvesolar.com/my-commissions.php?user_id=392&amp;payweek=2014-12-19" TargetMode="External"/><Relationship Id="rId1597" Type="http://schemas.openxmlformats.org/officeDocument/2006/relationships/hyperlink" Target="http://dev.dashboard.evolvesolar.com/my-commissions.php?user_id=41&amp;payweek=2014-11-07" TargetMode="External"/><Relationship Id="rId2648" Type="http://schemas.openxmlformats.org/officeDocument/2006/relationships/hyperlink" Target="http://dev.dashboard.evolvesolar.com/my-commissions.php?user_id=233&amp;payweek=2014-09-04" TargetMode="External"/><Relationship Id="rId2855" Type="http://schemas.openxmlformats.org/officeDocument/2006/relationships/hyperlink" Target="http://dev.dashboard.evolvesolar.com/my-commissions.php?user_id=254&amp;payweek=2014-08-22" TargetMode="External"/><Relationship Id="rId3906" Type="http://schemas.openxmlformats.org/officeDocument/2006/relationships/hyperlink" Target="http://dev.dashboard.evolvesolar.com/my-commissions.php?user_id=117&amp;payweek=2014-05-16" TargetMode="External"/><Relationship Id="rId96" Type="http://schemas.openxmlformats.org/officeDocument/2006/relationships/hyperlink" Target="http://dev.dashboard.evolvesolar.com/my-commissions.php?user_id=355&amp;payweek=2015-02-06" TargetMode="External"/><Relationship Id="rId827" Type="http://schemas.openxmlformats.org/officeDocument/2006/relationships/hyperlink" Target="http://dev.dashboard.evolvesolar.com/my-commissions.php?user_id=576&amp;payweek=2014-12-26" TargetMode="External"/><Relationship Id="rId1457" Type="http://schemas.openxmlformats.org/officeDocument/2006/relationships/hyperlink" Target="http://dev.dashboard.evolvesolar.com/my-commissions.php?user_id=184&amp;payweek=2014-11-14" TargetMode="External"/><Relationship Id="rId1664" Type="http://schemas.openxmlformats.org/officeDocument/2006/relationships/hyperlink" Target="http://dev.dashboard.evolvesolar.com/my-commissions.php?user_id=586&amp;payweek=2014-11-07" TargetMode="External"/><Relationship Id="rId1871" Type="http://schemas.openxmlformats.org/officeDocument/2006/relationships/hyperlink" Target="http://dev.dashboard.evolvesolar.com/my-commissions.php?user_id=551&amp;payweek=2014-10-24" TargetMode="External"/><Relationship Id="rId2508" Type="http://schemas.openxmlformats.org/officeDocument/2006/relationships/hyperlink" Target="http://dev.dashboard.evolvesolar.com/my-commissions.php?user_id=373&amp;payweek=2014-09-12" TargetMode="External"/><Relationship Id="rId2715" Type="http://schemas.openxmlformats.org/officeDocument/2006/relationships/hyperlink" Target="http://dev.dashboard.evolvesolar.com/my-commissions.php?user_id=326&amp;payweek=2014-08-29" TargetMode="External"/><Relationship Id="rId2922" Type="http://schemas.openxmlformats.org/officeDocument/2006/relationships/hyperlink" Target="http://dev.dashboard.evolvesolar.com/my-commissions.php?user_id=28&amp;payweek=2014-08-15" TargetMode="External"/><Relationship Id="rId4070" Type="http://schemas.openxmlformats.org/officeDocument/2006/relationships/hyperlink" Target="http://dev.dashboard.evolvesolar.com/my-commissions.php?user_id=257&amp;payweek=2014-03-28" TargetMode="External"/><Relationship Id="rId1317" Type="http://schemas.openxmlformats.org/officeDocument/2006/relationships/hyperlink" Target="http://dev.dashboard.evolvesolar.com/my-commissions.php?user_id=63&amp;payweek=2014-11-21" TargetMode="External"/><Relationship Id="rId1524" Type="http://schemas.openxmlformats.org/officeDocument/2006/relationships/hyperlink" Target="http://dev.dashboard.evolvesolar.com/my-commissions.php?user_id=626&amp;payweek=2014-11-14" TargetMode="External"/><Relationship Id="rId1731" Type="http://schemas.openxmlformats.org/officeDocument/2006/relationships/hyperlink" Target="http://dev.dashboard.evolvesolar.com/my-commissions.php?user_id=248&amp;payweek=2014-10-31" TargetMode="External"/><Relationship Id="rId23" Type="http://schemas.openxmlformats.org/officeDocument/2006/relationships/hyperlink" Target="http://dev.dashboard.evolvesolar.com/my-commissions.php?user_id=109&amp;payweek=2015-02-06" TargetMode="External"/><Relationship Id="rId3489" Type="http://schemas.openxmlformats.org/officeDocument/2006/relationships/hyperlink" Target="http://dev.dashboard.evolvesolar.com/my-commissions.php?user_id=94&amp;payweek=2014-06-27" TargetMode="External"/><Relationship Id="rId3696" Type="http://schemas.openxmlformats.org/officeDocument/2006/relationships/hyperlink" Target="http://dev.dashboard.evolvesolar.com/my-commissions.php?user_id=163&amp;payweek=2014-06-13" TargetMode="External"/><Relationship Id="rId2298" Type="http://schemas.openxmlformats.org/officeDocument/2006/relationships/hyperlink" Target="http://dev.dashboard.evolvesolar.com/my-commissions.php?user_id=295&amp;payweek=2014-09-25" TargetMode="External"/><Relationship Id="rId3349" Type="http://schemas.openxmlformats.org/officeDocument/2006/relationships/hyperlink" Target="http://dev.dashboard.evolvesolar.com/my-commissions.php?user_id=232&amp;payweek=2014-07-18" TargetMode="External"/><Relationship Id="rId3556" Type="http://schemas.openxmlformats.org/officeDocument/2006/relationships/hyperlink" Target="http://dev.dashboard.evolvesolar.com/my-commissions.php?user_id=133&amp;payweek=2014-06-20" TargetMode="External"/><Relationship Id="rId477" Type="http://schemas.openxmlformats.org/officeDocument/2006/relationships/hyperlink" Target="http://dev.dashboard.evolvesolar.com/my-commissions.php?user_id=626&amp;payweek=2015-01-15" TargetMode="External"/><Relationship Id="rId684" Type="http://schemas.openxmlformats.org/officeDocument/2006/relationships/hyperlink" Target="http://dev.dashboard.evolvesolar.com/my-commissions.php?user_id=282&amp;payweek=2014-12-31" TargetMode="External"/><Relationship Id="rId2158" Type="http://schemas.openxmlformats.org/officeDocument/2006/relationships/hyperlink" Target="http://dev.dashboard.evolvesolar.com/my-commissions.php?user_id=652&amp;payweek=2014-10-07" TargetMode="External"/><Relationship Id="rId2365" Type="http://schemas.openxmlformats.org/officeDocument/2006/relationships/hyperlink" Target="http://dev.dashboard.evolvesolar.com/my-commissions.php?user_id=255&amp;payweek=2014-09-22" TargetMode="External"/><Relationship Id="rId3209" Type="http://schemas.openxmlformats.org/officeDocument/2006/relationships/hyperlink" Target="http://dev.dashboard.evolvesolar.com/my-commissions.php?user_id=250&amp;payweek=2014-07-31" TargetMode="External"/><Relationship Id="rId3763" Type="http://schemas.openxmlformats.org/officeDocument/2006/relationships/hyperlink" Target="http://dev.dashboard.evolvesolar.com/my-commissions.php?user_id=138&amp;payweek=2014-06-06" TargetMode="External"/><Relationship Id="rId3970" Type="http://schemas.openxmlformats.org/officeDocument/2006/relationships/hyperlink" Target="http://dev.dashboard.evolvesolar.com/my-commissions.php?user_id=79&amp;payweek=2014-04-25" TargetMode="External"/><Relationship Id="rId337" Type="http://schemas.openxmlformats.org/officeDocument/2006/relationships/hyperlink" Target="http://dev.dashboard.evolvesolar.com/my-commissions.php?user_id=941&amp;payweek=2015-01-30" TargetMode="External"/><Relationship Id="rId891" Type="http://schemas.openxmlformats.org/officeDocument/2006/relationships/hyperlink" Target="http://dev.dashboard.evolvesolar.com/my-commissions.php?user_id=28&amp;payweek=2014-12-22" TargetMode="External"/><Relationship Id="rId2018" Type="http://schemas.openxmlformats.org/officeDocument/2006/relationships/hyperlink" Target="http://dev.dashboard.evolvesolar.com/my-commissions.php?user_id=474&amp;payweek=2014-10-17" TargetMode="External"/><Relationship Id="rId2572" Type="http://schemas.openxmlformats.org/officeDocument/2006/relationships/hyperlink" Target="http://dev.dashboard.evolvesolar.com/my-commissions.php?user_id=27&amp;payweek=2014-09-09" TargetMode="External"/><Relationship Id="rId3416" Type="http://schemas.openxmlformats.org/officeDocument/2006/relationships/hyperlink" Target="http://dev.dashboard.evolvesolar.com/my-commissions.php?user_id=206&amp;payweek=2014-07-11" TargetMode="External"/><Relationship Id="rId3623" Type="http://schemas.openxmlformats.org/officeDocument/2006/relationships/hyperlink" Target="http://dev.dashboard.evolvesolar.com/my-commissions.php?user_id=38&amp;payweek=2014-06-13" TargetMode="External"/><Relationship Id="rId3830" Type="http://schemas.openxmlformats.org/officeDocument/2006/relationships/hyperlink" Target="http://dev.dashboard.evolvesolar.com/my-commissions.php?user_id=180&amp;payweek=2014-05-30" TargetMode="External"/><Relationship Id="rId544" Type="http://schemas.openxmlformats.org/officeDocument/2006/relationships/hyperlink" Target="http://dev.dashboard.evolvesolar.com/my-commissions.php?user_id=268&amp;payweek=2015-01-09" TargetMode="External"/><Relationship Id="rId751" Type="http://schemas.openxmlformats.org/officeDocument/2006/relationships/hyperlink" Target="http://dev.dashboard.evolvesolar.com/my-commissions.php?user_id=37&amp;payweek=2014-12-26" TargetMode="External"/><Relationship Id="rId1174" Type="http://schemas.openxmlformats.org/officeDocument/2006/relationships/hyperlink" Target="http://dev.dashboard.evolvesolar.com/my-commissions.php?user_id=702&amp;payweek=2014-12-05" TargetMode="External"/><Relationship Id="rId1381" Type="http://schemas.openxmlformats.org/officeDocument/2006/relationships/hyperlink" Target="http://dev.dashboard.evolvesolar.com/my-commissions.php?user_id=626&amp;payweek=2014-11-21" TargetMode="External"/><Relationship Id="rId2225" Type="http://schemas.openxmlformats.org/officeDocument/2006/relationships/hyperlink" Target="http://dev.dashboard.evolvesolar.com/my-commissions.php?user_id=37&amp;payweek=2014-10-03" TargetMode="External"/><Relationship Id="rId2432" Type="http://schemas.openxmlformats.org/officeDocument/2006/relationships/hyperlink" Target="http://dev.dashboard.evolvesolar.com/my-commissions.php?user_id=487&amp;payweek=2014-09-19" TargetMode="External"/><Relationship Id="rId404" Type="http://schemas.openxmlformats.org/officeDocument/2006/relationships/hyperlink" Target="http://dev.dashboard.evolvesolar.com/my-commissions.php?user_id=656&amp;payweek=2015-01-23" TargetMode="External"/><Relationship Id="rId611" Type="http://schemas.openxmlformats.org/officeDocument/2006/relationships/hyperlink" Target="http://dev.dashboard.evolvesolar.com/my-commissions.php?user_id=696&amp;payweek=2015-01-09" TargetMode="External"/><Relationship Id="rId1034" Type="http://schemas.openxmlformats.org/officeDocument/2006/relationships/hyperlink" Target="http://dev.dashboard.evolvesolar.com/my-commissions.php?user_id=322&amp;payweek=2014-12-12" TargetMode="External"/><Relationship Id="rId1241" Type="http://schemas.openxmlformats.org/officeDocument/2006/relationships/hyperlink" Target="http://dev.dashboard.evolvesolar.com/my-commissions.php?user_id=834&amp;payweek=2014-11-28" TargetMode="External"/><Relationship Id="rId1101" Type="http://schemas.openxmlformats.org/officeDocument/2006/relationships/hyperlink" Target="http://dev.dashboard.evolvesolar.com/my-commissions.php?user_id=890&amp;payweek=2014-12-12" TargetMode="External"/><Relationship Id="rId3066" Type="http://schemas.openxmlformats.org/officeDocument/2006/relationships/hyperlink" Target="http://dev.dashboard.evolvesolar.com/my-commissions.php?user_id=389&amp;payweek=2014-08-08" TargetMode="External"/><Relationship Id="rId3273" Type="http://schemas.openxmlformats.org/officeDocument/2006/relationships/hyperlink" Target="http://dev.dashboard.evolvesolar.com/my-commissions.php?user_id=234&amp;payweek=2014-07-25" TargetMode="External"/><Relationship Id="rId3480" Type="http://schemas.openxmlformats.org/officeDocument/2006/relationships/hyperlink" Target="http://dev.dashboard.evolvesolar.com/my-commissions.php?user_id=41&amp;payweek=2014-06-27" TargetMode="External"/><Relationship Id="rId194" Type="http://schemas.openxmlformats.org/officeDocument/2006/relationships/hyperlink" Target="http://dev.dashboard.evolvesolar.com/my-commissions.php?user_id=890&amp;payweek=2015-02-06" TargetMode="External"/><Relationship Id="rId1918" Type="http://schemas.openxmlformats.org/officeDocument/2006/relationships/hyperlink" Target="http://dev.dashboard.evolvesolar.com/my-commissions.php?user_id=705&amp;payweek=2014-10-24" TargetMode="External"/><Relationship Id="rId2082" Type="http://schemas.openxmlformats.org/officeDocument/2006/relationships/hyperlink" Target="http://dev.dashboard.evolvesolar.com/my-commissions.php?user_id=268&amp;payweek=2014-10-10" TargetMode="External"/><Relationship Id="rId3133" Type="http://schemas.openxmlformats.org/officeDocument/2006/relationships/hyperlink" Target="http://dev.dashboard.evolvesolar.com/my-commissions.php?user_id=99&amp;payweek=2014-08-02" TargetMode="External"/><Relationship Id="rId261" Type="http://schemas.openxmlformats.org/officeDocument/2006/relationships/hyperlink" Target="http://dev.dashboard.evolvesolar.com/my-commissions.php?user_id=332&amp;payweek=2015-01-30" TargetMode="External"/><Relationship Id="rId3340" Type="http://schemas.openxmlformats.org/officeDocument/2006/relationships/hyperlink" Target="http://dev.dashboard.evolvesolar.com/my-commissions.php?user_id=218&amp;payweek=2014-07-18" TargetMode="External"/><Relationship Id="rId2899" Type="http://schemas.openxmlformats.org/officeDocument/2006/relationships/hyperlink" Target="http://dev.dashboard.evolvesolar.com/my-commissions.php?user_id=415&amp;payweek=2014-08-22" TargetMode="External"/><Relationship Id="rId3200" Type="http://schemas.openxmlformats.org/officeDocument/2006/relationships/hyperlink" Target="http://dev.dashboard.evolvesolar.com/my-commissions.php?user_id=232&amp;payweek=2014-07-31" TargetMode="External"/><Relationship Id="rId121" Type="http://schemas.openxmlformats.org/officeDocument/2006/relationships/hyperlink" Target="http://dev.dashboard.evolvesolar.com/my-commissions.php?user_id=464&amp;payweek=2015-02-06" TargetMode="External"/><Relationship Id="rId2759" Type="http://schemas.openxmlformats.org/officeDocument/2006/relationships/hyperlink" Target="http://dev.dashboard.evolvesolar.com/my-commissions.php?user_id=214&amp;payweek=2014-08-28" TargetMode="External"/><Relationship Id="rId2966" Type="http://schemas.openxmlformats.org/officeDocument/2006/relationships/hyperlink" Target="http://dev.dashboard.evolvesolar.com/my-commissions.php?user_id=94&amp;payweek=2014-08-14" TargetMode="External"/><Relationship Id="rId938" Type="http://schemas.openxmlformats.org/officeDocument/2006/relationships/hyperlink" Target="http://dev.dashboard.evolvesolar.com/my-commissions.php?user_id=715&amp;payweek=2014-12-22" TargetMode="External"/><Relationship Id="rId1568" Type="http://schemas.openxmlformats.org/officeDocument/2006/relationships/hyperlink" Target="http://dev.dashboard.evolvesolar.com/my-commissions.php?user_id=764&amp;payweek=2014-11-14" TargetMode="External"/><Relationship Id="rId1775" Type="http://schemas.openxmlformats.org/officeDocument/2006/relationships/hyperlink" Target="http://dev.dashboard.evolvesolar.com/my-commissions.php?user_id=475&amp;payweek=2014-10-31" TargetMode="External"/><Relationship Id="rId2619" Type="http://schemas.openxmlformats.org/officeDocument/2006/relationships/hyperlink" Target="http://dev.dashboard.evolvesolar.com/my-commissions.php?user_id=487&amp;payweek=2014-09-05" TargetMode="External"/><Relationship Id="rId2826" Type="http://schemas.openxmlformats.org/officeDocument/2006/relationships/hyperlink" Target="http://dev.dashboard.evolvesolar.com/my-commissions.php?user_id=218&amp;payweek=2014-08-22" TargetMode="External"/><Relationship Id="rId67" Type="http://schemas.openxmlformats.org/officeDocument/2006/relationships/hyperlink" Target="http://dev.dashboard.evolvesolar.com/my-commissions.php?user_id=248&amp;payweek=2015-02-06" TargetMode="External"/><Relationship Id="rId1428" Type="http://schemas.openxmlformats.org/officeDocument/2006/relationships/hyperlink" Target="http://dev.dashboard.evolvesolar.com/my-commissions.php?user_id=750&amp;payweek=2014-11-19" TargetMode="External"/><Relationship Id="rId1635" Type="http://schemas.openxmlformats.org/officeDocument/2006/relationships/hyperlink" Target="http://dev.dashboard.evolvesolar.com/my-commissions.php?user_id=389&amp;payweek=2014-11-07" TargetMode="External"/><Relationship Id="rId1982" Type="http://schemas.openxmlformats.org/officeDocument/2006/relationships/hyperlink" Target="http://dev.dashboard.evolvesolar.com/my-commissions.php?user_id=248&amp;payweek=2014-10-17" TargetMode="External"/><Relationship Id="rId4041" Type="http://schemas.openxmlformats.org/officeDocument/2006/relationships/hyperlink" Target="http://dev.dashboard.evolvesolar.com/my-commissions.php?user_id=257&amp;payweek=2014-04-11" TargetMode="External"/><Relationship Id="rId1842" Type="http://schemas.openxmlformats.org/officeDocument/2006/relationships/hyperlink" Target="http://dev.dashboard.evolvesolar.com/my-commissions.php?user_id=261&amp;payweek=2014-10-24" TargetMode="External"/><Relationship Id="rId1702" Type="http://schemas.openxmlformats.org/officeDocument/2006/relationships/hyperlink" Target="http://dev.dashboard.evolvesolar.com/my-commissions.php?user_id=708&amp;payweek=2014-11-07" TargetMode="External"/><Relationship Id="rId3667" Type="http://schemas.openxmlformats.org/officeDocument/2006/relationships/hyperlink" Target="http://dev.dashboard.evolvesolar.com/my-commissions.php?user_id=130&amp;payweek=2014-06-13" TargetMode="External"/><Relationship Id="rId3874" Type="http://schemas.openxmlformats.org/officeDocument/2006/relationships/hyperlink" Target="http://dev.dashboard.evolvesolar.com/my-commissions.php?user_id=142&amp;payweek=2014-05-23" TargetMode="External"/><Relationship Id="rId588" Type="http://schemas.openxmlformats.org/officeDocument/2006/relationships/hyperlink" Target="http://dev.dashboard.evolvesolar.com/my-commissions.php?user_id=606&amp;payweek=2015-01-09" TargetMode="External"/><Relationship Id="rId795" Type="http://schemas.openxmlformats.org/officeDocument/2006/relationships/hyperlink" Target="http://dev.dashboard.evolvesolar.com/my-commissions.php?user_id=340&amp;payweek=2014-12-26" TargetMode="External"/><Relationship Id="rId2269" Type="http://schemas.openxmlformats.org/officeDocument/2006/relationships/hyperlink" Target="http://dev.dashboard.evolvesolar.com/my-commissions.php?user_id=268&amp;payweek=2014-09-26" TargetMode="External"/><Relationship Id="rId2476" Type="http://schemas.openxmlformats.org/officeDocument/2006/relationships/hyperlink" Target="http://dev.dashboard.evolvesolar.com/my-commissions.php?user_id=254&amp;payweek=2014-09-12" TargetMode="External"/><Relationship Id="rId2683" Type="http://schemas.openxmlformats.org/officeDocument/2006/relationships/hyperlink" Target="http://dev.dashboard.evolvesolar.com/my-commissions.php?user_id=41&amp;payweek=2014-08-29" TargetMode="External"/><Relationship Id="rId2890" Type="http://schemas.openxmlformats.org/officeDocument/2006/relationships/hyperlink" Target="http://dev.dashboard.evolvesolar.com/my-commissions.php?user_id=397&amp;payweek=2014-08-22" TargetMode="External"/><Relationship Id="rId3527" Type="http://schemas.openxmlformats.org/officeDocument/2006/relationships/hyperlink" Target="http://dev.dashboard.evolvesolar.com/my-commissions.php?user_id=50&amp;payweek=2014-06-20" TargetMode="External"/><Relationship Id="rId3734" Type="http://schemas.openxmlformats.org/officeDocument/2006/relationships/hyperlink" Target="http://dev.dashboard.evolvesolar.com/my-commissions.php?user_id=100&amp;payweek=2014-06-06" TargetMode="External"/><Relationship Id="rId3941" Type="http://schemas.openxmlformats.org/officeDocument/2006/relationships/hyperlink" Target="http://dev.dashboard.evolvesolar.com/my-commissions.php?user_id=41&amp;payweek=2014-05-03" TargetMode="External"/><Relationship Id="rId448" Type="http://schemas.openxmlformats.org/officeDocument/2006/relationships/hyperlink" Target="http://dev.dashboard.evolvesolar.com/my-commissions.php?user_id=161&amp;payweek=2015-01-15" TargetMode="External"/><Relationship Id="rId655" Type="http://schemas.openxmlformats.org/officeDocument/2006/relationships/hyperlink" Target="http://dev.dashboard.evolvesolar.com/my-commissions.php?user_id=85&amp;payweek=2014-12-31" TargetMode="External"/><Relationship Id="rId862" Type="http://schemas.openxmlformats.org/officeDocument/2006/relationships/hyperlink" Target="http://dev.dashboard.evolvesolar.com/my-commissions.php?user_id=687&amp;payweek=2014-12-26" TargetMode="External"/><Relationship Id="rId1078" Type="http://schemas.openxmlformats.org/officeDocument/2006/relationships/hyperlink" Target="http://dev.dashboard.evolvesolar.com/my-commissions.php?user_id=676&amp;payweek=2014-12-12" TargetMode="External"/><Relationship Id="rId1285" Type="http://schemas.openxmlformats.org/officeDocument/2006/relationships/hyperlink" Target="http://dev.dashboard.evolvesolar.com/my-commissions.php?user_id=708&amp;payweek=2014-11-25" TargetMode="External"/><Relationship Id="rId1492" Type="http://schemas.openxmlformats.org/officeDocument/2006/relationships/hyperlink" Target="http://dev.dashboard.evolvesolar.com/my-commissions.php?user_id=334&amp;payweek=2014-11-14" TargetMode="External"/><Relationship Id="rId2129" Type="http://schemas.openxmlformats.org/officeDocument/2006/relationships/hyperlink" Target="http://dev.dashboard.evolvesolar.com/my-commissions.php?user_id=590&amp;payweek=2014-10-10" TargetMode="External"/><Relationship Id="rId2336" Type="http://schemas.openxmlformats.org/officeDocument/2006/relationships/hyperlink" Target="http://dev.dashboard.evolvesolar.com/my-commissions.php?user_id=539&amp;payweek=2014-09-25" TargetMode="External"/><Relationship Id="rId2543" Type="http://schemas.openxmlformats.org/officeDocument/2006/relationships/hyperlink" Target="http://dev.dashboard.evolvesolar.com/my-commissions.php?user_id=498&amp;payweek=2014-09-12" TargetMode="External"/><Relationship Id="rId2750" Type="http://schemas.openxmlformats.org/officeDocument/2006/relationships/hyperlink" Target="http://dev.dashboard.evolvesolar.com/my-commissions.php?user_id=104&amp;payweek=2014-08-28" TargetMode="External"/><Relationship Id="rId3801" Type="http://schemas.openxmlformats.org/officeDocument/2006/relationships/hyperlink" Target="http://dev.dashboard.evolvesolar.com/my-commissions.php?user_id=100&amp;payweek=2014-05-30" TargetMode="External"/><Relationship Id="rId308" Type="http://schemas.openxmlformats.org/officeDocument/2006/relationships/hyperlink" Target="http://dev.dashboard.evolvesolar.com/my-commissions.php?user_id=750&amp;payweek=2015-01-30" TargetMode="External"/><Relationship Id="rId515" Type="http://schemas.openxmlformats.org/officeDocument/2006/relationships/hyperlink" Target="http://dev.dashboard.evolvesolar.com/my-commissions.php?user_id=898&amp;payweek=2015-01-12" TargetMode="External"/><Relationship Id="rId722" Type="http://schemas.openxmlformats.org/officeDocument/2006/relationships/hyperlink" Target="http://dev.dashboard.evolvesolar.com/my-commissions.php?user_id=604&amp;payweek=2014-12-31" TargetMode="External"/><Relationship Id="rId1145" Type="http://schemas.openxmlformats.org/officeDocument/2006/relationships/hyperlink" Target="http://dev.dashboard.evolvesolar.com/my-commissions.php?user_id=598&amp;payweek=2014-12-05" TargetMode="External"/><Relationship Id="rId1352" Type="http://schemas.openxmlformats.org/officeDocument/2006/relationships/hyperlink" Target="http://dev.dashboard.evolvesolar.com/my-commissions.php?user_id=358&amp;payweek=2014-11-21" TargetMode="External"/><Relationship Id="rId2403" Type="http://schemas.openxmlformats.org/officeDocument/2006/relationships/hyperlink" Target="http://dev.dashboard.evolvesolar.com/my-commissions.php?user_id=269&amp;payweek=2014-09-19" TargetMode="External"/><Relationship Id="rId1005" Type="http://schemas.openxmlformats.org/officeDocument/2006/relationships/hyperlink" Target="http://dev.dashboard.evolvesolar.com/my-commissions.php?user_id=109&amp;payweek=2014-12-12" TargetMode="External"/><Relationship Id="rId1212" Type="http://schemas.openxmlformats.org/officeDocument/2006/relationships/hyperlink" Target="http://dev.dashboard.evolvesolar.com/my-commissions.php?user_id=185&amp;payweek=2014-11-28" TargetMode="External"/><Relationship Id="rId2610" Type="http://schemas.openxmlformats.org/officeDocument/2006/relationships/hyperlink" Target="http://dev.dashboard.evolvesolar.com/my-commissions.php?user_id=373&amp;payweek=2014-09-05" TargetMode="External"/><Relationship Id="rId3177" Type="http://schemas.openxmlformats.org/officeDocument/2006/relationships/hyperlink" Target="http://dev.dashboard.evolvesolar.com/my-commissions.php?user_id=179&amp;payweek=2014-07-31" TargetMode="External"/><Relationship Id="rId3037" Type="http://schemas.openxmlformats.org/officeDocument/2006/relationships/hyperlink" Target="http://dev.dashboard.evolvesolar.com/my-commissions.php?user_id=231&amp;payweek=2014-08-08" TargetMode="External"/><Relationship Id="rId3384" Type="http://schemas.openxmlformats.org/officeDocument/2006/relationships/hyperlink" Target="http://dev.dashboard.evolvesolar.com/my-commissions.php?user_id=104&amp;payweek=2014-07-11" TargetMode="External"/><Relationship Id="rId3591" Type="http://schemas.openxmlformats.org/officeDocument/2006/relationships/hyperlink" Target="http://dev.dashboard.evolvesolar.com/my-commissions.php?user_id=164&amp;payweek=2014-06-20" TargetMode="External"/><Relationship Id="rId2193" Type="http://schemas.openxmlformats.org/officeDocument/2006/relationships/hyperlink" Target="http://dev.dashboard.evolvesolar.com/my-commissions.php?user_id=383&amp;payweek=2014-10-06" TargetMode="External"/><Relationship Id="rId3244" Type="http://schemas.openxmlformats.org/officeDocument/2006/relationships/hyperlink" Target="http://dev.dashboard.evolvesolar.com/my-commissions.php?user_id=143&amp;payweek=2014-07-25" TargetMode="External"/><Relationship Id="rId3451" Type="http://schemas.openxmlformats.org/officeDocument/2006/relationships/hyperlink" Target="http://dev.dashboard.evolvesolar.com/my-commissions.php?user_id=202&amp;payweek=2014-07-04" TargetMode="External"/><Relationship Id="rId165" Type="http://schemas.openxmlformats.org/officeDocument/2006/relationships/hyperlink" Target="http://dev.dashboard.evolvesolar.com/my-commissions.php?user_id=660&amp;payweek=2015-02-06" TargetMode="External"/><Relationship Id="rId372" Type="http://schemas.openxmlformats.org/officeDocument/2006/relationships/hyperlink" Target="http://dev.dashboard.evolvesolar.com/my-commissions.php?user_id=268&amp;payweek=2015-01-23" TargetMode="External"/><Relationship Id="rId2053" Type="http://schemas.openxmlformats.org/officeDocument/2006/relationships/hyperlink" Target="http://dev.dashboard.evolvesolar.com/my-commissions.php?user_id=474&amp;payweek=2014-10-14" TargetMode="External"/><Relationship Id="rId2260" Type="http://schemas.openxmlformats.org/officeDocument/2006/relationships/hyperlink" Target="http://dev.dashboard.evolvesolar.com/my-commissions.php?user_id=202&amp;payweek=2014-09-29" TargetMode="External"/><Relationship Id="rId3104" Type="http://schemas.openxmlformats.org/officeDocument/2006/relationships/hyperlink" Target="http://dev.dashboard.evolvesolar.com/my-commissions.php?user_id=237&amp;payweek=2014-08-07" TargetMode="External"/><Relationship Id="rId3311" Type="http://schemas.openxmlformats.org/officeDocument/2006/relationships/hyperlink" Target="http://dev.dashboard.evolvesolar.com/my-commissions.php?user_id=85&amp;payweek=2014-07-18" TargetMode="External"/><Relationship Id="rId232" Type="http://schemas.openxmlformats.org/officeDocument/2006/relationships/hyperlink" Target="http://dev.dashboard.evolvesolar.com/my-commissions.php?user_id=975&amp;payweek=2015-02-06" TargetMode="External"/><Relationship Id="rId2120" Type="http://schemas.openxmlformats.org/officeDocument/2006/relationships/hyperlink" Target="http://dev.dashboard.evolvesolar.com/my-commissions.php?user_id=549&amp;payweek=2014-10-10" TargetMode="External"/><Relationship Id="rId1679" Type="http://schemas.openxmlformats.org/officeDocument/2006/relationships/hyperlink" Target="http://dev.dashboard.evolvesolar.com/my-commissions.php?user_id=646&amp;payweek=2014-11-07" TargetMode="External"/><Relationship Id="rId4085" Type="http://schemas.openxmlformats.org/officeDocument/2006/relationships/hyperlink" Target="http://dev.dashboard.evolvesolar.com/my-commissions.php?user_id=110&amp;payweek=2014-03-14" TargetMode="External"/><Relationship Id="rId1886" Type="http://schemas.openxmlformats.org/officeDocument/2006/relationships/hyperlink" Target="http://dev.dashboard.evolvesolar.com/my-commissions.php?user_id=594&amp;payweek=2014-10-24" TargetMode="External"/><Relationship Id="rId2937" Type="http://schemas.openxmlformats.org/officeDocument/2006/relationships/hyperlink" Target="http://dev.dashboard.evolvesolar.com/my-commissions.php?user_id=140&amp;payweek=2014-08-15" TargetMode="External"/><Relationship Id="rId909" Type="http://schemas.openxmlformats.org/officeDocument/2006/relationships/hyperlink" Target="http://dev.dashboard.evolvesolar.com/my-commissions.php?user_id=329&amp;payweek=2014-12-22" TargetMode="External"/><Relationship Id="rId1539" Type="http://schemas.openxmlformats.org/officeDocument/2006/relationships/hyperlink" Target="http://dev.dashboard.evolvesolar.com/my-commissions.php?user_id=690&amp;payweek=2014-11-14" TargetMode="External"/><Relationship Id="rId1746" Type="http://schemas.openxmlformats.org/officeDocument/2006/relationships/hyperlink" Target="http://dev.dashboard.evolvesolar.com/my-commissions.php?user_id=321&amp;payweek=2014-10-31" TargetMode="External"/><Relationship Id="rId1953" Type="http://schemas.openxmlformats.org/officeDocument/2006/relationships/hyperlink" Target="http://dev.dashboard.evolvesolar.com/my-commissions.php?user_id=37&amp;payweek=2014-10-17" TargetMode="External"/><Relationship Id="rId38" Type="http://schemas.openxmlformats.org/officeDocument/2006/relationships/hyperlink" Target="http://dev.dashboard.evolvesolar.com/my-commissions.php?user_id=138&amp;payweek=2015-02-06" TargetMode="External"/><Relationship Id="rId1606" Type="http://schemas.openxmlformats.org/officeDocument/2006/relationships/hyperlink" Target="http://dev.dashboard.evolvesolar.com/my-commissions.php?user_id=133&amp;payweek=2014-11-07" TargetMode="External"/><Relationship Id="rId1813" Type="http://schemas.openxmlformats.org/officeDocument/2006/relationships/hyperlink" Target="http://dev.dashboard.evolvesolar.com/my-commissions.php?user_id=679&amp;payweek=2014-10-31" TargetMode="External"/><Relationship Id="rId4012" Type="http://schemas.openxmlformats.org/officeDocument/2006/relationships/hyperlink" Target="http://dev.dashboard.evolvesolar.com/my-commissions.php?user_id=88&amp;payweek=2014-04-17" TargetMode="External"/><Relationship Id="rId3778" Type="http://schemas.openxmlformats.org/officeDocument/2006/relationships/hyperlink" Target="http://dev.dashboard.evolvesolar.com/my-commissions.php?user_id=175&amp;payweek=2014-06-06" TargetMode="External"/><Relationship Id="rId3985" Type="http://schemas.openxmlformats.org/officeDocument/2006/relationships/hyperlink" Target="http://dev.dashboard.evolvesolar.com/my-commissions.php?user_id=85&amp;payweek=2014-04-24" TargetMode="External"/><Relationship Id="rId699" Type="http://schemas.openxmlformats.org/officeDocument/2006/relationships/hyperlink" Target="http://dev.dashboard.evolvesolar.com/my-commissions.php?user_id=405&amp;payweek=2014-12-31" TargetMode="External"/><Relationship Id="rId2587" Type="http://schemas.openxmlformats.org/officeDocument/2006/relationships/hyperlink" Target="http://dev.dashboard.evolvesolar.com/my-commissions.php?user_id=41&amp;payweek=2014-09-05" TargetMode="External"/><Relationship Id="rId2794" Type="http://schemas.openxmlformats.org/officeDocument/2006/relationships/hyperlink" Target="http://dev.dashboard.evolvesolar.com/my-commissions.php?user_id=46&amp;payweek=2014-08-25" TargetMode="External"/><Relationship Id="rId3638" Type="http://schemas.openxmlformats.org/officeDocument/2006/relationships/hyperlink" Target="http://dev.dashboard.evolvesolar.com/my-commissions.php?user_id=63&amp;payweek=2014-06-13" TargetMode="External"/><Relationship Id="rId3845" Type="http://schemas.openxmlformats.org/officeDocument/2006/relationships/hyperlink" Target="http://dev.dashboard.evolvesolar.com/my-commissions.php?user_id=84&amp;payweek=2014-05-23" TargetMode="External"/><Relationship Id="rId559" Type="http://schemas.openxmlformats.org/officeDocument/2006/relationships/hyperlink" Target="http://dev.dashboard.evolvesolar.com/my-commissions.php?user_id=358&amp;payweek=2015-01-09" TargetMode="External"/><Relationship Id="rId766" Type="http://schemas.openxmlformats.org/officeDocument/2006/relationships/hyperlink" Target="http://dev.dashboard.evolvesolar.com/my-commissions.php?user_id=114&amp;payweek=2014-12-26" TargetMode="External"/><Relationship Id="rId1189" Type="http://schemas.openxmlformats.org/officeDocument/2006/relationships/hyperlink" Target="http://dev.dashboard.evolvesolar.com/my-commissions.php?user_id=771&amp;payweek=2014-12-05" TargetMode="External"/><Relationship Id="rId1396" Type="http://schemas.openxmlformats.org/officeDocument/2006/relationships/hyperlink" Target="http://dev.dashboard.evolvesolar.com/my-commissions.php?user_id=683&amp;payweek=2014-11-21" TargetMode="External"/><Relationship Id="rId2447" Type="http://schemas.openxmlformats.org/officeDocument/2006/relationships/hyperlink" Target="http://dev.dashboard.evolvesolar.com/my-commissions.php?user_id=617&amp;payweek=2014-09-15" TargetMode="External"/><Relationship Id="rId419" Type="http://schemas.openxmlformats.org/officeDocument/2006/relationships/hyperlink" Target="http://dev.dashboard.evolvesolar.com/my-commissions.php?user_id=784&amp;payweek=2015-01-23" TargetMode="External"/><Relationship Id="rId626" Type="http://schemas.openxmlformats.org/officeDocument/2006/relationships/hyperlink" Target="http://dev.dashboard.evolvesolar.com/my-commissions.php?user_id=764&amp;payweek=2015-01-09" TargetMode="External"/><Relationship Id="rId973" Type="http://schemas.openxmlformats.org/officeDocument/2006/relationships/hyperlink" Target="http://dev.dashboard.evolvesolar.com/my-commissions.php?user_id=475&amp;payweek=2014-12-19" TargetMode="External"/><Relationship Id="rId1049" Type="http://schemas.openxmlformats.org/officeDocument/2006/relationships/hyperlink" Target="http://dev.dashboard.evolvesolar.com/my-commissions.php?user_id=422&amp;payweek=2014-12-12" TargetMode="External"/><Relationship Id="rId1256" Type="http://schemas.openxmlformats.org/officeDocument/2006/relationships/hyperlink" Target="http://dev.dashboard.evolvesolar.com/my-commissions.php?user_id=332&amp;payweek=2014-11-25" TargetMode="External"/><Relationship Id="rId2307" Type="http://schemas.openxmlformats.org/officeDocument/2006/relationships/hyperlink" Target="http://dev.dashboard.evolvesolar.com/my-commissions.php?user_id=379&amp;payweek=2014-09-25" TargetMode="External"/><Relationship Id="rId2654" Type="http://schemas.openxmlformats.org/officeDocument/2006/relationships/hyperlink" Target="http://dev.dashboard.evolvesolar.com/my-commissions.php?user_id=250&amp;payweek=2014-09-04" TargetMode="External"/><Relationship Id="rId2861" Type="http://schemas.openxmlformats.org/officeDocument/2006/relationships/hyperlink" Target="http://dev.dashboard.evolvesolar.com/my-commissions.php?user_id=269&amp;payweek=2014-08-22" TargetMode="External"/><Relationship Id="rId3705" Type="http://schemas.openxmlformats.org/officeDocument/2006/relationships/hyperlink" Target="http://dev.dashboard.evolvesolar.com/my-commissions.php?user_id=41&amp;payweek=2014-06-06" TargetMode="External"/><Relationship Id="rId3912" Type="http://schemas.openxmlformats.org/officeDocument/2006/relationships/hyperlink" Target="http://dev.dashboard.evolvesolar.com/my-commissions.php?user_id=27&amp;payweek=2014-05-09" TargetMode="External"/><Relationship Id="rId833" Type="http://schemas.openxmlformats.org/officeDocument/2006/relationships/hyperlink" Target="http://dev.dashboard.evolvesolar.com/my-commissions.php?user_id=594&amp;payweek=2014-12-26" TargetMode="External"/><Relationship Id="rId1116" Type="http://schemas.openxmlformats.org/officeDocument/2006/relationships/hyperlink" Target="http://dev.dashboard.evolvesolar.com/my-commissions.php?user_id=77&amp;payweek=2014-12-05" TargetMode="External"/><Relationship Id="rId1463" Type="http://schemas.openxmlformats.org/officeDocument/2006/relationships/hyperlink" Target="http://dev.dashboard.evolvesolar.com/my-commissions.php?user_id=212&amp;payweek=2014-11-14" TargetMode="External"/><Relationship Id="rId1670" Type="http://schemas.openxmlformats.org/officeDocument/2006/relationships/hyperlink" Target="http://dev.dashboard.evolvesolar.com/my-commissions.php?user_id=599&amp;payweek=2014-11-07" TargetMode="External"/><Relationship Id="rId2514" Type="http://schemas.openxmlformats.org/officeDocument/2006/relationships/hyperlink" Target="http://dev.dashboard.evolvesolar.com/my-commissions.php?user_id=391&amp;payweek=2014-09-12" TargetMode="External"/><Relationship Id="rId2721" Type="http://schemas.openxmlformats.org/officeDocument/2006/relationships/hyperlink" Target="http://dev.dashboard.evolvesolar.com/my-commissions.php?user_id=347&amp;payweek=2014-08-29" TargetMode="External"/><Relationship Id="rId900" Type="http://schemas.openxmlformats.org/officeDocument/2006/relationships/hyperlink" Target="http://dev.dashboard.evolvesolar.com/my-commissions.php?user_id=117&amp;payweek=2014-12-22" TargetMode="External"/><Relationship Id="rId1323" Type="http://schemas.openxmlformats.org/officeDocument/2006/relationships/hyperlink" Target="http://dev.dashboard.evolvesolar.com/my-commissions.php?user_id=180&amp;payweek=2014-11-21" TargetMode="External"/><Relationship Id="rId1530" Type="http://schemas.openxmlformats.org/officeDocument/2006/relationships/hyperlink" Target="http://dev.dashboard.evolvesolar.com/my-commissions.php?user_id=648&amp;payweek=2014-11-14" TargetMode="External"/><Relationship Id="rId3288" Type="http://schemas.openxmlformats.org/officeDocument/2006/relationships/hyperlink" Target="http://dev.dashboard.evolvesolar.com/my-commissions.php?user_id=261&amp;payweek=2014-07-25" TargetMode="External"/><Relationship Id="rId3495" Type="http://schemas.openxmlformats.org/officeDocument/2006/relationships/hyperlink" Target="http://dev.dashboard.evolvesolar.com/my-commissions.php?user_id=120&amp;payweek=2014-06-27" TargetMode="External"/><Relationship Id="rId2097" Type="http://schemas.openxmlformats.org/officeDocument/2006/relationships/hyperlink" Target="http://dev.dashboard.evolvesolar.com/my-commissions.php?user_id=355&amp;payweek=2014-10-10" TargetMode="External"/><Relationship Id="rId3148" Type="http://schemas.openxmlformats.org/officeDocument/2006/relationships/hyperlink" Target="http://dev.dashboard.evolvesolar.com/my-commissions.php?user_id=322&amp;payweek=2014-08-02" TargetMode="External"/><Relationship Id="rId3355" Type="http://schemas.openxmlformats.org/officeDocument/2006/relationships/hyperlink" Target="http://dev.dashboard.evolvesolar.com/my-commissions.php?user_id=255&amp;payweek=2014-07-18" TargetMode="External"/><Relationship Id="rId3562" Type="http://schemas.openxmlformats.org/officeDocument/2006/relationships/hyperlink" Target="http://dev.dashboard.evolvesolar.com/my-commissions.php?user_id=139&amp;payweek=2014-06-20" TargetMode="External"/><Relationship Id="rId276" Type="http://schemas.openxmlformats.org/officeDocument/2006/relationships/hyperlink" Target="http://dev.dashboard.evolvesolar.com/my-commissions.php?user_id=551&amp;payweek=2015-01-30" TargetMode="External"/><Relationship Id="rId483" Type="http://schemas.openxmlformats.org/officeDocument/2006/relationships/hyperlink" Target="http://dev.dashboard.evolvesolar.com/my-commissions.php?user_id=648&amp;payweek=2015-01-15" TargetMode="External"/><Relationship Id="rId690" Type="http://schemas.openxmlformats.org/officeDocument/2006/relationships/hyperlink" Target="http://dev.dashboard.evolvesolar.com/my-commissions.php?user_id=302&amp;payweek=2014-12-31" TargetMode="External"/><Relationship Id="rId2164" Type="http://schemas.openxmlformats.org/officeDocument/2006/relationships/hyperlink" Target="http://dev.dashboard.evolvesolar.com/my-commissions.php?user_id=94&amp;payweek=2014-10-06" TargetMode="External"/><Relationship Id="rId2371" Type="http://schemas.openxmlformats.org/officeDocument/2006/relationships/hyperlink" Target="http://dev.dashboard.evolvesolar.com/my-commissions.php?user_id=27&amp;payweek=2014-09-19" TargetMode="External"/><Relationship Id="rId3008" Type="http://schemas.openxmlformats.org/officeDocument/2006/relationships/hyperlink" Target="http://dev.dashboard.evolvesolar.com/my-commissions.php?user_id=37&amp;payweek=2014-08-11" TargetMode="External"/><Relationship Id="rId3215" Type="http://schemas.openxmlformats.org/officeDocument/2006/relationships/hyperlink" Target="http://dev.dashboard.evolvesolar.com/my-commissions.php?user_id=328&amp;payweek=2014-07-31" TargetMode="External"/><Relationship Id="rId3422" Type="http://schemas.openxmlformats.org/officeDocument/2006/relationships/hyperlink" Target="http://dev.dashboard.evolvesolar.com/my-commissions.php?user_id=223&amp;payweek=2014-07-11" TargetMode="External"/><Relationship Id="rId136" Type="http://schemas.openxmlformats.org/officeDocument/2006/relationships/hyperlink" Target="http://dev.dashboard.evolvesolar.com/my-commissions.php?user_id=582&amp;payweek=2015-02-06" TargetMode="External"/><Relationship Id="rId343" Type="http://schemas.openxmlformats.org/officeDocument/2006/relationships/hyperlink" Target="http://dev.dashboard.evolvesolar.com/my-commissions.php?user_id=964&amp;payweek=2015-01-30" TargetMode="External"/><Relationship Id="rId550" Type="http://schemas.openxmlformats.org/officeDocument/2006/relationships/hyperlink" Target="http://dev.dashboard.evolvesolar.com/my-commissions.php?user_id=322&amp;payweek=2015-01-09" TargetMode="External"/><Relationship Id="rId1180" Type="http://schemas.openxmlformats.org/officeDocument/2006/relationships/hyperlink" Target="http://dev.dashboard.evolvesolar.com/my-commissions.php?user_id=725&amp;payweek=2014-12-05" TargetMode="External"/><Relationship Id="rId2024" Type="http://schemas.openxmlformats.org/officeDocument/2006/relationships/hyperlink" Target="http://dev.dashboard.evolvesolar.com/my-commissions.php?user_id=576&amp;payweek=2014-10-17" TargetMode="External"/><Relationship Id="rId2231" Type="http://schemas.openxmlformats.org/officeDocument/2006/relationships/hyperlink" Target="http://dev.dashboard.evolvesolar.com/my-commissions.php?user_id=261&amp;payweek=2014-10-03" TargetMode="External"/><Relationship Id="rId203" Type="http://schemas.openxmlformats.org/officeDocument/2006/relationships/hyperlink" Target="http://dev.dashboard.evolvesolar.com/my-commissions.php?user_id=911&amp;payweek=2015-02-06" TargetMode="External"/><Relationship Id="rId1040" Type="http://schemas.openxmlformats.org/officeDocument/2006/relationships/hyperlink" Target="http://dev.dashboard.evolvesolar.com/my-commissions.php?user_id=365&amp;payweek=2014-12-12" TargetMode="External"/><Relationship Id="rId410" Type="http://schemas.openxmlformats.org/officeDocument/2006/relationships/hyperlink" Target="http://dev.dashboard.evolvesolar.com/my-commissions.php?user_id=680&amp;payweek=2015-01-23" TargetMode="External"/><Relationship Id="rId1997" Type="http://schemas.openxmlformats.org/officeDocument/2006/relationships/hyperlink" Target="http://dev.dashboard.evolvesolar.com/my-commissions.php?user_id=355&amp;payweek=2014-10-17" TargetMode="External"/><Relationship Id="rId4056" Type="http://schemas.openxmlformats.org/officeDocument/2006/relationships/hyperlink" Target="http://dev.dashboard.evolvesolar.com/my-commissions.php?user_id=373&amp;payweek=2014-04-04" TargetMode="External"/><Relationship Id="rId1857" Type="http://schemas.openxmlformats.org/officeDocument/2006/relationships/hyperlink" Target="http://dev.dashboard.evolvesolar.com/my-commissions.php?user_id=383&amp;payweek=2014-10-24" TargetMode="External"/><Relationship Id="rId2908" Type="http://schemas.openxmlformats.org/officeDocument/2006/relationships/hyperlink" Target="http://dev.dashboard.evolvesolar.com/my-commissions.php?user_id=480&amp;payweek=2014-08-22" TargetMode="External"/><Relationship Id="rId1717" Type="http://schemas.openxmlformats.org/officeDocument/2006/relationships/hyperlink" Target="http://dev.dashboard.evolvesolar.com/my-commissions.php?user_id=672&amp;payweek=2014-11-04" TargetMode="External"/><Relationship Id="rId1924" Type="http://schemas.openxmlformats.org/officeDocument/2006/relationships/hyperlink" Target="http://dev.dashboard.evolvesolar.com/my-commissions.php?user_id=403&amp;payweek=2014-10-21" TargetMode="External"/><Relationship Id="rId3072" Type="http://schemas.openxmlformats.org/officeDocument/2006/relationships/hyperlink" Target="http://dev.dashboard.evolvesolar.com/my-commissions.php?user_id=153&amp;payweek=2014-08-07" TargetMode="External"/><Relationship Id="rId3889" Type="http://schemas.openxmlformats.org/officeDocument/2006/relationships/hyperlink" Target="http://dev.dashboard.evolvesolar.com/my-commissions.php?user_id=88&amp;payweek=2014-05-16" TargetMode="External"/><Relationship Id="rId2698" Type="http://schemas.openxmlformats.org/officeDocument/2006/relationships/hyperlink" Target="http://dev.dashboard.evolvesolar.com/my-commissions.php?user_id=231&amp;payweek=2014-08-29" TargetMode="External"/><Relationship Id="rId3749" Type="http://schemas.openxmlformats.org/officeDocument/2006/relationships/hyperlink" Target="http://dev.dashboard.evolvesolar.com/my-commissions.php?user_id=116&amp;payweek=2014-06-06" TargetMode="External"/><Relationship Id="rId3956" Type="http://schemas.openxmlformats.org/officeDocument/2006/relationships/hyperlink" Target="http://dev.dashboard.evolvesolar.com/my-commissions.php?user_id=87&amp;payweek=2014-05-02" TargetMode="External"/><Relationship Id="rId877" Type="http://schemas.openxmlformats.org/officeDocument/2006/relationships/hyperlink" Target="http://dev.dashboard.evolvesolar.com/my-commissions.php?user_id=784&amp;payweek=2014-12-26" TargetMode="External"/><Relationship Id="rId2558" Type="http://schemas.openxmlformats.org/officeDocument/2006/relationships/hyperlink" Target="http://dev.dashboard.evolvesolar.com/my-commissions.php?user_id=551&amp;payweek=2014-09-12" TargetMode="External"/><Relationship Id="rId2765" Type="http://schemas.openxmlformats.org/officeDocument/2006/relationships/hyperlink" Target="http://dev.dashboard.evolvesolar.com/my-commissions.php?user_id=230&amp;payweek=2014-08-28" TargetMode="External"/><Relationship Id="rId2972" Type="http://schemas.openxmlformats.org/officeDocument/2006/relationships/hyperlink" Target="http://dev.dashboard.evolvesolar.com/my-commissions.php?user_id=202&amp;payweek=2014-08-14" TargetMode="External"/><Relationship Id="rId3609" Type="http://schemas.openxmlformats.org/officeDocument/2006/relationships/hyperlink" Target="http://dev.dashboard.evolvesolar.com/my-commissions.php?user_id=230&amp;payweek=2014-06-20" TargetMode="External"/><Relationship Id="rId3816" Type="http://schemas.openxmlformats.org/officeDocument/2006/relationships/hyperlink" Target="http://dev.dashboard.evolvesolar.com/my-commissions.php?user_id=118&amp;payweek=2014-05-30" TargetMode="External"/><Relationship Id="rId737" Type="http://schemas.openxmlformats.org/officeDocument/2006/relationships/hyperlink" Target="http://dev.dashboard.evolvesolar.com/my-commissions.php?user_id=660&amp;payweek=2014-12-31" TargetMode="External"/><Relationship Id="rId944" Type="http://schemas.openxmlformats.org/officeDocument/2006/relationships/hyperlink" Target="http://dev.dashboard.evolvesolar.com/my-commissions.php?user_id=790&amp;payweek=2014-12-22" TargetMode="External"/><Relationship Id="rId1367" Type="http://schemas.openxmlformats.org/officeDocument/2006/relationships/hyperlink" Target="http://dev.dashboard.evolvesolar.com/my-commissions.php?user_id=410&amp;payweek=2014-11-21" TargetMode="External"/><Relationship Id="rId1574" Type="http://schemas.openxmlformats.org/officeDocument/2006/relationships/hyperlink" Target="http://dev.dashboard.evolvesolar.com/my-commissions.php?user_id=782&amp;payweek=2014-11-14" TargetMode="External"/><Relationship Id="rId1781" Type="http://schemas.openxmlformats.org/officeDocument/2006/relationships/hyperlink" Target="http://dev.dashboard.evolvesolar.com/my-commissions.php?user_id=539&amp;payweek=2014-10-31" TargetMode="External"/><Relationship Id="rId2418" Type="http://schemas.openxmlformats.org/officeDocument/2006/relationships/hyperlink" Target="http://dev.dashboard.evolvesolar.com/my-commissions.php?user_id=389&amp;payweek=2014-09-19" TargetMode="External"/><Relationship Id="rId2625" Type="http://schemas.openxmlformats.org/officeDocument/2006/relationships/hyperlink" Target="http://dev.dashboard.evolvesolar.com/my-commissions.php?user_id=133&amp;payweek=2014-09-04" TargetMode="External"/><Relationship Id="rId2832" Type="http://schemas.openxmlformats.org/officeDocument/2006/relationships/hyperlink" Target="http://dev.dashboard.evolvesolar.com/my-commissions.php?user_id=230&amp;payweek=2014-08-22" TargetMode="External"/><Relationship Id="rId73" Type="http://schemas.openxmlformats.org/officeDocument/2006/relationships/hyperlink" Target="http://dev.dashboard.evolvesolar.com/my-commissions.php?user_id=261&amp;payweek=2015-02-06" TargetMode="External"/><Relationship Id="rId804" Type="http://schemas.openxmlformats.org/officeDocument/2006/relationships/hyperlink" Target="http://dev.dashboard.evolvesolar.com/my-commissions.php?user_id=383&amp;payweek=2014-12-26" TargetMode="External"/><Relationship Id="rId1227" Type="http://schemas.openxmlformats.org/officeDocument/2006/relationships/hyperlink" Target="http://dev.dashboard.evolvesolar.com/my-commissions.php?user_id=621&amp;payweek=2014-11-28" TargetMode="External"/><Relationship Id="rId1434" Type="http://schemas.openxmlformats.org/officeDocument/2006/relationships/hyperlink" Target="http://dev.dashboard.evolvesolar.com/my-commissions.php?user_id=27&amp;payweek=2014-11-14" TargetMode="External"/><Relationship Id="rId1641" Type="http://schemas.openxmlformats.org/officeDocument/2006/relationships/hyperlink" Target="http://dev.dashboard.evolvesolar.com/my-commissions.php?user_id=422&amp;payweek=2014-11-07" TargetMode="External"/><Relationship Id="rId1501" Type="http://schemas.openxmlformats.org/officeDocument/2006/relationships/hyperlink" Target="http://dev.dashboard.evolvesolar.com/my-commissions.php?user_id=422&amp;payweek=2014-11-14" TargetMode="External"/><Relationship Id="rId3399" Type="http://schemas.openxmlformats.org/officeDocument/2006/relationships/hyperlink" Target="http://dev.dashboard.evolvesolar.com/my-commissions.php?user_id=140&amp;payweek=2014-07-11" TargetMode="External"/><Relationship Id="rId3259" Type="http://schemas.openxmlformats.org/officeDocument/2006/relationships/hyperlink" Target="http://dev.dashboard.evolvesolar.com/my-commissions.php?user_id=191&amp;payweek=2014-07-25" TargetMode="External"/><Relationship Id="rId3466" Type="http://schemas.openxmlformats.org/officeDocument/2006/relationships/hyperlink" Target="http://dev.dashboard.evolvesolar.com/my-commissions.php?user_id=134&amp;payweek=2014-07-03" TargetMode="External"/><Relationship Id="rId387" Type="http://schemas.openxmlformats.org/officeDocument/2006/relationships/hyperlink" Target="http://dev.dashboard.evolvesolar.com/my-commissions.php?user_id=382&amp;payweek=2015-01-23" TargetMode="External"/><Relationship Id="rId594" Type="http://schemas.openxmlformats.org/officeDocument/2006/relationships/hyperlink" Target="http://dev.dashboard.evolvesolar.com/my-commissions.php?user_id=626&amp;payweek=2015-01-09" TargetMode="External"/><Relationship Id="rId2068" Type="http://schemas.openxmlformats.org/officeDocument/2006/relationships/hyperlink" Target="http://dev.dashboard.evolvesolar.com/my-commissions.php?user_id=28&amp;payweek=2014-10-10" TargetMode="External"/><Relationship Id="rId2275" Type="http://schemas.openxmlformats.org/officeDocument/2006/relationships/hyperlink" Target="http://dev.dashboard.evolvesolar.com/my-commissions.php?user_id=429&amp;payweek=2014-09-26" TargetMode="External"/><Relationship Id="rId3119" Type="http://schemas.openxmlformats.org/officeDocument/2006/relationships/hyperlink" Target="http://dev.dashboard.evolvesolar.com/my-commissions.php?user_id=383&amp;payweek=2014-08-07" TargetMode="External"/><Relationship Id="rId3326" Type="http://schemas.openxmlformats.org/officeDocument/2006/relationships/hyperlink" Target="http://dev.dashboard.evolvesolar.com/my-commissions.php?user_id=148&amp;payweek=2014-07-18" TargetMode="External"/><Relationship Id="rId3673" Type="http://schemas.openxmlformats.org/officeDocument/2006/relationships/hyperlink" Target="http://dev.dashboard.evolvesolar.com/my-commissions.php?user_id=137&amp;payweek=2014-06-13" TargetMode="External"/><Relationship Id="rId3880" Type="http://schemas.openxmlformats.org/officeDocument/2006/relationships/hyperlink" Target="http://dev.dashboard.evolvesolar.com/my-commissions.php?user_id=28&amp;payweek=2014-05-16" TargetMode="External"/><Relationship Id="rId247" Type="http://schemas.openxmlformats.org/officeDocument/2006/relationships/hyperlink" Target="http://dev.dashboard.evolvesolar.com/my-commissions.php?user_id=133&amp;payweek=2015-01-30" TargetMode="External"/><Relationship Id="rId1084" Type="http://schemas.openxmlformats.org/officeDocument/2006/relationships/hyperlink" Target="http://dev.dashboard.evolvesolar.com/my-commissions.php?user_id=722&amp;payweek=2014-12-12" TargetMode="External"/><Relationship Id="rId2482" Type="http://schemas.openxmlformats.org/officeDocument/2006/relationships/hyperlink" Target="http://dev.dashboard.evolvesolar.com/my-commissions.php?user_id=269&amp;payweek=2014-09-12" TargetMode="External"/><Relationship Id="rId3533" Type="http://schemas.openxmlformats.org/officeDocument/2006/relationships/hyperlink" Target="http://dev.dashboard.evolvesolar.com/my-commissions.php?user_id=71&amp;payweek=2014-06-20" TargetMode="External"/><Relationship Id="rId3740" Type="http://schemas.openxmlformats.org/officeDocument/2006/relationships/hyperlink" Target="http://dev.dashboard.evolvesolar.com/my-commissions.php?user_id=108&amp;payweek=2014-06-06" TargetMode="External"/><Relationship Id="rId107" Type="http://schemas.openxmlformats.org/officeDocument/2006/relationships/hyperlink" Target="http://dev.dashboard.evolvesolar.com/my-commissions.php?user_id=405&amp;payweek=2015-02-06" TargetMode="External"/><Relationship Id="rId454" Type="http://schemas.openxmlformats.org/officeDocument/2006/relationships/hyperlink" Target="http://dev.dashboard.evolvesolar.com/my-commissions.php?user_id=261&amp;payweek=2015-01-15" TargetMode="External"/><Relationship Id="rId661" Type="http://schemas.openxmlformats.org/officeDocument/2006/relationships/hyperlink" Target="http://dev.dashboard.evolvesolar.com/my-commissions.php?user_id=109&amp;payweek=2014-12-31" TargetMode="External"/><Relationship Id="rId1291" Type="http://schemas.openxmlformats.org/officeDocument/2006/relationships/hyperlink" Target="http://dev.dashboard.evolvesolar.com/my-commissions.php?user_id=725&amp;payweek=2014-11-25" TargetMode="External"/><Relationship Id="rId2135" Type="http://schemas.openxmlformats.org/officeDocument/2006/relationships/hyperlink" Target="http://dev.dashboard.evolvesolar.com/my-commissions.php?user_id=601&amp;payweek=2014-10-10" TargetMode="External"/><Relationship Id="rId2342" Type="http://schemas.openxmlformats.org/officeDocument/2006/relationships/hyperlink" Target="http://dev.dashboard.evolvesolar.com/my-commissions.php?user_id=569&amp;payweek=2014-09-25" TargetMode="External"/><Relationship Id="rId3600" Type="http://schemas.openxmlformats.org/officeDocument/2006/relationships/hyperlink" Target="http://dev.dashboard.evolvesolar.com/my-commissions.php?user_id=204&amp;payweek=2014-06-20" TargetMode="External"/><Relationship Id="rId314" Type="http://schemas.openxmlformats.org/officeDocument/2006/relationships/hyperlink" Target="http://dev.dashboard.evolvesolar.com/my-commissions.php?user_id=782&amp;payweek=2015-01-30" TargetMode="External"/><Relationship Id="rId521" Type="http://schemas.openxmlformats.org/officeDocument/2006/relationships/hyperlink" Target="http://dev.dashboard.evolvesolar.com/my-commissions.php?user_id=63&amp;payweek=2015-01-09" TargetMode="External"/><Relationship Id="rId1151" Type="http://schemas.openxmlformats.org/officeDocument/2006/relationships/hyperlink" Target="http://dev.dashboard.evolvesolar.com/my-commissions.php?user_id=638&amp;payweek=2014-12-05" TargetMode="External"/><Relationship Id="rId2202" Type="http://schemas.openxmlformats.org/officeDocument/2006/relationships/hyperlink" Target="http://dev.dashboard.evolvesolar.com/my-commissions.php?user_id=443&amp;payweek=2014-10-06" TargetMode="External"/><Relationship Id="rId1011" Type="http://schemas.openxmlformats.org/officeDocument/2006/relationships/hyperlink" Target="http://dev.dashboard.evolvesolar.com/my-commissions.php?user_id=153&amp;payweek=2014-12-12" TargetMode="External"/><Relationship Id="rId1968" Type="http://schemas.openxmlformats.org/officeDocument/2006/relationships/hyperlink" Target="http://dev.dashboard.evolvesolar.com/my-commissions.php?user_id=114&amp;payweek=2014-10-17" TargetMode="External"/><Relationship Id="rId3183" Type="http://schemas.openxmlformats.org/officeDocument/2006/relationships/hyperlink" Target="http://dev.dashboard.evolvesolar.com/my-commissions.php?user_id=203&amp;payweek=2014-07-31" TargetMode="External"/><Relationship Id="rId3390" Type="http://schemas.openxmlformats.org/officeDocument/2006/relationships/hyperlink" Target="http://dev.dashboard.evolvesolar.com/my-commissions.php?user_id=117&amp;payweek=2014-07-11" TargetMode="External"/><Relationship Id="rId4027" Type="http://schemas.openxmlformats.org/officeDocument/2006/relationships/hyperlink" Target="http://dev.dashboard.evolvesolar.com/my-commissions.php?user_id=89&amp;payweek=2014-04-11" TargetMode="External"/><Relationship Id="rId1828" Type="http://schemas.openxmlformats.org/officeDocument/2006/relationships/hyperlink" Target="http://dev.dashboard.evolvesolar.com/my-commissions.php?user_id=63&amp;payweek=2014-10-24" TargetMode="External"/><Relationship Id="rId3043" Type="http://schemas.openxmlformats.org/officeDocument/2006/relationships/hyperlink" Target="http://dev.dashboard.evolvesolar.com/my-commissions.php?user_id=234&amp;payweek=2014-08-08" TargetMode="External"/><Relationship Id="rId3250" Type="http://schemas.openxmlformats.org/officeDocument/2006/relationships/hyperlink" Target="http://dev.dashboard.evolvesolar.com/my-commissions.php?user_id=157&amp;payweek=2014-07-25" TargetMode="External"/><Relationship Id="rId171" Type="http://schemas.openxmlformats.org/officeDocument/2006/relationships/hyperlink" Target="http://dev.dashboard.evolvesolar.com/my-commissions.php?user_id=702&amp;payweek=2015-02-06" TargetMode="External"/><Relationship Id="rId3110" Type="http://schemas.openxmlformats.org/officeDocument/2006/relationships/hyperlink" Target="http://dev.dashboard.evolvesolar.com/my-commissions.php?user_id=324&amp;payweek=2014-08-07" TargetMode="External"/><Relationship Id="rId988" Type="http://schemas.openxmlformats.org/officeDocument/2006/relationships/hyperlink" Target="http://dev.dashboard.evolvesolar.com/my-commissions.php?user_id=702&amp;payweek=2014-12-19" TargetMode="External"/><Relationship Id="rId2669" Type="http://schemas.openxmlformats.org/officeDocument/2006/relationships/hyperlink" Target="http://dev.dashboard.evolvesolar.com/my-commissions.php?user_id=392&amp;payweek=2014-09-04" TargetMode="External"/><Relationship Id="rId2876" Type="http://schemas.openxmlformats.org/officeDocument/2006/relationships/hyperlink" Target="http://dev.dashboard.evolvesolar.com/my-commissions.php?user_id=352&amp;payweek=2014-08-22" TargetMode="External"/><Relationship Id="rId3927" Type="http://schemas.openxmlformats.org/officeDocument/2006/relationships/hyperlink" Target="http://dev.dashboard.evolvesolar.com/my-commissions.php?user_id=88&amp;payweek=2014-05-09" TargetMode="External"/><Relationship Id="rId848" Type="http://schemas.openxmlformats.org/officeDocument/2006/relationships/hyperlink" Target="http://dev.dashboard.evolvesolar.com/my-commissions.php?user_id=646&amp;payweek=2014-12-26" TargetMode="External"/><Relationship Id="rId1478" Type="http://schemas.openxmlformats.org/officeDocument/2006/relationships/hyperlink" Target="http://dev.dashboard.evolvesolar.com/my-commissions.php?user_id=286&amp;payweek=2014-11-14" TargetMode="External"/><Relationship Id="rId1685" Type="http://schemas.openxmlformats.org/officeDocument/2006/relationships/hyperlink" Target="http://dev.dashboard.evolvesolar.com/my-commissions.php?user_id=656&amp;payweek=2014-11-07" TargetMode="External"/><Relationship Id="rId1892" Type="http://schemas.openxmlformats.org/officeDocument/2006/relationships/hyperlink" Target="http://dev.dashboard.evolvesolar.com/my-commissions.php?user_id=612&amp;payweek=2014-10-24" TargetMode="External"/><Relationship Id="rId2529" Type="http://schemas.openxmlformats.org/officeDocument/2006/relationships/hyperlink" Target="http://dev.dashboard.evolvesolar.com/my-commissions.php?user_id=410&amp;payweek=2014-09-12" TargetMode="External"/><Relationship Id="rId2736" Type="http://schemas.openxmlformats.org/officeDocument/2006/relationships/hyperlink" Target="http://dev.dashboard.evolvesolar.com/my-commissions.php?user_id=430&amp;payweek=2014-08-29" TargetMode="External"/><Relationship Id="rId4091" Type="http://schemas.openxmlformats.org/officeDocument/2006/relationships/hyperlink" Target="http://dev.dashboard.evolvesolar.com/my-commissions.php?user_id=110&amp;payweek=2014-03-07" TargetMode="External"/><Relationship Id="rId708" Type="http://schemas.openxmlformats.org/officeDocument/2006/relationships/hyperlink" Target="http://dev.dashboard.evolvesolar.com/my-commissions.php?user_id=453&amp;payweek=2014-12-31" TargetMode="External"/><Relationship Id="rId915" Type="http://schemas.openxmlformats.org/officeDocument/2006/relationships/hyperlink" Target="http://dev.dashboard.evolvesolar.com/my-commissions.php?user_id=401&amp;payweek=2014-12-22" TargetMode="External"/><Relationship Id="rId1338" Type="http://schemas.openxmlformats.org/officeDocument/2006/relationships/hyperlink" Target="http://dev.dashboard.evolvesolar.com/my-commissions.php?user_id=269&amp;payweek=2014-11-21" TargetMode="External"/><Relationship Id="rId1545" Type="http://schemas.openxmlformats.org/officeDocument/2006/relationships/hyperlink" Target="http://dev.dashboard.evolvesolar.com/my-commissions.php?user_id=703&amp;payweek=2014-11-14" TargetMode="External"/><Relationship Id="rId2943" Type="http://schemas.openxmlformats.org/officeDocument/2006/relationships/hyperlink" Target="http://dev.dashboard.evolvesolar.com/my-commissions.php?user_id=185&amp;payweek=2014-08-15" TargetMode="External"/><Relationship Id="rId1405" Type="http://schemas.openxmlformats.org/officeDocument/2006/relationships/hyperlink" Target="http://dev.dashboard.evolvesolar.com/my-commissions.php?user_id=714&amp;payweek=2014-11-21" TargetMode="External"/><Relationship Id="rId1752" Type="http://schemas.openxmlformats.org/officeDocument/2006/relationships/hyperlink" Target="http://dev.dashboard.evolvesolar.com/my-commissions.php?user_id=355&amp;payweek=2014-10-31" TargetMode="External"/><Relationship Id="rId2803" Type="http://schemas.openxmlformats.org/officeDocument/2006/relationships/hyperlink" Target="http://dev.dashboard.evolvesolar.com/my-commissions.php?user_id=63&amp;payweek=2014-08-22" TargetMode="External"/><Relationship Id="rId44" Type="http://schemas.openxmlformats.org/officeDocument/2006/relationships/hyperlink" Target="http://dev.dashboard.evolvesolar.com/my-commissions.php?user_id=152&amp;payweek=2015-02-06" TargetMode="External"/><Relationship Id="rId1612" Type="http://schemas.openxmlformats.org/officeDocument/2006/relationships/hyperlink" Target="http://dev.dashboard.evolvesolar.com/my-commissions.php?user_id=211&amp;payweek=2014-11-07" TargetMode="External"/><Relationship Id="rId498" Type="http://schemas.openxmlformats.org/officeDocument/2006/relationships/hyperlink" Target="http://dev.dashboard.evolvesolar.com/my-commissions.php?user_id=711&amp;payweek=2015-01-15" TargetMode="External"/><Relationship Id="rId2179" Type="http://schemas.openxmlformats.org/officeDocument/2006/relationships/hyperlink" Target="http://dev.dashboard.evolvesolar.com/my-commissions.php?user_id=295&amp;payweek=2014-10-06" TargetMode="External"/><Relationship Id="rId3577" Type="http://schemas.openxmlformats.org/officeDocument/2006/relationships/hyperlink" Target="http://dev.dashboard.evolvesolar.com/my-commissions.php?user_id=154&amp;payweek=2014-06-20" TargetMode="External"/><Relationship Id="rId3784" Type="http://schemas.openxmlformats.org/officeDocument/2006/relationships/hyperlink" Target="http://dev.dashboard.evolvesolar.com/my-commissions.php?user_id=41&amp;payweek=2014-05-30" TargetMode="External"/><Relationship Id="rId3991" Type="http://schemas.openxmlformats.org/officeDocument/2006/relationships/hyperlink" Target="http://dev.dashboard.evolvesolar.com/my-commissions.php?user_id=110&amp;payweek=2014-04-24" TargetMode="External"/><Relationship Id="rId2386" Type="http://schemas.openxmlformats.org/officeDocument/2006/relationships/hyperlink" Target="http://dev.dashboard.evolvesolar.com/my-commissions.php?user_id=180&amp;payweek=2014-09-19" TargetMode="External"/><Relationship Id="rId2593" Type="http://schemas.openxmlformats.org/officeDocument/2006/relationships/hyperlink" Target="http://dev.dashboard.evolvesolar.com/my-commissions.php?user_id=157&amp;payweek=2014-09-05" TargetMode="External"/><Relationship Id="rId3437" Type="http://schemas.openxmlformats.org/officeDocument/2006/relationships/hyperlink" Target="http://dev.dashboard.evolvesolar.com/my-commissions.php?user_id=396&amp;payweek=2014-07-11" TargetMode="External"/><Relationship Id="rId3644" Type="http://schemas.openxmlformats.org/officeDocument/2006/relationships/hyperlink" Target="http://dev.dashboard.evolvesolar.com/my-commissions.php?user_id=83&amp;payweek=2014-06-13" TargetMode="External"/><Relationship Id="rId3851" Type="http://schemas.openxmlformats.org/officeDocument/2006/relationships/hyperlink" Target="http://dev.dashboard.evolvesolar.com/my-commissions.php?user_id=88&amp;payweek=2014-05-23" TargetMode="External"/><Relationship Id="rId358" Type="http://schemas.openxmlformats.org/officeDocument/2006/relationships/hyperlink" Target="http://dev.dashboard.evolvesolar.com/my-commissions.php?user_id=133&amp;payweek=2015-01-23" TargetMode="External"/><Relationship Id="rId565" Type="http://schemas.openxmlformats.org/officeDocument/2006/relationships/hyperlink" Target="http://dev.dashboard.evolvesolar.com/my-commissions.php?user_id=389&amp;payweek=2015-01-09" TargetMode="External"/><Relationship Id="rId772" Type="http://schemas.openxmlformats.org/officeDocument/2006/relationships/hyperlink" Target="http://dev.dashboard.evolvesolar.com/my-commissions.php?user_id=161&amp;payweek=2014-12-26" TargetMode="External"/><Relationship Id="rId1195" Type="http://schemas.openxmlformats.org/officeDocument/2006/relationships/hyperlink" Target="http://dev.dashboard.evolvesolar.com/my-commissions.php?user_id=817&amp;payweek=2014-12-05" TargetMode="External"/><Relationship Id="rId2039" Type="http://schemas.openxmlformats.org/officeDocument/2006/relationships/hyperlink" Target="http://dev.dashboard.evolvesolar.com/my-commissions.php?user_id=676&amp;payweek=2014-10-17" TargetMode="External"/><Relationship Id="rId2246" Type="http://schemas.openxmlformats.org/officeDocument/2006/relationships/hyperlink" Target="http://dev.dashboard.evolvesolar.com/my-commissions.php?user_id=458&amp;payweek=2014-10-03" TargetMode="External"/><Relationship Id="rId2453" Type="http://schemas.openxmlformats.org/officeDocument/2006/relationships/hyperlink" Target="http://dev.dashboard.evolvesolar.com/my-commissions.php?user_id=85&amp;payweek=2014-09-12" TargetMode="External"/><Relationship Id="rId2660" Type="http://schemas.openxmlformats.org/officeDocument/2006/relationships/hyperlink" Target="http://dev.dashboard.evolvesolar.com/my-commissions.php?user_id=325&amp;payweek=2014-09-04" TargetMode="External"/><Relationship Id="rId3504" Type="http://schemas.openxmlformats.org/officeDocument/2006/relationships/hyperlink" Target="http://dev.dashboard.evolvesolar.com/my-commissions.php?user_id=148&amp;payweek=2014-06-27" TargetMode="External"/><Relationship Id="rId3711" Type="http://schemas.openxmlformats.org/officeDocument/2006/relationships/hyperlink" Target="http://dev.dashboard.evolvesolar.com/my-commissions.php?user_id=52&amp;payweek=2014-06-06" TargetMode="External"/><Relationship Id="rId218" Type="http://schemas.openxmlformats.org/officeDocument/2006/relationships/hyperlink" Target="http://dev.dashboard.evolvesolar.com/my-commissions.php?user_id=949&amp;payweek=2015-02-06" TargetMode="External"/><Relationship Id="rId425" Type="http://schemas.openxmlformats.org/officeDocument/2006/relationships/hyperlink" Target="http://dev.dashboard.evolvesolar.com/my-commissions.php?user_id=890&amp;payweek=2015-01-23" TargetMode="External"/><Relationship Id="rId632" Type="http://schemas.openxmlformats.org/officeDocument/2006/relationships/hyperlink" Target="http://dev.dashboard.evolvesolar.com/my-commissions.php?user_id=817&amp;payweek=2015-01-09" TargetMode="External"/><Relationship Id="rId1055" Type="http://schemas.openxmlformats.org/officeDocument/2006/relationships/hyperlink" Target="http://dev.dashboard.evolvesolar.com/my-commissions.php?user_id=551&amp;payweek=2014-12-12" TargetMode="External"/><Relationship Id="rId1262" Type="http://schemas.openxmlformats.org/officeDocument/2006/relationships/hyperlink" Target="http://dev.dashboard.evolvesolar.com/my-commissions.php?user_id=392&amp;payweek=2014-11-25" TargetMode="External"/><Relationship Id="rId2106" Type="http://schemas.openxmlformats.org/officeDocument/2006/relationships/hyperlink" Target="http://dev.dashboard.evolvesolar.com/my-commissions.php?user_id=401&amp;payweek=2014-10-10" TargetMode="External"/><Relationship Id="rId2313" Type="http://schemas.openxmlformats.org/officeDocument/2006/relationships/hyperlink" Target="http://dev.dashboard.evolvesolar.com/my-commissions.php?user_id=401&amp;payweek=2014-09-25" TargetMode="External"/><Relationship Id="rId2520" Type="http://schemas.openxmlformats.org/officeDocument/2006/relationships/hyperlink" Target="http://dev.dashboard.evolvesolar.com/my-commissions.php?user_id=401&amp;payweek=2014-09-12" TargetMode="External"/><Relationship Id="rId1122" Type="http://schemas.openxmlformats.org/officeDocument/2006/relationships/hyperlink" Target="http://dev.dashboard.evolvesolar.com/my-commissions.php?user_id=250&amp;payweek=2014-12-05" TargetMode="External"/><Relationship Id="rId3087" Type="http://schemas.openxmlformats.org/officeDocument/2006/relationships/hyperlink" Target="http://dev.dashboard.evolvesolar.com/my-commissions.php?user_id=224&amp;payweek=2014-08-07" TargetMode="External"/><Relationship Id="rId3294" Type="http://schemas.openxmlformats.org/officeDocument/2006/relationships/hyperlink" Target="http://dev.dashboard.evolvesolar.com/my-commissions.php?user_id=396&amp;payweek=2014-07-25" TargetMode="External"/><Relationship Id="rId1939" Type="http://schemas.openxmlformats.org/officeDocument/2006/relationships/hyperlink" Target="http://dev.dashboard.evolvesolar.com/my-commissions.php?user_id=675&amp;payweek=2014-10-20" TargetMode="External"/><Relationship Id="rId3154" Type="http://schemas.openxmlformats.org/officeDocument/2006/relationships/hyperlink" Target="http://dev.dashboard.evolvesolar.com/my-commissions.php?user_id=28&amp;payweek=2014-07-31" TargetMode="External"/><Relationship Id="rId3361" Type="http://schemas.openxmlformats.org/officeDocument/2006/relationships/hyperlink" Target="http://dev.dashboard.evolvesolar.com/my-commissions.php?user_id=379&amp;payweek=2014-07-18" TargetMode="External"/><Relationship Id="rId282" Type="http://schemas.openxmlformats.org/officeDocument/2006/relationships/hyperlink" Target="http://dev.dashboard.evolvesolar.com/my-commissions.php?user_id=593&amp;payweek=2015-01-30" TargetMode="External"/><Relationship Id="rId2170" Type="http://schemas.openxmlformats.org/officeDocument/2006/relationships/hyperlink" Target="http://dev.dashboard.evolvesolar.com/my-commissions.php?user_id=218&amp;payweek=2014-10-06" TargetMode="External"/><Relationship Id="rId3014" Type="http://schemas.openxmlformats.org/officeDocument/2006/relationships/hyperlink" Target="http://dev.dashboard.evolvesolar.com/my-commissions.php?user_id=383&amp;payweek=2014-08-11" TargetMode="External"/><Relationship Id="rId3221" Type="http://schemas.openxmlformats.org/officeDocument/2006/relationships/hyperlink" Target="http://dev.dashboard.evolvesolar.com/my-commissions.php?user_id=63&amp;payweek=2014-07-29" TargetMode="External"/><Relationship Id="rId8" Type="http://schemas.openxmlformats.org/officeDocument/2006/relationships/hyperlink" Target="http://dev.dashboard.evolvesolar.com/my-commissions.php?user_id=37&amp;payweek=2015-02-06" TargetMode="External"/><Relationship Id="rId142" Type="http://schemas.openxmlformats.org/officeDocument/2006/relationships/hyperlink" Target="http://dev.dashboard.evolvesolar.com/my-commissions.php?user_id=599&amp;payweek=2015-02-06" TargetMode="External"/><Relationship Id="rId2030" Type="http://schemas.openxmlformats.org/officeDocument/2006/relationships/hyperlink" Target="http://dev.dashboard.evolvesolar.com/my-commissions.php?user_id=593&amp;payweek=2014-10-17" TargetMode="External"/><Relationship Id="rId2987" Type="http://schemas.openxmlformats.org/officeDocument/2006/relationships/hyperlink" Target="http://dev.dashboard.evolvesolar.com/my-commissions.php?user_id=244&amp;payweek=2014-08-14" TargetMode="External"/><Relationship Id="rId959" Type="http://schemas.openxmlformats.org/officeDocument/2006/relationships/hyperlink" Target="http://dev.dashboard.evolvesolar.com/my-commissions.php?user_id=203&amp;payweek=2014-12-19" TargetMode="External"/><Relationship Id="rId1589" Type="http://schemas.openxmlformats.org/officeDocument/2006/relationships/hyperlink" Target="http://dev.dashboard.evolvesolar.com/my-commissions.php?user_id=648&amp;payweek=2014-11-10" TargetMode="External"/><Relationship Id="rId1449" Type="http://schemas.openxmlformats.org/officeDocument/2006/relationships/hyperlink" Target="http://dev.dashboard.evolvesolar.com/my-commissions.php?user_id=133&amp;payweek=2014-11-14" TargetMode="External"/><Relationship Id="rId1796" Type="http://schemas.openxmlformats.org/officeDocument/2006/relationships/hyperlink" Target="http://dev.dashboard.evolvesolar.com/my-commissions.php?user_id=612&amp;payweek=2014-10-31" TargetMode="External"/><Relationship Id="rId2847" Type="http://schemas.openxmlformats.org/officeDocument/2006/relationships/hyperlink" Target="http://dev.dashboard.evolvesolar.com/my-commissions.php?user_id=245&amp;payweek=2014-08-22" TargetMode="External"/><Relationship Id="rId4062" Type="http://schemas.openxmlformats.org/officeDocument/2006/relationships/hyperlink" Target="http://dev.dashboard.evolvesolar.com/my-commissions.php?user_id=257&amp;payweek=2014-04-03" TargetMode="External"/><Relationship Id="rId88" Type="http://schemas.openxmlformats.org/officeDocument/2006/relationships/hyperlink" Target="http://dev.dashboard.evolvesolar.com/my-commissions.php?user_id=324&amp;payweek=2015-02-06" TargetMode="External"/><Relationship Id="rId819" Type="http://schemas.openxmlformats.org/officeDocument/2006/relationships/hyperlink" Target="http://dev.dashboard.evolvesolar.com/my-commissions.php?user_id=438&amp;payweek=2014-12-26" TargetMode="External"/><Relationship Id="rId1656" Type="http://schemas.openxmlformats.org/officeDocument/2006/relationships/hyperlink" Target="http://dev.dashboard.evolvesolar.com/my-commissions.php?user_id=553&amp;payweek=2014-11-07" TargetMode="External"/><Relationship Id="rId1863" Type="http://schemas.openxmlformats.org/officeDocument/2006/relationships/hyperlink" Target="http://dev.dashboard.evolvesolar.com/my-commissions.php?user_id=401&amp;payweek=2014-10-24" TargetMode="External"/><Relationship Id="rId2707" Type="http://schemas.openxmlformats.org/officeDocument/2006/relationships/hyperlink" Target="http://dev.dashboard.evolvesolar.com/my-commissions.php?user_id=261&amp;payweek=2014-08-29" TargetMode="External"/><Relationship Id="rId2914" Type="http://schemas.openxmlformats.org/officeDocument/2006/relationships/hyperlink" Target="http://dev.dashboard.evolvesolar.com/my-commissions.php?user_id=640&amp;payweek=2014-08-22" TargetMode="External"/><Relationship Id="rId1309" Type="http://schemas.openxmlformats.org/officeDocument/2006/relationships/hyperlink" Target="http://dev.dashboard.evolvesolar.com/my-commissions.php?user_id=27&amp;payweek=2014-11-21" TargetMode="External"/><Relationship Id="rId1516" Type="http://schemas.openxmlformats.org/officeDocument/2006/relationships/hyperlink" Target="http://dev.dashboard.evolvesolar.com/my-commissions.php?user_id=586&amp;payweek=2014-11-14" TargetMode="External"/><Relationship Id="rId1723" Type="http://schemas.openxmlformats.org/officeDocument/2006/relationships/hyperlink" Target="http://dev.dashboard.evolvesolar.com/my-commissions.php?user_id=28&amp;payweek=2014-10-31" TargetMode="External"/><Relationship Id="rId1930" Type="http://schemas.openxmlformats.org/officeDocument/2006/relationships/hyperlink" Target="http://dev.dashboard.evolvesolar.com/my-commissions.php?user_id=407&amp;payweek=2014-10-20" TargetMode="External"/><Relationship Id="rId15" Type="http://schemas.openxmlformats.org/officeDocument/2006/relationships/hyperlink" Target="http://dev.dashboard.evolvesolar.com/my-commissions.php?user_id=85&amp;payweek=2015-02-06" TargetMode="External"/><Relationship Id="rId3688" Type="http://schemas.openxmlformats.org/officeDocument/2006/relationships/hyperlink" Target="http://dev.dashboard.evolvesolar.com/my-commissions.php?user_id=149&amp;payweek=2014-06-13" TargetMode="External"/><Relationship Id="rId3895" Type="http://schemas.openxmlformats.org/officeDocument/2006/relationships/hyperlink" Target="http://dev.dashboard.evolvesolar.com/my-commissions.php?user_id=109&amp;payweek=2014-05-16" TargetMode="External"/><Relationship Id="rId2497" Type="http://schemas.openxmlformats.org/officeDocument/2006/relationships/hyperlink" Target="http://dev.dashboard.evolvesolar.com/my-commissions.php?user_id=352&amp;payweek=2014-09-12" TargetMode="External"/><Relationship Id="rId3548" Type="http://schemas.openxmlformats.org/officeDocument/2006/relationships/hyperlink" Target="http://dev.dashboard.evolvesolar.com/my-commissions.php?user_id=108&amp;payweek=2014-06-20" TargetMode="External"/><Relationship Id="rId3755" Type="http://schemas.openxmlformats.org/officeDocument/2006/relationships/hyperlink" Target="http://dev.dashboard.evolvesolar.com/my-commissions.php?user_id=120&amp;payweek=2014-06-06" TargetMode="External"/><Relationship Id="rId469" Type="http://schemas.openxmlformats.org/officeDocument/2006/relationships/hyperlink" Target="http://dev.dashboard.evolvesolar.com/my-commissions.php?user_id=498&amp;payweek=2015-01-15" TargetMode="External"/><Relationship Id="rId676" Type="http://schemas.openxmlformats.org/officeDocument/2006/relationships/hyperlink" Target="http://dev.dashboard.evolvesolar.com/my-commissions.php?user_id=219&amp;payweek=2014-12-31" TargetMode="External"/><Relationship Id="rId883" Type="http://schemas.openxmlformats.org/officeDocument/2006/relationships/hyperlink" Target="http://dev.dashboard.evolvesolar.com/my-commissions.php?user_id=858&amp;payweek=2014-12-26" TargetMode="External"/><Relationship Id="rId1099" Type="http://schemas.openxmlformats.org/officeDocument/2006/relationships/hyperlink" Target="http://dev.dashboard.evolvesolar.com/my-commissions.php?user_id=875&amp;payweek=2014-12-12" TargetMode="External"/><Relationship Id="rId2357" Type="http://schemas.openxmlformats.org/officeDocument/2006/relationships/hyperlink" Target="http://dev.dashboard.evolvesolar.com/my-commissions.php?user_id=303&amp;payweek=2014-09-24" TargetMode="External"/><Relationship Id="rId2564" Type="http://schemas.openxmlformats.org/officeDocument/2006/relationships/hyperlink" Target="http://dev.dashboard.evolvesolar.com/my-commissions.php?user_id=580&amp;payweek=2014-09-12" TargetMode="External"/><Relationship Id="rId3408" Type="http://schemas.openxmlformats.org/officeDocument/2006/relationships/hyperlink" Target="http://dev.dashboard.evolvesolar.com/my-commissions.php?user_id=185&amp;payweek=2014-07-11" TargetMode="External"/><Relationship Id="rId3615" Type="http://schemas.openxmlformats.org/officeDocument/2006/relationships/hyperlink" Target="http://dev.dashboard.evolvesolar.com/my-commissions.php?user_id=187&amp;payweek=2014-06-16" TargetMode="External"/><Relationship Id="rId3962" Type="http://schemas.openxmlformats.org/officeDocument/2006/relationships/hyperlink" Target="http://dev.dashboard.evolvesolar.com/my-commissions.php?user_id=95&amp;payweek=2014-05-02" TargetMode="External"/><Relationship Id="rId329" Type="http://schemas.openxmlformats.org/officeDocument/2006/relationships/hyperlink" Target="http://dev.dashboard.evolvesolar.com/my-commissions.php?user_id=897&amp;payweek=2015-01-30" TargetMode="External"/><Relationship Id="rId536" Type="http://schemas.openxmlformats.org/officeDocument/2006/relationships/hyperlink" Target="http://dev.dashboard.evolvesolar.com/my-commissions.php?user_id=179&amp;payweek=2015-01-09" TargetMode="External"/><Relationship Id="rId1166" Type="http://schemas.openxmlformats.org/officeDocument/2006/relationships/hyperlink" Target="http://dev.dashboard.evolvesolar.com/my-commissions.php?user_id=676&amp;payweek=2014-12-05" TargetMode="External"/><Relationship Id="rId1373" Type="http://schemas.openxmlformats.org/officeDocument/2006/relationships/hyperlink" Target="http://dev.dashboard.evolvesolar.com/my-commissions.php?user_id=583&amp;payweek=2014-11-21" TargetMode="External"/><Relationship Id="rId2217" Type="http://schemas.openxmlformats.org/officeDocument/2006/relationships/hyperlink" Target="http://dev.dashboard.evolvesolar.com/my-commissions.php?user_id=582&amp;payweek=2014-10-06" TargetMode="External"/><Relationship Id="rId2771" Type="http://schemas.openxmlformats.org/officeDocument/2006/relationships/hyperlink" Target="http://dev.dashboard.evolvesolar.com/my-commissions.php?user_id=237&amp;payweek=2014-08-28" TargetMode="External"/><Relationship Id="rId3822" Type="http://schemas.openxmlformats.org/officeDocument/2006/relationships/hyperlink" Target="http://dev.dashboard.evolvesolar.com/my-commissions.php?user_id=130&amp;payweek=2014-05-30" TargetMode="External"/><Relationship Id="rId743" Type="http://schemas.openxmlformats.org/officeDocument/2006/relationships/hyperlink" Target="http://dev.dashboard.evolvesolar.com/my-commissions.php?user_id=771&amp;payweek=2014-12-31" TargetMode="External"/><Relationship Id="rId950" Type="http://schemas.openxmlformats.org/officeDocument/2006/relationships/hyperlink" Target="http://dev.dashboard.evolvesolar.com/my-commissions.php?user_id=841&amp;payweek=2014-12-22" TargetMode="External"/><Relationship Id="rId1026" Type="http://schemas.openxmlformats.org/officeDocument/2006/relationships/hyperlink" Target="http://dev.dashboard.evolvesolar.com/my-commissions.php?user_id=261&amp;payweek=2014-12-12" TargetMode="External"/><Relationship Id="rId1580" Type="http://schemas.openxmlformats.org/officeDocument/2006/relationships/hyperlink" Target="http://dev.dashboard.evolvesolar.com/my-commissions.php?user_id=343&amp;payweek=2014-11-12" TargetMode="External"/><Relationship Id="rId2424" Type="http://schemas.openxmlformats.org/officeDocument/2006/relationships/hyperlink" Target="http://dev.dashboard.evolvesolar.com/my-commissions.php?user_id=410&amp;payweek=2014-09-19" TargetMode="External"/><Relationship Id="rId2631" Type="http://schemas.openxmlformats.org/officeDocument/2006/relationships/hyperlink" Target="http://dev.dashboard.evolvesolar.com/my-commissions.php?user_id=203&amp;payweek=2014-09-04" TargetMode="External"/><Relationship Id="rId603" Type="http://schemas.openxmlformats.org/officeDocument/2006/relationships/hyperlink" Target="http://dev.dashboard.evolvesolar.com/my-commissions.php?user_id=672&amp;payweek=2015-01-09" TargetMode="External"/><Relationship Id="rId810" Type="http://schemas.openxmlformats.org/officeDocument/2006/relationships/hyperlink" Target="http://dev.dashboard.evolvesolar.com/my-commissions.php?user_id=403&amp;payweek=2014-12-26" TargetMode="External"/><Relationship Id="rId1233" Type="http://schemas.openxmlformats.org/officeDocument/2006/relationships/hyperlink" Target="http://dev.dashboard.evolvesolar.com/my-commissions.php?user_id=702&amp;payweek=2014-11-28" TargetMode="External"/><Relationship Id="rId1440" Type="http://schemas.openxmlformats.org/officeDocument/2006/relationships/hyperlink" Target="http://dev.dashboard.evolvesolar.com/my-commissions.php?user_id=41&amp;payweek=2014-11-14" TargetMode="External"/><Relationship Id="rId1300" Type="http://schemas.openxmlformats.org/officeDocument/2006/relationships/hyperlink" Target="http://dev.dashboard.evolvesolar.com/my-commissions.php?user_id=793&amp;payweek=2014-11-25" TargetMode="External"/><Relationship Id="rId3198" Type="http://schemas.openxmlformats.org/officeDocument/2006/relationships/hyperlink" Target="http://dev.dashboard.evolvesolar.com/my-commissions.php?user_id=231&amp;payweek=2014-07-31" TargetMode="External"/><Relationship Id="rId3058" Type="http://schemas.openxmlformats.org/officeDocument/2006/relationships/hyperlink" Target="http://dev.dashboard.evolvesolar.com/my-commissions.php?user_id=319&amp;payweek=2014-08-08" TargetMode="External"/><Relationship Id="rId3265" Type="http://schemas.openxmlformats.org/officeDocument/2006/relationships/hyperlink" Target="http://dev.dashboard.evolvesolar.com/my-commissions.php?user_id=217&amp;payweek=2014-07-25" TargetMode="External"/><Relationship Id="rId3472" Type="http://schemas.openxmlformats.org/officeDocument/2006/relationships/hyperlink" Target="http://dev.dashboard.evolvesolar.com/my-commissions.php?user_id=185&amp;payweek=2014-07-03" TargetMode="External"/><Relationship Id="rId4109" Type="http://schemas.openxmlformats.org/officeDocument/2006/relationships/hyperlink" Target="http://dev.dashboard.evolvesolar.com/my-commissions.php?user_id=692&amp;payweek=2014-01-03" TargetMode="External"/><Relationship Id="rId186" Type="http://schemas.openxmlformats.org/officeDocument/2006/relationships/hyperlink" Target="http://dev.dashboard.evolvesolar.com/my-commissions.php?user_id=823&amp;payweek=2015-02-06" TargetMode="External"/><Relationship Id="rId393" Type="http://schemas.openxmlformats.org/officeDocument/2006/relationships/hyperlink" Target="http://dev.dashboard.evolvesolar.com/my-commissions.php?user_id=580&amp;payweek=2015-01-23" TargetMode="External"/><Relationship Id="rId2074" Type="http://schemas.openxmlformats.org/officeDocument/2006/relationships/hyperlink" Target="http://dev.dashboard.evolvesolar.com/my-commissions.php?user_id=217&amp;payweek=2014-10-10" TargetMode="External"/><Relationship Id="rId2281" Type="http://schemas.openxmlformats.org/officeDocument/2006/relationships/hyperlink" Target="http://dev.dashboard.evolvesolar.com/my-commissions.php?user_id=37&amp;payweek=2014-09-25" TargetMode="External"/><Relationship Id="rId3125" Type="http://schemas.openxmlformats.org/officeDocument/2006/relationships/hyperlink" Target="http://dev.dashboard.evolvesolar.com/my-commissions.php?user_id=236&amp;payweek=2014-08-04" TargetMode="External"/><Relationship Id="rId3332" Type="http://schemas.openxmlformats.org/officeDocument/2006/relationships/hyperlink" Target="http://dev.dashboard.evolvesolar.com/my-commissions.php?user_id=202&amp;payweek=2014-07-18" TargetMode="External"/><Relationship Id="rId253" Type="http://schemas.openxmlformats.org/officeDocument/2006/relationships/hyperlink" Target="http://dev.dashboard.evolvesolar.com/my-commissions.php?user_id=217&amp;payweek=2015-01-30" TargetMode="External"/><Relationship Id="rId460" Type="http://schemas.openxmlformats.org/officeDocument/2006/relationships/hyperlink" Target="http://dev.dashboard.evolvesolar.com/my-commissions.php?user_id=355&amp;payweek=2015-01-15" TargetMode="External"/><Relationship Id="rId1090" Type="http://schemas.openxmlformats.org/officeDocument/2006/relationships/hyperlink" Target="http://dev.dashboard.evolvesolar.com/my-commissions.php?user_id=750&amp;payweek=2014-12-12" TargetMode="External"/><Relationship Id="rId2141" Type="http://schemas.openxmlformats.org/officeDocument/2006/relationships/hyperlink" Target="http://dev.dashboard.evolvesolar.com/my-commissions.php?user_id=616&amp;payweek=2014-10-10" TargetMode="External"/><Relationship Id="rId113" Type="http://schemas.openxmlformats.org/officeDocument/2006/relationships/hyperlink" Target="http://dev.dashboard.evolvesolar.com/my-commissions.php?user_id=430&amp;payweek=2015-02-06" TargetMode="External"/><Relationship Id="rId320" Type="http://schemas.openxmlformats.org/officeDocument/2006/relationships/hyperlink" Target="http://dev.dashboard.evolvesolar.com/my-commissions.php?user_id=852&amp;payweek=2015-01-30" TargetMode="External"/><Relationship Id="rId2001" Type="http://schemas.openxmlformats.org/officeDocument/2006/relationships/hyperlink" Target="http://dev.dashboard.evolvesolar.com/my-commissions.php?user_id=387&amp;payweek=2014-10-17" TargetMode="External"/><Relationship Id="rId2958" Type="http://schemas.openxmlformats.org/officeDocument/2006/relationships/hyperlink" Target="http://dev.dashboard.evolvesolar.com/my-commissions.php?user_id=261&amp;payweek=2014-08-15" TargetMode="External"/><Relationship Id="rId1767" Type="http://schemas.openxmlformats.org/officeDocument/2006/relationships/hyperlink" Target="http://dev.dashboard.evolvesolar.com/my-commissions.php?user_id=453&amp;payweek=2014-10-31" TargetMode="External"/><Relationship Id="rId1974" Type="http://schemas.openxmlformats.org/officeDocument/2006/relationships/hyperlink" Target="http://dev.dashboard.evolvesolar.com/my-commissions.php?user_id=202&amp;payweek=2014-10-17" TargetMode="External"/><Relationship Id="rId2818" Type="http://schemas.openxmlformats.org/officeDocument/2006/relationships/hyperlink" Target="http://dev.dashboard.evolvesolar.com/my-commissions.php?user_id=206&amp;payweek=2014-08-22" TargetMode="External"/><Relationship Id="rId59" Type="http://schemas.openxmlformats.org/officeDocument/2006/relationships/hyperlink" Target="http://dev.dashboard.evolvesolar.com/my-commissions.php?user_id=219&amp;payweek=2015-02-06" TargetMode="External"/><Relationship Id="rId1627" Type="http://schemas.openxmlformats.org/officeDocument/2006/relationships/hyperlink" Target="http://dev.dashboard.evolvesolar.com/my-commissions.php?user_id=355&amp;payweek=2014-11-07" TargetMode="External"/><Relationship Id="rId1834" Type="http://schemas.openxmlformats.org/officeDocument/2006/relationships/hyperlink" Target="http://dev.dashboard.evolvesolar.com/my-commissions.php?user_id=175&amp;payweek=2014-10-24" TargetMode="External"/><Relationship Id="rId4033" Type="http://schemas.openxmlformats.org/officeDocument/2006/relationships/hyperlink" Target="http://dev.dashboard.evolvesolar.com/my-commissions.php?user_id=104&amp;payweek=2014-04-11" TargetMode="External"/><Relationship Id="rId3799" Type="http://schemas.openxmlformats.org/officeDocument/2006/relationships/hyperlink" Target="http://dev.dashboard.evolvesolar.com/my-commissions.php?user_id=96&amp;payweek=2014-05-30" TargetMode="External"/><Relationship Id="rId4100" Type="http://schemas.openxmlformats.org/officeDocument/2006/relationships/hyperlink" Target="http://dev.dashboard.evolvesolar.com/my-commissions.php?user_id=79&amp;payweek=2014-02-28" TargetMode="External"/><Relationship Id="rId1901" Type="http://schemas.openxmlformats.org/officeDocument/2006/relationships/hyperlink" Target="http://dev.dashboard.evolvesolar.com/my-commissions.php?user_id=638&amp;payweek=2014-10-24" TargetMode="External"/><Relationship Id="rId3659" Type="http://schemas.openxmlformats.org/officeDocument/2006/relationships/hyperlink" Target="http://dev.dashboard.evolvesolar.com/my-commissions.php?user_id=114&amp;payweek=2014-06-13" TargetMode="External"/><Relationship Id="rId3866" Type="http://schemas.openxmlformats.org/officeDocument/2006/relationships/hyperlink" Target="http://dev.dashboard.evolvesolar.com/my-commissions.php?user_id=116&amp;payweek=2014-05-23" TargetMode="External"/><Relationship Id="rId787" Type="http://schemas.openxmlformats.org/officeDocument/2006/relationships/hyperlink" Target="http://dev.dashboard.evolvesolar.com/my-commissions.php?user_id=302&amp;payweek=2014-12-26" TargetMode="External"/><Relationship Id="rId994" Type="http://schemas.openxmlformats.org/officeDocument/2006/relationships/hyperlink" Target="http://dev.dashboard.evolvesolar.com/my-commissions.php?user_id=890&amp;payweek=2014-12-15" TargetMode="External"/><Relationship Id="rId2468" Type="http://schemas.openxmlformats.org/officeDocument/2006/relationships/hyperlink" Target="http://dev.dashboard.evolvesolar.com/my-commissions.php?user_id=231&amp;payweek=2014-09-12" TargetMode="External"/><Relationship Id="rId2675" Type="http://schemas.openxmlformats.org/officeDocument/2006/relationships/hyperlink" Target="http://dev.dashboard.evolvesolar.com/my-commissions.php?user_id=429&amp;payweek=2014-09-04" TargetMode="External"/><Relationship Id="rId2882" Type="http://schemas.openxmlformats.org/officeDocument/2006/relationships/hyperlink" Target="http://dev.dashboard.evolvesolar.com/my-commissions.php?user_id=368&amp;payweek=2014-08-22" TargetMode="External"/><Relationship Id="rId3519" Type="http://schemas.openxmlformats.org/officeDocument/2006/relationships/hyperlink" Target="http://dev.dashboard.evolvesolar.com/my-commissions.php?user_id=142&amp;payweek=2014-06-23" TargetMode="External"/><Relationship Id="rId3726" Type="http://schemas.openxmlformats.org/officeDocument/2006/relationships/hyperlink" Target="http://dev.dashboard.evolvesolar.com/my-commissions.php?user_id=85&amp;payweek=2014-06-06" TargetMode="External"/><Relationship Id="rId3933" Type="http://schemas.openxmlformats.org/officeDocument/2006/relationships/hyperlink" Target="http://dev.dashboard.evolvesolar.com/my-commissions.php?user_id=113&amp;payweek=2014-05-09" TargetMode="External"/><Relationship Id="rId647" Type="http://schemas.openxmlformats.org/officeDocument/2006/relationships/hyperlink" Target="http://dev.dashboard.evolvesolar.com/my-commissions.php?user_id=41&amp;payweek=2014-12-31" TargetMode="External"/><Relationship Id="rId854" Type="http://schemas.openxmlformats.org/officeDocument/2006/relationships/hyperlink" Target="http://dev.dashboard.evolvesolar.com/my-commissions.php?user_id=664&amp;payweek=2014-12-26" TargetMode="External"/><Relationship Id="rId1277" Type="http://schemas.openxmlformats.org/officeDocument/2006/relationships/hyperlink" Target="http://dev.dashboard.evolvesolar.com/my-commissions.php?user_id=676&amp;payweek=2014-11-25" TargetMode="External"/><Relationship Id="rId1484" Type="http://schemas.openxmlformats.org/officeDocument/2006/relationships/hyperlink" Target="http://dev.dashboard.evolvesolar.com/my-commissions.php?user_id=321&amp;payweek=2014-11-14" TargetMode="External"/><Relationship Id="rId1691" Type="http://schemas.openxmlformats.org/officeDocument/2006/relationships/hyperlink" Target="http://dev.dashboard.evolvesolar.com/my-commissions.php?user_id=676&amp;payweek=2014-11-07" TargetMode="External"/><Relationship Id="rId2328" Type="http://schemas.openxmlformats.org/officeDocument/2006/relationships/hyperlink" Target="http://dev.dashboard.evolvesolar.com/my-commissions.php?user_id=458&amp;payweek=2014-09-25" TargetMode="External"/><Relationship Id="rId2535" Type="http://schemas.openxmlformats.org/officeDocument/2006/relationships/hyperlink" Target="http://dev.dashboard.evolvesolar.com/my-commissions.php?user_id=443&amp;payweek=2014-09-12" TargetMode="External"/><Relationship Id="rId2742" Type="http://schemas.openxmlformats.org/officeDocument/2006/relationships/hyperlink" Target="http://dev.dashboard.evolvesolar.com/my-commissions.php?user_id=580&amp;payweek=2014-08-29" TargetMode="External"/><Relationship Id="rId507" Type="http://schemas.openxmlformats.org/officeDocument/2006/relationships/hyperlink" Target="http://dev.dashboard.evolvesolar.com/my-commissions.php?user_id=844&amp;payweek=2015-01-15" TargetMode="External"/><Relationship Id="rId714" Type="http://schemas.openxmlformats.org/officeDocument/2006/relationships/hyperlink" Target="http://dev.dashboard.evolvesolar.com/my-commissions.php?user_id=512&amp;payweek=2014-12-31" TargetMode="External"/><Relationship Id="rId921" Type="http://schemas.openxmlformats.org/officeDocument/2006/relationships/hyperlink" Target="http://dev.dashboard.evolvesolar.com/my-commissions.php?user_id=438&amp;payweek=2014-12-22" TargetMode="External"/><Relationship Id="rId1137" Type="http://schemas.openxmlformats.org/officeDocument/2006/relationships/hyperlink" Target="http://dev.dashboard.evolvesolar.com/my-commissions.php?user_id=475&amp;payweek=2014-12-05" TargetMode="External"/><Relationship Id="rId1344" Type="http://schemas.openxmlformats.org/officeDocument/2006/relationships/hyperlink" Target="http://dev.dashboard.evolvesolar.com/my-commissions.php?user_id=303&amp;payweek=2014-11-21" TargetMode="External"/><Relationship Id="rId1551" Type="http://schemas.openxmlformats.org/officeDocument/2006/relationships/hyperlink" Target="http://dev.dashboard.evolvesolar.com/my-commissions.php?user_id=714&amp;payweek=2014-11-14" TargetMode="External"/><Relationship Id="rId2602" Type="http://schemas.openxmlformats.org/officeDocument/2006/relationships/hyperlink" Target="http://dev.dashboard.evolvesolar.com/my-commissions.php?user_id=261&amp;payweek=2014-09-05" TargetMode="External"/><Relationship Id="rId50" Type="http://schemas.openxmlformats.org/officeDocument/2006/relationships/hyperlink" Target="http://dev.dashboard.evolvesolar.com/my-commissions.php?user_id=158&amp;payweek=2015-02-06" TargetMode="External"/><Relationship Id="rId1204" Type="http://schemas.openxmlformats.org/officeDocument/2006/relationships/hyperlink" Target="http://dev.dashboard.evolvesolar.com/my-commissions.php?user_id=890&amp;payweek=2014-12-05" TargetMode="External"/><Relationship Id="rId1411" Type="http://schemas.openxmlformats.org/officeDocument/2006/relationships/hyperlink" Target="http://dev.dashboard.evolvesolar.com/my-commissions.php?user_id=735&amp;payweek=2014-11-21" TargetMode="External"/><Relationship Id="rId3169" Type="http://schemas.openxmlformats.org/officeDocument/2006/relationships/hyperlink" Target="http://dev.dashboard.evolvesolar.com/my-commissions.php?user_id=140&amp;payweek=2014-07-31" TargetMode="External"/><Relationship Id="rId3376" Type="http://schemas.openxmlformats.org/officeDocument/2006/relationships/hyperlink" Target="http://dev.dashboard.evolvesolar.com/my-commissions.php?user_id=83&amp;payweek=2014-07-11" TargetMode="External"/><Relationship Id="rId3583" Type="http://schemas.openxmlformats.org/officeDocument/2006/relationships/hyperlink" Target="http://dev.dashboard.evolvesolar.com/my-commissions.php?user_id=159&amp;payweek=2014-06-20" TargetMode="External"/><Relationship Id="rId297" Type="http://schemas.openxmlformats.org/officeDocument/2006/relationships/hyperlink" Target="http://dev.dashboard.evolvesolar.com/my-commissions.php?user_id=695&amp;payweek=2015-01-30" TargetMode="External"/><Relationship Id="rId2185" Type="http://schemas.openxmlformats.org/officeDocument/2006/relationships/hyperlink" Target="http://dev.dashboard.evolvesolar.com/my-commissions.php?user_id=329&amp;payweek=2014-10-06" TargetMode="External"/><Relationship Id="rId2392" Type="http://schemas.openxmlformats.org/officeDocument/2006/relationships/hyperlink" Target="http://dev.dashboard.evolvesolar.com/my-commissions.php?user_id=218&amp;payweek=2014-09-19" TargetMode="External"/><Relationship Id="rId3029" Type="http://schemas.openxmlformats.org/officeDocument/2006/relationships/hyperlink" Target="http://dev.dashboard.evolvesolar.com/my-commissions.php?user_id=214&amp;payweek=2014-08-08" TargetMode="External"/><Relationship Id="rId3236" Type="http://schemas.openxmlformats.org/officeDocument/2006/relationships/hyperlink" Target="http://dev.dashboard.evolvesolar.com/my-commissions.php?user_id=116&amp;payweek=2014-07-25" TargetMode="External"/><Relationship Id="rId3790" Type="http://schemas.openxmlformats.org/officeDocument/2006/relationships/hyperlink" Target="http://dev.dashboard.evolvesolar.com/my-commissions.php?user_id=63&amp;payweek=2014-05-30" TargetMode="External"/><Relationship Id="rId157" Type="http://schemas.openxmlformats.org/officeDocument/2006/relationships/hyperlink" Target="http://dev.dashboard.evolvesolar.com/my-commissions.php?user_id=648&amp;payweek=2015-02-06" TargetMode="External"/><Relationship Id="rId364" Type="http://schemas.openxmlformats.org/officeDocument/2006/relationships/hyperlink" Target="http://dev.dashboard.evolvesolar.com/my-commissions.php?user_id=217&amp;payweek=2015-01-23" TargetMode="External"/><Relationship Id="rId2045" Type="http://schemas.openxmlformats.org/officeDocument/2006/relationships/hyperlink" Target="http://dev.dashboard.evolvesolar.com/my-commissions.php?user_id=212&amp;payweek=2014-10-14" TargetMode="External"/><Relationship Id="rId3443" Type="http://schemas.openxmlformats.org/officeDocument/2006/relationships/hyperlink" Target="http://dev.dashboard.evolvesolar.com/my-commissions.php?user_id=133&amp;payweek=2014-07-04" TargetMode="External"/><Relationship Id="rId3650" Type="http://schemas.openxmlformats.org/officeDocument/2006/relationships/hyperlink" Target="http://dev.dashboard.evolvesolar.com/my-commissions.php?user_id=102&amp;payweek=2014-06-13" TargetMode="External"/><Relationship Id="rId571" Type="http://schemas.openxmlformats.org/officeDocument/2006/relationships/hyperlink" Target="http://dev.dashboard.evolvesolar.com/my-commissions.php?user_id=405&amp;payweek=2015-01-09" TargetMode="External"/><Relationship Id="rId2252" Type="http://schemas.openxmlformats.org/officeDocument/2006/relationships/hyperlink" Target="http://dev.dashboard.evolvesolar.com/my-commissions.php?user_id=594&amp;payweek=2014-10-03" TargetMode="External"/><Relationship Id="rId3303" Type="http://schemas.openxmlformats.org/officeDocument/2006/relationships/hyperlink" Target="http://dev.dashboard.evolvesolar.com/my-commissions.php?user_id=324&amp;payweek=2014-07-21" TargetMode="External"/><Relationship Id="rId3510" Type="http://schemas.openxmlformats.org/officeDocument/2006/relationships/hyperlink" Target="http://dev.dashboard.evolvesolar.com/my-commissions.php?user_id=185&amp;payweek=2014-06-27" TargetMode="External"/><Relationship Id="rId224" Type="http://schemas.openxmlformats.org/officeDocument/2006/relationships/hyperlink" Target="http://dev.dashboard.evolvesolar.com/my-commissions.php?user_id=966&amp;payweek=2015-02-06" TargetMode="External"/><Relationship Id="rId431" Type="http://schemas.openxmlformats.org/officeDocument/2006/relationships/hyperlink" Target="http://dev.dashboard.evolvesolar.com/my-commissions.php?user_id=268&amp;payweek=2015-01-16" TargetMode="External"/><Relationship Id="rId1061" Type="http://schemas.openxmlformats.org/officeDocument/2006/relationships/hyperlink" Target="http://dev.dashboard.evolvesolar.com/my-commissions.php?user_id=583&amp;payweek=2014-12-12" TargetMode="External"/><Relationship Id="rId2112" Type="http://schemas.openxmlformats.org/officeDocument/2006/relationships/hyperlink" Target="http://dev.dashboard.evolvesolar.com/my-commissions.php?user_id=429&amp;payweek=2014-10-10" TargetMode="External"/><Relationship Id="rId1878" Type="http://schemas.openxmlformats.org/officeDocument/2006/relationships/hyperlink" Target="http://dev.dashboard.evolvesolar.com/my-commissions.php?user_id=582&amp;payweek=2014-10-24" TargetMode="External"/><Relationship Id="rId2929" Type="http://schemas.openxmlformats.org/officeDocument/2006/relationships/hyperlink" Target="http://dev.dashboard.evolvesolar.com/my-commissions.php?user_id=85&amp;payweek=2014-08-15" TargetMode="External"/><Relationship Id="rId4077" Type="http://schemas.openxmlformats.org/officeDocument/2006/relationships/hyperlink" Target="http://dev.dashboard.evolvesolar.com/my-commissions.php?user_id=41&amp;payweek=2014-03-21" TargetMode="External"/><Relationship Id="rId1738" Type="http://schemas.openxmlformats.org/officeDocument/2006/relationships/hyperlink" Target="http://dev.dashboard.evolvesolar.com/my-commissions.php?user_id=269&amp;payweek=2014-10-31" TargetMode="External"/><Relationship Id="rId3093" Type="http://schemas.openxmlformats.org/officeDocument/2006/relationships/hyperlink" Target="http://dev.dashboard.evolvesolar.com/my-commissions.php?user_id=230&amp;payweek=2014-08-07" TargetMode="External"/><Relationship Id="rId1945" Type="http://schemas.openxmlformats.org/officeDocument/2006/relationships/hyperlink" Target="http://dev.dashboard.evolvesolar.com/my-commissions.php?user_id=691&amp;payweek=2014-10-20" TargetMode="External"/><Relationship Id="rId3160" Type="http://schemas.openxmlformats.org/officeDocument/2006/relationships/hyperlink" Target="http://dev.dashboard.evolvesolar.com/my-commissions.php?user_id=59&amp;payweek=2014-07-31" TargetMode="External"/><Relationship Id="rId4004" Type="http://schemas.openxmlformats.org/officeDocument/2006/relationships/hyperlink" Target="http://dev.dashboard.evolvesolar.com/my-commissions.php?user_id=110&amp;payweek=2014-04-18" TargetMode="External"/><Relationship Id="rId1805" Type="http://schemas.openxmlformats.org/officeDocument/2006/relationships/hyperlink" Target="http://dev.dashboard.evolvesolar.com/my-commissions.php?user_id=650&amp;payweek=2014-10-31" TargetMode="External"/><Relationship Id="rId3020" Type="http://schemas.openxmlformats.org/officeDocument/2006/relationships/hyperlink" Target="http://dev.dashboard.evolvesolar.com/my-commissions.php?user_id=85&amp;payweek=2014-08-08" TargetMode="External"/><Relationship Id="rId3977" Type="http://schemas.openxmlformats.org/officeDocument/2006/relationships/hyperlink" Target="http://dev.dashboard.evolvesolar.com/my-commissions.php?user_id=38&amp;payweek=2014-04-24" TargetMode="External"/><Relationship Id="rId898" Type="http://schemas.openxmlformats.org/officeDocument/2006/relationships/hyperlink" Target="http://dev.dashboard.evolvesolar.com/my-commissions.php?user_id=114&amp;payweek=2014-12-22" TargetMode="External"/><Relationship Id="rId2579" Type="http://schemas.openxmlformats.org/officeDocument/2006/relationships/hyperlink" Target="http://dev.dashboard.evolvesolar.com/my-commissions.php?user_id=480&amp;payweek=2014-09-09" TargetMode="External"/><Relationship Id="rId2786" Type="http://schemas.openxmlformats.org/officeDocument/2006/relationships/hyperlink" Target="http://dev.dashboard.evolvesolar.com/my-commissions.php?user_id=382&amp;payweek=2014-08-28" TargetMode="External"/><Relationship Id="rId2993" Type="http://schemas.openxmlformats.org/officeDocument/2006/relationships/hyperlink" Target="http://dev.dashboard.evolvesolar.com/my-commissions.php?user_id=302&amp;payweek=2014-08-14" TargetMode="External"/><Relationship Id="rId3837" Type="http://schemas.openxmlformats.org/officeDocument/2006/relationships/hyperlink" Target="http://dev.dashboard.evolvesolar.com/my-commissions.php?user_id=41&amp;payweek=2014-05-23" TargetMode="External"/><Relationship Id="rId758" Type="http://schemas.openxmlformats.org/officeDocument/2006/relationships/hyperlink" Target="http://dev.dashboard.evolvesolar.com/my-commissions.php?user_id=77&amp;payweek=2014-12-26" TargetMode="External"/><Relationship Id="rId965" Type="http://schemas.openxmlformats.org/officeDocument/2006/relationships/hyperlink" Target="http://dev.dashboard.evolvesolar.com/my-commissions.php?user_id=389&amp;payweek=2014-12-19" TargetMode="External"/><Relationship Id="rId1388" Type="http://schemas.openxmlformats.org/officeDocument/2006/relationships/hyperlink" Target="http://dev.dashboard.evolvesolar.com/my-commissions.php?user_id=656&amp;payweek=2014-11-21" TargetMode="External"/><Relationship Id="rId1595" Type="http://schemas.openxmlformats.org/officeDocument/2006/relationships/hyperlink" Target="http://dev.dashboard.evolvesolar.com/my-commissions.php?user_id=27&amp;payweek=2014-11-07" TargetMode="External"/><Relationship Id="rId2439" Type="http://schemas.openxmlformats.org/officeDocument/2006/relationships/hyperlink" Target="http://dev.dashboard.evolvesolar.com/my-commissions.php?user_id=580&amp;payweek=2014-09-19" TargetMode="External"/><Relationship Id="rId2646" Type="http://schemas.openxmlformats.org/officeDocument/2006/relationships/hyperlink" Target="http://dev.dashboard.evolvesolar.com/my-commissions.php?user_id=232&amp;payweek=2014-09-04" TargetMode="External"/><Relationship Id="rId2853" Type="http://schemas.openxmlformats.org/officeDocument/2006/relationships/hyperlink" Target="http://dev.dashboard.evolvesolar.com/my-commissions.php?user_id=250&amp;payweek=2014-08-22" TargetMode="External"/><Relationship Id="rId3904" Type="http://schemas.openxmlformats.org/officeDocument/2006/relationships/hyperlink" Target="http://dev.dashboard.evolvesolar.com/my-commissions.php?user_id=116&amp;payweek=2014-05-16" TargetMode="External"/><Relationship Id="rId94" Type="http://schemas.openxmlformats.org/officeDocument/2006/relationships/hyperlink" Target="http://dev.dashboard.evolvesolar.com/my-commissions.php?user_id=332&amp;payweek=2015-02-06" TargetMode="External"/><Relationship Id="rId618" Type="http://schemas.openxmlformats.org/officeDocument/2006/relationships/hyperlink" Target="http://dev.dashboard.evolvesolar.com/my-commissions.php?user_id=708&amp;payweek=2015-01-09" TargetMode="External"/><Relationship Id="rId825" Type="http://schemas.openxmlformats.org/officeDocument/2006/relationships/hyperlink" Target="http://dev.dashboard.evolvesolar.com/my-commissions.php?user_id=551&amp;payweek=2014-12-26" TargetMode="External"/><Relationship Id="rId1248" Type="http://schemas.openxmlformats.org/officeDocument/2006/relationships/hyperlink" Target="http://dev.dashboard.evolvesolar.com/my-commissions.php?user_id=615&amp;payweek=2014-11-26" TargetMode="External"/><Relationship Id="rId1455" Type="http://schemas.openxmlformats.org/officeDocument/2006/relationships/hyperlink" Target="http://dev.dashboard.evolvesolar.com/my-commissions.php?user_id=183&amp;payweek=2014-11-14" TargetMode="External"/><Relationship Id="rId1662" Type="http://schemas.openxmlformats.org/officeDocument/2006/relationships/hyperlink" Target="http://dev.dashboard.evolvesolar.com/my-commissions.php?user_id=583&amp;payweek=2014-11-07" TargetMode="External"/><Relationship Id="rId2506" Type="http://schemas.openxmlformats.org/officeDocument/2006/relationships/hyperlink" Target="http://dev.dashboard.evolvesolar.com/my-commissions.php?user_id=365&amp;payweek=2014-09-12" TargetMode="External"/><Relationship Id="rId1108" Type="http://schemas.openxmlformats.org/officeDocument/2006/relationships/hyperlink" Target="http://dev.dashboard.evolvesolar.com/my-commissions.php?user_id=890&amp;payweek=2014-12-08" TargetMode="External"/><Relationship Id="rId1315" Type="http://schemas.openxmlformats.org/officeDocument/2006/relationships/hyperlink" Target="http://dev.dashboard.evolvesolar.com/my-commissions.php?user_id=41&amp;payweek=2014-11-21" TargetMode="External"/><Relationship Id="rId2713" Type="http://schemas.openxmlformats.org/officeDocument/2006/relationships/hyperlink" Target="http://dev.dashboard.evolvesolar.com/my-commissions.php?user_id=325&amp;payweek=2014-08-29" TargetMode="External"/><Relationship Id="rId2920" Type="http://schemas.openxmlformats.org/officeDocument/2006/relationships/hyperlink" Target="http://dev.dashboard.evolvesolar.com/my-commissions.php?user_id=27&amp;payweek=2014-08-15" TargetMode="External"/><Relationship Id="rId1522" Type="http://schemas.openxmlformats.org/officeDocument/2006/relationships/hyperlink" Target="http://dev.dashboard.evolvesolar.com/my-commissions.php?user_id=606&amp;payweek=2014-11-14" TargetMode="External"/><Relationship Id="rId21" Type="http://schemas.openxmlformats.org/officeDocument/2006/relationships/hyperlink" Target="http://dev.dashboard.evolvesolar.com/my-commissions.php?user_id=107&amp;payweek=2015-02-06" TargetMode="External"/><Relationship Id="rId2089" Type="http://schemas.openxmlformats.org/officeDocument/2006/relationships/hyperlink" Target="http://dev.dashboard.evolvesolar.com/my-commissions.php?user_id=304&amp;payweek=2014-10-10" TargetMode="External"/><Relationship Id="rId3487" Type="http://schemas.openxmlformats.org/officeDocument/2006/relationships/hyperlink" Target="http://dev.dashboard.evolvesolar.com/my-commissions.php?user_id=88&amp;payweek=2014-06-27" TargetMode="External"/><Relationship Id="rId3694" Type="http://schemas.openxmlformats.org/officeDocument/2006/relationships/hyperlink" Target="http://dev.dashboard.evolvesolar.com/my-commissions.php?user_id=160&amp;payweek=2014-06-13" TargetMode="External"/><Relationship Id="rId2296" Type="http://schemas.openxmlformats.org/officeDocument/2006/relationships/hyperlink" Target="http://dev.dashboard.evolvesolar.com/my-commissions.php?user_id=269&amp;payweek=2014-09-25" TargetMode="External"/><Relationship Id="rId3347" Type="http://schemas.openxmlformats.org/officeDocument/2006/relationships/hyperlink" Target="http://dev.dashboard.evolvesolar.com/my-commissions.php?user_id=231&amp;payweek=2014-07-18" TargetMode="External"/><Relationship Id="rId3554" Type="http://schemas.openxmlformats.org/officeDocument/2006/relationships/hyperlink" Target="http://dev.dashboard.evolvesolar.com/my-commissions.php?user_id=125&amp;payweek=2014-06-20" TargetMode="External"/><Relationship Id="rId3761" Type="http://schemas.openxmlformats.org/officeDocument/2006/relationships/hyperlink" Target="http://dev.dashboard.evolvesolar.com/my-commissions.php?user_id=137&amp;payweek=2014-06-06" TargetMode="External"/><Relationship Id="rId268" Type="http://schemas.openxmlformats.org/officeDocument/2006/relationships/hyperlink" Target="http://dev.dashboard.evolvesolar.com/my-commissions.php?user_id=382&amp;payweek=2015-01-30" TargetMode="External"/><Relationship Id="rId475" Type="http://schemas.openxmlformats.org/officeDocument/2006/relationships/hyperlink" Target="http://dev.dashboard.evolvesolar.com/my-commissions.php?user_id=607&amp;payweek=2015-01-15" TargetMode="External"/><Relationship Id="rId682" Type="http://schemas.openxmlformats.org/officeDocument/2006/relationships/hyperlink" Target="http://dev.dashboard.evolvesolar.com/my-commissions.php?user_id=261&amp;payweek=2014-12-31" TargetMode="External"/><Relationship Id="rId2156" Type="http://schemas.openxmlformats.org/officeDocument/2006/relationships/hyperlink" Target="http://dev.dashboard.evolvesolar.com/my-commissions.php?user_id=574&amp;payweek=2014-10-07" TargetMode="External"/><Relationship Id="rId2363" Type="http://schemas.openxmlformats.org/officeDocument/2006/relationships/hyperlink" Target="http://dev.dashboard.evolvesolar.com/my-commissions.php?user_id=231&amp;payweek=2014-09-22" TargetMode="External"/><Relationship Id="rId2570" Type="http://schemas.openxmlformats.org/officeDocument/2006/relationships/hyperlink" Target="http://dev.dashboard.evolvesolar.com/my-commissions.php?user_id=41&amp;payweek=2014-09-10" TargetMode="External"/><Relationship Id="rId3207" Type="http://schemas.openxmlformats.org/officeDocument/2006/relationships/hyperlink" Target="http://dev.dashboard.evolvesolar.com/my-commissions.php?user_id=239&amp;payweek=2014-07-31" TargetMode="External"/><Relationship Id="rId3414" Type="http://schemas.openxmlformats.org/officeDocument/2006/relationships/hyperlink" Target="http://dev.dashboard.evolvesolar.com/my-commissions.php?user_id=204&amp;payweek=2014-07-11" TargetMode="External"/><Relationship Id="rId3621" Type="http://schemas.openxmlformats.org/officeDocument/2006/relationships/hyperlink" Target="http://dev.dashboard.evolvesolar.com/my-commissions.php?user_id=37&amp;payweek=2014-06-13" TargetMode="External"/><Relationship Id="rId128" Type="http://schemas.openxmlformats.org/officeDocument/2006/relationships/hyperlink" Target="http://dev.dashboard.evolvesolar.com/my-commissions.php?user_id=475&amp;payweek=2015-02-06" TargetMode="External"/><Relationship Id="rId335" Type="http://schemas.openxmlformats.org/officeDocument/2006/relationships/hyperlink" Target="http://dev.dashboard.evolvesolar.com/my-commissions.php?user_id=940&amp;payweek=2015-01-30" TargetMode="External"/><Relationship Id="rId542" Type="http://schemas.openxmlformats.org/officeDocument/2006/relationships/hyperlink" Target="http://dev.dashboard.evolvesolar.com/my-commissions.php?user_id=261&amp;payweek=2015-01-09" TargetMode="External"/><Relationship Id="rId1172" Type="http://schemas.openxmlformats.org/officeDocument/2006/relationships/hyperlink" Target="http://dev.dashboard.evolvesolar.com/my-commissions.php?user_id=690&amp;payweek=2014-12-05" TargetMode="External"/><Relationship Id="rId2016" Type="http://schemas.openxmlformats.org/officeDocument/2006/relationships/hyperlink" Target="http://dev.dashboard.evolvesolar.com/my-commissions.php?user_id=472&amp;payweek=2014-10-17" TargetMode="External"/><Relationship Id="rId2223" Type="http://schemas.openxmlformats.org/officeDocument/2006/relationships/hyperlink" Target="http://dev.dashboard.evolvesolar.com/my-commissions.php?user_id=634&amp;payweek=2014-10-06" TargetMode="External"/><Relationship Id="rId2430" Type="http://schemas.openxmlformats.org/officeDocument/2006/relationships/hyperlink" Target="http://dev.dashboard.evolvesolar.com/my-commissions.php?user_id=472&amp;payweek=2014-09-19" TargetMode="External"/><Relationship Id="rId402" Type="http://schemas.openxmlformats.org/officeDocument/2006/relationships/hyperlink" Target="http://dev.dashboard.evolvesolar.com/my-commissions.php?user_id=648&amp;payweek=2015-01-23" TargetMode="External"/><Relationship Id="rId1032" Type="http://schemas.openxmlformats.org/officeDocument/2006/relationships/hyperlink" Target="http://dev.dashboard.evolvesolar.com/my-commissions.php?user_id=308&amp;payweek=2014-12-12" TargetMode="External"/><Relationship Id="rId1989" Type="http://schemas.openxmlformats.org/officeDocument/2006/relationships/hyperlink" Target="http://dev.dashboard.evolvesolar.com/my-commissions.php?user_id=282&amp;payweek=2014-10-17" TargetMode="External"/><Relationship Id="rId4048" Type="http://schemas.openxmlformats.org/officeDocument/2006/relationships/hyperlink" Target="http://dev.dashboard.evolvesolar.com/my-commissions.php?user_id=79&amp;payweek=2014-04-04" TargetMode="External"/><Relationship Id="rId1849" Type="http://schemas.openxmlformats.org/officeDocument/2006/relationships/hyperlink" Target="http://dev.dashboard.evolvesolar.com/my-commissions.php?user_id=343&amp;payweek=2014-10-24" TargetMode="External"/><Relationship Id="rId3064" Type="http://schemas.openxmlformats.org/officeDocument/2006/relationships/hyperlink" Target="http://dev.dashboard.evolvesolar.com/my-commissions.php?user_id=382&amp;payweek=2014-08-08" TargetMode="External"/><Relationship Id="rId192" Type="http://schemas.openxmlformats.org/officeDocument/2006/relationships/hyperlink" Target="http://dev.dashboard.evolvesolar.com/my-commissions.php?user_id=867&amp;payweek=2015-02-06" TargetMode="External"/><Relationship Id="rId1709" Type="http://schemas.openxmlformats.org/officeDocument/2006/relationships/hyperlink" Target="http://dev.dashboard.evolvesolar.com/my-commissions.php?user_id=722&amp;payweek=2014-11-07" TargetMode="External"/><Relationship Id="rId1916" Type="http://schemas.openxmlformats.org/officeDocument/2006/relationships/hyperlink" Target="http://dev.dashboard.evolvesolar.com/my-commissions.php?user_id=683&amp;payweek=2014-10-24" TargetMode="External"/><Relationship Id="rId3271" Type="http://schemas.openxmlformats.org/officeDocument/2006/relationships/hyperlink" Target="http://dev.dashboard.evolvesolar.com/my-commissions.php?user_id=230&amp;payweek=2014-07-25" TargetMode="External"/><Relationship Id="rId2080" Type="http://schemas.openxmlformats.org/officeDocument/2006/relationships/hyperlink" Target="http://dev.dashboard.evolvesolar.com/my-commissions.php?user_id=261&amp;payweek=2014-10-10" TargetMode="External"/><Relationship Id="rId3131" Type="http://schemas.openxmlformats.org/officeDocument/2006/relationships/hyperlink" Target="http://dev.dashboard.evolvesolar.com/my-commissions.php?user_id=185&amp;payweek=2014-08-01" TargetMode="External"/><Relationship Id="rId2897" Type="http://schemas.openxmlformats.org/officeDocument/2006/relationships/hyperlink" Target="http://dev.dashboard.evolvesolar.com/my-commissions.php?user_id=407&amp;payweek=2014-08-22" TargetMode="External"/><Relationship Id="rId3948" Type="http://schemas.openxmlformats.org/officeDocument/2006/relationships/hyperlink" Target="http://dev.dashboard.evolvesolar.com/my-commissions.php?user_id=113&amp;payweek=2014-05-03" TargetMode="External"/><Relationship Id="rId869" Type="http://schemas.openxmlformats.org/officeDocument/2006/relationships/hyperlink" Target="http://dev.dashboard.evolvesolar.com/my-commissions.php?user_id=711&amp;payweek=2014-12-26" TargetMode="External"/><Relationship Id="rId1499" Type="http://schemas.openxmlformats.org/officeDocument/2006/relationships/hyperlink" Target="http://dev.dashboard.evolvesolar.com/my-commissions.php?user_id=410&amp;payweek=2014-11-14" TargetMode="External"/><Relationship Id="rId729" Type="http://schemas.openxmlformats.org/officeDocument/2006/relationships/hyperlink" Target="http://dev.dashboard.evolvesolar.com/my-commissions.php?user_id=616&amp;payweek=2014-12-31" TargetMode="External"/><Relationship Id="rId1359" Type="http://schemas.openxmlformats.org/officeDocument/2006/relationships/hyperlink" Target="http://dev.dashboard.evolvesolar.com/my-commissions.php?user_id=392&amp;payweek=2014-11-21" TargetMode="External"/><Relationship Id="rId2757" Type="http://schemas.openxmlformats.org/officeDocument/2006/relationships/hyperlink" Target="http://dev.dashboard.evolvesolar.com/my-commissions.php?user_id=206&amp;payweek=2014-08-28" TargetMode="External"/><Relationship Id="rId2964" Type="http://schemas.openxmlformats.org/officeDocument/2006/relationships/hyperlink" Target="http://dev.dashboard.evolvesolar.com/my-commissions.php?user_id=389&amp;payweek=2014-08-15" TargetMode="External"/><Relationship Id="rId3808" Type="http://schemas.openxmlformats.org/officeDocument/2006/relationships/hyperlink" Target="http://dev.dashboard.evolvesolar.com/my-commissions.php?user_id=109&amp;payweek=2014-05-30" TargetMode="External"/><Relationship Id="rId936" Type="http://schemas.openxmlformats.org/officeDocument/2006/relationships/hyperlink" Target="http://dev.dashboard.evolvesolar.com/my-commissions.php?user_id=714&amp;payweek=2014-12-22" TargetMode="External"/><Relationship Id="rId1219" Type="http://schemas.openxmlformats.org/officeDocument/2006/relationships/hyperlink" Target="http://dev.dashboard.evolvesolar.com/my-commissions.php?user_id=530&amp;payweek=2014-11-28" TargetMode="External"/><Relationship Id="rId1566" Type="http://schemas.openxmlformats.org/officeDocument/2006/relationships/hyperlink" Target="http://dev.dashboard.evolvesolar.com/my-commissions.php?user_id=739&amp;payweek=2014-11-14" TargetMode="External"/><Relationship Id="rId1773" Type="http://schemas.openxmlformats.org/officeDocument/2006/relationships/hyperlink" Target="http://dev.dashboard.evolvesolar.com/my-commissions.php?user_id=474&amp;payweek=2014-10-31" TargetMode="External"/><Relationship Id="rId1980" Type="http://schemas.openxmlformats.org/officeDocument/2006/relationships/hyperlink" Target="http://dev.dashboard.evolvesolar.com/my-commissions.php?user_id=217&amp;payweek=2014-10-17" TargetMode="External"/><Relationship Id="rId2617" Type="http://schemas.openxmlformats.org/officeDocument/2006/relationships/hyperlink" Target="http://dev.dashboard.evolvesolar.com/my-commissions.php?user_id=458&amp;payweek=2014-09-05" TargetMode="External"/><Relationship Id="rId2824" Type="http://schemas.openxmlformats.org/officeDocument/2006/relationships/hyperlink" Target="http://dev.dashboard.evolvesolar.com/my-commissions.php?user_id=214&amp;payweek=2014-08-22" TargetMode="External"/><Relationship Id="rId65" Type="http://schemas.openxmlformats.org/officeDocument/2006/relationships/hyperlink" Target="http://dev.dashboard.evolvesolar.com/my-commissions.php?user_id=232&amp;payweek=2015-02-06" TargetMode="External"/><Relationship Id="rId1426" Type="http://schemas.openxmlformats.org/officeDocument/2006/relationships/hyperlink" Target="http://dev.dashboard.evolvesolar.com/my-commissions.php?user_id=692&amp;payweek=2014-11-20" TargetMode="External"/><Relationship Id="rId1633" Type="http://schemas.openxmlformats.org/officeDocument/2006/relationships/hyperlink" Target="http://dev.dashboard.evolvesolar.com/my-commissions.php?user_id=382&amp;payweek=2014-11-07" TargetMode="External"/><Relationship Id="rId1840" Type="http://schemas.openxmlformats.org/officeDocument/2006/relationships/hyperlink" Target="http://dev.dashboard.evolvesolar.com/my-commissions.php?user_id=248&amp;payweek=2014-10-24" TargetMode="External"/><Relationship Id="rId1700" Type="http://schemas.openxmlformats.org/officeDocument/2006/relationships/hyperlink" Target="http://dev.dashboard.evolvesolar.com/my-commissions.php?user_id=705&amp;payweek=2014-11-07" TargetMode="External"/><Relationship Id="rId3598" Type="http://schemas.openxmlformats.org/officeDocument/2006/relationships/hyperlink" Target="http://dev.dashboard.evolvesolar.com/my-commissions.php?user_id=192&amp;payweek=2014-06-20" TargetMode="External"/><Relationship Id="rId3458" Type="http://schemas.openxmlformats.org/officeDocument/2006/relationships/hyperlink" Target="http://dev.dashboard.evolvesolar.com/my-commissions.php?user_id=27&amp;payweek=2014-07-03" TargetMode="External"/><Relationship Id="rId3665" Type="http://schemas.openxmlformats.org/officeDocument/2006/relationships/hyperlink" Target="http://dev.dashboard.evolvesolar.com/my-commissions.php?user_id=123&amp;payweek=2014-06-13" TargetMode="External"/><Relationship Id="rId3872" Type="http://schemas.openxmlformats.org/officeDocument/2006/relationships/hyperlink" Target="http://dev.dashboard.evolvesolar.com/my-commissions.php?user_id=139&amp;payweek=2014-05-23" TargetMode="External"/><Relationship Id="rId379" Type="http://schemas.openxmlformats.org/officeDocument/2006/relationships/hyperlink" Target="http://dev.dashboard.evolvesolar.com/my-commissions.php?user_id=355&amp;payweek=2015-01-23" TargetMode="External"/><Relationship Id="rId586" Type="http://schemas.openxmlformats.org/officeDocument/2006/relationships/hyperlink" Target="http://dev.dashboard.evolvesolar.com/my-commissions.php?user_id=551&amp;payweek=2015-01-09" TargetMode="External"/><Relationship Id="rId793" Type="http://schemas.openxmlformats.org/officeDocument/2006/relationships/hyperlink" Target="http://dev.dashboard.evolvesolar.com/my-commissions.php?user_id=326&amp;payweek=2014-12-26" TargetMode="External"/><Relationship Id="rId2267" Type="http://schemas.openxmlformats.org/officeDocument/2006/relationships/hyperlink" Target="http://dev.dashboard.evolvesolar.com/my-commissions.php?user_id=355&amp;payweek=2014-09-29" TargetMode="External"/><Relationship Id="rId2474" Type="http://schemas.openxmlformats.org/officeDocument/2006/relationships/hyperlink" Target="http://dev.dashboard.evolvesolar.com/my-commissions.php?user_id=248&amp;payweek=2014-09-12" TargetMode="External"/><Relationship Id="rId2681" Type="http://schemas.openxmlformats.org/officeDocument/2006/relationships/hyperlink" Target="http://dev.dashboard.evolvesolar.com/my-commissions.php?user_id=269&amp;payweek=2014-09-02" TargetMode="External"/><Relationship Id="rId3318" Type="http://schemas.openxmlformats.org/officeDocument/2006/relationships/hyperlink" Target="http://dev.dashboard.evolvesolar.com/my-commissions.php?user_id=133&amp;payweek=2014-07-18" TargetMode="External"/><Relationship Id="rId3525" Type="http://schemas.openxmlformats.org/officeDocument/2006/relationships/hyperlink" Target="http://dev.dashboard.evolvesolar.com/my-commissions.php?user_id=41&amp;payweek=2014-06-20" TargetMode="External"/><Relationship Id="rId239" Type="http://schemas.openxmlformats.org/officeDocument/2006/relationships/hyperlink" Target="http://dev.dashboard.evolvesolar.com/my-commissions.php?user_id=28&amp;payweek=2015-01-30" TargetMode="External"/><Relationship Id="rId446" Type="http://schemas.openxmlformats.org/officeDocument/2006/relationships/hyperlink" Target="http://dev.dashboard.evolvesolar.com/my-commissions.php?user_id=94&amp;payweek=2015-01-15" TargetMode="External"/><Relationship Id="rId653" Type="http://schemas.openxmlformats.org/officeDocument/2006/relationships/hyperlink" Target="http://dev.dashboard.evolvesolar.com/my-commissions.php?user_id=77&amp;payweek=2014-12-31" TargetMode="External"/><Relationship Id="rId1076" Type="http://schemas.openxmlformats.org/officeDocument/2006/relationships/hyperlink" Target="http://dev.dashboard.evolvesolar.com/my-commissions.php?user_id=672&amp;payweek=2014-12-12" TargetMode="External"/><Relationship Id="rId1283" Type="http://schemas.openxmlformats.org/officeDocument/2006/relationships/hyperlink" Target="http://dev.dashboard.evolvesolar.com/my-commissions.php?user_id=705&amp;payweek=2014-11-25" TargetMode="External"/><Relationship Id="rId1490" Type="http://schemas.openxmlformats.org/officeDocument/2006/relationships/hyperlink" Target="http://dev.dashboard.evolvesolar.com/my-commissions.php?user_id=329&amp;payweek=2014-11-14" TargetMode="External"/><Relationship Id="rId2127" Type="http://schemas.openxmlformats.org/officeDocument/2006/relationships/hyperlink" Target="http://dev.dashboard.evolvesolar.com/my-commissions.php?user_id=582&amp;payweek=2014-10-10" TargetMode="External"/><Relationship Id="rId2334" Type="http://schemas.openxmlformats.org/officeDocument/2006/relationships/hyperlink" Target="http://dev.dashboard.evolvesolar.com/my-commissions.php?user_id=487&amp;payweek=2014-09-25" TargetMode="External"/><Relationship Id="rId3732" Type="http://schemas.openxmlformats.org/officeDocument/2006/relationships/hyperlink" Target="http://dev.dashboard.evolvesolar.com/my-commissions.php?user_id=99&amp;payweek=2014-06-06" TargetMode="External"/><Relationship Id="rId306" Type="http://schemas.openxmlformats.org/officeDocument/2006/relationships/hyperlink" Target="http://dev.dashboard.evolvesolar.com/my-commissions.php?user_id=726&amp;payweek=2015-01-30" TargetMode="External"/><Relationship Id="rId860" Type="http://schemas.openxmlformats.org/officeDocument/2006/relationships/hyperlink" Target="http://dev.dashboard.evolvesolar.com/my-commissions.php?user_id=680&amp;payweek=2014-12-26" TargetMode="External"/><Relationship Id="rId1143" Type="http://schemas.openxmlformats.org/officeDocument/2006/relationships/hyperlink" Target="http://dev.dashboard.evolvesolar.com/my-commissions.php?user_id=593&amp;payweek=2014-12-05" TargetMode="External"/><Relationship Id="rId2541" Type="http://schemas.openxmlformats.org/officeDocument/2006/relationships/hyperlink" Target="http://dev.dashboard.evolvesolar.com/my-commissions.php?user_id=473&amp;payweek=2014-09-12" TargetMode="External"/><Relationship Id="rId513" Type="http://schemas.openxmlformats.org/officeDocument/2006/relationships/hyperlink" Target="http://dev.dashboard.evolvesolar.com/my-commissions.php?user_id=546&amp;payweek=2015-01-12" TargetMode="External"/><Relationship Id="rId720" Type="http://schemas.openxmlformats.org/officeDocument/2006/relationships/hyperlink" Target="http://dev.dashboard.evolvesolar.com/my-commissions.php?user_id=593&amp;payweek=2014-12-31" TargetMode="External"/><Relationship Id="rId1350" Type="http://schemas.openxmlformats.org/officeDocument/2006/relationships/hyperlink" Target="http://dev.dashboard.evolvesolar.com/my-commissions.php?user_id=355&amp;payweek=2014-11-21" TargetMode="External"/><Relationship Id="rId2401" Type="http://schemas.openxmlformats.org/officeDocument/2006/relationships/hyperlink" Target="http://dev.dashboard.evolvesolar.com/my-commissions.php?user_id=261&amp;payweek=2014-09-19" TargetMode="External"/><Relationship Id="rId1003" Type="http://schemas.openxmlformats.org/officeDocument/2006/relationships/hyperlink" Target="http://dev.dashboard.evolvesolar.com/my-commissions.php?user_id=99&amp;payweek=2014-12-12" TargetMode="External"/><Relationship Id="rId1210" Type="http://schemas.openxmlformats.org/officeDocument/2006/relationships/hyperlink" Target="http://dev.dashboard.evolvesolar.com/my-commissions.php?user_id=149&amp;payweek=2014-11-28" TargetMode="External"/><Relationship Id="rId3175" Type="http://schemas.openxmlformats.org/officeDocument/2006/relationships/hyperlink" Target="http://dev.dashboard.evolvesolar.com/my-commissions.php?user_id=157&amp;payweek=2014-07-31" TargetMode="External"/><Relationship Id="rId3382" Type="http://schemas.openxmlformats.org/officeDocument/2006/relationships/hyperlink" Target="http://dev.dashboard.evolvesolar.com/my-commissions.php?user_id=102&amp;payweek=2014-07-11" TargetMode="External"/><Relationship Id="rId4019" Type="http://schemas.openxmlformats.org/officeDocument/2006/relationships/hyperlink" Target="http://dev.dashboard.evolvesolar.com/my-commissions.php?user_id=257&amp;payweek=2014-04-17" TargetMode="External"/><Relationship Id="rId2191" Type="http://schemas.openxmlformats.org/officeDocument/2006/relationships/hyperlink" Target="http://dev.dashboard.evolvesolar.com/my-commissions.php?user_id=365&amp;payweek=2014-10-06" TargetMode="External"/><Relationship Id="rId3035" Type="http://schemas.openxmlformats.org/officeDocument/2006/relationships/hyperlink" Target="http://dev.dashboard.evolvesolar.com/my-commissions.php?user_id=230&amp;payweek=2014-08-08" TargetMode="External"/><Relationship Id="rId3242" Type="http://schemas.openxmlformats.org/officeDocument/2006/relationships/hyperlink" Target="http://dev.dashboard.evolvesolar.com/my-commissions.php?user_id=138&amp;payweek=2014-07-25" TargetMode="External"/><Relationship Id="rId163" Type="http://schemas.openxmlformats.org/officeDocument/2006/relationships/hyperlink" Target="http://dev.dashboard.evolvesolar.com/my-commissions.php?user_id=659&amp;payweek=2015-02-06" TargetMode="External"/><Relationship Id="rId370" Type="http://schemas.openxmlformats.org/officeDocument/2006/relationships/hyperlink" Target="http://dev.dashboard.evolvesolar.com/my-commissions.php?user_id=261&amp;payweek=2015-01-23" TargetMode="External"/><Relationship Id="rId2051" Type="http://schemas.openxmlformats.org/officeDocument/2006/relationships/hyperlink" Target="http://dev.dashboard.evolvesolar.com/my-commissions.php?user_id=401&amp;payweek=2014-10-14" TargetMode="External"/><Relationship Id="rId3102" Type="http://schemas.openxmlformats.org/officeDocument/2006/relationships/hyperlink" Target="http://dev.dashboard.evolvesolar.com/my-commissions.php?user_id=236&amp;payweek=2014-08-07" TargetMode="External"/><Relationship Id="rId230" Type="http://schemas.openxmlformats.org/officeDocument/2006/relationships/hyperlink" Target="http://dev.dashboard.evolvesolar.com/my-commissions.php?user_id=974&amp;payweek=2015-02-06" TargetMode="External"/><Relationship Id="rId2868" Type="http://schemas.openxmlformats.org/officeDocument/2006/relationships/hyperlink" Target="http://dev.dashboard.evolvesolar.com/my-commissions.php?user_id=286&amp;payweek=2014-08-22" TargetMode="External"/><Relationship Id="rId3919" Type="http://schemas.openxmlformats.org/officeDocument/2006/relationships/hyperlink" Target="http://dev.dashboard.evolvesolar.com/my-commissions.php?user_id=71&amp;payweek=2014-05-09" TargetMode="External"/><Relationship Id="rId4083" Type="http://schemas.openxmlformats.org/officeDocument/2006/relationships/hyperlink" Target="http://dev.dashboard.evolvesolar.com/my-commissions.php?user_id=89&amp;payweek=2014-03-14" TargetMode="External"/><Relationship Id="rId1677" Type="http://schemas.openxmlformats.org/officeDocument/2006/relationships/hyperlink" Target="http://dev.dashboard.evolvesolar.com/my-commissions.php?user_id=635&amp;payweek=2014-11-07" TargetMode="External"/><Relationship Id="rId1884" Type="http://schemas.openxmlformats.org/officeDocument/2006/relationships/hyperlink" Target="http://dev.dashboard.evolvesolar.com/my-commissions.php?user_id=593&amp;payweek=2014-10-24" TargetMode="External"/><Relationship Id="rId2728" Type="http://schemas.openxmlformats.org/officeDocument/2006/relationships/hyperlink" Target="http://dev.dashboard.evolvesolar.com/my-commissions.php?user_id=395&amp;payweek=2014-08-29" TargetMode="External"/><Relationship Id="rId2935" Type="http://schemas.openxmlformats.org/officeDocument/2006/relationships/hyperlink" Target="http://dev.dashboard.evolvesolar.com/my-commissions.php?user_id=133&amp;payweek=2014-08-15" TargetMode="External"/><Relationship Id="rId907" Type="http://schemas.openxmlformats.org/officeDocument/2006/relationships/hyperlink" Target="http://dev.dashboard.evolvesolar.com/my-commissions.php?user_id=268&amp;payweek=2014-12-22" TargetMode="External"/><Relationship Id="rId1537" Type="http://schemas.openxmlformats.org/officeDocument/2006/relationships/hyperlink" Target="http://dev.dashboard.evolvesolar.com/my-commissions.php?user_id=687&amp;payweek=2014-11-14" TargetMode="External"/><Relationship Id="rId1744" Type="http://schemas.openxmlformats.org/officeDocument/2006/relationships/hyperlink" Target="http://dev.dashboard.evolvesolar.com/my-commissions.php?user_id=302&amp;payweek=2014-10-31" TargetMode="External"/><Relationship Id="rId1951" Type="http://schemas.openxmlformats.org/officeDocument/2006/relationships/hyperlink" Target="http://dev.dashboard.evolvesolar.com/my-commissions.php?user_id=28&amp;payweek=2014-10-17" TargetMode="External"/><Relationship Id="rId36" Type="http://schemas.openxmlformats.org/officeDocument/2006/relationships/hyperlink" Target="http://dev.dashboard.evolvesolar.com/my-commissions.php?user_id=136&amp;payweek=2015-02-06" TargetMode="External"/><Relationship Id="rId1604" Type="http://schemas.openxmlformats.org/officeDocument/2006/relationships/hyperlink" Target="http://dev.dashboard.evolvesolar.com/my-commissions.php?user_id=85&amp;payweek=2014-11-07" TargetMode="External"/><Relationship Id="rId4010" Type="http://schemas.openxmlformats.org/officeDocument/2006/relationships/hyperlink" Target="http://dev.dashboard.evolvesolar.com/my-commissions.php?user_id=85&amp;payweek=2014-04-17" TargetMode="External"/><Relationship Id="rId1811" Type="http://schemas.openxmlformats.org/officeDocument/2006/relationships/hyperlink" Target="http://dev.dashboard.evolvesolar.com/my-commissions.php?user_id=664&amp;payweek=2014-10-31" TargetMode="External"/><Relationship Id="rId3569" Type="http://schemas.openxmlformats.org/officeDocument/2006/relationships/hyperlink" Target="http://dev.dashboard.evolvesolar.com/my-commissions.php?user_id=146&amp;payweek=2014-06-20" TargetMode="External"/><Relationship Id="rId697" Type="http://schemas.openxmlformats.org/officeDocument/2006/relationships/hyperlink" Target="http://dev.dashboard.evolvesolar.com/my-commissions.php?user_id=392&amp;payweek=2014-12-31" TargetMode="External"/><Relationship Id="rId2378" Type="http://schemas.openxmlformats.org/officeDocument/2006/relationships/hyperlink" Target="http://dev.dashboard.evolvesolar.com/my-commissions.php?user_id=63&amp;payweek=2014-09-19" TargetMode="External"/><Relationship Id="rId3429" Type="http://schemas.openxmlformats.org/officeDocument/2006/relationships/hyperlink" Target="http://dev.dashboard.evolvesolar.com/my-commissions.php?user_id=245&amp;payweek=2014-07-11" TargetMode="External"/><Relationship Id="rId3776" Type="http://schemas.openxmlformats.org/officeDocument/2006/relationships/hyperlink" Target="http://dev.dashboard.evolvesolar.com/my-commissions.php?user_id=152&amp;payweek=2014-06-06" TargetMode="External"/><Relationship Id="rId3983" Type="http://schemas.openxmlformats.org/officeDocument/2006/relationships/hyperlink" Target="http://dev.dashboard.evolvesolar.com/my-commissions.php?user_id=82&amp;payweek=2014-04-24" TargetMode="External"/><Relationship Id="rId1187" Type="http://schemas.openxmlformats.org/officeDocument/2006/relationships/hyperlink" Target="http://dev.dashboard.evolvesolar.com/my-commissions.php?user_id=764&amp;payweek=2014-12-05" TargetMode="External"/><Relationship Id="rId2585" Type="http://schemas.openxmlformats.org/officeDocument/2006/relationships/hyperlink" Target="http://dev.dashboard.evolvesolar.com/my-commissions.php?user_id=41&amp;payweek=2014-09-06" TargetMode="External"/><Relationship Id="rId2792" Type="http://schemas.openxmlformats.org/officeDocument/2006/relationships/hyperlink" Target="http://dev.dashboard.evolvesolar.com/my-commissions.php?user_id=134&amp;payweek=2014-08-26" TargetMode="External"/><Relationship Id="rId3636" Type="http://schemas.openxmlformats.org/officeDocument/2006/relationships/hyperlink" Target="http://dev.dashboard.evolvesolar.com/my-commissions.php?user_id=55&amp;payweek=2014-06-13" TargetMode="External"/><Relationship Id="rId3843" Type="http://schemas.openxmlformats.org/officeDocument/2006/relationships/hyperlink" Target="http://dev.dashboard.evolvesolar.com/my-commissions.php?user_id=79&amp;payweek=2014-05-23" TargetMode="External"/><Relationship Id="rId557" Type="http://schemas.openxmlformats.org/officeDocument/2006/relationships/hyperlink" Target="http://dev.dashboard.evolvesolar.com/my-commissions.php?user_id=343&amp;payweek=2015-01-09" TargetMode="External"/><Relationship Id="rId764" Type="http://schemas.openxmlformats.org/officeDocument/2006/relationships/hyperlink" Target="http://dev.dashboard.evolvesolar.com/my-commissions.php?user_id=113&amp;payweek=2014-12-26" TargetMode="External"/><Relationship Id="rId971" Type="http://schemas.openxmlformats.org/officeDocument/2006/relationships/hyperlink" Target="http://dev.dashboard.evolvesolar.com/my-commissions.php?user_id=468&amp;payweek=2014-12-19" TargetMode="External"/><Relationship Id="rId1394" Type="http://schemas.openxmlformats.org/officeDocument/2006/relationships/hyperlink" Target="http://dev.dashboard.evolvesolar.com/my-commissions.php?user_id=679&amp;payweek=2014-11-21" TargetMode="External"/><Relationship Id="rId2238" Type="http://schemas.openxmlformats.org/officeDocument/2006/relationships/hyperlink" Target="http://dev.dashboard.evolvesolar.com/my-commissions.php?user_id=389&amp;payweek=2014-10-03" TargetMode="External"/><Relationship Id="rId2445" Type="http://schemas.openxmlformats.org/officeDocument/2006/relationships/hyperlink" Target="http://dev.dashboard.evolvesolar.com/my-commissions.php?user_id=488&amp;payweek=2014-09-15" TargetMode="External"/><Relationship Id="rId2652" Type="http://schemas.openxmlformats.org/officeDocument/2006/relationships/hyperlink" Target="http://dev.dashboard.evolvesolar.com/my-commissions.php?user_id=248&amp;payweek=2014-09-04" TargetMode="External"/><Relationship Id="rId3703" Type="http://schemas.openxmlformats.org/officeDocument/2006/relationships/hyperlink" Target="http://dev.dashboard.evolvesolar.com/my-commissions.php?user_id=38&amp;payweek=2014-06-06" TargetMode="External"/><Relationship Id="rId3910" Type="http://schemas.openxmlformats.org/officeDocument/2006/relationships/hyperlink" Target="http://dev.dashboard.evolvesolar.com/my-commissions.php?user_id=54&amp;payweek=2014-05-12" TargetMode="External"/><Relationship Id="rId417" Type="http://schemas.openxmlformats.org/officeDocument/2006/relationships/hyperlink" Target="http://dev.dashboard.evolvesolar.com/my-commissions.php?user_id=771&amp;payweek=2015-01-23" TargetMode="External"/><Relationship Id="rId624" Type="http://schemas.openxmlformats.org/officeDocument/2006/relationships/hyperlink" Target="http://dev.dashboard.evolvesolar.com/my-commissions.php?user_id=755&amp;payweek=2015-01-09" TargetMode="External"/><Relationship Id="rId831" Type="http://schemas.openxmlformats.org/officeDocument/2006/relationships/hyperlink" Target="http://dev.dashboard.evolvesolar.com/my-commissions.php?user_id=592&amp;payweek=2014-12-26" TargetMode="External"/><Relationship Id="rId1047" Type="http://schemas.openxmlformats.org/officeDocument/2006/relationships/hyperlink" Target="http://dev.dashboard.evolvesolar.com/my-commissions.php?user_id=410&amp;payweek=2014-12-12" TargetMode="External"/><Relationship Id="rId1254" Type="http://schemas.openxmlformats.org/officeDocument/2006/relationships/hyperlink" Target="http://dev.dashboard.evolvesolar.com/my-commissions.php?user_id=250&amp;payweek=2014-11-25" TargetMode="External"/><Relationship Id="rId1461" Type="http://schemas.openxmlformats.org/officeDocument/2006/relationships/hyperlink" Target="http://dev.dashboard.evolvesolar.com/my-commissions.php?user_id=211&amp;payweek=2014-11-14" TargetMode="External"/><Relationship Id="rId2305" Type="http://schemas.openxmlformats.org/officeDocument/2006/relationships/hyperlink" Target="http://dev.dashboard.evolvesolar.com/my-commissions.php?user_id=373&amp;payweek=2014-09-25" TargetMode="External"/><Relationship Id="rId2512" Type="http://schemas.openxmlformats.org/officeDocument/2006/relationships/hyperlink" Target="http://dev.dashboard.evolvesolar.com/my-commissions.php?user_id=389&amp;payweek=2014-09-12" TargetMode="External"/><Relationship Id="rId1114" Type="http://schemas.openxmlformats.org/officeDocument/2006/relationships/hyperlink" Target="http://dev.dashboard.evolvesolar.com/my-commissions.php?user_id=41&amp;payweek=2014-12-05" TargetMode="External"/><Relationship Id="rId1321" Type="http://schemas.openxmlformats.org/officeDocument/2006/relationships/hyperlink" Target="http://dev.dashboard.evolvesolar.com/my-commissions.php?user_id=133&amp;payweek=2014-11-21" TargetMode="External"/><Relationship Id="rId3079" Type="http://schemas.openxmlformats.org/officeDocument/2006/relationships/hyperlink" Target="http://dev.dashboard.evolvesolar.com/my-commissions.php?user_id=211&amp;payweek=2014-08-07" TargetMode="External"/><Relationship Id="rId3286" Type="http://schemas.openxmlformats.org/officeDocument/2006/relationships/hyperlink" Target="http://dev.dashboard.evolvesolar.com/my-commissions.php?user_id=255&amp;payweek=2014-07-25" TargetMode="External"/><Relationship Id="rId3493" Type="http://schemas.openxmlformats.org/officeDocument/2006/relationships/hyperlink" Target="http://dev.dashboard.evolvesolar.com/my-commissions.php?user_id=112&amp;payweek=2014-06-27" TargetMode="External"/><Relationship Id="rId2095" Type="http://schemas.openxmlformats.org/officeDocument/2006/relationships/hyperlink" Target="http://dev.dashboard.evolvesolar.com/my-commissions.php?user_id=352&amp;payweek=2014-10-10" TargetMode="External"/><Relationship Id="rId3146" Type="http://schemas.openxmlformats.org/officeDocument/2006/relationships/hyperlink" Target="http://dev.dashboard.evolvesolar.com/my-commissions.php?user_id=285&amp;payweek=2014-08-02" TargetMode="External"/><Relationship Id="rId3353" Type="http://schemas.openxmlformats.org/officeDocument/2006/relationships/hyperlink" Target="http://dev.dashboard.evolvesolar.com/my-commissions.php?user_id=250&amp;payweek=2014-07-18" TargetMode="External"/><Relationship Id="rId274" Type="http://schemas.openxmlformats.org/officeDocument/2006/relationships/hyperlink" Target="http://dev.dashboard.evolvesolar.com/my-commissions.php?user_id=464&amp;payweek=2015-01-30" TargetMode="External"/><Relationship Id="rId481" Type="http://schemas.openxmlformats.org/officeDocument/2006/relationships/hyperlink" Target="http://dev.dashboard.evolvesolar.com/my-commissions.php?user_id=635&amp;payweek=2015-01-15" TargetMode="External"/><Relationship Id="rId2162" Type="http://schemas.openxmlformats.org/officeDocument/2006/relationships/hyperlink" Target="http://dev.dashboard.evolvesolar.com/my-commissions.php?user_id=41&amp;payweek=2014-10-06" TargetMode="External"/><Relationship Id="rId3006" Type="http://schemas.openxmlformats.org/officeDocument/2006/relationships/hyperlink" Target="http://dev.dashboard.evolvesolar.com/my-commissions.php?user_id=392&amp;payweek=2014-08-14" TargetMode="External"/><Relationship Id="rId3560" Type="http://schemas.openxmlformats.org/officeDocument/2006/relationships/hyperlink" Target="http://dev.dashboard.evolvesolar.com/my-commissions.php?user_id=138&amp;payweek=2014-06-20" TargetMode="External"/><Relationship Id="rId134" Type="http://schemas.openxmlformats.org/officeDocument/2006/relationships/hyperlink" Target="http://dev.dashboard.evolvesolar.com/my-commissions.php?user_id=539&amp;payweek=2015-02-06" TargetMode="External"/><Relationship Id="rId3213" Type="http://schemas.openxmlformats.org/officeDocument/2006/relationships/hyperlink" Target="http://dev.dashboard.evolvesolar.com/my-commissions.php?user_id=295&amp;payweek=2014-07-31" TargetMode="External"/><Relationship Id="rId3420" Type="http://schemas.openxmlformats.org/officeDocument/2006/relationships/hyperlink" Target="http://dev.dashboard.evolvesolar.com/my-commissions.php?user_id=218&amp;payweek=2014-07-11" TargetMode="External"/><Relationship Id="rId341" Type="http://schemas.openxmlformats.org/officeDocument/2006/relationships/hyperlink" Target="http://dev.dashboard.evolvesolar.com/my-commissions.php?user_id=949&amp;payweek=2015-01-30" TargetMode="External"/><Relationship Id="rId2022" Type="http://schemas.openxmlformats.org/officeDocument/2006/relationships/hyperlink" Target="http://dev.dashboard.evolvesolar.com/my-commissions.php?user_id=539&amp;payweek=2014-10-17" TargetMode="External"/><Relationship Id="rId2979" Type="http://schemas.openxmlformats.org/officeDocument/2006/relationships/hyperlink" Target="http://dev.dashboard.evolvesolar.com/my-commissions.php?user_id=218&amp;payweek=2014-08-14" TargetMode="External"/><Relationship Id="rId201" Type="http://schemas.openxmlformats.org/officeDocument/2006/relationships/hyperlink" Target="http://dev.dashboard.evolvesolar.com/my-commissions.php?user_id=908&amp;payweek=2015-02-06" TargetMode="External"/><Relationship Id="rId1788" Type="http://schemas.openxmlformats.org/officeDocument/2006/relationships/hyperlink" Target="http://dev.dashboard.evolvesolar.com/my-commissions.php?user_id=576&amp;payweek=2014-10-31" TargetMode="External"/><Relationship Id="rId1995" Type="http://schemas.openxmlformats.org/officeDocument/2006/relationships/hyperlink" Target="http://dev.dashboard.evolvesolar.com/my-commissions.php?user_id=343&amp;payweek=2014-10-17" TargetMode="External"/><Relationship Id="rId2839" Type="http://schemas.openxmlformats.org/officeDocument/2006/relationships/hyperlink" Target="http://dev.dashboard.evolvesolar.com/my-commissions.php?user_id=234&amp;payweek=2014-08-22" TargetMode="External"/><Relationship Id="rId1648" Type="http://schemas.openxmlformats.org/officeDocument/2006/relationships/hyperlink" Target="http://dev.dashboard.evolvesolar.com/my-commissions.php?user_id=472&amp;payweek=2014-11-07" TargetMode="External"/><Relationship Id="rId4054" Type="http://schemas.openxmlformats.org/officeDocument/2006/relationships/hyperlink" Target="http://dev.dashboard.evolvesolar.com/my-commissions.php?user_id=112&amp;payweek=2014-04-04" TargetMode="External"/><Relationship Id="rId1508" Type="http://schemas.openxmlformats.org/officeDocument/2006/relationships/hyperlink" Target="http://dev.dashboard.evolvesolar.com/my-commissions.php?user_id=493&amp;payweek=2014-11-14" TargetMode="External"/><Relationship Id="rId1855" Type="http://schemas.openxmlformats.org/officeDocument/2006/relationships/hyperlink" Target="http://dev.dashboard.evolvesolar.com/my-commissions.php?user_id=382&amp;payweek=2014-10-24" TargetMode="External"/><Relationship Id="rId2906" Type="http://schemas.openxmlformats.org/officeDocument/2006/relationships/hyperlink" Target="http://dev.dashboard.evolvesolar.com/my-commissions.php?user_id=472&amp;payweek=2014-08-22" TargetMode="External"/><Relationship Id="rId3070" Type="http://schemas.openxmlformats.org/officeDocument/2006/relationships/hyperlink" Target="http://dev.dashboard.evolvesolar.com/my-commissions.php?user_id=37&amp;payweek=2014-08-07" TargetMode="External"/><Relationship Id="rId1715" Type="http://schemas.openxmlformats.org/officeDocument/2006/relationships/hyperlink" Target="http://dev.dashboard.evolvesolar.com/my-commissions.php?user_id=389&amp;payweek=2014-11-04" TargetMode="External"/><Relationship Id="rId1922" Type="http://schemas.openxmlformats.org/officeDocument/2006/relationships/hyperlink" Target="http://dev.dashboard.evolvesolar.com/my-commissions.php?user_id=638&amp;payweek=2014-10-22" TargetMode="External"/><Relationship Id="rId3887" Type="http://schemas.openxmlformats.org/officeDocument/2006/relationships/hyperlink" Target="http://dev.dashboard.evolvesolar.com/my-commissions.php?user_id=79&amp;payweek=2014-05-16" TargetMode="External"/><Relationship Id="rId2489" Type="http://schemas.openxmlformats.org/officeDocument/2006/relationships/hyperlink" Target="http://dev.dashboard.evolvesolar.com/my-commissions.php?user_id=326&amp;payweek=2014-09-12" TargetMode="External"/><Relationship Id="rId2696" Type="http://schemas.openxmlformats.org/officeDocument/2006/relationships/hyperlink" Target="http://dev.dashboard.evolvesolar.com/my-commissions.php?user_id=227&amp;payweek=2014-08-29" TargetMode="External"/><Relationship Id="rId3747" Type="http://schemas.openxmlformats.org/officeDocument/2006/relationships/hyperlink" Target="http://dev.dashboard.evolvesolar.com/my-commissions.php?user_id=114&amp;payweek=2014-06-06" TargetMode="External"/><Relationship Id="rId3954" Type="http://schemas.openxmlformats.org/officeDocument/2006/relationships/hyperlink" Target="http://dev.dashboard.evolvesolar.com/my-commissions.php?user_id=82&amp;payweek=2014-05-02" TargetMode="External"/><Relationship Id="rId668" Type="http://schemas.openxmlformats.org/officeDocument/2006/relationships/hyperlink" Target="http://dev.dashboard.evolvesolar.com/my-commissions.php?user_id=152&amp;payweek=2014-12-31" TargetMode="External"/><Relationship Id="rId875" Type="http://schemas.openxmlformats.org/officeDocument/2006/relationships/hyperlink" Target="http://dev.dashboard.evolvesolar.com/my-commissions.php?user_id=750&amp;payweek=2014-12-26" TargetMode="External"/><Relationship Id="rId1298" Type="http://schemas.openxmlformats.org/officeDocument/2006/relationships/hyperlink" Target="http://dev.dashboard.evolvesolar.com/my-commissions.php?user_id=782&amp;payweek=2014-11-25" TargetMode="External"/><Relationship Id="rId2349" Type="http://schemas.openxmlformats.org/officeDocument/2006/relationships/hyperlink" Target="http://dev.dashboard.evolvesolar.com/my-commissions.php?user_id=590&amp;payweek=2014-09-25" TargetMode="External"/><Relationship Id="rId2556" Type="http://schemas.openxmlformats.org/officeDocument/2006/relationships/hyperlink" Target="http://dev.dashboard.evolvesolar.com/my-commissions.php?user_id=550&amp;payweek=2014-09-12" TargetMode="External"/><Relationship Id="rId2763" Type="http://schemas.openxmlformats.org/officeDocument/2006/relationships/hyperlink" Target="http://dev.dashboard.evolvesolar.com/my-commissions.php?user_id=224&amp;payweek=2014-08-28" TargetMode="External"/><Relationship Id="rId2970" Type="http://schemas.openxmlformats.org/officeDocument/2006/relationships/hyperlink" Target="http://dev.dashboard.evolvesolar.com/my-commissions.php?user_id=189&amp;payweek=2014-08-14" TargetMode="External"/><Relationship Id="rId3607" Type="http://schemas.openxmlformats.org/officeDocument/2006/relationships/hyperlink" Target="http://dev.dashboard.evolvesolar.com/my-commissions.php?user_id=227&amp;payweek=2014-06-20" TargetMode="External"/><Relationship Id="rId3814" Type="http://schemas.openxmlformats.org/officeDocument/2006/relationships/hyperlink" Target="http://dev.dashboard.evolvesolar.com/my-commissions.php?user_id=114&amp;payweek=2014-05-30" TargetMode="External"/><Relationship Id="rId528" Type="http://schemas.openxmlformats.org/officeDocument/2006/relationships/hyperlink" Target="http://dev.dashboard.evolvesolar.com/my-commissions.php?user_id=109&amp;payweek=2015-01-09" TargetMode="External"/><Relationship Id="rId735" Type="http://schemas.openxmlformats.org/officeDocument/2006/relationships/hyperlink" Target="http://dev.dashboard.evolvesolar.com/my-commissions.php?user_id=657&amp;payweek=2014-12-31" TargetMode="External"/><Relationship Id="rId942" Type="http://schemas.openxmlformats.org/officeDocument/2006/relationships/hyperlink" Target="http://dev.dashboard.evolvesolar.com/my-commissions.php?user_id=782&amp;payweek=2014-12-22" TargetMode="External"/><Relationship Id="rId1158" Type="http://schemas.openxmlformats.org/officeDocument/2006/relationships/hyperlink" Target="http://dev.dashboard.evolvesolar.com/my-commissions.php?user_id=657&amp;payweek=2014-12-05" TargetMode="External"/><Relationship Id="rId1365" Type="http://schemas.openxmlformats.org/officeDocument/2006/relationships/hyperlink" Target="http://dev.dashboard.evolvesolar.com/my-commissions.php?user_id=407&amp;payweek=2014-11-21" TargetMode="External"/><Relationship Id="rId1572" Type="http://schemas.openxmlformats.org/officeDocument/2006/relationships/hyperlink" Target="http://dev.dashboard.evolvesolar.com/my-commissions.php?user_id=772&amp;payweek=2014-11-14" TargetMode="External"/><Relationship Id="rId2209" Type="http://schemas.openxmlformats.org/officeDocument/2006/relationships/hyperlink" Target="http://dev.dashboard.evolvesolar.com/my-commissions.php?user_id=550&amp;payweek=2014-10-06" TargetMode="External"/><Relationship Id="rId2416" Type="http://schemas.openxmlformats.org/officeDocument/2006/relationships/hyperlink" Target="http://dev.dashboard.evolvesolar.com/my-commissions.php?user_id=383&amp;payweek=2014-09-19" TargetMode="External"/><Relationship Id="rId2623" Type="http://schemas.openxmlformats.org/officeDocument/2006/relationships/hyperlink" Target="http://dev.dashboard.evolvesolar.com/my-commissions.php?user_id=85&amp;payweek=2014-09-04" TargetMode="External"/><Relationship Id="rId1018" Type="http://schemas.openxmlformats.org/officeDocument/2006/relationships/hyperlink" Target="http://dev.dashboard.evolvesolar.com/my-commissions.php?user_id=204&amp;payweek=2014-12-12" TargetMode="External"/><Relationship Id="rId1225" Type="http://schemas.openxmlformats.org/officeDocument/2006/relationships/hyperlink" Target="http://dev.dashboard.evolvesolar.com/my-commissions.php?user_id=616&amp;payweek=2014-11-28" TargetMode="External"/><Relationship Id="rId1432" Type="http://schemas.openxmlformats.org/officeDocument/2006/relationships/hyperlink" Target="http://dev.dashboard.evolvesolar.com/my-commissions.php?user_id=672&amp;payweek=2014-11-18" TargetMode="External"/><Relationship Id="rId2830" Type="http://schemas.openxmlformats.org/officeDocument/2006/relationships/hyperlink" Target="http://dev.dashboard.evolvesolar.com/my-commissions.php?user_id=227&amp;payweek=2014-08-22" TargetMode="External"/><Relationship Id="rId71" Type="http://schemas.openxmlformats.org/officeDocument/2006/relationships/hyperlink" Target="http://dev.dashboard.evolvesolar.com/my-commissions.php?user_id=255&amp;payweek=2015-02-06" TargetMode="External"/><Relationship Id="rId802" Type="http://schemas.openxmlformats.org/officeDocument/2006/relationships/hyperlink" Target="http://dev.dashboard.evolvesolar.com/my-commissions.php?user_id=382&amp;payweek=2014-12-26" TargetMode="External"/><Relationship Id="rId3397" Type="http://schemas.openxmlformats.org/officeDocument/2006/relationships/hyperlink" Target="http://dev.dashboard.evolvesolar.com/my-commissions.php?user_id=138&amp;payweek=2014-07-11" TargetMode="External"/><Relationship Id="rId178" Type="http://schemas.openxmlformats.org/officeDocument/2006/relationships/hyperlink" Target="http://dev.dashboard.evolvesolar.com/my-commissions.php?user_id=726&amp;payweek=2015-02-06" TargetMode="External"/><Relationship Id="rId3257" Type="http://schemas.openxmlformats.org/officeDocument/2006/relationships/hyperlink" Target="http://dev.dashboard.evolvesolar.com/my-commissions.php?user_id=185&amp;payweek=2014-07-25" TargetMode="External"/><Relationship Id="rId3464" Type="http://schemas.openxmlformats.org/officeDocument/2006/relationships/hyperlink" Target="http://dev.dashboard.evolvesolar.com/my-commissions.php?user_id=120&amp;payweek=2014-07-03" TargetMode="External"/><Relationship Id="rId3671" Type="http://schemas.openxmlformats.org/officeDocument/2006/relationships/hyperlink" Target="http://dev.dashboard.evolvesolar.com/my-commissions.php?user_id=134&amp;payweek=2014-06-13" TargetMode="External"/><Relationship Id="rId385" Type="http://schemas.openxmlformats.org/officeDocument/2006/relationships/hyperlink" Target="http://dev.dashboard.evolvesolar.com/my-commissions.php?user_id=370&amp;payweek=2015-01-23" TargetMode="External"/><Relationship Id="rId592" Type="http://schemas.openxmlformats.org/officeDocument/2006/relationships/hyperlink" Target="http://dev.dashboard.evolvesolar.com/my-commissions.php?user_id=615&amp;payweek=2015-01-09" TargetMode="External"/><Relationship Id="rId2066" Type="http://schemas.openxmlformats.org/officeDocument/2006/relationships/hyperlink" Target="http://dev.dashboard.evolvesolar.com/my-commissions.php?user_id=27&amp;payweek=2014-10-10" TargetMode="External"/><Relationship Id="rId2273" Type="http://schemas.openxmlformats.org/officeDocument/2006/relationships/hyperlink" Target="http://dev.dashboard.evolvesolar.com/my-commissions.php?user_id=390&amp;payweek=2014-09-26" TargetMode="External"/><Relationship Id="rId2480" Type="http://schemas.openxmlformats.org/officeDocument/2006/relationships/hyperlink" Target="http://dev.dashboard.evolvesolar.com/my-commissions.php?user_id=268&amp;payweek=2014-09-12" TargetMode="External"/><Relationship Id="rId3117" Type="http://schemas.openxmlformats.org/officeDocument/2006/relationships/hyperlink" Target="http://dev.dashboard.evolvesolar.com/my-commissions.php?user_id=378&amp;payweek=2014-08-07" TargetMode="External"/><Relationship Id="rId3324" Type="http://schemas.openxmlformats.org/officeDocument/2006/relationships/hyperlink" Target="http://dev.dashboard.evolvesolar.com/my-commissions.php?user_id=146&amp;payweek=2014-07-18" TargetMode="External"/><Relationship Id="rId3531" Type="http://schemas.openxmlformats.org/officeDocument/2006/relationships/hyperlink" Target="http://dev.dashboard.evolvesolar.com/my-commissions.php?user_id=63&amp;payweek=2014-06-20" TargetMode="External"/><Relationship Id="rId245" Type="http://schemas.openxmlformats.org/officeDocument/2006/relationships/hyperlink" Target="http://dev.dashboard.evolvesolar.com/my-commissions.php?user_id=108&amp;payweek=2015-01-30" TargetMode="External"/><Relationship Id="rId452" Type="http://schemas.openxmlformats.org/officeDocument/2006/relationships/hyperlink" Target="http://dev.dashboard.evolvesolar.com/my-commissions.php?user_id=217&amp;payweek=2015-01-15" TargetMode="External"/><Relationship Id="rId1082" Type="http://schemas.openxmlformats.org/officeDocument/2006/relationships/hyperlink" Target="http://dev.dashboard.evolvesolar.com/my-commissions.php?user_id=715&amp;payweek=2014-12-12" TargetMode="External"/><Relationship Id="rId2133" Type="http://schemas.openxmlformats.org/officeDocument/2006/relationships/hyperlink" Target="http://dev.dashboard.evolvesolar.com/my-commissions.php?user_id=600&amp;payweek=2014-10-10" TargetMode="External"/><Relationship Id="rId2340" Type="http://schemas.openxmlformats.org/officeDocument/2006/relationships/hyperlink" Target="http://dev.dashboard.evolvesolar.com/my-commissions.php?user_id=551&amp;payweek=2014-09-25" TargetMode="External"/><Relationship Id="rId105" Type="http://schemas.openxmlformats.org/officeDocument/2006/relationships/hyperlink" Target="http://dev.dashboard.evolvesolar.com/my-commissions.php?user_id=392&amp;payweek=2015-02-06" TargetMode="External"/><Relationship Id="rId312" Type="http://schemas.openxmlformats.org/officeDocument/2006/relationships/hyperlink" Target="http://dev.dashboard.evolvesolar.com/my-commissions.php?user_id=771&amp;payweek=2015-01-30" TargetMode="External"/><Relationship Id="rId2200" Type="http://schemas.openxmlformats.org/officeDocument/2006/relationships/hyperlink" Target="http://dev.dashboard.evolvesolar.com/my-commissions.php?user_id=397&amp;payweek=2014-10-06" TargetMode="External"/><Relationship Id="rId4098" Type="http://schemas.openxmlformats.org/officeDocument/2006/relationships/hyperlink" Target="http://dev.dashboard.evolvesolar.com/my-commissions.php?user_id=89&amp;payweek=2014-02-21" TargetMode="External"/><Relationship Id="rId1899" Type="http://schemas.openxmlformats.org/officeDocument/2006/relationships/hyperlink" Target="http://dev.dashboard.evolvesolar.com/my-commissions.php?user_id=635&amp;payweek=2014-10-24" TargetMode="External"/><Relationship Id="rId1759" Type="http://schemas.openxmlformats.org/officeDocument/2006/relationships/hyperlink" Target="http://dev.dashboard.evolvesolar.com/my-commissions.php?user_id=405&amp;payweek=2014-10-31" TargetMode="External"/><Relationship Id="rId1966" Type="http://schemas.openxmlformats.org/officeDocument/2006/relationships/hyperlink" Target="http://dev.dashboard.evolvesolar.com/my-commissions.php?user_id=105&amp;payweek=2014-10-17" TargetMode="External"/><Relationship Id="rId3181" Type="http://schemas.openxmlformats.org/officeDocument/2006/relationships/hyperlink" Target="http://dev.dashboard.evolvesolar.com/my-commissions.php?user_id=192&amp;payweek=2014-07-31" TargetMode="External"/><Relationship Id="rId4025" Type="http://schemas.openxmlformats.org/officeDocument/2006/relationships/hyperlink" Target="http://dev.dashboard.evolvesolar.com/my-commissions.php?user_id=87&amp;payweek=2014-04-11" TargetMode="External"/><Relationship Id="rId1619" Type="http://schemas.openxmlformats.org/officeDocument/2006/relationships/hyperlink" Target="http://dev.dashboard.evolvesolar.com/my-commissions.php?user_id=268&amp;payweek=2014-11-07" TargetMode="External"/><Relationship Id="rId1826" Type="http://schemas.openxmlformats.org/officeDocument/2006/relationships/hyperlink" Target="http://dev.dashboard.evolvesolar.com/my-commissions.php?user_id=41&amp;payweek=2014-10-24" TargetMode="External"/><Relationship Id="rId3041" Type="http://schemas.openxmlformats.org/officeDocument/2006/relationships/hyperlink" Target="http://dev.dashboard.evolvesolar.com/my-commissions.php?user_id=233&amp;payweek=2014-08-08" TargetMode="External"/><Relationship Id="rId3998" Type="http://schemas.openxmlformats.org/officeDocument/2006/relationships/hyperlink" Target="http://dev.dashboard.evolvesolar.com/my-commissions.php?user_id=71&amp;payweek=2014-04-18" TargetMode="External"/><Relationship Id="rId3858" Type="http://schemas.openxmlformats.org/officeDocument/2006/relationships/hyperlink" Target="http://dev.dashboard.evolvesolar.com/my-commissions.php?user_id=104&amp;payweek=2014-05-23" TargetMode="External"/><Relationship Id="rId779" Type="http://schemas.openxmlformats.org/officeDocument/2006/relationships/hyperlink" Target="http://dev.dashboard.evolvesolar.com/my-commissions.php?user_id=211&amp;payweek=2014-12-26" TargetMode="External"/><Relationship Id="rId986" Type="http://schemas.openxmlformats.org/officeDocument/2006/relationships/hyperlink" Target="http://dev.dashboard.evolvesolar.com/my-commissions.php?user_id=664&amp;payweek=2014-12-19" TargetMode="External"/><Relationship Id="rId2667" Type="http://schemas.openxmlformats.org/officeDocument/2006/relationships/hyperlink" Target="http://dev.dashboard.evolvesolar.com/my-commissions.php?user_id=391&amp;payweek=2014-09-04" TargetMode="External"/><Relationship Id="rId3718" Type="http://schemas.openxmlformats.org/officeDocument/2006/relationships/hyperlink" Target="http://dev.dashboard.evolvesolar.com/my-commissions.php?user_id=63&amp;payweek=2014-06-06" TargetMode="External"/><Relationship Id="rId639" Type="http://schemas.openxmlformats.org/officeDocument/2006/relationships/hyperlink" Target="http://dev.dashboard.evolvesolar.com/my-commissions.php?user_id=37&amp;payweek=2015-01-06" TargetMode="External"/><Relationship Id="rId1269" Type="http://schemas.openxmlformats.org/officeDocument/2006/relationships/hyperlink" Target="http://dev.dashboard.evolvesolar.com/my-commissions.php?user_id=582&amp;payweek=2014-11-25" TargetMode="External"/><Relationship Id="rId1476" Type="http://schemas.openxmlformats.org/officeDocument/2006/relationships/hyperlink" Target="http://dev.dashboard.evolvesolar.com/my-commissions.php?user_id=282&amp;payweek=2014-11-14" TargetMode="External"/><Relationship Id="rId2874" Type="http://schemas.openxmlformats.org/officeDocument/2006/relationships/hyperlink" Target="http://dev.dashboard.evolvesolar.com/my-commissions.php?user_id=324&amp;payweek=2014-08-22" TargetMode="External"/><Relationship Id="rId3925" Type="http://schemas.openxmlformats.org/officeDocument/2006/relationships/hyperlink" Target="http://dev.dashboard.evolvesolar.com/my-commissions.php?user_id=85&amp;payweek=2014-05-09" TargetMode="External"/><Relationship Id="rId846" Type="http://schemas.openxmlformats.org/officeDocument/2006/relationships/hyperlink" Target="http://dev.dashboard.evolvesolar.com/my-commissions.php?user_id=635&amp;payweek=2014-12-26" TargetMode="External"/><Relationship Id="rId1129" Type="http://schemas.openxmlformats.org/officeDocument/2006/relationships/hyperlink" Target="http://dev.dashboard.evolvesolar.com/my-commissions.php?user_id=332&amp;payweek=2014-12-05" TargetMode="External"/><Relationship Id="rId1683" Type="http://schemas.openxmlformats.org/officeDocument/2006/relationships/hyperlink" Target="http://dev.dashboard.evolvesolar.com/my-commissions.php?user_id=650&amp;payweek=2014-11-07" TargetMode="External"/><Relationship Id="rId1890" Type="http://schemas.openxmlformats.org/officeDocument/2006/relationships/hyperlink" Target="http://dev.dashboard.evolvesolar.com/my-commissions.php?user_id=606&amp;payweek=2014-10-24" TargetMode="External"/><Relationship Id="rId2527" Type="http://schemas.openxmlformats.org/officeDocument/2006/relationships/hyperlink" Target="http://dev.dashboard.evolvesolar.com/my-commissions.php?user_id=407&amp;payweek=2014-09-12" TargetMode="External"/><Relationship Id="rId2734" Type="http://schemas.openxmlformats.org/officeDocument/2006/relationships/hyperlink" Target="http://dev.dashboard.evolvesolar.com/my-commissions.php?user_id=429&amp;payweek=2014-08-29" TargetMode="External"/><Relationship Id="rId2941" Type="http://schemas.openxmlformats.org/officeDocument/2006/relationships/hyperlink" Target="http://dev.dashboard.evolvesolar.com/my-commissions.php?user_id=180&amp;payweek=2014-08-15" TargetMode="External"/><Relationship Id="rId706" Type="http://schemas.openxmlformats.org/officeDocument/2006/relationships/hyperlink" Target="http://dev.dashboard.evolvesolar.com/my-commissions.php?user_id=446&amp;payweek=2014-12-31" TargetMode="External"/><Relationship Id="rId913" Type="http://schemas.openxmlformats.org/officeDocument/2006/relationships/hyperlink" Target="http://dev.dashboard.evolvesolar.com/my-commissions.php?user_id=378&amp;payweek=2014-12-22" TargetMode="External"/><Relationship Id="rId1336" Type="http://schemas.openxmlformats.org/officeDocument/2006/relationships/hyperlink" Target="http://dev.dashboard.evolvesolar.com/my-commissions.php?user_id=261&amp;payweek=2014-11-21" TargetMode="External"/><Relationship Id="rId1543" Type="http://schemas.openxmlformats.org/officeDocument/2006/relationships/hyperlink" Target="http://dev.dashboard.evolvesolar.com/my-commissions.php?user_id=696&amp;payweek=2014-11-14" TargetMode="External"/><Relationship Id="rId1750" Type="http://schemas.openxmlformats.org/officeDocument/2006/relationships/hyperlink" Target="http://dev.dashboard.evolvesolar.com/my-commissions.php?user_id=343&amp;payweek=2014-10-31" TargetMode="External"/><Relationship Id="rId2801" Type="http://schemas.openxmlformats.org/officeDocument/2006/relationships/hyperlink" Target="http://dev.dashboard.evolvesolar.com/my-commissions.php?user_id=41&amp;payweek=2014-08-22" TargetMode="External"/><Relationship Id="rId42" Type="http://schemas.openxmlformats.org/officeDocument/2006/relationships/hyperlink" Target="http://dev.dashboard.evolvesolar.com/my-commissions.php?user_id=148&amp;payweek=2015-02-06" TargetMode="External"/><Relationship Id="rId1403" Type="http://schemas.openxmlformats.org/officeDocument/2006/relationships/hyperlink" Target="http://dev.dashboard.evolvesolar.com/my-commissions.php?user_id=703&amp;payweek=2014-11-21" TargetMode="External"/><Relationship Id="rId1610" Type="http://schemas.openxmlformats.org/officeDocument/2006/relationships/hyperlink" Target="http://dev.dashboard.evolvesolar.com/my-commissions.php?user_id=191&amp;payweek=2014-11-07" TargetMode="External"/><Relationship Id="rId3368" Type="http://schemas.openxmlformats.org/officeDocument/2006/relationships/hyperlink" Target="http://dev.dashboard.evolvesolar.com/my-commissions.php?user_id=236&amp;payweek=2014-07-14" TargetMode="External"/><Relationship Id="rId3575" Type="http://schemas.openxmlformats.org/officeDocument/2006/relationships/hyperlink" Target="http://dev.dashboard.evolvesolar.com/my-commissions.php?user_id=152&amp;payweek=2014-06-20" TargetMode="External"/><Relationship Id="rId3782" Type="http://schemas.openxmlformats.org/officeDocument/2006/relationships/hyperlink" Target="http://dev.dashboard.evolvesolar.com/my-commissions.php?user_id=28&amp;payweek=2014-05-30" TargetMode="External"/><Relationship Id="rId289" Type="http://schemas.openxmlformats.org/officeDocument/2006/relationships/hyperlink" Target="http://dev.dashboard.evolvesolar.com/my-commissions.php?user_id=659&amp;payweek=2015-01-30" TargetMode="External"/><Relationship Id="rId496" Type="http://schemas.openxmlformats.org/officeDocument/2006/relationships/hyperlink" Target="http://dev.dashboard.evolvesolar.com/my-commissions.php?user_id=702&amp;payweek=2015-01-15" TargetMode="External"/><Relationship Id="rId2177" Type="http://schemas.openxmlformats.org/officeDocument/2006/relationships/hyperlink" Target="http://dev.dashboard.evolvesolar.com/my-commissions.php?user_id=282&amp;payweek=2014-10-06" TargetMode="External"/><Relationship Id="rId2384" Type="http://schemas.openxmlformats.org/officeDocument/2006/relationships/hyperlink" Target="http://dev.dashboard.evolvesolar.com/my-commissions.php?user_id=133&amp;payweek=2014-09-19" TargetMode="External"/><Relationship Id="rId2591" Type="http://schemas.openxmlformats.org/officeDocument/2006/relationships/hyperlink" Target="http://dev.dashboard.evolvesolar.com/my-commissions.php?user_id=85&amp;payweek=2014-09-05" TargetMode="External"/><Relationship Id="rId3228" Type="http://schemas.openxmlformats.org/officeDocument/2006/relationships/hyperlink" Target="http://dev.dashboard.evolvesolar.com/my-commissions.php?user_id=41&amp;payweek=2014-07-25" TargetMode="External"/><Relationship Id="rId3435" Type="http://schemas.openxmlformats.org/officeDocument/2006/relationships/hyperlink" Target="http://dev.dashboard.evolvesolar.com/my-commissions.php?user_id=276&amp;payweek=2014-07-11" TargetMode="External"/><Relationship Id="rId3642" Type="http://schemas.openxmlformats.org/officeDocument/2006/relationships/hyperlink" Target="http://dev.dashboard.evolvesolar.com/my-commissions.php?user_id=79&amp;payweek=2014-06-13" TargetMode="External"/><Relationship Id="rId149" Type="http://schemas.openxmlformats.org/officeDocument/2006/relationships/hyperlink" Target="http://dev.dashboard.evolvesolar.com/my-commissions.php?user_id=607&amp;payweek=2015-02-06" TargetMode="External"/><Relationship Id="rId356" Type="http://schemas.openxmlformats.org/officeDocument/2006/relationships/hyperlink" Target="http://dev.dashboard.evolvesolar.com/my-commissions.php?user_id=41&amp;payweek=2015-01-23" TargetMode="External"/><Relationship Id="rId563" Type="http://schemas.openxmlformats.org/officeDocument/2006/relationships/hyperlink" Target="http://dev.dashboard.evolvesolar.com/my-commissions.php?user_id=382&amp;payweek=2015-01-09" TargetMode="External"/><Relationship Id="rId770" Type="http://schemas.openxmlformats.org/officeDocument/2006/relationships/hyperlink" Target="http://dev.dashboard.evolvesolar.com/my-commissions.php?user_id=153&amp;payweek=2014-12-26" TargetMode="External"/><Relationship Id="rId1193" Type="http://schemas.openxmlformats.org/officeDocument/2006/relationships/hyperlink" Target="http://dev.dashboard.evolvesolar.com/my-commissions.php?user_id=807&amp;payweek=2014-12-05" TargetMode="External"/><Relationship Id="rId2037" Type="http://schemas.openxmlformats.org/officeDocument/2006/relationships/hyperlink" Target="http://dev.dashboard.evolvesolar.com/my-commissions.php?user_id=653&amp;payweek=2014-10-17" TargetMode="External"/><Relationship Id="rId2244" Type="http://schemas.openxmlformats.org/officeDocument/2006/relationships/hyperlink" Target="http://dev.dashboard.evolvesolar.com/my-commissions.php?user_id=438&amp;payweek=2014-10-03" TargetMode="External"/><Relationship Id="rId2451" Type="http://schemas.openxmlformats.org/officeDocument/2006/relationships/hyperlink" Target="http://dev.dashboard.evolvesolar.com/my-commissions.php?user_id=77&amp;payweek=2014-09-12" TargetMode="External"/><Relationship Id="rId216" Type="http://schemas.openxmlformats.org/officeDocument/2006/relationships/hyperlink" Target="http://dev.dashboard.evolvesolar.com/my-commissions.php?user_id=945&amp;payweek=2015-02-06" TargetMode="External"/><Relationship Id="rId423" Type="http://schemas.openxmlformats.org/officeDocument/2006/relationships/hyperlink" Target="http://dev.dashboard.evolvesolar.com/my-commissions.php?user_id=817&amp;payweek=2015-01-23" TargetMode="External"/><Relationship Id="rId1053" Type="http://schemas.openxmlformats.org/officeDocument/2006/relationships/hyperlink" Target="http://dev.dashboard.evolvesolar.com/my-commissions.php?user_id=475&amp;payweek=2014-12-12" TargetMode="External"/><Relationship Id="rId1260" Type="http://schemas.openxmlformats.org/officeDocument/2006/relationships/hyperlink" Target="http://dev.dashboard.evolvesolar.com/my-commissions.php?user_id=387&amp;payweek=2014-11-25" TargetMode="External"/><Relationship Id="rId2104" Type="http://schemas.openxmlformats.org/officeDocument/2006/relationships/hyperlink" Target="http://dev.dashboard.evolvesolar.com/my-commissions.php?user_id=397&amp;payweek=2014-10-10" TargetMode="External"/><Relationship Id="rId3502" Type="http://schemas.openxmlformats.org/officeDocument/2006/relationships/hyperlink" Target="http://dev.dashboard.evolvesolar.com/my-commissions.php?user_id=143&amp;payweek=2014-06-27" TargetMode="External"/><Relationship Id="rId630" Type="http://schemas.openxmlformats.org/officeDocument/2006/relationships/hyperlink" Target="http://dev.dashboard.evolvesolar.com/my-commissions.php?user_id=809&amp;payweek=2015-01-09" TargetMode="External"/><Relationship Id="rId2311" Type="http://schemas.openxmlformats.org/officeDocument/2006/relationships/hyperlink" Target="http://dev.dashboard.evolvesolar.com/my-commissions.php?user_id=397&amp;payweek=2014-09-25" TargetMode="External"/><Relationship Id="rId4069" Type="http://schemas.openxmlformats.org/officeDocument/2006/relationships/hyperlink" Target="http://dev.dashboard.evolvesolar.com/my-commissions.php?user_id=257&amp;payweek=2014-03-28" TargetMode="External"/><Relationship Id="rId1120" Type="http://schemas.openxmlformats.org/officeDocument/2006/relationships/hyperlink" Target="http://dev.dashboard.evolvesolar.com/my-commissions.php?user_id=218&amp;payweek=2014-12-05" TargetMode="External"/><Relationship Id="rId1937" Type="http://schemas.openxmlformats.org/officeDocument/2006/relationships/hyperlink" Target="http://dev.dashboard.evolvesolar.com/my-commissions.php?user_id=664&amp;payweek=2014-10-20" TargetMode="External"/><Relationship Id="rId3085" Type="http://schemas.openxmlformats.org/officeDocument/2006/relationships/hyperlink" Target="http://dev.dashboard.evolvesolar.com/my-commissions.php?user_id=217&amp;payweek=2014-08-07" TargetMode="External"/><Relationship Id="rId3292" Type="http://schemas.openxmlformats.org/officeDocument/2006/relationships/hyperlink" Target="http://dev.dashboard.evolvesolar.com/my-commissions.php?user_id=324&amp;payweek=2014-07-25" TargetMode="External"/><Relationship Id="rId3152" Type="http://schemas.openxmlformats.org/officeDocument/2006/relationships/hyperlink" Target="http://dev.dashboard.evolvesolar.com/my-commissions.php?user_id=27&amp;payweek=2014-07-31" TargetMode="External"/><Relationship Id="rId280" Type="http://schemas.openxmlformats.org/officeDocument/2006/relationships/hyperlink" Target="http://dev.dashboard.evolvesolar.com/my-commissions.php?user_id=582&amp;payweek=2015-01-30" TargetMode="External"/><Relationship Id="rId3012" Type="http://schemas.openxmlformats.org/officeDocument/2006/relationships/hyperlink" Target="http://dev.dashboard.evolvesolar.com/my-commissions.php?user_id=373&amp;payweek=2014-08-11" TargetMode="External"/><Relationship Id="rId140" Type="http://schemas.openxmlformats.org/officeDocument/2006/relationships/hyperlink" Target="http://dev.dashboard.evolvesolar.com/my-commissions.php?user_id=593&amp;payweek=2015-02-06" TargetMode="External"/><Relationship Id="rId3969" Type="http://schemas.openxmlformats.org/officeDocument/2006/relationships/hyperlink" Target="http://dev.dashboard.evolvesolar.com/my-commissions.php?user_id=79&amp;payweek=2014-04-25" TargetMode="External"/><Relationship Id="rId6" Type="http://schemas.openxmlformats.org/officeDocument/2006/relationships/hyperlink" Target="http://dev.dashboard.evolvesolar.com/my-commissions.php?user_id=34&amp;payweek=2015-02-06" TargetMode="External"/><Relationship Id="rId2778" Type="http://schemas.openxmlformats.org/officeDocument/2006/relationships/hyperlink" Target="http://dev.dashboard.evolvesolar.com/my-commissions.php?user_id=302&amp;payweek=2014-08-28" TargetMode="External"/><Relationship Id="rId2985" Type="http://schemas.openxmlformats.org/officeDocument/2006/relationships/hyperlink" Target="http://dev.dashboard.evolvesolar.com/my-commissions.php?user_id=232&amp;payweek=2014-08-14" TargetMode="External"/><Relationship Id="rId3829" Type="http://schemas.openxmlformats.org/officeDocument/2006/relationships/hyperlink" Target="http://dev.dashboard.evolvesolar.com/my-commissions.php?user_id=180&amp;payweek=2014-05-30" TargetMode="External"/><Relationship Id="rId957" Type="http://schemas.openxmlformats.org/officeDocument/2006/relationships/hyperlink" Target="http://dev.dashboard.evolvesolar.com/my-commissions.php?user_id=202&amp;payweek=2014-12-19" TargetMode="External"/><Relationship Id="rId1587" Type="http://schemas.openxmlformats.org/officeDocument/2006/relationships/hyperlink" Target="http://dev.dashboard.evolvesolar.com/my-commissions.php?user_id=383&amp;payweek=2014-11-10" TargetMode="External"/><Relationship Id="rId1794" Type="http://schemas.openxmlformats.org/officeDocument/2006/relationships/hyperlink" Target="http://dev.dashboard.evolvesolar.com/my-commissions.php?user_id=592&amp;payweek=2014-10-31" TargetMode="External"/><Relationship Id="rId2638" Type="http://schemas.openxmlformats.org/officeDocument/2006/relationships/hyperlink" Target="http://dev.dashboard.evolvesolar.com/my-commissions.php?user_id=223&amp;payweek=2014-09-04" TargetMode="External"/><Relationship Id="rId2845" Type="http://schemas.openxmlformats.org/officeDocument/2006/relationships/hyperlink" Target="http://dev.dashboard.evolvesolar.com/my-commissions.php?user_id=244&amp;payweek=2014-08-22" TargetMode="External"/><Relationship Id="rId86" Type="http://schemas.openxmlformats.org/officeDocument/2006/relationships/hyperlink" Target="http://dev.dashboard.evolvesolar.com/my-commissions.php?user_id=321&amp;payweek=2015-02-06" TargetMode="External"/><Relationship Id="rId817" Type="http://schemas.openxmlformats.org/officeDocument/2006/relationships/hyperlink" Target="http://dev.dashboard.evolvesolar.com/my-commissions.php?user_id=428&amp;payweek=2014-12-26" TargetMode="External"/><Relationship Id="rId1447" Type="http://schemas.openxmlformats.org/officeDocument/2006/relationships/hyperlink" Target="http://dev.dashboard.evolvesolar.com/my-commissions.php?user_id=104&amp;payweek=2014-11-14" TargetMode="External"/><Relationship Id="rId1654" Type="http://schemas.openxmlformats.org/officeDocument/2006/relationships/hyperlink" Target="http://dev.dashboard.evolvesolar.com/my-commissions.php?user_id=549&amp;payweek=2014-11-07" TargetMode="External"/><Relationship Id="rId1861" Type="http://schemas.openxmlformats.org/officeDocument/2006/relationships/hyperlink" Target="http://dev.dashboard.evolvesolar.com/my-commissions.php?user_id=397&amp;payweek=2014-10-24" TargetMode="External"/><Relationship Id="rId2705" Type="http://schemas.openxmlformats.org/officeDocument/2006/relationships/hyperlink" Target="http://dev.dashboard.evolvesolar.com/my-commissions.php?user_id=254&amp;payweek=2014-08-29" TargetMode="External"/><Relationship Id="rId2912" Type="http://schemas.openxmlformats.org/officeDocument/2006/relationships/hyperlink" Target="http://dev.dashboard.evolvesolar.com/my-commissions.php?user_id=580&amp;payweek=2014-08-22" TargetMode="External"/><Relationship Id="rId4060" Type="http://schemas.openxmlformats.org/officeDocument/2006/relationships/hyperlink" Target="http://dev.dashboard.evolvesolar.com/my-commissions.php?user_id=89&amp;payweek=2014-04-03" TargetMode="External"/><Relationship Id="rId1307" Type="http://schemas.openxmlformats.org/officeDocument/2006/relationships/hyperlink" Target="http://dev.dashboard.evolvesolar.com/my-commissions.php?user_id=295&amp;payweek=2014-11-23" TargetMode="External"/><Relationship Id="rId1514" Type="http://schemas.openxmlformats.org/officeDocument/2006/relationships/hyperlink" Target="http://dev.dashboard.evolvesolar.com/my-commissions.php?user_id=583&amp;payweek=2014-11-14" TargetMode="External"/><Relationship Id="rId1721" Type="http://schemas.openxmlformats.org/officeDocument/2006/relationships/hyperlink" Target="http://dev.dashboard.evolvesolar.com/my-commissions.php?user_id=212&amp;payweek=2014-11-03" TargetMode="External"/><Relationship Id="rId13" Type="http://schemas.openxmlformats.org/officeDocument/2006/relationships/hyperlink" Target="http://dev.dashboard.evolvesolar.com/my-commissions.php?user_id=77&amp;payweek=2015-02-06" TargetMode="External"/><Relationship Id="rId3479" Type="http://schemas.openxmlformats.org/officeDocument/2006/relationships/hyperlink" Target="http://dev.dashboard.evolvesolar.com/my-commissions.php?user_id=41&amp;payweek=2014-06-27" TargetMode="External"/><Relationship Id="rId3686" Type="http://schemas.openxmlformats.org/officeDocument/2006/relationships/hyperlink" Target="http://dev.dashboard.evolvesolar.com/my-commissions.php?user_id=147&amp;payweek=2014-06-13" TargetMode="External"/><Relationship Id="rId2288" Type="http://schemas.openxmlformats.org/officeDocument/2006/relationships/hyperlink" Target="http://dev.dashboard.evolvesolar.com/my-commissions.php?user_id=203&amp;payweek=2014-09-25" TargetMode="External"/><Relationship Id="rId2495" Type="http://schemas.openxmlformats.org/officeDocument/2006/relationships/hyperlink" Target="http://dev.dashboard.evolvesolar.com/my-commissions.php?user_id=347&amp;payweek=2014-09-12" TargetMode="External"/><Relationship Id="rId3339" Type="http://schemas.openxmlformats.org/officeDocument/2006/relationships/hyperlink" Target="http://dev.dashboard.evolvesolar.com/my-commissions.php?user_id=218&amp;payweek=2014-07-18" TargetMode="External"/><Relationship Id="rId3893" Type="http://schemas.openxmlformats.org/officeDocument/2006/relationships/hyperlink" Target="http://dev.dashboard.evolvesolar.com/my-commissions.php?user_id=108&amp;payweek=2014-05-16" TargetMode="External"/><Relationship Id="rId467" Type="http://schemas.openxmlformats.org/officeDocument/2006/relationships/hyperlink" Target="http://dev.dashboard.evolvesolar.com/my-commissions.php?user_id=458&amp;payweek=2015-01-15" TargetMode="External"/><Relationship Id="rId1097" Type="http://schemas.openxmlformats.org/officeDocument/2006/relationships/hyperlink" Target="http://dev.dashboard.evolvesolar.com/my-commissions.php?user_id=823&amp;payweek=2014-12-12" TargetMode="External"/><Relationship Id="rId2148" Type="http://schemas.openxmlformats.org/officeDocument/2006/relationships/hyperlink" Target="http://dev.dashboard.evolvesolar.com/my-commissions.php?user_id=648&amp;payweek=2014-10-10" TargetMode="External"/><Relationship Id="rId3546" Type="http://schemas.openxmlformats.org/officeDocument/2006/relationships/hyperlink" Target="http://dev.dashboard.evolvesolar.com/my-commissions.php?user_id=100&amp;payweek=2014-06-20" TargetMode="External"/><Relationship Id="rId3753" Type="http://schemas.openxmlformats.org/officeDocument/2006/relationships/hyperlink" Target="http://dev.dashboard.evolvesolar.com/my-commissions.php?user_id=119&amp;payweek=2014-06-06" TargetMode="External"/><Relationship Id="rId3960" Type="http://schemas.openxmlformats.org/officeDocument/2006/relationships/hyperlink" Target="http://dev.dashboard.evolvesolar.com/my-commissions.php?user_id=89&amp;payweek=2014-05-02" TargetMode="External"/><Relationship Id="rId674" Type="http://schemas.openxmlformats.org/officeDocument/2006/relationships/hyperlink" Target="http://dev.dashboard.evolvesolar.com/my-commissions.php?user_id=217&amp;payweek=2014-12-31" TargetMode="External"/><Relationship Id="rId881" Type="http://schemas.openxmlformats.org/officeDocument/2006/relationships/hyperlink" Target="http://dev.dashboard.evolvesolar.com/my-commissions.php?user_id=857&amp;payweek=2014-12-26" TargetMode="External"/><Relationship Id="rId2355" Type="http://schemas.openxmlformats.org/officeDocument/2006/relationships/hyperlink" Target="http://dev.dashboard.evolvesolar.com/my-commissions.php?user_id=615&amp;payweek=2014-09-25" TargetMode="External"/><Relationship Id="rId2562" Type="http://schemas.openxmlformats.org/officeDocument/2006/relationships/hyperlink" Target="http://dev.dashboard.evolvesolar.com/my-commissions.php?user_id=576&amp;payweek=2014-09-12" TargetMode="External"/><Relationship Id="rId3406" Type="http://schemas.openxmlformats.org/officeDocument/2006/relationships/hyperlink" Target="http://dev.dashboard.evolvesolar.com/my-commissions.php?user_id=184&amp;payweek=2014-07-11" TargetMode="External"/><Relationship Id="rId3613" Type="http://schemas.openxmlformats.org/officeDocument/2006/relationships/hyperlink" Target="http://dev.dashboard.evolvesolar.com/my-commissions.php?user_id=164&amp;payweek=2014-06-16" TargetMode="External"/><Relationship Id="rId3820" Type="http://schemas.openxmlformats.org/officeDocument/2006/relationships/hyperlink" Target="http://dev.dashboard.evolvesolar.com/my-commissions.php?user_id=120&amp;payweek=2014-05-30" TargetMode="External"/><Relationship Id="rId327" Type="http://schemas.openxmlformats.org/officeDocument/2006/relationships/hyperlink" Target="http://dev.dashboard.evolvesolar.com/my-commissions.php?user_id=894&amp;payweek=2015-01-30" TargetMode="External"/><Relationship Id="rId534" Type="http://schemas.openxmlformats.org/officeDocument/2006/relationships/hyperlink" Target="http://dev.dashboard.evolvesolar.com/my-commissions.php?user_id=141&amp;payweek=2015-01-09" TargetMode="External"/><Relationship Id="rId741" Type="http://schemas.openxmlformats.org/officeDocument/2006/relationships/hyperlink" Target="http://dev.dashboard.evolvesolar.com/my-commissions.php?user_id=714&amp;payweek=2014-12-31" TargetMode="External"/><Relationship Id="rId1164" Type="http://schemas.openxmlformats.org/officeDocument/2006/relationships/hyperlink" Target="http://dev.dashboard.evolvesolar.com/my-commissions.php?user_id=674&amp;payweek=2014-12-05" TargetMode="External"/><Relationship Id="rId1371" Type="http://schemas.openxmlformats.org/officeDocument/2006/relationships/hyperlink" Target="http://dev.dashboard.evolvesolar.com/my-commissions.php?user_id=530&amp;payweek=2014-11-21" TargetMode="External"/><Relationship Id="rId2008" Type="http://schemas.openxmlformats.org/officeDocument/2006/relationships/hyperlink" Target="http://dev.dashboard.evolvesolar.com/my-commissions.php?user_id=410&amp;payweek=2014-10-17" TargetMode="External"/><Relationship Id="rId2215" Type="http://schemas.openxmlformats.org/officeDocument/2006/relationships/hyperlink" Target="http://dev.dashboard.evolvesolar.com/my-commissions.php?user_id=580&amp;payweek=2014-10-06" TargetMode="External"/><Relationship Id="rId2422" Type="http://schemas.openxmlformats.org/officeDocument/2006/relationships/hyperlink" Target="http://dev.dashboard.evolvesolar.com/my-commissions.php?user_id=401&amp;payweek=2014-09-19" TargetMode="External"/><Relationship Id="rId601" Type="http://schemas.openxmlformats.org/officeDocument/2006/relationships/hyperlink" Target="http://dev.dashboard.evolvesolar.com/my-commissions.php?user_id=648&amp;payweek=2015-01-09" TargetMode="External"/><Relationship Id="rId1024" Type="http://schemas.openxmlformats.org/officeDocument/2006/relationships/hyperlink" Target="http://dev.dashboard.evolvesolar.com/my-commissions.php?user_id=219&amp;payweek=2014-12-12" TargetMode="External"/><Relationship Id="rId1231" Type="http://schemas.openxmlformats.org/officeDocument/2006/relationships/hyperlink" Target="http://dev.dashboard.evolvesolar.com/my-commissions.php?user_id=691&amp;payweek=2014-11-28" TargetMode="External"/><Relationship Id="rId3196" Type="http://schemas.openxmlformats.org/officeDocument/2006/relationships/hyperlink" Target="http://dev.dashboard.evolvesolar.com/my-commissions.php?user_id=230&amp;payweek=2014-07-31" TargetMode="External"/><Relationship Id="rId3056" Type="http://schemas.openxmlformats.org/officeDocument/2006/relationships/hyperlink" Target="http://dev.dashboard.evolvesolar.com/my-commissions.php?user_id=295&amp;payweek=2014-08-08" TargetMode="External"/><Relationship Id="rId3263" Type="http://schemas.openxmlformats.org/officeDocument/2006/relationships/hyperlink" Target="http://dev.dashboard.evolvesolar.com/my-commissions.php?user_id=213&amp;payweek=2014-07-25" TargetMode="External"/><Relationship Id="rId3470" Type="http://schemas.openxmlformats.org/officeDocument/2006/relationships/hyperlink" Target="http://dev.dashboard.evolvesolar.com/my-commissions.php?user_id=184&amp;payweek=2014-07-03" TargetMode="External"/><Relationship Id="rId4107" Type="http://schemas.openxmlformats.org/officeDocument/2006/relationships/hyperlink" Target="http://dev.dashboard.evolvesolar.com/my-commissions.php?user_id=212&amp;payweek=2014-01-06" TargetMode="External"/><Relationship Id="rId184" Type="http://schemas.openxmlformats.org/officeDocument/2006/relationships/hyperlink" Target="http://dev.dashboard.evolvesolar.com/my-commissions.php?user_id=817&amp;payweek=2015-02-06" TargetMode="External"/><Relationship Id="rId391" Type="http://schemas.openxmlformats.org/officeDocument/2006/relationships/hyperlink" Target="http://dev.dashboard.evolvesolar.com/my-commissions.php?user_id=530&amp;payweek=2015-01-23" TargetMode="External"/><Relationship Id="rId1908" Type="http://schemas.openxmlformats.org/officeDocument/2006/relationships/hyperlink" Target="http://dev.dashboard.evolvesolar.com/my-commissions.php?user_id=664&amp;payweek=2014-10-24" TargetMode="External"/><Relationship Id="rId2072" Type="http://schemas.openxmlformats.org/officeDocument/2006/relationships/hyperlink" Target="http://dev.dashboard.evolvesolar.com/my-commissions.php?user_id=77&amp;payweek=2014-10-10" TargetMode="External"/><Relationship Id="rId3123" Type="http://schemas.openxmlformats.org/officeDocument/2006/relationships/hyperlink" Target="http://dev.dashboard.evolvesolar.com/my-commissions.php?user_id=211&amp;payweek=2014-08-04" TargetMode="External"/><Relationship Id="rId251" Type="http://schemas.openxmlformats.org/officeDocument/2006/relationships/hyperlink" Target="http://dev.dashboard.evolvesolar.com/my-commissions.php?user_id=203&amp;payweek=2015-01-30" TargetMode="External"/><Relationship Id="rId3330" Type="http://schemas.openxmlformats.org/officeDocument/2006/relationships/hyperlink" Target="http://dev.dashboard.evolvesolar.com/my-commissions.php?user_id=189&amp;payweek=2014-07-18" TargetMode="External"/><Relationship Id="rId2889" Type="http://schemas.openxmlformats.org/officeDocument/2006/relationships/hyperlink" Target="http://dev.dashboard.evolvesolar.com/my-commissions.php?user_id=397&amp;payweek=2014-08-22" TargetMode="External"/><Relationship Id="rId111" Type="http://schemas.openxmlformats.org/officeDocument/2006/relationships/hyperlink" Target="http://dev.dashboard.evolvesolar.com/my-commissions.php?user_id=417&amp;payweek=2015-02-06" TargetMode="External"/><Relationship Id="rId1698" Type="http://schemas.openxmlformats.org/officeDocument/2006/relationships/hyperlink" Target="http://dev.dashboard.evolvesolar.com/my-commissions.php?user_id=703&amp;payweek=2014-11-07" TargetMode="External"/><Relationship Id="rId2749" Type="http://schemas.openxmlformats.org/officeDocument/2006/relationships/hyperlink" Target="http://dev.dashboard.evolvesolar.com/my-commissions.php?user_id=104&amp;payweek=2014-08-28" TargetMode="External"/><Relationship Id="rId2956" Type="http://schemas.openxmlformats.org/officeDocument/2006/relationships/hyperlink" Target="http://dev.dashboard.evolvesolar.com/my-commissions.php?user_id=244&amp;payweek=2014-08-15" TargetMode="External"/><Relationship Id="rId928" Type="http://schemas.openxmlformats.org/officeDocument/2006/relationships/hyperlink" Target="http://dev.dashboard.evolvesolar.com/my-commissions.php?user_id=672&amp;payweek=2014-12-22" TargetMode="External"/><Relationship Id="rId1558" Type="http://schemas.openxmlformats.org/officeDocument/2006/relationships/hyperlink" Target="http://dev.dashboard.evolvesolar.com/my-commissions.php?user_id=722&amp;payweek=2014-11-14" TargetMode="External"/><Relationship Id="rId1765" Type="http://schemas.openxmlformats.org/officeDocument/2006/relationships/hyperlink" Target="http://dev.dashboard.evolvesolar.com/my-commissions.php?user_id=438&amp;payweek=2014-10-31" TargetMode="External"/><Relationship Id="rId2609" Type="http://schemas.openxmlformats.org/officeDocument/2006/relationships/hyperlink" Target="http://dev.dashboard.evolvesolar.com/my-commissions.php?user_id=373&amp;payweek=2014-09-05" TargetMode="External"/><Relationship Id="rId57" Type="http://schemas.openxmlformats.org/officeDocument/2006/relationships/hyperlink" Target="http://dev.dashboard.evolvesolar.com/my-commissions.php?user_id=217&amp;payweek=2015-02-06" TargetMode="External"/><Relationship Id="rId1418" Type="http://schemas.openxmlformats.org/officeDocument/2006/relationships/hyperlink" Target="http://dev.dashboard.evolvesolar.com/my-commissions.php?user_id=782&amp;payweek=2014-11-21" TargetMode="External"/><Relationship Id="rId1972" Type="http://schemas.openxmlformats.org/officeDocument/2006/relationships/hyperlink" Target="http://dev.dashboard.evolvesolar.com/my-commissions.php?user_id=134&amp;payweek=2014-10-17" TargetMode="External"/><Relationship Id="rId2816" Type="http://schemas.openxmlformats.org/officeDocument/2006/relationships/hyperlink" Target="http://dev.dashboard.evolvesolar.com/my-commissions.php?user_id=191&amp;payweek=2014-08-22" TargetMode="External"/><Relationship Id="rId4031" Type="http://schemas.openxmlformats.org/officeDocument/2006/relationships/hyperlink" Target="http://dev.dashboard.evolvesolar.com/my-commissions.php?user_id=101&amp;payweek=2014-04-11" TargetMode="External"/><Relationship Id="rId1625" Type="http://schemas.openxmlformats.org/officeDocument/2006/relationships/hyperlink" Target="http://dev.dashboard.evolvesolar.com/my-commissions.php?user_id=352&amp;payweek=2014-11-07" TargetMode="External"/><Relationship Id="rId1832" Type="http://schemas.openxmlformats.org/officeDocument/2006/relationships/hyperlink" Target="http://dev.dashboard.evolvesolar.com/my-commissions.php?user_id=133&amp;payweek=2014-10-24" TargetMode="External"/><Relationship Id="rId3797" Type="http://schemas.openxmlformats.org/officeDocument/2006/relationships/hyperlink" Target="http://dev.dashboard.evolvesolar.com/my-commissions.php?user_id=88&amp;payweek=2014-05-30" TargetMode="External"/><Relationship Id="rId2399" Type="http://schemas.openxmlformats.org/officeDocument/2006/relationships/hyperlink" Target="http://dev.dashboard.evolvesolar.com/my-commissions.php?user_id=248&amp;payweek=2014-09-19" TargetMode="External"/><Relationship Id="rId3657" Type="http://schemas.openxmlformats.org/officeDocument/2006/relationships/hyperlink" Target="http://dev.dashboard.evolvesolar.com/my-commissions.php?user_id=113&amp;payweek=2014-06-13" TargetMode="External"/><Relationship Id="rId3864" Type="http://schemas.openxmlformats.org/officeDocument/2006/relationships/hyperlink" Target="http://dev.dashboard.evolvesolar.com/my-commissions.php?user_id=114&amp;payweek=2014-05-23" TargetMode="External"/><Relationship Id="rId578" Type="http://schemas.openxmlformats.org/officeDocument/2006/relationships/hyperlink" Target="http://dev.dashboard.evolvesolar.com/my-commissions.php?user_id=464&amp;payweek=2015-01-09" TargetMode="External"/><Relationship Id="rId785" Type="http://schemas.openxmlformats.org/officeDocument/2006/relationships/hyperlink" Target="http://dev.dashboard.evolvesolar.com/my-commissions.php?user_id=268&amp;payweek=2014-12-26" TargetMode="External"/><Relationship Id="rId992" Type="http://schemas.openxmlformats.org/officeDocument/2006/relationships/hyperlink" Target="http://dev.dashboard.evolvesolar.com/my-commissions.php?user_id=631&amp;payweek=2014-12-15" TargetMode="External"/><Relationship Id="rId2259" Type="http://schemas.openxmlformats.org/officeDocument/2006/relationships/hyperlink" Target="http://dev.dashboard.evolvesolar.com/my-commissions.php?user_id=202&amp;payweek=2014-09-29" TargetMode="External"/><Relationship Id="rId2466" Type="http://schemas.openxmlformats.org/officeDocument/2006/relationships/hyperlink" Target="http://dev.dashboard.evolvesolar.com/my-commissions.php?user_id=230&amp;payweek=2014-09-12" TargetMode="External"/><Relationship Id="rId2673" Type="http://schemas.openxmlformats.org/officeDocument/2006/relationships/hyperlink" Target="http://dev.dashboard.evolvesolar.com/my-commissions.php?user_id=401&amp;payweek=2014-09-04" TargetMode="External"/><Relationship Id="rId2880" Type="http://schemas.openxmlformats.org/officeDocument/2006/relationships/hyperlink" Target="http://dev.dashboard.evolvesolar.com/my-commissions.php?user_id=360&amp;payweek=2014-08-22" TargetMode="External"/><Relationship Id="rId3517" Type="http://schemas.openxmlformats.org/officeDocument/2006/relationships/hyperlink" Target="http://dev.dashboard.evolvesolar.com/my-commissions.php?user_id=79&amp;payweek=2014-06-23" TargetMode="External"/><Relationship Id="rId3724" Type="http://schemas.openxmlformats.org/officeDocument/2006/relationships/hyperlink" Target="http://dev.dashboard.evolvesolar.com/my-commissions.php?user_id=83&amp;payweek=2014-06-06" TargetMode="External"/><Relationship Id="rId3931" Type="http://schemas.openxmlformats.org/officeDocument/2006/relationships/hyperlink" Target="http://dev.dashboard.evolvesolar.com/my-commissions.php?user_id=112&amp;payweek=2014-05-09" TargetMode="External"/><Relationship Id="rId438" Type="http://schemas.openxmlformats.org/officeDocument/2006/relationships/hyperlink" Target="http://dev.dashboard.evolvesolar.com/my-commissions.php?user_id=37&amp;payweek=2015-01-15" TargetMode="External"/><Relationship Id="rId645" Type="http://schemas.openxmlformats.org/officeDocument/2006/relationships/hyperlink" Target="http://dev.dashboard.evolvesolar.com/my-commissions.php?user_id=389&amp;payweek=2015-01-02" TargetMode="External"/><Relationship Id="rId852" Type="http://schemas.openxmlformats.org/officeDocument/2006/relationships/hyperlink" Target="http://dev.dashboard.evolvesolar.com/my-commissions.php?user_id=656&amp;payweek=2014-12-26" TargetMode="External"/><Relationship Id="rId1068" Type="http://schemas.openxmlformats.org/officeDocument/2006/relationships/hyperlink" Target="http://dev.dashboard.evolvesolar.com/my-commissions.php?user_id=612&amp;payweek=2014-12-12" TargetMode="External"/><Relationship Id="rId1275" Type="http://schemas.openxmlformats.org/officeDocument/2006/relationships/hyperlink" Target="http://dev.dashboard.evolvesolar.com/my-commissions.php?user_id=664&amp;payweek=2014-11-25" TargetMode="External"/><Relationship Id="rId1482" Type="http://schemas.openxmlformats.org/officeDocument/2006/relationships/hyperlink" Target="http://dev.dashboard.evolvesolar.com/my-commissions.php?user_id=302&amp;payweek=2014-11-14" TargetMode="External"/><Relationship Id="rId2119" Type="http://schemas.openxmlformats.org/officeDocument/2006/relationships/hyperlink" Target="http://dev.dashboard.evolvesolar.com/my-commissions.php?user_id=549&amp;payweek=2014-10-10" TargetMode="External"/><Relationship Id="rId2326" Type="http://schemas.openxmlformats.org/officeDocument/2006/relationships/hyperlink" Target="http://dev.dashboard.evolvesolar.com/my-commissions.php?user_id=443&amp;payweek=2014-09-25" TargetMode="External"/><Relationship Id="rId2533" Type="http://schemas.openxmlformats.org/officeDocument/2006/relationships/hyperlink" Target="http://dev.dashboard.evolvesolar.com/my-commissions.php?user_id=428&amp;payweek=2014-09-12" TargetMode="External"/><Relationship Id="rId2740" Type="http://schemas.openxmlformats.org/officeDocument/2006/relationships/hyperlink" Target="http://dev.dashboard.evolvesolar.com/my-commissions.php?user_id=472&amp;payweek=2014-08-29" TargetMode="External"/><Relationship Id="rId505" Type="http://schemas.openxmlformats.org/officeDocument/2006/relationships/hyperlink" Target="http://dev.dashboard.evolvesolar.com/my-commissions.php?user_id=817&amp;payweek=2015-01-15" TargetMode="External"/><Relationship Id="rId712" Type="http://schemas.openxmlformats.org/officeDocument/2006/relationships/hyperlink" Target="http://dev.dashboard.evolvesolar.com/my-commissions.php?user_id=465&amp;payweek=2014-12-31" TargetMode="External"/><Relationship Id="rId1135" Type="http://schemas.openxmlformats.org/officeDocument/2006/relationships/hyperlink" Target="http://dev.dashboard.evolvesolar.com/my-commissions.php?user_id=468&amp;payweek=2014-12-05" TargetMode="External"/><Relationship Id="rId1342" Type="http://schemas.openxmlformats.org/officeDocument/2006/relationships/hyperlink" Target="http://dev.dashboard.evolvesolar.com/my-commissions.php?user_id=295&amp;payweek=2014-11-21" TargetMode="External"/><Relationship Id="rId1202" Type="http://schemas.openxmlformats.org/officeDocument/2006/relationships/hyperlink" Target="http://dev.dashboard.evolvesolar.com/my-commissions.php?user_id=854&amp;payweek=2014-12-05" TargetMode="External"/><Relationship Id="rId2600" Type="http://schemas.openxmlformats.org/officeDocument/2006/relationships/hyperlink" Target="http://dev.dashboard.evolvesolar.com/my-commissions.php?user_id=254&amp;payweek=2014-09-05" TargetMode="External"/><Relationship Id="rId3167" Type="http://schemas.openxmlformats.org/officeDocument/2006/relationships/hyperlink" Target="http://dev.dashboard.evolvesolar.com/my-commissions.php?user_id=138&amp;payweek=2014-07-31" TargetMode="External"/><Relationship Id="rId295" Type="http://schemas.openxmlformats.org/officeDocument/2006/relationships/hyperlink" Target="http://dev.dashboard.evolvesolar.com/my-commissions.php?user_id=692&amp;payweek=2015-01-30" TargetMode="External"/><Relationship Id="rId3374" Type="http://schemas.openxmlformats.org/officeDocument/2006/relationships/hyperlink" Target="http://dev.dashboard.evolvesolar.com/my-commissions.php?user_id=67&amp;payweek=2014-07-11" TargetMode="External"/><Relationship Id="rId3581" Type="http://schemas.openxmlformats.org/officeDocument/2006/relationships/hyperlink" Target="http://dev.dashboard.evolvesolar.com/my-commissions.php?user_id=157&amp;payweek=2014-06-20" TargetMode="External"/><Relationship Id="rId2183" Type="http://schemas.openxmlformats.org/officeDocument/2006/relationships/hyperlink" Target="http://dev.dashboard.evolvesolar.com/my-commissions.php?user_id=328&amp;payweek=2014-10-06" TargetMode="External"/><Relationship Id="rId2390" Type="http://schemas.openxmlformats.org/officeDocument/2006/relationships/hyperlink" Target="http://dev.dashboard.evolvesolar.com/my-commissions.php?user_id=217&amp;payweek=2014-09-19" TargetMode="External"/><Relationship Id="rId3027" Type="http://schemas.openxmlformats.org/officeDocument/2006/relationships/hyperlink" Target="http://dev.dashboard.evolvesolar.com/my-commissions.php?user_id=185&amp;payweek=2014-08-08" TargetMode="External"/><Relationship Id="rId3234" Type="http://schemas.openxmlformats.org/officeDocument/2006/relationships/hyperlink" Target="http://dev.dashboard.evolvesolar.com/my-commissions.php?user_id=108&amp;payweek=2014-07-25" TargetMode="External"/><Relationship Id="rId3441" Type="http://schemas.openxmlformats.org/officeDocument/2006/relationships/hyperlink" Target="http://dev.dashboard.evolvesolar.com/my-commissions.php?user_id=41&amp;payweek=2014-07-04" TargetMode="External"/><Relationship Id="rId155" Type="http://schemas.openxmlformats.org/officeDocument/2006/relationships/hyperlink" Target="http://dev.dashboard.evolvesolar.com/my-commissions.php?user_id=616&amp;payweek=2015-02-06" TargetMode="External"/><Relationship Id="rId362" Type="http://schemas.openxmlformats.org/officeDocument/2006/relationships/hyperlink" Target="http://dev.dashboard.evolvesolar.com/my-commissions.php?user_id=203&amp;payweek=2015-01-23" TargetMode="External"/><Relationship Id="rId2043" Type="http://schemas.openxmlformats.org/officeDocument/2006/relationships/hyperlink" Target="http://dev.dashboard.evolvesolar.com/my-commissions.php?user_id=37&amp;payweek=2014-10-14" TargetMode="External"/><Relationship Id="rId2250" Type="http://schemas.openxmlformats.org/officeDocument/2006/relationships/hyperlink" Target="http://dev.dashboard.evolvesolar.com/my-commissions.php?user_id=583&amp;payweek=2014-10-03" TargetMode="External"/><Relationship Id="rId3301" Type="http://schemas.openxmlformats.org/officeDocument/2006/relationships/hyperlink" Target="http://dev.dashboard.evolvesolar.com/my-commissions.php?user_id=244&amp;payweek=2014-07-21" TargetMode="External"/><Relationship Id="rId222" Type="http://schemas.openxmlformats.org/officeDocument/2006/relationships/hyperlink" Target="http://dev.dashboard.evolvesolar.com/my-commissions.php?user_id=962&amp;payweek=2015-02-06" TargetMode="External"/><Relationship Id="rId2110" Type="http://schemas.openxmlformats.org/officeDocument/2006/relationships/hyperlink" Target="http://dev.dashboard.evolvesolar.com/my-commissions.php?user_id=410&amp;payweek=2014-10-10" TargetMode="External"/><Relationship Id="rId4075" Type="http://schemas.openxmlformats.org/officeDocument/2006/relationships/hyperlink" Target="http://dev.dashboard.evolvesolar.com/my-commissions.php?user_id=79&amp;payweek=2014-03-21" TargetMode="External"/><Relationship Id="rId1669" Type="http://schemas.openxmlformats.org/officeDocument/2006/relationships/hyperlink" Target="http://dev.dashboard.evolvesolar.com/my-commissions.php?user_id=599&amp;payweek=2014-11-07" TargetMode="External"/><Relationship Id="rId1876" Type="http://schemas.openxmlformats.org/officeDocument/2006/relationships/hyperlink" Target="http://dev.dashboard.evolvesolar.com/my-commissions.php?user_id=580&amp;payweek=2014-10-24" TargetMode="External"/><Relationship Id="rId2927" Type="http://schemas.openxmlformats.org/officeDocument/2006/relationships/hyperlink" Target="http://dev.dashboard.evolvesolar.com/my-commissions.php?user_id=74&amp;payweek=2014-08-15" TargetMode="External"/><Relationship Id="rId3091" Type="http://schemas.openxmlformats.org/officeDocument/2006/relationships/hyperlink" Target="http://dev.dashboard.evolvesolar.com/my-commissions.php?user_id=227&amp;payweek=2014-08-07" TargetMode="External"/><Relationship Id="rId1529" Type="http://schemas.openxmlformats.org/officeDocument/2006/relationships/hyperlink" Target="http://dev.dashboard.evolvesolar.com/my-commissions.php?user_id=648&amp;payweek=2014-11-14" TargetMode="External"/><Relationship Id="rId1736" Type="http://schemas.openxmlformats.org/officeDocument/2006/relationships/hyperlink" Target="http://dev.dashboard.evolvesolar.com/my-commissions.php?user_id=268&amp;payweek=2014-10-31" TargetMode="External"/><Relationship Id="rId1943" Type="http://schemas.openxmlformats.org/officeDocument/2006/relationships/hyperlink" Target="http://dev.dashboard.evolvesolar.com/my-commissions.php?user_id=685&amp;payweek=2014-10-20" TargetMode="External"/><Relationship Id="rId28" Type="http://schemas.openxmlformats.org/officeDocument/2006/relationships/hyperlink" Target="http://dev.dashboard.evolvesolar.com/my-commissions.php?user_id=113&amp;payweek=2015-02-06" TargetMode="External"/><Relationship Id="rId1803" Type="http://schemas.openxmlformats.org/officeDocument/2006/relationships/hyperlink" Target="http://dev.dashboard.evolvesolar.com/my-commissions.php?user_id=648&amp;payweek=2014-10-31" TargetMode="External"/><Relationship Id="rId4002" Type="http://schemas.openxmlformats.org/officeDocument/2006/relationships/hyperlink" Target="http://dev.dashboard.evolvesolar.com/my-commissions.php?user_id=87&amp;payweek=2014-04-18" TargetMode="External"/><Relationship Id="rId3768" Type="http://schemas.openxmlformats.org/officeDocument/2006/relationships/hyperlink" Target="http://dev.dashboard.evolvesolar.com/my-commissions.php?user_id=140&amp;payweek=2014-06-06" TargetMode="External"/><Relationship Id="rId3975" Type="http://schemas.openxmlformats.org/officeDocument/2006/relationships/hyperlink" Target="http://dev.dashboard.evolvesolar.com/my-commissions.php?user_id=27&amp;payweek=2014-04-24" TargetMode="External"/><Relationship Id="rId689" Type="http://schemas.openxmlformats.org/officeDocument/2006/relationships/hyperlink" Target="http://dev.dashboard.evolvesolar.com/my-commissions.php?user_id=302&amp;payweek=2014-12-31" TargetMode="External"/><Relationship Id="rId896" Type="http://schemas.openxmlformats.org/officeDocument/2006/relationships/hyperlink" Target="http://dev.dashboard.evolvesolar.com/my-commissions.php?user_id=85&amp;payweek=2014-12-22" TargetMode="External"/><Relationship Id="rId2577" Type="http://schemas.openxmlformats.org/officeDocument/2006/relationships/hyperlink" Target="http://dev.dashboard.evolvesolar.com/my-commissions.php?user_id=383&amp;payweek=2014-09-09" TargetMode="External"/><Relationship Id="rId2784" Type="http://schemas.openxmlformats.org/officeDocument/2006/relationships/hyperlink" Target="http://dev.dashboard.evolvesolar.com/my-commissions.php?user_id=358&amp;payweek=2014-08-28" TargetMode="External"/><Relationship Id="rId3628" Type="http://schemas.openxmlformats.org/officeDocument/2006/relationships/hyperlink" Target="http://dev.dashboard.evolvesolar.com/my-commissions.php?user_id=50&amp;payweek=2014-06-13" TargetMode="External"/><Relationship Id="rId549" Type="http://schemas.openxmlformats.org/officeDocument/2006/relationships/hyperlink" Target="http://dev.dashboard.evolvesolar.com/my-commissions.php?user_id=322&amp;payweek=2015-01-09" TargetMode="External"/><Relationship Id="rId756" Type="http://schemas.openxmlformats.org/officeDocument/2006/relationships/hyperlink" Target="http://dev.dashboard.evolvesolar.com/my-commissions.php?user_id=63&amp;payweek=2014-12-26" TargetMode="External"/><Relationship Id="rId1179" Type="http://schemas.openxmlformats.org/officeDocument/2006/relationships/hyperlink" Target="http://dev.dashboard.evolvesolar.com/my-commissions.php?user_id=725&amp;payweek=2014-12-05" TargetMode="External"/><Relationship Id="rId1386" Type="http://schemas.openxmlformats.org/officeDocument/2006/relationships/hyperlink" Target="http://dev.dashboard.evolvesolar.com/my-commissions.php?user_id=648&amp;payweek=2014-11-21" TargetMode="External"/><Relationship Id="rId1593" Type="http://schemas.openxmlformats.org/officeDocument/2006/relationships/hyperlink" Target="http://dev.dashboard.evolvesolar.com/my-commissions.php?user_id=616&amp;payweek=2014-11-08" TargetMode="External"/><Relationship Id="rId2437" Type="http://schemas.openxmlformats.org/officeDocument/2006/relationships/hyperlink" Target="http://dev.dashboard.evolvesolar.com/my-commissions.php?user_id=574&amp;payweek=2014-09-19" TargetMode="External"/><Relationship Id="rId2991" Type="http://schemas.openxmlformats.org/officeDocument/2006/relationships/hyperlink" Target="http://dev.dashboard.evolvesolar.com/my-commissions.php?user_id=282&amp;payweek=2014-08-14" TargetMode="External"/><Relationship Id="rId3835" Type="http://schemas.openxmlformats.org/officeDocument/2006/relationships/hyperlink" Target="http://dev.dashboard.evolvesolar.com/my-commissions.php?user_id=38&amp;payweek=2014-05-23" TargetMode="External"/><Relationship Id="rId409" Type="http://schemas.openxmlformats.org/officeDocument/2006/relationships/hyperlink" Target="http://dev.dashboard.evolvesolar.com/my-commissions.php?user_id=680&amp;payweek=2015-01-23" TargetMode="External"/><Relationship Id="rId963" Type="http://schemas.openxmlformats.org/officeDocument/2006/relationships/hyperlink" Target="http://dev.dashboard.evolvesolar.com/my-commissions.php?user_id=358&amp;payweek=2014-12-19" TargetMode="External"/><Relationship Id="rId1039" Type="http://schemas.openxmlformats.org/officeDocument/2006/relationships/hyperlink" Target="http://dev.dashboard.evolvesolar.com/my-commissions.php?user_id=365&amp;payweek=2014-12-12" TargetMode="External"/><Relationship Id="rId1246" Type="http://schemas.openxmlformats.org/officeDocument/2006/relationships/hyperlink" Target="http://dev.dashboard.evolvesolar.com/my-commissions.php?user_id=269&amp;payweek=2014-11-26" TargetMode="External"/><Relationship Id="rId2644" Type="http://schemas.openxmlformats.org/officeDocument/2006/relationships/hyperlink" Target="http://dev.dashboard.evolvesolar.com/my-commissions.php?user_id=231&amp;payweek=2014-09-04" TargetMode="External"/><Relationship Id="rId2851" Type="http://schemas.openxmlformats.org/officeDocument/2006/relationships/hyperlink" Target="http://dev.dashboard.evolvesolar.com/my-commissions.php?user_id=248&amp;payweek=2014-08-22" TargetMode="External"/><Relationship Id="rId3902" Type="http://schemas.openxmlformats.org/officeDocument/2006/relationships/hyperlink" Target="http://dev.dashboard.evolvesolar.com/my-commissions.php?user_id=114&amp;payweek=2014-05-16" TargetMode="External"/><Relationship Id="rId92" Type="http://schemas.openxmlformats.org/officeDocument/2006/relationships/hyperlink" Target="http://dev.dashboard.evolvesolar.com/my-commissions.php?user_id=326&amp;payweek=2015-02-06" TargetMode="External"/><Relationship Id="rId616" Type="http://schemas.openxmlformats.org/officeDocument/2006/relationships/hyperlink" Target="http://dev.dashboard.evolvesolar.com/my-commissions.php?user_id=703&amp;payweek=2015-01-09" TargetMode="External"/><Relationship Id="rId823" Type="http://schemas.openxmlformats.org/officeDocument/2006/relationships/hyperlink" Target="http://dev.dashboard.evolvesolar.com/my-commissions.php?user_id=530&amp;payweek=2014-12-26" TargetMode="External"/><Relationship Id="rId1453" Type="http://schemas.openxmlformats.org/officeDocument/2006/relationships/hyperlink" Target="http://dev.dashboard.evolvesolar.com/my-commissions.php?user_id=149&amp;payweek=2014-11-14" TargetMode="External"/><Relationship Id="rId1660" Type="http://schemas.openxmlformats.org/officeDocument/2006/relationships/hyperlink" Target="http://dev.dashboard.evolvesolar.com/my-commissions.php?user_id=582&amp;payweek=2014-11-07" TargetMode="External"/><Relationship Id="rId2504" Type="http://schemas.openxmlformats.org/officeDocument/2006/relationships/hyperlink" Target="http://dev.dashboard.evolvesolar.com/my-commissions.php?user_id=363&amp;payweek=2014-09-12" TargetMode="External"/><Relationship Id="rId2711" Type="http://schemas.openxmlformats.org/officeDocument/2006/relationships/hyperlink" Target="http://dev.dashboard.evolvesolar.com/my-commissions.php?user_id=321&amp;payweek=2014-08-29" TargetMode="External"/><Relationship Id="rId1106" Type="http://schemas.openxmlformats.org/officeDocument/2006/relationships/hyperlink" Target="http://dev.dashboard.evolvesolar.com/my-commissions.php?user_id=782&amp;payweek=2014-12-09" TargetMode="External"/><Relationship Id="rId1313" Type="http://schemas.openxmlformats.org/officeDocument/2006/relationships/hyperlink" Target="http://dev.dashboard.evolvesolar.com/my-commissions.php?user_id=37&amp;payweek=2014-11-21" TargetMode="External"/><Relationship Id="rId1520" Type="http://schemas.openxmlformats.org/officeDocument/2006/relationships/hyperlink" Target="http://dev.dashboard.evolvesolar.com/my-commissions.php?user_id=599&amp;payweek=2014-11-14" TargetMode="External"/><Relationship Id="rId3278" Type="http://schemas.openxmlformats.org/officeDocument/2006/relationships/hyperlink" Target="http://dev.dashboard.evolvesolar.com/my-commissions.php?user_id=244&amp;payweek=2014-07-25" TargetMode="External"/><Relationship Id="rId3485" Type="http://schemas.openxmlformats.org/officeDocument/2006/relationships/hyperlink" Target="http://dev.dashboard.evolvesolar.com/my-commissions.php?user_id=85&amp;payweek=2014-06-27" TargetMode="External"/><Relationship Id="rId3692" Type="http://schemas.openxmlformats.org/officeDocument/2006/relationships/hyperlink" Target="http://dev.dashboard.evolvesolar.com/my-commissions.php?user_id=151&amp;payweek=2014-06-13" TargetMode="External"/><Relationship Id="rId199" Type="http://schemas.openxmlformats.org/officeDocument/2006/relationships/hyperlink" Target="http://dev.dashboard.evolvesolar.com/my-commissions.php?user_id=897&amp;payweek=2015-02-06" TargetMode="External"/><Relationship Id="rId2087" Type="http://schemas.openxmlformats.org/officeDocument/2006/relationships/hyperlink" Target="http://dev.dashboard.evolvesolar.com/my-commissions.php?user_id=295&amp;payweek=2014-10-10" TargetMode="External"/><Relationship Id="rId2294" Type="http://schemas.openxmlformats.org/officeDocument/2006/relationships/hyperlink" Target="http://dev.dashboard.evolvesolar.com/my-commissions.php?user_id=268&amp;payweek=2014-09-25" TargetMode="External"/><Relationship Id="rId3138" Type="http://schemas.openxmlformats.org/officeDocument/2006/relationships/hyperlink" Target="http://dev.dashboard.evolvesolar.com/my-commissions.php?user_id=227&amp;payweek=2014-08-02" TargetMode="External"/><Relationship Id="rId3345" Type="http://schemas.openxmlformats.org/officeDocument/2006/relationships/hyperlink" Target="http://dev.dashboard.evolvesolar.com/my-commissions.php?user_id=228&amp;payweek=2014-07-18" TargetMode="External"/><Relationship Id="rId3552" Type="http://schemas.openxmlformats.org/officeDocument/2006/relationships/hyperlink" Target="http://dev.dashboard.evolvesolar.com/my-commissions.php?user_id=114&amp;payweek=2014-06-20" TargetMode="External"/><Relationship Id="rId266" Type="http://schemas.openxmlformats.org/officeDocument/2006/relationships/hyperlink" Target="http://dev.dashboard.evolvesolar.com/my-commissions.php?user_id=365&amp;payweek=2015-01-30" TargetMode="External"/><Relationship Id="rId473" Type="http://schemas.openxmlformats.org/officeDocument/2006/relationships/hyperlink" Target="http://dev.dashboard.evolvesolar.com/my-commissions.php?user_id=583&amp;payweek=2015-01-15" TargetMode="External"/><Relationship Id="rId680" Type="http://schemas.openxmlformats.org/officeDocument/2006/relationships/hyperlink" Target="http://dev.dashboard.evolvesolar.com/my-commissions.php?user_id=250&amp;payweek=2014-12-31" TargetMode="External"/><Relationship Id="rId2154" Type="http://schemas.openxmlformats.org/officeDocument/2006/relationships/hyperlink" Target="http://dev.dashboard.evolvesolar.com/my-commissions.php?user_id=389&amp;payweek=2014-10-07" TargetMode="External"/><Relationship Id="rId2361" Type="http://schemas.openxmlformats.org/officeDocument/2006/relationships/hyperlink" Target="http://dev.dashboard.evolvesolar.com/my-commissions.php?user_id=202&amp;payweek=2014-09-22" TargetMode="External"/><Relationship Id="rId3205" Type="http://schemas.openxmlformats.org/officeDocument/2006/relationships/hyperlink" Target="http://dev.dashboard.evolvesolar.com/my-commissions.php?user_id=237&amp;payweek=2014-07-31" TargetMode="External"/><Relationship Id="rId3412" Type="http://schemas.openxmlformats.org/officeDocument/2006/relationships/hyperlink" Target="http://dev.dashboard.evolvesolar.com/my-commissions.php?user_id=203&amp;payweek=2014-07-11" TargetMode="External"/><Relationship Id="rId126" Type="http://schemas.openxmlformats.org/officeDocument/2006/relationships/hyperlink" Target="http://dev.dashboard.evolvesolar.com/my-commissions.php?user_id=468&amp;payweek=2015-02-06" TargetMode="External"/><Relationship Id="rId333" Type="http://schemas.openxmlformats.org/officeDocument/2006/relationships/hyperlink" Target="http://dev.dashboard.evolvesolar.com/my-commissions.php?user_id=908&amp;payweek=2015-01-30" TargetMode="External"/><Relationship Id="rId540" Type="http://schemas.openxmlformats.org/officeDocument/2006/relationships/hyperlink" Target="http://dev.dashboard.evolvesolar.com/my-commissions.php?user_id=211&amp;payweek=2015-01-09" TargetMode="External"/><Relationship Id="rId1170" Type="http://schemas.openxmlformats.org/officeDocument/2006/relationships/hyperlink" Target="http://dev.dashboard.evolvesolar.com/my-commissions.php?user_id=687&amp;payweek=2014-12-05" TargetMode="External"/><Relationship Id="rId2014" Type="http://schemas.openxmlformats.org/officeDocument/2006/relationships/hyperlink" Target="http://dev.dashboard.evolvesolar.com/my-commissions.php?user_id=464&amp;payweek=2014-10-17" TargetMode="External"/><Relationship Id="rId2221" Type="http://schemas.openxmlformats.org/officeDocument/2006/relationships/hyperlink" Target="http://dev.dashboard.evolvesolar.com/my-commissions.php?user_id=615&amp;payweek=2014-10-06" TargetMode="External"/><Relationship Id="rId1030" Type="http://schemas.openxmlformats.org/officeDocument/2006/relationships/hyperlink" Target="http://dev.dashboard.evolvesolar.com/my-commissions.php?user_id=295&amp;payweek=2014-12-12" TargetMode="External"/><Relationship Id="rId400" Type="http://schemas.openxmlformats.org/officeDocument/2006/relationships/hyperlink" Target="http://dev.dashboard.evolvesolar.com/my-commissions.php?user_id=607&amp;payweek=2015-01-23" TargetMode="External"/><Relationship Id="rId1987" Type="http://schemas.openxmlformats.org/officeDocument/2006/relationships/hyperlink" Target="http://dev.dashboard.evolvesolar.com/my-commissions.php?user_id=269&amp;payweek=2014-10-17" TargetMode="External"/><Relationship Id="rId1847" Type="http://schemas.openxmlformats.org/officeDocument/2006/relationships/hyperlink" Target="http://dev.dashboard.evolvesolar.com/my-commissions.php?user_id=295&amp;payweek=2014-10-24" TargetMode="External"/><Relationship Id="rId4046" Type="http://schemas.openxmlformats.org/officeDocument/2006/relationships/hyperlink" Target="http://dev.dashboard.evolvesolar.com/my-commissions.php?user_id=74&amp;payweek=2014-04-04" TargetMode="External"/><Relationship Id="rId1707" Type="http://schemas.openxmlformats.org/officeDocument/2006/relationships/hyperlink" Target="http://dev.dashboard.evolvesolar.com/my-commissions.php?user_id=716&amp;payweek=2014-11-07" TargetMode="External"/><Relationship Id="rId3062" Type="http://schemas.openxmlformats.org/officeDocument/2006/relationships/hyperlink" Target="http://dev.dashboard.evolvesolar.com/my-commissions.php?user_id=370&amp;payweek=2014-08-08" TargetMode="External"/><Relationship Id="rId4113" Type="http://schemas.openxmlformats.org/officeDocument/2006/relationships/printerSettings" Target="../printerSettings/printerSettings1.bin"/><Relationship Id="rId190" Type="http://schemas.openxmlformats.org/officeDocument/2006/relationships/hyperlink" Target="http://dev.dashboard.evolvesolar.com/my-commissions.php?user_id=857&amp;payweek=2015-02-06" TargetMode="External"/><Relationship Id="rId1914" Type="http://schemas.openxmlformats.org/officeDocument/2006/relationships/hyperlink" Target="http://dev.dashboard.evolvesolar.com/my-commissions.php?user_id=676&amp;payweek=2014-10-24" TargetMode="External"/><Relationship Id="rId3879" Type="http://schemas.openxmlformats.org/officeDocument/2006/relationships/hyperlink" Target="http://dev.dashboard.evolvesolar.com/my-commissions.php?user_id=28&amp;payweek=2014-05-16" TargetMode="External"/><Relationship Id="rId2688" Type="http://schemas.openxmlformats.org/officeDocument/2006/relationships/hyperlink" Target="http://dev.dashboard.evolvesolar.com/my-commissions.php?user_id=74&amp;payweek=2014-08-29" TargetMode="External"/><Relationship Id="rId2895" Type="http://schemas.openxmlformats.org/officeDocument/2006/relationships/hyperlink" Target="http://dev.dashboard.evolvesolar.com/my-commissions.php?user_id=405&amp;payweek=2014-08-22" TargetMode="External"/><Relationship Id="rId3739" Type="http://schemas.openxmlformats.org/officeDocument/2006/relationships/hyperlink" Target="http://dev.dashboard.evolvesolar.com/my-commissions.php?user_id=108&amp;payweek=2014-06-06" TargetMode="External"/><Relationship Id="rId3946" Type="http://schemas.openxmlformats.org/officeDocument/2006/relationships/hyperlink" Target="http://dev.dashboard.evolvesolar.com/my-commissions.php?user_id=101&amp;payweek=2014-05-03" TargetMode="External"/><Relationship Id="rId867" Type="http://schemas.openxmlformats.org/officeDocument/2006/relationships/hyperlink" Target="http://dev.dashboard.evolvesolar.com/my-commissions.php?user_id=702&amp;payweek=2014-12-26" TargetMode="External"/><Relationship Id="rId1497" Type="http://schemas.openxmlformats.org/officeDocument/2006/relationships/hyperlink" Target="http://dev.dashboard.evolvesolar.com/my-commissions.php?user_id=389&amp;payweek=2014-11-14" TargetMode="External"/><Relationship Id="rId2548" Type="http://schemas.openxmlformats.org/officeDocument/2006/relationships/hyperlink" Target="http://dev.dashboard.evolvesolar.com/my-commissions.php?user_id=534&amp;payweek=2014-09-12" TargetMode="External"/><Relationship Id="rId2755" Type="http://schemas.openxmlformats.org/officeDocument/2006/relationships/hyperlink" Target="http://dev.dashboard.evolvesolar.com/my-commissions.php?user_id=157&amp;payweek=2014-08-28" TargetMode="External"/><Relationship Id="rId2962" Type="http://schemas.openxmlformats.org/officeDocument/2006/relationships/hyperlink" Target="http://dev.dashboard.evolvesolar.com/my-commissions.php?user_id=379&amp;payweek=2014-08-15" TargetMode="External"/><Relationship Id="rId3806" Type="http://schemas.openxmlformats.org/officeDocument/2006/relationships/hyperlink" Target="http://dev.dashboard.evolvesolar.com/my-commissions.php?user_id=108&amp;payweek=2014-05-30" TargetMode="External"/><Relationship Id="rId727" Type="http://schemas.openxmlformats.org/officeDocument/2006/relationships/hyperlink" Target="http://dev.dashboard.evolvesolar.com/my-commissions.php?user_id=610&amp;payweek=2014-12-31" TargetMode="External"/><Relationship Id="rId934" Type="http://schemas.openxmlformats.org/officeDocument/2006/relationships/hyperlink" Target="http://dev.dashboard.evolvesolar.com/my-commissions.php?user_id=708&amp;payweek=2014-12-22" TargetMode="External"/><Relationship Id="rId1357" Type="http://schemas.openxmlformats.org/officeDocument/2006/relationships/hyperlink" Target="http://dev.dashboard.evolvesolar.com/my-commissions.php?user_id=389&amp;payweek=2014-11-21" TargetMode="External"/><Relationship Id="rId1564" Type="http://schemas.openxmlformats.org/officeDocument/2006/relationships/hyperlink" Target="http://dev.dashboard.evolvesolar.com/my-commissions.php?user_id=728&amp;payweek=2014-11-14" TargetMode="External"/><Relationship Id="rId1771" Type="http://schemas.openxmlformats.org/officeDocument/2006/relationships/hyperlink" Target="http://dev.dashboard.evolvesolar.com/my-commissions.php?user_id=472&amp;payweek=2014-10-31" TargetMode="External"/><Relationship Id="rId2408" Type="http://schemas.openxmlformats.org/officeDocument/2006/relationships/hyperlink" Target="http://dev.dashboard.evolvesolar.com/my-commissions.php?user_id=355&amp;payweek=2014-09-19" TargetMode="External"/><Relationship Id="rId2615" Type="http://schemas.openxmlformats.org/officeDocument/2006/relationships/hyperlink" Target="http://dev.dashboard.evolvesolar.com/my-commissions.php?user_id=446&amp;payweek=2014-09-05" TargetMode="External"/><Relationship Id="rId2822" Type="http://schemas.openxmlformats.org/officeDocument/2006/relationships/hyperlink" Target="http://dev.dashboard.evolvesolar.com/my-commissions.php?user_id=213&amp;payweek=2014-08-22" TargetMode="External"/><Relationship Id="rId63" Type="http://schemas.openxmlformats.org/officeDocument/2006/relationships/hyperlink" Target="http://dev.dashboard.evolvesolar.com/my-commissions.php?user_id=228&amp;payweek=2015-02-06" TargetMode="External"/><Relationship Id="rId1217" Type="http://schemas.openxmlformats.org/officeDocument/2006/relationships/hyperlink" Target="http://dev.dashboard.evolvesolar.com/my-commissions.php?user_id=458&amp;payweek=2014-11-28" TargetMode="External"/><Relationship Id="rId1424" Type="http://schemas.openxmlformats.org/officeDocument/2006/relationships/hyperlink" Target="http://dev.dashboard.evolvesolar.com/my-commissions.php?user_id=831&amp;payweek=2014-11-21" TargetMode="External"/><Relationship Id="rId1631" Type="http://schemas.openxmlformats.org/officeDocument/2006/relationships/hyperlink" Target="http://dev.dashboard.evolvesolar.com/my-commissions.php?user_id=365&amp;payweek=2014-11-07" TargetMode="External"/><Relationship Id="rId3389" Type="http://schemas.openxmlformats.org/officeDocument/2006/relationships/hyperlink" Target="http://dev.dashboard.evolvesolar.com/my-commissions.php?user_id=117&amp;payweek=2014-07-11" TargetMode="External"/><Relationship Id="rId3596" Type="http://schemas.openxmlformats.org/officeDocument/2006/relationships/hyperlink" Target="http://dev.dashboard.evolvesolar.com/my-commissions.php?user_id=185&amp;payweek=2014-06-20" TargetMode="External"/><Relationship Id="rId2198" Type="http://schemas.openxmlformats.org/officeDocument/2006/relationships/hyperlink" Target="http://dev.dashboard.evolvesolar.com/my-commissions.php?user_id=392&amp;payweek=2014-10-06" TargetMode="External"/><Relationship Id="rId3249" Type="http://schemas.openxmlformats.org/officeDocument/2006/relationships/hyperlink" Target="http://dev.dashboard.evolvesolar.com/my-commissions.php?user_id=157&amp;payweek=2014-07-25" TargetMode="External"/><Relationship Id="rId3456" Type="http://schemas.openxmlformats.org/officeDocument/2006/relationships/hyperlink" Target="http://dev.dashboard.evolvesolar.com/my-commissions.php?user_id=223&amp;payweek=2014-07-04" TargetMode="External"/><Relationship Id="rId377" Type="http://schemas.openxmlformats.org/officeDocument/2006/relationships/hyperlink" Target="http://dev.dashboard.evolvesolar.com/my-commissions.php?user_id=332&amp;payweek=2015-01-23" TargetMode="External"/><Relationship Id="rId584" Type="http://schemas.openxmlformats.org/officeDocument/2006/relationships/hyperlink" Target="http://dev.dashboard.evolvesolar.com/my-commissions.php?user_id=499&amp;payweek=2015-01-09" TargetMode="External"/><Relationship Id="rId2058" Type="http://schemas.openxmlformats.org/officeDocument/2006/relationships/hyperlink" Target="http://dev.dashboard.evolvesolar.com/my-commissions.php?user_id=653&amp;payweek=2014-10-14" TargetMode="External"/><Relationship Id="rId2265" Type="http://schemas.openxmlformats.org/officeDocument/2006/relationships/hyperlink" Target="http://dev.dashboard.evolvesolar.com/my-commissions.php?user_id=335&amp;payweek=2014-09-29" TargetMode="External"/><Relationship Id="rId3109" Type="http://schemas.openxmlformats.org/officeDocument/2006/relationships/hyperlink" Target="http://dev.dashboard.evolvesolar.com/my-commissions.php?user_id=324&amp;payweek=2014-08-07" TargetMode="External"/><Relationship Id="rId3663" Type="http://schemas.openxmlformats.org/officeDocument/2006/relationships/hyperlink" Target="http://dev.dashboard.evolvesolar.com/my-commissions.php?user_id=119&amp;payweek=2014-06-13" TargetMode="External"/><Relationship Id="rId3870" Type="http://schemas.openxmlformats.org/officeDocument/2006/relationships/hyperlink" Target="http://dev.dashboard.evolvesolar.com/my-commissions.php?user_id=133&amp;payweek=2014-05-23" TargetMode="External"/><Relationship Id="rId237" Type="http://schemas.openxmlformats.org/officeDocument/2006/relationships/hyperlink" Target="http://dev.dashboard.evolvesolar.com/my-commissions.php?user_id=27&amp;payweek=2015-01-30" TargetMode="External"/><Relationship Id="rId791" Type="http://schemas.openxmlformats.org/officeDocument/2006/relationships/hyperlink" Target="http://dev.dashboard.evolvesolar.com/my-commissions.php?user_id=322&amp;payweek=2014-12-26" TargetMode="External"/><Relationship Id="rId1074" Type="http://schemas.openxmlformats.org/officeDocument/2006/relationships/hyperlink" Target="http://dev.dashboard.evolvesolar.com/my-commissions.php?user_id=664&amp;payweek=2014-12-12" TargetMode="External"/><Relationship Id="rId2472" Type="http://schemas.openxmlformats.org/officeDocument/2006/relationships/hyperlink" Target="http://dev.dashboard.evolvesolar.com/my-commissions.php?user_id=233&amp;payweek=2014-09-12" TargetMode="External"/><Relationship Id="rId3316" Type="http://schemas.openxmlformats.org/officeDocument/2006/relationships/hyperlink" Target="http://dev.dashboard.evolvesolar.com/my-commissions.php?user_id=117&amp;payweek=2014-07-18" TargetMode="External"/><Relationship Id="rId3523" Type="http://schemas.openxmlformats.org/officeDocument/2006/relationships/hyperlink" Target="http://dev.dashboard.evolvesolar.com/my-commissions.php?user_id=37&amp;payweek=2014-06-20" TargetMode="External"/><Relationship Id="rId3730" Type="http://schemas.openxmlformats.org/officeDocument/2006/relationships/hyperlink" Target="http://dev.dashboard.evolvesolar.com/my-commissions.php?user_id=96&amp;payweek=2014-06-06" TargetMode="External"/><Relationship Id="rId444" Type="http://schemas.openxmlformats.org/officeDocument/2006/relationships/hyperlink" Target="http://dev.dashboard.evolvesolar.com/my-commissions.php?user_id=77&amp;payweek=2015-01-15" TargetMode="External"/><Relationship Id="rId651" Type="http://schemas.openxmlformats.org/officeDocument/2006/relationships/hyperlink" Target="http://dev.dashboard.evolvesolar.com/my-commissions.php?user_id=63&amp;payweek=2014-12-31" TargetMode="External"/><Relationship Id="rId1281" Type="http://schemas.openxmlformats.org/officeDocument/2006/relationships/hyperlink" Target="http://dev.dashboard.evolvesolar.com/my-commissions.php?user_id=703&amp;payweek=2014-11-25" TargetMode="External"/><Relationship Id="rId2125" Type="http://schemas.openxmlformats.org/officeDocument/2006/relationships/hyperlink" Target="http://dev.dashboard.evolvesolar.com/my-commissions.php?user_id=580&amp;payweek=2014-10-10" TargetMode="External"/><Relationship Id="rId2332" Type="http://schemas.openxmlformats.org/officeDocument/2006/relationships/hyperlink" Target="http://dev.dashboard.evolvesolar.com/my-commissions.php?user_id=477&amp;payweek=2014-09-25" TargetMode="External"/><Relationship Id="rId304" Type="http://schemas.openxmlformats.org/officeDocument/2006/relationships/hyperlink" Target="http://dev.dashboard.evolvesolar.com/my-commissions.php?user_id=722&amp;payweek=2015-01-30" TargetMode="External"/><Relationship Id="rId511" Type="http://schemas.openxmlformats.org/officeDocument/2006/relationships/hyperlink" Target="http://dev.dashboard.evolvesolar.com/my-commissions.php?user_id=699&amp;payweek=2015-01-13" TargetMode="External"/><Relationship Id="rId1141" Type="http://schemas.openxmlformats.org/officeDocument/2006/relationships/hyperlink" Target="http://dev.dashboard.evolvesolar.com/my-commissions.php?user_id=580&amp;payweek=2014-12-05" TargetMode="External"/><Relationship Id="rId1001" Type="http://schemas.openxmlformats.org/officeDocument/2006/relationships/hyperlink" Target="http://dev.dashboard.evolvesolar.com/my-commissions.php?user_id=77&amp;payweek=2014-12-12" TargetMode="External"/><Relationship Id="rId1958" Type="http://schemas.openxmlformats.org/officeDocument/2006/relationships/hyperlink" Target="http://dev.dashboard.evolvesolar.com/my-commissions.php?user_id=77&amp;payweek=2014-10-17" TargetMode="External"/><Relationship Id="rId3173" Type="http://schemas.openxmlformats.org/officeDocument/2006/relationships/hyperlink" Target="http://dev.dashboard.evolvesolar.com/my-commissions.php?user_id=155&amp;payweek=2014-07-31" TargetMode="External"/><Relationship Id="rId3380" Type="http://schemas.openxmlformats.org/officeDocument/2006/relationships/hyperlink" Target="http://dev.dashboard.evolvesolar.com/my-commissions.php?user_id=88&amp;payweek=2014-07-11" TargetMode="External"/><Relationship Id="rId4017" Type="http://schemas.openxmlformats.org/officeDocument/2006/relationships/hyperlink" Target="http://dev.dashboard.evolvesolar.com/my-commissions.php?user_id=114&amp;payweek=2014-04-17" TargetMode="External"/><Relationship Id="rId1818" Type="http://schemas.openxmlformats.org/officeDocument/2006/relationships/hyperlink" Target="http://dev.dashboard.evolvesolar.com/my-commissions.php?user_id=705&amp;payweek=2014-10-31" TargetMode="External"/><Relationship Id="rId3033" Type="http://schemas.openxmlformats.org/officeDocument/2006/relationships/hyperlink" Target="http://dev.dashboard.evolvesolar.com/my-commissions.php?user_id=227&amp;payweek=2014-08-08" TargetMode="External"/><Relationship Id="rId3240" Type="http://schemas.openxmlformats.org/officeDocument/2006/relationships/hyperlink" Target="http://dev.dashboard.evolvesolar.com/my-commissions.php?user_id=134&amp;payweek=2014-07-25" TargetMode="External"/><Relationship Id="rId161" Type="http://schemas.openxmlformats.org/officeDocument/2006/relationships/hyperlink" Target="http://dev.dashboard.evolvesolar.com/my-commissions.php?user_id=657&amp;payweek=2015-02-06" TargetMode="External"/><Relationship Id="rId2799" Type="http://schemas.openxmlformats.org/officeDocument/2006/relationships/hyperlink" Target="http://dev.dashboard.evolvesolar.com/my-commissions.php?user_id=383&amp;payweek=2014-08-25" TargetMode="External"/><Relationship Id="rId3100" Type="http://schemas.openxmlformats.org/officeDocument/2006/relationships/hyperlink" Target="http://dev.dashboard.evolvesolar.com/my-commissions.php?user_id=233&amp;payweek=2014-08-07" TargetMode="External"/><Relationship Id="rId978" Type="http://schemas.openxmlformats.org/officeDocument/2006/relationships/hyperlink" Target="http://dev.dashboard.evolvesolar.com/my-commissions.php?user_id=576&amp;payweek=2014-12-19" TargetMode="External"/><Relationship Id="rId2659" Type="http://schemas.openxmlformats.org/officeDocument/2006/relationships/hyperlink" Target="http://dev.dashboard.evolvesolar.com/my-commissions.php?user_id=325&amp;payweek=2014-09-04" TargetMode="External"/><Relationship Id="rId2866" Type="http://schemas.openxmlformats.org/officeDocument/2006/relationships/hyperlink" Target="http://dev.dashboard.evolvesolar.com/my-commissions.php?user_id=282&amp;payweek=2014-08-22" TargetMode="External"/><Relationship Id="rId3917" Type="http://schemas.openxmlformats.org/officeDocument/2006/relationships/hyperlink" Target="http://dev.dashboard.evolvesolar.com/my-commissions.php?user_id=41&amp;payweek=2014-05-09" TargetMode="External"/><Relationship Id="rId838" Type="http://schemas.openxmlformats.org/officeDocument/2006/relationships/hyperlink" Target="http://dev.dashboard.evolvesolar.com/my-commissions.php?user_id=615&amp;payweek=2014-12-26" TargetMode="External"/><Relationship Id="rId1468" Type="http://schemas.openxmlformats.org/officeDocument/2006/relationships/hyperlink" Target="http://dev.dashboard.evolvesolar.com/my-commissions.php?user_id=248&amp;payweek=2014-11-14" TargetMode="External"/><Relationship Id="rId1675" Type="http://schemas.openxmlformats.org/officeDocument/2006/relationships/hyperlink" Target="http://dev.dashboard.evolvesolar.com/my-commissions.php?user_id=621&amp;payweek=2014-11-07" TargetMode="External"/><Relationship Id="rId1882" Type="http://schemas.openxmlformats.org/officeDocument/2006/relationships/hyperlink" Target="http://dev.dashboard.evolvesolar.com/my-commissions.php?user_id=586&amp;payweek=2014-10-24" TargetMode="External"/><Relationship Id="rId2519" Type="http://schemas.openxmlformats.org/officeDocument/2006/relationships/hyperlink" Target="http://dev.dashboard.evolvesolar.com/my-commissions.php?user_id=401&amp;payweek=2014-09-12" TargetMode="External"/><Relationship Id="rId2726" Type="http://schemas.openxmlformats.org/officeDocument/2006/relationships/hyperlink" Target="http://dev.dashboard.evolvesolar.com/my-commissions.php?user_id=389&amp;payweek=2014-08-29" TargetMode="External"/><Relationship Id="rId4081" Type="http://schemas.openxmlformats.org/officeDocument/2006/relationships/hyperlink" Target="http://dev.dashboard.evolvesolar.com/my-commissions.php?user_id=79&amp;payweek=2014-03-14" TargetMode="External"/><Relationship Id="rId1328" Type="http://schemas.openxmlformats.org/officeDocument/2006/relationships/hyperlink" Target="http://dev.dashboard.evolvesolar.com/my-commissions.php?user_id=203&amp;payweek=2014-11-21" TargetMode="External"/><Relationship Id="rId1535" Type="http://schemas.openxmlformats.org/officeDocument/2006/relationships/hyperlink" Target="http://dev.dashboard.evolvesolar.com/my-commissions.php?user_id=679&amp;payweek=2014-11-14" TargetMode="External"/><Relationship Id="rId2933" Type="http://schemas.openxmlformats.org/officeDocument/2006/relationships/hyperlink" Target="http://dev.dashboard.evolvesolar.com/my-commissions.php?user_id=119&amp;payweek=2014-08-15" TargetMode="External"/><Relationship Id="rId905" Type="http://schemas.openxmlformats.org/officeDocument/2006/relationships/hyperlink" Target="http://dev.dashboard.evolvesolar.com/my-commissions.php?user_id=255&amp;payweek=2014-12-22" TargetMode="External"/><Relationship Id="rId1742" Type="http://schemas.openxmlformats.org/officeDocument/2006/relationships/hyperlink" Target="http://dev.dashboard.evolvesolar.com/my-commissions.php?user_id=295&amp;payweek=2014-10-31" TargetMode="External"/><Relationship Id="rId34" Type="http://schemas.openxmlformats.org/officeDocument/2006/relationships/hyperlink" Target="http://dev.dashboard.evolvesolar.com/my-commissions.php?user_id=133&amp;payweek=2015-02-06" TargetMode="External"/><Relationship Id="rId1602" Type="http://schemas.openxmlformats.org/officeDocument/2006/relationships/hyperlink" Target="http://dev.dashboard.evolvesolar.com/my-commissions.php?user_id=77&amp;payweek=2014-11-07" TargetMode="External"/><Relationship Id="rId3567" Type="http://schemas.openxmlformats.org/officeDocument/2006/relationships/hyperlink" Target="http://dev.dashboard.evolvesolar.com/my-commissions.php?user_id=143&amp;payweek=2014-06-20" TargetMode="External"/><Relationship Id="rId3774" Type="http://schemas.openxmlformats.org/officeDocument/2006/relationships/hyperlink" Target="http://dev.dashboard.evolvesolar.com/my-commissions.php?user_id=147&amp;payweek=2014-06-06" TargetMode="External"/><Relationship Id="rId3981" Type="http://schemas.openxmlformats.org/officeDocument/2006/relationships/hyperlink" Target="http://dev.dashboard.evolvesolar.com/my-commissions.php?user_id=71&amp;payweek=2014-04-24" TargetMode="External"/><Relationship Id="rId488" Type="http://schemas.openxmlformats.org/officeDocument/2006/relationships/hyperlink" Target="http://dev.dashboard.evolvesolar.com/my-commissions.php?user_id=672&amp;payweek=2015-01-15" TargetMode="External"/><Relationship Id="rId695" Type="http://schemas.openxmlformats.org/officeDocument/2006/relationships/hyperlink" Target="http://dev.dashboard.evolvesolar.com/my-commissions.php?user_id=387&amp;payweek=2014-12-31" TargetMode="External"/><Relationship Id="rId2169" Type="http://schemas.openxmlformats.org/officeDocument/2006/relationships/hyperlink" Target="http://dev.dashboard.evolvesolar.com/my-commissions.php?user_id=218&amp;payweek=2014-10-06" TargetMode="External"/><Relationship Id="rId2376" Type="http://schemas.openxmlformats.org/officeDocument/2006/relationships/hyperlink" Target="http://dev.dashboard.evolvesolar.com/my-commissions.php?user_id=41&amp;payweek=2014-09-19" TargetMode="External"/><Relationship Id="rId2583" Type="http://schemas.openxmlformats.org/officeDocument/2006/relationships/hyperlink" Target="http://dev.dashboard.evolvesolar.com/my-commissions.php?user_id=41&amp;payweek=2014-09-07" TargetMode="External"/><Relationship Id="rId2790" Type="http://schemas.openxmlformats.org/officeDocument/2006/relationships/hyperlink" Target="http://dev.dashboard.evolvesolar.com/my-commissions.php?user_id=392&amp;payweek=2014-08-28" TargetMode="External"/><Relationship Id="rId3427" Type="http://schemas.openxmlformats.org/officeDocument/2006/relationships/hyperlink" Target="http://dev.dashboard.evolvesolar.com/my-commissions.php?user_id=242&amp;payweek=2014-07-11" TargetMode="External"/><Relationship Id="rId3634" Type="http://schemas.openxmlformats.org/officeDocument/2006/relationships/hyperlink" Target="http://dev.dashboard.evolvesolar.com/my-commissions.php?user_id=54&amp;payweek=2014-06-13" TargetMode="External"/><Relationship Id="rId3841" Type="http://schemas.openxmlformats.org/officeDocument/2006/relationships/hyperlink" Target="http://dev.dashboard.evolvesolar.com/my-commissions.php?user_id=71&amp;payweek=2014-05-23" TargetMode="External"/><Relationship Id="rId348" Type="http://schemas.openxmlformats.org/officeDocument/2006/relationships/hyperlink" Target="http://dev.dashboard.evolvesolar.com/my-commissions.php?user_id=974&amp;payweek=2015-01-30" TargetMode="External"/><Relationship Id="rId555" Type="http://schemas.openxmlformats.org/officeDocument/2006/relationships/hyperlink" Target="http://dev.dashboard.evolvesolar.com/my-commissions.php?user_id=332&amp;payweek=2015-01-09" TargetMode="External"/><Relationship Id="rId762" Type="http://schemas.openxmlformats.org/officeDocument/2006/relationships/hyperlink" Target="http://dev.dashboard.evolvesolar.com/my-commissions.php?user_id=109&amp;payweek=2014-12-26" TargetMode="External"/><Relationship Id="rId1185" Type="http://schemas.openxmlformats.org/officeDocument/2006/relationships/hyperlink" Target="http://dev.dashboard.evolvesolar.com/my-commissions.php?user_id=753&amp;payweek=2014-12-05" TargetMode="External"/><Relationship Id="rId1392" Type="http://schemas.openxmlformats.org/officeDocument/2006/relationships/hyperlink" Target="http://dev.dashboard.evolvesolar.com/my-commissions.php?user_id=672&amp;payweek=2014-11-21" TargetMode="External"/><Relationship Id="rId2029" Type="http://schemas.openxmlformats.org/officeDocument/2006/relationships/hyperlink" Target="http://dev.dashboard.evolvesolar.com/my-commissions.php?user_id=593&amp;payweek=2014-10-17" TargetMode="External"/><Relationship Id="rId2236" Type="http://schemas.openxmlformats.org/officeDocument/2006/relationships/hyperlink" Target="http://dev.dashboard.evolvesolar.com/my-commissions.php?user_id=373&amp;payweek=2014-10-03" TargetMode="External"/><Relationship Id="rId2443" Type="http://schemas.openxmlformats.org/officeDocument/2006/relationships/hyperlink" Target="http://dev.dashboard.evolvesolar.com/my-commissions.php?user_id=347&amp;payweek=2014-09-15" TargetMode="External"/><Relationship Id="rId2650" Type="http://schemas.openxmlformats.org/officeDocument/2006/relationships/hyperlink" Target="http://dev.dashboard.evolvesolar.com/my-commissions.php?user_id=236&amp;payweek=2014-09-04" TargetMode="External"/><Relationship Id="rId3701" Type="http://schemas.openxmlformats.org/officeDocument/2006/relationships/hyperlink" Target="http://dev.dashboard.evolvesolar.com/my-commissions.php?user_id=28&amp;payweek=2014-06-06" TargetMode="External"/><Relationship Id="rId208" Type="http://schemas.openxmlformats.org/officeDocument/2006/relationships/hyperlink" Target="http://dev.dashboard.evolvesolar.com/my-commissions.php?user_id=915&amp;payweek=2015-02-06" TargetMode="External"/><Relationship Id="rId415" Type="http://schemas.openxmlformats.org/officeDocument/2006/relationships/hyperlink" Target="http://dev.dashboard.evolvesolar.com/my-commissions.php?user_id=726&amp;payweek=2015-01-23" TargetMode="External"/><Relationship Id="rId622" Type="http://schemas.openxmlformats.org/officeDocument/2006/relationships/hyperlink" Target="http://dev.dashboard.evolvesolar.com/my-commissions.php?user_id=753&amp;payweek=2015-01-09" TargetMode="External"/><Relationship Id="rId1045" Type="http://schemas.openxmlformats.org/officeDocument/2006/relationships/hyperlink" Target="http://dev.dashboard.evolvesolar.com/my-commissions.php?user_id=392&amp;payweek=2014-12-12" TargetMode="External"/><Relationship Id="rId1252" Type="http://schemas.openxmlformats.org/officeDocument/2006/relationships/hyperlink" Target="http://dev.dashboard.evolvesolar.com/my-commissions.php?user_id=218&amp;payweek=2014-11-25" TargetMode="External"/><Relationship Id="rId2303" Type="http://schemas.openxmlformats.org/officeDocument/2006/relationships/hyperlink" Target="http://dev.dashboard.evolvesolar.com/my-commissions.php?user_id=352&amp;payweek=2014-09-25" TargetMode="External"/><Relationship Id="rId2510" Type="http://schemas.openxmlformats.org/officeDocument/2006/relationships/hyperlink" Target="http://dev.dashboard.evolvesolar.com/my-commissions.php?user_id=378&amp;payweek=2014-09-12" TargetMode="External"/><Relationship Id="rId1112" Type="http://schemas.openxmlformats.org/officeDocument/2006/relationships/hyperlink" Target="http://dev.dashboard.evolvesolar.com/my-commissions.php?user_id=28&amp;payweek=2014-12-05" TargetMode="External"/><Relationship Id="rId3077" Type="http://schemas.openxmlformats.org/officeDocument/2006/relationships/hyperlink" Target="http://dev.dashboard.evolvesolar.com/my-commissions.php?user_id=203&amp;payweek=2014-08-07" TargetMode="External"/><Relationship Id="rId3284" Type="http://schemas.openxmlformats.org/officeDocument/2006/relationships/hyperlink" Target="http://dev.dashboard.evolvesolar.com/my-commissions.php?user_id=249&amp;payweek=2014-07-25" TargetMode="External"/><Relationship Id="rId1929" Type="http://schemas.openxmlformats.org/officeDocument/2006/relationships/hyperlink" Target="http://dev.dashboard.evolvesolar.com/my-commissions.php?user_id=407&amp;payweek=2014-10-20" TargetMode="External"/><Relationship Id="rId2093" Type="http://schemas.openxmlformats.org/officeDocument/2006/relationships/hyperlink" Target="http://dev.dashboard.evolvesolar.com/my-commissions.php?user_id=343&amp;payweek=2014-10-10" TargetMode="External"/><Relationship Id="rId3491" Type="http://schemas.openxmlformats.org/officeDocument/2006/relationships/hyperlink" Target="http://dev.dashboard.evolvesolar.com/my-commissions.php?user_id=99&amp;payweek=2014-06-27" TargetMode="External"/><Relationship Id="rId3144" Type="http://schemas.openxmlformats.org/officeDocument/2006/relationships/hyperlink" Target="http://dev.dashboard.evolvesolar.com/my-commissions.php?user_id=276&amp;payweek=2014-08-02" TargetMode="External"/><Relationship Id="rId3351" Type="http://schemas.openxmlformats.org/officeDocument/2006/relationships/hyperlink" Target="http://dev.dashboard.evolvesolar.com/my-commissions.php?user_id=247&amp;payweek=2014-07-18" TargetMode="External"/><Relationship Id="rId272" Type="http://schemas.openxmlformats.org/officeDocument/2006/relationships/hyperlink" Target="http://dev.dashboard.evolvesolar.com/my-commissions.php?user_id=422&amp;payweek=2015-01-30" TargetMode="External"/><Relationship Id="rId2160" Type="http://schemas.openxmlformats.org/officeDocument/2006/relationships/hyperlink" Target="http://dev.dashboard.evolvesolar.com/my-commissions.php?user_id=28&amp;payweek=2014-10-06" TargetMode="External"/><Relationship Id="rId3004" Type="http://schemas.openxmlformats.org/officeDocument/2006/relationships/hyperlink" Target="http://dev.dashboard.evolvesolar.com/my-commissions.php?user_id=383&amp;payweek=2014-08-14" TargetMode="External"/><Relationship Id="rId3211" Type="http://schemas.openxmlformats.org/officeDocument/2006/relationships/hyperlink" Target="http://dev.dashboard.evolvesolar.com/my-commissions.php?user_id=255&amp;payweek=2014-07-31" TargetMode="External"/><Relationship Id="rId132" Type="http://schemas.openxmlformats.org/officeDocument/2006/relationships/hyperlink" Target="http://dev.dashboard.evolvesolar.com/my-commissions.php?user_id=530&amp;payweek=2015-02-06" TargetMode="External"/><Relationship Id="rId2020" Type="http://schemas.openxmlformats.org/officeDocument/2006/relationships/hyperlink" Target="http://dev.dashboard.evolvesolar.com/my-commissions.php?user_id=499&amp;payweek=2014-10-17" TargetMode="External"/><Relationship Id="rId1579" Type="http://schemas.openxmlformats.org/officeDocument/2006/relationships/hyperlink" Target="http://dev.dashboard.evolvesolar.com/my-commissions.php?user_id=343&amp;payweek=2014-11-12" TargetMode="External"/><Relationship Id="rId2977" Type="http://schemas.openxmlformats.org/officeDocument/2006/relationships/hyperlink" Target="http://dev.dashboard.evolvesolar.com/my-commissions.php?user_id=213&amp;payweek=2014-08-14" TargetMode="External"/><Relationship Id="rId949" Type="http://schemas.openxmlformats.org/officeDocument/2006/relationships/hyperlink" Target="http://dev.dashboard.evolvesolar.com/my-commissions.php?user_id=841&amp;payweek=2014-12-22" TargetMode="External"/><Relationship Id="rId1786" Type="http://schemas.openxmlformats.org/officeDocument/2006/relationships/hyperlink" Target="http://dev.dashboard.evolvesolar.com/my-commissions.php?user_id=551&amp;payweek=2014-10-31" TargetMode="External"/><Relationship Id="rId1993" Type="http://schemas.openxmlformats.org/officeDocument/2006/relationships/hyperlink" Target="http://dev.dashboard.evolvesolar.com/my-commissions.php?user_id=332&amp;payweek=2014-10-17" TargetMode="External"/><Relationship Id="rId2837" Type="http://schemas.openxmlformats.org/officeDocument/2006/relationships/hyperlink" Target="http://dev.dashboard.evolvesolar.com/my-commissions.php?user_id=233&amp;payweek=2014-08-22" TargetMode="External"/><Relationship Id="rId4052" Type="http://schemas.openxmlformats.org/officeDocument/2006/relationships/hyperlink" Target="http://dev.dashboard.evolvesolar.com/my-commissions.php?user_id=110&amp;payweek=2014-04-04" TargetMode="External"/><Relationship Id="rId78" Type="http://schemas.openxmlformats.org/officeDocument/2006/relationships/hyperlink" Target="http://dev.dashboard.evolvesolar.com/my-commissions.php?user_id=283&amp;payweek=2015-02-06" TargetMode="External"/><Relationship Id="rId809" Type="http://schemas.openxmlformats.org/officeDocument/2006/relationships/hyperlink" Target="http://dev.dashboard.evolvesolar.com/my-commissions.php?user_id=403&amp;payweek=2014-12-26" TargetMode="External"/><Relationship Id="rId1439" Type="http://schemas.openxmlformats.org/officeDocument/2006/relationships/hyperlink" Target="http://dev.dashboard.evolvesolar.com/my-commissions.php?user_id=41&amp;payweek=2014-11-14" TargetMode="External"/><Relationship Id="rId1646" Type="http://schemas.openxmlformats.org/officeDocument/2006/relationships/hyperlink" Target="http://dev.dashboard.evolvesolar.com/my-commissions.php?user_id=464&amp;payweek=2014-11-07" TargetMode="External"/><Relationship Id="rId1853" Type="http://schemas.openxmlformats.org/officeDocument/2006/relationships/hyperlink" Target="http://dev.dashboard.evolvesolar.com/my-commissions.php?user_id=365&amp;payweek=2014-10-24" TargetMode="External"/><Relationship Id="rId2904" Type="http://schemas.openxmlformats.org/officeDocument/2006/relationships/hyperlink" Target="http://dev.dashboard.evolvesolar.com/my-commissions.php?user_id=465&amp;payweek=2014-08-22" TargetMode="External"/><Relationship Id="rId1506" Type="http://schemas.openxmlformats.org/officeDocument/2006/relationships/hyperlink" Target="http://dev.dashboard.evolvesolar.com/my-commissions.php?user_id=474&amp;payweek=2014-11-14" TargetMode="External"/><Relationship Id="rId1713" Type="http://schemas.openxmlformats.org/officeDocument/2006/relationships/hyperlink" Target="http://dev.dashboard.evolvesolar.com/my-commissions.php?user_id=771&amp;payweek=2014-11-07" TargetMode="External"/><Relationship Id="rId1920" Type="http://schemas.openxmlformats.org/officeDocument/2006/relationships/hyperlink" Target="http://dev.dashboard.evolvesolar.com/my-commissions.php?user_id=185&amp;payweek=2014-10-22" TargetMode="External"/><Relationship Id="rId3678" Type="http://schemas.openxmlformats.org/officeDocument/2006/relationships/hyperlink" Target="http://dev.dashboard.evolvesolar.com/my-commissions.php?user_id=140&amp;payweek=2014-06-13" TargetMode="External"/><Relationship Id="rId3885" Type="http://schemas.openxmlformats.org/officeDocument/2006/relationships/hyperlink" Target="http://dev.dashboard.evolvesolar.com/my-commissions.php?user_id=71&amp;payweek=2014-05-16" TargetMode="External"/><Relationship Id="rId599" Type="http://schemas.openxmlformats.org/officeDocument/2006/relationships/hyperlink" Target="http://dev.dashboard.evolvesolar.com/my-commissions.php?user_id=646&amp;payweek=2015-01-09" TargetMode="External"/><Relationship Id="rId2487" Type="http://schemas.openxmlformats.org/officeDocument/2006/relationships/hyperlink" Target="http://dev.dashboard.evolvesolar.com/my-commissions.php?user_id=321&amp;payweek=2014-09-12" TargetMode="External"/><Relationship Id="rId2694" Type="http://schemas.openxmlformats.org/officeDocument/2006/relationships/hyperlink" Target="http://dev.dashboard.evolvesolar.com/my-commissions.php?user_id=159&amp;payweek=2014-08-29" TargetMode="External"/><Relationship Id="rId3538" Type="http://schemas.openxmlformats.org/officeDocument/2006/relationships/hyperlink" Target="http://dev.dashboard.evolvesolar.com/my-commissions.php?user_id=85&amp;payweek=2014-06-20" TargetMode="External"/><Relationship Id="rId3745" Type="http://schemas.openxmlformats.org/officeDocument/2006/relationships/hyperlink" Target="http://dev.dashboard.evolvesolar.com/my-commissions.php?user_id=113&amp;payweek=2014-06-06" TargetMode="External"/><Relationship Id="rId459" Type="http://schemas.openxmlformats.org/officeDocument/2006/relationships/hyperlink" Target="http://dev.dashboard.evolvesolar.com/my-commissions.php?user_id=355&amp;payweek=2015-01-15" TargetMode="External"/><Relationship Id="rId666" Type="http://schemas.openxmlformats.org/officeDocument/2006/relationships/hyperlink" Target="http://dev.dashboard.evolvesolar.com/my-commissions.php?user_id=148&amp;payweek=2014-12-31" TargetMode="External"/><Relationship Id="rId873" Type="http://schemas.openxmlformats.org/officeDocument/2006/relationships/hyperlink" Target="http://dev.dashboard.evolvesolar.com/my-commissions.php?user_id=725&amp;payweek=2014-12-26" TargetMode="External"/><Relationship Id="rId1089" Type="http://schemas.openxmlformats.org/officeDocument/2006/relationships/hyperlink" Target="http://dev.dashboard.evolvesolar.com/my-commissions.php?user_id=750&amp;payweek=2014-12-12" TargetMode="External"/><Relationship Id="rId1296" Type="http://schemas.openxmlformats.org/officeDocument/2006/relationships/hyperlink" Target="http://dev.dashboard.evolvesolar.com/my-commissions.php?user_id=750&amp;payweek=2014-11-25" TargetMode="External"/><Relationship Id="rId2347" Type="http://schemas.openxmlformats.org/officeDocument/2006/relationships/hyperlink" Target="http://dev.dashboard.evolvesolar.com/my-commissions.php?user_id=582&amp;payweek=2014-09-25" TargetMode="External"/><Relationship Id="rId2554" Type="http://schemas.openxmlformats.org/officeDocument/2006/relationships/hyperlink" Target="http://dev.dashboard.evolvesolar.com/my-commissions.php?user_id=549&amp;payweek=2014-09-12" TargetMode="External"/><Relationship Id="rId3952" Type="http://schemas.openxmlformats.org/officeDocument/2006/relationships/hyperlink" Target="http://dev.dashboard.evolvesolar.com/my-commissions.php?user_id=58&amp;payweek=2014-05-02" TargetMode="External"/><Relationship Id="rId319" Type="http://schemas.openxmlformats.org/officeDocument/2006/relationships/hyperlink" Target="http://dev.dashboard.evolvesolar.com/my-commissions.php?user_id=852&amp;payweek=2015-01-30" TargetMode="External"/><Relationship Id="rId526" Type="http://schemas.openxmlformats.org/officeDocument/2006/relationships/hyperlink" Target="http://dev.dashboard.evolvesolar.com/my-commissions.php?user_id=85&amp;payweek=2015-01-09" TargetMode="External"/><Relationship Id="rId1156" Type="http://schemas.openxmlformats.org/officeDocument/2006/relationships/hyperlink" Target="http://dev.dashboard.evolvesolar.com/my-commissions.php?user_id=648&amp;payweek=2014-12-05" TargetMode="External"/><Relationship Id="rId1363" Type="http://schemas.openxmlformats.org/officeDocument/2006/relationships/hyperlink" Target="http://dev.dashboard.evolvesolar.com/my-commissions.php?user_id=405&amp;payweek=2014-11-21" TargetMode="External"/><Relationship Id="rId2207" Type="http://schemas.openxmlformats.org/officeDocument/2006/relationships/hyperlink" Target="http://dev.dashboard.evolvesolar.com/my-commissions.php?user_id=530&amp;payweek=2014-10-06" TargetMode="External"/><Relationship Id="rId2761" Type="http://schemas.openxmlformats.org/officeDocument/2006/relationships/hyperlink" Target="http://dev.dashboard.evolvesolar.com/my-commissions.php?user_id=218&amp;payweek=2014-08-28" TargetMode="External"/><Relationship Id="rId3605" Type="http://schemas.openxmlformats.org/officeDocument/2006/relationships/hyperlink" Target="http://dev.dashboard.evolvesolar.com/my-commissions.php?user_id=225&amp;payweek=2014-06-20" TargetMode="External"/><Relationship Id="rId3812" Type="http://schemas.openxmlformats.org/officeDocument/2006/relationships/hyperlink" Target="http://dev.dashboard.evolvesolar.com/my-commissions.php?user_id=113&amp;payweek=2014-05-30" TargetMode="External"/><Relationship Id="rId733" Type="http://schemas.openxmlformats.org/officeDocument/2006/relationships/hyperlink" Target="http://dev.dashboard.evolvesolar.com/my-commissions.php?user_id=632&amp;payweek=2014-12-31" TargetMode="External"/><Relationship Id="rId940" Type="http://schemas.openxmlformats.org/officeDocument/2006/relationships/hyperlink" Target="http://dev.dashboard.evolvesolar.com/my-commissions.php?user_id=722&amp;payweek=2014-12-22" TargetMode="External"/><Relationship Id="rId1016" Type="http://schemas.openxmlformats.org/officeDocument/2006/relationships/hyperlink" Target="http://dev.dashboard.evolvesolar.com/my-commissions.php?user_id=203&amp;payweek=2014-12-12" TargetMode="External"/><Relationship Id="rId1570" Type="http://schemas.openxmlformats.org/officeDocument/2006/relationships/hyperlink" Target="http://dev.dashboard.evolvesolar.com/my-commissions.php?user_id=771&amp;payweek=2014-11-14" TargetMode="External"/><Relationship Id="rId2414" Type="http://schemas.openxmlformats.org/officeDocument/2006/relationships/hyperlink" Target="http://dev.dashboard.evolvesolar.com/my-commissions.php?user_id=379&amp;payweek=2014-09-19" TargetMode="External"/><Relationship Id="rId2621" Type="http://schemas.openxmlformats.org/officeDocument/2006/relationships/hyperlink" Target="http://dev.dashboard.evolvesolar.com/my-commissions.php?user_id=41&amp;payweek=2014-09-04" TargetMode="External"/><Relationship Id="rId800" Type="http://schemas.openxmlformats.org/officeDocument/2006/relationships/hyperlink" Target="http://dev.dashboard.evolvesolar.com/my-commissions.php?user_id=365&amp;payweek=2014-12-26" TargetMode="External"/><Relationship Id="rId1223" Type="http://schemas.openxmlformats.org/officeDocument/2006/relationships/hyperlink" Target="http://dev.dashboard.evolvesolar.com/my-commissions.php?user_id=583&amp;payweek=2014-11-28" TargetMode="External"/><Relationship Id="rId1430" Type="http://schemas.openxmlformats.org/officeDocument/2006/relationships/hyperlink" Target="http://dev.dashboard.evolvesolar.com/my-commissions.php?user_id=614&amp;payweek=2014-11-18" TargetMode="External"/><Relationship Id="rId3188" Type="http://schemas.openxmlformats.org/officeDocument/2006/relationships/hyperlink" Target="http://dev.dashboard.evolvesolar.com/my-commissions.php?user_id=214&amp;payweek=2014-07-31" TargetMode="External"/><Relationship Id="rId3395" Type="http://schemas.openxmlformats.org/officeDocument/2006/relationships/hyperlink" Target="http://dev.dashboard.evolvesolar.com/my-commissions.php?user_id=133&amp;payweek=2014-07-11" TargetMode="External"/><Relationship Id="rId3048" Type="http://schemas.openxmlformats.org/officeDocument/2006/relationships/hyperlink" Target="http://dev.dashboard.evolvesolar.com/my-commissions.php?user_id=237&amp;payweek=2014-08-08" TargetMode="External"/><Relationship Id="rId3255" Type="http://schemas.openxmlformats.org/officeDocument/2006/relationships/hyperlink" Target="http://dev.dashboard.evolvesolar.com/my-commissions.php?user_id=183&amp;payweek=2014-07-25" TargetMode="External"/><Relationship Id="rId3462" Type="http://schemas.openxmlformats.org/officeDocument/2006/relationships/hyperlink" Target="http://dev.dashboard.evolvesolar.com/my-commissions.php?user_id=83&amp;payweek=2014-07-03" TargetMode="External"/><Relationship Id="rId176" Type="http://schemas.openxmlformats.org/officeDocument/2006/relationships/hyperlink" Target="http://dev.dashboard.evolvesolar.com/my-commissions.php?user_id=722&amp;payweek=2015-02-06" TargetMode="External"/><Relationship Id="rId383" Type="http://schemas.openxmlformats.org/officeDocument/2006/relationships/hyperlink" Target="http://dev.dashboard.evolvesolar.com/my-commissions.php?user_id=365&amp;payweek=2015-01-23" TargetMode="External"/><Relationship Id="rId590" Type="http://schemas.openxmlformats.org/officeDocument/2006/relationships/hyperlink" Target="http://dev.dashboard.evolvesolar.com/my-commissions.php?user_id=607&amp;payweek=2015-01-09" TargetMode="External"/><Relationship Id="rId2064" Type="http://schemas.openxmlformats.org/officeDocument/2006/relationships/hyperlink" Target="http://dev.dashboard.evolvesolar.com/my-commissions.php?user_id=680&amp;payweek=2014-10-14" TargetMode="External"/><Relationship Id="rId2271" Type="http://schemas.openxmlformats.org/officeDocument/2006/relationships/hyperlink" Target="http://dev.dashboard.evolvesolar.com/my-commissions.php?user_id=293&amp;payweek=2014-09-26" TargetMode="External"/><Relationship Id="rId3115" Type="http://schemas.openxmlformats.org/officeDocument/2006/relationships/hyperlink" Target="http://dev.dashboard.evolvesolar.com/my-commissions.php?user_id=365&amp;payweek=2014-08-07" TargetMode="External"/><Relationship Id="rId3322" Type="http://schemas.openxmlformats.org/officeDocument/2006/relationships/hyperlink" Target="http://dev.dashboard.evolvesolar.com/my-commissions.php?user_id=142&amp;payweek=2014-07-18" TargetMode="External"/><Relationship Id="rId243" Type="http://schemas.openxmlformats.org/officeDocument/2006/relationships/hyperlink" Target="http://dev.dashboard.evolvesolar.com/my-commissions.php?user_id=37&amp;payweek=2015-01-30" TargetMode="External"/><Relationship Id="rId450" Type="http://schemas.openxmlformats.org/officeDocument/2006/relationships/hyperlink" Target="http://dev.dashboard.evolvesolar.com/my-commissions.php?user_id=203&amp;payweek=2015-01-15" TargetMode="External"/><Relationship Id="rId1080" Type="http://schemas.openxmlformats.org/officeDocument/2006/relationships/hyperlink" Target="http://dev.dashboard.evolvesolar.com/my-commissions.php?user_id=714&amp;payweek=2014-12-12" TargetMode="External"/><Relationship Id="rId2131" Type="http://schemas.openxmlformats.org/officeDocument/2006/relationships/hyperlink" Target="http://dev.dashboard.evolvesolar.com/my-commissions.php?user_id=598&amp;payweek=2014-10-10" TargetMode="External"/><Relationship Id="rId103" Type="http://schemas.openxmlformats.org/officeDocument/2006/relationships/hyperlink" Target="http://dev.dashboard.evolvesolar.com/my-commissions.php?user_id=389&amp;payweek=2015-02-06" TargetMode="External"/><Relationship Id="rId310" Type="http://schemas.openxmlformats.org/officeDocument/2006/relationships/hyperlink" Target="http://dev.dashboard.evolvesolar.com/my-commissions.php?user_id=753&amp;payweek=2015-01-30" TargetMode="External"/><Relationship Id="rId4096" Type="http://schemas.openxmlformats.org/officeDocument/2006/relationships/hyperlink" Target="http://dev.dashboard.evolvesolar.com/my-commissions.php?user_id=79&amp;payweek=2014-02-21" TargetMode="External"/><Relationship Id="rId1897" Type="http://schemas.openxmlformats.org/officeDocument/2006/relationships/hyperlink" Target="http://dev.dashboard.evolvesolar.com/my-commissions.php?user_id=632&amp;payweek=2014-10-24" TargetMode="External"/><Relationship Id="rId2948" Type="http://schemas.openxmlformats.org/officeDocument/2006/relationships/hyperlink" Target="http://dev.dashboard.evolvesolar.com/my-commissions.php?user_id=203&amp;payweek=2014-08-15" TargetMode="External"/><Relationship Id="rId1757" Type="http://schemas.openxmlformats.org/officeDocument/2006/relationships/hyperlink" Target="http://dev.dashboard.evolvesolar.com/my-commissions.php?user_id=382&amp;payweek=2014-10-31" TargetMode="External"/><Relationship Id="rId1964" Type="http://schemas.openxmlformats.org/officeDocument/2006/relationships/hyperlink" Target="http://dev.dashboard.evolvesolar.com/my-commissions.php?user_id=99&amp;payweek=2014-10-17" TargetMode="External"/><Relationship Id="rId2808" Type="http://schemas.openxmlformats.org/officeDocument/2006/relationships/hyperlink" Target="http://dev.dashboard.evolvesolar.com/my-commissions.php?user_id=120&amp;payweek=2014-08-22" TargetMode="External"/><Relationship Id="rId49" Type="http://schemas.openxmlformats.org/officeDocument/2006/relationships/hyperlink" Target="http://dev.dashboard.evolvesolar.com/my-commissions.php?user_id=158&amp;payweek=2015-02-06" TargetMode="External"/><Relationship Id="rId1617" Type="http://schemas.openxmlformats.org/officeDocument/2006/relationships/hyperlink" Target="http://dev.dashboard.evolvesolar.com/my-commissions.php?user_id=261&amp;payweek=2014-11-07" TargetMode="External"/><Relationship Id="rId1824" Type="http://schemas.openxmlformats.org/officeDocument/2006/relationships/hyperlink" Target="http://dev.dashboard.evolvesolar.com/my-commissions.php?user_id=610&amp;payweek=2014-10-27" TargetMode="External"/><Relationship Id="rId4023" Type="http://schemas.openxmlformats.org/officeDocument/2006/relationships/hyperlink" Target="http://dev.dashboard.evolvesolar.com/my-commissions.php?user_id=82&amp;payweek=2014-04-11" TargetMode="External"/><Relationship Id="rId3789" Type="http://schemas.openxmlformats.org/officeDocument/2006/relationships/hyperlink" Target="http://dev.dashboard.evolvesolar.com/my-commissions.php?user_id=63&amp;payweek=2014-05-30" TargetMode="External"/><Relationship Id="rId2598" Type="http://schemas.openxmlformats.org/officeDocument/2006/relationships/hyperlink" Target="http://dev.dashboard.evolvesolar.com/my-commissions.php?user_id=214&amp;payweek=2014-09-05" TargetMode="External"/><Relationship Id="rId3996" Type="http://schemas.openxmlformats.org/officeDocument/2006/relationships/hyperlink" Target="http://dev.dashboard.evolvesolar.com/my-commissions.php?user_id=114&amp;payweek=2014-04-24" TargetMode="External"/><Relationship Id="rId3649" Type="http://schemas.openxmlformats.org/officeDocument/2006/relationships/hyperlink" Target="http://dev.dashboard.evolvesolar.com/my-commissions.php?user_id=102&amp;payweek=2014-06-13" TargetMode="External"/><Relationship Id="rId3856" Type="http://schemas.openxmlformats.org/officeDocument/2006/relationships/hyperlink" Target="http://dev.dashboard.evolvesolar.com/my-commissions.php?user_id=102&amp;payweek=2014-05-23" TargetMode="External"/><Relationship Id="rId777" Type="http://schemas.openxmlformats.org/officeDocument/2006/relationships/hyperlink" Target="http://dev.dashboard.evolvesolar.com/my-commissions.php?user_id=203&amp;payweek=2014-12-26" TargetMode="External"/><Relationship Id="rId984" Type="http://schemas.openxmlformats.org/officeDocument/2006/relationships/hyperlink" Target="http://dev.dashboard.evolvesolar.com/my-commissions.php?user_id=659&amp;payweek=2014-12-19" TargetMode="External"/><Relationship Id="rId2458" Type="http://schemas.openxmlformats.org/officeDocument/2006/relationships/hyperlink" Target="http://dev.dashboard.evolvesolar.com/my-commissions.php?user_id=175&amp;payweek=2014-09-12" TargetMode="External"/><Relationship Id="rId2665" Type="http://schemas.openxmlformats.org/officeDocument/2006/relationships/hyperlink" Target="http://dev.dashboard.evolvesolar.com/my-commissions.php?user_id=383&amp;payweek=2014-09-04" TargetMode="External"/><Relationship Id="rId2872" Type="http://schemas.openxmlformats.org/officeDocument/2006/relationships/hyperlink" Target="http://dev.dashboard.evolvesolar.com/my-commissions.php?user_id=302&amp;payweek=2014-08-22" TargetMode="External"/><Relationship Id="rId3509" Type="http://schemas.openxmlformats.org/officeDocument/2006/relationships/hyperlink" Target="http://dev.dashboard.evolvesolar.com/my-commissions.php?user_id=185&amp;payweek=2014-06-27" TargetMode="External"/><Relationship Id="rId3716" Type="http://schemas.openxmlformats.org/officeDocument/2006/relationships/hyperlink" Target="http://dev.dashboard.evolvesolar.com/my-commissions.php?user_id=54&amp;payweek=2014-06-06" TargetMode="External"/><Relationship Id="rId3923" Type="http://schemas.openxmlformats.org/officeDocument/2006/relationships/hyperlink" Target="http://dev.dashboard.evolvesolar.com/my-commissions.php?user_id=84&amp;payweek=2014-05-09" TargetMode="External"/><Relationship Id="rId637" Type="http://schemas.openxmlformats.org/officeDocument/2006/relationships/hyperlink" Target="http://dev.dashboard.evolvesolar.com/my-commissions.php?user_id=927&amp;payweek=2015-01-09" TargetMode="External"/><Relationship Id="rId844" Type="http://schemas.openxmlformats.org/officeDocument/2006/relationships/hyperlink" Target="http://dev.dashboard.evolvesolar.com/my-commissions.php?user_id=634&amp;payweek=2014-12-26" TargetMode="External"/><Relationship Id="rId1267" Type="http://schemas.openxmlformats.org/officeDocument/2006/relationships/hyperlink" Target="http://dev.dashboard.evolvesolar.com/my-commissions.php?user_id=580&amp;payweek=2014-11-25" TargetMode="External"/><Relationship Id="rId1474" Type="http://schemas.openxmlformats.org/officeDocument/2006/relationships/hyperlink" Target="http://dev.dashboard.evolvesolar.com/my-commissions.php?user_id=269&amp;payweek=2014-11-14" TargetMode="External"/><Relationship Id="rId1681" Type="http://schemas.openxmlformats.org/officeDocument/2006/relationships/hyperlink" Target="http://dev.dashboard.evolvesolar.com/my-commissions.php?user_id=648&amp;payweek=2014-11-07" TargetMode="External"/><Relationship Id="rId2318" Type="http://schemas.openxmlformats.org/officeDocument/2006/relationships/hyperlink" Target="http://dev.dashboard.evolvesolar.com/my-commissions.php?user_id=407&amp;payweek=2014-09-25" TargetMode="External"/><Relationship Id="rId2525" Type="http://schemas.openxmlformats.org/officeDocument/2006/relationships/hyperlink" Target="http://dev.dashboard.evolvesolar.com/my-commissions.php?user_id=405&amp;payweek=2014-09-12" TargetMode="External"/><Relationship Id="rId2732" Type="http://schemas.openxmlformats.org/officeDocument/2006/relationships/hyperlink" Target="http://dev.dashboard.evolvesolar.com/my-commissions.php?user_id=410&amp;payweek=2014-08-29" TargetMode="External"/><Relationship Id="rId704" Type="http://schemas.openxmlformats.org/officeDocument/2006/relationships/hyperlink" Target="http://dev.dashboard.evolvesolar.com/my-commissions.php?user_id=438&amp;payweek=2014-12-31" TargetMode="External"/><Relationship Id="rId911" Type="http://schemas.openxmlformats.org/officeDocument/2006/relationships/hyperlink" Target="http://dev.dashboard.evolvesolar.com/my-commissions.php?user_id=373&amp;payweek=2014-12-22" TargetMode="External"/><Relationship Id="rId1127" Type="http://schemas.openxmlformats.org/officeDocument/2006/relationships/hyperlink" Target="http://dev.dashboard.evolvesolar.com/my-commissions.php?user_id=329&amp;payweek=2014-12-05" TargetMode="External"/><Relationship Id="rId1334" Type="http://schemas.openxmlformats.org/officeDocument/2006/relationships/hyperlink" Target="http://dev.dashboard.evolvesolar.com/my-commissions.php?user_id=249&amp;payweek=2014-11-21" TargetMode="External"/><Relationship Id="rId1541" Type="http://schemas.openxmlformats.org/officeDocument/2006/relationships/hyperlink" Target="http://dev.dashboard.evolvesolar.com/my-commissions.php?user_id=691&amp;payweek=2014-11-14" TargetMode="External"/><Relationship Id="rId40" Type="http://schemas.openxmlformats.org/officeDocument/2006/relationships/hyperlink" Target="http://dev.dashboard.evolvesolar.com/my-commissions.php?user_id=140&amp;payweek=2015-02-06" TargetMode="External"/><Relationship Id="rId1401" Type="http://schemas.openxmlformats.org/officeDocument/2006/relationships/hyperlink" Target="http://dev.dashboard.evolvesolar.com/my-commissions.php?user_id=699&amp;payweek=2014-11-21" TargetMode="External"/><Relationship Id="rId3299" Type="http://schemas.openxmlformats.org/officeDocument/2006/relationships/hyperlink" Target="http://dev.dashboard.evolvesolar.com/my-commissions.php?user_id=179&amp;payweek=2014-07-21" TargetMode="External"/><Relationship Id="rId3159" Type="http://schemas.openxmlformats.org/officeDocument/2006/relationships/hyperlink" Target="http://dev.dashboard.evolvesolar.com/my-commissions.php?user_id=59&amp;payweek=2014-07-31" TargetMode="External"/><Relationship Id="rId3366" Type="http://schemas.openxmlformats.org/officeDocument/2006/relationships/hyperlink" Target="http://dev.dashboard.evolvesolar.com/my-commissions.php?user_id=183&amp;payweek=2014-07-14" TargetMode="External"/><Relationship Id="rId3573" Type="http://schemas.openxmlformats.org/officeDocument/2006/relationships/hyperlink" Target="http://dev.dashboard.evolvesolar.com/my-commissions.php?user_id=151&amp;payweek=2014-06-20" TargetMode="External"/><Relationship Id="rId287" Type="http://schemas.openxmlformats.org/officeDocument/2006/relationships/hyperlink" Target="http://dev.dashboard.evolvesolar.com/my-commissions.php?user_id=656&amp;payweek=2015-01-30" TargetMode="External"/><Relationship Id="rId494" Type="http://schemas.openxmlformats.org/officeDocument/2006/relationships/hyperlink" Target="http://dev.dashboard.evolvesolar.com/my-commissions.php?user_id=699&amp;payweek=2015-01-15" TargetMode="External"/><Relationship Id="rId2175" Type="http://schemas.openxmlformats.org/officeDocument/2006/relationships/hyperlink" Target="http://dev.dashboard.evolvesolar.com/my-commissions.php?user_id=269&amp;payweek=2014-10-06" TargetMode="External"/><Relationship Id="rId2382" Type="http://schemas.openxmlformats.org/officeDocument/2006/relationships/hyperlink" Target="http://dev.dashboard.evolvesolar.com/my-commissions.php?user_id=85&amp;payweek=2014-09-19" TargetMode="External"/><Relationship Id="rId3019" Type="http://schemas.openxmlformats.org/officeDocument/2006/relationships/hyperlink" Target="http://dev.dashboard.evolvesolar.com/my-commissions.php?user_id=85&amp;payweek=2014-08-08" TargetMode="External"/><Relationship Id="rId3226" Type="http://schemas.openxmlformats.org/officeDocument/2006/relationships/hyperlink" Target="http://dev.dashboard.evolvesolar.com/my-commissions.php?user_id=28&amp;payweek=2014-07-25" TargetMode="External"/><Relationship Id="rId3780" Type="http://schemas.openxmlformats.org/officeDocument/2006/relationships/hyperlink" Target="http://dev.dashboard.evolvesolar.com/my-commissions.php?user_id=27&amp;payweek=2014-05-30" TargetMode="External"/><Relationship Id="rId147" Type="http://schemas.openxmlformats.org/officeDocument/2006/relationships/hyperlink" Target="http://dev.dashboard.evolvesolar.com/my-commissions.php?user_id=606&amp;payweek=2015-02-06" TargetMode="External"/><Relationship Id="rId354" Type="http://schemas.openxmlformats.org/officeDocument/2006/relationships/hyperlink" Target="http://dev.dashboard.evolvesolar.com/my-commissions.php?user_id=28&amp;payweek=2015-01-23" TargetMode="External"/><Relationship Id="rId1191" Type="http://schemas.openxmlformats.org/officeDocument/2006/relationships/hyperlink" Target="http://dev.dashboard.evolvesolar.com/my-commissions.php?user_id=790&amp;payweek=2014-12-05" TargetMode="External"/><Relationship Id="rId2035" Type="http://schemas.openxmlformats.org/officeDocument/2006/relationships/hyperlink" Target="http://dev.dashboard.evolvesolar.com/my-commissions.php?user_id=650&amp;payweek=2014-10-17" TargetMode="External"/><Relationship Id="rId3433" Type="http://schemas.openxmlformats.org/officeDocument/2006/relationships/hyperlink" Target="http://dev.dashboard.evolvesolar.com/my-commissions.php?user_id=269&amp;payweek=2014-07-11" TargetMode="External"/><Relationship Id="rId3640" Type="http://schemas.openxmlformats.org/officeDocument/2006/relationships/hyperlink" Target="http://dev.dashboard.evolvesolar.com/my-commissions.php?user_id=71&amp;payweek=2014-06-13" TargetMode="External"/><Relationship Id="rId561" Type="http://schemas.openxmlformats.org/officeDocument/2006/relationships/hyperlink" Target="http://dev.dashboard.evolvesolar.com/my-commissions.php?user_id=365&amp;payweek=2015-01-09" TargetMode="External"/><Relationship Id="rId2242" Type="http://schemas.openxmlformats.org/officeDocument/2006/relationships/hyperlink" Target="http://dev.dashboard.evolvesolar.com/my-commissions.php?user_id=436&amp;payweek=2014-10-03" TargetMode="External"/><Relationship Id="rId3500" Type="http://schemas.openxmlformats.org/officeDocument/2006/relationships/hyperlink" Target="http://dev.dashboard.evolvesolar.com/my-commissions.php?user_id=133&amp;payweek=2014-06-27" TargetMode="External"/><Relationship Id="rId214" Type="http://schemas.openxmlformats.org/officeDocument/2006/relationships/hyperlink" Target="http://dev.dashboard.evolvesolar.com/my-commissions.php?user_id=941&amp;payweek=2015-02-06" TargetMode="External"/><Relationship Id="rId421" Type="http://schemas.openxmlformats.org/officeDocument/2006/relationships/hyperlink" Target="http://dev.dashboard.evolvesolar.com/my-commissions.php?user_id=809&amp;payweek=2015-01-23" TargetMode="External"/><Relationship Id="rId1051" Type="http://schemas.openxmlformats.org/officeDocument/2006/relationships/hyperlink" Target="http://dev.dashboard.evolvesolar.com/my-commissions.php?user_id=468&amp;payweek=2014-12-12" TargetMode="External"/><Relationship Id="rId2102" Type="http://schemas.openxmlformats.org/officeDocument/2006/relationships/hyperlink" Target="http://dev.dashboard.evolvesolar.com/my-commissions.php?user_id=392&amp;payweek=2014-10-10" TargetMode="External"/><Relationship Id="rId1868" Type="http://schemas.openxmlformats.org/officeDocument/2006/relationships/hyperlink" Target="http://dev.dashboard.evolvesolar.com/my-commissions.php?user_id=489&amp;payweek=2014-10-24" TargetMode="External"/><Relationship Id="rId4067" Type="http://schemas.openxmlformats.org/officeDocument/2006/relationships/hyperlink" Target="http://dev.dashboard.evolvesolar.com/my-commissions.php?user_id=130&amp;payweek=2014-03-28" TargetMode="External"/><Relationship Id="rId2919" Type="http://schemas.openxmlformats.org/officeDocument/2006/relationships/hyperlink" Target="http://dev.dashboard.evolvesolar.com/my-commissions.php?user_id=27&amp;payweek=2014-08-15" TargetMode="External"/><Relationship Id="rId3083" Type="http://schemas.openxmlformats.org/officeDocument/2006/relationships/hyperlink" Target="http://dev.dashboard.evolvesolar.com/my-commissions.php?user_id=214&amp;payweek=2014-08-07" TargetMode="External"/><Relationship Id="rId3290" Type="http://schemas.openxmlformats.org/officeDocument/2006/relationships/hyperlink" Target="http://dev.dashboard.evolvesolar.com/my-commissions.php?user_id=282&amp;payweek=2014-07-25" TargetMode="External"/><Relationship Id="rId1728" Type="http://schemas.openxmlformats.org/officeDocument/2006/relationships/hyperlink" Target="http://dev.dashboard.evolvesolar.com/my-commissions.php?user_id=217&amp;payweek=2014-10-31" TargetMode="External"/><Relationship Id="rId1935" Type="http://schemas.openxmlformats.org/officeDocument/2006/relationships/hyperlink" Target="http://dev.dashboard.evolvesolar.com/my-commissions.php?user_id=656&amp;payweek=2014-10-20" TargetMode="External"/><Relationship Id="rId3150" Type="http://schemas.openxmlformats.org/officeDocument/2006/relationships/hyperlink" Target="http://dev.dashboard.evolvesolar.com/my-commissions.php?user_id=363&amp;payweek=2014-08-02" TargetMode="External"/><Relationship Id="rId3010" Type="http://schemas.openxmlformats.org/officeDocument/2006/relationships/hyperlink" Target="http://dev.dashboard.evolvesolar.com/my-commissions.php?user_id=202&amp;payweek=2014-08-11" TargetMode="External"/><Relationship Id="rId3967" Type="http://schemas.openxmlformats.org/officeDocument/2006/relationships/hyperlink" Target="http://dev.dashboard.evolvesolar.com/my-commissions.php?user_id=114&amp;payweek=2014-05-02" TargetMode="External"/><Relationship Id="rId4" Type="http://schemas.openxmlformats.org/officeDocument/2006/relationships/hyperlink" Target="http://dev.dashboard.evolvesolar.com/my-commissions.php?user_id=32&amp;payweek=2015-02-06" TargetMode="External"/><Relationship Id="rId888" Type="http://schemas.openxmlformats.org/officeDocument/2006/relationships/hyperlink" Target="http://dev.dashboard.evolvesolar.com/my-commissions.php?user_id=906&amp;payweek=2014-12-26" TargetMode="External"/><Relationship Id="rId2569" Type="http://schemas.openxmlformats.org/officeDocument/2006/relationships/hyperlink" Target="http://dev.dashboard.evolvesolar.com/my-commissions.php?user_id=41&amp;payweek=2014-09-10" TargetMode="External"/><Relationship Id="rId2776" Type="http://schemas.openxmlformats.org/officeDocument/2006/relationships/hyperlink" Target="http://dev.dashboard.evolvesolar.com/my-commissions.php?user_id=260&amp;payweek=2014-08-28" TargetMode="External"/><Relationship Id="rId2983" Type="http://schemas.openxmlformats.org/officeDocument/2006/relationships/hyperlink" Target="http://dev.dashboard.evolvesolar.com/my-commissions.php?user_id=231&amp;payweek=2014-08-14" TargetMode="External"/><Relationship Id="rId3827" Type="http://schemas.openxmlformats.org/officeDocument/2006/relationships/hyperlink" Target="http://dev.dashboard.evolvesolar.com/my-commissions.php?user_id=175&amp;payweek=2014-05-30" TargetMode="External"/><Relationship Id="rId748" Type="http://schemas.openxmlformats.org/officeDocument/2006/relationships/hyperlink" Target="http://dev.dashboard.evolvesolar.com/my-commissions.php?user_id=852&amp;payweek=2014-12-31" TargetMode="External"/><Relationship Id="rId955" Type="http://schemas.openxmlformats.org/officeDocument/2006/relationships/hyperlink" Target="http://dev.dashboard.evolvesolar.com/my-commissions.php?user_id=27&amp;payweek=2014-12-19" TargetMode="External"/><Relationship Id="rId1378" Type="http://schemas.openxmlformats.org/officeDocument/2006/relationships/hyperlink" Target="http://dev.dashboard.evolvesolar.com/my-commissions.php?user_id=607&amp;payweek=2014-11-21" TargetMode="External"/><Relationship Id="rId1585" Type="http://schemas.openxmlformats.org/officeDocument/2006/relationships/hyperlink" Target="http://dev.dashboard.evolvesolar.com/my-commissions.php?user_id=175&amp;payweek=2014-11-10" TargetMode="External"/><Relationship Id="rId1792" Type="http://schemas.openxmlformats.org/officeDocument/2006/relationships/hyperlink" Target="http://dev.dashboard.evolvesolar.com/my-commissions.php?user_id=582&amp;payweek=2014-10-31" TargetMode="External"/><Relationship Id="rId2429" Type="http://schemas.openxmlformats.org/officeDocument/2006/relationships/hyperlink" Target="http://dev.dashboard.evolvesolar.com/my-commissions.php?user_id=472&amp;payweek=2014-09-19" TargetMode="External"/><Relationship Id="rId2636" Type="http://schemas.openxmlformats.org/officeDocument/2006/relationships/hyperlink" Target="http://dev.dashboard.evolvesolar.com/my-commissions.php?user_id=218&amp;payweek=2014-09-04" TargetMode="External"/><Relationship Id="rId2843" Type="http://schemas.openxmlformats.org/officeDocument/2006/relationships/hyperlink" Target="http://dev.dashboard.evolvesolar.com/my-commissions.php?user_id=242&amp;payweek=2014-08-22" TargetMode="External"/><Relationship Id="rId84" Type="http://schemas.openxmlformats.org/officeDocument/2006/relationships/hyperlink" Target="http://dev.dashboard.evolvesolar.com/my-commissions.php?user_id=302&amp;payweek=2015-02-06" TargetMode="External"/><Relationship Id="rId608" Type="http://schemas.openxmlformats.org/officeDocument/2006/relationships/hyperlink" Target="http://dev.dashboard.evolvesolar.com/my-commissions.php?user_id=685&amp;payweek=2015-01-09" TargetMode="External"/><Relationship Id="rId815" Type="http://schemas.openxmlformats.org/officeDocument/2006/relationships/hyperlink" Target="http://dev.dashboard.evolvesolar.com/my-commissions.php?user_id=422&amp;payweek=2014-12-26" TargetMode="External"/><Relationship Id="rId1238" Type="http://schemas.openxmlformats.org/officeDocument/2006/relationships/hyperlink" Target="http://dev.dashboard.evolvesolar.com/my-commissions.php?user_id=784&amp;payweek=2014-11-28" TargetMode="External"/><Relationship Id="rId1445" Type="http://schemas.openxmlformats.org/officeDocument/2006/relationships/hyperlink" Target="http://dev.dashboard.evolvesolar.com/my-commissions.php?user_id=94&amp;payweek=2014-11-14" TargetMode="External"/><Relationship Id="rId1652" Type="http://schemas.openxmlformats.org/officeDocument/2006/relationships/hyperlink" Target="http://dev.dashboard.evolvesolar.com/my-commissions.php?user_id=539&amp;payweek=2014-11-07" TargetMode="External"/><Relationship Id="rId1305" Type="http://schemas.openxmlformats.org/officeDocument/2006/relationships/hyperlink" Target="http://dev.dashboard.evolvesolar.com/my-commissions.php?user_id=551&amp;payweek=2014-11-24" TargetMode="External"/><Relationship Id="rId2703" Type="http://schemas.openxmlformats.org/officeDocument/2006/relationships/hyperlink" Target="http://dev.dashboard.evolvesolar.com/my-commissions.php?user_id=236&amp;payweek=2014-08-29" TargetMode="External"/><Relationship Id="rId2910" Type="http://schemas.openxmlformats.org/officeDocument/2006/relationships/hyperlink" Target="http://dev.dashboard.evolvesolar.com/my-commissions.php?user_id=574&amp;payweek=2014-08-22" TargetMode="External"/><Relationship Id="rId1512" Type="http://schemas.openxmlformats.org/officeDocument/2006/relationships/hyperlink" Target="http://dev.dashboard.evolvesolar.com/my-commissions.php?user_id=580&amp;payweek=2014-11-14" TargetMode="External"/><Relationship Id="rId11" Type="http://schemas.openxmlformats.org/officeDocument/2006/relationships/hyperlink" Target="http://dev.dashboard.evolvesolar.com/my-commissions.php?user_id=46&amp;payweek=2015-02-06" TargetMode="External"/><Relationship Id="rId398" Type="http://schemas.openxmlformats.org/officeDocument/2006/relationships/hyperlink" Target="http://dev.dashboard.evolvesolar.com/my-commissions.php?user_id=593&amp;payweek=2015-01-23" TargetMode="External"/><Relationship Id="rId2079" Type="http://schemas.openxmlformats.org/officeDocument/2006/relationships/hyperlink" Target="http://dev.dashboard.evolvesolar.com/my-commissions.php?user_id=261&amp;payweek=2014-10-10" TargetMode="External"/><Relationship Id="rId3477" Type="http://schemas.openxmlformats.org/officeDocument/2006/relationships/hyperlink" Target="http://dev.dashboard.evolvesolar.com/my-commissions.php?user_id=27&amp;payweek=2014-06-27" TargetMode="External"/><Relationship Id="rId3684" Type="http://schemas.openxmlformats.org/officeDocument/2006/relationships/hyperlink" Target="http://dev.dashboard.evolvesolar.com/my-commissions.php?user_id=146&amp;payweek=2014-06-13" TargetMode="External"/><Relationship Id="rId3891" Type="http://schemas.openxmlformats.org/officeDocument/2006/relationships/hyperlink" Target="http://dev.dashboard.evolvesolar.com/my-commissions.php?user_id=102&amp;payweek=2014-05-16" TargetMode="External"/><Relationship Id="rId2286" Type="http://schemas.openxmlformats.org/officeDocument/2006/relationships/hyperlink" Target="http://dev.dashboard.evolvesolar.com/my-commissions.php?user_id=133&amp;payweek=2014-09-25" TargetMode="External"/><Relationship Id="rId2493" Type="http://schemas.openxmlformats.org/officeDocument/2006/relationships/hyperlink" Target="http://dev.dashboard.evolvesolar.com/my-commissions.php?user_id=341&amp;payweek=2014-09-12" TargetMode="External"/><Relationship Id="rId3337" Type="http://schemas.openxmlformats.org/officeDocument/2006/relationships/hyperlink" Target="http://dev.dashboard.evolvesolar.com/my-commissions.php?user_id=214&amp;payweek=2014-07-18" TargetMode="External"/><Relationship Id="rId3544" Type="http://schemas.openxmlformats.org/officeDocument/2006/relationships/hyperlink" Target="http://dev.dashboard.evolvesolar.com/my-commissions.php?user_id=99&amp;payweek=2014-06-20" TargetMode="External"/><Relationship Id="rId3751" Type="http://schemas.openxmlformats.org/officeDocument/2006/relationships/hyperlink" Target="http://dev.dashboard.evolvesolar.com/my-commissions.php?user_id=118&amp;payweek=2014-06-06" TargetMode="External"/><Relationship Id="rId258" Type="http://schemas.openxmlformats.org/officeDocument/2006/relationships/hyperlink" Target="http://dev.dashboard.evolvesolar.com/my-commissions.php?user_id=268&amp;payweek=2015-01-30" TargetMode="External"/><Relationship Id="rId465" Type="http://schemas.openxmlformats.org/officeDocument/2006/relationships/hyperlink" Target="http://dev.dashboard.evolvesolar.com/my-commissions.php?user_id=407&amp;payweek=2015-01-15" TargetMode="External"/><Relationship Id="rId672" Type="http://schemas.openxmlformats.org/officeDocument/2006/relationships/hyperlink" Target="http://dev.dashboard.evolvesolar.com/my-commissions.php?user_id=203&amp;payweek=2014-12-31" TargetMode="External"/><Relationship Id="rId1095" Type="http://schemas.openxmlformats.org/officeDocument/2006/relationships/hyperlink" Target="http://dev.dashboard.evolvesolar.com/my-commissions.php?user_id=817&amp;payweek=2014-12-12" TargetMode="External"/><Relationship Id="rId2146" Type="http://schemas.openxmlformats.org/officeDocument/2006/relationships/hyperlink" Target="http://dev.dashboard.evolvesolar.com/my-commissions.php?user_id=646&amp;payweek=2014-10-10" TargetMode="External"/><Relationship Id="rId2353" Type="http://schemas.openxmlformats.org/officeDocument/2006/relationships/hyperlink" Target="http://dev.dashboard.evolvesolar.com/my-commissions.php?user_id=604&amp;payweek=2014-09-25" TargetMode="External"/><Relationship Id="rId2560" Type="http://schemas.openxmlformats.org/officeDocument/2006/relationships/hyperlink" Target="http://dev.dashboard.evolvesolar.com/my-commissions.php?user_id=553&amp;payweek=2014-09-12" TargetMode="External"/><Relationship Id="rId3404" Type="http://schemas.openxmlformats.org/officeDocument/2006/relationships/hyperlink" Target="http://dev.dashboard.evolvesolar.com/my-commissions.php?user_id=175&amp;payweek=2014-07-11" TargetMode="External"/><Relationship Id="rId3611" Type="http://schemas.openxmlformats.org/officeDocument/2006/relationships/hyperlink" Target="http://dev.dashboard.evolvesolar.com/my-commissions.php?user_id=138&amp;payweek=2014-06-16" TargetMode="External"/><Relationship Id="rId118" Type="http://schemas.openxmlformats.org/officeDocument/2006/relationships/hyperlink" Target="http://dev.dashboard.evolvesolar.com/my-commissions.php?user_id=446&amp;payweek=2015-02-06" TargetMode="External"/><Relationship Id="rId325" Type="http://schemas.openxmlformats.org/officeDocument/2006/relationships/hyperlink" Target="http://dev.dashboard.evolvesolar.com/my-commissions.php?user_id=860&amp;payweek=2015-01-30" TargetMode="External"/><Relationship Id="rId532" Type="http://schemas.openxmlformats.org/officeDocument/2006/relationships/hyperlink" Target="http://dev.dashboard.evolvesolar.com/my-commissions.php?user_id=138&amp;payweek=2015-01-09" TargetMode="External"/><Relationship Id="rId1162" Type="http://schemas.openxmlformats.org/officeDocument/2006/relationships/hyperlink" Target="http://dev.dashboard.evolvesolar.com/my-commissions.php?user_id=672&amp;payweek=2014-12-05" TargetMode="External"/><Relationship Id="rId2006" Type="http://schemas.openxmlformats.org/officeDocument/2006/relationships/hyperlink" Target="http://dev.dashboard.evolvesolar.com/my-commissions.php?user_id=401&amp;payweek=2014-10-17" TargetMode="External"/><Relationship Id="rId2213" Type="http://schemas.openxmlformats.org/officeDocument/2006/relationships/hyperlink" Target="http://dev.dashboard.evolvesolar.com/my-commissions.php?user_id=569&amp;payweek=2014-10-06" TargetMode="External"/><Relationship Id="rId2420" Type="http://schemas.openxmlformats.org/officeDocument/2006/relationships/hyperlink" Target="http://dev.dashboard.evolvesolar.com/my-commissions.php?user_id=397&amp;payweek=2014-09-19" TargetMode="External"/><Relationship Id="rId1022" Type="http://schemas.openxmlformats.org/officeDocument/2006/relationships/hyperlink" Target="http://dev.dashboard.evolvesolar.com/my-commissions.php?user_id=218&amp;payweek=2014-12-12" TargetMode="External"/><Relationship Id="rId1979" Type="http://schemas.openxmlformats.org/officeDocument/2006/relationships/hyperlink" Target="http://dev.dashboard.evolvesolar.com/my-commissions.php?user_id=217&amp;payweek=2014-10-17" TargetMode="External"/><Relationship Id="rId3194" Type="http://schemas.openxmlformats.org/officeDocument/2006/relationships/hyperlink" Target="http://dev.dashboard.evolvesolar.com/my-commissions.php?user_id=223&amp;payweek=2014-07-31" TargetMode="External"/><Relationship Id="rId4038" Type="http://schemas.openxmlformats.org/officeDocument/2006/relationships/hyperlink" Target="http://dev.dashboard.evolvesolar.com/my-commissions.php?user_id=110&amp;payweek=2014-04-11" TargetMode="External"/><Relationship Id="rId1839" Type="http://schemas.openxmlformats.org/officeDocument/2006/relationships/hyperlink" Target="http://dev.dashboard.evolvesolar.com/my-commissions.php?user_id=248&amp;payweek=2014-10-24" TargetMode="External"/><Relationship Id="rId3054" Type="http://schemas.openxmlformats.org/officeDocument/2006/relationships/hyperlink" Target="http://dev.dashboard.evolvesolar.com/my-commissions.php?user_id=276&amp;payweek=2014-08-08" TargetMode="External"/><Relationship Id="rId182" Type="http://schemas.openxmlformats.org/officeDocument/2006/relationships/hyperlink" Target="http://dev.dashboard.evolvesolar.com/my-commissions.php?user_id=775&amp;payweek=2015-02-06" TargetMode="External"/><Relationship Id="rId1906" Type="http://schemas.openxmlformats.org/officeDocument/2006/relationships/hyperlink" Target="http://dev.dashboard.evolvesolar.com/my-commissions.php?user_id=661&amp;payweek=2014-10-24" TargetMode="External"/><Relationship Id="rId3261" Type="http://schemas.openxmlformats.org/officeDocument/2006/relationships/hyperlink" Target="http://dev.dashboard.evolvesolar.com/my-commissions.php?user_id=202&amp;payweek=2014-07-25" TargetMode="External"/><Relationship Id="rId4105" Type="http://schemas.openxmlformats.org/officeDocument/2006/relationships/hyperlink" Target="http://dev.dashboard.evolvesolar.com/my-commissions.php?user_id=831&amp;payweek=2014-01-12" TargetMode="External"/><Relationship Id="rId2070" Type="http://schemas.openxmlformats.org/officeDocument/2006/relationships/hyperlink" Target="http://dev.dashboard.evolvesolar.com/my-commissions.php?user_id=63&amp;payweek=2014-10-10" TargetMode="External"/><Relationship Id="rId3121" Type="http://schemas.openxmlformats.org/officeDocument/2006/relationships/hyperlink" Target="http://dev.dashboard.evolvesolar.com/my-commissions.php?user_id=160&amp;payweek=2014-08-04" TargetMode="External"/><Relationship Id="rId999" Type="http://schemas.openxmlformats.org/officeDocument/2006/relationships/hyperlink" Target="http://dev.dashboard.evolvesolar.com/my-commissions.php?user_id=47&amp;payweek=2014-12-12" TargetMode="External"/><Relationship Id="rId2887" Type="http://schemas.openxmlformats.org/officeDocument/2006/relationships/hyperlink" Target="http://dev.dashboard.evolvesolar.com/my-commissions.php?user_id=395&amp;payweek=2014-08-22" TargetMode="External"/><Relationship Id="rId859" Type="http://schemas.openxmlformats.org/officeDocument/2006/relationships/hyperlink" Target="http://dev.dashboard.evolvesolar.com/my-commissions.php?user_id=680&amp;payweek=2014-12-26" TargetMode="External"/><Relationship Id="rId1489" Type="http://schemas.openxmlformats.org/officeDocument/2006/relationships/hyperlink" Target="http://dev.dashboard.evolvesolar.com/my-commissions.php?user_id=329&amp;payweek=2014-11-14" TargetMode="External"/><Relationship Id="rId1696" Type="http://schemas.openxmlformats.org/officeDocument/2006/relationships/hyperlink" Target="http://dev.dashboard.evolvesolar.com/my-commissions.php?user_id=691&amp;payweek=2014-11-07" TargetMode="External"/><Relationship Id="rId3938" Type="http://schemas.openxmlformats.org/officeDocument/2006/relationships/hyperlink" Target="http://dev.dashboard.evolvesolar.com/my-commissions.php?user_id=191&amp;payweek=2014-05-09" TargetMode="External"/><Relationship Id="rId1349" Type="http://schemas.openxmlformats.org/officeDocument/2006/relationships/hyperlink" Target="http://dev.dashboard.evolvesolar.com/my-commissions.php?user_id=355&amp;payweek=2014-11-21" TargetMode="External"/><Relationship Id="rId2747" Type="http://schemas.openxmlformats.org/officeDocument/2006/relationships/hyperlink" Target="http://dev.dashboard.evolvesolar.com/my-commissions.php?user_id=94&amp;payweek=2014-08-28" TargetMode="External"/><Relationship Id="rId2954" Type="http://schemas.openxmlformats.org/officeDocument/2006/relationships/hyperlink" Target="http://dev.dashboard.evolvesolar.com/my-commissions.php?user_id=236&amp;payweek=2014-08-15" TargetMode="External"/><Relationship Id="rId719" Type="http://schemas.openxmlformats.org/officeDocument/2006/relationships/hyperlink" Target="http://dev.dashboard.evolvesolar.com/my-commissions.php?user_id=593&amp;payweek=2014-12-31" TargetMode="External"/><Relationship Id="rId926" Type="http://schemas.openxmlformats.org/officeDocument/2006/relationships/hyperlink" Target="http://dev.dashboard.evolvesolar.com/my-commissions.php?user_id=599&amp;payweek=2014-12-22" TargetMode="External"/><Relationship Id="rId1556" Type="http://schemas.openxmlformats.org/officeDocument/2006/relationships/hyperlink" Target="http://dev.dashboard.evolvesolar.com/my-commissions.php?user_id=716&amp;payweek=2014-11-14" TargetMode="External"/><Relationship Id="rId1763" Type="http://schemas.openxmlformats.org/officeDocument/2006/relationships/hyperlink" Target="http://dev.dashboard.evolvesolar.com/my-commissions.php?user_id=410&amp;payweek=2014-10-31" TargetMode="External"/><Relationship Id="rId1970" Type="http://schemas.openxmlformats.org/officeDocument/2006/relationships/hyperlink" Target="http://dev.dashboard.evolvesolar.com/my-commissions.php?user_id=117&amp;payweek=2014-10-17" TargetMode="External"/><Relationship Id="rId2607" Type="http://schemas.openxmlformats.org/officeDocument/2006/relationships/hyperlink" Target="http://dev.dashboard.evolvesolar.com/my-commissions.php?user_id=341&amp;payweek=2014-09-05" TargetMode="External"/><Relationship Id="rId2814" Type="http://schemas.openxmlformats.org/officeDocument/2006/relationships/hyperlink" Target="http://dev.dashboard.evolvesolar.com/my-commissions.php?user_id=152&amp;payweek=2014-08-22" TargetMode="External"/><Relationship Id="rId55" Type="http://schemas.openxmlformats.org/officeDocument/2006/relationships/hyperlink" Target="http://dev.dashboard.evolvesolar.com/my-commissions.php?user_id=211&amp;payweek=2015-02-06" TargetMode="External"/><Relationship Id="rId1209" Type="http://schemas.openxmlformats.org/officeDocument/2006/relationships/hyperlink" Target="http://dev.dashboard.evolvesolar.com/my-commissions.php?user_id=149&amp;payweek=2014-11-28" TargetMode="External"/><Relationship Id="rId1416" Type="http://schemas.openxmlformats.org/officeDocument/2006/relationships/hyperlink" Target="http://dev.dashboard.evolvesolar.com/my-commissions.php?user_id=771&amp;payweek=2014-11-21" TargetMode="External"/><Relationship Id="rId1623" Type="http://schemas.openxmlformats.org/officeDocument/2006/relationships/hyperlink" Target="http://dev.dashboard.evolvesolar.com/my-commissions.php?user_id=326&amp;payweek=2014-11-07" TargetMode="External"/><Relationship Id="rId1830" Type="http://schemas.openxmlformats.org/officeDocument/2006/relationships/hyperlink" Target="http://dev.dashboard.evolvesolar.com/my-commissions.php?user_id=85&amp;payweek=2014-10-24" TargetMode="External"/><Relationship Id="rId3588" Type="http://schemas.openxmlformats.org/officeDocument/2006/relationships/hyperlink" Target="http://dev.dashboard.evolvesolar.com/my-commissions.php?user_id=161&amp;payweek=2014-06-20" TargetMode="External"/><Relationship Id="rId3795" Type="http://schemas.openxmlformats.org/officeDocument/2006/relationships/hyperlink" Target="http://dev.dashboard.evolvesolar.com/my-commissions.php?user_id=85&amp;payweek=2014-05-30" TargetMode="External"/><Relationship Id="rId2397" Type="http://schemas.openxmlformats.org/officeDocument/2006/relationships/hyperlink" Target="http://dev.dashboard.evolvesolar.com/my-commissions.php?user_id=244&amp;payweek=2014-09-19" TargetMode="External"/><Relationship Id="rId3448" Type="http://schemas.openxmlformats.org/officeDocument/2006/relationships/hyperlink" Target="http://dev.dashboard.evolvesolar.com/my-commissions.php?user_id=167&amp;payweek=2014-07-04" TargetMode="External"/><Relationship Id="rId3655" Type="http://schemas.openxmlformats.org/officeDocument/2006/relationships/hyperlink" Target="http://dev.dashboard.evolvesolar.com/my-commissions.php?user_id=109&amp;payweek=2014-06-13" TargetMode="External"/><Relationship Id="rId3862" Type="http://schemas.openxmlformats.org/officeDocument/2006/relationships/hyperlink" Target="http://dev.dashboard.evolvesolar.com/my-commissions.php?user_id=109&amp;payweek=2014-05-23" TargetMode="External"/><Relationship Id="rId369" Type="http://schemas.openxmlformats.org/officeDocument/2006/relationships/hyperlink" Target="http://dev.dashboard.evolvesolar.com/my-commissions.php?user_id=261&amp;payweek=2015-01-23" TargetMode="External"/><Relationship Id="rId576" Type="http://schemas.openxmlformats.org/officeDocument/2006/relationships/hyperlink" Target="http://dev.dashboard.evolvesolar.com/my-commissions.php?user_id=438&amp;payweek=2015-01-09" TargetMode="External"/><Relationship Id="rId783" Type="http://schemas.openxmlformats.org/officeDocument/2006/relationships/hyperlink" Target="http://dev.dashboard.evolvesolar.com/my-commissions.php?user_id=261&amp;payweek=2014-12-26" TargetMode="External"/><Relationship Id="rId990" Type="http://schemas.openxmlformats.org/officeDocument/2006/relationships/hyperlink" Target="http://dev.dashboard.evolvesolar.com/my-commissions.php?user_id=831&amp;payweek=2014-12-19" TargetMode="External"/><Relationship Id="rId2257" Type="http://schemas.openxmlformats.org/officeDocument/2006/relationships/hyperlink" Target="http://dev.dashboard.evolvesolar.com/my-commissions.php?user_id=692&amp;payweek=2014-10-01" TargetMode="External"/><Relationship Id="rId2464" Type="http://schemas.openxmlformats.org/officeDocument/2006/relationships/hyperlink" Target="http://dev.dashboard.evolvesolar.com/my-commissions.php?user_id=217&amp;payweek=2014-09-12" TargetMode="External"/><Relationship Id="rId2671" Type="http://schemas.openxmlformats.org/officeDocument/2006/relationships/hyperlink" Target="http://dev.dashboard.evolvesolar.com/my-commissions.php?user_id=397&amp;payweek=2014-09-04" TargetMode="External"/><Relationship Id="rId3308" Type="http://schemas.openxmlformats.org/officeDocument/2006/relationships/hyperlink" Target="http://dev.dashboard.evolvesolar.com/my-commissions.php?user_id=41&amp;payweek=2014-07-18" TargetMode="External"/><Relationship Id="rId3515" Type="http://schemas.openxmlformats.org/officeDocument/2006/relationships/hyperlink" Target="http://dev.dashboard.evolvesolar.com/my-commissions.php?user_id=236&amp;payweek=2014-06-27" TargetMode="External"/><Relationship Id="rId229" Type="http://schemas.openxmlformats.org/officeDocument/2006/relationships/hyperlink" Target="http://dev.dashboard.evolvesolar.com/my-commissions.php?user_id=974&amp;payweek=2015-02-06" TargetMode="External"/><Relationship Id="rId436" Type="http://schemas.openxmlformats.org/officeDocument/2006/relationships/hyperlink" Target="http://dev.dashboard.evolvesolar.com/my-commissions.php?user_id=28&amp;payweek=2015-01-15" TargetMode="External"/><Relationship Id="rId643" Type="http://schemas.openxmlformats.org/officeDocument/2006/relationships/hyperlink" Target="http://dev.dashboard.evolvesolar.com/my-commissions.php?user_id=690&amp;payweek=2015-01-06" TargetMode="External"/><Relationship Id="rId1066" Type="http://schemas.openxmlformats.org/officeDocument/2006/relationships/hyperlink" Target="http://dev.dashboard.evolvesolar.com/my-commissions.php?user_id=600&amp;payweek=2014-12-12" TargetMode="External"/><Relationship Id="rId1273" Type="http://schemas.openxmlformats.org/officeDocument/2006/relationships/hyperlink" Target="http://dev.dashboard.evolvesolar.com/my-commissions.php?user_id=626&amp;payweek=2014-11-25" TargetMode="External"/><Relationship Id="rId1480" Type="http://schemas.openxmlformats.org/officeDocument/2006/relationships/hyperlink" Target="http://dev.dashboard.evolvesolar.com/my-commissions.php?user_id=295&amp;payweek=2014-11-14" TargetMode="External"/><Relationship Id="rId2117" Type="http://schemas.openxmlformats.org/officeDocument/2006/relationships/hyperlink" Target="http://dev.dashboard.evolvesolar.com/my-commissions.php?user_id=472&amp;payweek=2014-10-10" TargetMode="External"/><Relationship Id="rId2324" Type="http://schemas.openxmlformats.org/officeDocument/2006/relationships/hyperlink" Target="http://dev.dashboard.evolvesolar.com/my-commissions.php?user_id=438&amp;payweek=2014-09-25" TargetMode="External"/><Relationship Id="rId3722" Type="http://schemas.openxmlformats.org/officeDocument/2006/relationships/hyperlink" Target="http://dev.dashboard.evolvesolar.com/my-commissions.php?user_id=79&amp;payweek=2014-06-06" TargetMode="External"/><Relationship Id="rId850" Type="http://schemas.openxmlformats.org/officeDocument/2006/relationships/hyperlink" Target="http://dev.dashboard.evolvesolar.com/my-commissions.php?user_id=648&amp;payweek=2014-12-26" TargetMode="External"/><Relationship Id="rId1133" Type="http://schemas.openxmlformats.org/officeDocument/2006/relationships/hyperlink" Target="http://dev.dashboard.evolvesolar.com/my-commissions.php?user_id=410&amp;payweek=2014-12-05" TargetMode="External"/><Relationship Id="rId2531" Type="http://schemas.openxmlformats.org/officeDocument/2006/relationships/hyperlink" Target="http://dev.dashboard.evolvesolar.com/my-commissions.php?user_id=422&amp;payweek=2014-09-12" TargetMode="External"/><Relationship Id="rId503" Type="http://schemas.openxmlformats.org/officeDocument/2006/relationships/hyperlink" Target="http://dev.dashboard.evolvesolar.com/my-commissions.php?user_id=793&amp;payweek=2015-01-15" TargetMode="External"/><Relationship Id="rId710" Type="http://schemas.openxmlformats.org/officeDocument/2006/relationships/hyperlink" Target="http://dev.dashboard.evolvesolar.com/my-commissions.php?user_id=464&amp;payweek=2014-12-31" TargetMode="External"/><Relationship Id="rId1340" Type="http://schemas.openxmlformats.org/officeDocument/2006/relationships/hyperlink" Target="http://dev.dashboard.evolvesolar.com/my-commissions.php?user_id=282&amp;payweek=2014-11-21" TargetMode="External"/><Relationship Id="rId3098" Type="http://schemas.openxmlformats.org/officeDocument/2006/relationships/hyperlink" Target="http://dev.dashboard.evolvesolar.com/my-commissions.php?user_id=232&amp;payweek=2014-08-07" TargetMode="External"/><Relationship Id="rId1200" Type="http://schemas.openxmlformats.org/officeDocument/2006/relationships/hyperlink" Target="http://dev.dashboard.evolvesolar.com/my-commissions.php?user_id=844&amp;payweek=2014-12-05" TargetMode="External"/><Relationship Id="rId3165" Type="http://schemas.openxmlformats.org/officeDocument/2006/relationships/hyperlink" Target="http://dev.dashboard.evolvesolar.com/my-commissions.php?user_id=134&amp;payweek=2014-07-31" TargetMode="External"/><Relationship Id="rId3372" Type="http://schemas.openxmlformats.org/officeDocument/2006/relationships/hyperlink" Target="http://dev.dashboard.evolvesolar.com/my-commissions.php?user_id=41&amp;payweek=2014-07-11" TargetMode="External"/><Relationship Id="rId4009" Type="http://schemas.openxmlformats.org/officeDocument/2006/relationships/hyperlink" Target="http://dev.dashboard.evolvesolar.com/my-commissions.php?user_id=85&amp;payweek=2014-04-17" TargetMode="External"/><Relationship Id="rId293" Type="http://schemas.openxmlformats.org/officeDocument/2006/relationships/hyperlink" Target="http://dev.dashboard.evolvesolar.com/my-commissions.php?user_id=679&amp;payweek=2015-01-30" TargetMode="External"/><Relationship Id="rId2181" Type="http://schemas.openxmlformats.org/officeDocument/2006/relationships/hyperlink" Target="http://dev.dashboard.evolvesolar.com/my-commissions.php?user_id=326&amp;payweek=2014-10-06" TargetMode="External"/><Relationship Id="rId3025" Type="http://schemas.openxmlformats.org/officeDocument/2006/relationships/hyperlink" Target="http://dev.dashboard.evolvesolar.com/my-commissions.php?user_id=153&amp;payweek=2014-08-08" TargetMode="External"/><Relationship Id="rId3232" Type="http://schemas.openxmlformats.org/officeDocument/2006/relationships/hyperlink" Target="http://dev.dashboard.evolvesolar.com/my-commissions.php?user_id=99&amp;payweek=2014-07-25" TargetMode="External"/><Relationship Id="rId153" Type="http://schemas.openxmlformats.org/officeDocument/2006/relationships/hyperlink" Target="http://dev.dashboard.evolvesolar.com/my-commissions.php?user_id=614&amp;payweek=2015-02-06" TargetMode="External"/><Relationship Id="rId360" Type="http://schemas.openxmlformats.org/officeDocument/2006/relationships/hyperlink" Target="http://dev.dashboard.evolvesolar.com/my-commissions.php?user_id=147&amp;payweek=2015-01-23" TargetMode="External"/><Relationship Id="rId2041" Type="http://schemas.openxmlformats.org/officeDocument/2006/relationships/hyperlink" Target="http://dev.dashboard.evolvesolar.com/my-commissions.php?user_id=680&amp;payweek=2014-10-17" TargetMode="External"/><Relationship Id="rId220" Type="http://schemas.openxmlformats.org/officeDocument/2006/relationships/hyperlink" Target="http://dev.dashboard.evolvesolar.com/my-commissions.php?user_id=957&amp;payweek=2015-02-06" TargetMode="External"/><Relationship Id="rId2998" Type="http://schemas.openxmlformats.org/officeDocument/2006/relationships/hyperlink" Target="http://dev.dashboard.evolvesolar.com/my-commissions.php?user_id=324&amp;payweek=2014-08-14" TargetMode="External"/><Relationship Id="rId2858" Type="http://schemas.openxmlformats.org/officeDocument/2006/relationships/hyperlink" Target="http://dev.dashboard.evolvesolar.com/my-commissions.php?user_id=260&amp;payweek=2014-08-22" TargetMode="External"/><Relationship Id="rId3909" Type="http://schemas.openxmlformats.org/officeDocument/2006/relationships/hyperlink" Target="http://dev.dashboard.evolvesolar.com/my-commissions.php?user_id=54&amp;payweek=2014-05-12" TargetMode="External"/><Relationship Id="rId4073" Type="http://schemas.openxmlformats.org/officeDocument/2006/relationships/hyperlink" Target="http://dev.dashboard.evolvesolar.com/my-commissions.php?user_id=105&amp;payweek=2014-03-21" TargetMode="External"/><Relationship Id="rId99" Type="http://schemas.openxmlformats.org/officeDocument/2006/relationships/hyperlink" Target="http://dev.dashboard.evolvesolar.com/my-commissions.php?user_id=378&amp;payweek=2015-02-06" TargetMode="External"/><Relationship Id="rId1667" Type="http://schemas.openxmlformats.org/officeDocument/2006/relationships/hyperlink" Target="http://dev.dashboard.evolvesolar.com/my-commissions.php?user_id=593&amp;payweek=2014-11-07" TargetMode="External"/><Relationship Id="rId1874" Type="http://schemas.openxmlformats.org/officeDocument/2006/relationships/hyperlink" Target="http://dev.dashboard.evolvesolar.com/my-commissions.php?user_id=576&amp;payweek=2014-10-24" TargetMode="External"/><Relationship Id="rId2718" Type="http://schemas.openxmlformats.org/officeDocument/2006/relationships/hyperlink" Target="http://dev.dashboard.evolvesolar.com/my-commissions.php?user_id=329&amp;payweek=2014-08-29" TargetMode="External"/><Relationship Id="rId2925" Type="http://schemas.openxmlformats.org/officeDocument/2006/relationships/hyperlink" Target="http://dev.dashboard.evolvesolar.com/my-commissions.php?user_id=41&amp;payweek=2014-08-15" TargetMode="External"/><Relationship Id="rId1527" Type="http://schemas.openxmlformats.org/officeDocument/2006/relationships/hyperlink" Target="http://dev.dashboard.evolvesolar.com/my-commissions.php?user_id=646&amp;payweek=2014-11-14" TargetMode="External"/><Relationship Id="rId1734" Type="http://schemas.openxmlformats.org/officeDocument/2006/relationships/hyperlink" Target="http://dev.dashboard.evolvesolar.com/my-commissions.php?user_id=261&amp;payweek=2014-10-31" TargetMode="External"/><Relationship Id="rId1941" Type="http://schemas.openxmlformats.org/officeDocument/2006/relationships/hyperlink" Target="http://dev.dashboard.evolvesolar.com/my-commissions.php?user_id=679&amp;payweek=2014-10-20" TargetMode="External"/><Relationship Id="rId26" Type="http://schemas.openxmlformats.org/officeDocument/2006/relationships/hyperlink" Target="http://dev.dashboard.evolvesolar.com/my-commissions.php?user_id=110&amp;payweek=2015-02-06" TargetMode="External"/><Relationship Id="rId3699" Type="http://schemas.openxmlformats.org/officeDocument/2006/relationships/hyperlink" Target="http://dev.dashboard.evolvesolar.com/my-commissions.php?user_id=27&amp;payweek=2014-06-06" TargetMode="External"/><Relationship Id="rId4000" Type="http://schemas.openxmlformats.org/officeDocument/2006/relationships/hyperlink" Target="http://dev.dashboard.evolvesolar.com/my-commissions.php?user_id=79&amp;payweek=2014-04-18" TargetMode="External"/><Relationship Id="rId1801" Type="http://schemas.openxmlformats.org/officeDocument/2006/relationships/hyperlink" Target="http://dev.dashboard.evolvesolar.com/my-commissions.php?user_id=635&amp;payweek=2014-10-31" TargetMode="External"/><Relationship Id="rId3559" Type="http://schemas.openxmlformats.org/officeDocument/2006/relationships/hyperlink" Target="http://dev.dashboard.evolvesolar.com/my-commissions.php?user_id=138&amp;payweek=2014-06-20" TargetMode="External"/><Relationship Id="rId687" Type="http://schemas.openxmlformats.org/officeDocument/2006/relationships/hyperlink" Target="http://dev.dashboard.evolvesolar.com/my-commissions.php?user_id=295&amp;payweek=2014-12-31" TargetMode="External"/><Relationship Id="rId2368" Type="http://schemas.openxmlformats.org/officeDocument/2006/relationships/hyperlink" Target="http://dev.dashboard.evolvesolar.com/my-commissions.php?user_id=379&amp;payweek=2014-09-22" TargetMode="External"/><Relationship Id="rId3766" Type="http://schemas.openxmlformats.org/officeDocument/2006/relationships/hyperlink" Target="http://dev.dashboard.evolvesolar.com/my-commissions.php?user_id=139&amp;payweek=2014-06-06" TargetMode="External"/><Relationship Id="rId3973" Type="http://schemas.openxmlformats.org/officeDocument/2006/relationships/hyperlink" Target="http://dev.dashboard.evolvesolar.com/my-commissions.php?user_id=113&amp;payweek=2014-04-25" TargetMode="External"/><Relationship Id="rId894" Type="http://schemas.openxmlformats.org/officeDocument/2006/relationships/hyperlink" Target="http://dev.dashboard.evolvesolar.com/my-commissions.php?user_id=37&amp;payweek=2014-12-22" TargetMode="External"/><Relationship Id="rId1177" Type="http://schemas.openxmlformats.org/officeDocument/2006/relationships/hyperlink" Target="http://dev.dashboard.evolvesolar.com/my-commissions.php?user_id=714&amp;payweek=2014-12-05" TargetMode="External"/><Relationship Id="rId2575" Type="http://schemas.openxmlformats.org/officeDocument/2006/relationships/hyperlink" Target="http://dev.dashboard.evolvesolar.com/my-commissions.php?user_id=282&amp;payweek=2014-09-09" TargetMode="External"/><Relationship Id="rId2782" Type="http://schemas.openxmlformats.org/officeDocument/2006/relationships/hyperlink" Target="http://dev.dashboard.evolvesolar.com/my-commissions.php?user_id=328&amp;payweek=2014-08-28" TargetMode="External"/><Relationship Id="rId3419" Type="http://schemas.openxmlformats.org/officeDocument/2006/relationships/hyperlink" Target="http://dev.dashboard.evolvesolar.com/my-commissions.php?user_id=218&amp;payweek=2014-07-11" TargetMode="External"/><Relationship Id="rId3626" Type="http://schemas.openxmlformats.org/officeDocument/2006/relationships/hyperlink" Target="http://dev.dashboard.evolvesolar.com/my-commissions.php?user_id=45&amp;payweek=2014-06-13" TargetMode="External"/><Relationship Id="rId3833" Type="http://schemas.openxmlformats.org/officeDocument/2006/relationships/hyperlink" Target="http://dev.dashboard.evolvesolar.com/my-commissions.php?user_id=37&amp;payweek=2014-05-23" TargetMode="External"/><Relationship Id="rId547" Type="http://schemas.openxmlformats.org/officeDocument/2006/relationships/hyperlink" Target="http://dev.dashboard.evolvesolar.com/my-commissions.php?user_id=321&amp;payweek=2015-01-09" TargetMode="External"/><Relationship Id="rId754" Type="http://schemas.openxmlformats.org/officeDocument/2006/relationships/hyperlink" Target="http://dev.dashboard.evolvesolar.com/my-commissions.php?user_id=41&amp;payweek=2014-12-26" TargetMode="External"/><Relationship Id="rId961" Type="http://schemas.openxmlformats.org/officeDocument/2006/relationships/hyperlink" Target="http://dev.dashboard.evolvesolar.com/my-commissions.php?user_id=261&amp;payweek=2014-12-19" TargetMode="External"/><Relationship Id="rId1384" Type="http://schemas.openxmlformats.org/officeDocument/2006/relationships/hyperlink" Target="http://dev.dashboard.evolvesolar.com/my-commissions.php?user_id=646&amp;payweek=2014-11-21" TargetMode="External"/><Relationship Id="rId1591" Type="http://schemas.openxmlformats.org/officeDocument/2006/relationships/hyperlink" Target="http://dev.dashboard.evolvesolar.com/my-commissions.php?user_id=788&amp;payweek=2014-11-10" TargetMode="External"/><Relationship Id="rId2228" Type="http://schemas.openxmlformats.org/officeDocument/2006/relationships/hyperlink" Target="http://dev.dashboard.evolvesolar.com/my-commissions.php?user_id=77&amp;payweek=2014-10-03" TargetMode="External"/><Relationship Id="rId2435" Type="http://schemas.openxmlformats.org/officeDocument/2006/relationships/hyperlink" Target="http://dev.dashboard.evolvesolar.com/my-commissions.php?user_id=550&amp;payweek=2014-09-19" TargetMode="External"/><Relationship Id="rId2642" Type="http://schemas.openxmlformats.org/officeDocument/2006/relationships/hyperlink" Target="http://dev.dashboard.evolvesolar.com/my-commissions.php?user_id=230&amp;payweek=2014-09-04" TargetMode="External"/><Relationship Id="rId3900" Type="http://schemas.openxmlformats.org/officeDocument/2006/relationships/hyperlink" Target="http://dev.dashboard.evolvesolar.com/my-commissions.php?user_id=113&amp;payweek=2014-05-16" TargetMode="External"/><Relationship Id="rId90" Type="http://schemas.openxmlformats.org/officeDocument/2006/relationships/hyperlink" Target="http://dev.dashboard.evolvesolar.com/my-commissions.php?user_id=325&amp;payweek=2015-02-06" TargetMode="External"/><Relationship Id="rId407" Type="http://schemas.openxmlformats.org/officeDocument/2006/relationships/hyperlink" Target="http://dev.dashboard.evolvesolar.com/my-commissions.php?user_id=679&amp;payweek=2015-01-23" TargetMode="External"/><Relationship Id="rId614" Type="http://schemas.openxmlformats.org/officeDocument/2006/relationships/hyperlink" Target="http://dev.dashboard.evolvesolar.com/my-commissions.php?user_id=702&amp;payweek=2015-01-09" TargetMode="External"/><Relationship Id="rId821" Type="http://schemas.openxmlformats.org/officeDocument/2006/relationships/hyperlink" Target="http://dev.dashboard.evolvesolar.com/my-commissions.php?user_id=468&amp;payweek=2014-12-26" TargetMode="External"/><Relationship Id="rId1037" Type="http://schemas.openxmlformats.org/officeDocument/2006/relationships/hyperlink" Target="http://dev.dashboard.evolvesolar.com/my-commissions.php?user_id=355&amp;payweek=2014-12-12" TargetMode="External"/><Relationship Id="rId1244" Type="http://schemas.openxmlformats.org/officeDocument/2006/relationships/hyperlink" Target="http://dev.dashboard.evolvesolar.com/my-commissions.php?user_id=854&amp;payweek=2014-11-28" TargetMode="External"/><Relationship Id="rId1451" Type="http://schemas.openxmlformats.org/officeDocument/2006/relationships/hyperlink" Target="http://dev.dashboard.evolvesolar.com/my-commissions.php?user_id=139&amp;payweek=2014-11-14" TargetMode="External"/><Relationship Id="rId2502" Type="http://schemas.openxmlformats.org/officeDocument/2006/relationships/hyperlink" Target="http://dev.dashboard.evolvesolar.com/my-commissions.php?user_id=358&amp;payweek=2014-09-12" TargetMode="External"/><Relationship Id="rId1104" Type="http://schemas.openxmlformats.org/officeDocument/2006/relationships/hyperlink" Target="http://dev.dashboard.evolvesolar.com/my-commissions.php?user_id=714&amp;payweek=2014-12-10" TargetMode="External"/><Relationship Id="rId1311" Type="http://schemas.openxmlformats.org/officeDocument/2006/relationships/hyperlink" Target="http://dev.dashboard.evolvesolar.com/my-commissions.php?user_id=28&amp;payweek=2014-11-21" TargetMode="External"/><Relationship Id="rId3069" Type="http://schemas.openxmlformats.org/officeDocument/2006/relationships/hyperlink" Target="http://dev.dashboard.evolvesolar.com/my-commissions.php?user_id=37&amp;payweek=2014-08-07" TargetMode="External"/><Relationship Id="rId3276" Type="http://schemas.openxmlformats.org/officeDocument/2006/relationships/hyperlink" Target="http://dev.dashboard.evolvesolar.com/my-commissions.php?user_id=236&amp;payweek=2014-07-25" TargetMode="External"/><Relationship Id="rId3483" Type="http://schemas.openxmlformats.org/officeDocument/2006/relationships/hyperlink" Target="http://dev.dashboard.evolvesolar.com/my-commissions.php?user_id=67&amp;payweek=2014-06-27" TargetMode="External"/><Relationship Id="rId3690" Type="http://schemas.openxmlformats.org/officeDocument/2006/relationships/hyperlink" Target="http://dev.dashboard.evolvesolar.com/my-commissions.php?user_id=150&amp;payweek=2014-06-13" TargetMode="External"/><Relationship Id="rId197" Type="http://schemas.openxmlformats.org/officeDocument/2006/relationships/hyperlink" Target="http://dev.dashboard.evolvesolar.com/my-commissions.php?user_id=894&amp;payweek=2015-02-06" TargetMode="External"/><Relationship Id="rId2085" Type="http://schemas.openxmlformats.org/officeDocument/2006/relationships/hyperlink" Target="http://dev.dashboard.evolvesolar.com/my-commissions.php?user_id=285&amp;payweek=2014-10-10" TargetMode="External"/><Relationship Id="rId2292" Type="http://schemas.openxmlformats.org/officeDocument/2006/relationships/hyperlink" Target="http://dev.dashboard.evolvesolar.com/my-commissions.php?user_id=261&amp;payweek=2014-09-25" TargetMode="External"/><Relationship Id="rId3136" Type="http://schemas.openxmlformats.org/officeDocument/2006/relationships/hyperlink" Target="http://dev.dashboard.evolvesolar.com/my-commissions.php?user_id=224&amp;payweek=2014-08-02" TargetMode="External"/><Relationship Id="rId3343" Type="http://schemas.openxmlformats.org/officeDocument/2006/relationships/hyperlink" Target="http://dev.dashboard.evolvesolar.com/my-commissions.php?user_id=224&amp;payweek=2014-07-18" TargetMode="External"/><Relationship Id="rId264" Type="http://schemas.openxmlformats.org/officeDocument/2006/relationships/hyperlink" Target="http://dev.dashboard.evolvesolar.com/my-commissions.php?user_id=355&amp;payweek=2015-01-30" TargetMode="External"/><Relationship Id="rId471" Type="http://schemas.openxmlformats.org/officeDocument/2006/relationships/hyperlink" Target="http://dev.dashboard.evolvesolar.com/my-commissions.php?user_id=580&amp;payweek=2015-01-15" TargetMode="External"/><Relationship Id="rId2152" Type="http://schemas.openxmlformats.org/officeDocument/2006/relationships/hyperlink" Target="http://dev.dashboard.evolvesolar.com/my-commissions.php?user_id=652&amp;payweek=2014-10-10" TargetMode="External"/><Relationship Id="rId3550" Type="http://schemas.openxmlformats.org/officeDocument/2006/relationships/hyperlink" Target="http://dev.dashboard.evolvesolar.com/my-commissions.php?user_id=112&amp;payweek=2014-06-20" TargetMode="External"/><Relationship Id="rId124" Type="http://schemas.openxmlformats.org/officeDocument/2006/relationships/hyperlink" Target="http://dev.dashboard.evolvesolar.com/my-commissions.php?user_id=465&amp;payweek=2015-02-06" TargetMode="External"/><Relationship Id="rId3203" Type="http://schemas.openxmlformats.org/officeDocument/2006/relationships/hyperlink" Target="http://dev.dashboard.evolvesolar.com/my-commissions.php?user_id=234&amp;payweek=2014-07-31" TargetMode="External"/><Relationship Id="rId3410" Type="http://schemas.openxmlformats.org/officeDocument/2006/relationships/hyperlink" Target="http://dev.dashboard.evolvesolar.com/my-commissions.php?user_id=202&amp;payweek=2014-07-11" TargetMode="External"/><Relationship Id="rId331" Type="http://schemas.openxmlformats.org/officeDocument/2006/relationships/hyperlink" Target="http://dev.dashboard.evolvesolar.com/my-commissions.php?user_id=906&amp;payweek=2015-01-30" TargetMode="External"/><Relationship Id="rId2012" Type="http://schemas.openxmlformats.org/officeDocument/2006/relationships/hyperlink" Target="http://dev.dashboard.evolvesolar.com/my-commissions.php?user_id=458&amp;payweek=2014-10-17" TargetMode="External"/><Relationship Id="rId2969" Type="http://schemas.openxmlformats.org/officeDocument/2006/relationships/hyperlink" Target="http://dev.dashboard.evolvesolar.com/my-commissions.php?user_id=189&amp;payweek=2014-08-14" TargetMode="External"/><Relationship Id="rId1778" Type="http://schemas.openxmlformats.org/officeDocument/2006/relationships/hyperlink" Target="http://dev.dashboard.evolvesolar.com/my-commissions.php?user_id=477&amp;payweek=2014-10-31" TargetMode="External"/><Relationship Id="rId1985" Type="http://schemas.openxmlformats.org/officeDocument/2006/relationships/hyperlink" Target="http://dev.dashboard.evolvesolar.com/my-commissions.php?user_id=261&amp;payweek=2014-10-17" TargetMode="External"/><Relationship Id="rId2829" Type="http://schemas.openxmlformats.org/officeDocument/2006/relationships/hyperlink" Target="http://dev.dashboard.evolvesolar.com/my-commissions.php?user_id=227&amp;payweek=2014-08-22" TargetMode="External"/><Relationship Id="rId1638" Type="http://schemas.openxmlformats.org/officeDocument/2006/relationships/hyperlink" Target="http://dev.dashboard.evolvesolar.com/my-commissions.php?user_id=392&amp;payweek=2014-11-07" TargetMode="External"/><Relationship Id="rId4044" Type="http://schemas.openxmlformats.org/officeDocument/2006/relationships/hyperlink" Target="http://dev.dashboard.evolvesolar.com/my-commissions.php?user_id=100&amp;payweek=2014-04-07" TargetMode="External"/><Relationship Id="rId1845" Type="http://schemas.openxmlformats.org/officeDocument/2006/relationships/hyperlink" Target="http://dev.dashboard.evolvesolar.com/my-commissions.php?user_id=269&amp;payweek=2014-10-24" TargetMode="External"/><Relationship Id="rId3060" Type="http://schemas.openxmlformats.org/officeDocument/2006/relationships/hyperlink" Target="http://dev.dashboard.evolvesolar.com/my-commissions.php?user_id=322&amp;payweek=2014-08-08" TargetMode="External"/><Relationship Id="rId4111" Type="http://schemas.openxmlformats.org/officeDocument/2006/relationships/hyperlink" Target="http://dev.dashboard.evolvesolar.com/my-commissions.php?user_id=692&amp;payweek=2013-12-23" TargetMode="External"/><Relationship Id="rId1705" Type="http://schemas.openxmlformats.org/officeDocument/2006/relationships/hyperlink" Target="http://dev.dashboard.evolvesolar.com/my-commissions.php?user_id=715&amp;payweek=2014-11-07" TargetMode="External"/><Relationship Id="rId1912" Type="http://schemas.openxmlformats.org/officeDocument/2006/relationships/hyperlink" Target="http://dev.dashboard.evolvesolar.com/my-commissions.php?user_id=675&amp;payweek=2014-10-24" TargetMode="External"/><Relationship Id="rId3877" Type="http://schemas.openxmlformats.org/officeDocument/2006/relationships/hyperlink" Target="http://dev.dashboard.evolvesolar.com/my-commissions.php?user_id=146&amp;payweek=2014-05-23" TargetMode="External"/><Relationship Id="rId798" Type="http://schemas.openxmlformats.org/officeDocument/2006/relationships/hyperlink" Target="http://dev.dashboard.evolvesolar.com/my-commissions.php?user_id=343&amp;payweek=2014-12-26" TargetMode="External"/><Relationship Id="rId2479" Type="http://schemas.openxmlformats.org/officeDocument/2006/relationships/hyperlink" Target="http://dev.dashboard.evolvesolar.com/my-commissions.php?user_id=268&amp;payweek=2014-09-12" TargetMode="External"/><Relationship Id="rId2686" Type="http://schemas.openxmlformats.org/officeDocument/2006/relationships/hyperlink" Target="http://dev.dashboard.evolvesolar.com/my-commissions.php?user_id=46&amp;payweek=2014-08-29" TargetMode="External"/><Relationship Id="rId2893" Type="http://schemas.openxmlformats.org/officeDocument/2006/relationships/hyperlink" Target="http://dev.dashboard.evolvesolar.com/my-commissions.php?user_id=404&amp;payweek=2014-08-22" TargetMode="External"/><Relationship Id="rId3737" Type="http://schemas.openxmlformats.org/officeDocument/2006/relationships/hyperlink" Target="http://dev.dashboard.evolvesolar.com/my-commissions.php?user_id=104&amp;payweek=2014-06-06" TargetMode="External"/><Relationship Id="rId3944" Type="http://schemas.openxmlformats.org/officeDocument/2006/relationships/hyperlink" Target="http://dev.dashboard.evolvesolar.com/my-commissions.php?user_id=79&amp;payweek=2014-05-03" TargetMode="External"/><Relationship Id="rId658" Type="http://schemas.openxmlformats.org/officeDocument/2006/relationships/hyperlink" Target="http://dev.dashboard.evolvesolar.com/my-commissions.php?user_id=94&amp;payweek=2014-12-31" TargetMode="External"/><Relationship Id="rId865" Type="http://schemas.openxmlformats.org/officeDocument/2006/relationships/hyperlink" Target="http://dev.dashboard.evolvesolar.com/my-commissions.php?user_id=696&amp;payweek=2014-12-26" TargetMode="External"/><Relationship Id="rId1288" Type="http://schemas.openxmlformats.org/officeDocument/2006/relationships/hyperlink" Target="http://dev.dashboard.evolvesolar.com/my-commissions.php?user_id=714&amp;payweek=2014-11-25" TargetMode="External"/><Relationship Id="rId1495" Type="http://schemas.openxmlformats.org/officeDocument/2006/relationships/hyperlink" Target="http://dev.dashboard.evolvesolar.com/my-commissions.php?user_id=382&amp;payweek=2014-11-14" TargetMode="External"/><Relationship Id="rId2339" Type="http://schemas.openxmlformats.org/officeDocument/2006/relationships/hyperlink" Target="http://dev.dashboard.evolvesolar.com/my-commissions.php?user_id=551&amp;payweek=2014-09-25" TargetMode="External"/><Relationship Id="rId2546" Type="http://schemas.openxmlformats.org/officeDocument/2006/relationships/hyperlink" Target="http://dev.dashboard.evolvesolar.com/my-commissions.php?user_id=530&amp;payweek=2014-09-12" TargetMode="External"/><Relationship Id="rId2753" Type="http://schemas.openxmlformats.org/officeDocument/2006/relationships/hyperlink" Target="http://dev.dashboard.evolvesolar.com/my-commissions.php?user_id=152&amp;payweek=2014-08-28" TargetMode="External"/><Relationship Id="rId2960" Type="http://schemas.openxmlformats.org/officeDocument/2006/relationships/hyperlink" Target="http://dev.dashboard.evolvesolar.com/my-commissions.php?user_id=285&amp;payweek=2014-08-15" TargetMode="External"/><Relationship Id="rId3804" Type="http://schemas.openxmlformats.org/officeDocument/2006/relationships/hyperlink" Target="http://dev.dashboard.evolvesolar.com/my-commissions.php?user_id=104&amp;payweek=2014-05-30" TargetMode="External"/><Relationship Id="rId518" Type="http://schemas.openxmlformats.org/officeDocument/2006/relationships/hyperlink" Target="http://dev.dashboard.evolvesolar.com/my-commissions.php?user_id=41&amp;payweek=2015-01-09" TargetMode="External"/><Relationship Id="rId725" Type="http://schemas.openxmlformats.org/officeDocument/2006/relationships/hyperlink" Target="http://dev.dashboard.evolvesolar.com/my-commissions.php?user_id=607&amp;payweek=2014-12-31" TargetMode="External"/><Relationship Id="rId932" Type="http://schemas.openxmlformats.org/officeDocument/2006/relationships/hyperlink" Target="http://dev.dashboard.evolvesolar.com/my-commissions.php?user_id=699&amp;payweek=2014-12-22" TargetMode="External"/><Relationship Id="rId1148" Type="http://schemas.openxmlformats.org/officeDocument/2006/relationships/hyperlink" Target="http://dev.dashboard.evolvesolar.com/my-commissions.php?user_id=626&amp;payweek=2014-12-05" TargetMode="External"/><Relationship Id="rId1355" Type="http://schemas.openxmlformats.org/officeDocument/2006/relationships/hyperlink" Target="http://dev.dashboard.evolvesolar.com/my-commissions.php?user_id=383&amp;payweek=2014-11-21" TargetMode="External"/><Relationship Id="rId1562" Type="http://schemas.openxmlformats.org/officeDocument/2006/relationships/hyperlink" Target="http://dev.dashboard.evolvesolar.com/my-commissions.php?user_id=726&amp;payweek=2014-11-14" TargetMode="External"/><Relationship Id="rId2406" Type="http://schemas.openxmlformats.org/officeDocument/2006/relationships/hyperlink" Target="http://dev.dashboard.evolvesolar.com/my-commissions.php?user_id=282&amp;payweek=2014-09-19" TargetMode="External"/><Relationship Id="rId2613" Type="http://schemas.openxmlformats.org/officeDocument/2006/relationships/hyperlink" Target="http://dev.dashboard.evolvesolar.com/my-commissions.php?user_id=438&amp;payweek=2014-09-05" TargetMode="External"/><Relationship Id="rId1008" Type="http://schemas.openxmlformats.org/officeDocument/2006/relationships/hyperlink" Target="http://dev.dashboard.evolvesolar.com/my-commissions.php?user_id=149&amp;payweek=2014-12-12" TargetMode="External"/><Relationship Id="rId1215" Type="http://schemas.openxmlformats.org/officeDocument/2006/relationships/hyperlink" Target="http://dev.dashboard.evolvesolar.com/my-commissions.php?user_id=355&amp;payweek=2014-11-28" TargetMode="External"/><Relationship Id="rId1422" Type="http://schemas.openxmlformats.org/officeDocument/2006/relationships/hyperlink" Target="http://dev.dashboard.evolvesolar.com/my-commissions.php?user_id=807&amp;payweek=2014-11-21" TargetMode="External"/><Relationship Id="rId2820" Type="http://schemas.openxmlformats.org/officeDocument/2006/relationships/hyperlink" Target="http://dev.dashboard.evolvesolar.com/my-commissions.php?user_id=211&amp;payweek=2014-08-22" TargetMode="External"/><Relationship Id="rId61" Type="http://schemas.openxmlformats.org/officeDocument/2006/relationships/hyperlink" Target="http://dev.dashboard.evolvesolar.com/my-commissions.php?user_id=222&amp;payweek=2015-02-06" TargetMode="External"/><Relationship Id="rId3387" Type="http://schemas.openxmlformats.org/officeDocument/2006/relationships/hyperlink" Target="http://dev.dashboard.evolvesolar.com/my-commissions.php?user_id=110&amp;payweek=2014-07-11" TargetMode="External"/><Relationship Id="rId2196" Type="http://schemas.openxmlformats.org/officeDocument/2006/relationships/hyperlink" Target="http://dev.dashboard.evolvesolar.com/my-commissions.php?user_id=389&amp;payweek=2014-10-06" TargetMode="External"/><Relationship Id="rId3594" Type="http://schemas.openxmlformats.org/officeDocument/2006/relationships/hyperlink" Target="http://dev.dashboard.evolvesolar.com/my-commissions.php?user_id=184&amp;payweek=2014-06-20" TargetMode="External"/><Relationship Id="rId168" Type="http://schemas.openxmlformats.org/officeDocument/2006/relationships/hyperlink" Target="http://dev.dashboard.evolvesolar.com/my-commissions.php?user_id=687&amp;payweek=2015-02-06" TargetMode="External"/><Relationship Id="rId3247" Type="http://schemas.openxmlformats.org/officeDocument/2006/relationships/hyperlink" Target="http://dev.dashboard.evolvesolar.com/my-commissions.php?user_id=156&amp;payweek=2014-07-25" TargetMode="External"/><Relationship Id="rId3454" Type="http://schemas.openxmlformats.org/officeDocument/2006/relationships/hyperlink" Target="http://dev.dashboard.evolvesolar.com/my-commissions.php?user_id=218&amp;payweek=2014-07-04" TargetMode="External"/><Relationship Id="rId3661" Type="http://schemas.openxmlformats.org/officeDocument/2006/relationships/hyperlink" Target="http://dev.dashboard.evolvesolar.com/my-commissions.php?user_id=116&amp;payweek=2014-06-13" TargetMode="External"/><Relationship Id="rId375" Type="http://schemas.openxmlformats.org/officeDocument/2006/relationships/hyperlink" Target="http://dev.dashboard.evolvesolar.com/my-commissions.php?user_id=326&amp;payweek=2015-01-23" TargetMode="External"/><Relationship Id="rId582" Type="http://schemas.openxmlformats.org/officeDocument/2006/relationships/hyperlink" Target="http://dev.dashboard.evolvesolar.com/my-commissions.php?user_id=475&amp;payweek=2015-01-09" TargetMode="External"/><Relationship Id="rId2056" Type="http://schemas.openxmlformats.org/officeDocument/2006/relationships/hyperlink" Target="http://dev.dashboard.evolvesolar.com/my-commissions.php?user_id=649&amp;payweek=2014-10-14" TargetMode="External"/><Relationship Id="rId2263" Type="http://schemas.openxmlformats.org/officeDocument/2006/relationships/hyperlink" Target="http://dev.dashboard.evolvesolar.com/my-commissions.php?user_id=334&amp;payweek=2014-09-29" TargetMode="External"/><Relationship Id="rId2470" Type="http://schemas.openxmlformats.org/officeDocument/2006/relationships/hyperlink" Target="http://dev.dashboard.evolvesolar.com/my-commissions.php?user_id=232&amp;payweek=2014-09-12" TargetMode="External"/><Relationship Id="rId3107" Type="http://schemas.openxmlformats.org/officeDocument/2006/relationships/hyperlink" Target="http://dev.dashboard.evolvesolar.com/my-commissions.php?user_id=286&amp;payweek=2014-08-07" TargetMode="External"/><Relationship Id="rId3314" Type="http://schemas.openxmlformats.org/officeDocument/2006/relationships/hyperlink" Target="http://dev.dashboard.evolvesolar.com/my-commissions.php?user_id=110&amp;payweek=2014-07-18" TargetMode="External"/><Relationship Id="rId3521" Type="http://schemas.openxmlformats.org/officeDocument/2006/relationships/hyperlink" Target="http://dev.dashboard.evolvesolar.com/my-commissions.php?user_id=27&amp;payweek=2014-06-20" TargetMode="External"/><Relationship Id="rId235" Type="http://schemas.openxmlformats.org/officeDocument/2006/relationships/hyperlink" Target="http://dev.dashboard.evolvesolar.com/my-commissions.php?user_id=24&amp;payweek=2015-01-30" TargetMode="External"/><Relationship Id="rId442" Type="http://schemas.openxmlformats.org/officeDocument/2006/relationships/hyperlink" Target="http://dev.dashboard.evolvesolar.com/my-commissions.php?user_id=63&amp;payweek=2015-01-15" TargetMode="External"/><Relationship Id="rId1072" Type="http://schemas.openxmlformats.org/officeDocument/2006/relationships/hyperlink" Target="http://dev.dashboard.evolvesolar.com/my-commissions.php?user_id=659&amp;payweek=2014-12-12" TargetMode="External"/><Relationship Id="rId2123" Type="http://schemas.openxmlformats.org/officeDocument/2006/relationships/hyperlink" Target="http://dev.dashboard.evolvesolar.com/my-commissions.php?user_id=574&amp;payweek=2014-10-10" TargetMode="External"/><Relationship Id="rId2330" Type="http://schemas.openxmlformats.org/officeDocument/2006/relationships/hyperlink" Target="http://dev.dashboard.evolvesolar.com/my-commissions.php?user_id=472&amp;payweek=2014-09-25" TargetMode="External"/><Relationship Id="rId302" Type="http://schemas.openxmlformats.org/officeDocument/2006/relationships/hyperlink" Target="http://dev.dashboard.evolvesolar.com/my-commissions.php?user_id=714&amp;payweek=2015-01-30" TargetMode="External"/><Relationship Id="rId4088" Type="http://schemas.openxmlformats.org/officeDocument/2006/relationships/hyperlink" Target="http://dev.dashboard.evolvesolar.com/my-commissions.php?user_id=130&amp;payweek=2014-03-14" TargetMode="External"/><Relationship Id="rId1889" Type="http://schemas.openxmlformats.org/officeDocument/2006/relationships/hyperlink" Target="http://dev.dashboard.evolvesolar.com/my-commissions.php?user_id=606&amp;payweek=2014-10-24" TargetMode="External"/><Relationship Id="rId1749" Type="http://schemas.openxmlformats.org/officeDocument/2006/relationships/hyperlink" Target="http://dev.dashboard.evolvesolar.com/my-commissions.php?user_id=343&amp;payweek=2014-10-31" TargetMode="External"/><Relationship Id="rId1956" Type="http://schemas.openxmlformats.org/officeDocument/2006/relationships/hyperlink" Target="http://dev.dashboard.evolvesolar.com/my-commissions.php?user_id=41&amp;payweek=2014-10-17" TargetMode="External"/><Relationship Id="rId3171" Type="http://schemas.openxmlformats.org/officeDocument/2006/relationships/hyperlink" Target="http://dev.dashboard.evolvesolar.com/my-commissions.php?user_id=141&amp;payweek=2014-07-31" TargetMode="External"/><Relationship Id="rId4015" Type="http://schemas.openxmlformats.org/officeDocument/2006/relationships/hyperlink" Target="http://dev.dashboard.evolvesolar.com/my-commissions.php?user_id=112&amp;payweek=2014-04-17" TargetMode="External"/><Relationship Id="rId1609" Type="http://schemas.openxmlformats.org/officeDocument/2006/relationships/hyperlink" Target="http://dev.dashboard.evolvesolar.com/my-commissions.php?user_id=191&amp;payweek=2014-11-07" TargetMode="External"/><Relationship Id="rId1816" Type="http://schemas.openxmlformats.org/officeDocument/2006/relationships/hyperlink" Target="http://dev.dashboard.evolvesolar.com/my-commissions.php?user_id=680&amp;payweek=2014-10-31" TargetMode="External"/><Relationship Id="rId3031" Type="http://schemas.openxmlformats.org/officeDocument/2006/relationships/hyperlink" Target="http://dev.dashboard.evolvesolar.com/my-commissions.php?user_id=218&amp;payweek=2014-08-08" TargetMode="External"/><Relationship Id="rId3988" Type="http://schemas.openxmlformats.org/officeDocument/2006/relationships/hyperlink" Target="http://dev.dashboard.evolvesolar.com/my-commissions.php?user_id=88&amp;payweek=2014-04-24" TargetMode="External"/><Relationship Id="rId2797" Type="http://schemas.openxmlformats.org/officeDocument/2006/relationships/hyperlink" Target="http://dev.dashboard.evolvesolar.com/my-commissions.php?user_id=379&amp;payweek=2014-08-25" TargetMode="External"/><Relationship Id="rId3848" Type="http://schemas.openxmlformats.org/officeDocument/2006/relationships/hyperlink" Target="http://dev.dashboard.evolvesolar.com/my-commissions.php?user_id=85&amp;payweek=2014-05-23" TargetMode="External"/><Relationship Id="rId769" Type="http://schemas.openxmlformats.org/officeDocument/2006/relationships/hyperlink" Target="http://dev.dashboard.evolvesolar.com/my-commissions.php?user_id=153&amp;payweek=2014-12-26" TargetMode="External"/><Relationship Id="rId976" Type="http://schemas.openxmlformats.org/officeDocument/2006/relationships/hyperlink" Target="http://dev.dashboard.evolvesolar.com/my-commissions.php?user_id=530&amp;payweek=2014-12-19" TargetMode="External"/><Relationship Id="rId1399" Type="http://schemas.openxmlformats.org/officeDocument/2006/relationships/hyperlink" Target="http://dev.dashboard.evolvesolar.com/my-commissions.php?user_id=692&amp;payweek=2014-11-21" TargetMode="External"/><Relationship Id="rId2657" Type="http://schemas.openxmlformats.org/officeDocument/2006/relationships/hyperlink" Target="http://dev.dashboard.evolvesolar.com/my-commissions.php?user_id=269&amp;payweek=2014-09-04" TargetMode="External"/><Relationship Id="rId629" Type="http://schemas.openxmlformats.org/officeDocument/2006/relationships/hyperlink" Target="http://dev.dashboard.evolvesolar.com/my-commissions.php?user_id=809&amp;payweek=2015-01-09" TargetMode="External"/><Relationship Id="rId1259" Type="http://schemas.openxmlformats.org/officeDocument/2006/relationships/hyperlink" Target="http://dev.dashboard.evolvesolar.com/my-commissions.php?user_id=387&amp;payweek=2014-11-25" TargetMode="External"/><Relationship Id="rId1466" Type="http://schemas.openxmlformats.org/officeDocument/2006/relationships/hyperlink" Target="http://dev.dashboard.evolvesolar.com/my-commissions.php?user_id=218&amp;payweek=2014-11-14" TargetMode="External"/><Relationship Id="rId2864" Type="http://schemas.openxmlformats.org/officeDocument/2006/relationships/hyperlink" Target="http://dev.dashboard.evolvesolar.com/my-commissions.php?user_id=276&amp;payweek=2014-08-22" TargetMode="External"/><Relationship Id="rId3708" Type="http://schemas.openxmlformats.org/officeDocument/2006/relationships/hyperlink" Target="http://dev.dashboard.evolvesolar.com/my-commissions.php?user_id=45&amp;payweek=2014-06-06" TargetMode="External"/><Relationship Id="rId3915" Type="http://schemas.openxmlformats.org/officeDocument/2006/relationships/hyperlink" Target="http://dev.dashboard.evolvesolar.com/my-commissions.php?user_id=38&amp;payweek=2014-05-09" TargetMode="External"/><Relationship Id="rId836" Type="http://schemas.openxmlformats.org/officeDocument/2006/relationships/hyperlink" Target="http://dev.dashboard.evolvesolar.com/my-commissions.php?user_id=601&amp;payweek=2014-12-26" TargetMode="External"/><Relationship Id="rId1119" Type="http://schemas.openxmlformats.org/officeDocument/2006/relationships/hyperlink" Target="http://dev.dashboard.evolvesolar.com/my-commissions.php?user_id=218&amp;payweek=2014-12-05" TargetMode="External"/><Relationship Id="rId1673" Type="http://schemas.openxmlformats.org/officeDocument/2006/relationships/hyperlink" Target="http://dev.dashboard.evolvesolar.com/my-commissions.php?user_id=615&amp;payweek=2014-11-07" TargetMode="External"/><Relationship Id="rId1880" Type="http://schemas.openxmlformats.org/officeDocument/2006/relationships/hyperlink" Target="http://dev.dashboard.evolvesolar.com/my-commissions.php?user_id=583&amp;payweek=2014-10-24" TargetMode="External"/><Relationship Id="rId2517" Type="http://schemas.openxmlformats.org/officeDocument/2006/relationships/hyperlink" Target="http://dev.dashboard.evolvesolar.com/my-commissions.php?user_id=397&amp;payweek=2014-09-12" TargetMode="External"/><Relationship Id="rId2724" Type="http://schemas.openxmlformats.org/officeDocument/2006/relationships/hyperlink" Target="http://dev.dashboard.evolvesolar.com/my-commissions.php?user_id=355&amp;payweek=2014-08-29" TargetMode="External"/><Relationship Id="rId2931" Type="http://schemas.openxmlformats.org/officeDocument/2006/relationships/hyperlink" Target="http://dev.dashboard.evolvesolar.com/my-commissions.php?user_id=117&amp;payweek=2014-08-15" TargetMode="External"/><Relationship Id="rId903" Type="http://schemas.openxmlformats.org/officeDocument/2006/relationships/hyperlink" Target="http://dev.dashboard.evolvesolar.com/my-commissions.php?user_id=218&amp;payweek=2014-12-22" TargetMode="External"/><Relationship Id="rId1326" Type="http://schemas.openxmlformats.org/officeDocument/2006/relationships/hyperlink" Target="http://dev.dashboard.evolvesolar.com/my-commissions.php?user_id=202&amp;payweek=2014-11-21" TargetMode="External"/><Relationship Id="rId1533" Type="http://schemas.openxmlformats.org/officeDocument/2006/relationships/hyperlink" Target="http://dev.dashboard.evolvesolar.com/my-commissions.php?user_id=676&amp;payweek=2014-11-14" TargetMode="External"/><Relationship Id="rId1740" Type="http://schemas.openxmlformats.org/officeDocument/2006/relationships/hyperlink" Target="http://dev.dashboard.evolvesolar.com/my-commissions.php?user_id=282&amp;payweek=2014-10-31" TargetMode="External"/><Relationship Id="rId32" Type="http://schemas.openxmlformats.org/officeDocument/2006/relationships/hyperlink" Target="http://dev.dashboard.evolvesolar.com/my-commissions.php?user_id=121&amp;payweek=2015-02-06" TargetMode="External"/><Relationship Id="rId1600" Type="http://schemas.openxmlformats.org/officeDocument/2006/relationships/hyperlink" Target="http://dev.dashboard.evolvesolar.com/my-commissions.php?user_id=63&amp;payweek=2014-11-07" TargetMode="External"/><Relationship Id="rId3498" Type="http://schemas.openxmlformats.org/officeDocument/2006/relationships/hyperlink" Target="http://dev.dashboard.evolvesolar.com/my-commissions.php?user_id=125&amp;payweek=2014-06-27" TargetMode="External"/><Relationship Id="rId3358" Type="http://schemas.openxmlformats.org/officeDocument/2006/relationships/hyperlink" Target="http://dev.dashboard.evolvesolar.com/my-commissions.php?user_id=260&amp;payweek=2014-07-18" TargetMode="External"/><Relationship Id="rId3565" Type="http://schemas.openxmlformats.org/officeDocument/2006/relationships/hyperlink" Target="http://dev.dashboard.evolvesolar.com/my-commissions.php?user_id=141&amp;payweek=2014-06-20" TargetMode="External"/><Relationship Id="rId3772" Type="http://schemas.openxmlformats.org/officeDocument/2006/relationships/hyperlink" Target="http://dev.dashboard.evolvesolar.com/my-commissions.php?user_id=143&amp;payweek=2014-06-06" TargetMode="External"/><Relationship Id="rId279" Type="http://schemas.openxmlformats.org/officeDocument/2006/relationships/hyperlink" Target="http://dev.dashboard.evolvesolar.com/my-commissions.php?user_id=582&amp;payweek=2015-01-30" TargetMode="External"/><Relationship Id="rId486" Type="http://schemas.openxmlformats.org/officeDocument/2006/relationships/hyperlink" Target="http://dev.dashboard.evolvesolar.com/my-commissions.php?user_id=661&amp;payweek=2015-01-15" TargetMode="External"/><Relationship Id="rId693" Type="http://schemas.openxmlformats.org/officeDocument/2006/relationships/hyperlink" Target="http://dev.dashboard.evolvesolar.com/my-commissions.php?user_id=378&amp;payweek=2014-12-31" TargetMode="External"/><Relationship Id="rId2167" Type="http://schemas.openxmlformats.org/officeDocument/2006/relationships/hyperlink" Target="http://dev.dashboard.evolvesolar.com/my-commissions.php?user_id=185&amp;payweek=2014-10-06" TargetMode="External"/><Relationship Id="rId2374" Type="http://schemas.openxmlformats.org/officeDocument/2006/relationships/hyperlink" Target="http://dev.dashboard.evolvesolar.com/my-commissions.php?user_id=37&amp;payweek=2014-09-19" TargetMode="External"/><Relationship Id="rId2581" Type="http://schemas.openxmlformats.org/officeDocument/2006/relationships/hyperlink" Target="http://dev.dashboard.evolvesolar.com/my-commissions.php?user_id=41&amp;payweek=2014-09-08" TargetMode="External"/><Relationship Id="rId3218" Type="http://schemas.openxmlformats.org/officeDocument/2006/relationships/hyperlink" Target="http://dev.dashboard.evolvesolar.com/my-commissions.php?user_id=379&amp;payweek=2014-07-31" TargetMode="External"/><Relationship Id="rId3425" Type="http://schemas.openxmlformats.org/officeDocument/2006/relationships/hyperlink" Target="http://dev.dashboard.evolvesolar.com/my-commissions.php?user_id=236&amp;payweek=2014-07-11" TargetMode="External"/><Relationship Id="rId3632" Type="http://schemas.openxmlformats.org/officeDocument/2006/relationships/hyperlink" Target="http://dev.dashboard.evolvesolar.com/my-commissions.php?user_id=53&amp;payweek=2014-06-13" TargetMode="External"/><Relationship Id="rId139" Type="http://schemas.openxmlformats.org/officeDocument/2006/relationships/hyperlink" Target="http://dev.dashboard.evolvesolar.com/my-commissions.php?user_id=593&amp;payweek=2015-02-06" TargetMode="External"/><Relationship Id="rId346" Type="http://schemas.openxmlformats.org/officeDocument/2006/relationships/hyperlink" Target="http://dev.dashboard.evolvesolar.com/my-commissions.php?user_id=969&amp;payweek=2015-01-30" TargetMode="External"/><Relationship Id="rId553" Type="http://schemas.openxmlformats.org/officeDocument/2006/relationships/hyperlink" Target="http://dev.dashboard.evolvesolar.com/my-commissions.php?user_id=329&amp;payweek=2015-01-09" TargetMode="External"/><Relationship Id="rId760" Type="http://schemas.openxmlformats.org/officeDocument/2006/relationships/hyperlink" Target="http://dev.dashboard.evolvesolar.com/my-commissions.php?user_id=85&amp;payweek=2014-12-26" TargetMode="External"/><Relationship Id="rId1183" Type="http://schemas.openxmlformats.org/officeDocument/2006/relationships/hyperlink" Target="http://dev.dashboard.evolvesolar.com/my-commissions.php?user_id=752&amp;payweek=2014-12-05" TargetMode="External"/><Relationship Id="rId1390" Type="http://schemas.openxmlformats.org/officeDocument/2006/relationships/hyperlink" Target="http://dev.dashboard.evolvesolar.com/my-commissions.php?user_id=664&amp;payweek=2014-11-21" TargetMode="External"/><Relationship Id="rId2027" Type="http://schemas.openxmlformats.org/officeDocument/2006/relationships/hyperlink" Target="http://dev.dashboard.evolvesolar.com/my-commissions.php?user_id=582&amp;payweek=2014-10-17" TargetMode="External"/><Relationship Id="rId2234" Type="http://schemas.openxmlformats.org/officeDocument/2006/relationships/hyperlink" Target="http://dev.dashboard.evolvesolar.com/my-commissions.php?user_id=321&amp;payweek=2014-10-03" TargetMode="External"/><Relationship Id="rId2441" Type="http://schemas.openxmlformats.org/officeDocument/2006/relationships/hyperlink" Target="http://dev.dashboard.evolvesolar.com/my-commissions.php?user_id=63&amp;payweek=2014-09-15" TargetMode="External"/><Relationship Id="rId206" Type="http://schemas.openxmlformats.org/officeDocument/2006/relationships/hyperlink" Target="http://dev.dashboard.evolvesolar.com/my-commissions.php?user_id=912&amp;payweek=2015-02-06" TargetMode="External"/><Relationship Id="rId413" Type="http://schemas.openxmlformats.org/officeDocument/2006/relationships/hyperlink" Target="http://dev.dashboard.evolvesolar.com/my-commissions.php?user_id=722&amp;payweek=2015-01-23" TargetMode="External"/><Relationship Id="rId1043" Type="http://schemas.openxmlformats.org/officeDocument/2006/relationships/hyperlink" Target="http://dev.dashboard.evolvesolar.com/my-commissions.php?user_id=389&amp;payweek=2014-12-12" TargetMode="External"/><Relationship Id="rId620" Type="http://schemas.openxmlformats.org/officeDocument/2006/relationships/hyperlink" Target="http://dev.dashboard.evolvesolar.com/my-commissions.php?user_id=714&amp;payweek=2015-01-09" TargetMode="External"/><Relationship Id="rId1250" Type="http://schemas.openxmlformats.org/officeDocument/2006/relationships/hyperlink" Target="http://dev.dashboard.evolvesolar.com/my-commissions.php?user_id=37&amp;payweek=2014-11-25" TargetMode="External"/><Relationship Id="rId2301" Type="http://schemas.openxmlformats.org/officeDocument/2006/relationships/hyperlink" Target="http://dev.dashboard.evolvesolar.com/my-commissions.php?user_id=341&amp;payweek=2014-09-25" TargetMode="External"/><Relationship Id="rId4059" Type="http://schemas.openxmlformats.org/officeDocument/2006/relationships/hyperlink" Target="http://dev.dashboard.evolvesolar.com/my-commissions.php?user_id=89&amp;payweek=2014-04-03" TargetMode="External"/><Relationship Id="rId1110" Type="http://schemas.openxmlformats.org/officeDocument/2006/relationships/hyperlink" Target="http://dev.dashboard.evolvesolar.com/my-commissions.php?user_id=27&amp;payweek=2014-12-05" TargetMode="External"/><Relationship Id="rId1927" Type="http://schemas.openxmlformats.org/officeDocument/2006/relationships/hyperlink" Target="http://dev.dashboard.evolvesolar.com/my-commissions.php?user_id=203&amp;payweek=2014-10-20" TargetMode="External"/><Relationship Id="rId3075" Type="http://schemas.openxmlformats.org/officeDocument/2006/relationships/hyperlink" Target="http://dev.dashboard.evolvesolar.com/my-commissions.php?user_id=184&amp;payweek=2014-08-07" TargetMode="External"/><Relationship Id="rId3282" Type="http://schemas.openxmlformats.org/officeDocument/2006/relationships/hyperlink" Target="http://dev.dashboard.evolvesolar.com/my-commissions.php?user_id=248&amp;payweek=2014-07-25" TargetMode="External"/><Relationship Id="rId2091" Type="http://schemas.openxmlformats.org/officeDocument/2006/relationships/hyperlink" Target="http://dev.dashboard.evolvesolar.com/my-commissions.php?user_id=329&amp;payweek=2014-10-10" TargetMode="External"/><Relationship Id="rId3142" Type="http://schemas.openxmlformats.org/officeDocument/2006/relationships/hyperlink" Target="http://dev.dashboard.evolvesolar.com/my-commissions.php?user_id=268&amp;payweek=2014-08-02" TargetMode="External"/><Relationship Id="rId270" Type="http://schemas.openxmlformats.org/officeDocument/2006/relationships/hyperlink" Target="http://dev.dashboard.evolvesolar.com/my-commissions.php?user_id=417&amp;payweek=2015-01-30" TargetMode="External"/><Relationship Id="rId3002" Type="http://schemas.openxmlformats.org/officeDocument/2006/relationships/hyperlink" Target="http://dev.dashboard.evolvesolar.com/my-commissions.php?user_id=378&amp;payweek=2014-08-14" TargetMode="External"/><Relationship Id="rId130" Type="http://schemas.openxmlformats.org/officeDocument/2006/relationships/hyperlink" Target="http://dev.dashboard.evolvesolar.com/my-commissions.php?user_id=512&amp;payweek=2015-02-06" TargetMode="External"/><Relationship Id="rId3959" Type="http://schemas.openxmlformats.org/officeDocument/2006/relationships/hyperlink" Target="http://dev.dashboard.evolvesolar.com/my-commissions.php?user_id=89&amp;payweek=2014-05-02" TargetMode="External"/><Relationship Id="rId2768" Type="http://schemas.openxmlformats.org/officeDocument/2006/relationships/hyperlink" Target="http://dev.dashboard.evolvesolar.com/my-commissions.php?user_id=232&amp;payweek=2014-08-28" TargetMode="External"/><Relationship Id="rId2975" Type="http://schemas.openxmlformats.org/officeDocument/2006/relationships/hyperlink" Target="http://dev.dashboard.evolvesolar.com/my-commissions.php?user_id=211&amp;payweek=2014-08-14" TargetMode="External"/><Relationship Id="rId3819" Type="http://schemas.openxmlformats.org/officeDocument/2006/relationships/hyperlink" Target="http://dev.dashboard.evolvesolar.com/my-commissions.php?user_id=120&amp;payweek=2014-05-30" TargetMode="External"/><Relationship Id="rId947" Type="http://schemas.openxmlformats.org/officeDocument/2006/relationships/hyperlink" Target="http://dev.dashboard.evolvesolar.com/my-commissions.php?user_id=832&amp;payweek=2014-12-22" TargetMode="External"/><Relationship Id="rId1577" Type="http://schemas.openxmlformats.org/officeDocument/2006/relationships/hyperlink" Target="http://dev.dashboard.evolvesolar.com/my-commissions.php?user_id=807&amp;payweek=2014-11-14" TargetMode="External"/><Relationship Id="rId1784" Type="http://schemas.openxmlformats.org/officeDocument/2006/relationships/hyperlink" Target="http://dev.dashboard.evolvesolar.com/my-commissions.php?user_id=549&amp;payweek=2014-10-31" TargetMode="External"/><Relationship Id="rId1991" Type="http://schemas.openxmlformats.org/officeDocument/2006/relationships/hyperlink" Target="http://dev.dashboard.evolvesolar.com/my-commissions.php?user_id=329&amp;payweek=2014-10-17" TargetMode="External"/><Relationship Id="rId2628" Type="http://schemas.openxmlformats.org/officeDocument/2006/relationships/hyperlink" Target="http://dev.dashboard.evolvesolar.com/my-commissions.php?user_id=142&amp;payweek=2014-09-04" TargetMode="External"/><Relationship Id="rId2835" Type="http://schemas.openxmlformats.org/officeDocument/2006/relationships/hyperlink" Target="http://dev.dashboard.evolvesolar.com/my-commissions.php?user_id=232&amp;payweek=2014-08-22" TargetMode="External"/><Relationship Id="rId76" Type="http://schemas.openxmlformats.org/officeDocument/2006/relationships/hyperlink" Target="http://dev.dashboard.evolvesolar.com/my-commissions.php?user_id=282&amp;payweek=2015-02-06" TargetMode="External"/><Relationship Id="rId807" Type="http://schemas.openxmlformats.org/officeDocument/2006/relationships/hyperlink" Target="http://dev.dashboard.evolvesolar.com/my-commissions.php?user_id=392&amp;payweek=2014-12-26" TargetMode="External"/><Relationship Id="rId1437" Type="http://schemas.openxmlformats.org/officeDocument/2006/relationships/hyperlink" Target="http://dev.dashboard.evolvesolar.com/my-commissions.php?user_id=37&amp;payweek=2014-11-14" TargetMode="External"/><Relationship Id="rId1644" Type="http://schemas.openxmlformats.org/officeDocument/2006/relationships/hyperlink" Target="http://dev.dashboard.evolvesolar.com/my-commissions.php?user_id=428&amp;payweek=2014-11-07" TargetMode="External"/><Relationship Id="rId1851" Type="http://schemas.openxmlformats.org/officeDocument/2006/relationships/hyperlink" Target="http://dev.dashboard.evolvesolar.com/my-commissions.php?user_id=355&amp;payweek=2014-10-24" TargetMode="External"/><Relationship Id="rId2902" Type="http://schemas.openxmlformats.org/officeDocument/2006/relationships/hyperlink" Target="http://dev.dashboard.evolvesolar.com/my-commissions.php?user_id=418&amp;payweek=2014-08-22" TargetMode="External"/><Relationship Id="rId4050" Type="http://schemas.openxmlformats.org/officeDocument/2006/relationships/hyperlink" Target="http://dev.dashboard.evolvesolar.com/my-commissions.php?user_id=104&amp;payweek=2014-04-04" TargetMode="External"/><Relationship Id="rId1504" Type="http://schemas.openxmlformats.org/officeDocument/2006/relationships/hyperlink" Target="http://dev.dashboard.evolvesolar.com/my-commissions.php?user_id=430&amp;payweek=2014-11-14" TargetMode="External"/><Relationship Id="rId1711" Type="http://schemas.openxmlformats.org/officeDocument/2006/relationships/hyperlink" Target="http://dev.dashboard.evolvesolar.com/my-commissions.php?user_id=726&amp;payweek=2014-11-07" TargetMode="External"/><Relationship Id="rId3469" Type="http://schemas.openxmlformats.org/officeDocument/2006/relationships/hyperlink" Target="http://dev.dashboard.evolvesolar.com/my-commissions.php?user_id=184&amp;payweek=2014-07-03" TargetMode="External"/><Relationship Id="rId3676" Type="http://schemas.openxmlformats.org/officeDocument/2006/relationships/hyperlink" Target="http://dev.dashboard.evolvesolar.com/my-commissions.php?user_id=139&amp;payweek=2014-06-13" TargetMode="External"/><Relationship Id="rId597" Type="http://schemas.openxmlformats.org/officeDocument/2006/relationships/hyperlink" Target="http://dev.dashboard.evolvesolar.com/my-commissions.php?user_id=632&amp;payweek=2015-01-09" TargetMode="External"/><Relationship Id="rId2278" Type="http://schemas.openxmlformats.org/officeDocument/2006/relationships/hyperlink" Target="http://dev.dashboard.evolvesolar.com/my-commissions.php?user_id=458&amp;payweek=2014-09-26" TargetMode="External"/><Relationship Id="rId2485" Type="http://schemas.openxmlformats.org/officeDocument/2006/relationships/hyperlink" Target="http://dev.dashboard.evolvesolar.com/my-commissions.php?user_id=285&amp;payweek=2014-09-12" TargetMode="External"/><Relationship Id="rId3329" Type="http://schemas.openxmlformats.org/officeDocument/2006/relationships/hyperlink" Target="http://dev.dashboard.evolvesolar.com/my-commissions.php?user_id=189&amp;payweek=2014-07-18" TargetMode="External"/><Relationship Id="rId3883" Type="http://schemas.openxmlformats.org/officeDocument/2006/relationships/hyperlink" Target="http://dev.dashboard.evolvesolar.com/my-commissions.php?user_id=41&amp;payweek=2014-05-16" TargetMode="External"/><Relationship Id="rId457" Type="http://schemas.openxmlformats.org/officeDocument/2006/relationships/hyperlink" Target="http://dev.dashboard.evolvesolar.com/my-commissions.php?user_id=326&amp;payweek=2015-01-15" TargetMode="External"/><Relationship Id="rId1087" Type="http://schemas.openxmlformats.org/officeDocument/2006/relationships/hyperlink" Target="http://dev.dashboard.evolvesolar.com/my-commissions.php?user_id=726&amp;payweek=2014-12-12" TargetMode="External"/><Relationship Id="rId1294" Type="http://schemas.openxmlformats.org/officeDocument/2006/relationships/hyperlink" Target="http://dev.dashboard.evolvesolar.com/my-commissions.php?user_id=730&amp;payweek=2014-11-25" TargetMode="External"/><Relationship Id="rId2138" Type="http://schemas.openxmlformats.org/officeDocument/2006/relationships/hyperlink" Target="http://dev.dashboard.evolvesolar.com/my-commissions.php?user_id=612&amp;payweek=2014-10-10" TargetMode="External"/><Relationship Id="rId2692" Type="http://schemas.openxmlformats.org/officeDocument/2006/relationships/hyperlink" Target="http://dev.dashboard.evolvesolar.com/my-commissions.php?user_id=149&amp;payweek=2014-08-29" TargetMode="External"/><Relationship Id="rId3536" Type="http://schemas.openxmlformats.org/officeDocument/2006/relationships/hyperlink" Target="http://dev.dashboard.evolvesolar.com/my-commissions.php?user_id=83&amp;payweek=2014-06-20" TargetMode="External"/><Relationship Id="rId3743" Type="http://schemas.openxmlformats.org/officeDocument/2006/relationships/hyperlink" Target="http://dev.dashboard.evolvesolar.com/my-commissions.php?user_id=111&amp;payweek=2014-06-06" TargetMode="External"/><Relationship Id="rId3950" Type="http://schemas.openxmlformats.org/officeDocument/2006/relationships/hyperlink" Target="http://dev.dashboard.evolvesolar.com/my-commissions.php?user_id=27&amp;payweek=2014-05-02" TargetMode="External"/><Relationship Id="rId664" Type="http://schemas.openxmlformats.org/officeDocument/2006/relationships/hyperlink" Target="http://dev.dashboard.evolvesolar.com/my-commissions.php?user_id=133&amp;payweek=2014-12-31" TargetMode="External"/><Relationship Id="rId871" Type="http://schemas.openxmlformats.org/officeDocument/2006/relationships/hyperlink" Target="http://dev.dashboard.evolvesolar.com/my-commissions.php?user_id=722&amp;payweek=2014-12-26" TargetMode="External"/><Relationship Id="rId2345" Type="http://schemas.openxmlformats.org/officeDocument/2006/relationships/hyperlink" Target="http://dev.dashboard.evolvesolar.com/my-commissions.php?user_id=580&amp;payweek=2014-09-25" TargetMode="External"/><Relationship Id="rId2552" Type="http://schemas.openxmlformats.org/officeDocument/2006/relationships/hyperlink" Target="http://dev.dashboard.evolvesolar.com/my-commissions.php?user_id=541&amp;payweek=2014-09-12" TargetMode="External"/><Relationship Id="rId3603" Type="http://schemas.openxmlformats.org/officeDocument/2006/relationships/hyperlink" Target="http://dev.dashboard.evolvesolar.com/my-commissions.php?user_id=223&amp;payweek=2014-06-20" TargetMode="External"/><Relationship Id="rId3810" Type="http://schemas.openxmlformats.org/officeDocument/2006/relationships/hyperlink" Target="http://dev.dashboard.evolvesolar.com/my-commissions.php?user_id=111&amp;payweek=2014-05-30" TargetMode="External"/><Relationship Id="rId317" Type="http://schemas.openxmlformats.org/officeDocument/2006/relationships/hyperlink" Target="http://dev.dashboard.evolvesolar.com/my-commissions.php?user_id=817&amp;payweek=2015-01-30" TargetMode="External"/><Relationship Id="rId524" Type="http://schemas.openxmlformats.org/officeDocument/2006/relationships/hyperlink" Target="http://dev.dashboard.evolvesolar.com/my-commissions.php?user_id=77&amp;payweek=2015-01-09" TargetMode="External"/><Relationship Id="rId731" Type="http://schemas.openxmlformats.org/officeDocument/2006/relationships/hyperlink" Target="http://dev.dashboard.evolvesolar.com/my-commissions.php?user_id=626&amp;payweek=2014-12-31" TargetMode="External"/><Relationship Id="rId1154" Type="http://schemas.openxmlformats.org/officeDocument/2006/relationships/hyperlink" Target="http://dev.dashboard.evolvesolar.com/my-commissions.php?user_id=646&amp;payweek=2014-12-05" TargetMode="External"/><Relationship Id="rId1361" Type="http://schemas.openxmlformats.org/officeDocument/2006/relationships/hyperlink" Target="http://dev.dashboard.evolvesolar.com/my-commissions.php?user_id=401&amp;payweek=2014-11-21" TargetMode="External"/><Relationship Id="rId2205" Type="http://schemas.openxmlformats.org/officeDocument/2006/relationships/hyperlink" Target="http://dev.dashboard.evolvesolar.com/my-commissions.php?user_id=472&amp;payweek=2014-10-06" TargetMode="External"/><Relationship Id="rId2412" Type="http://schemas.openxmlformats.org/officeDocument/2006/relationships/hyperlink" Target="http://dev.dashboard.evolvesolar.com/my-commissions.php?user_id=373&amp;payweek=2014-09-19" TargetMode="External"/><Relationship Id="rId1014" Type="http://schemas.openxmlformats.org/officeDocument/2006/relationships/hyperlink" Target="http://dev.dashboard.evolvesolar.com/my-commissions.php?user_id=184&amp;payweek=2014-12-12" TargetMode="External"/><Relationship Id="rId1221" Type="http://schemas.openxmlformats.org/officeDocument/2006/relationships/hyperlink" Target="http://dev.dashboard.evolvesolar.com/my-commissions.php?user_id=576&amp;payweek=2014-11-28" TargetMode="External"/><Relationship Id="rId3186" Type="http://schemas.openxmlformats.org/officeDocument/2006/relationships/hyperlink" Target="http://dev.dashboard.evolvesolar.com/my-commissions.php?user_id=213&amp;payweek=2014-07-31" TargetMode="External"/><Relationship Id="rId3393" Type="http://schemas.openxmlformats.org/officeDocument/2006/relationships/hyperlink" Target="http://dev.dashboard.evolvesolar.com/my-commissions.php?user_id=130&amp;payweek=2014-07-11" TargetMode="External"/><Relationship Id="rId3046" Type="http://schemas.openxmlformats.org/officeDocument/2006/relationships/hyperlink" Target="http://dev.dashboard.evolvesolar.com/my-commissions.php?user_id=236&amp;payweek=2014-08-08" TargetMode="External"/><Relationship Id="rId3253" Type="http://schemas.openxmlformats.org/officeDocument/2006/relationships/hyperlink" Target="http://dev.dashboard.evolvesolar.com/my-commissions.php?user_id=175&amp;payweek=2014-07-25" TargetMode="External"/><Relationship Id="rId3460" Type="http://schemas.openxmlformats.org/officeDocument/2006/relationships/hyperlink" Target="http://dev.dashboard.evolvesolar.com/my-commissions.php?user_id=28&amp;payweek=2014-07-03" TargetMode="External"/><Relationship Id="rId174" Type="http://schemas.openxmlformats.org/officeDocument/2006/relationships/hyperlink" Target="http://dev.dashboard.evolvesolar.com/my-commissions.php?user_id=707&amp;payweek=2015-02-06" TargetMode="External"/><Relationship Id="rId381" Type="http://schemas.openxmlformats.org/officeDocument/2006/relationships/hyperlink" Target="http://dev.dashboard.evolvesolar.com/my-commissions.php?user_id=358&amp;payweek=2015-01-23" TargetMode="External"/><Relationship Id="rId2062" Type="http://schemas.openxmlformats.org/officeDocument/2006/relationships/hyperlink" Target="http://dev.dashboard.evolvesolar.com/my-commissions.php?user_id=661&amp;payweek=2014-10-14" TargetMode="External"/><Relationship Id="rId3113" Type="http://schemas.openxmlformats.org/officeDocument/2006/relationships/hyperlink" Target="http://dev.dashboard.evolvesolar.com/my-commissions.php?user_id=358&amp;payweek=2014-08-07" TargetMode="External"/><Relationship Id="rId241" Type="http://schemas.openxmlformats.org/officeDocument/2006/relationships/hyperlink" Target="http://dev.dashboard.evolvesolar.com/my-commissions.php?user_id=32&amp;payweek=2015-01-30" TargetMode="External"/><Relationship Id="rId3320" Type="http://schemas.openxmlformats.org/officeDocument/2006/relationships/hyperlink" Target="http://dev.dashboard.evolvesolar.com/my-commissions.php?user_id=138&amp;payweek=2014-07-18" TargetMode="External"/><Relationship Id="rId2879" Type="http://schemas.openxmlformats.org/officeDocument/2006/relationships/hyperlink" Target="http://dev.dashboard.evolvesolar.com/my-commissions.php?user_id=360&amp;payweek=2014-08-22" TargetMode="External"/><Relationship Id="rId101" Type="http://schemas.openxmlformats.org/officeDocument/2006/relationships/hyperlink" Target="http://dev.dashboard.evolvesolar.com/my-commissions.php?user_id=387&amp;payweek=2015-02-06" TargetMode="External"/><Relationship Id="rId1688" Type="http://schemas.openxmlformats.org/officeDocument/2006/relationships/hyperlink" Target="http://dev.dashboard.evolvesolar.com/my-commissions.php?user_id=664&amp;payweek=2014-11-07" TargetMode="External"/><Relationship Id="rId1895" Type="http://schemas.openxmlformats.org/officeDocument/2006/relationships/hyperlink" Target="http://dev.dashboard.evolvesolar.com/my-commissions.php?user_id=615&amp;payweek=2014-10-24" TargetMode="External"/><Relationship Id="rId2739" Type="http://schemas.openxmlformats.org/officeDocument/2006/relationships/hyperlink" Target="http://dev.dashboard.evolvesolar.com/my-commissions.php?user_id=472&amp;payweek=2014-08-29" TargetMode="External"/><Relationship Id="rId2946" Type="http://schemas.openxmlformats.org/officeDocument/2006/relationships/hyperlink" Target="http://dev.dashboard.evolvesolar.com/my-commissions.php?user_id=202&amp;payweek=2014-08-15" TargetMode="External"/><Relationship Id="rId4094" Type="http://schemas.openxmlformats.org/officeDocument/2006/relationships/hyperlink" Target="http://dev.dashboard.evolvesolar.com/my-commissions.php?user_id=373&amp;payweek=2014-03-07" TargetMode="External"/><Relationship Id="rId918" Type="http://schemas.openxmlformats.org/officeDocument/2006/relationships/hyperlink" Target="http://dev.dashboard.evolvesolar.com/my-commissions.php?user_id=407&amp;payweek=2014-12-22" TargetMode="External"/><Relationship Id="rId1548" Type="http://schemas.openxmlformats.org/officeDocument/2006/relationships/hyperlink" Target="http://dev.dashboard.evolvesolar.com/my-commissions.php?user_id=705&amp;payweek=2014-11-14" TargetMode="External"/><Relationship Id="rId1755" Type="http://schemas.openxmlformats.org/officeDocument/2006/relationships/hyperlink" Target="http://dev.dashboard.evolvesolar.com/my-commissions.php?user_id=365&amp;payweek=2014-10-31" TargetMode="External"/><Relationship Id="rId1408" Type="http://schemas.openxmlformats.org/officeDocument/2006/relationships/hyperlink" Target="http://dev.dashboard.evolvesolar.com/my-commissions.php?user_id=719&amp;payweek=2014-11-21" TargetMode="External"/><Relationship Id="rId1962" Type="http://schemas.openxmlformats.org/officeDocument/2006/relationships/hyperlink" Target="http://dev.dashboard.evolvesolar.com/my-commissions.php?user_id=85&amp;payweek=2014-10-17" TargetMode="External"/><Relationship Id="rId2806" Type="http://schemas.openxmlformats.org/officeDocument/2006/relationships/hyperlink" Target="http://dev.dashboard.evolvesolar.com/my-commissions.php?user_id=94&amp;payweek=2014-08-22" TargetMode="External"/><Relationship Id="rId4021" Type="http://schemas.openxmlformats.org/officeDocument/2006/relationships/hyperlink" Target="http://dev.dashboard.evolvesolar.com/my-commissions.php?user_id=79&amp;payweek=2014-04-11" TargetMode="External"/><Relationship Id="rId47" Type="http://schemas.openxmlformats.org/officeDocument/2006/relationships/hyperlink" Target="http://dev.dashboard.evolvesolar.com/my-commissions.php?user_id=157&amp;payweek=2015-02-06" TargetMode="External"/><Relationship Id="rId1615" Type="http://schemas.openxmlformats.org/officeDocument/2006/relationships/hyperlink" Target="http://dev.dashboard.evolvesolar.com/my-commissions.php?user_id=250&amp;payweek=2014-11-07" TargetMode="External"/><Relationship Id="rId1822" Type="http://schemas.openxmlformats.org/officeDocument/2006/relationships/hyperlink" Target="http://dev.dashboard.evolvesolar.com/my-commissions.php?user_id=203&amp;payweek=2014-10-28" TargetMode="External"/><Relationship Id="rId3787" Type="http://schemas.openxmlformats.org/officeDocument/2006/relationships/hyperlink" Target="http://dev.dashboard.evolvesolar.com/my-commissions.php?user_id=55&amp;payweek=2014-05-30" TargetMode="External"/><Relationship Id="rId3994" Type="http://schemas.openxmlformats.org/officeDocument/2006/relationships/hyperlink" Target="http://dev.dashboard.evolvesolar.com/my-commissions.php?user_id=111&amp;payweek=2014-04-24" TargetMode="External"/><Relationship Id="rId2389" Type="http://schemas.openxmlformats.org/officeDocument/2006/relationships/hyperlink" Target="http://dev.dashboard.evolvesolar.com/my-commissions.php?user_id=217&amp;payweek=2014-09-19" TargetMode="External"/><Relationship Id="rId2596" Type="http://schemas.openxmlformats.org/officeDocument/2006/relationships/hyperlink" Target="http://dev.dashboard.evolvesolar.com/my-commissions.php?user_id=203&amp;payweek=2014-09-05" TargetMode="External"/><Relationship Id="rId3647" Type="http://schemas.openxmlformats.org/officeDocument/2006/relationships/hyperlink" Target="http://dev.dashboard.evolvesolar.com/my-commissions.php?user_id=99&amp;payweek=2014-06-13" TargetMode="External"/><Relationship Id="rId3854" Type="http://schemas.openxmlformats.org/officeDocument/2006/relationships/hyperlink" Target="http://dev.dashboard.evolvesolar.com/my-commissions.php?user_id=94&amp;payweek=2014-05-23" TargetMode="External"/><Relationship Id="rId568" Type="http://schemas.openxmlformats.org/officeDocument/2006/relationships/hyperlink" Target="http://dev.dashboard.evolvesolar.com/my-commissions.php?user_id=392&amp;payweek=2015-01-09" TargetMode="External"/><Relationship Id="rId775" Type="http://schemas.openxmlformats.org/officeDocument/2006/relationships/hyperlink" Target="http://dev.dashboard.evolvesolar.com/my-commissions.php?user_id=184&amp;payweek=2014-12-26" TargetMode="External"/><Relationship Id="rId982" Type="http://schemas.openxmlformats.org/officeDocument/2006/relationships/hyperlink" Target="http://dev.dashboard.evolvesolar.com/my-commissions.php?user_id=646&amp;payweek=2014-12-19" TargetMode="External"/><Relationship Id="rId1198" Type="http://schemas.openxmlformats.org/officeDocument/2006/relationships/hyperlink" Target="http://dev.dashboard.evolvesolar.com/my-commissions.php?user_id=842&amp;payweek=2014-12-05" TargetMode="External"/><Relationship Id="rId2249" Type="http://schemas.openxmlformats.org/officeDocument/2006/relationships/hyperlink" Target="http://dev.dashboard.evolvesolar.com/my-commissions.php?user_id=583&amp;payweek=2014-10-03" TargetMode="External"/><Relationship Id="rId2456" Type="http://schemas.openxmlformats.org/officeDocument/2006/relationships/hyperlink" Target="http://dev.dashboard.evolvesolar.com/my-commissions.php?user_id=157&amp;payweek=2014-09-12" TargetMode="External"/><Relationship Id="rId2663" Type="http://schemas.openxmlformats.org/officeDocument/2006/relationships/hyperlink" Target="http://dev.dashboard.evolvesolar.com/my-commissions.php?user_id=355&amp;payweek=2014-09-04" TargetMode="External"/><Relationship Id="rId2870" Type="http://schemas.openxmlformats.org/officeDocument/2006/relationships/hyperlink" Target="http://dev.dashboard.evolvesolar.com/my-commissions.php?user_id=295&amp;payweek=2014-08-22" TargetMode="External"/><Relationship Id="rId3507" Type="http://schemas.openxmlformats.org/officeDocument/2006/relationships/hyperlink" Target="http://dev.dashboard.evolvesolar.com/my-commissions.php?user_id=175&amp;payweek=2014-06-27" TargetMode="External"/><Relationship Id="rId3714" Type="http://schemas.openxmlformats.org/officeDocument/2006/relationships/hyperlink" Target="http://dev.dashboard.evolvesolar.com/my-commissions.php?user_id=53&amp;payweek=2014-06-06" TargetMode="External"/><Relationship Id="rId3921" Type="http://schemas.openxmlformats.org/officeDocument/2006/relationships/hyperlink" Target="http://dev.dashboard.evolvesolar.com/my-commissions.php?user_id=74&amp;payweek=2014-05-09" TargetMode="External"/><Relationship Id="rId428" Type="http://schemas.openxmlformats.org/officeDocument/2006/relationships/hyperlink" Target="http://dev.dashboard.evolvesolar.com/my-commissions.php?user_id=927&amp;payweek=2015-01-23" TargetMode="External"/><Relationship Id="rId635" Type="http://schemas.openxmlformats.org/officeDocument/2006/relationships/hyperlink" Target="http://dev.dashboard.evolvesolar.com/my-commissions.php?user_id=857&amp;payweek=2015-01-09" TargetMode="External"/><Relationship Id="rId842" Type="http://schemas.openxmlformats.org/officeDocument/2006/relationships/hyperlink" Target="http://dev.dashboard.evolvesolar.com/my-commissions.php?user_id=626&amp;payweek=2014-12-26" TargetMode="External"/><Relationship Id="rId1058" Type="http://schemas.openxmlformats.org/officeDocument/2006/relationships/hyperlink" Target="http://dev.dashboard.evolvesolar.com/my-commissions.php?user_id=580&amp;payweek=2014-12-12" TargetMode="External"/><Relationship Id="rId1265" Type="http://schemas.openxmlformats.org/officeDocument/2006/relationships/hyperlink" Target="http://dev.dashboard.evolvesolar.com/my-commissions.php?user_id=422&amp;payweek=2014-11-25" TargetMode="External"/><Relationship Id="rId1472" Type="http://schemas.openxmlformats.org/officeDocument/2006/relationships/hyperlink" Target="http://dev.dashboard.evolvesolar.com/my-commissions.php?user_id=268&amp;payweek=2014-11-14" TargetMode="External"/><Relationship Id="rId2109" Type="http://schemas.openxmlformats.org/officeDocument/2006/relationships/hyperlink" Target="http://dev.dashboard.evolvesolar.com/my-commissions.php?user_id=410&amp;payweek=2014-10-10" TargetMode="External"/><Relationship Id="rId2316" Type="http://schemas.openxmlformats.org/officeDocument/2006/relationships/hyperlink" Target="http://dev.dashboard.evolvesolar.com/my-commissions.php?user_id=404&amp;payweek=2014-09-25" TargetMode="External"/><Relationship Id="rId2523" Type="http://schemas.openxmlformats.org/officeDocument/2006/relationships/hyperlink" Target="http://dev.dashboard.evolvesolar.com/my-commissions.php?user_id=404&amp;payweek=2014-09-12" TargetMode="External"/><Relationship Id="rId2730" Type="http://schemas.openxmlformats.org/officeDocument/2006/relationships/hyperlink" Target="http://dev.dashboard.evolvesolar.com/my-commissions.php?user_id=397&amp;payweek=2014-08-29" TargetMode="External"/><Relationship Id="rId702" Type="http://schemas.openxmlformats.org/officeDocument/2006/relationships/hyperlink" Target="http://dev.dashboard.evolvesolar.com/my-commissions.php?user_id=428&amp;payweek=2014-12-31" TargetMode="External"/><Relationship Id="rId1125" Type="http://schemas.openxmlformats.org/officeDocument/2006/relationships/hyperlink" Target="http://dev.dashboard.evolvesolar.com/my-commissions.php?user_id=268&amp;payweek=2014-12-05" TargetMode="External"/><Relationship Id="rId1332" Type="http://schemas.openxmlformats.org/officeDocument/2006/relationships/hyperlink" Target="http://dev.dashboard.evolvesolar.com/my-commissions.php?user_id=234&amp;payweek=2014-11-21" TargetMode="External"/><Relationship Id="rId3297" Type="http://schemas.openxmlformats.org/officeDocument/2006/relationships/hyperlink" Target="http://dev.dashboard.evolvesolar.com/my-commissions.php?user_id=28&amp;payweek=2014-07-21" TargetMode="External"/><Relationship Id="rId3157" Type="http://schemas.openxmlformats.org/officeDocument/2006/relationships/hyperlink" Target="http://dev.dashboard.evolvesolar.com/my-commissions.php?user_id=41&amp;payweek=2014-07-31" TargetMode="External"/><Relationship Id="rId285" Type="http://schemas.openxmlformats.org/officeDocument/2006/relationships/hyperlink" Target="http://dev.dashboard.evolvesolar.com/my-commissions.php?user_id=635&amp;payweek=2015-01-30" TargetMode="External"/><Relationship Id="rId3364" Type="http://schemas.openxmlformats.org/officeDocument/2006/relationships/hyperlink" Target="http://dev.dashboard.evolvesolar.com/my-commissions.php?user_id=250&amp;payweek=2014-07-15" TargetMode="External"/><Relationship Id="rId3571" Type="http://schemas.openxmlformats.org/officeDocument/2006/relationships/hyperlink" Target="http://dev.dashboard.evolvesolar.com/my-commissions.php?user_id=149&amp;payweek=2014-06-20" TargetMode="External"/><Relationship Id="rId492" Type="http://schemas.openxmlformats.org/officeDocument/2006/relationships/hyperlink" Target="http://dev.dashboard.evolvesolar.com/my-commissions.php?user_id=690&amp;payweek=2015-01-15" TargetMode="External"/><Relationship Id="rId2173" Type="http://schemas.openxmlformats.org/officeDocument/2006/relationships/hyperlink" Target="http://dev.dashboard.evolvesolar.com/my-commissions.php?user_id=268&amp;payweek=2014-10-06" TargetMode="External"/><Relationship Id="rId2380" Type="http://schemas.openxmlformats.org/officeDocument/2006/relationships/hyperlink" Target="http://dev.dashboard.evolvesolar.com/my-commissions.php?user_id=77&amp;payweek=2014-09-19" TargetMode="External"/><Relationship Id="rId3017" Type="http://schemas.openxmlformats.org/officeDocument/2006/relationships/hyperlink" Target="http://dev.dashboard.evolvesolar.com/my-commissions.php?user_id=83&amp;payweek=2014-08-08" TargetMode="External"/><Relationship Id="rId3224" Type="http://schemas.openxmlformats.org/officeDocument/2006/relationships/hyperlink" Target="http://dev.dashboard.evolvesolar.com/my-commissions.php?user_id=175&amp;payweek=2014-07-29" TargetMode="External"/><Relationship Id="rId3431" Type="http://schemas.openxmlformats.org/officeDocument/2006/relationships/hyperlink" Target="http://dev.dashboard.evolvesolar.com/my-commissions.php?user_id=268&amp;payweek=2014-07-11" TargetMode="External"/><Relationship Id="rId145" Type="http://schemas.openxmlformats.org/officeDocument/2006/relationships/hyperlink" Target="http://dev.dashboard.evolvesolar.com/my-commissions.php?user_id=604&amp;payweek=2015-02-06" TargetMode="External"/><Relationship Id="rId352" Type="http://schemas.openxmlformats.org/officeDocument/2006/relationships/hyperlink" Target="http://dev.dashboard.evolvesolar.com/my-commissions.php?user_id=27&amp;payweek=2015-01-23" TargetMode="External"/><Relationship Id="rId2033" Type="http://schemas.openxmlformats.org/officeDocument/2006/relationships/hyperlink" Target="http://dev.dashboard.evolvesolar.com/my-commissions.php?user_id=648&amp;payweek=2014-10-17" TargetMode="External"/><Relationship Id="rId2240" Type="http://schemas.openxmlformats.org/officeDocument/2006/relationships/hyperlink" Target="http://dev.dashboard.evolvesolar.com/my-commissions.php?user_id=428&amp;payweek=2014-10-03" TargetMode="External"/><Relationship Id="rId212" Type="http://schemas.openxmlformats.org/officeDocument/2006/relationships/hyperlink" Target="http://dev.dashboard.evolvesolar.com/my-commissions.php?user_id=940&amp;payweek=2015-02-06" TargetMode="External"/><Relationship Id="rId1799" Type="http://schemas.openxmlformats.org/officeDocument/2006/relationships/hyperlink" Target="http://dev.dashboard.evolvesolar.com/my-commissions.php?user_id=629&amp;payweek=2014-10-31" TargetMode="External"/><Relationship Id="rId2100" Type="http://schemas.openxmlformats.org/officeDocument/2006/relationships/hyperlink" Target="http://dev.dashboard.evolvesolar.com/my-commissions.php?user_id=365&amp;payweek=2014-10-10" TargetMode="External"/><Relationship Id="rId4065" Type="http://schemas.openxmlformats.org/officeDocument/2006/relationships/hyperlink" Target="http://dev.dashboard.evolvesolar.com/my-commissions.php?user_id=110&amp;payweek=2014-03-28" TargetMode="External"/><Relationship Id="rId1659" Type="http://schemas.openxmlformats.org/officeDocument/2006/relationships/hyperlink" Target="http://dev.dashboard.evolvesolar.com/my-commissions.php?user_id=582&amp;payweek=2014-11-07" TargetMode="External"/><Relationship Id="rId1866" Type="http://schemas.openxmlformats.org/officeDocument/2006/relationships/hyperlink" Target="http://dev.dashboard.evolvesolar.com/my-commissions.php?user_id=472&amp;payweek=2014-10-24" TargetMode="External"/><Relationship Id="rId2917" Type="http://schemas.openxmlformats.org/officeDocument/2006/relationships/hyperlink" Target="http://dev.dashboard.evolvesolar.com/my-commissions.php?user_id=185&amp;payweek=2014-08-21" TargetMode="External"/><Relationship Id="rId3081" Type="http://schemas.openxmlformats.org/officeDocument/2006/relationships/hyperlink" Target="http://dev.dashboard.evolvesolar.com/my-commissions.php?user_id=213&amp;payweek=2014-08-07" TargetMode="External"/><Relationship Id="rId1519" Type="http://schemas.openxmlformats.org/officeDocument/2006/relationships/hyperlink" Target="http://dev.dashboard.evolvesolar.com/my-commissions.php?user_id=599&amp;payweek=2014-11-14" TargetMode="External"/><Relationship Id="rId1726" Type="http://schemas.openxmlformats.org/officeDocument/2006/relationships/hyperlink" Target="http://dev.dashboard.evolvesolar.com/my-commissions.php?user_id=175&amp;payweek=2014-10-31" TargetMode="External"/><Relationship Id="rId1933" Type="http://schemas.openxmlformats.org/officeDocument/2006/relationships/hyperlink" Target="http://dev.dashboard.evolvesolar.com/my-commissions.php?user_id=512&amp;payweek=2014-10-20" TargetMode="External"/><Relationship Id="rId18" Type="http://schemas.openxmlformats.org/officeDocument/2006/relationships/hyperlink" Target="http://dev.dashboard.evolvesolar.com/my-commissions.php?user_id=98&amp;payweek=2015-02-06" TargetMode="External"/><Relationship Id="rId3898" Type="http://schemas.openxmlformats.org/officeDocument/2006/relationships/hyperlink" Target="http://dev.dashboard.evolvesolar.com/my-commissions.php?user_id=112&amp;payweek=2014-05-16" TargetMode="External"/><Relationship Id="rId3758" Type="http://schemas.openxmlformats.org/officeDocument/2006/relationships/hyperlink" Target="http://dev.dashboard.evolvesolar.com/my-commissions.php?user_id=125&amp;payweek=2014-06-06" TargetMode="External"/><Relationship Id="rId3965" Type="http://schemas.openxmlformats.org/officeDocument/2006/relationships/hyperlink" Target="http://dev.dashboard.evolvesolar.com/my-commissions.php?user_id=111&amp;payweek=2014-05-02" TargetMode="External"/><Relationship Id="rId679" Type="http://schemas.openxmlformats.org/officeDocument/2006/relationships/hyperlink" Target="http://dev.dashboard.evolvesolar.com/my-commissions.php?user_id=250&amp;payweek=2014-12-31" TargetMode="External"/><Relationship Id="rId886" Type="http://schemas.openxmlformats.org/officeDocument/2006/relationships/hyperlink" Target="http://dev.dashboard.evolvesolar.com/my-commissions.php?user_id=897&amp;payweek=2014-12-26" TargetMode="External"/><Relationship Id="rId2567" Type="http://schemas.openxmlformats.org/officeDocument/2006/relationships/hyperlink" Target="http://dev.dashboard.evolvesolar.com/my-commissions.php?user_id=41&amp;payweek=2014-09-11" TargetMode="External"/><Relationship Id="rId2774" Type="http://schemas.openxmlformats.org/officeDocument/2006/relationships/hyperlink" Target="http://dev.dashboard.evolvesolar.com/my-commissions.php?user_id=248&amp;payweek=2014-08-28" TargetMode="External"/><Relationship Id="rId3618" Type="http://schemas.openxmlformats.org/officeDocument/2006/relationships/hyperlink" Target="http://dev.dashboard.evolvesolar.com/my-commissions.php?user_id=27&amp;payweek=2014-06-13" TargetMode="External"/><Relationship Id="rId2" Type="http://schemas.openxmlformats.org/officeDocument/2006/relationships/hyperlink" Target="http://dev.dashboard.evolvesolar.com/my-commissions.php?user_id=23&amp;payweek=2015-02-06" TargetMode="External"/><Relationship Id="rId539" Type="http://schemas.openxmlformats.org/officeDocument/2006/relationships/hyperlink" Target="http://dev.dashboard.evolvesolar.com/my-commissions.php?user_id=211&amp;payweek=2015-01-09" TargetMode="External"/><Relationship Id="rId746" Type="http://schemas.openxmlformats.org/officeDocument/2006/relationships/hyperlink" Target="http://dev.dashboard.evolvesolar.com/my-commissions.php?user_id=775&amp;payweek=2014-12-31" TargetMode="External"/><Relationship Id="rId1169" Type="http://schemas.openxmlformats.org/officeDocument/2006/relationships/hyperlink" Target="http://dev.dashboard.evolvesolar.com/my-commissions.php?user_id=687&amp;payweek=2014-12-05" TargetMode="External"/><Relationship Id="rId1376" Type="http://schemas.openxmlformats.org/officeDocument/2006/relationships/hyperlink" Target="http://dev.dashboard.evolvesolar.com/my-commissions.php?user_id=599&amp;payweek=2014-11-21" TargetMode="External"/><Relationship Id="rId1583" Type="http://schemas.openxmlformats.org/officeDocument/2006/relationships/hyperlink" Target="http://dev.dashboard.evolvesolar.com/my-commissions.php?user_id=782&amp;payweek=2014-11-12" TargetMode="External"/><Relationship Id="rId2427" Type="http://schemas.openxmlformats.org/officeDocument/2006/relationships/hyperlink" Target="http://dev.dashboard.evolvesolar.com/my-commissions.php?user_id=438&amp;payweek=2014-09-19" TargetMode="External"/><Relationship Id="rId2981" Type="http://schemas.openxmlformats.org/officeDocument/2006/relationships/hyperlink" Target="http://dev.dashboard.evolvesolar.com/my-commissions.php?user_id=228&amp;payweek=2014-08-14" TargetMode="External"/><Relationship Id="rId3825" Type="http://schemas.openxmlformats.org/officeDocument/2006/relationships/hyperlink" Target="http://dev.dashboard.evolvesolar.com/my-commissions.php?user_id=142&amp;payweek=2014-05-30" TargetMode="External"/><Relationship Id="rId953" Type="http://schemas.openxmlformats.org/officeDocument/2006/relationships/hyperlink" Target="http://dev.dashboard.evolvesolar.com/my-commissions.php?user_id=904&amp;payweek=2014-12-22" TargetMode="External"/><Relationship Id="rId1029" Type="http://schemas.openxmlformats.org/officeDocument/2006/relationships/hyperlink" Target="http://dev.dashboard.evolvesolar.com/my-commissions.php?user_id=295&amp;payweek=2014-12-12" TargetMode="External"/><Relationship Id="rId1236" Type="http://schemas.openxmlformats.org/officeDocument/2006/relationships/hyperlink" Target="http://dev.dashboard.evolvesolar.com/my-commissions.php?user_id=771&amp;payweek=2014-11-28" TargetMode="External"/><Relationship Id="rId1790" Type="http://schemas.openxmlformats.org/officeDocument/2006/relationships/hyperlink" Target="http://dev.dashboard.evolvesolar.com/my-commissions.php?user_id=580&amp;payweek=2014-10-31" TargetMode="External"/><Relationship Id="rId2634" Type="http://schemas.openxmlformats.org/officeDocument/2006/relationships/hyperlink" Target="http://dev.dashboard.evolvesolar.com/my-commissions.php?user_id=217&amp;payweek=2014-09-04" TargetMode="External"/><Relationship Id="rId2841" Type="http://schemas.openxmlformats.org/officeDocument/2006/relationships/hyperlink" Target="http://dev.dashboard.evolvesolar.com/my-commissions.php?user_id=236&amp;payweek=2014-08-22" TargetMode="External"/><Relationship Id="rId82" Type="http://schemas.openxmlformats.org/officeDocument/2006/relationships/hyperlink" Target="http://dev.dashboard.evolvesolar.com/my-commissions.php?user_id=295&amp;payweek=2015-02-06" TargetMode="External"/><Relationship Id="rId606" Type="http://schemas.openxmlformats.org/officeDocument/2006/relationships/hyperlink" Target="http://dev.dashboard.evolvesolar.com/my-commissions.php?user_id=679&amp;payweek=2015-01-09" TargetMode="External"/><Relationship Id="rId813" Type="http://schemas.openxmlformats.org/officeDocument/2006/relationships/hyperlink" Target="http://dev.dashboard.evolvesolar.com/my-commissions.php?user_id=410&amp;payweek=2014-12-26" TargetMode="External"/><Relationship Id="rId1443" Type="http://schemas.openxmlformats.org/officeDocument/2006/relationships/hyperlink" Target="http://dev.dashboard.evolvesolar.com/my-commissions.php?user_id=85&amp;payweek=2014-11-14" TargetMode="External"/><Relationship Id="rId1650" Type="http://schemas.openxmlformats.org/officeDocument/2006/relationships/hyperlink" Target="http://dev.dashboard.evolvesolar.com/my-commissions.php?user_id=530&amp;payweek=2014-11-07" TargetMode="External"/><Relationship Id="rId2701" Type="http://schemas.openxmlformats.org/officeDocument/2006/relationships/hyperlink" Target="http://dev.dashboard.evolvesolar.com/my-commissions.php?user_id=233&amp;payweek=2014-08-29" TargetMode="External"/><Relationship Id="rId1303" Type="http://schemas.openxmlformats.org/officeDocument/2006/relationships/hyperlink" Target="http://dev.dashboard.evolvesolar.com/my-commissions.php?user_id=821&amp;payweek=2014-11-25" TargetMode="External"/><Relationship Id="rId1510" Type="http://schemas.openxmlformats.org/officeDocument/2006/relationships/hyperlink" Target="http://dev.dashboard.evolvesolar.com/my-commissions.php?user_id=530&amp;payweek=2014-11-14" TargetMode="External"/><Relationship Id="rId3268" Type="http://schemas.openxmlformats.org/officeDocument/2006/relationships/hyperlink" Target="http://dev.dashboard.evolvesolar.com/my-commissions.php?user_id=218&amp;payweek=2014-07-25" TargetMode="External"/><Relationship Id="rId3475" Type="http://schemas.openxmlformats.org/officeDocument/2006/relationships/hyperlink" Target="http://dev.dashboard.evolvesolar.com/my-commissions.php?user_id=156&amp;payweek=2014-06-30" TargetMode="External"/><Relationship Id="rId3682" Type="http://schemas.openxmlformats.org/officeDocument/2006/relationships/hyperlink" Target="http://dev.dashboard.evolvesolar.com/my-commissions.php?user_id=143&amp;payweek=2014-06-13" TargetMode="External"/><Relationship Id="rId189" Type="http://schemas.openxmlformats.org/officeDocument/2006/relationships/hyperlink" Target="http://dev.dashboard.evolvesolar.com/my-commissions.php?user_id=857&amp;payweek=2015-02-06" TargetMode="External"/><Relationship Id="rId396" Type="http://schemas.openxmlformats.org/officeDocument/2006/relationships/hyperlink" Target="http://dev.dashboard.evolvesolar.com/my-commissions.php?user_id=583&amp;payweek=2015-01-23" TargetMode="External"/><Relationship Id="rId2077" Type="http://schemas.openxmlformats.org/officeDocument/2006/relationships/hyperlink" Target="http://dev.dashboard.evolvesolar.com/my-commissions.php?user_id=255&amp;payweek=2014-10-10" TargetMode="External"/><Relationship Id="rId2284" Type="http://schemas.openxmlformats.org/officeDocument/2006/relationships/hyperlink" Target="http://dev.dashboard.evolvesolar.com/my-commissions.php?user_id=77&amp;payweek=2014-09-25" TargetMode="External"/><Relationship Id="rId2491" Type="http://schemas.openxmlformats.org/officeDocument/2006/relationships/hyperlink" Target="http://dev.dashboard.evolvesolar.com/my-commissions.php?user_id=329&amp;payweek=2014-09-12" TargetMode="External"/><Relationship Id="rId3128" Type="http://schemas.openxmlformats.org/officeDocument/2006/relationships/hyperlink" Target="http://dev.dashboard.evolvesolar.com/my-commissions.php?user_id=304&amp;payweek=2014-08-04" TargetMode="External"/><Relationship Id="rId3335" Type="http://schemas.openxmlformats.org/officeDocument/2006/relationships/hyperlink" Target="http://dev.dashboard.evolvesolar.com/my-commissions.php?user_id=206&amp;payweek=2014-07-18" TargetMode="External"/><Relationship Id="rId3542" Type="http://schemas.openxmlformats.org/officeDocument/2006/relationships/hyperlink" Target="http://dev.dashboard.evolvesolar.com/my-commissions.php?user_id=96&amp;payweek=2014-06-20" TargetMode="External"/><Relationship Id="rId256" Type="http://schemas.openxmlformats.org/officeDocument/2006/relationships/hyperlink" Target="http://dev.dashboard.evolvesolar.com/my-commissions.php?user_id=261&amp;payweek=2015-01-30" TargetMode="External"/><Relationship Id="rId463" Type="http://schemas.openxmlformats.org/officeDocument/2006/relationships/hyperlink" Target="http://dev.dashboard.evolvesolar.com/my-commissions.php?user_id=401&amp;payweek=2015-01-15" TargetMode="External"/><Relationship Id="rId670" Type="http://schemas.openxmlformats.org/officeDocument/2006/relationships/hyperlink" Target="http://dev.dashboard.evolvesolar.com/my-commissions.php?user_id=192&amp;payweek=2014-12-31" TargetMode="External"/><Relationship Id="rId1093" Type="http://schemas.openxmlformats.org/officeDocument/2006/relationships/hyperlink" Target="http://dev.dashboard.evolvesolar.com/my-commissions.php?user_id=782&amp;payweek=2014-12-12" TargetMode="External"/><Relationship Id="rId2144" Type="http://schemas.openxmlformats.org/officeDocument/2006/relationships/hyperlink" Target="http://dev.dashboard.evolvesolar.com/my-commissions.php?user_id=626&amp;payweek=2014-10-10" TargetMode="External"/><Relationship Id="rId2351" Type="http://schemas.openxmlformats.org/officeDocument/2006/relationships/hyperlink" Target="http://dev.dashboard.evolvesolar.com/my-commissions.php?user_id=594&amp;payweek=2014-09-25" TargetMode="External"/><Relationship Id="rId3402" Type="http://schemas.openxmlformats.org/officeDocument/2006/relationships/hyperlink" Target="http://dev.dashboard.evolvesolar.com/my-commissions.php?user_id=142&amp;payweek=2014-07-11" TargetMode="External"/><Relationship Id="rId116" Type="http://schemas.openxmlformats.org/officeDocument/2006/relationships/hyperlink" Target="http://dev.dashboard.evolvesolar.com/my-commissions.php?user_id=438&amp;payweek=2015-02-06" TargetMode="External"/><Relationship Id="rId323" Type="http://schemas.openxmlformats.org/officeDocument/2006/relationships/hyperlink" Target="http://dev.dashboard.evolvesolar.com/my-commissions.php?user_id=859&amp;payweek=2015-01-30" TargetMode="External"/><Relationship Id="rId530" Type="http://schemas.openxmlformats.org/officeDocument/2006/relationships/hyperlink" Target="http://dev.dashboard.evolvesolar.com/my-commissions.php?user_id=133&amp;payweek=2015-01-09" TargetMode="External"/><Relationship Id="rId1160" Type="http://schemas.openxmlformats.org/officeDocument/2006/relationships/hyperlink" Target="http://dev.dashboard.evolvesolar.com/my-commissions.php?user_id=664&amp;payweek=2014-12-05" TargetMode="External"/><Relationship Id="rId2004" Type="http://schemas.openxmlformats.org/officeDocument/2006/relationships/hyperlink" Target="http://dev.dashboard.evolvesolar.com/my-commissions.php?user_id=389&amp;payweek=2014-10-17" TargetMode="External"/><Relationship Id="rId2211" Type="http://schemas.openxmlformats.org/officeDocument/2006/relationships/hyperlink" Target="http://dev.dashboard.evolvesolar.com/my-commissions.php?user_id=551&amp;payweek=2014-10-06" TargetMode="External"/><Relationship Id="rId1020" Type="http://schemas.openxmlformats.org/officeDocument/2006/relationships/hyperlink" Target="http://dev.dashboard.evolvesolar.com/my-commissions.php?user_id=211&amp;payweek=2014-12-12" TargetMode="External"/><Relationship Id="rId1977" Type="http://schemas.openxmlformats.org/officeDocument/2006/relationships/hyperlink" Target="http://dev.dashboard.evolvesolar.com/my-commissions.php?user_id=212&amp;payweek=2014-10-17" TargetMode="External"/><Relationship Id="rId1837" Type="http://schemas.openxmlformats.org/officeDocument/2006/relationships/hyperlink" Target="http://dev.dashboard.evolvesolar.com/my-commissions.php?user_id=211&amp;payweek=2014-10-24" TargetMode="External"/><Relationship Id="rId3192" Type="http://schemas.openxmlformats.org/officeDocument/2006/relationships/hyperlink" Target="http://dev.dashboard.evolvesolar.com/my-commissions.php?user_id=219&amp;payweek=2014-07-31" TargetMode="External"/><Relationship Id="rId4036" Type="http://schemas.openxmlformats.org/officeDocument/2006/relationships/hyperlink" Target="http://dev.dashboard.evolvesolar.com/my-commissions.php?user_id=105&amp;payweek=2014-04-11" TargetMode="External"/><Relationship Id="rId3052" Type="http://schemas.openxmlformats.org/officeDocument/2006/relationships/hyperlink" Target="http://dev.dashboard.evolvesolar.com/my-commissions.php?user_id=261&amp;payweek=2014-08-08" TargetMode="External"/><Relationship Id="rId4103" Type="http://schemas.openxmlformats.org/officeDocument/2006/relationships/hyperlink" Target="http://dev.dashboard.evolvesolar.com/my-commissions.php?user_id=699&amp;payweek=2014-01-13" TargetMode="External"/><Relationship Id="rId180" Type="http://schemas.openxmlformats.org/officeDocument/2006/relationships/hyperlink" Target="http://dev.dashboard.evolvesolar.com/my-commissions.php?user_id=771&amp;payweek=2015-02-06" TargetMode="External"/><Relationship Id="rId1904" Type="http://schemas.openxmlformats.org/officeDocument/2006/relationships/hyperlink" Target="http://dev.dashboard.evolvesolar.com/my-commissions.php?user_id=648&amp;payweek=2014-10-24" TargetMode="External"/><Relationship Id="rId3869" Type="http://schemas.openxmlformats.org/officeDocument/2006/relationships/hyperlink" Target="http://dev.dashboard.evolvesolar.com/my-commissions.php?user_id=133&amp;payweek=2014-05-23" TargetMode="External"/><Relationship Id="rId997" Type="http://schemas.openxmlformats.org/officeDocument/2006/relationships/hyperlink" Target="http://dev.dashboard.evolvesolar.com/my-commissions.php?user_id=41&amp;payweek=2014-12-12" TargetMode="External"/><Relationship Id="rId2678" Type="http://schemas.openxmlformats.org/officeDocument/2006/relationships/hyperlink" Target="http://dev.dashboard.evolvesolar.com/my-commissions.php?user_id=472&amp;payweek=2014-09-04" TargetMode="External"/><Relationship Id="rId2885" Type="http://schemas.openxmlformats.org/officeDocument/2006/relationships/hyperlink" Target="http://dev.dashboard.evolvesolar.com/my-commissions.php?user_id=389&amp;payweek=2014-08-22" TargetMode="External"/><Relationship Id="rId3729" Type="http://schemas.openxmlformats.org/officeDocument/2006/relationships/hyperlink" Target="http://dev.dashboard.evolvesolar.com/my-commissions.php?user_id=96&amp;payweek=2014-06-06" TargetMode="External"/><Relationship Id="rId3936" Type="http://schemas.openxmlformats.org/officeDocument/2006/relationships/hyperlink" Target="http://dev.dashboard.evolvesolar.com/my-commissions.php?user_id=114&amp;payweek=2014-05-09" TargetMode="External"/><Relationship Id="rId857" Type="http://schemas.openxmlformats.org/officeDocument/2006/relationships/hyperlink" Target="http://dev.dashboard.evolvesolar.com/my-commissions.php?user_id=675&amp;payweek=2014-12-26" TargetMode="External"/><Relationship Id="rId1487" Type="http://schemas.openxmlformats.org/officeDocument/2006/relationships/hyperlink" Target="http://dev.dashboard.evolvesolar.com/my-commissions.php?user_id=326&amp;payweek=2014-11-14" TargetMode="External"/><Relationship Id="rId1694" Type="http://schemas.openxmlformats.org/officeDocument/2006/relationships/hyperlink" Target="http://dev.dashboard.evolvesolar.com/my-commissions.php?user_id=685&amp;payweek=2014-11-07" TargetMode="External"/><Relationship Id="rId2538" Type="http://schemas.openxmlformats.org/officeDocument/2006/relationships/hyperlink" Target="http://dev.dashboard.evolvesolar.com/my-commissions.php?user_id=446&amp;payweek=2014-09-12" TargetMode="External"/><Relationship Id="rId2745" Type="http://schemas.openxmlformats.org/officeDocument/2006/relationships/hyperlink" Target="http://dev.dashboard.evolvesolar.com/my-commissions.php?user_id=47&amp;payweek=2014-08-28" TargetMode="External"/><Relationship Id="rId2952" Type="http://schemas.openxmlformats.org/officeDocument/2006/relationships/hyperlink" Target="http://dev.dashboard.evolvesolar.com/my-commissions.php?user_id=218&amp;payweek=2014-08-15" TargetMode="External"/><Relationship Id="rId717" Type="http://schemas.openxmlformats.org/officeDocument/2006/relationships/hyperlink" Target="http://dev.dashboard.evolvesolar.com/my-commissions.php?user_id=583&amp;payweek=2014-12-31" TargetMode="External"/><Relationship Id="rId924" Type="http://schemas.openxmlformats.org/officeDocument/2006/relationships/hyperlink" Target="http://dev.dashboard.evolvesolar.com/my-commissions.php?user_id=580&amp;payweek=2014-12-22" TargetMode="External"/><Relationship Id="rId1347" Type="http://schemas.openxmlformats.org/officeDocument/2006/relationships/hyperlink" Target="http://dev.dashboard.evolvesolar.com/my-commissions.php?user_id=326&amp;payweek=2014-11-21" TargetMode="External"/><Relationship Id="rId1554" Type="http://schemas.openxmlformats.org/officeDocument/2006/relationships/hyperlink" Target="http://dev.dashboard.evolvesolar.com/my-commissions.php?user_id=715&amp;payweek=2014-11-14" TargetMode="External"/><Relationship Id="rId1761" Type="http://schemas.openxmlformats.org/officeDocument/2006/relationships/hyperlink" Target="http://dev.dashboard.evolvesolar.com/my-commissions.php?user_id=407&amp;payweek=2014-10-31" TargetMode="External"/><Relationship Id="rId2605" Type="http://schemas.openxmlformats.org/officeDocument/2006/relationships/hyperlink" Target="http://dev.dashboard.evolvesolar.com/my-commissions.php?user_id=321&amp;payweek=2014-09-05" TargetMode="External"/><Relationship Id="rId2812" Type="http://schemas.openxmlformats.org/officeDocument/2006/relationships/hyperlink" Target="http://dev.dashboard.evolvesolar.com/my-commissions.php?user_id=141&amp;payweek=2014-08-22" TargetMode="External"/><Relationship Id="rId53" Type="http://schemas.openxmlformats.org/officeDocument/2006/relationships/hyperlink" Target="http://dev.dashboard.evolvesolar.com/my-commissions.php?user_id=203&amp;payweek=2015-02-06" TargetMode="External"/><Relationship Id="rId1207" Type="http://schemas.openxmlformats.org/officeDocument/2006/relationships/hyperlink" Target="http://dev.dashboard.evolvesolar.com/my-commissions.php?user_id=94&amp;payweek=2014-11-28" TargetMode="External"/><Relationship Id="rId1414" Type="http://schemas.openxmlformats.org/officeDocument/2006/relationships/hyperlink" Target="http://dev.dashboard.evolvesolar.com/my-commissions.php?user_id=764&amp;payweek=2014-11-21" TargetMode="External"/><Relationship Id="rId1621" Type="http://schemas.openxmlformats.org/officeDocument/2006/relationships/hyperlink" Target="http://dev.dashboard.evolvesolar.com/my-commissions.php?user_id=269&amp;payweek=2014-11-07" TargetMode="External"/><Relationship Id="rId3379" Type="http://schemas.openxmlformats.org/officeDocument/2006/relationships/hyperlink" Target="http://dev.dashboard.evolvesolar.com/my-commissions.php?user_id=88&amp;payweek=2014-07-11" TargetMode="External"/><Relationship Id="rId3586" Type="http://schemas.openxmlformats.org/officeDocument/2006/relationships/hyperlink" Target="http://dev.dashboard.evolvesolar.com/my-commissions.php?user_id=160&amp;payweek=2014-06-20" TargetMode="External"/><Relationship Id="rId3793" Type="http://schemas.openxmlformats.org/officeDocument/2006/relationships/hyperlink" Target="http://dev.dashboard.evolvesolar.com/my-commissions.php?user_id=83&amp;payweek=2014-05-30" TargetMode="External"/><Relationship Id="rId2188" Type="http://schemas.openxmlformats.org/officeDocument/2006/relationships/hyperlink" Target="http://dev.dashboard.evolvesolar.com/my-commissions.php?user_id=343&amp;payweek=2014-10-06" TargetMode="External"/><Relationship Id="rId2395" Type="http://schemas.openxmlformats.org/officeDocument/2006/relationships/hyperlink" Target="http://dev.dashboard.evolvesolar.com/my-commissions.php?user_id=233&amp;payweek=2014-09-19" TargetMode="External"/><Relationship Id="rId3239" Type="http://schemas.openxmlformats.org/officeDocument/2006/relationships/hyperlink" Target="http://dev.dashboard.evolvesolar.com/my-commissions.php?user_id=134&amp;payweek=2014-07-25" TargetMode="External"/><Relationship Id="rId3446" Type="http://schemas.openxmlformats.org/officeDocument/2006/relationships/hyperlink" Target="http://dev.dashboard.evolvesolar.com/my-commissions.php?user_id=154&amp;payweek=2014-07-04" TargetMode="External"/><Relationship Id="rId367" Type="http://schemas.openxmlformats.org/officeDocument/2006/relationships/hyperlink" Target="http://dev.dashboard.evolvesolar.com/my-commissions.php?user_id=255&amp;payweek=2015-01-23" TargetMode="External"/><Relationship Id="rId574" Type="http://schemas.openxmlformats.org/officeDocument/2006/relationships/hyperlink" Target="http://dev.dashboard.evolvesolar.com/my-commissions.php?user_id=422&amp;payweek=2015-01-09" TargetMode="External"/><Relationship Id="rId2048" Type="http://schemas.openxmlformats.org/officeDocument/2006/relationships/hyperlink" Target="http://dev.dashboard.evolvesolar.com/my-commissions.php?user_id=383&amp;payweek=2014-10-14" TargetMode="External"/><Relationship Id="rId2255" Type="http://schemas.openxmlformats.org/officeDocument/2006/relationships/hyperlink" Target="http://dev.dashboard.evolvesolar.com/my-commissions.php?user_id=383&amp;payweek=2014-10-01" TargetMode="External"/><Relationship Id="rId3653" Type="http://schemas.openxmlformats.org/officeDocument/2006/relationships/hyperlink" Target="http://dev.dashboard.evolvesolar.com/my-commissions.php?user_id=108&amp;payweek=2014-06-13" TargetMode="External"/><Relationship Id="rId3860" Type="http://schemas.openxmlformats.org/officeDocument/2006/relationships/hyperlink" Target="http://dev.dashboard.evolvesolar.com/my-commissions.php?user_id=108&amp;payweek=2014-05-23" TargetMode="External"/><Relationship Id="rId227" Type="http://schemas.openxmlformats.org/officeDocument/2006/relationships/hyperlink" Target="http://dev.dashboard.evolvesolar.com/my-commissions.php?user_id=969&amp;payweek=2015-02-06" TargetMode="External"/><Relationship Id="rId781" Type="http://schemas.openxmlformats.org/officeDocument/2006/relationships/hyperlink" Target="http://dev.dashboard.evolvesolar.com/my-commissions.php?user_id=255&amp;payweek=2014-12-26" TargetMode="External"/><Relationship Id="rId2462" Type="http://schemas.openxmlformats.org/officeDocument/2006/relationships/hyperlink" Target="http://dev.dashboard.evolvesolar.com/my-commissions.php?user_id=203&amp;payweek=2014-09-12" TargetMode="External"/><Relationship Id="rId3306" Type="http://schemas.openxmlformats.org/officeDocument/2006/relationships/hyperlink" Target="http://dev.dashboard.evolvesolar.com/my-commissions.php?user_id=27&amp;payweek=2014-07-18" TargetMode="External"/><Relationship Id="rId3513" Type="http://schemas.openxmlformats.org/officeDocument/2006/relationships/hyperlink" Target="http://dev.dashboard.evolvesolar.com/my-commissions.php?user_id=217&amp;payweek=2014-06-27" TargetMode="External"/><Relationship Id="rId3720" Type="http://schemas.openxmlformats.org/officeDocument/2006/relationships/hyperlink" Target="http://dev.dashboard.evolvesolar.com/my-commissions.php?user_id=71&amp;payweek=2014-06-06" TargetMode="External"/><Relationship Id="rId434" Type="http://schemas.openxmlformats.org/officeDocument/2006/relationships/hyperlink" Target="http://dev.dashboard.evolvesolar.com/my-commissions.php?user_id=27&amp;payweek=2015-01-15" TargetMode="External"/><Relationship Id="rId641" Type="http://schemas.openxmlformats.org/officeDocument/2006/relationships/hyperlink" Target="http://dev.dashboard.evolvesolar.com/my-commissions.php?user_id=539&amp;payweek=2015-01-06" TargetMode="External"/><Relationship Id="rId1064" Type="http://schemas.openxmlformats.org/officeDocument/2006/relationships/hyperlink" Target="http://dev.dashboard.evolvesolar.com/my-commissions.php?user_id=593&amp;payweek=2014-12-12" TargetMode="External"/><Relationship Id="rId1271" Type="http://schemas.openxmlformats.org/officeDocument/2006/relationships/hyperlink" Target="http://dev.dashboard.evolvesolar.com/my-commissions.php?user_id=599&amp;payweek=2014-11-25" TargetMode="External"/><Relationship Id="rId2115" Type="http://schemas.openxmlformats.org/officeDocument/2006/relationships/hyperlink" Target="http://dev.dashboard.evolvesolar.com/my-commissions.php?user_id=438&amp;payweek=2014-10-10" TargetMode="External"/><Relationship Id="rId2322" Type="http://schemas.openxmlformats.org/officeDocument/2006/relationships/hyperlink" Target="http://dev.dashboard.evolvesolar.com/my-commissions.php?user_id=437&amp;payweek=2014-09-25" TargetMode="External"/><Relationship Id="rId501" Type="http://schemas.openxmlformats.org/officeDocument/2006/relationships/hyperlink" Target="http://dev.dashboard.evolvesolar.com/my-commissions.php?user_id=750&amp;payweek=2015-01-15" TargetMode="External"/><Relationship Id="rId1131" Type="http://schemas.openxmlformats.org/officeDocument/2006/relationships/hyperlink" Target="http://dev.dashboard.evolvesolar.com/my-commissions.php?user_id=365&amp;payweek=2014-12-05" TargetMode="External"/><Relationship Id="rId3096" Type="http://schemas.openxmlformats.org/officeDocument/2006/relationships/hyperlink" Target="http://dev.dashboard.evolvesolar.com/my-commissions.php?user_id=231&amp;payweek=2014-08-07" TargetMode="External"/><Relationship Id="rId1948" Type="http://schemas.openxmlformats.org/officeDocument/2006/relationships/hyperlink" Target="http://dev.dashboard.evolvesolar.com/my-commissions.php?user_id=719&amp;payweek=2014-10-20" TargetMode="External"/><Relationship Id="rId3163" Type="http://schemas.openxmlformats.org/officeDocument/2006/relationships/hyperlink" Target="http://dev.dashboard.evolvesolar.com/my-commissions.php?user_id=133&amp;payweek=2014-07-31" TargetMode="External"/><Relationship Id="rId3370" Type="http://schemas.openxmlformats.org/officeDocument/2006/relationships/hyperlink" Target="http://dev.dashboard.evolvesolar.com/my-commissions.php?user_id=37&amp;payweek=2014-07-11" TargetMode="External"/><Relationship Id="rId4007" Type="http://schemas.openxmlformats.org/officeDocument/2006/relationships/hyperlink" Target="http://dev.dashboard.evolvesolar.com/my-commissions.php?user_id=82&amp;payweek=2014-04-17" TargetMode="External"/><Relationship Id="rId291" Type="http://schemas.openxmlformats.org/officeDocument/2006/relationships/hyperlink" Target="http://dev.dashboard.evolvesolar.com/my-commissions.php?user_id=672&amp;payweek=2015-01-30" TargetMode="External"/><Relationship Id="rId1808" Type="http://schemas.openxmlformats.org/officeDocument/2006/relationships/hyperlink" Target="http://dev.dashboard.evolvesolar.com/my-commissions.php?user_id=656&amp;payweek=2014-10-31" TargetMode="External"/><Relationship Id="rId3023" Type="http://schemas.openxmlformats.org/officeDocument/2006/relationships/hyperlink" Target="http://dev.dashboard.evolvesolar.com/my-commissions.php?user_id=152&amp;payweek=2014-08-08" TargetMode="External"/><Relationship Id="rId151" Type="http://schemas.openxmlformats.org/officeDocument/2006/relationships/hyperlink" Target="http://dev.dashboard.evolvesolar.com/my-commissions.php?user_id=610&amp;payweek=2015-02-06" TargetMode="External"/><Relationship Id="rId3230" Type="http://schemas.openxmlformats.org/officeDocument/2006/relationships/hyperlink" Target="http://dev.dashboard.evolvesolar.com/my-commissions.php?user_id=94&amp;payweek=2014-07-25" TargetMode="External"/><Relationship Id="rId2789" Type="http://schemas.openxmlformats.org/officeDocument/2006/relationships/hyperlink" Target="http://dev.dashboard.evolvesolar.com/my-commissions.php?user_id=392&amp;payweek=2014-08-28" TargetMode="External"/><Relationship Id="rId2996" Type="http://schemas.openxmlformats.org/officeDocument/2006/relationships/hyperlink" Target="http://dev.dashboard.evolvesolar.com/my-commissions.php?user_id=304&amp;payweek=2014-08-14" TargetMode="External"/><Relationship Id="rId968" Type="http://schemas.openxmlformats.org/officeDocument/2006/relationships/hyperlink" Target="http://dev.dashboard.evolvesolar.com/my-commissions.php?user_id=392&amp;payweek=2014-12-19" TargetMode="External"/><Relationship Id="rId1598" Type="http://schemas.openxmlformats.org/officeDocument/2006/relationships/hyperlink" Target="http://dev.dashboard.evolvesolar.com/my-commissions.php?user_id=41&amp;payweek=2014-11-07" TargetMode="External"/><Relationship Id="rId2649" Type="http://schemas.openxmlformats.org/officeDocument/2006/relationships/hyperlink" Target="http://dev.dashboard.evolvesolar.com/my-commissions.php?user_id=236&amp;payweek=2014-09-04" TargetMode="External"/><Relationship Id="rId2856" Type="http://schemas.openxmlformats.org/officeDocument/2006/relationships/hyperlink" Target="http://dev.dashboard.evolvesolar.com/my-commissions.php?user_id=254&amp;payweek=2014-08-22" TargetMode="External"/><Relationship Id="rId3907" Type="http://schemas.openxmlformats.org/officeDocument/2006/relationships/hyperlink" Target="http://dev.dashboard.evolvesolar.com/my-commissions.php?user_id=139&amp;payweek=2014-05-16" TargetMode="External"/><Relationship Id="rId97" Type="http://schemas.openxmlformats.org/officeDocument/2006/relationships/hyperlink" Target="http://dev.dashboard.evolvesolar.com/my-commissions.php?user_id=365&amp;payweek=2015-02-06" TargetMode="External"/><Relationship Id="rId828" Type="http://schemas.openxmlformats.org/officeDocument/2006/relationships/hyperlink" Target="http://dev.dashboard.evolvesolar.com/my-commissions.php?user_id=576&amp;payweek=2014-12-26" TargetMode="External"/><Relationship Id="rId1458" Type="http://schemas.openxmlformats.org/officeDocument/2006/relationships/hyperlink" Target="http://dev.dashboard.evolvesolar.com/my-commissions.php?user_id=184&amp;payweek=2014-11-14" TargetMode="External"/><Relationship Id="rId1665" Type="http://schemas.openxmlformats.org/officeDocument/2006/relationships/hyperlink" Target="http://dev.dashboard.evolvesolar.com/my-commissions.php?user_id=590&amp;payweek=2014-11-07" TargetMode="External"/><Relationship Id="rId1872" Type="http://schemas.openxmlformats.org/officeDocument/2006/relationships/hyperlink" Target="http://dev.dashboard.evolvesolar.com/my-commissions.php?user_id=551&amp;payweek=2014-10-24" TargetMode="External"/><Relationship Id="rId2509" Type="http://schemas.openxmlformats.org/officeDocument/2006/relationships/hyperlink" Target="http://dev.dashboard.evolvesolar.com/my-commissions.php?user_id=378&amp;payweek=2014-09-12" TargetMode="External"/><Relationship Id="rId2716" Type="http://schemas.openxmlformats.org/officeDocument/2006/relationships/hyperlink" Target="http://dev.dashboard.evolvesolar.com/my-commissions.php?user_id=326&amp;payweek=2014-08-29" TargetMode="External"/><Relationship Id="rId4071" Type="http://schemas.openxmlformats.org/officeDocument/2006/relationships/hyperlink" Target="http://dev.dashboard.evolvesolar.com/my-commissions.php?user_id=110&amp;payweek=2014-03-21" TargetMode="External"/><Relationship Id="rId1318" Type="http://schemas.openxmlformats.org/officeDocument/2006/relationships/hyperlink" Target="http://dev.dashboard.evolvesolar.com/my-commissions.php?user_id=63&amp;payweek=2014-11-21" TargetMode="External"/><Relationship Id="rId1525" Type="http://schemas.openxmlformats.org/officeDocument/2006/relationships/hyperlink" Target="http://dev.dashboard.evolvesolar.com/my-commissions.php?user_id=631&amp;payweek=2014-11-14" TargetMode="External"/><Relationship Id="rId2923" Type="http://schemas.openxmlformats.org/officeDocument/2006/relationships/hyperlink" Target="http://dev.dashboard.evolvesolar.com/my-commissions.php?user_id=37&amp;payweek=2014-08-15" TargetMode="External"/><Relationship Id="rId1732" Type="http://schemas.openxmlformats.org/officeDocument/2006/relationships/hyperlink" Target="http://dev.dashboard.evolvesolar.com/my-commissions.php?user_id=248&amp;payweek=2014-10-31" TargetMode="External"/><Relationship Id="rId24" Type="http://schemas.openxmlformats.org/officeDocument/2006/relationships/hyperlink" Target="http://dev.dashboard.evolvesolar.com/my-commissions.php?user_id=109&amp;payweek=2015-02-06" TargetMode="External"/><Relationship Id="rId2299" Type="http://schemas.openxmlformats.org/officeDocument/2006/relationships/hyperlink" Target="http://dev.dashboard.evolvesolar.com/my-commissions.php?user_id=321&amp;payweek=2014-09-25" TargetMode="External"/><Relationship Id="rId3697" Type="http://schemas.openxmlformats.org/officeDocument/2006/relationships/hyperlink" Target="http://dev.dashboard.evolvesolar.com/my-commissions.php?user_id=185&amp;payweek=2014-06-13" TargetMode="External"/><Relationship Id="rId3557" Type="http://schemas.openxmlformats.org/officeDocument/2006/relationships/hyperlink" Target="http://dev.dashboard.evolvesolar.com/my-commissions.php?user_id=137&amp;payweek=2014-06-20" TargetMode="External"/><Relationship Id="rId3764" Type="http://schemas.openxmlformats.org/officeDocument/2006/relationships/hyperlink" Target="http://dev.dashboard.evolvesolar.com/my-commissions.php?user_id=138&amp;payweek=2014-06-06" TargetMode="External"/><Relationship Id="rId3971" Type="http://schemas.openxmlformats.org/officeDocument/2006/relationships/hyperlink" Target="http://dev.dashboard.evolvesolar.com/my-commissions.php?user_id=104&amp;payweek=2014-04-25" TargetMode="External"/><Relationship Id="rId478" Type="http://schemas.openxmlformats.org/officeDocument/2006/relationships/hyperlink" Target="http://dev.dashboard.evolvesolar.com/my-commissions.php?user_id=626&amp;payweek=2015-01-15" TargetMode="External"/><Relationship Id="rId685" Type="http://schemas.openxmlformats.org/officeDocument/2006/relationships/hyperlink" Target="http://dev.dashboard.evolvesolar.com/my-commissions.php?user_id=285&amp;payweek=2014-12-31" TargetMode="External"/><Relationship Id="rId892" Type="http://schemas.openxmlformats.org/officeDocument/2006/relationships/hyperlink" Target="http://dev.dashboard.evolvesolar.com/my-commissions.php?user_id=28&amp;payweek=2014-12-22" TargetMode="External"/><Relationship Id="rId2159" Type="http://schemas.openxmlformats.org/officeDocument/2006/relationships/hyperlink" Target="http://dev.dashboard.evolvesolar.com/my-commissions.php?user_id=28&amp;payweek=2014-10-06" TargetMode="External"/><Relationship Id="rId2366" Type="http://schemas.openxmlformats.org/officeDocument/2006/relationships/hyperlink" Target="http://dev.dashboard.evolvesolar.com/my-commissions.php?user_id=255&amp;payweek=2014-09-22" TargetMode="External"/><Relationship Id="rId2573" Type="http://schemas.openxmlformats.org/officeDocument/2006/relationships/hyperlink" Target="http://dev.dashboard.evolvesolar.com/my-commissions.php?user_id=41&amp;payweek=2014-09-09" TargetMode="External"/><Relationship Id="rId2780" Type="http://schemas.openxmlformats.org/officeDocument/2006/relationships/hyperlink" Target="http://dev.dashboard.evolvesolar.com/my-commissions.php?user_id=304&amp;payweek=2014-08-28" TargetMode="External"/><Relationship Id="rId3417" Type="http://schemas.openxmlformats.org/officeDocument/2006/relationships/hyperlink" Target="http://dev.dashboard.evolvesolar.com/my-commissions.php?user_id=214&amp;payweek=2014-07-11" TargetMode="External"/><Relationship Id="rId3624" Type="http://schemas.openxmlformats.org/officeDocument/2006/relationships/hyperlink" Target="http://dev.dashboard.evolvesolar.com/my-commissions.php?user_id=38&amp;payweek=2014-06-13" TargetMode="External"/><Relationship Id="rId3831" Type="http://schemas.openxmlformats.org/officeDocument/2006/relationships/hyperlink" Target="http://dev.dashboard.evolvesolar.com/my-commissions.php?user_id=28&amp;payweek=2014-05-23" TargetMode="External"/><Relationship Id="rId338" Type="http://schemas.openxmlformats.org/officeDocument/2006/relationships/hyperlink" Target="http://dev.dashboard.evolvesolar.com/my-commissions.php?user_id=941&amp;payweek=2015-01-30" TargetMode="External"/><Relationship Id="rId545" Type="http://schemas.openxmlformats.org/officeDocument/2006/relationships/hyperlink" Target="http://dev.dashboard.evolvesolar.com/my-commissions.php?user_id=282&amp;payweek=2015-01-09" TargetMode="External"/><Relationship Id="rId752" Type="http://schemas.openxmlformats.org/officeDocument/2006/relationships/hyperlink" Target="http://dev.dashboard.evolvesolar.com/my-commissions.php?user_id=37&amp;payweek=2014-12-26" TargetMode="External"/><Relationship Id="rId1175" Type="http://schemas.openxmlformats.org/officeDocument/2006/relationships/hyperlink" Target="http://dev.dashboard.evolvesolar.com/my-commissions.php?user_id=711&amp;payweek=2014-12-05" TargetMode="External"/><Relationship Id="rId1382" Type="http://schemas.openxmlformats.org/officeDocument/2006/relationships/hyperlink" Target="http://dev.dashboard.evolvesolar.com/my-commissions.php?user_id=626&amp;payweek=2014-11-21" TargetMode="External"/><Relationship Id="rId2019" Type="http://schemas.openxmlformats.org/officeDocument/2006/relationships/hyperlink" Target="http://dev.dashboard.evolvesolar.com/my-commissions.php?user_id=499&amp;payweek=2014-10-17" TargetMode="External"/><Relationship Id="rId2226" Type="http://schemas.openxmlformats.org/officeDocument/2006/relationships/hyperlink" Target="http://dev.dashboard.evolvesolar.com/my-commissions.php?user_id=37&amp;payweek=2014-10-03" TargetMode="External"/><Relationship Id="rId2433" Type="http://schemas.openxmlformats.org/officeDocument/2006/relationships/hyperlink" Target="http://dev.dashboard.evolvesolar.com/my-commissions.php?user_id=548&amp;payweek=2014-09-19" TargetMode="External"/><Relationship Id="rId2640" Type="http://schemas.openxmlformats.org/officeDocument/2006/relationships/hyperlink" Target="http://dev.dashboard.evolvesolar.com/my-commissions.php?user_id=225&amp;payweek=2014-09-04" TargetMode="External"/><Relationship Id="rId405" Type="http://schemas.openxmlformats.org/officeDocument/2006/relationships/hyperlink" Target="http://dev.dashboard.evolvesolar.com/my-commissions.php?user_id=659&amp;payweek=2015-01-23" TargetMode="External"/><Relationship Id="rId612" Type="http://schemas.openxmlformats.org/officeDocument/2006/relationships/hyperlink" Target="http://dev.dashboard.evolvesolar.com/my-commissions.php?user_id=696&amp;payweek=2015-01-09" TargetMode="External"/><Relationship Id="rId1035" Type="http://schemas.openxmlformats.org/officeDocument/2006/relationships/hyperlink" Target="http://dev.dashboard.evolvesolar.com/my-commissions.php?user_id=326&amp;payweek=2014-12-12" TargetMode="External"/><Relationship Id="rId1242" Type="http://schemas.openxmlformats.org/officeDocument/2006/relationships/hyperlink" Target="http://dev.dashboard.evolvesolar.com/my-commissions.php?user_id=834&amp;payweek=2014-11-28" TargetMode="External"/><Relationship Id="rId2500" Type="http://schemas.openxmlformats.org/officeDocument/2006/relationships/hyperlink" Target="http://dev.dashboard.evolvesolar.com/my-commissions.php?user_id=355&amp;payweek=2014-09-12" TargetMode="External"/><Relationship Id="rId1102" Type="http://schemas.openxmlformats.org/officeDocument/2006/relationships/hyperlink" Target="http://dev.dashboard.evolvesolar.com/my-commissions.php?user_id=890&amp;payweek=2014-12-12" TargetMode="External"/><Relationship Id="rId3067" Type="http://schemas.openxmlformats.org/officeDocument/2006/relationships/hyperlink" Target="http://dev.dashboard.evolvesolar.com/my-commissions.php?user_id=391&amp;payweek=2014-08-08" TargetMode="External"/><Relationship Id="rId3274" Type="http://schemas.openxmlformats.org/officeDocument/2006/relationships/hyperlink" Target="http://dev.dashboard.evolvesolar.com/my-commissions.php?user_id=234&amp;payweek=2014-07-25" TargetMode="External"/><Relationship Id="rId195" Type="http://schemas.openxmlformats.org/officeDocument/2006/relationships/hyperlink" Target="http://dev.dashboard.evolvesolar.com/my-commissions.php?user_id=893&amp;payweek=2015-02-06" TargetMode="External"/><Relationship Id="rId1919" Type="http://schemas.openxmlformats.org/officeDocument/2006/relationships/hyperlink" Target="http://dev.dashboard.evolvesolar.com/my-commissions.php?user_id=185&amp;payweek=2014-10-22" TargetMode="External"/><Relationship Id="rId3481" Type="http://schemas.openxmlformats.org/officeDocument/2006/relationships/hyperlink" Target="http://dev.dashboard.evolvesolar.com/my-commissions.php?user_id=63&amp;payweek=2014-06-27" TargetMode="External"/><Relationship Id="rId2083" Type="http://schemas.openxmlformats.org/officeDocument/2006/relationships/hyperlink" Target="http://dev.dashboard.evolvesolar.com/my-commissions.php?user_id=269&amp;payweek=2014-10-10" TargetMode="External"/><Relationship Id="rId2290" Type="http://schemas.openxmlformats.org/officeDocument/2006/relationships/hyperlink" Target="http://dev.dashboard.evolvesolar.com/my-commissions.php?user_id=248&amp;payweek=2014-09-25" TargetMode="External"/><Relationship Id="rId3134" Type="http://schemas.openxmlformats.org/officeDocument/2006/relationships/hyperlink" Target="http://dev.dashboard.evolvesolar.com/my-commissions.php?user_id=99&amp;payweek=2014-08-02" TargetMode="External"/><Relationship Id="rId3341" Type="http://schemas.openxmlformats.org/officeDocument/2006/relationships/hyperlink" Target="http://dev.dashboard.evolvesolar.com/my-commissions.php?user_id=223&amp;payweek=2014-07-18" TargetMode="External"/><Relationship Id="rId262" Type="http://schemas.openxmlformats.org/officeDocument/2006/relationships/hyperlink" Target="http://dev.dashboard.evolvesolar.com/my-commissions.php?user_id=332&amp;payweek=2015-01-30" TargetMode="External"/><Relationship Id="rId2150" Type="http://schemas.openxmlformats.org/officeDocument/2006/relationships/hyperlink" Target="http://dev.dashboard.evolvesolar.com/my-commissions.php?user_id=650&amp;payweek=2014-10-10" TargetMode="External"/><Relationship Id="rId3201" Type="http://schemas.openxmlformats.org/officeDocument/2006/relationships/hyperlink" Target="http://dev.dashboard.evolvesolar.com/my-commissions.php?user_id=233&amp;payweek=2014-07-31" TargetMode="External"/><Relationship Id="rId122" Type="http://schemas.openxmlformats.org/officeDocument/2006/relationships/hyperlink" Target="http://dev.dashboard.evolvesolar.com/my-commissions.php?user_id=464&amp;payweek=2015-02-06" TargetMode="External"/><Relationship Id="rId2010" Type="http://schemas.openxmlformats.org/officeDocument/2006/relationships/hyperlink" Target="http://dev.dashboard.evolvesolar.com/my-commissions.php?user_id=422&amp;payweek=2014-10-17" TargetMode="External"/><Relationship Id="rId1569" Type="http://schemas.openxmlformats.org/officeDocument/2006/relationships/hyperlink" Target="http://dev.dashboard.evolvesolar.com/my-commissions.php?user_id=771&amp;payweek=2014-11-14" TargetMode="External"/><Relationship Id="rId2967" Type="http://schemas.openxmlformats.org/officeDocument/2006/relationships/hyperlink" Target="http://dev.dashboard.evolvesolar.com/my-commissions.php?user_id=183&amp;payweek=2014-08-14" TargetMode="External"/><Relationship Id="rId939" Type="http://schemas.openxmlformats.org/officeDocument/2006/relationships/hyperlink" Target="http://dev.dashboard.evolvesolar.com/my-commissions.php?user_id=722&amp;payweek=2014-12-22" TargetMode="External"/><Relationship Id="rId1776" Type="http://schemas.openxmlformats.org/officeDocument/2006/relationships/hyperlink" Target="http://dev.dashboard.evolvesolar.com/my-commissions.php?user_id=475&amp;payweek=2014-10-31" TargetMode="External"/><Relationship Id="rId1983" Type="http://schemas.openxmlformats.org/officeDocument/2006/relationships/hyperlink" Target="http://dev.dashboard.evolvesolar.com/my-commissions.php?user_id=250&amp;payweek=2014-10-17" TargetMode="External"/><Relationship Id="rId2827" Type="http://schemas.openxmlformats.org/officeDocument/2006/relationships/hyperlink" Target="http://dev.dashboard.evolvesolar.com/my-commissions.php?user_id=224&amp;payweek=2014-08-22" TargetMode="External"/><Relationship Id="rId4042" Type="http://schemas.openxmlformats.org/officeDocument/2006/relationships/hyperlink" Target="http://dev.dashboard.evolvesolar.com/my-commissions.php?user_id=257&amp;payweek=2014-04-11" TargetMode="External"/><Relationship Id="rId68" Type="http://schemas.openxmlformats.org/officeDocument/2006/relationships/hyperlink" Target="http://dev.dashboard.evolvesolar.com/my-commissions.php?user_id=248&amp;payweek=2015-02-06" TargetMode="External"/><Relationship Id="rId1429" Type="http://schemas.openxmlformats.org/officeDocument/2006/relationships/hyperlink" Target="http://dev.dashboard.evolvesolar.com/my-commissions.php?user_id=614&amp;payweek=2014-11-18" TargetMode="External"/><Relationship Id="rId1636" Type="http://schemas.openxmlformats.org/officeDocument/2006/relationships/hyperlink" Target="http://dev.dashboard.evolvesolar.com/my-commissions.php?user_id=389&amp;payweek=2014-11-07" TargetMode="External"/><Relationship Id="rId1843" Type="http://schemas.openxmlformats.org/officeDocument/2006/relationships/hyperlink" Target="http://dev.dashboard.evolvesolar.com/my-commissions.php?user_id=268&amp;payweek=2014-10-24" TargetMode="External"/><Relationship Id="rId1703" Type="http://schemas.openxmlformats.org/officeDocument/2006/relationships/hyperlink" Target="http://dev.dashboard.evolvesolar.com/my-commissions.php?user_id=711&amp;payweek=2014-11-07" TargetMode="External"/><Relationship Id="rId1910" Type="http://schemas.openxmlformats.org/officeDocument/2006/relationships/hyperlink" Target="http://dev.dashboard.evolvesolar.com/my-commissions.php?user_id=672&amp;payweek=2014-10-24" TargetMode="External"/><Relationship Id="rId3668" Type="http://schemas.openxmlformats.org/officeDocument/2006/relationships/hyperlink" Target="http://dev.dashboard.evolvesolar.com/my-commissions.php?user_id=130&amp;payweek=2014-06-13" TargetMode="External"/><Relationship Id="rId3875" Type="http://schemas.openxmlformats.org/officeDocument/2006/relationships/hyperlink" Target="http://dev.dashboard.evolvesolar.com/my-commissions.php?user_id=143&amp;payweek=2014-05-23" TargetMode="External"/><Relationship Id="rId589" Type="http://schemas.openxmlformats.org/officeDocument/2006/relationships/hyperlink" Target="http://dev.dashboard.evolvesolar.com/my-commissions.php?user_id=607&amp;payweek=2015-01-09" TargetMode="External"/><Relationship Id="rId796" Type="http://schemas.openxmlformats.org/officeDocument/2006/relationships/hyperlink" Target="http://dev.dashboard.evolvesolar.com/my-commissions.php?user_id=340&amp;payweek=2014-12-26" TargetMode="External"/><Relationship Id="rId2477" Type="http://schemas.openxmlformats.org/officeDocument/2006/relationships/hyperlink" Target="http://dev.dashboard.evolvesolar.com/my-commissions.php?user_id=261&amp;payweek=2014-09-12" TargetMode="External"/><Relationship Id="rId2684" Type="http://schemas.openxmlformats.org/officeDocument/2006/relationships/hyperlink" Target="http://dev.dashboard.evolvesolar.com/my-commissions.php?user_id=41&amp;payweek=2014-08-29" TargetMode="External"/><Relationship Id="rId3528" Type="http://schemas.openxmlformats.org/officeDocument/2006/relationships/hyperlink" Target="http://dev.dashboard.evolvesolar.com/my-commissions.php?user_id=50&amp;payweek=2014-06-20" TargetMode="External"/><Relationship Id="rId3735" Type="http://schemas.openxmlformats.org/officeDocument/2006/relationships/hyperlink" Target="http://dev.dashboard.evolvesolar.com/my-commissions.php?user_id=101&amp;payweek=2014-06-06" TargetMode="External"/><Relationship Id="rId449" Type="http://schemas.openxmlformats.org/officeDocument/2006/relationships/hyperlink" Target="http://dev.dashboard.evolvesolar.com/my-commissions.php?user_id=203&amp;payweek=2015-01-15" TargetMode="External"/><Relationship Id="rId656" Type="http://schemas.openxmlformats.org/officeDocument/2006/relationships/hyperlink" Target="http://dev.dashboard.evolvesolar.com/my-commissions.php?user_id=85&amp;payweek=2014-12-31" TargetMode="External"/><Relationship Id="rId863" Type="http://schemas.openxmlformats.org/officeDocument/2006/relationships/hyperlink" Target="http://dev.dashboard.evolvesolar.com/my-commissions.php?user_id=690&amp;payweek=2014-12-26" TargetMode="External"/><Relationship Id="rId1079" Type="http://schemas.openxmlformats.org/officeDocument/2006/relationships/hyperlink" Target="http://dev.dashboard.evolvesolar.com/my-commissions.php?user_id=714&amp;payweek=2014-12-12" TargetMode="External"/><Relationship Id="rId1286" Type="http://schemas.openxmlformats.org/officeDocument/2006/relationships/hyperlink" Target="http://dev.dashboard.evolvesolar.com/my-commissions.php?user_id=708&amp;payweek=2014-11-25" TargetMode="External"/><Relationship Id="rId1493" Type="http://schemas.openxmlformats.org/officeDocument/2006/relationships/hyperlink" Target="http://dev.dashboard.evolvesolar.com/my-commissions.php?user_id=365&amp;payweek=2014-11-14" TargetMode="External"/><Relationship Id="rId2337" Type="http://schemas.openxmlformats.org/officeDocument/2006/relationships/hyperlink" Target="http://dev.dashboard.evolvesolar.com/my-commissions.php?user_id=549&amp;payweek=2014-09-25" TargetMode="External"/><Relationship Id="rId2544" Type="http://schemas.openxmlformats.org/officeDocument/2006/relationships/hyperlink" Target="http://dev.dashboard.evolvesolar.com/my-commissions.php?user_id=498&amp;payweek=2014-09-12" TargetMode="External"/><Relationship Id="rId2891" Type="http://schemas.openxmlformats.org/officeDocument/2006/relationships/hyperlink" Target="http://dev.dashboard.evolvesolar.com/my-commissions.php?user_id=401&amp;payweek=2014-08-22" TargetMode="External"/><Relationship Id="rId3942" Type="http://schemas.openxmlformats.org/officeDocument/2006/relationships/hyperlink" Target="http://dev.dashboard.evolvesolar.com/my-commissions.php?user_id=41&amp;payweek=2014-05-03" TargetMode="External"/><Relationship Id="rId309" Type="http://schemas.openxmlformats.org/officeDocument/2006/relationships/hyperlink" Target="http://dev.dashboard.evolvesolar.com/my-commissions.php?user_id=753&amp;payweek=2015-01-30" TargetMode="External"/><Relationship Id="rId516" Type="http://schemas.openxmlformats.org/officeDocument/2006/relationships/hyperlink" Target="http://dev.dashboard.evolvesolar.com/my-commissions.php?user_id=898&amp;payweek=2015-01-12" TargetMode="External"/><Relationship Id="rId1146" Type="http://schemas.openxmlformats.org/officeDocument/2006/relationships/hyperlink" Target="http://dev.dashboard.evolvesolar.com/my-commissions.php?user_id=598&amp;payweek=2014-12-05" TargetMode="External"/><Relationship Id="rId2751" Type="http://schemas.openxmlformats.org/officeDocument/2006/relationships/hyperlink" Target="http://dev.dashboard.evolvesolar.com/my-commissions.php?user_id=133&amp;payweek=2014-08-28" TargetMode="External"/><Relationship Id="rId3802" Type="http://schemas.openxmlformats.org/officeDocument/2006/relationships/hyperlink" Target="http://dev.dashboard.evolvesolar.com/my-commissions.php?user_id=100&amp;payweek=2014-05-30" TargetMode="External"/><Relationship Id="rId723" Type="http://schemas.openxmlformats.org/officeDocument/2006/relationships/hyperlink" Target="http://dev.dashboard.evolvesolar.com/my-commissions.php?user_id=606&amp;payweek=2014-12-31" TargetMode="External"/><Relationship Id="rId930" Type="http://schemas.openxmlformats.org/officeDocument/2006/relationships/hyperlink" Target="http://dev.dashboard.evolvesolar.com/my-commissions.php?user_id=679&amp;payweek=2014-12-22" TargetMode="External"/><Relationship Id="rId1006" Type="http://schemas.openxmlformats.org/officeDocument/2006/relationships/hyperlink" Target="http://dev.dashboard.evolvesolar.com/my-commissions.php?user_id=109&amp;payweek=2014-12-12" TargetMode="External"/><Relationship Id="rId1353" Type="http://schemas.openxmlformats.org/officeDocument/2006/relationships/hyperlink" Target="http://dev.dashboard.evolvesolar.com/my-commissions.php?user_id=365&amp;payweek=2014-11-21" TargetMode="External"/><Relationship Id="rId1560" Type="http://schemas.openxmlformats.org/officeDocument/2006/relationships/hyperlink" Target="http://dev.dashboard.evolvesolar.com/my-commissions.php?user_id=725&amp;payweek=2014-11-14" TargetMode="External"/><Relationship Id="rId2404" Type="http://schemas.openxmlformats.org/officeDocument/2006/relationships/hyperlink" Target="http://dev.dashboard.evolvesolar.com/my-commissions.php?user_id=269&amp;payweek=2014-09-19" TargetMode="External"/><Relationship Id="rId2611" Type="http://schemas.openxmlformats.org/officeDocument/2006/relationships/hyperlink" Target="http://dev.dashboard.evolvesolar.com/my-commissions.php?user_id=389&amp;payweek=2014-09-05" TargetMode="External"/><Relationship Id="rId1213" Type="http://schemas.openxmlformats.org/officeDocument/2006/relationships/hyperlink" Target="http://dev.dashboard.evolvesolar.com/my-commissions.php?user_id=261&amp;payweek=2014-11-28" TargetMode="External"/><Relationship Id="rId1420" Type="http://schemas.openxmlformats.org/officeDocument/2006/relationships/hyperlink" Target="http://dev.dashboard.evolvesolar.com/my-commissions.php?user_id=790&amp;payweek=2014-11-21" TargetMode="External"/><Relationship Id="rId3178" Type="http://schemas.openxmlformats.org/officeDocument/2006/relationships/hyperlink" Target="http://dev.dashboard.evolvesolar.com/my-commissions.php?user_id=179&amp;payweek=2014-07-31" TargetMode="External"/><Relationship Id="rId3385" Type="http://schemas.openxmlformats.org/officeDocument/2006/relationships/hyperlink" Target="http://dev.dashboard.evolvesolar.com/my-commissions.php?user_id=108&amp;payweek=2014-07-11" TargetMode="External"/><Relationship Id="rId3592" Type="http://schemas.openxmlformats.org/officeDocument/2006/relationships/hyperlink" Target="http://dev.dashboard.evolvesolar.com/my-commissions.php?user_id=164&amp;payweek=2014-06-20" TargetMode="External"/><Relationship Id="rId2194" Type="http://schemas.openxmlformats.org/officeDocument/2006/relationships/hyperlink" Target="http://dev.dashboard.evolvesolar.com/my-commissions.php?user_id=383&amp;payweek=2014-10-06" TargetMode="External"/><Relationship Id="rId3038" Type="http://schemas.openxmlformats.org/officeDocument/2006/relationships/hyperlink" Target="http://dev.dashboard.evolvesolar.com/my-commissions.php?user_id=231&amp;payweek=2014-08-08" TargetMode="External"/><Relationship Id="rId3245" Type="http://schemas.openxmlformats.org/officeDocument/2006/relationships/hyperlink" Target="http://dev.dashboard.evolvesolar.com/my-commissions.php?user_id=152&amp;payweek=2014-07-25" TargetMode="External"/><Relationship Id="rId3452" Type="http://schemas.openxmlformats.org/officeDocument/2006/relationships/hyperlink" Target="http://dev.dashboard.evolvesolar.com/my-commissions.php?user_id=202&amp;payweek=2014-07-04" TargetMode="External"/><Relationship Id="rId166" Type="http://schemas.openxmlformats.org/officeDocument/2006/relationships/hyperlink" Target="http://dev.dashboard.evolvesolar.com/my-commissions.php?user_id=660&amp;payweek=2015-02-06" TargetMode="External"/><Relationship Id="rId373" Type="http://schemas.openxmlformats.org/officeDocument/2006/relationships/hyperlink" Target="http://dev.dashboard.evolvesolar.com/my-commissions.php?user_id=282&amp;payweek=2015-01-23" TargetMode="External"/><Relationship Id="rId580" Type="http://schemas.openxmlformats.org/officeDocument/2006/relationships/hyperlink" Target="http://dev.dashboard.evolvesolar.com/my-commissions.php?user_id=468&amp;payweek=2015-01-09" TargetMode="External"/><Relationship Id="rId2054" Type="http://schemas.openxmlformats.org/officeDocument/2006/relationships/hyperlink" Target="http://dev.dashboard.evolvesolar.com/my-commissions.php?user_id=474&amp;payweek=2014-10-14" TargetMode="External"/><Relationship Id="rId2261" Type="http://schemas.openxmlformats.org/officeDocument/2006/relationships/hyperlink" Target="http://dev.dashboard.evolvesolar.com/my-commissions.php?user_id=218&amp;payweek=2014-09-29" TargetMode="External"/><Relationship Id="rId3105" Type="http://schemas.openxmlformats.org/officeDocument/2006/relationships/hyperlink" Target="http://dev.dashboard.evolvesolar.com/my-commissions.php?user_id=245&amp;payweek=2014-08-07" TargetMode="External"/><Relationship Id="rId3312" Type="http://schemas.openxmlformats.org/officeDocument/2006/relationships/hyperlink" Target="http://dev.dashboard.evolvesolar.com/my-commissions.php?user_id=85&amp;payweek=2014-07-18" TargetMode="External"/><Relationship Id="rId233" Type="http://schemas.openxmlformats.org/officeDocument/2006/relationships/hyperlink" Target="http://dev.dashboard.evolvesolar.com/my-commissions.php?user_id=614&amp;payweek=2015-02-01" TargetMode="External"/><Relationship Id="rId440" Type="http://schemas.openxmlformats.org/officeDocument/2006/relationships/hyperlink" Target="http://dev.dashboard.evolvesolar.com/my-commissions.php?user_id=41&amp;payweek=2015-01-15" TargetMode="External"/><Relationship Id="rId1070" Type="http://schemas.openxmlformats.org/officeDocument/2006/relationships/hyperlink" Target="http://dev.dashboard.evolvesolar.com/my-commissions.php?user_id=632&amp;payweek=2014-12-12" TargetMode="External"/><Relationship Id="rId2121" Type="http://schemas.openxmlformats.org/officeDocument/2006/relationships/hyperlink" Target="http://dev.dashboard.evolvesolar.com/my-commissions.php?user_id=550&amp;payweek=2014-10-10" TargetMode="External"/><Relationship Id="rId300" Type="http://schemas.openxmlformats.org/officeDocument/2006/relationships/hyperlink" Target="http://dev.dashboard.evolvesolar.com/my-commissions.php?user_id=702&amp;payweek=2015-01-30" TargetMode="External"/><Relationship Id="rId4086" Type="http://schemas.openxmlformats.org/officeDocument/2006/relationships/hyperlink" Target="http://dev.dashboard.evolvesolar.com/my-commissions.php?user_id=110&amp;payweek=2014-03-14" TargetMode="External"/><Relationship Id="rId1887" Type="http://schemas.openxmlformats.org/officeDocument/2006/relationships/hyperlink" Target="http://dev.dashboard.evolvesolar.com/my-commissions.php?user_id=601&amp;payweek=2014-10-24" TargetMode="External"/><Relationship Id="rId2938" Type="http://schemas.openxmlformats.org/officeDocument/2006/relationships/hyperlink" Target="http://dev.dashboard.evolvesolar.com/my-commissions.php?user_id=140&amp;payweek=2014-08-15" TargetMode="External"/><Relationship Id="rId1747" Type="http://schemas.openxmlformats.org/officeDocument/2006/relationships/hyperlink" Target="http://dev.dashboard.evolvesolar.com/my-commissions.php?user_id=332&amp;payweek=2014-10-31" TargetMode="External"/><Relationship Id="rId1954" Type="http://schemas.openxmlformats.org/officeDocument/2006/relationships/hyperlink" Target="http://dev.dashboard.evolvesolar.com/my-commissions.php?user_id=37&amp;payweek=2014-10-17" TargetMode="External"/><Relationship Id="rId39" Type="http://schemas.openxmlformats.org/officeDocument/2006/relationships/hyperlink" Target="http://dev.dashboard.evolvesolar.com/my-commissions.php?user_id=140&amp;payweek=2015-02-06" TargetMode="External"/><Relationship Id="rId1607" Type="http://schemas.openxmlformats.org/officeDocument/2006/relationships/hyperlink" Target="http://dev.dashboard.evolvesolar.com/my-commissions.php?user_id=175&amp;payweek=2014-11-07" TargetMode="External"/><Relationship Id="rId1814" Type="http://schemas.openxmlformats.org/officeDocument/2006/relationships/hyperlink" Target="http://dev.dashboard.evolvesolar.com/my-commissions.php?user_id=679&amp;payweek=2014-10-31" TargetMode="External"/><Relationship Id="rId4013" Type="http://schemas.openxmlformats.org/officeDocument/2006/relationships/hyperlink" Target="http://dev.dashboard.evolvesolar.com/my-commissions.php?user_id=101&amp;payweek=2014-04-17" TargetMode="External"/><Relationship Id="rId3779" Type="http://schemas.openxmlformats.org/officeDocument/2006/relationships/hyperlink" Target="http://dev.dashboard.evolvesolar.com/my-commissions.php?user_id=27&amp;payweek=2014-05-30" TargetMode="External"/><Relationship Id="rId2588" Type="http://schemas.openxmlformats.org/officeDocument/2006/relationships/hyperlink" Target="http://dev.dashboard.evolvesolar.com/my-commissions.php?user_id=41&amp;payweek=2014-09-05" TargetMode="External"/><Relationship Id="rId3986" Type="http://schemas.openxmlformats.org/officeDocument/2006/relationships/hyperlink" Target="http://dev.dashboard.evolvesolar.com/my-commissions.php?user_id=85&amp;payweek=2014-04-24" TargetMode="External"/><Relationship Id="rId1397" Type="http://schemas.openxmlformats.org/officeDocument/2006/relationships/hyperlink" Target="http://dev.dashboard.evolvesolar.com/my-commissions.php?user_id=690&amp;payweek=2014-11-21" TargetMode="External"/><Relationship Id="rId2795" Type="http://schemas.openxmlformats.org/officeDocument/2006/relationships/hyperlink" Target="http://dev.dashboard.evolvesolar.com/my-commissions.php?user_id=185&amp;payweek=2014-08-25" TargetMode="External"/><Relationship Id="rId3639" Type="http://schemas.openxmlformats.org/officeDocument/2006/relationships/hyperlink" Target="http://dev.dashboard.evolvesolar.com/my-commissions.php?user_id=71&amp;payweek=2014-06-13" TargetMode="External"/><Relationship Id="rId3846" Type="http://schemas.openxmlformats.org/officeDocument/2006/relationships/hyperlink" Target="http://dev.dashboard.evolvesolar.com/my-commissions.php?user_id=84&amp;payweek=2014-05-23" TargetMode="External"/><Relationship Id="rId767" Type="http://schemas.openxmlformats.org/officeDocument/2006/relationships/hyperlink" Target="http://dev.dashboard.evolvesolar.com/my-commissions.php?user_id=141&amp;payweek=2014-12-26" TargetMode="External"/><Relationship Id="rId974" Type="http://schemas.openxmlformats.org/officeDocument/2006/relationships/hyperlink" Target="http://dev.dashboard.evolvesolar.com/my-commissions.php?user_id=475&amp;payweek=2014-12-19" TargetMode="External"/><Relationship Id="rId2448" Type="http://schemas.openxmlformats.org/officeDocument/2006/relationships/hyperlink" Target="http://dev.dashboard.evolvesolar.com/my-commissions.php?user_id=617&amp;payweek=2014-09-15" TargetMode="External"/><Relationship Id="rId2655" Type="http://schemas.openxmlformats.org/officeDocument/2006/relationships/hyperlink" Target="http://dev.dashboard.evolvesolar.com/my-commissions.php?user_id=260&amp;payweek=2014-09-04" TargetMode="External"/><Relationship Id="rId2862" Type="http://schemas.openxmlformats.org/officeDocument/2006/relationships/hyperlink" Target="http://dev.dashboard.evolvesolar.com/my-commissions.php?user_id=269&amp;payweek=2014-08-22" TargetMode="External"/><Relationship Id="rId3706" Type="http://schemas.openxmlformats.org/officeDocument/2006/relationships/hyperlink" Target="http://dev.dashboard.evolvesolar.com/my-commissions.php?user_id=41&amp;payweek=2014-06-06" TargetMode="External"/><Relationship Id="rId3913" Type="http://schemas.openxmlformats.org/officeDocument/2006/relationships/hyperlink" Target="http://dev.dashboard.evolvesolar.com/my-commissions.php?user_id=37&amp;payweek=2014-05-09" TargetMode="External"/><Relationship Id="rId627" Type="http://schemas.openxmlformats.org/officeDocument/2006/relationships/hyperlink" Target="http://dev.dashboard.evolvesolar.com/my-commissions.php?user_id=790&amp;payweek=2015-01-09" TargetMode="External"/><Relationship Id="rId834" Type="http://schemas.openxmlformats.org/officeDocument/2006/relationships/hyperlink" Target="http://dev.dashboard.evolvesolar.com/my-commissions.php?user_id=594&amp;payweek=2014-12-26" TargetMode="External"/><Relationship Id="rId1257" Type="http://schemas.openxmlformats.org/officeDocument/2006/relationships/hyperlink" Target="http://dev.dashboard.evolvesolar.com/my-commissions.php?user_id=365&amp;payweek=2014-11-25" TargetMode="External"/><Relationship Id="rId1464" Type="http://schemas.openxmlformats.org/officeDocument/2006/relationships/hyperlink" Target="http://dev.dashboard.evolvesolar.com/my-commissions.php?user_id=212&amp;payweek=2014-11-14" TargetMode="External"/><Relationship Id="rId1671" Type="http://schemas.openxmlformats.org/officeDocument/2006/relationships/hyperlink" Target="http://dev.dashboard.evolvesolar.com/my-commissions.php?user_id=607&amp;payweek=2014-11-07" TargetMode="External"/><Relationship Id="rId2308" Type="http://schemas.openxmlformats.org/officeDocument/2006/relationships/hyperlink" Target="http://dev.dashboard.evolvesolar.com/my-commissions.php?user_id=379&amp;payweek=2014-09-25" TargetMode="External"/><Relationship Id="rId2515" Type="http://schemas.openxmlformats.org/officeDocument/2006/relationships/hyperlink" Target="http://dev.dashboard.evolvesolar.com/my-commissions.php?user_id=392&amp;payweek=2014-09-12" TargetMode="External"/><Relationship Id="rId2722" Type="http://schemas.openxmlformats.org/officeDocument/2006/relationships/hyperlink" Target="http://dev.dashboard.evolvesolar.com/my-commissions.php?user_id=347&amp;payweek=2014-08-29" TargetMode="External"/><Relationship Id="rId901" Type="http://schemas.openxmlformats.org/officeDocument/2006/relationships/hyperlink" Target="http://dev.dashboard.evolvesolar.com/my-commissions.php?user_id=217&amp;payweek=2014-12-22" TargetMode="External"/><Relationship Id="rId1117" Type="http://schemas.openxmlformats.org/officeDocument/2006/relationships/hyperlink" Target="http://dev.dashboard.evolvesolar.com/my-commissions.php?user_id=217&amp;payweek=2014-12-05" TargetMode="External"/><Relationship Id="rId1324" Type="http://schemas.openxmlformats.org/officeDocument/2006/relationships/hyperlink" Target="http://dev.dashboard.evolvesolar.com/my-commissions.php?user_id=180&amp;payweek=2014-11-21" TargetMode="External"/><Relationship Id="rId1531" Type="http://schemas.openxmlformats.org/officeDocument/2006/relationships/hyperlink" Target="http://dev.dashboard.evolvesolar.com/my-commissions.php?user_id=664&amp;payweek=2014-11-14" TargetMode="External"/><Relationship Id="rId30" Type="http://schemas.openxmlformats.org/officeDocument/2006/relationships/hyperlink" Target="http://dev.dashboard.evolvesolar.com/my-commissions.php?user_id=118&amp;payweek=2015-02-06" TargetMode="External"/><Relationship Id="rId3289" Type="http://schemas.openxmlformats.org/officeDocument/2006/relationships/hyperlink" Target="http://dev.dashboard.evolvesolar.com/my-commissions.php?user_id=282&amp;payweek=2014-07-25" TargetMode="External"/><Relationship Id="rId3496" Type="http://schemas.openxmlformats.org/officeDocument/2006/relationships/hyperlink" Target="http://dev.dashboard.evolvesolar.com/my-commissions.php?user_id=120&amp;payweek=2014-06-27" TargetMode="External"/><Relationship Id="rId2098" Type="http://schemas.openxmlformats.org/officeDocument/2006/relationships/hyperlink" Target="http://dev.dashboard.evolvesolar.com/my-commissions.php?user_id=355&amp;payweek=2014-10-10" TargetMode="External"/><Relationship Id="rId3149" Type="http://schemas.openxmlformats.org/officeDocument/2006/relationships/hyperlink" Target="http://dev.dashboard.evolvesolar.com/my-commissions.php?user_id=363&amp;payweek=2014-08-02" TargetMode="External"/><Relationship Id="rId3356" Type="http://schemas.openxmlformats.org/officeDocument/2006/relationships/hyperlink" Target="http://dev.dashboard.evolvesolar.com/my-commissions.php?user_id=255&amp;payweek=2014-07-18" TargetMode="External"/><Relationship Id="rId3563" Type="http://schemas.openxmlformats.org/officeDocument/2006/relationships/hyperlink" Target="http://dev.dashboard.evolvesolar.com/my-commissions.php?user_id=140&amp;payweek=2014-06-20" TargetMode="External"/><Relationship Id="rId277" Type="http://schemas.openxmlformats.org/officeDocument/2006/relationships/hyperlink" Target="http://dev.dashboard.evolvesolar.com/my-commissions.php?user_id=580&amp;payweek=2015-01-30" TargetMode="External"/><Relationship Id="rId484" Type="http://schemas.openxmlformats.org/officeDocument/2006/relationships/hyperlink" Target="http://dev.dashboard.evolvesolar.com/my-commissions.php?user_id=648&amp;payweek=2015-01-15" TargetMode="External"/><Relationship Id="rId2165" Type="http://schemas.openxmlformats.org/officeDocument/2006/relationships/hyperlink" Target="http://dev.dashboard.evolvesolar.com/my-commissions.php?user_id=133&amp;payweek=2014-10-06" TargetMode="External"/><Relationship Id="rId3009" Type="http://schemas.openxmlformats.org/officeDocument/2006/relationships/hyperlink" Target="http://dev.dashboard.evolvesolar.com/my-commissions.php?user_id=202&amp;payweek=2014-08-11" TargetMode="External"/><Relationship Id="rId3216" Type="http://schemas.openxmlformats.org/officeDocument/2006/relationships/hyperlink" Target="http://dev.dashboard.evolvesolar.com/my-commissions.php?user_id=328&amp;payweek=2014-07-31" TargetMode="External"/><Relationship Id="rId3770" Type="http://schemas.openxmlformats.org/officeDocument/2006/relationships/hyperlink" Target="http://dev.dashboard.evolvesolar.com/my-commissions.php?user_id=142&amp;payweek=2014-06-06" TargetMode="External"/><Relationship Id="rId137" Type="http://schemas.openxmlformats.org/officeDocument/2006/relationships/hyperlink" Target="http://dev.dashboard.evolvesolar.com/my-commissions.php?user_id=583&amp;payweek=2015-02-06" TargetMode="External"/><Relationship Id="rId344" Type="http://schemas.openxmlformats.org/officeDocument/2006/relationships/hyperlink" Target="http://dev.dashboard.evolvesolar.com/my-commissions.php?user_id=964&amp;payweek=2015-01-30" TargetMode="External"/><Relationship Id="rId691" Type="http://schemas.openxmlformats.org/officeDocument/2006/relationships/hyperlink" Target="http://dev.dashboard.evolvesolar.com/my-commissions.php?user_id=324&amp;payweek=2014-12-31" TargetMode="External"/><Relationship Id="rId2025" Type="http://schemas.openxmlformats.org/officeDocument/2006/relationships/hyperlink" Target="http://dev.dashboard.evolvesolar.com/my-commissions.php?user_id=580&amp;payweek=2014-10-17" TargetMode="External"/><Relationship Id="rId2372" Type="http://schemas.openxmlformats.org/officeDocument/2006/relationships/hyperlink" Target="http://dev.dashboard.evolvesolar.com/my-commissions.php?user_id=27&amp;payweek=2014-09-19" TargetMode="External"/><Relationship Id="rId3423" Type="http://schemas.openxmlformats.org/officeDocument/2006/relationships/hyperlink" Target="http://dev.dashboard.evolvesolar.com/my-commissions.php?user_id=232&amp;payweek=2014-07-11" TargetMode="External"/><Relationship Id="rId3630" Type="http://schemas.openxmlformats.org/officeDocument/2006/relationships/hyperlink" Target="http://dev.dashboard.evolvesolar.com/my-commissions.php?user_id=52&amp;payweek=2014-06-13" TargetMode="External"/><Relationship Id="rId551" Type="http://schemas.openxmlformats.org/officeDocument/2006/relationships/hyperlink" Target="http://dev.dashboard.evolvesolar.com/my-commissions.php?user_id=326&amp;payweek=2015-01-09" TargetMode="External"/><Relationship Id="rId1181" Type="http://schemas.openxmlformats.org/officeDocument/2006/relationships/hyperlink" Target="http://dev.dashboard.evolvesolar.com/my-commissions.php?user_id=726&amp;payweek=2014-12-05" TargetMode="External"/><Relationship Id="rId2232" Type="http://schemas.openxmlformats.org/officeDocument/2006/relationships/hyperlink" Target="http://dev.dashboard.evolvesolar.com/my-commissions.php?user_id=261&amp;payweek=2014-10-03" TargetMode="External"/><Relationship Id="rId204" Type="http://schemas.openxmlformats.org/officeDocument/2006/relationships/hyperlink" Target="http://dev.dashboard.evolvesolar.com/my-commissions.php?user_id=911&amp;payweek=2015-02-06" TargetMode="External"/><Relationship Id="rId411" Type="http://schemas.openxmlformats.org/officeDocument/2006/relationships/hyperlink" Target="http://dev.dashboard.evolvesolar.com/my-commissions.php?user_id=714&amp;payweek=2015-01-23" TargetMode="External"/><Relationship Id="rId1041" Type="http://schemas.openxmlformats.org/officeDocument/2006/relationships/hyperlink" Target="http://dev.dashboard.evolvesolar.com/my-commissions.php?user_id=382&amp;payweek=2014-12-12" TargetMode="External"/><Relationship Id="rId1998" Type="http://schemas.openxmlformats.org/officeDocument/2006/relationships/hyperlink" Target="http://dev.dashboard.evolvesolar.com/my-commissions.php?user_id=355&amp;payweek=2014-10-17" TargetMode="External"/><Relationship Id="rId1858" Type="http://schemas.openxmlformats.org/officeDocument/2006/relationships/hyperlink" Target="http://dev.dashboard.evolvesolar.com/my-commissions.php?user_id=383&amp;payweek=2014-10-24" TargetMode="External"/><Relationship Id="rId4057" Type="http://schemas.openxmlformats.org/officeDocument/2006/relationships/hyperlink" Target="http://dev.dashboard.evolvesolar.com/my-commissions.php?user_id=33&amp;payweek=2014-04-03" TargetMode="External"/><Relationship Id="rId2909" Type="http://schemas.openxmlformats.org/officeDocument/2006/relationships/hyperlink" Target="http://dev.dashboard.evolvesolar.com/my-commissions.php?user_id=574&amp;payweek=2014-08-22" TargetMode="External"/><Relationship Id="rId3073" Type="http://schemas.openxmlformats.org/officeDocument/2006/relationships/hyperlink" Target="http://dev.dashboard.evolvesolar.com/my-commissions.php?user_id=183&amp;payweek=2014-08-07" TargetMode="External"/><Relationship Id="rId3280" Type="http://schemas.openxmlformats.org/officeDocument/2006/relationships/hyperlink" Target="http://dev.dashboard.evolvesolar.com/my-commissions.php?user_id=247&amp;payweek=2014-07-25" TargetMode="External"/><Relationship Id="rId1718" Type="http://schemas.openxmlformats.org/officeDocument/2006/relationships/hyperlink" Target="http://dev.dashboard.evolvesolar.com/my-commissions.php?user_id=672&amp;payweek=2014-11-04" TargetMode="External"/><Relationship Id="rId1925" Type="http://schemas.openxmlformats.org/officeDocument/2006/relationships/hyperlink" Target="http://dev.dashboard.evolvesolar.com/my-commissions.php?user_id=699&amp;payweek=2014-10-21" TargetMode="External"/><Relationship Id="rId3140" Type="http://schemas.openxmlformats.org/officeDocument/2006/relationships/hyperlink" Target="http://dev.dashboard.evolvesolar.com/my-commissions.php?user_id=261&amp;payweek=2014-08-02" TargetMode="External"/><Relationship Id="rId2699" Type="http://schemas.openxmlformats.org/officeDocument/2006/relationships/hyperlink" Target="http://dev.dashboard.evolvesolar.com/my-commissions.php?user_id=232&amp;payweek=2014-08-29" TargetMode="External"/><Relationship Id="rId3000" Type="http://schemas.openxmlformats.org/officeDocument/2006/relationships/hyperlink" Target="http://dev.dashboard.evolvesolar.com/my-commissions.php?user_id=373&amp;payweek=2014-08-14" TargetMode="External"/><Relationship Id="rId3957" Type="http://schemas.openxmlformats.org/officeDocument/2006/relationships/hyperlink" Target="http://dev.dashboard.evolvesolar.com/my-commissions.php?user_id=88&amp;payweek=2014-05-02" TargetMode="External"/><Relationship Id="rId878" Type="http://schemas.openxmlformats.org/officeDocument/2006/relationships/hyperlink" Target="http://dev.dashboard.evolvesolar.com/my-commissions.php?user_id=784&amp;payweek=2014-12-26" TargetMode="External"/><Relationship Id="rId2559" Type="http://schemas.openxmlformats.org/officeDocument/2006/relationships/hyperlink" Target="http://dev.dashboard.evolvesolar.com/my-commissions.php?user_id=553&amp;payweek=2014-09-12" TargetMode="External"/><Relationship Id="rId2766" Type="http://schemas.openxmlformats.org/officeDocument/2006/relationships/hyperlink" Target="http://dev.dashboard.evolvesolar.com/my-commissions.php?user_id=230&amp;payweek=2014-08-28" TargetMode="External"/><Relationship Id="rId2973" Type="http://schemas.openxmlformats.org/officeDocument/2006/relationships/hyperlink" Target="http://dev.dashboard.evolvesolar.com/my-commissions.php?user_id=203&amp;payweek=2014-08-14" TargetMode="External"/><Relationship Id="rId3817" Type="http://schemas.openxmlformats.org/officeDocument/2006/relationships/hyperlink" Target="http://dev.dashboard.evolvesolar.com/my-commissions.php?user_id=119&amp;payweek=2014-05-30" TargetMode="External"/><Relationship Id="rId738" Type="http://schemas.openxmlformats.org/officeDocument/2006/relationships/hyperlink" Target="http://dev.dashboard.evolvesolar.com/my-commissions.php?user_id=660&amp;payweek=2014-12-31" TargetMode="External"/><Relationship Id="rId945" Type="http://schemas.openxmlformats.org/officeDocument/2006/relationships/hyperlink" Target="http://dev.dashboard.evolvesolar.com/my-commissions.php?user_id=807&amp;payweek=2014-12-22" TargetMode="External"/><Relationship Id="rId1368" Type="http://schemas.openxmlformats.org/officeDocument/2006/relationships/hyperlink" Target="http://dev.dashboard.evolvesolar.com/my-commissions.php?user_id=410&amp;payweek=2014-11-21" TargetMode="External"/><Relationship Id="rId1575" Type="http://schemas.openxmlformats.org/officeDocument/2006/relationships/hyperlink" Target="http://dev.dashboard.evolvesolar.com/my-commissions.php?user_id=790&amp;payweek=2014-11-14" TargetMode="External"/><Relationship Id="rId1782" Type="http://schemas.openxmlformats.org/officeDocument/2006/relationships/hyperlink" Target="http://dev.dashboard.evolvesolar.com/my-commissions.php?user_id=539&amp;payweek=2014-10-31" TargetMode="External"/><Relationship Id="rId2419" Type="http://schemas.openxmlformats.org/officeDocument/2006/relationships/hyperlink" Target="http://dev.dashboard.evolvesolar.com/my-commissions.php?user_id=397&amp;payweek=2014-09-19" TargetMode="External"/><Relationship Id="rId2626" Type="http://schemas.openxmlformats.org/officeDocument/2006/relationships/hyperlink" Target="http://dev.dashboard.evolvesolar.com/my-commissions.php?user_id=133&amp;payweek=2014-09-04" TargetMode="External"/><Relationship Id="rId2833" Type="http://schemas.openxmlformats.org/officeDocument/2006/relationships/hyperlink" Target="http://dev.dashboard.evolvesolar.com/my-commissions.php?user_id=231&amp;payweek=2014-08-22" TargetMode="External"/><Relationship Id="rId74" Type="http://schemas.openxmlformats.org/officeDocument/2006/relationships/hyperlink" Target="http://dev.dashboard.evolvesolar.com/my-commissions.php?user_id=261&amp;payweek=2015-02-06" TargetMode="External"/><Relationship Id="rId805" Type="http://schemas.openxmlformats.org/officeDocument/2006/relationships/hyperlink" Target="http://dev.dashboard.evolvesolar.com/my-commissions.php?user_id=389&amp;payweek=2014-12-26" TargetMode="External"/><Relationship Id="rId1228" Type="http://schemas.openxmlformats.org/officeDocument/2006/relationships/hyperlink" Target="http://dev.dashboard.evolvesolar.com/my-commissions.php?user_id=621&amp;payweek=2014-11-28" TargetMode="External"/><Relationship Id="rId1435" Type="http://schemas.openxmlformats.org/officeDocument/2006/relationships/hyperlink" Target="http://dev.dashboard.evolvesolar.com/my-commissions.php?user_id=28&amp;payweek=2014-11-14" TargetMode="External"/><Relationship Id="rId1642" Type="http://schemas.openxmlformats.org/officeDocument/2006/relationships/hyperlink" Target="http://dev.dashboard.evolvesolar.com/my-commissions.php?user_id=422&amp;payweek=2014-11-07" TargetMode="External"/><Relationship Id="rId2900" Type="http://schemas.openxmlformats.org/officeDocument/2006/relationships/hyperlink" Target="http://dev.dashboard.evolvesolar.com/my-commissions.php?user_id=415&amp;payweek=2014-08-22" TargetMode="External"/><Relationship Id="rId1502" Type="http://schemas.openxmlformats.org/officeDocument/2006/relationships/hyperlink" Target="http://dev.dashboard.evolvesolar.com/my-commissions.php?user_id=422&amp;payweek=2014-11-14" TargetMode="External"/><Relationship Id="rId388" Type="http://schemas.openxmlformats.org/officeDocument/2006/relationships/hyperlink" Target="http://dev.dashboard.evolvesolar.com/my-commissions.php?user_id=382&amp;payweek=2015-01-23" TargetMode="External"/><Relationship Id="rId2069" Type="http://schemas.openxmlformats.org/officeDocument/2006/relationships/hyperlink" Target="http://dev.dashboard.evolvesolar.com/my-commissions.php?user_id=63&amp;payweek=2014-10-10" TargetMode="External"/><Relationship Id="rId3467" Type="http://schemas.openxmlformats.org/officeDocument/2006/relationships/hyperlink" Target="http://dev.dashboard.evolvesolar.com/my-commissions.php?user_id=140&amp;payweek=2014-07-03" TargetMode="External"/><Relationship Id="rId3674" Type="http://schemas.openxmlformats.org/officeDocument/2006/relationships/hyperlink" Target="http://dev.dashboard.evolvesolar.com/my-commissions.php?user_id=137&amp;payweek=2014-06-13" TargetMode="External"/><Relationship Id="rId3881" Type="http://schemas.openxmlformats.org/officeDocument/2006/relationships/hyperlink" Target="http://dev.dashboard.evolvesolar.com/my-commissions.php?user_id=37&amp;payweek=2014-05-16" TargetMode="External"/><Relationship Id="rId595" Type="http://schemas.openxmlformats.org/officeDocument/2006/relationships/hyperlink" Target="http://dev.dashboard.evolvesolar.com/my-commissions.php?user_id=631&amp;payweek=2015-01-09" TargetMode="External"/><Relationship Id="rId2276" Type="http://schemas.openxmlformats.org/officeDocument/2006/relationships/hyperlink" Target="http://dev.dashboard.evolvesolar.com/my-commissions.php?user_id=429&amp;payweek=2014-09-26" TargetMode="External"/><Relationship Id="rId2483" Type="http://schemas.openxmlformats.org/officeDocument/2006/relationships/hyperlink" Target="http://dev.dashboard.evolvesolar.com/my-commissions.php?user_id=282&amp;payweek=2014-09-12" TargetMode="External"/><Relationship Id="rId2690" Type="http://schemas.openxmlformats.org/officeDocument/2006/relationships/hyperlink" Target="http://dev.dashboard.evolvesolar.com/my-commissions.php?user_id=87&amp;payweek=2014-08-29" TargetMode="External"/><Relationship Id="rId3327" Type="http://schemas.openxmlformats.org/officeDocument/2006/relationships/hyperlink" Target="http://dev.dashboard.evolvesolar.com/my-commissions.php?user_id=185&amp;payweek=2014-07-18" TargetMode="External"/><Relationship Id="rId3534" Type="http://schemas.openxmlformats.org/officeDocument/2006/relationships/hyperlink" Target="http://dev.dashboard.evolvesolar.com/my-commissions.php?user_id=71&amp;payweek=2014-06-20" TargetMode="External"/><Relationship Id="rId3741" Type="http://schemas.openxmlformats.org/officeDocument/2006/relationships/hyperlink" Target="http://dev.dashboard.evolvesolar.com/my-commissions.php?user_id=109&amp;payweek=2014-06-06" TargetMode="External"/><Relationship Id="rId248" Type="http://schemas.openxmlformats.org/officeDocument/2006/relationships/hyperlink" Target="http://dev.dashboard.evolvesolar.com/my-commissions.php?user_id=133&amp;payweek=2015-01-30" TargetMode="External"/><Relationship Id="rId455" Type="http://schemas.openxmlformats.org/officeDocument/2006/relationships/hyperlink" Target="http://dev.dashboard.evolvesolar.com/my-commissions.php?user_id=282&amp;payweek=2015-01-15" TargetMode="External"/><Relationship Id="rId662" Type="http://schemas.openxmlformats.org/officeDocument/2006/relationships/hyperlink" Target="http://dev.dashboard.evolvesolar.com/my-commissions.php?user_id=109&amp;payweek=2014-12-31" TargetMode="External"/><Relationship Id="rId1085" Type="http://schemas.openxmlformats.org/officeDocument/2006/relationships/hyperlink" Target="http://dev.dashboard.evolvesolar.com/my-commissions.php?user_id=725&amp;payweek=2014-12-12" TargetMode="External"/><Relationship Id="rId1292" Type="http://schemas.openxmlformats.org/officeDocument/2006/relationships/hyperlink" Target="http://dev.dashboard.evolvesolar.com/my-commissions.php?user_id=725&amp;payweek=2014-11-25" TargetMode="External"/><Relationship Id="rId2136" Type="http://schemas.openxmlformats.org/officeDocument/2006/relationships/hyperlink" Target="http://dev.dashboard.evolvesolar.com/my-commissions.php?user_id=601&amp;payweek=2014-10-10" TargetMode="External"/><Relationship Id="rId2343" Type="http://schemas.openxmlformats.org/officeDocument/2006/relationships/hyperlink" Target="http://dev.dashboard.evolvesolar.com/my-commissions.php?user_id=574&amp;payweek=2014-09-25" TargetMode="External"/><Relationship Id="rId2550" Type="http://schemas.openxmlformats.org/officeDocument/2006/relationships/hyperlink" Target="http://dev.dashboard.evolvesolar.com/my-commissions.php?user_id=539&amp;payweek=2014-09-12" TargetMode="External"/><Relationship Id="rId3601" Type="http://schemas.openxmlformats.org/officeDocument/2006/relationships/hyperlink" Target="http://dev.dashboard.evolvesolar.com/my-commissions.php?user_id=218&amp;payweek=2014-06-20" TargetMode="External"/><Relationship Id="rId108" Type="http://schemas.openxmlformats.org/officeDocument/2006/relationships/hyperlink" Target="http://dev.dashboard.evolvesolar.com/my-commissions.php?user_id=405&amp;payweek=2015-02-06" TargetMode="External"/><Relationship Id="rId315" Type="http://schemas.openxmlformats.org/officeDocument/2006/relationships/hyperlink" Target="http://dev.dashboard.evolvesolar.com/my-commissions.php?user_id=809&amp;payweek=2015-01-30" TargetMode="External"/><Relationship Id="rId522" Type="http://schemas.openxmlformats.org/officeDocument/2006/relationships/hyperlink" Target="http://dev.dashboard.evolvesolar.com/my-commissions.php?user_id=63&amp;payweek=2015-01-09" TargetMode="External"/><Relationship Id="rId1152" Type="http://schemas.openxmlformats.org/officeDocument/2006/relationships/hyperlink" Target="http://dev.dashboard.evolvesolar.com/my-commissions.php?user_id=638&amp;payweek=2014-12-05" TargetMode="External"/><Relationship Id="rId2203" Type="http://schemas.openxmlformats.org/officeDocument/2006/relationships/hyperlink" Target="http://dev.dashboard.evolvesolar.com/my-commissions.php?user_id=464&amp;payweek=2014-10-06" TargetMode="External"/><Relationship Id="rId2410" Type="http://schemas.openxmlformats.org/officeDocument/2006/relationships/hyperlink" Target="http://dev.dashboard.evolvesolar.com/my-commissions.php?user_id=365&amp;payweek=2014-09-19" TargetMode="External"/><Relationship Id="rId1012" Type="http://schemas.openxmlformats.org/officeDocument/2006/relationships/hyperlink" Target="http://dev.dashboard.evolvesolar.com/my-commissions.php?user_id=153&amp;payweek=2014-12-12" TargetMode="External"/><Relationship Id="rId1969" Type="http://schemas.openxmlformats.org/officeDocument/2006/relationships/hyperlink" Target="http://dev.dashboard.evolvesolar.com/my-commissions.php?user_id=117&amp;payweek=2014-10-17" TargetMode="External"/><Relationship Id="rId3184" Type="http://schemas.openxmlformats.org/officeDocument/2006/relationships/hyperlink" Target="http://dev.dashboard.evolvesolar.com/my-commissions.php?user_id=203&amp;payweek=2014-07-31" TargetMode="External"/><Relationship Id="rId4028" Type="http://schemas.openxmlformats.org/officeDocument/2006/relationships/hyperlink" Target="http://dev.dashboard.evolvesolar.com/my-commissions.php?user_id=89&amp;payweek=2014-04-11" TargetMode="External"/><Relationship Id="rId1829" Type="http://schemas.openxmlformats.org/officeDocument/2006/relationships/hyperlink" Target="http://dev.dashboard.evolvesolar.com/my-commissions.php?user_id=85&amp;payweek=2014-10-24" TargetMode="External"/><Relationship Id="rId3391" Type="http://schemas.openxmlformats.org/officeDocument/2006/relationships/hyperlink" Target="http://dev.dashboard.evolvesolar.com/my-commissions.php?user_id=119&amp;payweek=2014-07-11" TargetMode="External"/><Relationship Id="rId3044" Type="http://schemas.openxmlformats.org/officeDocument/2006/relationships/hyperlink" Target="http://dev.dashboard.evolvesolar.com/my-commissions.php?user_id=234&amp;payweek=2014-08-08" TargetMode="External"/><Relationship Id="rId3251" Type="http://schemas.openxmlformats.org/officeDocument/2006/relationships/hyperlink" Target="http://dev.dashboard.evolvesolar.com/my-commissions.php?user_id=164&amp;payweek=2014-07-25" TargetMode="External"/><Relationship Id="rId172" Type="http://schemas.openxmlformats.org/officeDocument/2006/relationships/hyperlink" Target="http://dev.dashboard.evolvesolar.com/my-commissions.php?user_id=702&amp;payweek=2015-02-06" TargetMode="External"/><Relationship Id="rId2060" Type="http://schemas.openxmlformats.org/officeDocument/2006/relationships/hyperlink" Target="http://dev.dashboard.evolvesolar.com/my-commissions.php?user_id=660&amp;payweek=2014-10-14" TargetMode="External"/><Relationship Id="rId3111" Type="http://schemas.openxmlformats.org/officeDocument/2006/relationships/hyperlink" Target="http://dev.dashboard.evolvesolar.com/my-commissions.php?user_id=328&amp;payweek=2014-08-07" TargetMode="External"/><Relationship Id="rId989" Type="http://schemas.openxmlformats.org/officeDocument/2006/relationships/hyperlink" Target="http://dev.dashboard.evolvesolar.com/my-commissions.php?user_id=831&amp;payweek=2014-12-19" TargetMode="External"/><Relationship Id="rId2877" Type="http://schemas.openxmlformats.org/officeDocument/2006/relationships/hyperlink" Target="http://dev.dashboard.evolvesolar.com/my-commissions.php?user_id=355&amp;payweek=2014-08-22" TargetMode="External"/><Relationship Id="rId849" Type="http://schemas.openxmlformats.org/officeDocument/2006/relationships/hyperlink" Target="http://dev.dashboard.evolvesolar.com/my-commissions.php?user_id=648&amp;payweek=2014-12-26" TargetMode="External"/><Relationship Id="rId1479" Type="http://schemas.openxmlformats.org/officeDocument/2006/relationships/hyperlink" Target="http://dev.dashboard.evolvesolar.com/my-commissions.php?user_id=295&amp;payweek=2014-11-14" TargetMode="External"/><Relationship Id="rId1686" Type="http://schemas.openxmlformats.org/officeDocument/2006/relationships/hyperlink" Target="http://dev.dashboard.evolvesolar.com/my-commissions.php?user_id=656&amp;payweek=2014-11-07" TargetMode="External"/><Relationship Id="rId3928" Type="http://schemas.openxmlformats.org/officeDocument/2006/relationships/hyperlink" Target="http://dev.dashboard.evolvesolar.com/my-commissions.php?user_id=88&amp;payweek=2014-05-09" TargetMode="External"/><Relationship Id="rId4092" Type="http://schemas.openxmlformats.org/officeDocument/2006/relationships/hyperlink" Target="http://dev.dashboard.evolvesolar.com/my-commissions.php?user_id=110&amp;payweek=2014-03-07" TargetMode="External"/><Relationship Id="rId1339" Type="http://schemas.openxmlformats.org/officeDocument/2006/relationships/hyperlink" Target="http://dev.dashboard.evolvesolar.com/my-commissions.php?user_id=282&amp;payweek=2014-11-21" TargetMode="External"/><Relationship Id="rId1893" Type="http://schemas.openxmlformats.org/officeDocument/2006/relationships/hyperlink" Target="http://dev.dashboard.evolvesolar.com/my-commissions.php?user_id=614&amp;payweek=2014-10-24" TargetMode="External"/><Relationship Id="rId2737" Type="http://schemas.openxmlformats.org/officeDocument/2006/relationships/hyperlink" Target="http://dev.dashboard.evolvesolar.com/my-commissions.php?user_id=443&amp;payweek=2014-08-29" TargetMode="External"/><Relationship Id="rId2944" Type="http://schemas.openxmlformats.org/officeDocument/2006/relationships/hyperlink" Target="http://dev.dashboard.evolvesolar.com/my-commissions.php?user_id=185&amp;payweek=2014-08-15" TargetMode="External"/><Relationship Id="rId709" Type="http://schemas.openxmlformats.org/officeDocument/2006/relationships/hyperlink" Target="http://dev.dashboard.evolvesolar.com/my-commissions.php?user_id=464&amp;payweek=2014-12-31" TargetMode="External"/><Relationship Id="rId916" Type="http://schemas.openxmlformats.org/officeDocument/2006/relationships/hyperlink" Target="http://dev.dashboard.evolvesolar.com/my-commissions.php?user_id=401&amp;payweek=2014-12-22" TargetMode="External"/><Relationship Id="rId1546" Type="http://schemas.openxmlformats.org/officeDocument/2006/relationships/hyperlink" Target="http://dev.dashboard.evolvesolar.com/my-commissions.php?user_id=703&amp;payweek=2014-11-14" TargetMode="External"/><Relationship Id="rId1753" Type="http://schemas.openxmlformats.org/officeDocument/2006/relationships/hyperlink" Target="http://dev.dashboard.evolvesolar.com/my-commissions.php?user_id=358&amp;payweek=2014-10-31" TargetMode="External"/><Relationship Id="rId1960" Type="http://schemas.openxmlformats.org/officeDocument/2006/relationships/hyperlink" Target="http://dev.dashboard.evolvesolar.com/my-commissions.php?user_id=82&amp;payweek=2014-10-17" TargetMode="External"/><Relationship Id="rId2804" Type="http://schemas.openxmlformats.org/officeDocument/2006/relationships/hyperlink" Target="http://dev.dashboard.evolvesolar.com/my-commissions.php?user_id=63&amp;payweek=2014-08-22" TargetMode="External"/><Relationship Id="rId45" Type="http://schemas.openxmlformats.org/officeDocument/2006/relationships/hyperlink" Target="http://dev.dashboard.evolvesolar.com/my-commissions.php?user_id=155&amp;payweek=2015-02-06" TargetMode="External"/><Relationship Id="rId1406" Type="http://schemas.openxmlformats.org/officeDocument/2006/relationships/hyperlink" Target="http://dev.dashboard.evolvesolar.com/my-commissions.php?user_id=714&amp;payweek=2014-11-21" TargetMode="External"/><Relationship Id="rId1613" Type="http://schemas.openxmlformats.org/officeDocument/2006/relationships/hyperlink" Target="http://dev.dashboard.evolvesolar.com/my-commissions.php?user_id=212&amp;payweek=2014-11-07" TargetMode="External"/><Relationship Id="rId1820" Type="http://schemas.openxmlformats.org/officeDocument/2006/relationships/hyperlink" Target="http://dev.dashboard.evolvesolar.com/my-commissions.php?user_id=722&amp;payweek=2014-10-31" TargetMode="External"/><Relationship Id="rId3578" Type="http://schemas.openxmlformats.org/officeDocument/2006/relationships/hyperlink" Target="http://dev.dashboard.evolvesolar.com/my-commissions.php?user_id=154&amp;payweek=2014-06-20" TargetMode="External"/><Relationship Id="rId3785" Type="http://schemas.openxmlformats.org/officeDocument/2006/relationships/hyperlink" Target="http://dev.dashboard.evolvesolar.com/my-commissions.php?user_id=54&amp;payweek=2014-05-30" TargetMode="External"/><Relationship Id="rId3992" Type="http://schemas.openxmlformats.org/officeDocument/2006/relationships/hyperlink" Target="http://dev.dashboard.evolvesolar.com/my-commissions.php?user_id=110&amp;payweek=2014-04-24" TargetMode="External"/><Relationship Id="rId499" Type="http://schemas.openxmlformats.org/officeDocument/2006/relationships/hyperlink" Target="http://dev.dashboard.evolvesolar.com/my-commissions.php?user_id=735&amp;payweek=2015-01-15" TargetMode="External"/><Relationship Id="rId2387" Type="http://schemas.openxmlformats.org/officeDocument/2006/relationships/hyperlink" Target="http://dev.dashboard.evolvesolar.com/my-commissions.php?user_id=203&amp;payweek=2014-09-19" TargetMode="External"/><Relationship Id="rId2594" Type="http://schemas.openxmlformats.org/officeDocument/2006/relationships/hyperlink" Target="http://dev.dashboard.evolvesolar.com/my-commissions.php?user_id=157&amp;payweek=2014-09-05" TargetMode="External"/><Relationship Id="rId3438" Type="http://schemas.openxmlformats.org/officeDocument/2006/relationships/hyperlink" Target="http://dev.dashboard.evolvesolar.com/my-commissions.php?user_id=396&amp;payweek=2014-07-11" TargetMode="External"/><Relationship Id="rId3645" Type="http://schemas.openxmlformats.org/officeDocument/2006/relationships/hyperlink" Target="http://dev.dashboard.evolvesolar.com/my-commissions.php?user_id=94&amp;payweek=2014-06-13" TargetMode="External"/><Relationship Id="rId3852" Type="http://schemas.openxmlformats.org/officeDocument/2006/relationships/hyperlink" Target="http://dev.dashboard.evolvesolar.com/my-commissions.php?user_id=88&amp;payweek=2014-05-23" TargetMode="External"/><Relationship Id="rId359" Type="http://schemas.openxmlformats.org/officeDocument/2006/relationships/hyperlink" Target="http://dev.dashboard.evolvesolar.com/my-commissions.php?user_id=147&amp;payweek=2015-01-23" TargetMode="External"/><Relationship Id="rId566" Type="http://schemas.openxmlformats.org/officeDocument/2006/relationships/hyperlink" Target="http://dev.dashboard.evolvesolar.com/my-commissions.php?user_id=389&amp;payweek=2015-01-09" TargetMode="External"/><Relationship Id="rId773" Type="http://schemas.openxmlformats.org/officeDocument/2006/relationships/hyperlink" Target="http://dev.dashboard.evolvesolar.com/my-commissions.php?user_id=179&amp;payweek=2014-12-26" TargetMode="External"/><Relationship Id="rId1196" Type="http://schemas.openxmlformats.org/officeDocument/2006/relationships/hyperlink" Target="http://dev.dashboard.evolvesolar.com/my-commissions.php?user_id=817&amp;payweek=2014-12-05" TargetMode="External"/><Relationship Id="rId2247" Type="http://schemas.openxmlformats.org/officeDocument/2006/relationships/hyperlink" Target="http://dev.dashboard.evolvesolar.com/my-commissions.php?user_id=487&amp;payweek=2014-10-03" TargetMode="External"/><Relationship Id="rId2454" Type="http://schemas.openxmlformats.org/officeDocument/2006/relationships/hyperlink" Target="http://dev.dashboard.evolvesolar.com/my-commissions.php?user_id=85&amp;payweek=2014-09-12" TargetMode="External"/><Relationship Id="rId3505" Type="http://schemas.openxmlformats.org/officeDocument/2006/relationships/hyperlink" Target="http://dev.dashboard.evolvesolar.com/my-commissions.php?user_id=155&amp;payweek=2014-06-27" TargetMode="External"/><Relationship Id="rId219" Type="http://schemas.openxmlformats.org/officeDocument/2006/relationships/hyperlink" Target="http://dev.dashboard.evolvesolar.com/my-commissions.php?user_id=957&amp;payweek=2015-02-06" TargetMode="External"/><Relationship Id="rId426" Type="http://schemas.openxmlformats.org/officeDocument/2006/relationships/hyperlink" Target="http://dev.dashboard.evolvesolar.com/my-commissions.php?user_id=890&amp;payweek=2015-01-23" TargetMode="External"/><Relationship Id="rId633" Type="http://schemas.openxmlformats.org/officeDocument/2006/relationships/hyperlink" Target="http://dev.dashboard.evolvesolar.com/my-commissions.php?user_id=832&amp;payweek=2015-01-09" TargetMode="External"/><Relationship Id="rId980" Type="http://schemas.openxmlformats.org/officeDocument/2006/relationships/hyperlink" Target="http://dev.dashboard.evolvesolar.com/my-commissions.php?user_id=607&amp;payweek=2014-12-19" TargetMode="External"/><Relationship Id="rId1056" Type="http://schemas.openxmlformats.org/officeDocument/2006/relationships/hyperlink" Target="http://dev.dashboard.evolvesolar.com/my-commissions.php?user_id=551&amp;payweek=2014-12-12" TargetMode="External"/><Relationship Id="rId1263" Type="http://schemas.openxmlformats.org/officeDocument/2006/relationships/hyperlink" Target="http://dev.dashboard.evolvesolar.com/my-commissions.php?user_id=410&amp;payweek=2014-11-25" TargetMode="External"/><Relationship Id="rId2107" Type="http://schemas.openxmlformats.org/officeDocument/2006/relationships/hyperlink" Target="http://dev.dashboard.evolvesolar.com/my-commissions.php?user_id=405&amp;payweek=2014-10-10" TargetMode="External"/><Relationship Id="rId2314" Type="http://schemas.openxmlformats.org/officeDocument/2006/relationships/hyperlink" Target="http://dev.dashboard.evolvesolar.com/my-commissions.php?user_id=401&amp;payweek=2014-09-25" TargetMode="External"/><Relationship Id="rId2661" Type="http://schemas.openxmlformats.org/officeDocument/2006/relationships/hyperlink" Target="http://dev.dashboard.evolvesolar.com/my-commissions.php?user_id=326&amp;payweek=2014-09-04" TargetMode="External"/><Relationship Id="rId3712" Type="http://schemas.openxmlformats.org/officeDocument/2006/relationships/hyperlink" Target="http://dev.dashboard.evolvesolar.com/my-commissions.php?user_id=52&amp;payweek=2014-06-06" TargetMode="External"/><Relationship Id="rId840" Type="http://schemas.openxmlformats.org/officeDocument/2006/relationships/hyperlink" Target="http://dev.dashboard.evolvesolar.com/my-commissions.php?user_id=621&amp;payweek=2014-12-26" TargetMode="External"/><Relationship Id="rId1470" Type="http://schemas.openxmlformats.org/officeDocument/2006/relationships/hyperlink" Target="http://dev.dashboard.evolvesolar.com/my-commissions.php?user_id=261&amp;payweek=2014-11-14" TargetMode="External"/><Relationship Id="rId2521" Type="http://schemas.openxmlformats.org/officeDocument/2006/relationships/hyperlink" Target="http://dev.dashboard.evolvesolar.com/my-commissions.php?user_id=403&amp;payweek=2014-09-12" TargetMode="External"/><Relationship Id="rId700" Type="http://schemas.openxmlformats.org/officeDocument/2006/relationships/hyperlink" Target="http://dev.dashboard.evolvesolar.com/my-commissions.php?user_id=405&amp;payweek=2014-12-31" TargetMode="External"/><Relationship Id="rId1123" Type="http://schemas.openxmlformats.org/officeDocument/2006/relationships/hyperlink" Target="http://dev.dashboard.evolvesolar.com/my-commissions.php?user_id=261&amp;payweek=2014-12-05" TargetMode="External"/><Relationship Id="rId1330" Type="http://schemas.openxmlformats.org/officeDocument/2006/relationships/hyperlink" Target="http://dev.dashboard.evolvesolar.com/my-commissions.php?user_id=217&amp;payweek=2014-11-21" TargetMode="External"/><Relationship Id="rId3088" Type="http://schemas.openxmlformats.org/officeDocument/2006/relationships/hyperlink" Target="http://dev.dashboard.evolvesolar.com/my-commissions.php?user_id=224&amp;payweek=2014-08-07" TargetMode="External"/><Relationship Id="rId3295" Type="http://schemas.openxmlformats.org/officeDocument/2006/relationships/hyperlink" Target="http://dev.dashboard.evolvesolar.com/my-commissions.php?user_id=373&amp;payweek=2014-07-23" TargetMode="External"/><Relationship Id="rId3155" Type="http://schemas.openxmlformats.org/officeDocument/2006/relationships/hyperlink" Target="http://dev.dashboard.evolvesolar.com/my-commissions.php?user_id=37&amp;payweek=2014-07-31" TargetMode="External"/><Relationship Id="rId3362" Type="http://schemas.openxmlformats.org/officeDocument/2006/relationships/hyperlink" Target="http://dev.dashboard.evolvesolar.com/my-commissions.php?user_id=379&amp;payweek=2014-07-18" TargetMode="External"/><Relationship Id="rId283" Type="http://schemas.openxmlformats.org/officeDocument/2006/relationships/hyperlink" Target="http://dev.dashboard.evolvesolar.com/my-commissions.php?user_id=632&amp;payweek=2015-01-30" TargetMode="External"/><Relationship Id="rId490" Type="http://schemas.openxmlformats.org/officeDocument/2006/relationships/hyperlink" Target="http://dev.dashboard.evolvesolar.com/my-commissions.php?user_id=679&amp;payweek=2015-01-15" TargetMode="External"/><Relationship Id="rId2171" Type="http://schemas.openxmlformats.org/officeDocument/2006/relationships/hyperlink" Target="http://dev.dashboard.evolvesolar.com/my-commissions.php?user_id=234&amp;payweek=2014-10-06" TargetMode="External"/><Relationship Id="rId3015" Type="http://schemas.openxmlformats.org/officeDocument/2006/relationships/hyperlink" Target="http://dev.dashboard.evolvesolar.com/my-commissions.php?user_id=41&amp;payweek=2014-08-08" TargetMode="External"/><Relationship Id="rId3222" Type="http://schemas.openxmlformats.org/officeDocument/2006/relationships/hyperlink" Target="http://dev.dashboard.evolvesolar.com/my-commissions.php?user_id=63&amp;payweek=2014-07-29" TargetMode="External"/><Relationship Id="rId143" Type="http://schemas.openxmlformats.org/officeDocument/2006/relationships/hyperlink" Target="http://dev.dashboard.evolvesolar.com/my-commissions.php?user_id=601&amp;payweek=2015-02-06" TargetMode="External"/><Relationship Id="rId350" Type="http://schemas.openxmlformats.org/officeDocument/2006/relationships/hyperlink" Target="http://dev.dashboard.evolvesolar.com/my-commissions.php?user_id=190&amp;payweek=2015-01-27" TargetMode="External"/><Relationship Id="rId2031" Type="http://schemas.openxmlformats.org/officeDocument/2006/relationships/hyperlink" Target="http://dev.dashboard.evolvesolar.com/my-commissions.php?user_id=599&amp;payweek=2014-10-17" TargetMode="External"/><Relationship Id="rId9" Type="http://schemas.openxmlformats.org/officeDocument/2006/relationships/hyperlink" Target="http://dev.dashboard.evolvesolar.com/my-commissions.php?user_id=41&amp;payweek=2015-02-06" TargetMode="External"/><Relationship Id="rId210" Type="http://schemas.openxmlformats.org/officeDocument/2006/relationships/hyperlink" Target="http://dev.dashboard.evolvesolar.com/my-commissions.php?user_id=930&amp;payweek=2015-02-06" TargetMode="External"/><Relationship Id="rId2988" Type="http://schemas.openxmlformats.org/officeDocument/2006/relationships/hyperlink" Target="http://dev.dashboard.evolvesolar.com/my-commissions.php?user_id=244&amp;payweek=2014-08-14" TargetMode="External"/><Relationship Id="rId1797" Type="http://schemas.openxmlformats.org/officeDocument/2006/relationships/hyperlink" Target="http://dev.dashboard.evolvesolar.com/my-commissions.php?user_id=626&amp;payweek=2014-10-31" TargetMode="External"/><Relationship Id="rId2848" Type="http://schemas.openxmlformats.org/officeDocument/2006/relationships/hyperlink" Target="http://dev.dashboard.evolvesolar.com/my-commissions.php?user_id=245&amp;payweek=2014-08-22" TargetMode="External"/><Relationship Id="rId89" Type="http://schemas.openxmlformats.org/officeDocument/2006/relationships/hyperlink" Target="http://dev.dashboard.evolvesolar.com/my-commissions.php?user_id=325&amp;payweek=2015-02-06" TargetMode="External"/><Relationship Id="rId1657" Type="http://schemas.openxmlformats.org/officeDocument/2006/relationships/hyperlink" Target="http://dev.dashboard.evolvesolar.com/my-commissions.php?user_id=580&amp;payweek=2014-11-07" TargetMode="External"/><Relationship Id="rId1864" Type="http://schemas.openxmlformats.org/officeDocument/2006/relationships/hyperlink" Target="http://dev.dashboard.evolvesolar.com/my-commissions.php?user_id=401&amp;payweek=2014-10-24" TargetMode="External"/><Relationship Id="rId2708" Type="http://schemas.openxmlformats.org/officeDocument/2006/relationships/hyperlink" Target="http://dev.dashboard.evolvesolar.com/my-commissions.php?user_id=261&amp;payweek=2014-08-29" TargetMode="External"/><Relationship Id="rId2915" Type="http://schemas.openxmlformats.org/officeDocument/2006/relationships/hyperlink" Target="http://dev.dashboard.evolvesolar.com/my-commissions.php?user_id=667&amp;payweek=2014-08-22" TargetMode="External"/><Relationship Id="rId4063" Type="http://schemas.openxmlformats.org/officeDocument/2006/relationships/hyperlink" Target="http://dev.dashboard.evolvesolar.com/my-commissions.php?user_id=79&amp;payweek=2014-03-28" TargetMode="External"/><Relationship Id="rId1517" Type="http://schemas.openxmlformats.org/officeDocument/2006/relationships/hyperlink" Target="http://dev.dashboard.evolvesolar.com/my-commissions.php?user_id=593&amp;payweek=2014-11-14" TargetMode="External"/><Relationship Id="rId1724" Type="http://schemas.openxmlformats.org/officeDocument/2006/relationships/hyperlink" Target="http://dev.dashboard.evolvesolar.com/my-commissions.php?user_id=28&amp;payweek=2014-10-31" TargetMode="External"/><Relationship Id="rId16" Type="http://schemas.openxmlformats.org/officeDocument/2006/relationships/hyperlink" Target="http://dev.dashboard.evolvesolar.com/my-commissions.php?user_id=85&amp;payweek=2015-02-06" TargetMode="External"/><Relationship Id="rId1931" Type="http://schemas.openxmlformats.org/officeDocument/2006/relationships/hyperlink" Target="http://dev.dashboard.evolvesolar.com/my-commissions.php?user_id=489&amp;payweek=2014-10-20" TargetMode="External"/><Relationship Id="rId3689" Type="http://schemas.openxmlformats.org/officeDocument/2006/relationships/hyperlink" Target="http://dev.dashboard.evolvesolar.com/my-commissions.php?user_id=150&amp;payweek=2014-06-13" TargetMode="External"/><Relationship Id="rId3896" Type="http://schemas.openxmlformats.org/officeDocument/2006/relationships/hyperlink" Target="http://dev.dashboard.evolvesolar.com/my-commissions.php?user_id=109&amp;payweek=2014-05-16" TargetMode="External"/><Relationship Id="rId2498" Type="http://schemas.openxmlformats.org/officeDocument/2006/relationships/hyperlink" Target="http://dev.dashboard.evolvesolar.com/my-commissions.php?user_id=352&amp;payweek=2014-09-12" TargetMode="External"/><Relationship Id="rId3549" Type="http://schemas.openxmlformats.org/officeDocument/2006/relationships/hyperlink" Target="http://dev.dashboard.evolvesolar.com/my-commissions.php?user_id=112&amp;payweek=2014-06-20" TargetMode="External"/><Relationship Id="rId677" Type="http://schemas.openxmlformats.org/officeDocument/2006/relationships/hyperlink" Target="http://dev.dashboard.evolvesolar.com/my-commissions.php?user_id=236&amp;payweek=2014-12-31" TargetMode="External"/><Relationship Id="rId2358" Type="http://schemas.openxmlformats.org/officeDocument/2006/relationships/hyperlink" Target="http://dev.dashboard.evolvesolar.com/my-commissions.php?user_id=303&amp;payweek=2014-09-24" TargetMode="External"/><Relationship Id="rId3756" Type="http://schemas.openxmlformats.org/officeDocument/2006/relationships/hyperlink" Target="http://dev.dashboard.evolvesolar.com/my-commissions.php?user_id=120&amp;payweek=2014-06-06" TargetMode="External"/><Relationship Id="rId3963" Type="http://schemas.openxmlformats.org/officeDocument/2006/relationships/hyperlink" Target="http://dev.dashboard.evolvesolar.com/my-commissions.php?user_id=110&amp;payweek=2014-05-02" TargetMode="External"/><Relationship Id="rId884" Type="http://schemas.openxmlformats.org/officeDocument/2006/relationships/hyperlink" Target="http://dev.dashboard.evolvesolar.com/my-commissions.php?user_id=858&amp;payweek=2014-12-26" TargetMode="External"/><Relationship Id="rId2565" Type="http://schemas.openxmlformats.org/officeDocument/2006/relationships/hyperlink" Target="http://dev.dashboard.evolvesolar.com/my-commissions.php?user_id=581&amp;payweek=2014-09-12" TargetMode="External"/><Relationship Id="rId2772" Type="http://schemas.openxmlformats.org/officeDocument/2006/relationships/hyperlink" Target="http://dev.dashboard.evolvesolar.com/my-commissions.php?user_id=237&amp;payweek=2014-08-28" TargetMode="External"/><Relationship Id="rId3409" Type="http://schemas.openxmlformats.org/officeDocument/2006/relationships/hyperlink" Target="http://dev.dashboard.evolvesolar.com/my-commissions.php?user_id=202&amp;payweek=2014-07-11" TargetMode="External"/><Relationship Id="rId3616" Type="http://schemas.openxmlformats.org/officeDocument/2006/relationships/hyperlink" Target="http://dev.dashboard.evolvesolar.com/my-commissions.php?user_id=187&amp;payweek=2014-06-16" TargetMode="External"/><Relationship Id="rId3823" Type="http://schemas.openxmlformats.org/officeDocument/2006/relationships/hyperlink" Target="http://dev.dashboard.evolvesolar.com/my-commissions.php?user_id=140&amp;payweek=2014-05-30" TargetMode="External"/><Relationship Id="rId537" Type="http://schemas.openxmlformats.org/officeDocument/2006/relationships/hyperlink" Target="http://dev.dashboard.evolvesolar.com/my-commissions.php?user_id=203&amp;payweek=2015-01-09" TargetMode="External"/><Relationship Id="rId744" Type="http://schemas.openxmlformats.org/officeDocument/2006/relationships/hyperlink" Target="http://dev.dashboard.evolvesolar.com/my-commissions.php?user_id=771&amp;payweek=2014-12-31" TargetMode="External"/><Relationship Id="rId951" Type="http://schemas.openxmlformats.org/officeDocument/2006/relationships/hyperlink" Target="http://dev.dashboard.evolvesolar.com/my-commissions.php?user_id=857&amp;payweek=2014-12-22" TargetMode="External"/><Relationship Id="rId1167" Type="http://schemas.openxmlformats.org/officeDocument/2006/relationships/hyperlink" Target="http://dev.dashboard.evolvesolar.com/my-commissions.php?user_id=679&amp;payweek=2014-12-05" TargetMode="External"/><Relationship Id="rId1374" Type="http://schemas.openxmlformats.org/officeDocument/2006/relationships/hyperlink" Target="http://dev.dashboard.evolvesolar.com/my-commissions.php?user_id=583&amp;payweek=2014-11-21" TargetMode="External"/><Relationship Id="rId1581" Type="http://schemas.openxmlformats.org/officeDocument/2006/relationships/hyperlink" Target="http://dev.dashboard.evolvesolar.com/my-commissions.php?user_id=672&amp;payweek=2014-11-12" TargetMode="External"/><Relationship Id="rId2218" Type="http://schemas.openxmlformats.org/officeDocument/2006/relationships/hyperlink" Target="http://dev.dashboard.evolvesolar.com/my-commissions.php?user_id=582&amp;payweek=2014-10-06" TargetMode="External"/><Relationship Id="rId2425" Type="http://schemas.openxmlformats.org/officeDocument/2006/relationships/hyperlink" Target="http://dev.dashboard.evolvesolar.com/my-commissions.php?user_id=422&amp;payweek=2014-09-19" TargetMode="External"/><Relationship Id="rId2632" Type="http://schemas.openxmlformats.org/officeDocument/2006/relationships/hyperlink" Target="http://dev.dashboard.evolvesolar.com/my-commissions.php?user_id=203&amp;payweek=2014-09-04" TargetMode="External"/><Relationship Id="rId80" Type="http://schemas.openxmlformats.org/officeDocument/2006/relationships/hyperlink" Target="http://dev.dashboard.evolvesolar.com/my-commissions.php?user_id=285&amp;payweek=2015-02-06" TargetMode="External"/><Relationship Id="rId604" Type="http://schemas.openxmlformats.org/officeDocument/2006/relationships/hyperlink" Target="http://dev.dashboard.evolvesolar.com/my-commissions.php?user_id=672&amp;payweek=2015-01-09" TargetMode="External"/><Relationship Id="rId811" Type="http://schemas.openxmlformats.org/officeDocument/2006/relationships/hyperlink" Target="http://dev.dashboard.evolvesolar.com/my-commissions.php?user_id=407&amp;payweek=2014-12-26" TargetMode="External"/><Relationship Id="rId1027" Type="http://schemas.openxmlformats.org/officeDocument/2006/relationships/hyperlink" Target="http://dev.dashboard.evolvesolar.com/my-commissions.php?user_id=282&amp;payweek=2014-12-12" TargetMode="External"/><Relationship Id="rId1234" Type="http://schemas.openxmlformats.org/officeDocument/2006/relationships/hyperlink" Target="http://dev.dashboard.evolvesolar.com/my-commissions.php?user_id=702&amp;payweek=2014-11-28" TargetMode="External"/><Relationship Id="rId1441" Type="http://schemas.openxmlformats.org/officeDocument/2006/relationships/hyperlink" Target="http://dev.dashboard.evolvesolar.com/my-commissions.php?user_id=63&amp;payweek=2014-11-14" TargetMode="External"/><Relationship Id="rId1301" Type="http://schemas.openxmlformats.org/officeDocument/2006/relationships/hyperlink" Target="http://dev.dashboard.evolvesolar.com/my-commissions.php?user_id=817&amp;payweek=2014-11-25" TargetMode="External"/><Relationship Id="rId3199" Type="http://schemas.openxmlformats.org/officeDocument/2006/relationships/hyperlink" Target="http://dev.dashboard.evolvesolar.com/my-commissions.php?user_id=232&amp;payweek=2014-07-31" TargetMode="External"/><Relationship Id="rId3059" Type="http://schemas.openxmlformats.org/officeDocument/2006/relationships/hyperlink" Target="http://dev.dashboard.evolvesolar.com/my-commissions.php?user_id=322&amp;payweek=2014-08-08" TargetMode="External"/><Relationship Id="rId3266" Type="http://schemas.openxmlformats.org/officeDocument/2006/relationships/hyperlink" Target="http://dev.dashboard.evolvesolar.com/my-commissions.php?user_id=217&amp;payweek=2014-07-25" TargetMode="External"/><Relationship Id="rId3473" Type="http://schemas.openxmlformats.org/officeDocument/2006/relationships/hyperlink" Target="http://dev.dashboard.evolvesolar.com/my-commissions.php?user_id=219&amp;payweek=2014-07-03" TargetMode="External"/><Relationship Id="rId187" Type="http://schemas.openxmlformats.org/officeDocument/2006/relationships/hyperlink" Target="http://dev.dashboard.evolvesolar.com/my-commissions.php?user_id=832&amp;payweek=2015-02-06" TargetMode="External"/><Relationship Id="rId394" Type="http://schemas.openxmlformats.org/officeDocument/2006/relationships/hyperlink" Target="http://dev.dashboard.evolvesolar.com/my-commissions.php?user_id=580&amp;payweek=2015-01-23" TargetMode="External"/><Relationship Id="rId2075" Type="http://schemas.openxmlformats.org/officeDocument/2006/relationships/hyperlink" Target="http://dev.dashboard.evolvesolar.com/my-commissions.php?user_id=233&amp;payweek=2014-10-10" TargetMode="External"/><Relationship Id="rId2282" Type="http://schemas.openxmlformats.org/officeDocument/2006/relationships/hyperlink" Target="http://dev.dashboard.evolvesolar.com/my-commissions.php?user_id=37&amp;payweek=2014-09-25" TargetMode="External"/><Relationship Id="rId3126" Type="http://schemas.openxmlformats.org/officeDocument/2006/relationships/hyperlink" Target="http://dev.dashboard.evolvesolar.com/my-commissions.php?user_id=236&amp;payweek=2014-08-04" TargetMode="External"/><Relationship Id="rId3680" Type="http://schemas.openxmlformats.org/officeDocument/2006/relationships/hyperlink" Target="http://dev.dashboard.evolvesolar.com/my-commissions.php?user_id=141&amp;payweek=2014-06-13" TargetMode="External"/><Relationship Id="rId254" Type="http://schemas.openxmlformats.org/officeDocument/2006/relationships/hyperlink" Target="http://dev.dashboard.evolvesolar.com/my-commissions.php?user_id=217&amp;payweek=2015-01-30" TargetMode="External"/><Relationship Id="rId1091" Type="http://schemas.openxmlformats.org/officeDocument/2006/relationships/hyperlink" Target="http://dev.dashboard.evolvesolar.com/my-commissions.php?user_id=771&amp;payweek=2014-12-12" TargetMode="External"/><Relationship Id="rId3333" Type="http://schemas.openxmlformats.org/officeDocument/2006/relationships/hyperlink" Target="http://dev.dashboard.evolvesolar.com/my-commissions.php?user_id=203&amp;payweek=2014-07-18" TargetMode="External"/><Relationship Id="rId3540" Type="http://schemas.openxmlformats.org/officeDocument/2006/relationships/hyperlink" Target="http://dev.dashboard.evolvesolar.com/my-commissions.php?user_id=94&amp;payweek=2014-06-20" TargetMode="External"/><Relationship Id="rId114" Type="http://schemas.openxmlformats.org/officeDocument/2006/relationships/hyperlink" Target="http://dev.dashboard.evolvesolar.com/my-commissions.php?user_id=430&amp;payweek=2015-02-06" TargetMode="External"/><Relationship Id="rId461" Type="http://schemas.openxmlformats.org/officeDocument/2006/relationships/hyperlink" Target="http://dev.dashboard.evolvesolar.com/my-commissions.php?user_id=365&amp;payweek=2015-01-15" TargetMode="External"/><Relationship Id="rId2142" Type="http://schemas.openxmlformats.org/officeDocument/2006/relationships/hyperlink" Target="http://dev.dashboard.evolvesolar.com/my-commissions.php?user_id=616&amp;payweek=2014-10-10" TargetMode="External"/><Relationship Id="rId3400" Type="http://schemas.openxmlformats.org/officeDocument/2006/relationships/hyperlink" Target="http://dev.dashboard.evolvesolar.com/my-commissions.php?user_id=140&amp;payweek=2014-07-11" TargetMode="External"/><Relationship Id="rId321" Type="http://schemas.openxmlformats.org/officeDocument/2006/relationships/hyperlink" Target="http://dev.dashboard.evolvesolar.com/my-commissions.php?user_id=856&amp;payweek=2015-01-30" TargetMode="External"/><Relationship Id="rId2002" Type="http://schemas.openxmlformats.org/officeDocument/2006/relationships/hyperlink" Target="http://dev.dashboard.evolvesolar.com/my-commissions.php?user_id=387&amp;payweek=2014-10-17" TargetMode="External"/><Relationship Id="rId2959" Type="http://schemas.openxmlformats.org/officeDocument/2006/relationships/hyperlink" Target="http://dev.dashboard.evolvesolar.com/my-commissions.php?user_id=285&amp;payweek=2014-08-15" TargetMode="External"/><Relationship Id="rId1768" Type="http://schemas.openxmlformats.org/officeDocument/2006/relationships/hyperlink" Target="http://dev.dashboard.evolvesolar.com/my-commissions.php?user_id=453&amp;payweek=2014-10-31" TargetMode="External"/><Relationship Id="rId2819" Type="http://schemas.openxmlformats.org/officeDocument/2006/relationships/hyperlink" Target="http://dev.dashboard.evolvesolar.com/my-commissions.php?user_id=211&amp;payweek=2014-08-22" TargetMode="External"/><Relationship Id="rId1628" Type="http://schemas.openxmlformats.org/officeDocument/2006/relationships/hyperlink" Target="http://dev.dashboard.evolvesolar.com/my-commissions.php?user_id=355&amp;payweek=2014-11-07" TargetMode="External"/><Relationship Id="rId1975" Type="http://schemas.openxmlformats.org/officeDocument/2006/relationships/hyperlink" Target="http://dev.dashboard.evolvesolar.com/my-commissions.php?user_id=203&amp;payweek=2014-10-17" TargetMode="External"/><Relationship Id="rId3190" Type="http://schemas.openxmlformats.org/officeDocument/2006/relationships/hyperlink" Target="http://dev.dashboard.evolvesolar.com/my-commissions.php?user_id=218&amp;payweek=2014-07-31" TargetMode="External"/><Relationship Id="rId4034" Type="http://schemas.openxmlformats.org/officeDocument/2006/relationships/hyperlink" Target="http://dev.dashboard.evolvesolar.com/my-commissions.php?user_id=104&amp;payweek=2014-04-11" TargetMode="External"/><Relationship Id="rId1835" Type="http://schemas.openxmlformats.org/officeDocument/2006/relationships/hyperlink" Target="http://dev.dashboard.evolvesolar.com/my-commissions.php?user_id=203&amp;payweek=2014-10-24" TargetMode="External"/><Relationship Id="rId3050" Type="http://schemas.openxmlformats.org/officeDocument/2006/relationships/hyperlink" Target="http://dev.dashboard.evolvesolar.com/my-commissions.php?user_id=248&amp;payweek=2014-08-08" TargetMode="External"/><Relationship Id="rId4101" Type="http://schemas.openxmlformats.org/officeDocument/2006/relationships/hyperlink" Target="http://dev.dashboard.evolvesolar.com/my-commissions.php?user_id=191&amp;payweek=2014-01-31" TargetMode="External"/><Relationship Id="rId1902" Type="http://schemas.openxmlformats.org/officeDocument/2006/relationships/hyperlink" Target="http://dev.dashboard.evolvesolar.com/my-commissions.php?user_id=638&amp;payweek=2014-10-24" TargetMode="External"/><Relationship Id="rId3867" Type="http://schemas.openxmlformats.org/officeDocument/2006/relationships/hyperlink" Target="http://dev.dashboard.evolvesolar.com/my-commissions.php?user_id=125&amp;payweek=2014-05-23" TargetMode="External"/><Relationship Id="rId788" Type="http://schemas.openxmlformats.org/officeDocument/2006/relationships/hyperlink" Target="http://dev.dashboard.evolvesolar.com/my-commissions.php?user_id=302&amp;payweek=2014-12-26" TargetMode="External"/><Relationship Id="rId995" Type="http://schemas.openxmlformats.org/officeDocument/2006/relationships/hyperlink" Target="http://dev.dashboard.evolvesolar.com/my-commissions.php?user_id=37&amp;payweek=2014-12-12" TargetMode="External"/><Relationship Id="rId2469" Type="http://schemas.openxmlformats.org/officeDocument/2006/relationships/hyperlink" Target="http://dev.dashboard.evolvesolar.com/my-commissions.php?user_id=232&amp;payweek=2014-09-12" TargetMode="External"/><Relationship Id="rId2676" Type="http://schemas.openxmlformats.org/officeDocument/2006/relationships/hyperlink" Target="http://dev.dashboard.evolvesolar.com/my-commissions.php?user_id=429&amp;payweek=2014-09-04" TargetMode="External"/><Relationship Id="rId2883" Type="http://schemas.openxmlformats.org/officeDocument/2006/relationships/hyperlink" Target="http://dev.dashboard.evolvesolar.com/my-commissions.php?user_id=370&amp;payweek=2014-08-22" TargetMode="External"/><Relationship Id="rId3727" Type="http://schemas.openxmlformats.org/officeDocument/2006/relationships/hyperlink" Target="http://dev.dashboard.evolvesolar.com/my-commissions.php?user_id=88&amp;payweek=2014-06-06" TargetMode="External"/><Relationship Id="rId3934" Type="http://schemas.openxmlformats.org/officeDocument/2006/relationships/hyperlink" Target="http://dev.dashboard.evolvesolar.com/my-commissions.php?user_id=113&amp;payweek=2014-05-09" TargetMode="External"/><Relationship Id="rId648" Type="http://schemas.openxmlformats.org/officeDocument/2006/relationships/hyperlink" Target="http://dev.dashboard.evolvesolar.com/my-commissions.php?user_id=41&amp;payweek=2014-12-31" TargetMode="External"/><Relationship Id="rId855" Type="http://schemas.openxmlformats.org/officeDocument/2006/relationships/hyperlink" Target="http://dev.dashboard.evolvesolar.com/my-commissions.php?user_id=665&amp;payweek=2014-12-26" TargetMode="External"/><Relationship Id="rId1278" Type="http://schemas.openxmlformats.org/officeDocument/2006/relationships/hyperlink" Target="http://dev.dashboard.evolvesolar.com/my-commissions.php?user_id=676&amp;payweek=2014-11-25" TargetMode="External"/><Relationship Id="rId1485" Type="http://schemas.openxmlformats.org/officeDocument/2006/relationships/hyperlink" Target="http://dev.dashboard.evolvesolar.com/my-commissions.php?user_id=322&amp;payweek=2014-11-14" TargetMode="External"/><Relationship Id="rId1692" Type="http://schemas.openxmlformats.org/officeDocument/2006/relationships/hyperlink" Target="http://dev.dashboard.evolvesolar.com/my-commissions.php?user_id=676&amp;payweek=2014-11-07" TargetMode="External"/><Relationship Id="rId2329" Type="http://schemas.openxmlformats.org/officeDocument/2006/relationships/hyperlink" Target="http://dev.dashboard.evolvesolar.com/my-commissions.php?user_id=472&amp;payweek=2014-09-25" TargetMode="External"/><Relationship Id="rId2536" Type="http://schemas.openxmlformats.org/officeDocument/2006/relationships/hyperlink" Target="http://dev.dashboard.evolvesolar.com/my-commissions.php?user_id=443&amp;payweek=2014-09-12" TargetMode="External"/><Relationship Id="rId2743" Type="http://schemas.openxmlformats.org/officeDocument/2006/relationships/hyperlink" Target="http://dev.dashboard.evolvesolar.com/my-commissions.php?user_id=642&amp;payweek=2014-08-29" TargetMode="External"/><Relationship Id="rId508" Type="http://schemas.openxmlformats.org/officeDocument/2006/relationships/hyperlink" Target="http://dev.dashboard.evolvesolar.com/my-commissions.php?user_id=844&amp;payweek=2015-01-15" TargetMode="External"/><Relationship Id="rId715" Type="http://schemas.openxmlformats.org/officeDocument/2006/relationships/hyperlink" Target="http://dev.dashboard.evolvesolar.com/my-commissions.php?user_id=580&amp;payweek=2014-12-31" TargetMode="External"/><Relationship Id="rId922" Type="http://schemas.openxmlformats.org/officeDocument/2006/relationships/hyperlink" Target="http://dev.dashboard.evolvesolar.com/my-commissions.php?user_id=438&amp;payweek=2014-12-22" TargetMode="External"/><Relationship Id="rId1138" Type="http://schemas.openxmlformats.org/officeDocument/2006/relationships/hyperlink" Target="http://dev.dashboard.evolvesolar.com/my-commissions.php?user_id=475&amp;payweek=2014-12-05" TargetMode="External"/><Relationship Id="rId1345" Type="http://schemas.openxmlformats.org/officeDocument/2006/relationships/hyperlink" Target="http://dev.dashboard.evolvesolar.com/my-commissions.php?user_id=324&amp;payweek=2014-11-21" TargetMode="External"/><Relationship Id="rId1552" Type="http://schemas.openxmlformats.org/officeDocument/2006/relationships/hyperlink" Target="http://dev.dashboard.evolvesolar.com/my-commissions.php?user_id=714&amp;payweek=2014-11-14" TargetMode="External"/><Relationship Id="rId2603" Type="http://schemas.openxmlformats.org/officeDocument/2006/relationships/hyperlink" Target="http://dev.dashboard.evolvesolar.com/my-commissions.php?user_id=268&amp;payweek=2014-09-05" TargetMode="External"/><Relationship Id="rId2950" Type="http://schemas.openxmlformats.org/officeDocument/2006/relationships/hyperlink" Target="http://dev.dashboard.evolvesolar.com/my-commissions.php?user_id=217&amp;payweek=2014-08-15" TargetMode="External"/><Relationship Id="rId1205" Type="http://schemas.openxmlformats.org/officeDocument/2006/relationships/hyperlink" Target="http://dev.dashboard.evolvesolar.com/my-commissions.php?user_id=77&amp;payweek=2014-11-28" TargetMode="External"/><Relationship Id="rId2810" Type="http://schemas.openxmlformats.org/officeDocument/2006/relationships/hyperlink" Target="http://dev.dashboard.evolvesolar.com/my-commissions.php?user_id=133&amp;payweek=2014-08-22" TargetMode="External"/><Relationship Id="rId51" Type="http://schemas.openxmlformats.org/officeDocument/2006/relationships/hyperlink" Target="http://dev.dashboard.evolvesolar.com/my-commissions.php?user_id=192&amp;payweek=2015-02-06" TargetMode="External"/><Relationship Id="rId1412" Type="http://schemas.openxmlformats.org/officeDocument/2006/relationships/hyperlink" Target="http://dev.dashboard.evolvesolar.com/my-commissions.php?user_id=735&amp;payweek=2014-11-21" TargetMode="External"/><Relationship Id="rId3377" Type="http://schemas.openxmlformats.org/officeDocument/2006/relationships/hyperlink" Target="http://dev.dashboard.evolvesolar.com/my-commissions.php?user_id=85&amp;payweek=2014-07-11" TargetMode="External"/><Relationship Id="rId298" Type="http://schemas.openxmlformats.org/officeDocument/2006/relationships/hyperlink" Target="http://dev.dashboard.evolvesolar.com/my-commissions.php?user_id=695&amp;payweek=2015-01-30" TargetMode="External"/><Relationship Id="rId3584" Type="http://schemas.openxmlformats.org/officeDocument/2006/relationships/hyperlink" Target="http://dev.dashboard.evolvesolar.com/my-commissions.php?user_id=159&amp;payweek=2014-06-20" TargetMode="External"/><Relationship Id="rId3791" Type="http://schemas.openxmlformats.org/officeDocument/2006/relationships/hyperlink" Target="http://dev.dashboard.evolvesolar.com/my-commissions.php?user_id=79&amp;payweek=2014-05-30" TargetMode="External"/><Relationship Id="rId158" Type="http://schemas.openxmlformats.org/officeDocument/2006/relationships/hyperlink" Target="http://dev.dashboard.evolvesolar.com/my-commissions.php?user_id=648&amp;payweek=2015-02-06" TargetMode="External"/><Relationship Id="rId2186" Type="http://schemas.openxmlformats.org/officeDocument/2006/relationships/hyperlink" Target="http://dev.dashboard.evolvesolar.com/my-commissions.php?user_id=329&amp;payweek=2014-10-06" TargetMode="External"/><Relationship Id="rId2393" Type="http://schemas.openxmlformats.org/officeDocument/2006/relationships/hyperlink" Target="http://dev.dashboard.evolvesolar.com/my-commissions.php?user_id=232&amp;payweek=2014-09-19" TargetMode="External"/><Relationship Id="rId3237" Type="http://schemas.openxmlformats.org/officeDocument/2006/relationships/hyperlink" Target="http://dev.dashboard.evolvesolar.com/my-commissions.php?user_id=133&amp;payweek=2014-07-25" TargetMode="External"/><Relationship Id="rId3444" Type="http://schemas.openxmlformats.org/officeDocument/2006/relationships/hyperlink" Target="http://dev.dashboard.evolvesolar.com/my-commissions.php?user_id=133&amp;payweek=2014-07-04" TargetMode="External"/><Relationship Id="rId3651" Type="http://schemas.openxmlformats.org/officeDocument/2006/relationships/hyperlink" Target="http://dev.dashboard.evolvesolar.com/my-commissions.php?user_id=104&amp;payweek=2014-06-13" TargetMode="External"/><Relationship Id="rId365" Type="http://schemas.openxmlformats.org/officeDocument/2006/relationships/hyperlink" Target="http://dev.dashboard.evolvesolar.com/my-commissions.php?user_id=248&amp;payweek=2015-01-23" TargetMode="External"/><Relationship Id="rId572" Type="http://schemas.openxmlformats.org/officeDocument/2006/relationships/hyperlink" Target="http://dev.dashboard.evolvesolar.com/my-commissions.php?user_id=405&amp;payweek=2015-01-09" TargetMode="External"/><Relationship Id="rId2046" Type="http://schemas.openxmlformats.org/officeDocument/2006/relationships/hyperlink" Target="http://dev.dashboard.evolvesolar.com/my-commissions.php?user_id=212&amp;payweek=2014-10-14" TargetMode="External"/><Relationship Id="rId2253" Type="http://schemas.openxmlformats.org/officeDocument/2006/relationships/hyperlink" Target="http://dev.dashboard.evolvesolar.com/my-commissions.php?user_id=626&amp;payweek=2014-10-03" TargetMode="External"/><Relationship Id="rId2460" Type="http://schemas.openxmlformats.org/officeDocument/2006/relationships/hyperlink" Target="http://dev.dashboard.evolvesolar.com/my-commissions.php?user_id=185&amp;payweek=2014-09-12" TargetMode="External"/><Relationship Id="rId3304" Type="http://schemas.openxmlformats.org/officeDocument/2006/relationships/hyperlink" Target="http://dev.dashboard.evolvesolar.com/my-commissions.php?user_id=324&amp;payweek=2014-07-21" TargetMode="External"/><Relationship Id="rId3511" Type="http://schemas.openxmlformats.org/officeDocument/2006/relationships/hyperlink" Target="http://dev.dashboard.evolvesolar.com/my-commissions.php?user_id=214&amp;payweek=2014-06-27" TargetMode="External"/><Relationship Id="rId225" Type="http://schemas.openxmlformats.org/officeDocument/2006/relationships/hyperlink" Target="http://dev.dashboard.evolvesolar.com/my-commissions.php?user_id=967&amp;payweek=2015-02-06" TargetMode="External"/><Relationship Id="rId432" Type="http://schemas.openxmlformats.org/officeDocument/2006/relationships/hyperlink" Target="http://dev.dashboard.evolvesolar.com/my-commissions.php?user_id=268&amp;payweek=2015-01-16" TargetMode="External"/><Relationship Id="rId1062" Type="http://schemas.openxmlformats.org/officeDocument/2006/relationships/hyperlink" Target="http://dev.dashboard.evolvesolar.com/my-commissions.php?user_id=583&amp;payweek=2014-12-12" TargetMode="External"/><Relationship Id="rId2113" Type="http://schemas.openxmlformats.org/officeDocument/2006/relationships/hyperlink" Target="http://dev.dashboard.evolvesolar.com/my-commissions.php?user_id=430&amp;payweek=2014-10-10" TargetMode="External"/><Relationship Id="rId2320" Type="http://schemas.openxmlformats.org/officeDocument/2006/relationships/hyperlink" Target="http://dev.dashboard.evolvesolar.com/my-commissions.php?user_id=422&amp;payweek=2014-09-25" TargetMode="External"/><Relationship Id="rId4078" Type="http://schemas.openxmlformats.org/officeDocument/2006/relationships/hyperlink" Target="http://dev.dashboard.evolvesolar.com/my-commissions.php?user_id=41&amp;payweek=2014-03-21" TargetMode="External"/><Relationship Id="rId1879" Type="http://schemas.openxmlformats.org/officeDocument/2006/relationships/hyperlink" Target="http://dev.dashboard.evolvesolar.com/my-commissions.php?user_id=583&amp;payweek=2014-10-24" TargetMode="External"/><Relationship Id="rId3094" Type="http://schemas.openxmlformats.org/officeDocument/2006/relationships/hyperlink" Target="http://dev.dashboard.evolvesolar.com/my-commissions.php?user_id=230&amp;payweek=2014-08-07" TargetMode="External"/><Relationship Id="rId1739" Type="http://schemas.openxmlformats.org/officeDocument/2006/relationships/hyperlink" Target="http://dev.dashboard.evolvesolar.com/my-commissions.php?user_id=282&amp;payweek=2014-10-31" TargetMode="External"/><Relationship Id="rId1946" Type="http://schemas.openxmlformats.org/officeDocument/2006/relationships/hyperlink" Target="http://dev.dashboard.evolvesolar.com/my-commissions.php?user_id=691&amp;payweek=2014-10-20" TargetMode="External"/><Relationship Id="rId4005" Type="http://schemas.openxmlformats.org/officeDocument/2006/relationships/hyperlink" Target="http://dev.dashboard.evolvesolar.com/my-commissions.php?user_id=38&amp;payweek=2014-04-17" TargetMode="External"/><Relationship Id="rId1806" Type="http://schemas.openxmlformats.org/officeDocument/2006/relationships/hyperlink" Target="http://dev.dashboard.evolvesolar.com/my-commissions.php?user_id=650&amp;payweek=2014-10-31" TargetMode="External"/><Relationship Id="rId3161" Type="http://schemas.openxmlformats.org/officeDocument/2006/relationships/hyperlink" Target="http://dev.dashboard.evolvesolar.com/my-commissions.php?user_id=67&amp;payweek=2014-07-31" TargetMode="External"/><Relationship Id="rId3021" Type="http://schemas.openxmlformats.org/officeDocument/2006/relationships/hyperlink" Target="http://dev.dashboard.evolvesolar.com/my-commissions.php?user_id=119&amp;payweek=2014-08-08" TargetMode="External"/><Relationship Id="rId3978" Type="http://schemas.openxmlformats.org/officeDocument/2006/relationships/hyperlink" Target="http://dev.dashboard.evolvesolar.com/my-commissions.php?user_id=38&amp;payweek=2014-04-24" TargetMode="External"/><Relationship Id="rId899" Type="http://schemas.openxmlformats.org/officeDocument/2006/relationships/hyperlink" Target="http://dev.dashboard.evolvesolar.com/my-commissions.php?user_id=117&amp;payweek=2014-12-22" TargetMode="External"/><Relationship Id="rId2787" Type="http://schemas.openxmlformats.org/officeDocument/2006/relationships/hyperlink" Target="http://dev.dashboard.evolvesolar.com/my-commissions.php?user_id=391&amp;payweek=2014-08-28" TargetMode="External"/><Relationship Id="rId3838" Type="http://schemas.openxmlformats.org/officeDocument/2006/relationships/hyperlink" Target="http://dev.dashboard.evolvesolar.com/my-commissions.php?user_id=41&amp;payweek=2014-05-23" TargetMode="External"/><Relationship Id="rId759" Type="http://schemas.openxmlformats.org/officeDocument/2006/relationships/hyperlink" Target="http://dev.dashboard.evolvesolar.com/my-commissions.php?user_id=85&amp;payweek=2014-12-26" TargetMode="External"/><Relationship Id="rId966" Type="http://schemas.openxmlformats.org/officeDocument/2006/relationships/hyperlink" Target="http://dev.dashboard.evolvesolar.com/my-commissions.php?user_id=389&amp;payweek=2014-12-19" TargetMode="External"/><Relationship Id="rId1389" Type="http://schemas.openxmlformats.org/officeDocument/2006/relationships/hyperlink" Target="http://dev.dashboard.evolvesolar.com/my-commissions.php?user_id=664&amp;payweek=2014-11-21" TargetMode="External"/><Relationship Id="rId1596" Type="http://schemas.openxmlformats.org/officeDocument/2006/relationships/hyperlink" Target="http://dev.dashboard.evolvesolar.com/my-commissions.php?user_id=27&amp;payweek=2014-11-07" TargetMode="External"/><Relationship Id="rId2647" Type="http://schemas.openxmlformats.org/officeDocument/2006/relationships/hyperlink" Target="http://dev.dashboard.evolvesolar.com/my-commissions.php?user_id=233&amp;payweek=2014-09-04" TargetMode="External"/><Relationship Id="rId2994" Type="http://schemas.openxmlformats.org/officeDocument/2006/relationships/hyperlink" Target="http://dev.dashboard.evolvesolar.com/my-commissions.php?user_id=302&amp;payweek=2014-08-14" TargetMode="External"/><Relationship Id="rId619" Type="http://schemas.openxmlformats.org/officeDocument/2006/relationships/hyperlink" Target="http://dev.dashboard.evolvesolar.com/my-commissions.php?user_id=714&amp;payweek=2015-01-09" TargetMode="External"/><Relationship Id="rId1249" Type="http://schemas.openxmlformats.org/officeDocument/2006/relationships/hyperlink" Target="http://dev.dashboard.evolvesolar.com/my-commissions.php?user_id=37&amp;payweek=2014-11-25" TargetMode="External"/><Relationship Id="rId2854" Type="http://schemas.openxmlformats.org/officeDocument/2006/relationships/hyperlink" Target="http://dev.dashboard.evolvesolar.com/my-commissions.php?user_id=250&amp;payweek=2014-08-22" TargetMode="External"/><Relationship Id="rId3905" Type="http://schemas.openxmlformats.org/officeDocument/2006/relationships/hyperlink" Target="http://dev.dashboard.evolvesolar.com/my-commissions.php?user_id=117&amp;payweek=2014-05-16" TargetMode="External"/><Relationship Id="rId95" Type="http://schemas.openxmlformats.org/officeDocument/2006/relationships/hyperlink" Target="http://dev.dashboard.evolvesolar.com/my-commissions.php?user_id=355&amp;payweek=2015-02-06" TargetMode="External"/><Relationship Id="rId826" Type="http://schemas.openxmlformats.org/officeDocument/2006/relationships/hyperlink" Target="http://dev.dashboard.evolvesolar.com/my-commissions.php?user_id=551&amp;payweek=2014-12-26" TargetMode="External"/><Relationship Id="rId1109" Type="http://schemas.openxmlformats.org/officeDocument/2006/relationships/hyperlink" Target="http://dev.dashboard.evolvesolar.com/my-commissions.php?user_id=27&amp;payweek=2014-12-05" TargetMode="External"/><Relationship Id="rId1456" Type="http://schemas.openxmlformats.org/officeDocument/2006/relationships/hyperlink" Target="http://dev.dashboard.evolvesolar.com/my-commissions.php?user_id=183&amp;payweek=2014-11-14" TargetMode="External"/><Relationship Id="rId1663" Type="http://schemas.openxmlformats.org/officeDocument/2006/relationships/hyperlink" Target="http://dev.dashboard.evolvesolar.com/my-commissions.php?user_id=586&amp;payweek=2014-11-07" TargetMode="External"/><Relationship Id="rId1870" Type="http://schemas.openxmlformats.org/officeDocument/2006/relationships/hyperlink" Target="http://dev.dashboard.evolvesolar.com/my-commissions.php?user_id=539&amp;payweek=2014-10-24" TargetMode="External"/><Relationship Id="rId2507" Type="http://schemas.openxmlformats.org/officeDocument/2006/relationships/hyperlink" Target="http://dev.dashboard.evolvesolar.com/my-commissions.php?user_id=373&amp;payweek=2014-09-12" TargetMode="External"/><Relationship Id="rId2714" Type="http://schemas.openxmlformats.org/officeDocument/2006/relationships/hyperlink" Target="http://dev.dashboard.evolvesolar.com/my-commissions.php?user_id=325&amp;payweek=2014-08-29" TargetMode="External"/><Relationship Id="rId2921" Type="http://schemas.openxmlformats.org/officeDocument/2006/relationships/hyperlink" Target="http://dev.dashboard.evolvesolar.com/my-commissions.php?user_id=28&amp;payweek=2014-08-15" TargetMode="External"/><Relationship Id="rId1316" Type="http://schemas.openxmlformats.org/officeDocument/2006/relationships/hyperlink" Target="http://dev.dashboard.evolvesolar.com/my-commissions.php?user_id=41&amp;payweek=2014-11-21" TargetMode="External"/><Relationship Id="rId1523" Type="http://schemas.openxmlformats.org/officeDocument/2006/relationships/hyperlink" Target="http://dev.dashboard.evolvesolar.com/my-commissions.php?user_id=626&amp;payweek=2014-11-14" TargetMode="External"/><Relationship Id="rId1730" Type="http://schemas.openxmlformats.org/officeDocument/2006/relationships/hyperlink" Target="http://dev.dashboard.evolvesolar.com/my-commissions.php?user_id=218&amp;payweek=2014-10-31" TargetMode="External"/><Relationship Id="rId22" Type="http://schemas.openxmlformats.org/officeDocument/2006/relationships/hyperlink" Target="http://dev.dashboard.evolvesolar.com/my-commissions.php?user_id=107&amp;payweek=2015-02-06" TargetMode="External"/><Relationship Id="rId3488" Type="http://schemas.openxmlformats.org/officeDocument/2006/relationships/hyperlink" Target="http://dev.dashboard.evolvesolar.com/my-commissions.php?user_id=88&amp;payweek=2014-06-27" TargetMode="External"/><Relationship Id="rId3695" Type="http://schemas.openxmlformats.org/officeDocument/2006/relationships/hyperlink" Target="http://dev.dashboard.evolvesolar.com/my-commissions.php?user_id=163&amp;payweek=2014-06-13" TargetMode="External"/><Relationship Id="rId2297" Type="http://schemas.openxmlformats.org/officeDocument/2006/relationships/hyperlink" Target="http://dev.dashboard.evolvesolar.com/my-commissions.php?user_id=295&amp;payweek=2014-09-25" TargetMode="External"/><Relationship Id="rId3348" Type="http://schemas.openxmlformats.org/officeDocument/2006/relationships/hyperlink" Target="http://dev.dashboard.evolvesolar.com/my-commissions.php?user_id=231&amp;payweek=2014-07-18" TargetMode="External"/><Relationship Id="rId3555" Type="http://schemas.openxmlformats.org/officeDocument/2006/relationships/hyperlink" Target="http://dev.dashboard.evolvesolar.com/my-commissions.php?user_id=133&amp;payweek=2014-06-20" TargetMode="External"/><Relationship Id="rId3762" Type="http://schemas.openxmlformats.org/officeDocument/2006/relationships/hyperlink" Target="http://dev.dashboard.evolvesolar.com/my-commissions.php?user_id=137&amp;payweek=2014-06-06" TargetMode="External"/><Relationship Id="rId269" Type="http://schemas.openxmlformats.org/officeDocument/2006/relationships/hyperlink" Target="http://dev.dashboard.evolvesolar.com/my-commissions.php?user_id=417&amp;payweek=2015-01-30" TargetMode="External"/><Relationship Id="rId476" Type="http://schemas.openxmlformats.org/officeDocument/2006/relationships/hyperlink" Target="http://dev.dashboard.evolvesolar.com/my-commissions.php?user_id=607&amp;payweek=2015-01-15" TargetMode="External"/><Relationship Id="rId683" Type="http://schemas.openxmlformats.org/officeDocument/2006/relationships/hyperlink" Target="http://dev.dashboard.evolvesolar.com/my-commissions.php?user_id=282&amp;payweek=2014-12-31" TargetMode="External"/><Relationship Id="rId890" Type="http://schemas.openxmlformats.org/officeDocument/2006/relationships/hyperlink" Target="http://dev.dashboard.evolvesolar.com/my-commissions.php?user_id=672&amp;payweek=2014-12-24" TargetMode="External"/><Relationship Id="rId2157" Type="http://schemas.openxmlformats.org/officeDocument/2006/relationships/hyperlink" Target="http://dev.dashboard.evolvesolar.com/my-commissions.php?user_id=652&amp;payweek=2014-10-07" TargetMode="External"/><Relationship Id="rId2364" Type="http://schemas.openxmlformats.org/officeDocument/2006/relationships/hyperlink" Target="http://dev.dashboard.evolvesolar.com/my-commissions.php?user_id=231&amp;payweek=2014-09-22" TargetMode="External"/><Relationship Id="rId2571" Type="http://schemas.openxmlformats.org/officeDocument/2006/relationships/hyperlink" Target="http://dev.dashboard.evolvesolar.com/my-commissions.php?user_id=27&amp;payweek=2014-09-09" TargetMode="External"/><Relationship Id="rId3208" Type="http://schemas.openxmlformats.org/officeDocument/2006/relationships/hyperlink" Target="http://dev.dashboard.evolvesolar.com/my-commissions.php?user_id=239&amp;payweek=2014-07-31" TargetMode="External"/><Relationship Id="rId3415" Type="http://schemas.openxmlformats.org/officeDocument/2006/relationships/hyperlink" Target="http://dev.dashboard.evolvesolar.com/my-commissions.php?user_id=206&amp;payweek=2014-07-11" TargetMode="External"/><Relationship Id="rId129" Type="http://schemas.openxmlformats.org/officeDocument/2006/relationships/hyperlink" Target="http://dev.dashboard.evolvesolar.com/my-commissions.php?user_id=512&amp;payweek=2015-02-06" TargetMode="External"/><Relationship Id="rId336" Type="http://schemas.openxmlformats.org/officeDocument/2006/relationships/hyperlink" Target="http://dev.dashboard.evolvesolar.com/my-commissions.php?user_id=940&amp;payweek=2015-01-30" TargetMode="External"/><Relationship Id="rId543" Type="http://schemas.openxmlformats.org/officeDocument/2006/relationships/hyperlink" Target="http://dev.dashboard.evolvesolar.com/my-commissions.php?user_id=268&amp;payweek=2015-01-09" TargetMode="External"/><Relationship Id="rId1173" Type="http://schemas.openxmlformats.org/officeDocument/2006/relationships/hyperlink" Target="http://dev.dashboard.evolvesolar.com/my-commissions.php?user_id=702&amp;payweek=2014-12-05" TargetMode="External"/><Relationship Id="rId1380" Type="http://schemas.openxmlformats.org/officeDocument/2006/relationships/hyperlink" Target="http://dev.dashboard.evolvesolar.com/my-commissions.php?user_id=621&amp;payweek=2014-11-21" TargetMode="External"/><Relationship Id="rId2017" Type="http://schemas.openxmlformats.org/officeDocument/2006/relationships/hyperlink" Target="http://dev.dashboard.evolvesolar.com/my-commissions.php?user_id=474&amp;payweek=2014-10-17" TargetMode="External"/><Relationship Id="rId2224" Type="http://schemas.openxmlformats.org/officeDocument/2006/relationships/hyperlink" Target="http://dev.dashboard.evolvesolar.com/my-commissions.php?user_id=634&amp;payweek=2014-10-06" TargetMode="External"/><Relationship Id="rId3622" Type="http://schemas.openxmlformats.org/officeDocument/2006/relationships/hyperlink" Target="http://dev.dashboard.evolvesolar.com/my-commissions.php?user_id=37&amp;payweek=2014-06-13" TargetMode="External"/><Relationship Id="rId403" Type="http://schemas.openxmlformats.org/officeDocument/2006/relationships/hyperlink" Target="http://dev.dashboard.evolvesolar.com/my-commissions.php?user_id=656&amp;payweek=2015-01-23" TargetMode="External"/><Relationship Id="rId750" Type="http://schemas.openxmlformats.org/officeDocument/2006/relationships/hyperlink" Target="http://dev.dashboard.evolvesolar.com/my-commissions.php?user_id=904&amp;payweek=2014-12-31" TargetMode="External"/><Relationship Id="rId1033" Type="http://schemas.openxmlformats.org/officeDocument/2006/relationships/hyperlink" Target="http://dev.dashboard.evolvesolar.com/my-commissions.php?user_id=322&amp;payweek=2014-12-12" TargetMode="External"/><Relationship Id="rId2431" Type="http://schemas.openxmlformats.org/officeDocument/2006/relationships/hyperlink" Target="http://dev.dashboard.evolvesolar.com/my-commissions.php?user_id=487&amp;payweek=2014-09-19" TargetMode="External"/><Relationship Id="rId610" Type="http://schemas.openxmlformats.org/officeDocument/2006/relationships/hyperlink" Target="http://dev.dashboard.evolvesolar.com/my-commissions.php?user_id=690&amp;payweek=2015-01-09" TargetMode="External"/><Relationship Id="rId1240" Type="http://schemas.openxmlformats.org/officeDocument/2006/relationships/hyperlink" Target="http://dev.dashboard.evolvesolar.com/my-commissions.php?user_id=813&amp;payweek=2014-11-28" TargetMode="External"/><Relationship Id="rId4049" Type="http://schemas.openxmlformats.org/officeDocument/2006/relationships/hyperlink" Target="http://dev.dashboard.evolvesolar.com/my-commissions.php?user_id=104&amp;payweek=2014-04-04" TargetMode="External"/><Relationship Id="rId1100" Type="http://schemas.openxmlformats.org/officeDocument/2006/relationships/hyperlink" Target="http://dev.dashboard.evolvesolar.com/my-commissions.php?user_id=875&amp;payweek=2014-12-12" TargetMode="External"/><Relationship Id="rId1917" Type="http://schemas.openxmlformats.org/officeDocument/2006/relationships/hyperlink" Target="http://dev.dashboard.evolvesolar.com/my-commissions.php?user_id=705&amp;payweek=2014-10-24" TargetMode="External"/><Relationship Id="rId3065" Type="http://schemas.openxmlformats.org/officeDocument/2006/relationships/hyperlink" Target="http://dev.dashboard.evolvesolar.com/my-commissions.php?user_id=389&amp;payweek=2014-08-08" TargetMode="External"/><Relationship Id="rId3272" Type="http://schemas.openxmlformats.org/officeDocument/2006/relationships/hyperlink" Target="http://dev.dashboard.evolvesolar.com/my-commissions.php?user_id=230&amp;payweek=2014-07-25" TargetMode="External"/><Relationship Id="rId193" Type="http://schemas.openxmlformats.org/officeDocument/2006/relationships/hyperlink" Target="http://dev.dashboard.evolvesolar.com/my-commissions.php?user_id=890&amp;payweek=2015-02-06" TargetMode="External"/><Relationship Id="rId2081" Type="http://schemas.openxmlformats.org/officeDocument/2006/relationships/hyperlink" Target="http://dev.dashboard.evolvesolar.com/my-commissions.php?user_id=268&amp;payweek=2014-10-10" TargetMode="External"/><Relationship Id="rId3132" Type="http://schemas.openxmlformats.org/officeDocument/2006/relationships/hyperlink" Target="http://dev.dashboard.evolvesolar.com/my-commissions.php?user_id=185&amp;payweek=2014-08-01" TargetMode="External"/><Relationship Id="rId260" Type="http://schemas.openxmlformats.org/officeDocument/2006/relationships/hyperlink" Target="http://dev.dashboard.evolvesolar.com/my-commissions.php?user_id=300&amp;payweek=2015-01-30" TargetMode="External"/><Relationship Id="rId120" Type="http://schemas.openxmlformats.org/officeDocument/2006/relationships/hyperlink" Target="http://dev.dashboard.evolvesolar.com/my-commissions.php?user_id=453&amp;payweek=2015-02-06" TargetMode="External"/><Relationship Id="rId2898" Type="http://schemas.openxmlformats.org/officeDocument/2006/relationships/hyperlink" Target="http://dev.dashboard.evolvesolar.com/my-commissions.php?user_id=407&amp;payweek=2014-08-22" TargetMode="External"/><Relationship Id="rId3949" Type="http://schemas.openxmlformats.org/officeDocument/2006/relationships/hyperlink" Target="http://dev.dashboard.evolvesolar.com/my-commissions.php?user_id=27&amp;payweek=2014-05-02" TargetMode="External"/><Relationship Id="rId2758" Type="http://schemas.openxmlformats.org/officeDocument/2006/relationships/hyperlink" Target="http://dev.dashboard.evolvesolar.com/my-commissions.php?user_id=206&amp;payweek=2014-08-28" TargetMode="External"/><Relationship Id="rId2965" Type="http://schemas.openxmlformats.org/officeDocument/2006/relationships/hyperlink" Target="http://dev.dashboard.evolvesolar.com/my-commissions.php?user_id=94&amp;payweek=2014-08-14" TargetMode="External"/><Relationship Id="rId3809" Type="http://schemas.openxmlformats.org/officeDocument/2006/relationships/hyperlink" Target="http://dev.dashboard.evolvesolar.com/my-commissions.php?user_id=111&amp;payweek=2014-05-30" TargetMode="External"/><Relationship Id="rId937" Type="http://schemas.openxmlformats.org/officeDocument/2006/relationships/hyperlink" Target="http://dev.dashboard.evolvesolar.com/my-commissions.php?user_id=715&amp;payweek=2014-12-22" TargetMode="External"/><Relationship Id="rId1567" Type="http://schemas.openxmlformats.org/officeDocument/2006/relationships/hyperlink" Target="http://dev.dashboard.evolvesolar.com/my-commissions.php?user_id=764&amp;payweek=2014-11-14" TargetMode="External"/><Relationship Id="rId1774" Type="http://schemas.openxmlformats.org/officeDocument/2006/relationships/hyperlink" Target="http://dev.dashboard.evolvesolar.com/my-commissions.php?user_id=474&amp;payweek=2014-10-31" TargetMode="External"/><Relationship Id="rId1981" Type="http://schemas.openxmlformats.org/officeDocument/2006/relationships/hyperlink" Target="http://dev.dashboard.evolvesolar.com/my-commissions.php?user_id=248&amp;payweek=2014-10-17" TargetMode="External"/><Relationship Id="rId2618" Type="http://schemas.openxmlformats.org/officeDocument/2006/relationships/hyperlink" Target="http://dev.dashboard.evolvesolar.com/my-commissions.php?user_id=458&amp;payweek=2014-09-05" TargetMode="External"/><Relationship Id="rId2825" Type="http://schemas.openxmlformats.org/officeDocument/2006/relationships/hyperlink" Target="http://dev.dashboard.evolvesolar.com/my-commissions.php?user_id=218&amp;payweek=2014-08-22" TargetMode="External"/><Relationship Id="rId66" Type="http://schemas.openxmlformats.org/officeDocument/2006/relationships/hyperlink" Target="http://dev.dashboard.evolvesolar.com/my-commissions.php?user_id=232&amp;payweek=2015-02-06" TargetMode="External"/><Relationship Id="rId1427" Type="http://schemas.openxmlformats.org/officeDocument/2006/relationships/hyperlink" Target="http://dev.dashboard.evolvesolar.com/my-commissions.php?user_id=750&amp;payweek=2014-11-19" TargetMode="External"/><Relationship Id="rId1634" Type="http://schemas.openxmlformats.org/officeDocument/2006/relationships/hyperlink" Target="http://dev.dashboard.evolvesolar.com/my-commissions.php?user_id=382&amp;payweek=2014-11-07" TargetMode="External"/><Relationship Id="rId1841" Type="http://schemas.openxmlformats.org/officeDocument/2006/relationships/hyperlink" Target="http://dev.dashboard.evolvesolar.com/my-commissions.php?user_id=261&amp;payweek=2014-10-24" TargetMode="External"/><Relationship Id="rId4040" Type="http://schemas.openxmlformats.org/officeDocument/2006/relationships/hyperlink" Target="http://dev.dashboard.evolvesolar.com/my-commissions.php?user_id=111&amp;payweek=2014-04-11" TargetMode="External"/><Relationship Id="rId3599" Type="http://schemas.openxmlformats.org/officeDocument/2006/relationships/hyperlink" Target="http://dev.dashboard.evolvesolar.com/my-commissions.php?user_id=204&amp;payweek=2014-06-20" TargetMode="External"/><Relationship Id="rId1701" Type="http://schemas.openxmlformats.org/officeDocument/2006/relationships/hyperlink" Target="http://dev.dashboard.evolvesolar.com/my-commissions.php?user_id=708&amp;payweek=2014-11-07" TargetMode="External"/><Relationship Id="rId3459" Type="http://schemas.openxmlformats.org/officeDocument/2006/relationships/hyperlink" Target="http://dev.dashboard.evolvesolar.com/my-commissions.php?user_id=28&amp;payweek=2014-07-03" TargetMode="External"/><Relationship Id="rId3666" Type="http://schemas.openxmlformats.org/officeDocument/2006/relationships/hyperlink" Target="http://dev.dashboard.evolvesolar.com/my-commissions.php?user_id=123&amp;payweek=2014-06-13" TargetMode="External"/><Relationship Id="rId587" Type="http://schemas.openxmlformats.org/officeDocument/2006/relationships/hyperlink" Target="http://dev.dashboard.evolvesolar.com/my-commissions.php?user_id=606&amp;payweek=2015-01-09" TargetMode="External"/><Relationship Id="rId2268" Type="http://schemas.openxmlformats.org/officeDocument/2006/relationships/hyperlink" Target="http://dev.dashboard.evolvesolar.com/my-commissions.php?user_id=355&amp;payweek=2014-09-29" TargetMode="External"/><Relationship Id="rId3319" Type="http://schemas.openxmlformats.org/officeDocument/2006/relationships/hyperlink" Target="http://dev.dashboard.evolvesolar.com/my-commissions.php?user_id=138&amp;payweek=2014-07-18" TargetMode="External"/><Relationship Id="rId3873" Type="http://schemas.openxmlformats.org/officeDocument/2006/relationships/hyperlink" Target="http://dev.dashboard.evolvesolar.com/my-commissions.php?user_id=142&amp;payweek=2014-05-23" TargetMode="External"/><Relationship Id="rId447" Type="http://schemas.openxmlformats.org/officeDocument/2006/relationships/hyperlink" Target="http://dev.dashboard.evolvesolar.com/my-commissions.php?user_id=161&amp;payweek=2015-01-15" TargetMode="External"/><Relationship Id="rId794" Type="http://schemas.openxmlformats.org/officeDocument/2006/relationships/hyperlink" Target="http://dev.dashboard.evolvesolar.com/my-commissions.php?user_id=326&amp;payweek=2014-12-26" TargetMode="External"/><Relationship Id="rId1077" Type="http://schemas.openxmlformats.org/officeDocument/2006/relationships/hyperlink" Target="http://dev.dashboard.evolvesolar.com/my-commissions.php?user_id=676&amp;payweek=2014-12-12" TargetMode="External"/><Relationship Id="rId2128" Type="http://schemas.openxmlformats.org/officeDocument/2006/relationships/hyperlink" Target="http://dev.dashboard.evolvesolar.com/my-commissions.php?user_id=582&amp;payweek=2014-10-10" TargetMode="External"/><Relationship Id="rId2475" Type="http://schemas.openxmlformats.org/officeDocument/2006/relationships/hyperlink" Target="http://dev.dashboard.evolvesolar.com/my-commissions.php?user_id=254&amp;payweek=2014-09-12" TargetMode="External"/><Relationship Id="rId2682" Type="http://schemas.openxmlformats.org/officeDocument/2006/relationships/hyperlink" Target="http://dev.dashboard.evolvesolar.com/my-commissions.php?user_id=269&amp;payweek=2014-09-02" TargetMode="External"/><Relationship Id="rId3526" Type="http://schemas.openxmlformats.org/officeDocument/2006/relationships/hyperlink" Target="http://dev.dashboard.evolvesolar.com/my-commissions.php?user_id=41&amp;payweek=2014-06-20" TargetMode="External"/><Relationship Id="rId3733" Type="http://schemas.openxmlformats.org/officeDocument/2006/relationships/hyperlink" Target="http://dev.dashboard.evolvesolar.com/my-commissions.php?user_id=100&amp;payweek=2014-06-06" TargetMode="External"/><Relationship Id="rId3940" Type="http://schemas.openxmlformats.org/officeDocument/2006/relationships/hyperlink" Target="http://dev.dashboard.evolvesolar.com/my-commissions.php?user_id=38&amp;payweek=2014-05-03" TargetMode="External"/><Relationship Id="rId654" Type="http://schemas.openxmlformats.org/officeDocument/2006/relationships/hyperlink" Target="http://dev.dashboard.evolvesolar.com/my-commissions.php?user_id=77&amp;payweek=2014-12-31" TargetMode="External"/><Relationship Id="rId861" Type="http://schemas.openxmlformats.org/officeDocument/2006/relationships/hyperlink" Target="http://dev.dashboard.evolvesolar.com/my-commissions.php?user_id=687&amp;payweek=2014-12-26" TargetMode="External"/><Relationship Id="rId1284" Type="http://schemas.openxmlformats.org/officeDocument/2006/relationships/hyperlink" Target="http://dev.dashboard.evolvesolar.com/my-commissions.php?user_id=705&amp;payweek=2014-11-25" TargetMode="External"/><Relationship Id="rId1491" Type="http://schemas.openxmlformats.org/officeDocument/2006/relationships/hyperlink" Target="http://dev.dashboard.evolvesolar.com/my-commissions.php?user_id=334&amp;payweek=2014-11-14" TargetMode="External"/><Relationship Id="rId2335" Type="http://schemas.openxmlformats.org/officeDocument/2006/relationships/hyperlink" Target="http://dev.dashboard.evolvesolar.com/my-commissions.php?user_id=539&amp;payweek=2014-09-25" TargetMode="External"/><Relationship Id="rId2542" Type="http://schemas.openxmlformats.org/officeDocument/2006/relationships/hyperlink" Target="http://dev.dashboard.evolvesolar.com/my-commissions.php?user_id=473&amp;payweek=2014-09-12" TargetMode="External"/><Relationship Id="rId3800" Type="http://schemas.openxmlformats.org/officeDocument/2006/relationships/hyperlink" Target="http://dev.dashboard.evolvesolar.com/my-commissions.php?user_id=96&amp;payweek=2014-05-30" TargetMode="External"/><Relationship Id="rId307" Type="http://schemas.openxmlformats.org/officeDocument/2006/relationships/hyperlink" Target="http://dev.dashboard.evolvesolar.com/my-commissions.php?user_id=750&amp;payweek=2015-01-30" TargetMode="External"/><Relationship Id="rId514" Type="http://schemas.openxmlformats.org/officeDocument/2006/relationships/hyperlink" Target="http://dev.dashboard.evolvesolar.com/my-commissions.php?user_id=546&amp;payweek=2015-01-12" TargetMode="External"/><Relationship Id="rId721" Type="http://schemas.openxmlformats.org/officeDocument/2006/relationships/hyperlink" Target="http://dev.dashboard.evolvesolar.com/my-commissions.php?user_id=604&amp;payweek=2014-12-31" TargetMode="External"/><Relationship Id="rId1144" Type="http://schemas.openxmlformats.org/officeDocument/2006/relationships/hyperlink" Target="http://dev.dashboard.evolvesolar.com/my-commissions.php?user_id=593&amp;payweek=2014-12-05" TargetMode="External"/><Relationship Id="rId1351" Type="http://schemas.openxmlformats.org/officeDocument/2006/relationships/hyperlink" Target="http://dev.dashboard.evolvesolar.com/my-commissions.php?user_id=358&amp;payweek=2014-11-21" TargetMode="External"/><Relationship Id="rId2402" Type="http://schemas.openxmlformats.org/officeDocument/2006/relationships/hyperlink" Target="http://dev.dashboard.evolvesolar.com/my-commissions.php?user_id=261&amp;payweek=2014-09-19" TargetMode="External"/><Relationship Id="rId1004" Type="http://schemas.openxmlformats.org/officeDocument/2006/relationships/hyperlink" Target="http://dev.dashboard.evolvesolar.com/my-commissions.php?user_id=99&amp;payweek=2014-12-12" TargetMode="External"/><Relationship Id="rId1211" Type="http://schemas.openxmlformats.org/officeDocument/2006/relationships/hyperlink" Target="http://dev.dashboard.evolvesolar.com/my-commissions.php?user_id=185&amp;payweek=2014-11-28" TargetMode="External"/><Relationship Id="rId3176" Type="http://schemas.openxmlformats.org/officeDocument/2006/relationships/hyperlink" Target="http://dev.dashboard.evolvesolar.com/my-commissions.php?user_id=157&amp;payweek=2014-07-31" TargetMode="External"/><Relationship Id="rId3383" Type="http://schemas.openxmlformats.org/officeDocument/2006/relationships/hyperlink" Target="http://dev.dashboard.evolvesolar.com/my-commissions.php?user_id=104&amp;payweek=2014-07-11" TargetMode="External"/><Relationship Id="rId3590" Type="http://schemas.openxmlformats.org/officeDocument/2006/relationships/hyperlink" Target="http://dev.dashboard.evolvesolar.com/my-commissions.php?user_id=163&amp;payweek=2014-06-20" TargetMode="External"/><Relationship Id="rId2192" Type="http://schemas.openxmlformats.org/officeDocument/2006/relationships/hyperlink" Target="http://dev.dashboard.evolvesolar.com/my-commissions.php?user_id=365&amp;payweek=2014-10-06" TargetMode="External"/><Relationship Id="rId3036" Type="http://schemas.openxmlformats.org/officeDocument/2006/relationships/hyperlink" Target="http://dev.dashboard.evolvesolar.com/my-commissions.php?user_id=230&amp;payweek=2014-08-08" TargetMode="External"/><Relationship Id="rId3243" Type="http://schemas.openxmlformats.org/officeDocument/2006/relationships/hyperlink" Target="http://dev.dashboard.evolvesolar.com/my-commissions.php?user_id=143&amp;payweek=2014-07-25" TargetMode="External"/><Relationship Id="rId164" Type="http://schemas.openxmlformats.org/officeDocument/2006/relationships/hyperlink" Target="http://dev.dashboard.evolvesolar.com/my-commissions.php?user_id=659&amp;payweek=2015-02-06" TargetMode="External"/><Relationship Id="rId371" Type="http://schemas.openxmlformats.org/officeDocument/2006/relationships/hyperlink" Target="http://dev.dashboard.evolvesolar.com/my-commissions.php?user_id=268&amp;payweek=2015-01-23" TargetMode="External"/><Relationship Id="rId2052" Type="http://schemas.openxmlformats.org/officeDocument/2006/relationships/hyperlink" Target="http://dev.dashboard.evolvesolar.com/my-commissions.php?user_id=401&amp;payweek=2014-10-14" TargetMode="External"/><Relationship Id="rId3450" Type="http://schemas.openxmlformats.org/officeDocument/2006/relationships/hyperlink" Target="http://dev.dashboard.evolvesolar.com/my-commissions.php?user_id=168&amp;payweek=2014-07-04" TargetMode="External"/><Relationship Id="rId3103" Type="http://schemas.openxmlformats.org/officeDocument/2006/relationships/hyperlink" Target="http://dev.dashboard.evolvesolar.com/my-commissions.php?user_id=237&amp;payweek=2014-08-07" TargetMode="External"/><Relationship Id="rId3310" Type="http://schemas.openxmlformats.org/officeDocument/2006/relationships/hyperlink" Target="http://dev.dashboard.evolvesolar.com/my-commissions.php?user_id=83&amp;payweek=2014-07-18" TargetMode="External"/><Relationship Id="rId231" Type="http://schemas.openxmlformats.org/officeDocument/2006/relationships/hyperlink" Target="http://dev.dashboard.evolvesolar.com/my-commissions.php?user_id=975&amp;payweek=2015-02-06" TargetMode="External"/><Relationship Id="rId2869" Type="http://schemas.openxmlformats.org/officeDocument/2006/relationships/hyperlink" Target="http://dev.dashboard.evolvesolar.com/my-commissions.php?user_id=295&amp;payweek=2014-08-22" TargetMode="External"/><Relationship Id="rId1678" Type="http://schemas.openxmlformats.org/officeDocument/2006/relationships/hyperlink" Target="http://dev.dashboard.evolvesolar.com/my-commissions.php?user_id=635&amp;payweek=2014-11-07" TargetMode="External"/><Relationship Id="rId1885" Type="http://schemas.openxmlformats.org/officeDocument/2006/relationships/hyperlink" Target="http://dev.dashboard.evolvesolar.com/my-commissions.php?user_id=594&amp;payweek=2014-10-24" TargetMode="External"/><Relationship Id="rId2729" Type="http://schemas.openxmlformats.org/officeDocument/2006/relationships/hyperlink" Target="http://dev.dashboard.evolvesolar.com/my-commissions.php?user_id=397&amp;payweek=2014-08-29" TargetMode="External"/><Relationship Id="rId2936" Type="http://schemas.openxmlformats.org/officeDocument/2006/relationships/hyperlink" Target="http://dev.dashboard.evolvesolar.com/my-commissions.php?user_id=133&amp;payweek=2014-08-15" TargetMode="External"/><Relationship Id="rId4084" Type="http://schemas.openxmlformats.org/officeDocument/2006/relationships/hyperlink" Target="http://dev.dashboard.evolvesolar.com/my-commissions.php?user_id=89&amp;payweek=2014-03-14" TargetMode="External"/><Relationship Id="rId908" Type="http://schemas.openxmlformats.org/officeDocument/2006/relationships/hyperlink" Target="http://dev.dashboard.evolvesolar.com/my-commissions.php?user_id=268&amp;payweek=2014-12-22" TargetMode="External"/><Relationship Id="rId1538" Type="http://schemas.openxmlformats.org/officeDocument/2006/relationships/hyperlink" Target="http://dev.dashboard.evolvesolar.com/my-commissions.php?user_id=687&amp;payweek=2014-11-14" TargetMode="External"/><Relationship Id="rId1745" Type="http://schemas.openxmlformats.org/officeDocument/2006/relationships/hyperlink" Target="http://dev.dashboard.evolvesolar.com/my-commissions.php?user_id=321&amp;payweek=2014-10-31" TargetMode="External"/><Relationship Id="rId1952" Type="http://schemas.openxmlformats.org/officeDocument/2006/relationships/hyperlink" Target="http://dev.dashboard.evolvesolar.com/my-commissions.php?user_id=28&amp;payweek=2014-10-17" TargetMode="External"/><Relationship Id="rId4011" Type="http://schemas.openxmlformats.org/officeDocument/2006/relationships/hyperlink" Target="http://dev.dashboard.evolvesolar.com/my-commissions.php?user_id=88&amp;payweek=2014-04-17" TargetMode="External"/><Relationship Id="rId37" Type="http://schemas.openxmlformats.org/officeDocument/2006/relationships/hyperlink" Target="http://dev.dashboard.evolvesolar.com/my-commissions.php?user_id=138&amp;payweek=2015-02-06" TargetMode="External"/><Relationship Id="rId1605" Type="http://schemas.openxmlformats.org/officeDocument/2006/relationships/hyperlink" Target="http://dev.dashboard.evolvesolar.com/my-commissions.php?user_id=133&amp;payweek=2014-11-07" TargetMode="External"/><Relationship Id="rId1812" Type="http://schemas.openxmlformats.org/officeDocument/2006/relationships/hyperlink" Target="http://dev.dashboard.evolvesolar.com/my-commissions.php?user_id=664&amp;payweek=2014-10-31" TargetMode="External"/><Relationship Id="rId3777" Type="http://schemas.openxmlformats.org/officeDocument/2006/relationships/hyperlink" Target="http://dev.dashboard.evolvesolar.com/my-commissions.php?user_id=175&amp;payweek=2014-06-06" TargetMode="External"/><Relationship Id="rId3984" Type="http://schemas.openxmlformats.org/officeDocument/2006/relationships/hyperlink" Target="http://dev.dashboard.evolvesolar.com/my-commissions.php?user_id=82&amp;payweek=2014-04-24" TargetMode="External"/><Relationship Id="rId698" Type="http://schemas.openxmlformats.org/officeDocument/2006/relationships/hyperlink" Target="http://dev.dashboard.evolvesolar.com/my-commissions.php?user_id=392&amp;payweek=2014-12-31" TargetMode="External"/><Relationship Id="rId2379" Type="http://schemas.openxmlformats.org/officeDocument/2006/relationships/hyperlink" Target="http://dev.dashboard.evolvesolar.com/my-commissions.php?user_id=77&amp;payweek=2014-09-19" TargetMode="External"/><Relationship Id="rId2586" Type="http://schemas.openxmlformats.org/officeDocument/2006/relationships/hyperlink" Target="http://dev.dashboard.evolvesolar.com/my-commissions.php?user_id=41&amp;payweek=2014-09-06" TargetMode="External"/><Relationship Id="rId2793" Type="http://schemas.openxmlformats.org/officeDocument/2006/relationships/hyperlink" Target="http://dev.dashboard.evolvesolar.com/my-commissions.php?user_id=46&amp;payweek=2014-08-25" TargetMode="External"/><Relationship Id="rId3637" Type="http://schemas.openxmlformats.org/officeDocument/2006/relationships/hyperlink" Target="http://dev.dashboard.evolvesolar.com/my-commissions.php?user_id=63&amp;payweek=2014-06-13" TargetMode="External"/><Relationship Id="rId3844" Type="http://schemas.openxmlformats.org/officeDocument/2006/relationships/hyperlink" Target="http://dev.dashboard.evolvesolar.com/my-commissions.php?user_id=79&amp;payweek=2014-05-23" TargetMode="External"/><Relationship Id="rId558" Type="http://schemas.openxmlformats.org/officeDocument/2006/relationships/hyperlink" Target="http://dev.dashboard.evolvesolar.com/my-commissions.php?user_id=343&amp;payweek=2015-01-09" TargetMode="External"/><Relationship Id="rId765" Type="http://schemas.openxmlformats.org/officeDocument/2006/relationships/hyperlink" Target="http://dev.dashboard.evolvesolar.com/my-commissions.php?user_id=114&amp;payweek=2014-12-26" TargetMode="External"/><Relationship Id="rId972" Type="http://schemas.openxmlformats.org/officeDocument/2006/relationships/hyperlink" Target="http://dev.dashboard.evolvesolar.com/my-commissions.php?user_id=468&amp;payweek=2014-12-19" TargetMode="External"/><Relationship Id="rId1188" Type="http://schemas.openxmlformats.org/officeDocument/2006/relationships/hyperlink" Target="http://dev.dashboard.evolvesolar.com/my-commissions.php?user_id=764&amp;payweek=2014-12-05" TargetMode="External"/><Relationship Id="rId1395" Type="http://schemas.openxmlformats.org/officeDocument/2006/relationships/hyperlink" Target="http://dev.dashboard.evolvesolar.com/my-commissions.php?user_id=683&amp;payweek=2014-11-21" TargetMode="External"/><Relationship Id="rId2239" Type="http://schemas.openxmlformats.org/officeDocument/2006/relationships/hyperlink" Target="http://dev.dashboard.evolvesolar.com/my-commissions.php?user_id=428&amp;payweek=2014-10-03" TargetMode="External"/><Relationship Id="rId2446" Type="http://schemas.openxmlformats.org/officeDocument/2006/relationships/hyperlink" Target="http://dev.dashboard.evolvesolar.com/my-commissions.php?user_id=488&amp;payweek=2014-09-15" TargetMode="External"/><Relationship Id="rId2653" Type="http://schemas.openxmlformats.org/officeDocument/2006/relationships/hyperlink" Target="http://dev.dashboard.evolvesolar.com/my-commissions.php?user_id=250&amp;payweek=2014-09-04" TargetMode="External"/><Relationship Id="rId2860" Type="http://schemas.openxmlformats.org/officeDocument/2006/relationships/hyperlink" Target="http://dev.dashboard.evolvesolar.com/my-commissions.php?user_id=261&amp;payweek=2014-08-22" TargetMode="External"/><Relationship Id="rId3704" Type="http://schemas.openxmlformats.org/officeDocument/2006/relationships/hyperlink" Target="http://dev.dashboard.evolvesolar.com/my-commissions.php?user_id=38&amp;payweek=2014-06-06" TargetMode="External"/><Relationship Id="rId418" Type="http://schemas.openxmlformats.org/officeDocument/2006/relationships/hyperlink" Target="http://dev.dashboard.evolvesolar.com/my-commissions.php?user_id=771&amp;payweek=2015-01-23" TargetMode="External"/><Relationship Id="rId625" Type="http://schemas.openxmlformats.org/officeDocument/2006/relationships/hyperlink" Target="http://dev.dashboard.evolvesolar.com/my-commissions.php?user_id=764&amp;payweek=2015-01-09" TargetMode="External"/><Relationship Id="rId832" Type="http://schemas.openxmlformats.org/officeDocument/2006/relationships/hyperlink" Target="http://dev.dashboard.evolvesolar.com/my-commissions.php?user_id=592&amp;payweek=2014-12-26" TargetMode="External"/><Relationship Id="rId1048" Type="http://schemas.openxmlformats.org/officeDocument/2006/relationships/hyperlink" Target="http://dev.dashboard.evolvesolar.com/my-commissions.php?user_id=410&amp;payweek=2014-12-12" TargetMode="External"/><Relationship Id="rId1255" Type="http://schemas.openxmlformats.org/officeDocument/2006/relationships/hyperlink" Target="http://dev.dashboard.evolvesolar.com/my-commissions.php?user_id=332&amp;payweek=2014-11-25" TargetMode="External"/><Relationship Id="rId1462" Type="http://schemas.openxmlformats.org/officeDocument/2006/relationships/hyperlink" Target="http://dev.dashboard.evolvesolar.com/my-commissions.php?user_id=211&amp;payweek=2014-11-14" TargetMode="External"/><Relationship Id="rId2306" Type="http://schemas.openxmlformats.org/officeDocument/2006/relationships/hyperlink" Target="http://dev.dashboard.evolvesolar.com/my-commissions.php?user_id=373&amp;payweek=2014-09-25" TargetMode="External"/><Relationship Id="rId2513" Type="http://schemas.openxmlformats.org/officeDocument/2006/relationships/hyperlink" Target="http://dev.dashboard.evolvesolar.com/my-commissions.php?user_id=391&amp;payweek=2014-09-12" TargetMode="External"/><Relationship Id="rId3911" Type="http://schemas.openxmlformats.org/officeDocument/2006/relationships/hyperlink" Target="http://dev.dashboard.evolvesolar.com/my-commissions.php?user_id=27&amp;payweek=2014-05-09" TargetMode="External"/><Relationship Id="rId1115" Type="http://schemas.openxmlformats.org/officeDocument/2006/relationships/hyperlink" Target="http://dev.dashboard.evolvesolar.com/my-commissions.php?user_id=77&amp;payweek=2014-12-05" TargetMode="External"/><Relationship Id="rId1322" Type="http://schemas.openxmlformats.org/officeDocument/2006/relationships/hyperlink" Target="http://dev.dashboard.evolvesolar.com/my-commissions.php?user_id=133&amp;payweek=2014-11-21" TargetMode="External"/><Relationship Id="rId2720" Type="http://schemas.openxmlformats.org/officeDocument/2006/relationships/hyperlink" Target="http://dev.dashboard.evolvesolar.com/my-commissions.php?user_id=332&amp;payweek=2014-08-29" TargetMode="External"/><Relationship Id="rId3287" Type="http://schemas.openxmlformats.org/officeDocument/2006/relationships/hyperlink" Target="http://dev.dashboard.evolvesolar.com/my-commissions.php?user_id=261&amp;payweek=2014-07-25" TargetMode="External"/><Relationship Id="rId2096" Type="http://schemas.openxmlformats.org/officeDocument/2006/relationships/hyperlink" Target="http://dev.dashboard.evolvesolar.com/my-commissions.php?user_id=352&amp;payweek=2014-10-10" TargetMode="External"/><Relationship Id="rId3494" Type="http://schemas.openxmlformats.org/officeDocument/2006/relationships/hyperlink" Target="http://dev.dashboard.evolvesolar.com/my-commissions.php?user_id=112&amp;payweek=2014-06-27" TargetMode="External"/><Relationship Id="rId3147" Type="http://schemas.openxmlformats.org/officeDocument/2006/relationships/hyperlink" Target="http://dev.dashboard.evolvesolar.com/my-commissions.php?user_id=322&amp;payweek=2014-08-02" TargetMode="External"/><Relationship Id="rId3354" Type="http://schemas.openxmlformats.org/officeDocument/2006/relationships/hyperlink" Target="http://dev.dashboard.evolvesolar.com/my-commissions.php?user_id=250&amp;payweek=2014-07-18" TargetMode="External"/><Relationship Id="rId3561" Type="http://schemas.openxmlformats.org/officeDocument/2006/relationships/hyperlink" Target="http://dev.dashboard.evolvesolar.com/my-commissions.php?user_id=139&amp;payweek=2014-06-20" TargetMode="External"/><Relationship Id="rId275" Type="http://schemas.openxmlformats.org/officeDocument/2006/relationships/hyperlink" Target="http://dev.dashboard.evolvesolar.com/my-commissions.php?user_id=551&amp;payweek=2015-01-30" TargetMode="External"/><Relationship Id="rId482" Type="http://schemas.openxmlformats.org/officeDocument/2006/relationships/hyperlink" Target="http://dev.dashboard.evolvesolar.com/my-commissions.php?user_id=635&amp;payweek=2015-01-15" TargetMode="External"/><Relationship Id="rId2163" Type="http://schemas.openxmlformats.org/officeDocument/2006/relationships/hyperlink" Target="http://dev.dashboard.evolvesolar.com/my-commissions.php?user_id=94&amp;payweek=2014-10-06" TargetMode="External"/><Relationship Id="rId2370" Type="http://schemas.openxmlformats.org/officeDocument/2006/relationships/hyperlink" Target="http://dev.dashboard.evolvesolar.com/my-commissions.php?user_id=582&amp;payweek=2014-09-22" TargetMode="External"/><Relationship Id="rId3007" Type="http://schemas.openxmlformats.org/officeDocument/2006/relationships/hyperlink" Target="http://dev.dashboard.evolvesolar.com/my-commissions.php?user_id=37&amp;payweek=2014-08-11" TargetMode="External"/><Relationship Id="rId3214" Type="http://schemas.openxmlformats.org/officeDocument/2006/relationships/hyperlink" Target="http://dev.dashboard.evolvesolar.com/my-commissions.php?user_id=295&amp;payweek=2014-07-31" TargetMode="External"/><Relationship Id="rId3421" Type="http://schemas.openxmlformats.org/officeDocument/2006/relationships/hyperlink" Target="http://dev.dashboard.evolvesolar.com/my-commissions.php?user_id=223&amp;payweek=2014-07-11" TargetMode="External"/><Relationship Id="rId135" Type="http://schemas.openxmlformats.org/officeDocument/2006/relationships/hyperlink" Target="http://dev.dashboard.evolvesolar.com/my-commissions.php?user_id=582&amp;payweek=2015-02-06" TargetMode="External"/><Relationship Id="rId342" Type="http://schemas.openxmlformats.org/officeDocument/2006/relationships/hyperlink" Target="http://dev.dashboard.evolvesolar.com/my-commissions.php?user_id=949&amp;payweek=2015-01-30" TargetMode="External"/><Relationship Id="rId2023" Type="http://schemas.openxmlformats.org/officeDocument/2006/relationships/hyperlink" Target="http://dev.dashboard.evolvesolar.com/my-commissions.php?user_id=576&amp;payweek=2014-10-17" TargetMode="External"/><Relationship Id="rId2230" Type="http://schemas.openxmlformats.org/officeDocument/2006/relationships/hyperlink" Target="http://dev.dashboard.evolvesolar.com/my-commissions.php?user_id=248&amp;payweek=2014-10-03" TargetMode="External"/><Relationship Id="rId202" Type="http://schemas.openxmlformats.org/officeDocument/2006/relationships/hyperlink" Target="http://dev.dashboard.evolvesolar.com/my-commissions.php?user_id=908&amp;payweek=2015-02-06" TargetMode="External"/><Relationship Id="rId1789" Type="http://schemas.openxmlformats.org/officeDocument/2006/relationships/hyperlink" Target="http://dev.dashboard.evolvesolar.com/my-commissions.php?user_id=580&amp;payweek=2014-10-31" TargetMode="External"/><Relationship Id="rId1996" Type="http://schemas.openxmlformats.org/officeDocument/2006/relationships/hyperlink" Target="http://dev.dashboard.evolvesolar.com/my-commissions.php?user_id=343&amp;payweek=2014-10-17" TargetMode="External"/><Relationship Id="rId4055" Type="http://schemas.openxmlformats.org/officeDocument/2006/relationships/hyperlink" Target="http://dev.dashboard.evolvesolar.com/my-commissions.php?user_id=373&amp;payweek=2014-04-04" TargetMode="External"/><Relationship Id="rId1649" Type="http://schemas.openxmlformats.org/officeDocument/2006/relationships/hyperlink" Target="http://dev.dashboard.evolvesolar.com/my-commissions.php?user_id=530&amp;payweek=2014-11-07" TargetMode="External"/><Relationship Id="rId1856" Type="http://schemas.openxmlformats.org/officeDocument/2006/relationships/hyperlink" Target="http://dev.dashboard.evolvesolar.com/my-commissions.php?user_id=382&amp;payweek=2014-10-24" TargetMode="External"/><Relationship Id="rId2907" Type="http://schemas.openxmlformats.org/officeDocument/2006/relationships/hyperlink" Target="http://dev.dashboard.evolvesolar.com/my-commissions.php?user_id=480&amp;payweek=2014-08-22" TargetMode="External"/><Relationship Id="rId3071" Type="http://schemas.openxmlformats.org/officeDocument/2006/relationships/hyperlink" Target="http://dev.dashboard.evolvesolar.com/my-commissions.php?user_id=153&amp;payweek=2014-08-07" TargetMode="External"/><Relationship Id="rId1509" Type="http://schemas.openxmlformats.org/officeDocument/2006/relationships/hyperlink" Target="http://dev.dashboard.evolvesolar.com/my-commissions.php?user_id=530&amp;payweek=2014-11-14" TargetMode="External"/><Relationship Id="rId1716" Type="http://schemas.openxmlformats.org/officeDocument/2006/relationships/hyperlink" Target="http://dev.dashboard.evolvesolar.com/my-commissions.php?user_id=389&amp;payweek=2014-11-04" TargetMode="External"/><Relationship Id="rId1923" Type="http://schemas.openxmlformats.org/officeDocument/2006/relationships/hyperlink" Target="http://dev.dashboard.evolvesolar.com/my-commissions.php?user_id=403&amp;payweek=2014-10-21" TargetMode="External"/><Relationship Id="rId3888" Type="http://schemas.openxmlformats.org/officeDocument/2006/relationships/hyperlink" Target="http://dev.dashboard.evolvesolar.com/my-commissions.php?user_id=79&amp;payweek=2014-05-16" TargetMode="External"/><Relationship Id="rId2697" Type="http://schemas.openxmlformats.org/officeDocument/2006/relationships/hyperlink" Target="http://dev.dashboard.evolvesolar.com/my-commissions.php?user_id=231&amp;payweek=2014-08-29" TargetMode="External"/><Relationship Id="rId3748" Type="http://schemas.openxmlformats.org/officeDocument/2006/relationships/hyperlink" Target="http://dev.dashboard.evolvesolar.com/my-commissions.php?user_id=114&amp;payweek=2014-06-06" TargetMode="External"/><Relationship Id="rId669" Type="http://schemas.openxmlformats.org/officeDocument/2006/relationships/hyperlink" Target="http://dev.dashboard.evolvesolar.com/my-commissions.php?user_id=192&amp;payweek=2014-12-31" TargetMode="External"/><Relationship Id="rId876" Type="http://schemas.openxmlformats.org/officeDocument/2006/relationships/hyperlink" Target="http://dev.dashboard.evolvesolar.com/my-commissions.php?user_id=750&amp;payweek=2014-12-26" TargetMode="External"/><Relationship Id="rId1299" Type="http://schemas.openxmlformats.org/officeDocument/2006/relationships/hyperlink" Target="http://dev.dashboard.evolvesolar.com/my-commissions.php?user_id=793&amp;payweek=2014-11-25" TargetMode="External"/><Relationship Id="rId2557" Type="http://schemas.openxmlformats.org/officeDocument/2006/relationships/hyperlink" Target="http://dev.dashboard.evolvesolar.com/my-commissions.php?user_id=551&amp;payweek=2014-09-12" TargetMode="External"/><Relationship Id="rId3608" Type="http://schemas.openxmlformats.org/officeDocument/2006/relationships/hyperlink" Target="http://dev.dashboard.evolvesolar.com/my-commissions.php?user_id=227&amp;payweek=2014-06-20" TargetMode="External"/><Relationship Id="rId3955" Type="http://schemas.openxmlformats.org/officeDocument/2006/relationships/hyperlink" Target="http://dev.dashboard.evolvesolar.com/my-commissions.php?user_id=87&amp;payweek=2014-05-02" TargetMode="External"/><Relationship Id="rId529" Type="http://schemas.openxmlformats.org/officeDocument/2006/relationships/hyperlink" Target="http://dev.dashboard.evolvesolar.com/my-commissions.php?user_id=133&amp;payweek=2015-01-09" TargetMode="External"/><Relationship Id="rId736" Type="http://schemas.openxmlformats.org/officeDocument/2006/relationships/hyperlink" Target="http://dev.dashboard.evolvesolar.com/my-commissions.php?user_id=657&amp;payweek=2014-12-31" TargetMode="External"/><Relationship Id="rId1159" Type="http://schemas.openxmlformats.org/officeDocument/2006/relationships/hyperlink" Target="http://dev.dashboard.evolvesolar.com/my-commissions.php?user_id=664&amp;payweek=2014-12-05" TargetMode="External"/><Relationship Id="rId1366" Type="http://schemas.openxmlformats.org/officeDocument/2006/relationships/hyperlink" Target="http://dev.dashboard.evolvesolar.com/my-commissions.php?user_id=407&amp;payweek=2014-11-21" TargetMode="External"/><Relationship Id="rId2417" Type="http://schemas.openxmlformats.org/officeDocument/2006/relationships/hyperlink" Target="http://dev.dashboard.evolvesolar.com/my-commissions.php?user_id=389&amp;payweek=2014-09-19" TargetMode="External"/><Relationship Id="rId2764" Type="http://schemas.openxmlformats.org/officeDocument/2006/relationships/hyperlink" Target="http://dev.dashboard.evolvesolar.com/my-commissions.php?user_id=224&amp;payweek=2014-08-28" TargetMode="External"/><Relationship Id="rId2971" Type="http://schemas.openxmlformats.org/officeDocument/2006/relationships/hyperlink" Target="http://dev.dashboard.evolvesolar.com/my-commissions.php?user_id=202&amp;payweek=2014-08-14" TargetMode="External"/><Relationship Id="rId3815" Type="http://schemas.openxmlformats.org/officeDocument/2006/relationships/hyperlink" Target="http://dev.dashboard.evolvesolar.com/my-commissions.php?user_id=118&amp;payweek=2014-05-30" TargetMode="External"/><Relationship Id="rId943" Type="http://schemas.openxmlformats.org/officeDocument/2006/relationships/hyperlink" Target="http://dev.dashboard.evolvesolar.com/my-commissions.php?user_id=790&amp;payweek=2014-12-22" TargetMode="External"/><Relationship Id="rId1019" Type="http://schemas.openxmlformats.org/officeDocument/2006/relationships/hyperlink" Target="http://dev.dashboard.evolvesolar.com/my-commissions.php?user_id=211&amp;payweek=2014-12-12" TargetMode="External"/><Relationship Id="rId1573" Type="http://schemas.openxmlformats.org/officeDocument/2006/relationships/hyperlink" Target="http://dev.dashboard.evolvesolar.com/my-commissions.php?user_id=782&amp;payweek=2014-11-14" TargetMode="External"/><Relationship Id="rId1780" Type="http://schemas.openxmlformats.org/officeDocument/2006/relationships/hyperlink" Target="http://dev.dashboard.evolvesolar.com/my-commissions.php?user_id=534&amp;payweek=2014-10-31" TargetMode="External"/><Relationship Id="rId2624" Type="http://schemas.openxmlformats.org/officeDocument/2006/relationships/hyperlink" Target="http://dev.dashboard.evolvesolar.com/my-commissions.php?user_id=85&amp;payweek=2014-09-04" TargetMode="External"/><Relationship Id="rId2831" Type="http://schemas.openxmlformats.org/officeDocument/2006/relationships/hyperlink" Target="http://dev.dashboard.evolvesolar.com/my-commissions.php?user_id=230&amp;payweek=2014-08-22" TargetMode="External"/><Relationship Id="rId72" Type="http://schemas.openxmlformats.org/officeDocument/2006/relationships/hyperlink" Target="http://dev.dashboard.evolvesolar.com/my-commissions.php?user_id=255&amp;payweek=2015-02-06" TargetMode="External"/><Relationship Id="rId803" Type="http://schemas.openxmlformats.org/officeDocument/2006/relationships/hyperlink" Target="http://dev.dashboard.evolvesolar.com/my-commissions.php?user_id=383&amp;payweek=2014-12-26" TargetMode="External"/><Relationship Id="rId1226" Type="http://schemas.openxmlformats.org/officeDocument/2006/relationships/hyperlink" Target="http://dev.dashboard.evolvesolar.com/my-commissions.php?user_id=616&amp;payweek=2014-11-28" TargetMode="External"/><Relationship Id="rId1433" Type="http://schemas.openxmlformats.org/officeDocument/2006/relationships/hyperlink" Target="http://dev.dashboard.evolvesolar.com/my-commissions.php?user_id=27&amp;payweek=2014-11-14" TargetMode="External"/><Relationship Id="rId1640" Type="http://schemas.openxmlformats.org/officeDocument/2006/relationships/hyperlink" Target="http://dev.dashboard.evolvesolar.com/my-commissions.php?user_id=410&amp;payweek=2014-11-07" TargetMode="External"/><Relationship Id="rId1500" Type="http://schemas.openxmlformats.org/officeDocument/2006/relationships/hyperlink" Target="http://dev.dashboard.evolvesolar.com/my-commissions.php?user_id=410&amp;payweek=2014-11-14" TargetMode="External"/><Relationship Id="rId3398" Type="http://schemas.openxmlformats.org/officeDocument/2006/relationships/hyperlink" Target="http://dev.dashboard.evolvesolar.com/my-commissions.php?user_id=138&amp;payweek=2014-07-11" TargetMode="External"/><Relationship Id="rId3258" Type="http://schemas.openxmlformats.org/officeDocument/2006/relationships/hyperlink" Target="http://dev.dashboard.evolvesolar.com/my-commissions.php?user_id=185&amp;payweek=2014-07-25" TargetMode="External"/><Relationship Id="rId3465" Type="http://schemas.openxmlformats.org/officeDocument/2006/relationships/hyperlink" Target="http://dev.dashboard.evolvesolar.com/my-commissions.php?user_id=134&amp;payweek=2014-07-03" TargetMode="External"/><Relationship Id="rId3672" Type="http://schemas.openxmlformats.org/officeDocument/2006/relationships/hyperlink" Target="http://dev.dashboard.evolvesolar.com/my-commissions.php?user_id=134&amp;payweek=2014-06-13" TargetMode="External"/><Relationship Id="rId179" Type="http://schemas.openxmlformats.org/officeDocument/2006/relationships/hyperlink" Target="http://dev.dashboard.evolvesolar.com/my-commissions.php?user_id=771&amp;payweek=2015-02-06" TargetMode="External"/><Relationship Id="rId386" Type="http://schemas.openxmlformats.org/officeDocument/2006/relationships/hyperlink" Target="http://dev.dashboard.evolvesolar.com/my-commissions.php?user_id=370&amp;payweek=2015-01-23" TargetMode="External"/><Relationship Id="rId593" Type="http://schemas.openxmlformats.org/officeDocument/2006/relationships/hyperlink" Target="http://dev.dashboard.evolvesolar.com/my-commissions.php?user_id=626&amp;payweek=2015-01-09" TargetMode="External"/><Relationship Id="rId2067" Type="http://schemas.openxmlformats.org/officeDocument/2006/relationships/hyperlink" Target="http://dev.dashboard.evolvesolar.com/my-commissions.php?user_id=28&amp;payweek=2014-10-10" TargetMode="External"/><Relationship Id="rId2274" Type="http://schemas.openxmlformats.org/officeDocument/2006/relationships/hyperlink" Target="http://dev.dashboard.evolvesolar.com/my-commissions.php?user_id=390&amp;payweek=2014-09-26" TargetMode="External"/><Relationship Id="rId2481" Type="http://schemas.openxmlformats.org/officeDocument/2006/relationships/hyperlink" Target="http://dev.dashboard.evolvesolar.com/my-commissions.php?user_id=269&amp;payweek=2014-09-12" TargetMode="External"/><Relationship Id="rId3118" Type="http://schemas.openxmlformats.org/officeDocument/2006/relationships/hyperlink" Target="http://dev.dashboard.evolvesolar.com/my-commissions.php?user_id=378&amp;payweek=2014-08-07" TargetMode="External"/><Relationship Id="rId3325" Type="http://schemas.openxmlformats.org/officeDocument/2006/relationships/hyperlink" Target="http://dev.dashboard.evolvesolar.com/my-commissions.php?user_id=148&amp;payweek=2014-07-18" TargetMode="External"/><Relationship Id="rId3532" Type="http://schemas.openxmlformats.org/officeDocument/2006/relationships/hyperlink" Target="http://dev.dashboard.evolvesolar.com/my-commissions.php?user_id=63&amp;payweek=2014-06-20" TargetMode="External"/><Relationship Id="rId246" Type="http://schemas.openxmlformats.org/officeDocument/2006/relationships/hyperlink" Target="http://dev.dashboard.evolvesolar.com/my-commissions.php?user_id=108&amp;payweek=2015-01-30" TargetMode="External"/><Relationship Id="rId453" Type="http://schemas.openxmlformats.org/officeDocument/2006/relationships/hyperlink" Target="http://dev.dashboard.evolvesolar.com/my-commissions.php?user_id=261&amp;payweek=2015-01-15" TargetMode="External"/><Relationship Id="rId660" Type="http://schemas.openxmlformats.org/officeDocument/2006/relationships/hyperlink" Target="http://dev.dashboard.evolvesolar.com/my-commissions.php?user_id=104&amp;payweek=2014-12-31" TargetMode="External"/><Relationship Id="rId1083" Type="http://schemas.openxmlformats.org/officeDocument/2006/relationships/hyperlink" Target="http://dev.dashboard.evolvesolar.com/my-commissions.php?user_id=722&amp;payweek=2014-12-12" TargetMode="External"/><Relationship Id="rId1290" Type="http://schemas.openxmlformats.org/officeDocument/2006/relationships/hyperlink" Target="http://dev.dashboard.evolvesolar.com/my-commissions.php?user_id=715&amp;payweek=2014-11-25" TargetMode="External"/><Relationship Id="rId2134" Type="http://schemas.openxmlformats.org/officeDocument/2006/relationships/hyperlink" Target="http://dev.dashboard.evolvesolar.com/my-commissions.php?user_id=600&amp;payweek=2014-10-10" TargetMode="External"/><Relationship Id="rId2341" Type="http://schemas.openxmlformats.org/officeDocument/2006/relationships/hyperlink" Target="http://dev.dashboard.evolvesolar.com/my-commissions.php?user_id=569&amp;payweek=2014-09-25" TargetMode="External"/><Relationship Id="rId106" Type="http://schemas.openxmlformats.org/officeDocument/2006/relationships/hyperlink" Target="http://dev.dashboard.evolvesolar.com/my-commissions.php?user_id=392&amp;payweek=2015-02-06" TargetMode="External"/><Relationship Id="rId313" Type="http://schemas.openxmlformats.org/officeDocument/2006/relationships/hyperlink" Target="http://dev.dashboard.evolvesolar.com/my-commissions.php?user_id=782&amp;payweek=2015-01-30" TargetMode="External"/><Relationship Id="rId1150" Type="http://schemas.openxmlformats.org/officeDocument/2006/relationships/hyperlink" Target="http://dev.dashboard.evolvesolar.com/my-commissions.php?user_id=632&amp;payweek=2014-12-05" TargetMode="External"/><Relationship Id="rId4099" Type="http://schemas.openxmlformats.org/officeDocument/2006/relationships/hyperlink" Target="http://dev.dashboard.evolvesolar.com/my-commissions.php?user_id=79&amp;payweek=2014-02-28" TargetMode="External"/><Relationship Id="rId520" Type="http://schemas.openxmlformats.org/officeDocument/2006/relationships/hyperlink" Target="http://dev.dashboard.evolvesolar.com/my-commissions.php?user_id=55&amp;payweek=2015-01-09" TargetMode="External"/><Relationship Id="rId2201" Type="http://schemas.openxmlformats.org/officeDocument/2006/relationships/hyperlink" Target="http://dev.dashboard.evolvesolar.com/my-commissions.php?user_id=443&amp;payweek=2014-10-06" TargetMode="External"/><Relationship Id="rId1010" Type="http://schemas.openxmlformats.org/officeDocument/2006/relationships/hyperlink" Target="http://dev.dashboard.evolvesolar.com/my-commissions.php?user_id=152&amp;payweek=2014-12-12" TargetMode="External"/><Relationship Id="rId1967" Type="http://schemas.openxmlformats.org/officeDocument/2006/relationships/hyperlink" Target="http://dev.dashboard.evolvesolar.com/my-commissions.php?user_id=114&amp;payweek=2014-10-17" TargetMode="External"/><Relationship Id="rId4026" Type="http://schemas.openxmlformats.org/officeDocument/2006/relationships/hyperlink" Target="http://dev.dashboard.evolvesolar.com/my-commissions.php?user_id=87&amp;payweek=2014-04-11" TargetMode="External"/><Relationship Id="rId3042" Type="http://schemas.openxmlformats.org/officeDocument/2006/relationships/hyperlink" Target="http://dev.dashboard.evolvesolar.com/my-commissions.php?user_id=233&amp;payweek=2014-08-08" TargetMode="External"/><Relationship Id="rId3859" Type="http://schemas.openxmlformats.org/officeDocument/2006/relationships/hyperlink" Target="http://dev.dashboard.evolvesolar.com/my-commissions.php?user_id=108&amp;payweek=2014-05-23" TargetMode="External"/><Relationship Id="rId2875" Type="http://schemas.openxmlformats.org/officeDocument/2006/relationships/hyperlink" Target="http://dev.dashboard.evolvesolar.com/my-commissions.php?user_id=352&amp;payweek=2014-08-22" TargetMode="External"/><Relationship Id="rId3926" Type="http://schemas.openxmlformats.org/officeDocument/2006/relationships/hyperlink" Target="http://dev.dashboard.evolvesolar.com/my-commissions.php?user_id=85&amp;payweek=2014-05-09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131"/>
  <sheetViews>
    <sheetView workbookViewId="0">
      <selection activeCell="F7" sqref="F7"/>
    </sheetView>
  </sheetViews>
  <sheetFormatPr defaultRowHeight="15" x14ac:dyDescent="0.25"/>
  <cols>
    <col min="1" max="1" width="15.7109375" customWidth="1"/>
    <col min="2" max="2" width="9.85546875" style="3" bestFit="1" customWidth="1"/>
    <col min="3" max="3" width="18.85546875" bestFit="1" customWidth="1"/>
    <col min="4" max="4" width="11.5703125" style="4" customWidth="1"/>
  </cols>
  <sheetData>
    <row r="1" spans="1:4" x14ac:dyDescent="0.25">
      <c r="A1" t="s">
        <v>0</v>
      </c>
      <c r="B1" s="3" t="s">
        <v>1</v>
      </c>
      <c r="C1" t="s">
        <v>2</v>
      </c>
      <c r="D1" s="4" t="s">
        <v>3</v>
      </c>
    </row>
    <row r="2" spans="1:4" x14ac:dyDescent="0.25">
      <c r="A2" s="6">
        <v>692</v>
      </c>
      <c r="B2" s="9">
        <v>41631</v>
      </c>
      <c r="C2" s="6" t="s">
        <v>50</v>
      </c>
      <c r="D2" s="12">
        <v>718.75</v>
      </c>
    </row>
    <row r="3" spans="1:4" x14ac:dyDescent="0.25">
      <c r="A3" s="6">
        <v>692</v>
      </c>
      <c r="B3" s="9">
        <v>41642</v>
      </c>
      <c r="C3" s="6" t="s">
        <v>50</v>
      </c>
      <c r="D3" s="12">
        <v>1500</v>
      </c>
    </row>
    <row r="4" spans="1:4" x14ac:dyDescent="0.25">
      <c r="A4" s="6">
        <v>212</v>
      </c>
      <c r="B4" s="9">
        <v>41645</v>
      </c>
      <c r="C4" s="6" t="s">
        <v>265</v>
      </c>
      <c r="D4" s="12">
        <v>1927.04</v>
      </c>
    </row>
    <row r="5" spans="1:4" x14ac:dyDescent="0.25">
      <c r="A5" s="6">
        <v>831</v>
      </c>
      <c r="B5" s="9">
        <v>41651</v>
      </c>
      <c r="C5" s="6" t="s">
        <v>238</v>
      </c>
      <c r="D5" s="12">
        <v>250</v>
      </c>
    </row>
    <row r="6" spans="1:4" x14ac:dyDescent="0.25">
      <c r="A6" s="6">
        <v>699</v>
      </c>
      <c r="B6" s="9">
        <v>41652</v>
      </c>
      <c r="C6" s="6" t="s">
        <v>189</v>
      </c>
      <c r="D6" s="12">
        <v>1000</v>
      </c>
    </row>
    <row r="7" spans="1:4" x14ac:dyDescent="0.25">
      <c r="A7" s="6">
        <v>191</v>
      </c>
      <c r="B7" s="9">
        <v>41670</v>
      </c>
      <c r="C7" s="6" t="s">
        <v>277</v>
      </c>
      <c r="D7" s="12">
        <v>591.22</v>
      </c>
    </row>
    <row r="8" spans="1:4" x14ac:dyDescent="0.25">
      <c r="A8" s="6">
        <v>79</v>
      </c>
      <c r="B8" s="9">
        <v>41691</v>
      </c>
      <c r="C8" s="6" t="s">
        <v>372</v>
      </c>
      <c r="D8" s="12">
        <v>900</v>
      </c>
    </row>
    <row r="9" spans="1:4" x14ac:dyDescent="0.25">
      <c r="A9" s="6">
        <v>89</v>
      </c>
      <c r="B9" s="9">
        <v>41691</v>
      </c>
      <c r="C9" s="6" t="s">
        <v>390</v>
      </c>
      <c r="D9" s="12">
        <v>375</v>
      </c>
    </row>
    <row r="10" spans="1:4" x14ac:dyDescent="0.25">
      <c r="A10" s="6">
        <v>79</v>
      </c>
      <c r="B10" s="9">
        <v>41698</v>
      </c>
      <c r="C10" s="6" t="s">
        <v>372</v>
      </c>
      <c r="D10" s="12">
        <v>3475</v>
      </c>
    </row>
    <row r="11" spans="1:4" x14ac:dyDescent="0.25">
      <c r="A11" s="6">
        <v>79</v>
      </c>
      <c r="B11" s="9">
        <v>41705</v>
      </c>
      <c r="C11" s="6" t="s">
        <v>372</v>
      </c>
      <c r="D11" s="12">
        <v>3000</v>
      </c>
    </row>
    <row r="12" spans="1:4" x14ac:dyDescent="0.25">
      <c r="A12" s="6">
        <v>110</v>
      </c>
      <c r="B12" s="9">
        <v>41705</v>
      </c>
      <c r="C12" s="6" t="s">
        <v>83</v>
      </c>
      <c r="D12" s="12">
        <v>200</v>
      </c>
    </row>
    <row r="13" spans="1:4" x14ac:dyDescent="0.25">
      <c r="A13" s="6">
        <v>373</v>
      </c>
      <c r="B13" s="9">
        <v>41705</v>
      </c>
      <c r="C13" s="6" t="s">
        <v>234</v>
      </c>
      <c r="D13" s="12">
        <v>1250</v>
      </c>
    </row>
    <row r="14" spans="1:4" x14ac:dyDescent="0.25">
      <c r="A14" s="6">
        <v>41</v>
      </c>
      <c r="B14" s="9">
        <v>41712</v>
      </c>
      <c r="C14" s="6" t="s">
        <v>10</v>
      </c>
      <c r="D14" s="12">
        <v>1755</v>
      </c>
    </row>
    <row r="15" spans="1:4" x14ac:dyDescent="0.25">
      <c r="A15" s="6">
        <v>79</v>
      </c>
      <c r="B15" s="9">
        <v>41712</v>
      </c>
      <c r="C15" s="6" t="s">
        <v>372</v>
      </c>
      <c r="D15" s="12">
        <v>1750</v>
      </c>
    </row>
    <row r="16" spans="1:4" x14ac:dyDescent="0.25">
      <c r="A16" s="6">
        <v>89</v>
      </c>
      <c r="B16" s="9">
        <v>41712</v>
      </c>
      <c r="C16" s="6" t="s">
        <v>390</v>
      </c>
      <c r="D16" s="12">
        <v>400</v>
      </c>
    </row>
    <row r="17" spans="1:4" x14ac:dyDescent="0.25">
      <c r="A17" s="6">
        <v>110</v>
      </c>
      <c r="B17" s="9">
        <v>41712</v>
      </c>
      <c r="C17" s="6" t="s">
        <v>83</v>
      </c>
      <c r="D17" s="12">
        <v>550</v>
      </c>
    </row>
    <row r="18" spans="1:4" x14ac:dyDescent="0.25">
      <c r="A18" s="6">
        <v>130</v>
      </c>
      <c r="B18" s="9">
        <v>41712</v>
      </c>
      <c r="C18" s="6" t="s">
        <v>366</v>
      </c>
      <c r="D18" s="12">
        <v>925</v>
      </c>
    </row>
    <row r="19" spans="1:4" x14ac:dyDescent="0.25">
      <c r="A19" s="6">
        <v>41</v>
      </c>
      <c r="B19" s="9">
        <v>41719</v>
      </c>
      <c r="C19" s="6" t="s">
        <v>10</v>
      </c>
      <c r="D19" s="12">
        <v>675</v>
      </c>
    </row>
    <row r="20" spans="1:4" x14ac:dyDescent="0.25">
      <c r="A20" s="6">
        <v>79</v>
      </c>
      <c r="B20" s="9">
        <v>41719</v>
      </c>
      <c r="C20" s="6" t="s">
        <v>372</v>
      </c>
      <c r="D20" s="12">
        <v>2100</v>
      </c>
    </row>
    <row r="21" spans="1:4" x14ac:dyDescent="0.25">
      <c r="A21" s="6">
        <v>105</v>
      </c>
      <c r="B21" s="9">
        <v>41719</v>
      </c>
      <c r="C21" s="6" t="s">
        <v>290</v>
      </c>
      <c r="D21" s="12">
        <v>575</v>
      </c>
    </row>
    <row r="22" spans="1:4" x14ac:dyDescent="0.25">
      <c r="A22" s="6">
        <v>110</v>
      </c>
      <c r="B22" s="9">
        <v>41719</v>
      </c>
      <c r="C22" s="6" t="s">
        <v>83</v>
      </c>
      <c r="D22" s="12">
        <v>1275</v>
      </c>
    </row>
    <row r="23" spans="1:4" x14ac:dyDescent="0.25">
      <c r="A23" s="6">
        <v>79</v>
      </c>
      <c r="B23" s="9">
        <v>41726</v>
      </c>
      <c r="C23" s="6" t="s">
        <v>372</v>
      </c>
      <c r="D23" s="12">
        <v>1750</v>
      </c>
    </row>
    <row r="24" spans="1:4" x14ac:dyDescent="0.25">
      <c r="A24" s="6">
        <v>110</v>
      </c>
      <c r="B24" s="9">
        <v>41726</v>
      </c>
      <c r="C24" s="6" t="s">
        <v>83</v>
      </c>
      <c r="D24" s="12">
        <v>1325</v>
      </c>
    </row>
    <row r="25" spans="1:4" x14ac:dyDescent="0.25">
      <c r="A25" s="6">
        <v>130</v>
      </c>
      <c r="B25" s="9">
        <v>41726</v>
      </c>
      <c r="C25" s="6" t="s">
        <v>366</v>
      </c>
      <c r="D25" s="12">
        <v>625</v>
      </c>
    </row>
    <row r="26" spans="1:4" x14ac:dyDescent="0.25">
      <c r="A26" s="6">
        <v>257</v>
      </c>
      <c r="B26" s="9">
        <v>41726</v>
      </c>
      <c r="C26" s="6" t="s">
        <v>393</v>
      </c>
      <c r="D26" s="12">
        <v>975</v>
      </c>
    </row>
    <row r="27" spans="1:4" x14ac:dyDescent="0.25">
      <c r="A27" s="6">
        <v>33</v>
      </c>
      <c r="B27" s="9">
        <v>41732</v>
      </c>
      <c r="C27" s="6" t="s">
        <v>394</v>
      </c>
      <c r="D27" s="12">
        <v>593.75</v>
      </c>
    </row>
    <row r="28" spans="1:4" x14ac:dyDescent="0.25">
      <c r="A28" s="6">
        <v>89</v>
      </c>
      <c r="B28" s="9">
        <v>41732</v>
      </c>
      <c r="C28" s="6" t="s">
        <v>390</v>
      </c>
      <c r="D28" s="12">
        <v>250</v>
      </c>
    </row>
    <row r="29" spans="1:4" x14ac:dyDescent="0.25">
      <c r="A29" s="6">
        <v>257</v>
      </c>
      <c r="B29" s="9">
        <v>41732</v>
      </c>
      <c r="C29" s="6" t="s">
        <v>393</v>
      </c>
      <c r="D29" s="12">
        <v>689.5</v>
      </c>
    </row>
    <row r="30" spans="1:4" x14ac:dyDescent="0.25">
      <c r="A30" s="6">
        <v>74</v>
      </c>
      <c r="B30" s="9">
        <v>41733</v>
      </c>
      <c r="C30" s="6" t="s">
        <v>328</v>
      </c>
      <c r="D30" s="12">
        <v>1000</v>
      </c>
    </row>
    <row r="31" spans="1:4" x14ac:dyDescent="0.25">
      <c r="A31" s="6">
        <v>79</v>
      </c>
      <c r="B31" s="9">
        <v>41733</v>
      </c>
      <c r="C31" s="6" t="s">
        <v>372</v>
      </c>
      <c r="D31" s="12">
        <v>1450</v>
      </c>
    </row>
    <row r="32" spans="1:4" x14ac:dyDescent="0.25">
      <c r="A32" s="6">
        <v>104</v>
      </c>
      <c r="B32" s="9">
        <v>41733</v>
      </c>
      <c r="C32" s="6" t="s">
        <v>210</v>
      </c>
      <c r="D32" s="12">
        <v>675</v>
      </c>
    </row>
    <row r="33" spans="1:4" x14ac:dyDescent="0.25">
      <c r="A33" s="6">
        <v>110</v>
      </c>
      <c r="B33" s="9">
        <v>41733</v>
      </c>
      <c r="C33" s="6" t="s">
        <v>83</v>
      </c>
      <c r="D33" s="12">
        <v>2375</v>
      </c>
    </row>
    <row r="34" spans="1:4" x14ac:dyDescent="0.25">
      <c r="A34" s="6">
        <v>112</v>
      </c>
      <c r="B34" s="9">
        <v>41733</v>
      </c>
      <c r="C34" s="6" t="s">
        <v>370</v>
      </c>
      <c r="D34" s="12">
        <v>450</v>
      </c>
    </row>
    <row r="35" spans="1:4" x14ac:dyDescent="0.25">
      <c r="A35" s="6">
        <v>373</v>
      </c>
      <c r="B35" s="9">
        <v>41733</v>
      </c>
      <c r="C35" s="6" t="s">
        <v>234</v>
      </c>
      <c r="D35" s="12">
        <v>1000</v>
      </c>
    </row>
    <row r="36" spans="1:4" x14ac:dyDescent="0.25">
      <c r="A36" s="6">
        <v>100</v>
      </c>
      <c r="B36" s="9">
        <v>41736</v>
      </c>
      <c r="C36" s="6" t="s">
        <v>376</v>
      </c>
      <c r="D36" s="12">
        <v>500</v>
      </c>
    </row>
    <row r="37" spans="1:4" x14ac:dyDescent="0.25">
      <c r="A37" s="6">
        <v>79</v>
      </c>
      <c r="B37" s="9">
        <v>41740</v>
      </c>
      <c r="C37" s="6" t="s">
        <v>372</v>
      </c>
      <c r="D37" s="12">
        <v>2537.5</v>
      </c>
    </row>
    <row r="38" spans="1:4" x14ac:dyDescent="0.25">
      <c r="A38" s="6">
        <v>82</v>
      </c>
      <c r="B38" s="9">
        <v>41740</v>
      </c>
      <c r="C38" s="6" t="s">
        <v>289</v>
      </c>
      <c r="D38" s="12">
        <v>3350</v>
      </c>
    </row>
    <row r="39" spans="1:4" x14ac:dyDescent="0.25">
      <c r="A39" s="6">
        <v>87</v>
      </c>
      <c r="B39" s="9">
        <v>41740</v>
      </c>
      <c r="C39" s="6" t="s">
        <v>329</v>
      </c>
      <c r="D39" s="12">
        <v>600</v>
      </c>
    </row>
    <row r="40" spans="1:4" x14ac:dyDescent="0.25">
      <c r="A40" s="6">
        <v>89</v>
      </c>
      <c r="B40" s="9">
        <v>41740</v>
      </c>
      <c r="C40" s="6" t="s">
        <v>390</v>
      </c>
      <c r="D40" s="12">
        <v>1000</v>
      </c>
    </row>
    <row r="41" spans="1:4" x14ac:dyDescent="0.25">
      <c r="A41" s="6">
        <v>100</v>
      </c>
      <c r="B41" s="9">
        <v>41740</v>
      </c>
      <c r="C41" s="6" t="s">
        <v>376</v>
      </c>
      <c r="D41" s="12">
        <v>500</v>
      </c>
    </row>
    <row r="42" spans="1:4" x14ac:dyDescent="0.25">
      <c r="A42" s="6">
        <v>101</v>
      </c>
      <c r="B42" s="9">
        <v>41740</v>
      </c>
      <c r="C42" s="6" t="s">
        <v>81</v>
      </c>
      <c r="D42" s="12">
        <v>450</v>
      </c>
    </row>
    <row r="43" spans="1:4" x14ac:dyDescent="0.25">
      <c r="A43" s="6">
        <v>104</v>
      </c>
      <c r="B43" s="9">
        <v>41740</v>
      </c>
      <c r="C43" s="6" t="s">
        <v>210</v>
      </c>
      <c r="D43" s="12">
        <v>750</v>
      </c>
    </row>
    <row r="44" spans="1:4" x14ac:dyDescent="0.25">
      <c r="A44" s="6">
        <v>105</v>
      </c>
      <c r="B44" s="9">
        <v>41740</v>
      </c>
      <c r="C44" s="6" t="s">
        <v>290</v>
      </c>
      <c r="D44" s="12">
        <v>1550</v>
      </c>
    </row>
    <row r="45" spans="1:4" x14ac:dyDescent="0.25">
      <c r="A45" s="6">
        <v>110</v>
      </c>
      <c r="B45" s="9">
        <v>41740</v>
      </c>
      <c r="C45" s="6" t="s">
        <v>83</v>
      </c>
      <c r="D45" s="12">
        <v>3675</v>
      </c>
    </row>
    <row r="46" spans="1:4" x14ac:dyDescent="0.25">
      <c r="A46" s="6">
        <v>111</v>
      </c>
      <c r="B46" s="9">
        <v>41740</v>
      </c>
      <c r="C46" s="6" t="s">
        <v>388</v>
      </c>
      <c r="D46" s="12">
        <v>750</v>
      </c>
    </row>
    <row r="47" spans="1:4" x14ac:dyDescent="0.25">
      <c r="A47" s="6">
        <v>257</v>
      </c>
      <c r="B47" s="9">
        <v>41740</v>
      </c>
      <c r="C47" s="6" t="s">
        <v>393</v>
      </c>
      <c r="D47" s="12">
        <v>375</v>
      </c>
    </row>
    <row r="48" spans="1:4" x14ac:dyDescent="0.25">
      <c r="A48" s="6">
        <v>38</v>
      </c>
      <c r="B48" s="9">
        <v>41746</v>
      </c>
      <c r="C48" s="6" t="s">
        <v>381</v>
      </c>
      <c r="D48" s="12">
        <v>1375</v>
      </c>
    </row>
    <row r="49" spans="1:4" x14ac:dyDescent="0.25">
      <c r="A49" s="6">
        <v>82</v>
      </c>
      <c r="B49" s="9">
        <v>41746</v>
      </c>
      <c r="C49" s="6" t="s">
        <v>289</v>
      </c>
      <c r="D49" s="12">
        <v>575</v>
      </c>
    </row>
    <row r="50" spans="1:4" x14ac:dyDescent="0.25">
      <c r="A50" s="6">
        <v>85</v>
      </c>
      <c r="B50" s="9">
        <v>41746</v>
      </c>
      <c r="C50" s="6" t="s">
        <v>79</v>
      </c>
      <c r="D50" s="12">
        <v>1750</v>
      </c>
    </row>
    <row r="51" spans="1:4" x14ac:dyDescent="0.25">
      <c r="A51" s="6">
        <v>88</v>
      </c>
      <c r="B51" s="9">
        <v>41746</v>
      </c>
      <c r="C51" s="6" t="s">
        <v>364</v>
      </c>
      <c r="D51" s="12">
        <v>1150</v>
      </c>
    </row>
    <row r="52" spans="1:4" x14ac:dyDescent="0.25">
      <c r="A52" s="6">
        <v>101</v>
      </c>
      <c r="B52" s="9">
        <v>41746</v>
      </c>
      <c r="C52" s="6" t="s">
        <v>81</v>
      </c>
      <c r="D52" s="12">
        <v>1000</v>
      </c>
    </row>
    <row r="53" spans="1:4" x14ac:dyDescent="0.25">
      <c r="A53" s="6">
        <v>112</v>
      </c>
      <c r="B53" s="9">
        <v>41746</v>
      </c>
      <c r="C53" s="6" t="s">
        <v>370</v>
      </c>
      <c r="D53" s="12">
        <v>250</v>
      </c>
    </row>
    <row r="54" spans="1:4" x14ac:dyDescent="0.25">
      <c r="A54" s="6">
        <v>114</v>
      </c>
      <c r="B54" s="9">
        <v>41746</v>
      </c>
      <c r="C54" s="6" t="s">
        <v>215</v>
      </c>
      <c r="D54" s="12">
        <v>550</v>
      </c>
    </row>
    <row r="55" spans="1:4" x14ac:dyDescent="0.25">
      <c r="A55" s="6">
        <v>257</v>
      </c>
      <c r="B55" s="9">
        <v>41746</v>
      </c>
      <c r="C55" s="6" t="s">
        <v>393</v>
      </c>
      <c r="D55" s="12">
        <v>525</v>
      </c>
    </row>
    <row r="56" spans="1:4" x14ac:dyDescent="0.25">
      <c r="A56" s="6">
        <v>71</v>
      </c>
      <c r="B56" s="9">
        <v>41747</v>
      </c>
      <c r="C56" s="6" t="s">
        <v>374</v>
      </c>
      <c r="D56" s="12">
        <v>1375</v>
      </c>
    </row>
    <row r="57" spans="1:4" x14ac:dyDescent="0.25">
      <c r="A57" s="6">
        <v>79</v>
      </c>
      <c r="B57" s="9">
        <v>41747</v>
      </c>
      <c r="C57" s="6" t="s">
        <v>372</v>
      </c>
      <c r="D57" s="12">
        <v>1200</v>
      </c>
    </row>
    <row r="58" spans="1:4" x14ac:dyDescent="0.25">
      <c r="A58" s="6">
        <v>87</v>
      </c>
      <c r="B58" s="9">
        <v>41747</v>
      </c>
      <c r="C58" s="6" t="s">
        <v>329</v>
      </c>
      <c r="D58" s="12">
        <v>1450</v>
      </c>
    </row>
    <row r="59" spans="1:4" x14ac:dyDescent="0.25">
      <c r="A59" s="6">
        <v>110</v>
      </c>
      <c r="B59" s="9">
        <v>41747</v>
      </c>
      <c r="C59" s="6" t="s">
        <v>83</v>
      </c>
      <c r="D59" s="12">
        <v>1600</v>
      </c>
    </row>
    <row r="60" spans="1:4" x14ac:dyDescent="0.25">
      <c r="A60" s="6">
        <v>27</v>
      </c>
      <c r="B60" s="9">
        <v>41753</v>
      </c>
      <c r="C60" s="6" t="s">
        <v>159</v>
      </c>
      <c r="D60" s="12">
        <v>600</v>
      </c>
    </row>
    <row r="61" spans="1:4" x14ac:dyDescent="0.25">
      <c r="A61" s="6">
        <v>38</v>
      </c>
      <c r="B61" s="9">
        <v>41753</v>
      </c>
      <c r="C61" s="6" t="s">
        <v>381</v>
      </c>
      <c r="D61" s="12">
        <v>350</v>
      </c>
    </row>
    <row r="62" spans="1:4" x14ac:dyDescent="0.25">
      <c r="A62" s="6">
        <v>41</v>
      </c>
      <c r="B62" s="9">
        <v>41753</v>
      </c>
      <c r="C62" s="6" t="s">
        <v>10</v>
      </c>
      <c r="D62" s="12">
        <v>1080</v>
      </c>
    </row>
    <row r="63" spans="1:4" x14ac:dyDescent="0.25">
      <c r="A63" s="6">
        <v>71</v>
      </c>
      <c r="B63" s="9">
        <v>41753</v>
      </c>
      <c r="C63" s="6" t="s">
        <v>374</v>
      </c>
      <c r="D63" s="12">
        <v>350</v>
      </c>
    </row>
    <row r="64" spans="1:4" x14ac:dyDescent="0.25">
      <c r="A64" s="6">
        <v>82</v>
      </c>
      <c r="B64" s="9">
        <v>41753</v>
      </c>
      <c r="C64" s="6" t="s">
        <v>289</v>
      </c>
      <c r="D64" s="12">
        <v>1125</v>
      </c>
    </row>
    <row r="65" spans="1:4" x14ac:dyDescent="0.25">
      <c r="A65" s="6">
        <v>85</v>
      </c>
      <c r="B65" s="9">
        <v>41753</v>
      </c>
      <c r="C65" s="6" t="s">
        <v>79</v>
      </c>
      <c r="D65" s="12">
        <v>825</v>
      </c>
    </row>
    <row r="66" spans="1:4" x14ac:dyDescent="0.25">
      <c r="A66" s="6">
        <v>88</v>
      </c>
      <c r="B66" s="9">
        <v>41753</v>
      </c>
      <c r="C66" s="6" t="s">
        <v>364</v>
      </c>
      <c r="D66" s="12">
        <v>325</v>
      </c>
    </row>
    <row r="67" spans="1:4" x14ac:dyDescent="0.25">
      <c r="A67" s="6">
        <v>100</v>
      </c>
      <c r="B67" s="9">
        <v>41753</v>
      </c>
      <c r="C67" s="6" t="s">
        <v>376</v>
      </c>
      <c r="D67" s="12">
        <v>525</v>
      </c>
    </row>
    <row r="68" spans="1:4" x14ac:dyDescent="0.25">
      <c r="A68" s="6">
        <v>110</v>
      </c>
      <c r="B68" s="9">
        <v>41753</v>
      </c>
      <c r="C68" s="6" t="s">
        <v>83</v>
      </c>
      <c r="D68" s="12">
        <v>700</v>
      </c>
    </row>
    <row r="69" spans="1:4" x14ac:dyDescent="0.25">
      <c r="A69" s="6">
        <v>111</v>
      </c>
      <c r="B69" s="9">
        <v>41753</v>
      </c>
      <c r="C69" s="6" t="s">
        <v>388</v>
      </c>
      <c r="D69" s="12">
        <v>850</v>
      </c>
    </row>
    <row r="70" spans="1:4" x14ac:dyDescent="0.25">
      <c r="A70" s="6">
        <v>114</v>
      </c>
      <c r="B70" s="9">
        <v>41753</v>
      </c>
      <c r="C70" s="6" t="s">
        <v>215</v>
      </c>
      <c r="D70" s="12">
        <v>2737</v>
      </c>
    </row>
    <row r="71" spans="1:4" x14ac:dyDescent="0.25">
      <c r="A71" s="6">
        <v>79</v>
      </c>
      <c r="B71" s="9">
        <v>41754</v>
      </c>
      <c r="C71" s="6" t="s">
        <v>372</v>
      </c>
      <c r="D71" s="12">
        <v>3450</v>
      </c>
    </row>
    <row r="72" spans="1:4" x14ac:dyDescent="0.25">
      <c r="A72" s="6">
        <v>104</v>
      </c>
      <c r="B72" s="9">
        <v>41754</v>
      </c>
      <c r="C72" s="6" t="s">
        <v>210</v>
      </c>
      <c r="D72" s="12">
        <v>4111.5</v>
      </c>
    </row>
    <row r="73" spans="1:4" x14ac:dyDescent="0.25">
      <c r="A73" s="6">
        <v>113</v>
      </c>
      <c r="B73" s="9">
        <v>41754</v>
      </c>
      <c r="C73" s="6" t="s">
        <v>84</v>
      </c>
      <c r="D73" s="12">
        <v>650</v>
      </c>
    </row>
    <row r="74" spans="1:4" x14ac:dyDescent="0.25">
      <c r="A74" s="6">
        <v>27</v>
      </c>
      <c r="B74" s="9">
        <v>41761</v>
      </c>
      <c r="C74" s="6" t="s">
        <v>159</v>
      </c>
      <c r="D74" s="12">
        <v>510</v>
      </c>
    </row>
    <row r="75" spans="1:4" x14ac:dyDescent="0.25">
      <c r="A75" s="1">
        <v>58</v>
      </c>
      <c r="B75" s="2">
        <v>41761</v>
      </c>
      <c r="C75" s="1" t="s">
        <v>391</v>
      </c>
      <c r="D75" s="5">
        <v>535.5</v>
      </c>
    </row>
    <row r="76" spans="1:4" x14ac:dyDescent="0.25">
      <c r="A76" s="1">
        <v>82</v>
      </c>
      <c r="B76" s="2">
        <v>41761</v>
      </c>
      <c r="C76" s="1" t="s">
        <v>289</v>
      </c>
      <c r="D76" s="5">
        <v>300</v>
      </c>
    </row>
    <row r="77" spans="1:4" x14ac:dyDescent="0.25">
      <c r="A77" s="1">
        <v>87</v>
      </c>
      <c r="B77" s="2">
        <v>41761</v>
      </c>
      <c r="C77" s="1" t="s">
        <v>329</v>
      </c>
      <c r="D77" s="5">
        <v>950</v>
      </c>
    </row>
    <row r="78" spans="1:4" x14ac:dyDescent="0.25">
      <c r="A78" s="1">
        <v>88</v>
      </c>
      <c r="B78" s="2">
        <v>41761</v>
      </c>
      <c r="C78" s="1" t="s">
        <v>364</v>
      </c>
      <c r="D78" s="5">
        <v>475</v>
      </c>
    </row>
    <row r="79" spans="1:4" x14ac:dyDescent="0.25">
      <c r="A79" s="1">
        <v>89</v>
      </c>
      <c r="B79" s="2">
        <v>41761</v>
      </c>
      <c r="C79" s="1" t="s">
        <v>390</v>
      </c>
      <c r="D79" s="5">
        <v>2025</v>
      </c>
    </row>
    <row r="80" spans="1:4" x14ac:dyDescent="0.25">
      <c r="A80" s="1">
        <v>95</v>
      </c>
      <c r="B80" s="2">
        <v>41761</v>
      </c>
      <c r="C80" s="1" t="s">
        <v>392</v>
      </c>
      <c r="D80" s="5">
        <v>675</v>
      </c>
    </row>
    <row r="81" spans="1:4" x14ac:dyDescent="0.25">
      <c r="A81" s="1">
        <v>110</v>
      </c>
      <c r="B81" s="2">
        <v>41761</v>
      </c>
      <c r="C81" s="1" t="s">
        <v>83</v>
      </c>
      <c r="D81" s="5">
        <v>2000</v>
      </c>
    </row>
    <row r="82" spans="1:4" x14ac:dyDescent="0.25">
      <c r="A82" s="1">
        <v>111</v>
      </c>
      <c r="B82" s="2">
        <v>41761</v>
      </c>
      <c r="C82" s="1" t="s">
        <v>388</v>
      </c>
      <c r="D82" s="5">
        <v>1000</v>
      </c>
    </row>
    <row r="83" spans="1:4" x14ac:dyDescent="0.25">
      <c r="A83" s="1">
        <v>114</v>
      </c>
      <c r="B83" s="2">
        <v>41761</v>
      </c>
      <c r="C83" s="1" t="s">
        <v>215</v>
      </c>
      <c r="D83" s="5">
        <v>2800</v>
      </c>
    </row>
    <row r="84" spans="1:4" x14ac:dyDescent="0.25">
      <c r="A84" s="1">
        <v>38</v>
      </c>
      <c r="B84" s="2">
        <v>41762</v>
      </c>
      <c r="C84" s="1" t="s">
        <v>381</v>
      </c>
      <c r="D84" s="5">
        <v>-375</v>
      </c>
    </row>
    <row r="85" spans="1:4" x14ac:dyDescent="0.25">
      <c r="A85" s="1">
        <v>41</v>
      </c>
      <c r="B85" s="2">
        <v>41762</v>
      </c>
      <c r="C85" s="1" t="s">
        <v>10</v>
      </c>
      <c r="D85" s="5">
        <v>926.1</v>
      </c>
    </row>
    <row r="86" spans="1:4" x14ac:dyDescent="0.25">
      <c r="A86" s="1">
        <v>79</v>
      </c>
      <c r="B86" s="2">
        <v>41762</v>
      </c>
      <c r="C86" s="1" t="s">
        <v>372</v>
      </c>
      <c r="D86" s="5">
        <v>2775</v>
      </c>
    </row>
    <row r="87" spans="1:4" x14ac:dyDescent="0.25">
      <c r="A87" s="1">
        <v>101</v>
      </c>
      <c r="B87" s="2">
        <v>41762</v>
      </c>
      <c r="C87" s="1" t="s">
        <v>81</v>
      </c>
      <c r="D87" s="5">
        <v>1080.5</v>
      </c>
    </row>
    <row r="88" spans="1:4" x14ac:dyDescent="0.25">
      <c r="A88" s="1">
        <v>113</v>
      </c>
      <c r="B88" s="2">
        <v>41762</v>
      </c>
      <c r="C88" s="1" t="s">
        <v>84</v>
      </c>
      <c r="D88" s="5">
        <v>1650</v>
      </c>
    </row>
    <row r="89" spans="1:4" x14ac:dyDescent="0.25">
      <c r="A89" s="1">
        <v>27</v>
      </c>
      <c r="B89" s="2">
        <v>41768</v>
      </c>
      <c r="C89" s="1" t="s">
        <v>159</v>
      </c>
      <c r="D89" s="5">
        <v>1616.25</v>
      </c>
    </row>
    <row r="90" spans="1:4" x14ac:dyDescent="0.25">
      <c r="A90" s="1">
        <v>37</v>
      </c>
      <c r="B90" s="2">
        <v>41768</v>
      </c>
      <c r="C90" s="1" t="s">
        <v>77</v>
      </c>
      <c r="D90" s="5">
        <v>784.09</v>
      </c>
    </row>
    <row r="91" spans="1:4" x14ac:dyDescent="0.25">
      <c r="A91" s="1">
        <v>38</v>
      </c>
      <c r="B91" s="2">
        <v>41768</v>
      </c>
      <c r="C91" s="1" t="s">
        <v>381</v>
      </c>
      <c r="D91" s="5">
        <v>1825</v>
      </c>
    </row>
    <row r="92" spans="1:4" x14ac:dyDescent="0.25">
      <c r="A92" s="1">
        <v>41</v>
      </c>
      <c r="B92" s="2">
        <v>41768</v>
      </c>
      <c r="C92" s="1" t="s">
        <v>10</v>
      </c>
      <c r="D92" s="5">
        <v>2099.9299999999998</v>
      </c>
    </row>
    <row r="93" spans="1:4" x14ac:dyDescent="0.25">
      <c r="A93" s="1">
        <v>71</v>
      </c>
      <c r="B93" s="2">
        <v>41768</v>
      </c>
      <c r="C93" s="1" t="s">
        <v>374</v>
      </c>
      <c r="D93" s="5">
        <v>1561</v>
      </c>
    </row>
    <row r="94" spans="1:4" x14ac:dyDescent="0.25">
      <c r="A94" s="1">
        <v>74</v>
      </c>
      <c r="B94" s="2">
        <v>41768</v>
      </c>
      <c r="C94" s="1" t="s">
        <v>328</v>
      </c>
      <c r="D94" s="5">
        <v>535.5</v>
      </c>
    </row>
    <row r="95" spans="1:4" x14ac:dyDescent="0.25">
      <c r="A95" s="1">
        <v>84</v>
      </c>
      <c r="B95" s="2">
        <v>41768</v>
      </c>
      <c r="C95" s="1" t="s">
        <v>389</v>
      </c>
      <c r="D95" s="5">
        <v>408</v>
      </c>
    </row>
    <row r="96" spans="1:4" x14ac:dyDescent="0.25">
      <c r="A96" s="1">
        <v>85</v>
      </c>
      <c r="B96" s="2">
        <v>41768</v>
      </c>
      <c r="C96" s="1" t="s">
        <v>79</v>
      </c>
      <c r="D96" s="5">
        <v>300</v>
      </c>
    </row>
    <row r="97" spans="1:4" x14ac:dyDescent="0.25">
      <c r="A97" s="1">
        <v>88</v>
      </c>
      <c r="B97" s="2">
        <v>41768</v>
      </c>
      <c r="C97" s="1" t="s">
        <v>364</v>
      </c>
      <c r="D97" s="5">
        <v>561</v>
      </c>
    </row>
    <row r="98" spans="1:4" x14ac:dyDescent="0.25">
      <c r="A98" s="1">
        <v>89</v>
      </c>
      <c r="B98" s="2">
        <v>41768</v>
      </c>
      <c r="C98" s="1" t="s">
        <v>390</v>
      </c>
      <c r="D98" s="5">
        <v>700</v>
      </c>
    </row>
    <row r="99" spans="1:4" x14ac:dyDescent="0.25">
      <c r="A99" s="1">
        <v>112</v>
      </c>
      <c r="B99" s="2">
        <v>41768</v>
      </c>
      <c r="C99" s="1" t="s">
        <v>370</v>
      </c>
      <c r="D99" s="5">
        <v>700</v>
      </c>
    </row>
    <row r="100" spans="1:4" x14ac:dyDescent="0.25">
      <c r="A100" s="1">
        <v>113</v>
      </c>
      <c r="B100" s="2">
        <v>41768</v>
      </c>
      <c r="C100" s="1" t="s">
        <v>84</v>
      </c>
      <c r="D100" s="5">
        <v>433.5</v>
      </c>
    </row>
    <row r="101" spans="1:4" x14ac:dyDescent="0.25">
      <c r="A101" s="1">
        <v>114</v>
      </c>
      <c r="B101" s="2">
        <v>41768</v>
      </c>
      <c r="C101" s="1" t="s">
        <v>215</v>
      </c>
      <c r="D101" s="5">
        <v>1599.5</v>
      </c>
    </row>
    <row r="102" spans="1:4" x14ac:dyDescent="0.25">
      <c r="A102" s="1">
        <v>191</v>
      </c>
      <c r="B102" s="2">
        <v>41768</v>
      </c>
      <c r="C102" s="1" t="s">
        <v>277</v>
      </c>
      <c r="D102" s="5">
        <v>906.25</v>
      </c>
    </row>
    <row r="103" spans="1:4" x14ac:dyDescent="0.25">
      <c r="A103" s="1">
        <v>54</v>
      </c>
      <c r="B103" s="2">
        <v>41771</v>
      </c>
      <c r="C103" s="1" t="s">
        <v>385</v>
      </c>
      <c r="D103" s="5">
        <v>4970</v>
      </c>
    </row>
    <row r="104" spans="1:4" x14ac:dyDescent="0.25">
      <c r="A104" s="1">
        <v>28</v>
      </c>
      <c r="B104" s="2">
        <v>41775</v>
      </c>
      <c r="C104" s="1" t="s">
        <v>6</v>
      </c>
      <c r="D104" s="5">
        <v>2983.5</v>
      </c>
    </row>
    <row r="105" spans="1:4" x14ac:dyDescent="0.25">
      <c r="A105" s="1">
        <v>37</v>
      </c>
      <c r="B105" s="2">
        <v>41775</v>
      </c>
      <c r="C105" s="1" t="s">
        <v>77</v>
      </c>
      <c r="D105" s="5">
        <v>2218.75</v>
      </c>
    </row>
    <row r="106" spans="1:4" x14ac:dyDescent="0.25">
      <c r="A106" s="1">
        <v>41</v>
      </c>
      <c r="B106" s="2">
        <v>41775</v>
      </c>
      <c r="C106" s="1" t="s">
        <v>10</v>
      </c>
      <c r="D106" s="5">
        <v>998.32</v>
      </c>
    </row>
    <row r="107" spans="1:4" x14ac:dyDescent="0.25">
      <c r="A107" s="1">
        <v>71</v>
      </c>
      <c r="B107" s="2">
        <v>41775</v>
      </c>
      <c r="C107" s="1" t="s">
        <v>374</v>
      </c>
      <c r="D107" s="5">
        <v>1208</v>
      </c>
    </row>
    <row r="108" spans="1:4" x14ac:dyDescent="0.25">
      <c r="A108" s="1">
        <v>79</v>
      </c>
      <c r="B108" s="2">
        <v>41775</v>
      </c>
      <c r="C108" s="1" t="s">
        <v>372</v>
      </c>
      <c r="D108" s="5">
        <v>1508.5</v>
      </c>
    </row>
    <row r="109" spans="1:4" x14ac:dyDescent="0.25">
      <c r="A109" s="1">
        <v>88</v>
      </c>
      <c r="B109" s="2">
        <v>41775</v>
      </c>
      <c r="C109" s="1" t="s">
        <v>364</v>
      </c>
      <c r="D109" s="5">
        <v>1550</v>
      </c>
    </row>
    <row r="110" spans="1:4" x14ac:dyDescent="0.25">
      <c r="A110" s="1">
        <v>102</v>
      </c>
      <c r="B110" s="2">
        <v>41775</v>
      </c>
      <c r="C110" s="1" t="s">
        <v>365</v>
      </c>
      <c r="D110" s="5">
        <v>750</v>
      </c>
    </row>
    <row r="111" spans="1:4" x14ac:dyDescent="0.25">
      <c r="A111" s="1">
        <v>108</v>
      </c>
      <c r="B111" s="2">
        <v>41775</v>
      </c>
      <c r="C111" s="1" t="s">
        <v>160</v>
      </c>
      <c r="D111" s="5">
        <v>1518</v>
      </c>
    </row>
    <row r="112" spans="1:4" x14ac:dyDescent="0.25">
      <c r="A112" s="1">
        <v>109</v>
      </c>
      <c r="B112" s="2">
        <v>41775</v>
      </c>
      <c r="C112" s="1" t="s">
        <v>82</v>
      </c>
      <c r="D112" s="5">
        <v>969</v>
      </c>
    </row>
    <row r="113" spans="1:4" x14ac:dyDescent="0.25">
      <c r="A113" s="1">
        <v>112</v>
      </c>
      <c r="B113" s="2">
        <v>41775</v>
      </c>
      <c r="C113" s="1" t="s">
        <v>370</v>
      </c>
      <c r="D113" s="5">
        <v>1975</v>
      </c>
    </row>
    <row r="114" spans="1:4" x14ac:dyDescent="0.25">
      <c r="A114" s="1">
        <v>113</v>
      </c>
      <c r="B114" s="2">
        <v>41775</v>
      </c>
      <c r="C114" s="1" t="s">
        <v>84</v>
      </c>
      <c r="D114" s="5">
        <v>1972</v>
      </c>
    </row>
    <row r="115" spans="1:4" x14ac:dyDescent="0.25">
      <c r="A115" s="1">
        <v>114</v>
      </c>
      <c r="B115" s="2">
        <v>41775</v>
      </c>
      <c r="C115" s="1" t="s">
        <v>215</v>
      </c>
      <c r="D115" s="5">
        <v>2400</v>
      </c>
    </row>
    <row r="116" spans="1:4" x14ac:dyDescent="0.25">
      <c r="A116" s="1">
        <v>116</v>
      </c>
      <c r="B116" s="2">
        <v>41775</v>
      </c>
      <c r="C116" s="1" t="s">
        <v>358</v>
      </c>
      <c r="D116" s="5">
        <v>725</v>
      </c>
    </row>
    <row r="117" spans="1:4" x14ac:dyDescent="0.25">
      <c r="A117" s="1">
        <v>117</v>
      </c>
      <c r="B117" s="2">
        <v>41775</v>
      </c>
      <c r="C117" s="1" t="s">
        <v>232</v>
      </c>
      <c r="D117" s="5">
        <v>1009.5</v>
      </c>
    </row>
    <row r="118" spans="1:4" x14ac:dyDescent="0.25">
      <c r="A118" s="1">
        <v>139</v>
      </c>
      <c r="B118" s="2">
        <v>41775</v>
      </c>
      <c r="C118" s="1" t="s">
        <v>263</v>
      </c>
      <c r="D118" s="5">
        <v>550</v>
      </c>
    </row>
    <row r="119" spans="1:4" x14ac:dyDescent="0.25">
      <c r="A119" s="1">
        <v>28</v>
      </c>
      <c r="B119" s="2">
        <v>41782</v>
      </c>
      <c r="C119" s="1" t="s">
        <v>6</v>
      </c>
      <c r="D119" s="5">
        <v>331.5</v>
      </c>
    </row>
    <row r="120" spans="1:4" x14ac:dyDescent="0.25">
      <c r="A120" s="1">
        <v>37</v>
      </c>
      <c r="B120" s="2">
        <v>41782</v>
      </c>
      <c r="C120" s="1" t="s">
        <v>77</v>
      </c>
      <c r="D120" s="5">
        <v>500</v>
      </c>
    </row>
    <row r="121" spans="1:4" x14ac:dyDescent="0.25">
      <c r="A121" s="1">
        <v>38</v>
      </c>
      <c r="B121" s="2">
        <v>41782</v>
      </c>
      <c r="C121" s="1" t="s">
        <v>381</v>
      </c>
      <c r="D121" s="5">
        <v>1550</v>
      </c>
    </row>
    <row r="122" spans="1:4" x14ac:dyDescent="0.25">
      <c r="A122" s="1">
        <v>41</v>
      </c>
      <c r="B122" s="2">
        <v>41782</v>
      </c>
      <c r="C122" s="1" t="s">
        <v>10</v>
      </c>
      <c r="D122" s="5">
        <v>1417.5</v>
      </c>
    </row>
    <row r="123" spans="1:4" x14ac:dyDescent="0.25">
      <c r="A123" s="1">
        <v>55</v>
      </c>
      <c r="B123" s="2">
        <v>41782</v>
      </c>
      <c r="C123" s="1" t="s">
        <v>195</v>
      </c>
      <c r="D123" s="5">
        <v>1725</v>
      </c>
    </row>
    <row r="124" spans="1:4" x14ac:dyDescent="0.25">
      <c r="A124" s="1">
        <v>71</v>
      </c>
      <c r="B124" s="2">
        <v>41782</v>
      </c>
      <c r="C124" s="1" t="s">
        <v>374</v>
      </c>
      <c r="D124" s="5">
        <v>400</v>
      </c>
    </row>
    <row r="125" spans="1:4" x14ac:dyDescent="0.25">
      <c r="A125" s="1">
        <v>79</v>
      </c>
      <c r="B125" s="2">
        <v>41782</v>
      </c>
      <c r="C125" s="1" t="s">
        <v>372</v>
      </c>
      <c r="D125" s="5">
        <v>896.5</v>
      </c>
    </row>
    <row r="126" spans="1:4" x14ac:dyDescent="0.25">
      <c r="A126" s="1">
        <v>84</v>
      </c>
      <c r="B126" s="2">
        <v>41782</v>
      </c>
      <c r="C126" s="1" t="s">
        <v>389</v>
      </c>
      <c r="D126" s="5">
        <v>825</v>
      </c>
    </row>
    <row r="127" spans="1:4" x14ac:dyDescent="0.25">
      <c r="A127" s="1">
        <v>85</v>
      </c>
      <c r="B127" s="2">
        <v>41782</v>
      </c>
      <c r="C127" s="1" t="s">
        <v>79</v>
      </c>
      <c r="D127" s="5">
        <v>1056</v>
      </c>
    </row>
    <row r="128" spans="1:4" x14ac:dyDescent="0.25">
      <c r="A128" s="1">
        <v>87</v>
      </c>
      <c r="B128" s="2">
        <v>41782</v>
      </c>
      <c r="C128" s="1" t="s">
        <v>329</v>
      </c>
      <c r="D128" s="5">
        <v>600</v>
      </c>
    </row>
    <row r="129" spans="1:4" x14ac:dyDescent="0.25">
      <c r="A129" s="1">
        <v>88</v>
      </c>
      <c r="B129" s="2">
        <v>41782</v>
      </c>
      <c r="C129" s="1" t="s">
        <v>364</v>
      </c>
      <c r="D129" s="5">
        <v>91.5</v>
      </c>
    </row>
    <row r="130" spans="1:4" x14ac:dyDescent="0.25">
      <c r="A130" s="1">
        <v>94</v>
      </c>
      <c r="B130" s="2">
        <v>41782</v>
      </c>
      <c r="C130" s="1" t="s">
        <v>182</v>
      </c>
      <c r="D130" s="5">
        <v>1550</v>
      </c>
    </row>
    <row r="131" spans="1:4" x14ac:dyDescent="0.25">
      <c r="A131" s="1">
        <v>102</v>
      </c>
      <c r="B131" s="2">
        <v>41782</v>
      </c>
      <c r="C131" s="1" t="s">
        <v>365</v>
      </c>
      <c r="D131" s="5">
        <v>331.5</v>
      </c>
    </row>
    <row r="132" spans="1:4" x14ac:dyDescent="0.25">
      <c r="A132" s="1">
        <v>104</v>
      </c>
      <c r="B132" s="2">
        <v>41782</v>
      </c>
      <c r="C132" s="1" t="s">
        <v>210</v>
      </c>
      <c r="D132" s="5">
        <v>325</v>
      </c>
    </row>
    <row r="133" spans="1:4" x14ac:dyDescent="0.25">
      <c r="A133" s="1">
        <v>108</v>
      </c>
      <c r="B133" s="2">
        <v>41782</v>
      </c>
      <c r="C133" s="1" t="s">
        <v>160</v>
      </c>
      <c r="D133" s="5">
        <v>3862</v>
      </c>
    </row>
    <row r="134" spans="1:4" x14ac:dyDescent="0.25">
      <c r="A134" s="1">
        <v>109</v>
      </c>
      <c r="B134" s="2">
        <v>41782</v>
      </c>
      <c r="C134" s="1" t="s">
        <v>82</v>
      </c>
      <c r="D134" s="5">
        <v>5847.5</v>
      </c>
    </row>
    <row r="135" spans="1:4" x14ac:dyDescent="0.25">
      <c r="A135" s="1">
        <v>114</v>
      </c>
      <c r="B135" s="2">
        <v>41782</v>
      </c>
      <c r="C135" s="1" t="s">
        <v>215</v>
      </c>
      <c r="D135" s="5">
        <v>1660.5</v>
      </c>
    </row>
    <row r="136" spans="1:4" x14ac:dyDescent="0.25">
      <c r="A136" s="1">
        <v>116</v>
      </c>
      <c r="B136" s="2">
        <v>41782</v>
      </c>
      <c r="C136" s="1" t="s">
        <v>358</v>
      </c>
      <c r="D136" s="5">
        <v>1887</v>
      </c>
    </row>
    <row r="137" spans="1:4" x14ac:dyDescent="0.25">
      <c r="A137" s="1">
        <v>125</v>
      </c>
      <c r="B137" s="2">
        <v>41782</v>
      </c>
      <c r="C137" s="1" t="s">
        <v>371</v>
      </c>
      <c r="D137" s="5">
        <v>1000</v>
      </c>
    </row>
    <row r="138" spans="1:4" x14ac:dyDescent="0.25">
      <c r="A138" s="1">
        <v>133</v>
      </c>
      <c r="B138" s="2">
        <v>41782</v>
      </c>
      <c r="C138" s="1" t="s">
        <v>87</v>
      </c>
      <c r="D138" s="5">
        <v>687.5</v>
      </c>
    </row>
    <row r="139" spans="1:4" x14ac:dyDescent="0.25">
      <c r="A139" s="1">
        <v>139</v>
      </c>
      <c r="B139" s="2">
        <v>41782</v>
      </c>
      <c r="C139" s="1" t="s">
        <v>263</v>
      </c>
      <c r="D139" s="5">
        <v>825</v>
      </c>
    </row>
    <row r="140" spans="1:4" x14ac:dyDescent="0.25">
      <c r="A140" s="1">
        <v>142</v>
      </c>
      <c r="B140" s="2">
        <v>41782</v>
      </c>
      <c r="C140" s="1" t="s">
        <v>324</v>
      </c>
      <c r="D140" s="5">
        <v>700</v>
      </c>
    </row>
    <row r="141" spans="1:4" x14ac:dyDescent="0.25">
      <c r="A141" s="1">
        <v>143</v>
      </c>
      <c r="B141" s="2">
        <v>41782</v>
      </c>
      <c r="C141" s="1" t="s">
        <v>359</v>
      </c>
      <c r="D141" s="5">
        <v>3017.5</v>
      </c>
    </row>
    <row r="142" spans="1:4" x14ac:dyDescent="0.25">
      <c r="A142" s="1">
        <v>146</v>
      </c>
      <c r="B142" s="2">
        <v>41782</v>
      </c>
      <c r="C142" s="1" t="s">
        <v>362</v>
      </c>
      <c r="D142" s="5">
        <v>586.5</v>
      </c>
    </row>
    <row r="143" spans="1:4" x14ac:dyDescent="0.25">
      <c r="A143" s="1">
        <v>27</v>
      </c>
      <c r="B143" s="2">
        <v>41789</v>
      </c>
      <c r="C143" s="1" t="s">
        <v>159</v>
      </c>
      <c r="D143" s="5">
        <v>701.25</v>
      </c>
    </row>
    <row r="144" spans="1:4" x14ac:dyDescent="0.25">
      <c r="A144" s="1">
        <v>28</v>
      </c>
      <c r="B144" s="2">
        <v>41789</v>
      </c>
      <c r="C144" s="1" t="s">
        <v>6</v>
      </c>
      <c r="D144" s="5">
        <v>510</v>
      </c>
    </row>
    <row r="145" spans="1:4" x14ac:dyDescent="0.25">
      <c r="A145" s="1">
        <v>41</v>
      </c>
      <c r="B145" s="2">
        <v>41789</v>
      </c>
      <c r="C145" s="1" t="s">
        <v>10</v>
      </c>
      <c r="D145" s="5">
        <v>843.75</v>
      </c>
    </row>
    <row r="146" spans="1:4" x14ac:dyDescent="0.25">
      <c r="A146" s="1">
        <v>54</v>
      </c>
      <c r="B146" s="2">
        <v>41789</v>
      </c>
      <c r="C146" s="1" t="s">
        <v>385</v>
      </c>
      <c r="D146" s="5">
        <v>6165</v>
      </c>
    </row>
    <row r="147" spans="1:4" x14ac:dyDescent="0.25">
      <c r="A147" s="1">
        <v>55</v>
      </c>
      <c r="B147" s="2">
        <v>41789</v>
      </c>
      <c r="C147" s="1" t="s">
        <v>195</v>
      </c>
      <c r="D147" s="5">
        <v>1525</v>
      </c>
    </row>
    <row r="148" spans="1:4" x14ac:dyDescent="0.25">
      <c r="A148" s="1">
        <v>63</v>
      </c>
      <c r="B148" s="2">
        <v>41789</v>
      </c>
      <c r="C148" s="1" t="s">
        <v>181</v>
      </c>
      <c r="D148" s="5">
        <v>5437.5</v>
      </c>
    </row>
    <row r="149" spans="1:4" x14ac:dyDescent="0.25">
      <c r="A149" s="1">
        <v>79</v>
      </c>
      <c r="B149" s="2">
        <v>41789</v>
      </c>
      <c r="C149" s="1" t="s">
        <v>372</v>
      </c>
      <c r="D149" s="5">
        <v>3254</v>
      </c>
    </row>
    <row r="150" spans="1:4" x14ac:dyDescent="0.25">
      <c r="A150" s="1">
        <v>83</v>
      </c>
      <c r="B150" s="2">
        <v>41789</v>
      </c>
      <c r="C150" s="1" t="s">
        <v>351</v>
      </c>
      <c r="D150" s="5">
        <v>350</v>
      </c>
    </row>
    <row r="151" spans="1:4" x14ac:dyDescent="0.25">
      <c r="A151" s="1">
        <v>85</v>
      </c>
      <c r="B151" s="2">
        <v>41789</v>
      </c>
      <c r="C151" s="1" t="s">
        <v>79</v>
      </c>
      <c r="D151" s="5">
        <v>494</v>
      </c>
    </row>
    <row r="152" spans="1:4" x14ac:dyDescent="0.25">
      <c r="A152" s="1">
        <v>88</v>
      </c>
      <c r="B152" s="2">
        <v>41789</v>
      </c>
      <c r="C152" s="1" t="s">
        <v>364</v>
      </c>
      <c r="D152" s="5">
        <v>400</v>
      </c>
    </row>
    <row r="153" spans="1:4" x14ac:dyDescent="0.25">
      <c r="A153" s="1">
        <v>96</v>
      </c>
      <c r="B153" s="2">
        <v>41789</v>
      </c>
      <c r="C153" s="1" t="s">
        <v>375</v>
      </c>
      <c r="D153" s="5">
        <v>167.72</v>
      </c>
    </row>
    <row r="154" spans="1:4" x14ac:dyDescent="0.25">
      <c r="A154" s="1">
        <v>100</v>
      </c>
      <c r="B154" s="2">
        <v>41789</v>
      </c>
      <c r="C154" s="1" t="s">
        <v>376</v>
      </c>
      <c r="D154" s="5">
        <v>875</v>
      </c>
    </row>
    <row r="155" spans="1:4" x14ac:dyDescent="0.25">
      <c r="A155" s="1">
        <v>104</v>
      </c>
      <c r="B155" s="2">
        <v>41789</v>
      </c>
      <c r="C155" s="1" t="s">
        <v>210</v>
      </c>
      <c r="D155" s="5">
        <v>1541.63</v>
      </c>
    </row>
    <row r="156" spans="1:4" x14ac:dyDescent="0.25">
      <c r="A156" s="1">
        <v>108</v>
      </c>
      <c r="B156" s="2">
        <v>41789</v>
      </c>
      <c r="C156" s="1" t="s">
        <v>160</v>
      </c>
      <c r="D156" s="5">
        <v>1292.98</v>
      </c>
    </row>
    <row r="157" spans="1:4" x14ac:dyDescent="0.25">
      <c r="A157" s="1">
        <v>109</v>
      </c>
      <c r="B157" s="2">
        <v>41789</v>
      </c>
      <c r="C157" s="1" t="s">
        <v>82</v>
      </c>
      <c r="D157" s="5">
        <v>900</v>
      </c>
    </row>
    <row r="158" spans="1:4" x14ac:dyDescent="0.25">
      <c r="A158" s="1">
        <v>111</v>
      </c>
      <c r="B158" s="2">
        <v>41789</v>
      </c>
      <c r="C158" s="1" t="s">
        <v>388</v>
      </c>
      <c r="D158" s="5">
        <v>1200</v>
      </c>
    </row>
    <row r="159" spans="1:4" x14ac:dyDescent="0.25">
      <c r="A159" s="1">
        <v>113</v>
      </c>
      <c r="B159" s="2">
        <v>41789</v>
      </c>
      <c r="C159" s="1" t="s">
        <v>84</v>
      </c>
      <c r="D159" s="5">
        <v>575</v>
      </c>
    </row>
    <row r="160" spans="1:4" x14ac:dyDescent="0.25">
      <c r="A160" s="1">
        <v>114</v>
      </c>
      <c r="B160" s="2">
        <v>41789</v>
      </c>
      <c r="C160" s="1" t="s">
        <v>215</v>
      </c>
      <c r="D160" s="5">
        <v>3550</v>
      </c>
    </row>
    <row r="161" spans="1:4" x14ac:dyDescent="0.25">
      <c r="A161" s="1">
        <v>118</v>
      </c>
      <c r="B161" s="2">
        <v>41789</v>
      </c>
      <c r="C161" s="1" t="s">
        <v>85</v>
      </c>
      <c r="D161" s="5">
        <v>2790.54</v>
      </c>
    </row>
    <row r="162" spans="1:4" x14ac:dyDescent="0.25">
      <c r="A162" s="1">
        <v>119</v>
      </c>
      <c r="B162" s="2">
        <v>41789</v>
      </c>
      <c r="C162" s="1" t="s">
        <v>349</v>
      </c>
      <c r="D162" s="5">
        <v>4305.22</v>
      </c>
    </row>
    <row r="163" spans="1:4" x14ac:dyDescent="0.25">
      <c r="A163" s="1">
        <v>120</v>
      </c>
      <c r="B163" s="2">
        <v>41789</v>
      </c>
      <c r="C163" s="1" t="s">
        <v>337</v>
      </c>
      <c r="D163" s="5">
        <v>700</v>
      </c>
    </row>
    <row r="164" spans="1:4" x14ac:dyDescent="0.25">
      <c r="A164" s="1">
        <v>130</v>
      </c>
      <c r="B164" s="2">
        <v>41789</v>
      </c>
      <c r="C164" s="1" t="s">
        <v>366</v>
      </c>
      <c r="D164" s="5">
        <v>850</v>
      </c>
    </row>
    <row r="165" spans="1:4" x14ac:dyDescent="0.25">
      <c r="A165" s="1">
        <v>140</v>
      </c>
      <c r="B165" s="2">
        <v>41789</v>
      </c>
      <c r="C165" s="1" t="s">
        <v>88</v>
      </c>
      <c r="D165" s="5">
        <v>2391.79</v>
      </c>
    </row>
    <row r="166" spans="1:4" x14ac:dyDescent="0.25">
      <c r="A166" s="1">
        <v>142</v>
      </c>
      <c r="B166" s="2">
        <v>41789</v>
      </c>
      <c r="C166" s="1" t="s">
        <v>324</v>
      </c>
      <c r="D166" s="5">
        <v>1886</v>
      </c>
    </row>
    <row r="167" spans="1:4" x14ac:dyDescent="0.25">
      <c r="A167" s="1">
        <v>175</v>
      </c>
      <c r="B167" s="2">
        <v>41789</v>
      </c>
      <c r="C167" s="1" t="s">
        <v>275</v>
      </c>
      <c r="D167" s="5">
        <v>900</v>
      </c>
    </row>
    <row r="168" spans="1:4" x14ac:dyDescent="0.25">
      <c r="A168" s="1">
        <v>180</v>
      </c>
      <c r="B168" s="2">
        <v>41789</v>
      </c>
      <c r="C168" s="1" t="s">
        <v>161</v>
      </c>
      <c r="D168" s="5">
        <v>1498.13</v>
      </c>
    </row>
    <row r="169" spans="1:4" x14ac:dyDescent="0.25">
      <c r="A169" s="1">
        <v>27</v>
      </c>
      <c r="B169" s="2">
        <v>41796</v>
      </c>
      <c r="C169" s="1" t="s">
        <v>159</v>
      </c>
      <c r="D169" s="5">
        <v>2581.88</v>
      </c>
    </row>
    <row r="170" spans="1:4" x14ac:dyDescent="0.25">
      <c r="A170" s="1">
        <v>28</v>
      </c>
      <c r="B170" s="2">
        <v>41796</v>
      </c>
      <c r="C170" s="1" t="s">
        <v>6</v>
      </c>
      <c r="D170" s="5">
        <v>663</v>
      </c>
    </row>
    <row r="171" spans="1:4" x14ac:dyDescent="0.25">
      <c r="A171" s="1">
        <v>38</v>
      </c>
      <c r="B171" s="2">
        <v>41796</v>
      </c>
      <c r="C171" s="1" t="s">
        <v>381</v>
      </c>
      <c r="D171" s="5">
        <v>1103.55</v>
      </c>
    </row>
    <row r="172" spans="1:4" x14ac:dyDescent="0.25">
      <c r="A172" s="1">
        <v>41</v>
      </c>
      <c r="B172" s="2">
        <v>41796</v>
      </c>
      <c r="C172" s="1" t="s">
        <v>10</v>
      </c>
      <c r="D172" s="5">
        <v>1586.25</v>
      </c>
    </row>
    <row r="173" spans="1:4" x14ac:dyDescent="0.25">
      <c r="A173" s="1">
        <v>45</v>
      </c>
      <c r="B173" s="2">
        <v>41796</v>
      </c>
      <c r="C173" s="1" t="s">
        <v>382</v>
      </c>
      <c r="D173" s="5">
        <v>1000</v>
      </c>
    </row>
    <row r="174" spans="1:4" x14ac:dyDescent="0.25">
      <c r="A174" s="1">
        <v>50</v>
      </c>
      <c r="B174" s="2">
        <v>41796</v>
      </c>
      <c r="C174" s="1" t="s">
        <v>373</v>
      </c>
      <c r="D174" s="5">
        <v>1000</v>
      </c>
    </row>
    <row r="175" spans="1:4" x14ac:dyDescent="0.25">
      <c r="A175" s="1">
        <v>52</v>
      </c>
      <c r="B175" s="2">
        <v>41796</v>
      </c>
      <c r="C175" s="1" t="s">
        <v>383</v>
      </c>
      <c r="D175" s="5">
        <v>650</v>
      </c>
    </row>
    <row r="176" spans="1:4" x14ac:dyDescent="0.25">
      <c r="A176" s="1">
        <v>53</v>
      </c>
      <c r="B176" s="2">
        <v>41796</v>
      </c>
      <c r="C176" s="1" t="s">
        <v>384</v>
      </c>
      <c r="D176" s="5">
        <v>1000</v>
      </c>
    </row>
    <row r="177" spans="1:4" x14ac:dyDescent="0.25">
      <c r="A177" s="1">
        <v>54</v>
      </c>
      <c r="B177" s="2">
        <v>41796</v>
      </c>
      <c r="C177" s="1" t="s">
        <v>385</v>
      </c>
      <c r="D177" s="5">
        <v>9870</v>
      </c>
    </row>
    <row r="178" spans="1:4" x14ac:dyDescent="0.25">
      <c r="A178" s="1">
        <v>63</v>
      </c>
      <c r="B178" s="2">
        <v>41796</v>
      </c>
      <c r="C178" s="1" t="s">
        <v>181</v>
      </c>
      <c r="D178" s="5">
        <v>3562.5</v>
      </c>
    </row>
    <row r="179" spans="1:4" x14ac:dyDescent="0.25">
      <c r="A179" s="1">
        <v>71</v>
      </c>
      <c r="B179" s="2">
        <v>41796</v>
      </c>
      <c r="C179" s="1" t="s">
        <v>374</v>
      </c>
      <c r="D179" s="5">
        <v>550</v>
      </c>
    </row>
    <row r="180" spans="1:4" x14ac:dyDescent="0.25">
      <c r="A180" s="1">
        <v>79</v>
      </c>
      <c r="B180" s="2">
        <v>41796</v>
      </c>
      <c r="C180" s="1" t="s">
        <v>372</v>
      </c>
      <c r="D180" s="5">
        <v>2363.5</v>
      </c>
    </row>
    <row r="181" spans="1:4" x14ac:dyDescent="0.25">
      <c r="A181" s="1">
        <v>83</v>
      </c>
      <c r="B181" s="2">
        <v>41796</v>
      </c>
      <c r="C181" s="1" t="s">
        <v>351</v>
      </c>
      <c r="D181" s="5">
        <v>2600</v>
      </c>
    </row>
    <row r="182" spans="1:4" x14ac:dyDescent="0.25">
      <c r="A182" s="1">
        <v>85</v>
      </c>
      <c r="B182" s="2">
        <v>41796</v>
      </c>
      <c r="C182" s="1" t="s">
        <v>79</v>
      </c>
      <c r="D182" s="5">
        <v>637.5</v>
      </c>
    </row>
    <row r="183" spans="1:4" x14ac:dyDescent="0.25">
      <c r="A183" s="1">
        <v>88</v>
      </c>
      <c r="B183" s="2">
        <v>41796</v>
      </c>
      <c r="C183" s="1" t="s">
        <v>364</v>
      </c>
      <c r="D183" s="5">
        <v>2610.5</v>
      </c>
    </row>
    <row r="184" spans="1:4" x14ac:dyDescent="0.25">
      <c r="A184" s="1">
        <v>96</v>
      </c>
      <c r="B184" s="2">
        <v>41796</v>
      </c>
      <c r="C184" s="1" t="s">
        <v>375</v>
      </c>
      <c r="D184" s="5">
        <v>750</v>
      </c>
    </row>
    <row r="185" spans="1:4" x14ac:dyDescent="0.25">
      <c r="A185" s="1">
        <v>99</v>
      </c>
      <c r="B185" s="2">
        <v>41796</v>
      </c>
      <c r="C185" s="1" t="s">
        <v>240</v>
      </c>
      <c r="D185" s="5">
        <v>2647.95</v>
      </c>
    </row>
    <row r="186" spans="1:4" x14ac:dyDescent="0.25">
      <c r="A186" s="1">
        <v>100</v>
      </c>
      <c r="B186" s="2">
        <v>41796</v>
      </c>
      <c r="C186" s="1" t="s">
        <v>376</v>
      </c>
      <c r="D186" s="5">
        <v>1400</v>
      </c>
    </row>
    <row r="187" spans="1:4" x14ac:dyDescent="0.25">
      <c r="A187" s="1">
        <v>101</v>
      </c>
      <c r="B187" s="2">
        <v>41796</v>
      </c>
      <c r="C187" s="1" t="s">
        <v>81</v>
      </c>
      <c r="D187" s="5">
        <v>306</v>
      </c>
    </row>
    <row r="188" spans="1:4" x14ac:dyDescent="0.25">
      <c r="A188" s="1">
        <v>104</v>
      </c>
      <c r="B188" s="2">
        <v>41796</v>
      </c>
      <c r="C188" s="1" t="s">
        <v>210</v>
      </c>
      <c r="D188" s="5">
        <v>2741</v>
      </c>
    </row>
    <row r="189" spans="1:4" x14ac:dyDescent="0.25">
      <c r="A189" s="1">
        <v>108</v>
      </c>
      <c r="B189" s="2">
        <v>41796</v>
      </c>
      <c r="C189" s="1" t="s">
        <v>160</v>
      </c>
      <c r="D189" s="5">
        <v>2249.4899999999998</v>
      </c>
    </row>
    <row r="190" spans="1:4" x14ac:dyDescent="0.25">
      <c r="A190" s="1">
        <v>109</v>
      </c>
      <c r="B190" s="2">
        <v>41796</v>
      </c>
      <c r="C190" s="1" t="s">
        <v>82</v>
      </c>
      <c r="D190" s="5">
        <v>3090.5</v>
      </c>
    </row>
    <row r="191" spans="1:4" x14ac:dyDescent="0.25">
      <c r="A191" s="1">
        <v>111</v>
      </c>
      <c r="B191" s="2">
        <v>41796</v>
      </c>
      <c r="C191" s="1" t="s">
        <v>388</v>
      </c>
      <c r="D191" s="5">
        <v>700</v>
      </c>
    </row>
    <row r="192" spans="1:4" x14ac:dyDescent="0.25">
      <c r="A192" s="1">
        <v>113</v>
      </c>
      <c r="B192" s="2">
        <v>41796</v>
      </c>
      <c r="C192" s="1" t="s">
        <v>84</v>
      </c>
      <c r="D192" s="5">
        <v>1350</v>
      </c>
    </row>
    <row r="193" spans="1:4" x14ac:dyDescent="0.25">
      <c r="A193" s="1">
        <v>114</v>
      </c>
      <c r="B193" s="2">
        <v>41796</v>
      </c>
      <c r="C193" s="1" t="s">
        <v>215</v>
      </c>
      <c r="D193" s="5">
        <v>1325</v>
      </c>
    </row>
    <row r="194" spans="1:4" x14ac:dyDescent="0.25">
      <c r="A194" s="1">
        <v>116</v>
      </c>
      <c r="B194" s="2">
        <v>41796</v>
      </c>
      <c r="C194" s="1" t="s">
        <v>358</v>
      </c>
      <c r="D194" s="5">
        <v>650</v>
      </c>
    </row>
    <row r="195" spans="1:4" x14ac:dyDescent="0.25">
      <c r="A195" s="1">
        <v>118</v>
      </c>
      <c r="B195" s="2">
        <v>41796</v>
      </c>
      <c r="C195" s="1" t="s">
        <v>85</v>
      </c>
      <c r="D195" s="5">
        <v>2065.5</v>
      </c>
    </row>
    <row r="196" spans="1:4" x14ac:dyDescent="0.25">
      <c r="A196" s="1">
        <v>119</v>
      </c>
      <c r="B196" s="2">
        <v>41796</v>
      </c>
      <c r="C196" s="1" t="s">
        <v>349</v>
      </c>
      <c r="D196" s="5">
        <v>1000</v>
      </c>
    </row>
    <row r="197" spans="1:4" x14ac:dyDescent="0.25">
      <c r="A197" s="1">
        <v>120</v>
      </c>
      <c r="B197" s="2">
        <v>41796</v>
      </c>
      <c r="C197" s="1" t="s">
        <v>337</v>
      </c>
      <c r="D197" s="5">
        <v>1354.81</v>
      </c>
    </row>
    <row r="198" spans="1:4" x14ac:dyDescent="0.25">
      <c r="A198" s="1">
        <v>125</v>
      </c>
      <c r="B198" s="2">
        <v>41796</v>
      </c>
      <c r="C198" s="1" t="s">
        <v>371</v>
      </c>
      <c r="D198" s="5">
        <v>120.54</v>
      </c>
    </row>
    <row r="199" spans="1:4" x14ac:dyDescent="0.25">
      <c r="A199" s="1">
        <v>130</v>
      </c>
      <c r="B199" s="2">
        <v>41796</v>
      </c>
      <c r="C199" s="1" t="s">
        <v>366</v>
      </c>
      <c r="D199" s="5">
        <v>2038</v>
      </c>
    </row>
    <row r="200" spans="1:4" x14ac:dyDescent="0.25">
      <c r="A200" s="1">
        <v>137</v>
      </c>
      <c r="B200" s="2">
        <v>41796</v>
      </c>
      <c r="C200" s="1" t="s">
        <v>377</v>
      </c>
      <c r="D200" s="5">
        <v>725</v>
      </c>
    </row>
    <row r="201" spans="1:4" x14ac:dyDescent="0.25">
      <c r="A201" s="1">
        <v>138</v>
      </c>
      <c r="B201" s="2">
        <v>41796</v>
      </c>
      <c r="C201" s="1" t="s">
        <v>16</v>
      </c>
      <c r="D201" s="5">
        <v>1933</v>
      </c>
    </row>
    <row r="202" spans="1:4" x14ac:dyDescent="0.25">
      <c r="A202" s="1">
        <v>139</v>
      </c>
      <c r="B202" s="2">
        <v>41796</v>
      </c>
      <c r="C202" s="1" t="s">
        <v>263</v>
      </c>
      <c r="D202" s="5">
        <v>2444.5</v>
      </c>
    </row>
    <row r="203" spans="1:4" x14ac:dyDescent="0.25">
      <c r="A203" s="1">
        <v>140</v>
      </c>
      <c r="B203" s="2">
        <v>41796</v>
      </c>
      <c r="C203" s="1" t="s">
        <v>88</v>
      </c>
      <c r="D203" s="5">
        <v>3875</v>
      </c>
    </row>
    <row r="204" spans="1:4" x14ac:dyDescent="0.25">
      <c r="A204" s="1">
        <v>142</v>
      </c>
      <c r="B204" s="2">
        <v>41796</v>
      </c>
      <c r="C204" s="1" t="s">
        <v>324</v>
      </c>
      <c r="D204" s="5">
        <v>3300</v>
      </c>
    </row>
    <row r="205" spans="1:4" x14ac:dyDescent="0.25">
      <c r="A205" s="1">
        <v>143</v>
      </c>
      <c r="B205" s="2">
        <v>41796</v>
      </c>
      <c r="C205" s="1" t="s">
        <v>359</v>
      </c>
      <c r="D205" s="5">
        <v>1442</v>
      </c>
    </row>
    <row r="206" spans="1:4" x14ac:dyDescent="0.25">
      <c r="A206" s="1">
        <v>147</v>
      </c>
      <c r="B206" s="2">
        <v>41796</v>
      </c>
      <c r="C206" s="1" t="s">
        <v>178</v>
      </c>
      <c r="D206" s="5">
        <v>1250</v>
      </c>
    </row>
    <row r="207" spans="1:4" x14ac:dyDescent="0.25">
      <c r="A207" s="1">
        <v>152</v>
      </c>
      <c r="B207" s="2">
        <v>41796</v>
      </c>
      <c r="C207" s="1" t="s">
        <v>90</v>
      </c>
      <c r="D207" s="5">
        <v>625</v>
      </c>
    </row>
    <row r="208" spans="1:4" x14ac:dyDescent="0.25">
      <c r="A208" s="1">
        <v>175</v>
      </c>
      <c r="B208" s="2">
        <v>41796</v>
      </c>
      <c r="C208" s="1" t="s">
        <v>275</v>
      </c>
      <c r="D208" s="5">
        <v>1050</v>
      </c>
    </row>
    <row r="209" spans="1:4" x14ac:dyDescent="0.25">
      <c r="A209" s="1">
        <v>27</v>
      </c>
      <c r="B209" s="2">
        <v>41803</v>
      </c>
      <c r="C209" s="1" t="s">
        <v>159</v>
      </c>
      <c r="D209" s="5">
        <v>382.51</v>
      </c>
    </row>
    <row r="210" spans="1:4" x14ac:dyDescent="0.25">
      <c r="A210" s="1">
        <v>28</v>
      </c>
      <c r="B210" s="2">
        <v>41803</v>
      </c>
      <c r="C210" s="1" t="s">
        <v>6</v>
      </c>
      <c r="D210" s="5">
        <v>688.5</v>
      </c>
    </row>
    <row r="211" spans="1:4" x14ac:dyDescent="0.25">
      <c r="A211" s="1">
        <v>37</v>
      </c>
      <c r="B211" s="2">
        <v>41803</v>
      </c>
      <c r="C211" s="1" t="s">
        <v>77</v>
      </c>
      <c r="D211" s="5">
        <v>7648.85</v>
      </c>
    </row>
    <row r="212" spans="1:4" x14ac:dyDescent="0.25">
      <c r="A212" s="1">
        <v>38</v>
      </c>
      <c r="B212" s="2">
        <v>41803</v>
      </c>
      <c r="C212" s="1" t="s">
        <v>381</v>
      </c>
      <c r="D212" s="5">
        <v>1130.5</v>
      </c>
    </row>
    <row r="213" spans="1:4" x14ac:dyDescent="0.25">
      <c r="A213" s="1">
        <v>45</v>
      </c>
      <c r="B213" s="2">
        <v>41803</v>
      </c>
      <c r="C213" s="1" t="s">
        <v>382</v>
      </c>
      <c r="D213" s="5">
        <v>2000</v>
      </c>
    </row>
    <row r="214" spans="1:4" x14ac:dyDescent="0.25">
      <c r="A214" s="1">
        <v>50</v>
      </c>
      <c r="B214" s="2">
        <v>41803</v>
      </c>
      <c r="C214" s="1" t="s">
        <v>373</v>
      </c>
      <c r="D214" s="5">
        <v>2625</v>
      </c>
    </row>
    <row r="215" spans="1:4" x14ac:dyDescent="0.25">
      <c r="A215" s="1">
        <v>52</v>
      </c>
      <c r="B215" s="2">
        <v>41803</v>
      </c>
      <c r="C215" s="1" t="s">
        <v>383</v>
      </c>
      <c r="D215" s="5">
        <v>3100</v>
      </c>
    </row>
    <row r="216" spans="1:4" x14ac:dyDescent="0.25">
      <c r="A216" s="1">
        <v>53</v>
      </c>
      <c r="B216" s="2">
        <v>41803</v>
      </c>
      <c r="C216" s="1" t="s">
        <v>384</v>
      </c>
      <c r="D216" s="5">
        <v>1550</v>
      </c>
    </row>
    <row r="217" spans="1:4" x14ac:dyDescent="0.25">
      <c r="A217" s="1">
        <v>54</v>
      </c>
      <c r="B217" s="2">
        <v>41803</v>
      </c>
      <c r="C217" s="1" t="s">
        <v>385</v>
      </c>
      <c r="D217" s="5">
        <v>18690</v>
      </c>
    </row>
    <row r="218" spans="1:4" x14ac:dyDescent="0.25">
      <c r="A218" s="1">
        <v>55</v>
      </c>
      <c r="B218" s="2">
        <v>41803</v>
      </c>
      <c r="C218" s="1" t="s">
        <v>195</v>
      </c>
      <c r="D218" s="5">
        <v>1253.49</v>
      </c>
    </row>
    <row r="219" spans="1:4" x14ac:dyDescent="0.25">
      <c r="A219" s="1">
        <v>63</v>
      </c>
      <c r="B219" s="2">
        <v>41803</v>
      </c>
      <c r="C219" s="1" t="s">
        <v>181</v>
      </c>
      <c r="D219" s="5">
        <v>781.25</v>
      </c>
    </row>
    <row r="220" spans="1:4" x14ac:dyDescent="0.25">
      <c r="A220" s="1">
        <v>71</v>
      </c>
      <c r="B220" s="2">
        <v>41803</v>
      </c>
      <c r="C220" s="1" t="s">
        <v>374</v>
      </c>
      <c r="D220" s="5">
        <v>3450</v>
      </c>
    </row>
    <row r="221" spans="1:4" x14ac:dyDescent="0.25">
      <c r="A221" s="1">
        <v>79</v>
      </c>
      <c r="B221" s="2">
        <v>41803</v>
      </c>
      <c r="C221" s="1" t="s">
        <v>372</v>
      </c>
      <c r="D221" s="5">
        <v>725</v>
      </c>
    </row>
    <row r="222" spans="1:4" x14ac:dyDescent="0.25">
      <c r="A222" s="1">
        <v>83</v>
      </c>
      <c r="B222" s="2">
        <v>41803</v>
      </c>
      <c r="C222" s="1" t="s">
        <v>351</v>
      </c>
      <c r="D222" s="5">
        <v>357</v>
      </c>
    </row>
    <row r="223" spans="1:4" x14ac:dyDescent="0.25">
      <c r="A223" s="1">
        <v>94</v>
      </c>
      <c r="B223" s="2">
        <v>41803</v>
      </c>
      <c r="C223" s="1" t="s">
        <v>182</v>
      </c>
      <c r="D223" s="5">
        <v>1661</v>
      </c>
    </row>
    <row r="224" spans="1:4" x14ac:dyDescent="0.25">
      <c r="A224" s="1">
        <v>99</v>
      </c>
      <c r="B224" s="2">
        <v>41803</v>
      </c>
      <c r="C224" s="1" t="s">
        <v>240</v>
      </c>
      <c r="D224" s="5">
        <v>625</v>
      </c>
    </row>
    <row r="225" spans="1:4" x14ac:dyDescent="0.25">
      <c r="A225" s="1">
        <v>102</v>
      </c>
      <c r="B225" s="2">
        <v>41803</v>
      </c>
      <c r="C225" s="1" t="s">
        <v>365</v>
      </c>
      <c r="D225" s="5">
        <v>1480</v>
      </c>
    </row>
    <row r="226" spans="1:4" x14ac:dyDescent="0.25">
      <c r="A226" s="1">
        <v>104</v>
      </c>
      <c r="B226" s="2">
        <v>41803</v>
      </c>
      <c r="C226" s="1" t="s">
        <v>210</v>
      </c>
      <c r="D226" s="5">
        <v>622</v>
      </c>
    </row>
    <row r="227" spans="1:4" x14ac:dyDescent="0.25">
      <c r="A227" s="1">
        <v>108</v>
      </c>
      <c r="B227" s="2">
        <v>41803</v>
      </c>
      <c r="C227" s="1" t="s">
        <v>160</v>
      </c>
      <c r="D227" s="5">
        <v>1244.5</v>
      </c>
    </row>
    <row r="228" spans="1:4" x14ac:dyDescent="0.25">
      <c r="A228" s="1">
        <v>109</v>
      </c>
      <c r="B228" s="2">
        <v>41803</v>
      </c>
      <c r="C228" s="1" t="s">
        <v>82</v>
      </c>
      <c r="D228" s="5">
        <v>3450</v>
      </c>
    </row>
    <row r="229" spans="1:4" x14ac:dyDescent="0.25">
      <c r="A229" s="1">
        <v>113</v>
      </c>
      <c r="B229" s="2">
        <v>41803</v>
      </c>
      <c r="C229" s="1" t="s">
        <v>84</v>
      </c>
      <c r="D229" s="5">
        <v>559</v>
      </c>
    </row>
    <row r="230" spans="1:4" x14ac:dyDescent="0.25">
      <c r="A230" s="1">
        <v>114</v>
      </c>
      <c r="B230" s="2">
        <v>41803</v>
      </c>
      <c r="C230" s="1" t="s">
        <v>215</v>
      </c>
      <c r="D230" s="5">
        <v>1350</v>
      </c>
    </row>
    <row r="231" spans="1:4" x14ac:dyDescent="0.25">
      <c r="A231" s="1">
        <v>116</v>
      </c>
      <c r="B231" s="2">
        <v>41803</v>
      </c>
      <c r="C231" s="1" t="s">
        <v>358</v>
      </c>
      <c r="D231" s="5">
        <v>575</v>
      </c>
    </row>
    <row r="232" spans="1:4" x14ac:dyDescent="0.25">
      <c r="A232" s="1">
        <v>119</v>
      </c>
      <c r="B232" s="2">
        <v>41803</v>
      </c>
      <c r="C232" s="1" t="s">
        <v>349</v>
      </c>
      <c r="D232" s="5">
        <v>2450</v>
      </c>
    </row>
    <row r="233" spans="1:4" x14ac:dyDescent="0.25">
      <c r="A233" s="1">
        <v>123</v>
      </c>
      <c r="B233" s="2">
        <v>41803</v>
      </c>
      <c r="C233" s="1" t="s">
        <v>386</v>
      </c>
      <c r="D233" s="5">
        <v>575</v>
      </c>
    </row>
    <row r="234" spans="1:4" x14ac:dyDescent="0.25">
      <c r="A234" s="1">
        <v>130</v>
      </c>
      <c r="B234" s="2">
        <v>41803</v>
      </c>
      <c r="C234" s="1" t="s">
        <v>366</v>
      </c>
      <c r="D234" s="5">
        <v>1305.5</v>
      </c>
    </row>
    <row r="235" spans="1:4" x14ac:dyDescent="0.25">
      <c r="A235" s="1">
        <v>133</v>
      </c>
      <c r="B235" s="2">
        <v>41803</v>
      </c>
      <c r="C235" s="1" t="s">
        <v>87</v>
      </c>
      <c r="D235" s="5">
        <v>1243.1300000000001</v>
      </c>
    </row>
    <row r="236" spans="1:4" x14ac:dyDescent="0.25">
      <c r="A236" s="1">
        <v>134</v>
      </c>
      <c r="B236" s="2">
        <v>41803</v>
      </c>
      <c r="C236" s="1" t="s">
        <v>291</v>
      </c>
      <c r="D236" s="5">
        <v>500</v>
      </c>
    </row>
    <row r="237" spans="1:4" x14ac:dyDescent="0.25">
      <c r="A237" s="1">
        <v>137</v>
      </c>
      <c r="B237" s="2">
        <v>41803</v>
      </c>
      <c r="C237" s="1" t="s">
        <v>377</v>
      </c>
      <c r="D237" s="5">
        <v>5625</v>
      </c>
    </row>
    <row r="238" spans="1:4" x14ac:dyDescent="0.25">
      <c r="A238" s="1">
        <v>139</v>
      </c>
      <c r="B238" s="2">
        <v>41803</v>
      </c>
      <c r="C238" s="1" t="s">
        <v>263</v>
      </c>
      <c r="D238" s="5">
        <v>550</v>
      </c>
    </row>
    <row r="239" spans="1:4" x14ac:dyDescent="0.25">
      <c r="A239" s="1">
        <v>140</v>
      </c>
      <c r="B239" s="2">
        <v>41803</v>
      </c>
      <c r="C239" s="1" t="s">
        <v>88</v>
      </c>
      <c r="D239" s="5">
        <v>1725</v>
      </c>
    </row>
    <row r="240" spans="1:4" x14ac:dyDescent="0.25">
      <c r="A240" s="1">
        <v>141</v>
      </c>
      <c r="B240" s="2">
        <v>41803</v>
      </c>
      <c r="C240" s="1" t="s">
        <v>196</v>
      </c>
      <c r="D240" s="5">
        <v>905</v>
      </c>
    </row>
    <row r="241" spans="1:4" x14ac:dyDescent="0.25">
      <c r="A241" s="1">
        <v>143</v>
      </c>
      <c r="B241" s="2">
        <v>41803</v>
      </c>
      <c r="C241" s="1" t="s">
        <v>359</v>
      </c>
      <c r="D241" s="5">
        <v>1575</v>
      </c>
    </row>
    <row r="242" spans="1:4" x14ac:dyDescent="0.25">
      <c r="A242" s="1">
        <v>146</v>
      </c>
      <c r="B242" s="2">
        <v>41803</v>
      </c>
      <c r="C242" s="1" t="s">
        <v>362</v>
      </c>
      <c r="D242" s="5">
        <v>475</v>
      </c>
    </row>
    <row r="243" spans="1:4" x14ac:dyDescent="0.25">
      <c r="A243" s="1">
        <v>147</v>
      </c>
      <c r="B243" s="2">
        <v>41803</v>
      </c>
      <c r="C243" s="1" t="s">
        <v>178</v>
      </c>
      <c r="D243" s="5">
        <v>650</v>
      </c>
    </row>
    <row r="244" spans="1:4" x14ac:dyDescent="0.25">
      <c r="A244" s="1">
        <v>149</v>
      </c>
      <c r="B244" s="2">
        <v>41803</v>
      </c>
      <c r="C244" s="1" t="s">
        <v>241</v>
      </c>
      <c r="D244" s="5">
        <v>575</v>
      </c>
    </row>
    <row r="245" spans="1:4" x14ac:dyDescent="0.25">
      <c r="A245" s="1">
        <v>150</v>
      </c>
      <c r="B245" s="2">
        <v>41803</v>
      </c>
      <c r="C245" s="1" t="s">
        <v>387</v>
      </c>
      <c r="D245" s="5">
        <v>1000</v>
      </c>
    </row>
    <row r="246" spans="1:4" x14ac:dyDescent="0.25">
      <c r="A246" s="1">
        <v>151</v>
      </c>
      <c r="B246" s="2">
        <v>41803</v>
      </c>
      <c r="C246" s="1" t="s">
        <v>378</v>
      </c>
      <c r="D246" s="5">
        <v>1475</v>
      </c>
    </row>
    <row r="247" spans="1:4" x14ac:dyDescent="0.25">
      <c r="A247" s="1">
        <v>160</v>
      </c>
      <c r="B247" s="2">
        <v>41803</v>
      </c>
      <c r="C247" s="1" t="s">
        <v>353</v>
      </c>
      <c r="D247" s="5">
        <v>300</v>
      </c>
    </row>
    <row r="248" spans="1:4" x14ac:dyDescent="0.25">
      <c r="A248" s="1">
        <v>163</v>
      </c>
      <c r="B248" s="2">
        <v>41803</v>
      </c>
      <c r="C248" s="1" t="s">
        <v>379</v>
      </c>
      <c r="D248" s="5">
        <v>525</v>
      </c>
    </row>
    <row r="249" spans="1:4" x14ac:dyDescent="0.25">
      <c r="A249" s="1">
        <v>185</v>
      </c>
      <c r="B249" s="2">
        <v>41803</v>
      </c>
      <c r="C249" s="1" t="s">
        <v>17</v>
      </c>
      <c r="D249" s="5">
        <v>900</v>
      </c>
    </row>
    <row r="250" spans="1:4" x14ac:dyDescent="0.25">
      <c r="A250" s="1">
        <v>138</v>
      </c>
      <c r="B250" s="2">
        <v>41806</v>
      </c>
      <c r="C250" s="1" t="s">
        <v>16</v>
      </c>
      <c r="D250" s="5">
        <v>2675</v>
      </c>
    </row>
    <row r="251" spans="1:4" x14ac:dyDescent="0.25">
      <c r="A251" s="1">
        <v>164</v>
      </c>
      <c r="B251" s="2">
        <v>41806</v>
      </c>
      <c r="C251" s="1" t="s">
        <v>361</v>
      </c>
      <c r="D251" s="5">
        <v>1086</v>
      </c>
    </row>
    <row r="252" spans="1:4" x14ac:dyDescent="0.25">
      <c r="A252" s="1">
        <v>187</v>
      </c>
      <c r="B252" s="2">
        <v>41806</v>
      </c>
      <c r="C252" s="1" t="s">
        <v>380</v>
      </c>
      <c r="D252" s="5">
        <v>1150</v>
      </c>
    </row>
    <row r="253" spans="1:4" x14ac:dyDescent="0.25">
      <c r="A253" s="1">
        <v>27</v>
      </c>
      <c r="B253" s="2">
        <v>41810</v>
      </c>
      <c r="C253" s="1" t="s">
        <v>159</v>
      </c>
      <c r="D253" s="5">
        <v>5147.1899999999996</v>
      </c>
    </row>
    <row r="254" spans="1:4" x14ac:dyDescent="0.25">
      <c r="A254" s="1">
        <v>37</v>
      </c>
      <c r="B254" s="2">
        <v>41810</v>
      </c>
      <c r="C254" s="1" t="s">
        <v>77</v>
      </c>
      <c r="D254" s="5">
        <v>4277.5</v>
      </c>
    </row>
    <row r="255" spans="1:4" x14ac:dyDescent="0.25">
      <c r="A255" s="1">
        <v>41</v>
      </c>
      <c r="B255" s="2">
        <v>41810</v>
      </c>
      <c r="C255" s="1" t="s">
        <v>10</v>
      </c>
      <c r="D255" s="5">
        <v>597.41</v>
      </c>
    </row>
    <row r="256" spans="1:4" x14ac:dyDescent="0.25">
      <c r="A256" s="1">
        <v>50</v>
      </c>
      <c r="B256" s="2">
        <v>41810</v>
      </c>
      <c r="C256" s="1" t="s">
        <v>373</v>
      </c>
      <c r="D256" s="5">
        <v>300</v>
      </c>
    </row>
    <row r="257" spans="1:4" x14ac:dyDescent="0.25">
      <c r="A257" s="1">
        <v>59</v>
      </c>
      <c r="B257" s="2">
        <v>41810</v>
      </c>
      <c r="C257" s="1" t="s">
        <v>354</v>
      </c>
      <c r="D257" s="5">
        <v>235.88</v>
      </c>
    </row>
    <row r="258" spans="1:4" x14ac:dyDescent="0.25">
      <c r="A258" s="1">
        <v>63</v>
      </c>
      <c r="B258" s="2">
        <v>41810</v>
      </c>
      <c r="C258" s="1" t="s">
        <v>181</v>
      </c>
      <c r="D258" s="5">
        <v>1108.53</v>
      </c>
    </row>
    <row r="259" spans="1:4" x14ac:dyDescent="0.25">
      <c r="A259" s="1">
        <v>71</v>
      </c>
      <c r="B259" s="2">
        <v>41810</v>
      </c>
      <c r="C259" s="1" t="s">
        <v>374</v>
      </c>
      <c r="D259" s="5">
        <v>2671</v>
      </c>
    </row>
    <row r="260" spans="1:4" x14ac:dyDescent="0.25">
      <c r="A260" s="1">
        <v>83</v>
      </c>
      <c r="B260" s="2">
        <v>41810</v>
      </c>
      <c r="C260" s="1" t="s">
        <v>351</v>
      </c>
      <c r="D260" s="5">
        <v>25</v>
      </c>
    </row>
    <row r="261" spans="1:4" x14ac:dyDescent="0.25">
      <c r="A261" s="1">
        <v>85</v>
      </c>
      <c r="B261" s="2">
        <v>41810</v>
      </c>
      <c r="C261" s="1" t="s">
        <v>79</v>
      </c>
      <c r="D261" s="5">
        <v>2047.32</v>
      </c>
    </row>
    <row r="262" spans="1:4" x14ac:dyDescent="0.25">
      <c r="A262" s="1">
        <v>94</v>
      </c>
      <c r="B262" s="2">
        <v>41810</v>
      </c>
      <c r="C262" s="1" t="s">
        <v>182</v>
      </c>
      <c r="D262" s="5">
        <v>819</v>
      </c>
    </row>
    <row r="263" spans="1:4" x14ac:dyDescent="0.25">
      <c r="A263" s="1">
        <v>96</v>
      </c>
      <c r="B263" s="2">
        <v>41810</v>
      </c>
      <c r="C263" s="1" t="s">
        <v>375</v>
      </c>
      <c r="D263" s="5">
        <v>125</v>
      </c>
    </row>
    <row r="264" spans="1:4" x14ac:dyDescent="0.25">
      <c r="A264" s="1">
        <v>99</v>
      </c>
      <c r="B264" s="2">
        <v>41810</v>
      </c>
      <c r="C264" s="1" t="s">
        <v>240</v>
      </c>
      <c r="D264" s="5">
        <v>2182.14</v>
      </c>
    </row>
    <row r="265" spans="1:4" x14ac:dyDescent="0.25">
      <c r="A265" s="1">
        <v>100</v>
      </c>
      <c r="B265" s="2">
        <v>41810</v>
      </c>
      <c r="C265" s="1" t="s">
        <v>376</v>
      </c>
      <c r="D265" s="5">
        <v>150</v>
      </c>
    </row>
    <row r="266" spans="1:4" x14ac:dyDescent="0.25">
      <c r="A266" s="1">
        <v>108</v>
      </c>
      <c r="B266" s="2">
        <v>41810</v>
      </c>
      <c r="C266" s="1" t="s">
        <v>160</v>
      </c>
      <c r="D266" s="5">
        <v>2775</v>
      </c>
    </row>
    <row r="267" spans="1:4" x14ac:dyDescent="0.25">
      <c r="A267" s="1">
        <v>112</v>
      </c>
      <c r="B267" s="2">
        <v>41810</v>
      </c>
      <c r="C267" s="1" t="s">
        <v>370</v>
      </c>
      <c r="D267" s="5">
        <v>825</v>
      </c>
    </row>
    <row r="268" spans="1:4" x14ac:dyDescent="0.25">
      <c r="A268" s="1">
        <v>114</v>
      </c>
      <c r="B268" s="2">
        <v>41810</v>
      </c>
      <c r="C268" s="1" t="s">
        <v>215</v>
      </c>
      <c r="D268" s="5">
        <v>579.5</v>
      </c>
    </row>
    <row r="269" spans="1:4" x14ac:dyDescent="0.25">
      <c r="A269" s="1">
        <v>125</v>
      </c>
      <c r="B269" s="2">
        <v>41810</v>
      </c>
      <c r="C269" s="1" t="s">
        <v>371</v>
      </c>
      <c r="D269" s="5">
        <v>225</v>
      </c>
    </row>
    <row r="270" spans="1:4" x14ac:dyDescent="0.25">
      <c r="A270" s="1">
        <v>133</v>
      </c>
      <c r="B270" s="2">
        <v>41810</v>
      </c>
      <c r="C270" s="1" t="s">
        <v>87</v>
      </c>
      <c r="D270" s="5">
        <v>1531.25</v>
      </c>
    </row>
    <row r="271" spans="1:4" x14ac:dyDescent="0.25">
      <c r="A271" s="1">
        <v>137</v>
      </c>
      <c r="B271" s="2">
        <v>41810</v>
      </c>
      <c r="C271" s="1" t="s">
        <v>377</v>
      </c>
      <c r="D271" s="5">
        <v>923.07</v>
      </c>
    </row>
    <row r="272" spans="1:4" x14ac:dyDescent="0.25">
      <c r="A272" s="1">
        <v>138</v>
      </c>
      <c r="B272" s="2">
        <v>41810</v>
      </c>
      <c r="C272" s="1" t="s">
        <v>16</v>
      </c>
      <c r="D272" s="5">
        <v>2719.5</v>
      </c>
    </row>
    <row r="273" spans="1:4" x14ac:dyDescent="0.25">
      <c r="A273" s="1">
        <v>139</v>
      </c>
      <c r="B273" s="2">
        <v>41810</v>
      </c>
      <c r="C273" s="1" t="s">
        <v>263</v>
      </c>
      <c r="D273" s="5">
        <v>925</v>
      </c>
    </row>
    <row r="274" spans="1:4" x14ac:dyDescent="0.25">
      <c r="A274" s="1">
        <v>140</v>
      </c>
      <c r="B274" s="2">
        <v>41810</v>
      </c>
      <c r="C274" s="1" t="s">
        <v>88</v>
      </c>
      <c r="D274" s="5">
        <v>1050</v>
      </c>
    </row>
    <row r="275" spans="1:4" x14ac:dyDescent="0.25">
      <c r="A275" s="1">
        <v>141</v>
      </c>
      <c r="B275" s="2">
        <v>41810</v>
      </c>
      <c r="C275" s="1" t="s">
        <v>196</v>
      </c>
      <c r="D275" s="5">
        <v>2200</v>
      </c>
    </row>
    <row r="276" spans="1:4" x14ac:dyDescent="0.25">
      <c r="A276" s="1">
        <v>143</v>
      </c>
      <c r="B276" s="2">
        <v>41810</v>
      </c>
      <c r="C276" s="1" t="s">
        <v>359</v>
      </c>
      <c r="D276" s="5">
        <v>2350</v>
      </c>
    </row>
    <row r="277" spans="1:4" x14ac:dyDescent="0.25">
      <c r="A277" s="1">
        <v>146</v>
      </c>
      <c r="B277" s="2">
        <v>41810</v>
      </c>
      <c r="C277" s="1" t="s">
        <v>362</v>
      </c>
      <c r="D277" s="5">
        <v>1600</v>
      </c>
    </row>
    <row r="278" spans="1:4" x14ac:dyDescent="0.25">
      <c r="A278" s="1">
        <v>149</v>
      </c>
      <c r="B278" s="2">
        <v>41810</v>
      </c>
      <c r="C278" s="1" t="s">
        <v>241</v>
      </c>
      <c r="D278" s="5">
        <v>1300</v>
      </c>
    </row>
    <row r="279" spans="1:4" x14ac:dyDescent="0.25">
      <c r="A279" s="1">
        <v>151</v>
      </c>
      <c r="B279" s="2">
        <v>41810</v>
      </c>
      <c r="C279" s="1" t="s">
        <v>378</v>
      </c>
      <c r="D279" s="5">
        <v>1400</v>
      </c>
    </row>
    <row r="280" spans="1:4" x14ac:dyDescent="0.25">
      <c r="A280" s="1">
        <v>152</v>
      </c>
      <c r="B280" s="2">
        <v>41810</v>
      </c>
      <c r="C280" s="1" t="s">
        <v>90</v>
      </c>
      <c r="D280" s="5">
        <v>1325</v>
      </c>
    </row>
    <row r="281" spans="1:4" x14ac:dyDescent="0.25">
      <c r="A281" s="1">
        <v>154</v>
      </c>
      <c r="B281" s="2">
        <v>41810</v>
      </c>
      <c r="C281" s="1" t="s">
        <v>367</v>
      </c>
      <c r="D281" s="5">
        <v>353.57</v>
      </c>
    </row>
    <row r="282" spans="1:4" x14ac:dyDescent="0.25">
      <c r="A282" s="1">
        <v>156</v>
      </c>
      <c r="B282" s="2">
        <v>41810</v>
      </c>
      <c r="C282" s="1" t="s">
        <v>360</v>
      </c>
      <c r="D282" s="5">
        <v>1150</v>
      </c>
    </row>
    <row r="283" spans="1:4" x14ac:dyDescent="0.25">
      <c r="A283" s="1">
        <v>157</v>
      </c>
      <c r="B283" s="2">
        <v>41810</v>
      </c>
      <c r="C283" s="1" t="s">
        <v>92</v>
      </c>
      <c r="D283" s="5">
        <v>639.29</v>
      </c>
    </row>
    <row r="284" spans="1:4" x14ac:dyDescent="0.25">
      <c r="A284" s="1">
        <v>159</v>
      </c>
      <c r="B284" s="2">
        <v>41810</v>
      </c>
      <c r="C284" s="1" t="s">
        <v>330</v>
      </c>
      <c r="D284" s="5">
        <v>650</v>
      </c>
    </row>
    <row r="285" spans="1:4" x14ac:dyDescent="0.25">
      <c r="A285" s="1">
        <v>160</v>
      </c>
      <c r="B285" s="2">
        <v>41810</v>
      </c>
      <c r="C285" s="1" t="s">
        <v>353</v>
      </c>
      <c r="D285" s="5">
        <v>433.5</v>
      </c>
    </row>
    <row r="286" spans="1:4" x14ac:dyDescent="0.25">
      <c r="A286" s="1">
        <v>161</v>
      </c>
      <c r="B286" s="2">
        <v>41810</v>
      </c>
      <c r="C286" s="1" t="s">
        <v>183</v>
      </c>
      <c r="D286" s="5">
        <v>2650</v>
      </c>
    </row>
    <row r="287" spans="1:4" x14ac:dyDescent="0.25">
      <c r="A287" s="1">
        <v>163</v>
      </c>
      <c r="B287" s="2">
        <v>41810</v>
      </c>
      <c r="C287" s="1" t="s">
        <v>379</v>
      </c>
      <c r="D287" s="5">
        <v>475</v>
      </c>
    </row>
    <row r="288" spans="1:4" x14ac:dyDescent="0.25">
      <c r="A288" s="1">
        <v>164</v>
      </c>
      <c r="B288" s="2">
        <v>41810</v>
      </c>
      <c r="C288" s="1" t="s">
        <v>361</v>
      </c>
      <c r="D288" s="5">
        <v>775</v>
      </c>
    </row>
    <row r="289" spans="1:4" x14ac:dyDescent="0.25">
      <c r="A289" s="1">
        <v>184</v>
      </c>
      <c r="B289" s="2">
        <v>41810</v>
      </c>
      <c r="C289" s="1" t="s">
        <v>217</v>
      </c>
      <c r="D289" s="5">
        <v>2652</v>
      </c>
    </row>
    <row r="290" spans="1:4" x14ac:dyDescent="0.25">
      <c r="A290" s="1">
        <v>185</v>
      </c>
      <c r="B290" s="2">
        <v>41810</v>
      </c>
      <c r="C290" s="1" t="s">
        <v>17</v>
      </c>
      <c r="D290" s="5">
        <v>1000</v>
      </c>
    </row>
    <row r="291" spans="1:4" x14ac:dyDescent="0.25">
      <c r="A291" s="1">
        <v>192</v>
      </c>
      <c r="B291" s="2">
        <v>41810</v>
      </c>
      <c r="C291" s="1" t="s">
        <v>94</v>
      </c>
      <c r="D291" s="5">
        <v>1000</v>
      </c>
    </row>
    <row r="292" spans="1:4" x14ac:dyDescent="0.25">
      <c r="A292" s="1">
        <v>204</v>
      </c>
      <c r="B292" s="2">
        <v>41810</v>
      </c>
      <c r="C292" s="1" t="s">
        <v>242</v>
      </c>
      <c r="D292" s="5">
        <v>300</v>
      </c>
    </row>
    <row r="293" spans="1:4" x14ac:dyDescent="0.25">
      <c r="A293" s="1">
        <v>218</v>
      </c>
      <c r="B293" s="2">
        <v>41810</v>
      </c>
      <c r="C293" s="1" t="s">
        <v>233</v>
      </c>
      <c r="D293" s="5">
        <v>1187.5</v>
      </c>
    </row>
    <row r="294" spans="1:4" x14ac:dyDescent="0.25">
      <c r="A294" s="1">
        <v>223</v>
      </c>
      <c r="B294" s="2">
        <v>41810</v>
      </c>
      <c r="C294" s="1" t="s">
        <v>325</v>
      </c>
      <c r="D294" s="5">
        <v>250</v>
      </c>
    </row>
    <row r="295" spans="1:4" x14ac:dyDescent="0.25">
      <c r="A295" s="1">
        <v>225</v>
      </c>
      <c r="B295" s="2">
        <v>41810</v>
      </c>
      <c r="C295" s="1" t="s">
        <v>326</v>
      </c>
      <c r="D295" s="5">
        <v>250</v>
      </c>
    </row>
    <row r="296" spans="1:4" x14ac:dyDescent="0.25">
      <c r="A296" s="1">
        <v>227</v>
      </c>
      <c r="B296" s="2">
        <v>41810</v>
      </c>
      <c r="C296" s="1" t="s">
        <v>331</v>
      </c>
      <c r="D296" s="5">
        <v>750</v>
      </c>
    </row>
    <row r="297" spans="1:4" x14ac:dyDescent="0.25">
      <c r="A297" s="1">
        <v>230</v>
      </c>
      <c r="B297" s="2">
        <v>41810</v>
      </c>
      <c r="C297" s="1" t="s">
        <v>316</v>
      </c>
      <c r="D297" s="5">
        <v>750</v>
      </c>
    </row>
    <row r="298" spans="1:4" x14ac:dyDescent="0.25">
      <c r="A298" s="1">
        <v>79</v>
      </c>
      <c r="B298" s="2">
        <v>41813</v>
      </c>
      <c r="C298" s="1" t="s">
        <v>372</v>
      </c>
      <c r="D298" s="5">
        <v>2900</v>
      </c>
    </row>
    <row r="299" spans="1:4" x14ac:dyDescent="0.25">
      <c r="A299" s="1">
        <v>142</v>
      </c>
      <c r="B299" s="2">
        <v>41813</v>
      </c>
      <c r="C299" s="1" t="s">
        <v>324</v>
      </c>
      <c r="D299" s="5">
        <v>500</v>
      </c>
    </row>
    <row r="300" spans="1:4" x14ac:dyDescent="0.25">
      <c r="A300" s="1">
        <v>27</v>
      </c>
      <c r="B300" s="2">
        <v>41817</v>
      </c>
      <c r="C300" s="1" t="s">
        <v>159</v>
      </c>
      <c r="D300" s="5">
        <v>199.45</v>
      </c>
    </row>
    <row r="301" spans="1:4" x14ac:dyDescent="0.25">
      <c r="A301" s="1">
        <v>41</v>
      </c>
      <c r="B301" s="2">
        <v>41817</v>
      </c>
      <c r="C301" s="1" t="s">
        <v>10</v>
      </c>
      <c r="D301" s="5">
        <v>266.63</v>
      </c>
    </row>
    <row r="302" spans="1:4" x14ac:dyDescent="0.25">
      <c r="A302" s="1">
        <v>63</v>
      </c>
      <c r="B302" s="2">
        <v>41817</v>
      </c>
      <c r="C302" s="1" t="s">
        <v>181</v>
      </c>
      <c r="D302" s="5">
        <v>1212.5</v>
      </c>
    </row>
    <row r="303" spans="1:4" x14ac:dyDescent="0.25">
      <c r="A303" s="1">
        <v>67</v>
      </c>
      <c r="B303" s="2">
        <v>41817</v>
      </c>
      <c r="C303" s="1" t="s">
        <v>355</v>
      </c>
      <c r="D303" s="5">
        <v>750</v>
      </c>
    </row>
    <row r="304" spans="1:4" x14ac:dyDescent="0.25">
      <c r="A304" s="1">
        <v>85</v>
      </c>
      <c r="B304" s="2">
        <v>41817</v>
      </c>
      <c r="C304" s="1" t="s">
        <v>79</v>
      </c>
      <c r="D304" s="5">
        <v>1537.5</v>
      </c>
    </row>
    <row r="305" spans="1:4" x14ac:dyDescent="0.25">
      <c r="A305" s="1">
        <v>88</v>
      </c>
      <c r="B305" s="2">
        <v>41817</v>
      </c>
      <c r="C305" s="1" t="s">
        <v>364</v>
      </c>
      <c r="D305" s="5">
        <v>407</v>
      </c>
    </row>
    <row r="306" spans="1:4" x14ac:dyDescent="0.25">
      <c r="A306" s="1">
        <v>94</v>
      </c>
      <c r="B306" s="2">
        <v>41817</v>
      </c>
      <c r="C306" s="1" t="s">
        <v>182</v>
      </c>
      <c r="D306" s="5">
        <v>200</v>
      </c>
    </row>
    <row r="307" spans="1:4" x14ac:dyDescent="0.25">
      <c r="A307" s="1">
        <v>99</v>
      </c>
      <c r="B307" s="2">
        <v>41817</v>
      </c>
      <c r="C307" s="1" t="s">
        <v>240</v>
      </c>
      <c r="D307" s="5">
        <v>200</v>
      </c>
    </row>
    <row r="308" spans="1:4" x14ac:dyDescent="0.25">
      <c r="A308" s="1">
        <v>112</v>
      </c>
      <c r="B308" s="2">
        <v>41817</v>
      </c>
      <c r="C308" s="1" t="s">
        <v>370</v>
      </c>
      <c r="D308" s="5">
        <v>1075</v>
      </c>
    </row>
    <row r="309" spans="1:4" x14ac:dyDescent="0.25">
      <c r="A309" s="1">
        <v>120</v>
      </c>
      <c r="B309" s="2">
        <v>41817</v>
      </c>
      <c r="C309" s="1" t="s">
        <v>337</v>
      </c>
      <c r="D309" s="5">
        <v>200</v>
      </c>
    </row>
    <row r="310" spans="1:4" x14ac:dyDescent="0.25">
      <c r="A310" s="1">
        <v>125</v>
      </c>
      <c r="B310" s="2">
        <v>41817</v>
      </c>
      <c r="C310" s="1" t="s">
        <v>371</v>
      </c>
      <c r="D310" s="5">
        <v>100</v>
      </c>
    </row>
    <row r="311" spans="1:4" x14ac:dyDescent="0.25">
      <c r="A311" s="1">
        <v>133</v>
      </c>
      <c r="B311" s="2">
        <v>41817</v>
      </c>
      <c r="C311" s="1" t="s">
        <v>87</v>
      </c>
      <c r="D311" s="5">
        <v>308.08</v>
      </c>
    </row>
    <row r="312" spans="1:4" x14ac:dyDescent="0.25">
      <c r="A312" s="1">
        <v>143</v>
      </c>
      <c r="B312" s="2">
        <v>41817</v>
      </c>
      <c r="C312" s="1" t="s">
        <v>359</v>
      </c>
      <c r="D312" s="5">
        <v>-500</v>
      </c>
    </row>
    <row r="313" spans="1:4" x14ac:dyDescent="0.25">
      <c r="A313" s="1">
        <v>148</v>
      </c>
      <c r="B313" s="2">
        <v>41817</v>
      </c>
      <c r="C313" s="1" t="s">
        <v>89</v>
      </c>
      <c r="D313" s="5">
        <v>612</v>
      </c>
    </row>
    <row r="314" spans="1:4" x14ac:dyDescent="0.25">
      <c r="A314" s="1">
        <v>155</v>
      </c>
      <c r="B314" s="2">
        <v>41817</v>
      </c>
      <c r="C314" s="1" t="s">
        <v>91</v>
      </c>
      <c r="D314" s="5">
        <v>2108</v>
      </c>
    </row>
    <row r="315" spans="1:4" x14ac:dyDescent="0.25">
      <c r="A315" s="1">
        <v>175</v>
      </c>
      <c r="B315" s="2">
        <v>41817</v>
      </c>
      <c r="C315" s="1" t="s">
        <v>275</v>
      </c>
      <c r="D315" s="5">
        <v>143.75</v>
      </c>
    </row>
    <row r="316" spans="1:4" x14ac:dyDescent="0.25">
      <c r="A316" s="1">
        <v>185</v>
      </c>
      <c r="B316" s="2">
        <v>41817</v>
      </c>
      <c r="C316" s="1" t="s">
        <v>17</v>
      </c>
      <c r="D316" s="5">
        <v>1000</v>
      </c>
    </row>
    <row r="317" spans="1:4" x14ac:dyDescent="0.25">
      <c r="A317" s="1">
        <v>214</v>
      </c>
      <c r="B317" s="2">
        <v>41817</v>
      </c>
      <c r="C317" s="1" t="s">
        <v>323</v>
      </c>
      <c r="D317" s="5">
        <v>500</v>
      </c>
    </row>
    <row r="318" spans="1:4" x14ac:dyDescent="0.25">
      <c r="A318" s="1">
        <v>217</v>
      </c>
      <c r="B318" s="2">
        <v>41817</v>
      </c>
      <c r="C318" s="1" t="s">
        <v>97</v>
      </c>
      <c r="D318" s="5">
        <v>1000</v>
      </c>
    </row>
    <row r="319" spans="1:4" x14ac:dyDescent="0.25">
      <c r="A319" s="1">
        <v>236</v>
      </c>
      <c r="B319" s="2">
        <v>41817</v>
      </c>
      <c r="C319" s="1" t="s">
        <v>211</v>
      </c>
      <c r="D319" s="5">
        <v>719.48</v>
      </c>
    </row>
    <row r="320" spans="1:4" x14ac:dyDescent="0.25">
      <c r="A320" s="1">
        <v>156</v>
      </c>
      <c r="B320" s="2">
        <v>41820</v>
      </c>
      <c r="C320" s="1" t="s">
        <v>360</v>
      </c>
      <c r="D320" s="5">
        <v>1083</v>
      </c>
    </row>
    <row r="321" spans="1:4" x14ac:dyDescent="0.25">
      <c r="A321" s="1">
        <v>27</v>
      </c>
      <c r="B321" s="2">
        <v>41823</v>
      </c>
      <c r="C321" s="1" t="s">
        <v>159</v>
      </c>
      <c r="D321" s="5">
        <v>1810.5</v>
      </c>
    </row>
    <row r="322" spans="1:4" x14ac:dyDescent="0.25">
      <c r="A322" s="1">
        <v>28</v>
      </c>
      <c r="B322" s="2">
        <v>41823</v>
      </c>
      <c r="C322" s="1" t="s">
        <v>6</v>
      </c>
      <c r="D322" s="5">
        <v>433.5</v>
      </c>
    </row>
    <row r="323" spans="1:4" x14ac:dyDescent="0.25">
      <c r="A323" s="1">
        <v>83</v>
      </c>
      <c r="B323" s="2">
        <v>41823</v>
      </c>
      <c r="C323" s="1" t="s">
        <v>351</v>
      </c>
      <c r="D323" s="5">
        <v>239.5</v>
      </c>
    </row>
    <row r="324" spans="1:4" x14ac:dyDescent="0.25">
      <c r="A324" s="1">
        <v>120</v>
      </c>
      <c r="B324" s="2">
        <v>41823</v>
      </c>
      <c r="C324" s="1" t="s">
        <v>337</v>
      </c>
      <c r="D324" s="5">
        <v>1041.5</v>
      </c>
    </row>
    <row r="325" spans="1:4" x14ac:dyDescent="0.25">
      <c r="A325" s="1">
        <v>134</v>
      </c>
      <c r="B325" s="2">
        <v>41823</v>
      </c>
      <c r="C325" s="1" t="s">
        <v>291</v>
      </c>
      <c r="D325" s="5">
        <v>1650</v>
      </c>
    </row>
    <row r="326" spans="1:4" x14ac:dyDescent="0.25">
      <c r="A326" s="1">
        <v>140</v>
      </c>
      <c r="B326" s="2">
        <v>41823</v>
      </c>
      <c r="C326" s="1" t="s">
        <v>88</v>
      </c>
      <c r="D326" s="5">
        <v>997.5</v>
      </c>
    </row>
    <row r="327" spans="1:4" x14ac:dyDescent="0.25">
      <c r="A327" s="1">
        <v>184</v>
      </c>
      <c r="B327" s="2">
        <v>41823</v>
      </c>
      <c r="C327" s="1" t="s">
        <v>217</v>
      </c>
      <c r="D327" s="5">
        <v>535.5</v>
      </c>
    </row>
    <row r="328" spans="1:4" x14ac:dyDescent="0.25">
      <c r="A328" s="1">
        <v>185</v>
      </c>
      <c r="B328" s="2">
        <v>41823</v>
      </c>
      <c r="C328" s="1" t="s">
        <v>17</v>
      </c>
      <c r="D328" s="5">
        <v>1000</v>
      </c>
    </row>
    <row r="329" spans="1:4" x14ac:dyDescent="0.25">
      <c r="A329" s="1">
        <v>219</v>
      </c>
      <c r="B329" s="2">
        <v>41823</v>
      </c>
      <c r="C329" s="1" t="s">
        <v>98</v>
      </c>
      <c r="D329" s="5">
        <v>46.72</v>
      </c>
    </row>
    <row r="330" spans="1:4" x14ac:dyDescent="0.25">
      <c r="A330" s="1">
        <v>41</v>
      </c>
      <c r="B330" s="2">
        <v>41824</v>
      </c>
      <c r="C330" s="1" t="s">
        <v>10</v>
      </c>
      <c r="D330" s="5">
        <v>939.12</v>
      </c>
    </row>
    <row r="331" spans="1:4" x14ac:dyDescent="0.25">
      <c r="A331" s="1">
        <v>133</v>
      </c>
      <c r="B331" s="2">
        <v>41824</v>
      </c>
      <c r="C331" s="1" t="s">
        <v>87</v>
      </c>
      <c r="D331" s="5">
        <v>1633.5</v>
      </c>
    </row>
    <row r="332" spans="1:4" x14ac:dyDescent="0.25">
      <c r="A332" s="1">
        <v>154</v>
      </c>
      <c r="B332" s="2">
        <v>41824</v>
      </c>
      <c r="C332" s="1" t="s">
        <v>367</v>
      </c>
      <c r="D332" s="5">
        <v>280.5</v>
      </c>
    </row>
    <row r="333" spans="1:4" x14ac:dyDescent="0.25">
      <c r="A333" s="1">
        <v>167</v>
      </c>
      <c r="B333" s="2">
        <v>41824</v>
      </c>
      <c r="C333" s="1" t="s">
        <v>368</v>
      </c>
      <c r="D333" s="5">
        <v>612</v>
      </c>
    </row>
    <row r="334" spans="1:4" x14ac:dyDescent="0.25">
      <c r="A334" s="1">
        <v>168</v>
      </c>
      <c r="B334" s="2">
        <v>41824</v>
      </c>
      <c r="C334" s="1" t="s">
        <v>369</v>
      </c>
      <c r="D334" s="5">
        <v>739.5</v>
      </c>
    </row>
    <row r="335" spans="1:4" x14ac:dyDescent="0.25">
      <c r="A335" s="1">
        <v>202</v>
      </c>
      <c r="B335" s="2">
        <v>41824</v>
      </c>
      <c r="C335" s="1" t="s">
        <v>237</v>
      </c>
      <c r="D335" s="5">
        <v>790.5</v>
      </c>
    </row>
    <row r="336" spans="1:4" x14ac:dyDescent="0.25">
      <c r="A336" s="1">
        <v>218</v>
      </c>
      <c r="B336" s="2">
        <v>41824</v>
      </c>
      <c r="C336" s="1" t="s">
        <v>233</v>
      </c>
      <c r="D336" s="5">
        <v>200</v>
      </c>
    </row>
    <row r="337" spans="1:4" x14ac:dyDescent="0.25">
      <c r="A337" s="1">
        <v>223</v>
      </c>
      <c r="B337" s="2">
        <v>41824</v>
      </c>
      <c r="C337" s="1" t="s">
        <v>325</v>
      </c>
      <c r="D337" s="5">
        <v>650</v>
      </c>
    </row>
    <row r="338" spans="1:4" x14ac:dyDescent="0.25">
      <c r="A338" s="1">
        <v>175</v>
      </c>
      <c r="B338" s="2">
        <v>41828</v>
      </c>
      <c r="C338" s="1" t="s">
        <v>275</v>
      </c>
      <c r="D338" s="5">
        <v>1950</v>
      </c>
    </row>
    <row r="339" spans="1:4" x14ac:dyDescent="0.25">
      <c r="A339" s="1">
        <v>37</v>
      </c>
      <c r="B339" s="2">
        <v>41831</v>
      </c>
      <c r="C339" s="1" t="s">
        <v>77</v>
      </c>
      <c r="D339" s="5">
        <v>-12.65</v>
      </c>
    </row>
    <row r="340" spans="1:4" x14ac:dyDescent="0.25">
      <c r="A340" s="1">
        <v>41</v>
      </c>
      <c r="B340" s="2">
        <v>41831</v>
      </c>
      <c r="C340" s="1" t="s">
        <v>10</v>
      </c>
      <c r="D340" s="5">
        <v>604.92999999999995</v>
      </c>
    </row>
    <row r="341" spans="1:4" x14ac:dyDescent="0.25">
      <c r="A341" s="1">
        <v>67</v>
      </c>
      <c r="B341" s="2">
        <v>41831</v>
      </c>
      <c r="C341" s="1" t="s">
        <v>355</v>
      </c>
      <c r="D341" s="5">
        <v>0</v>
      </c>
    </row>
    <row r="342" spans="1:4" x14ac:dyDescent="0.25">
      <c r="A342" s="1">
        <v>83</v>
      </c>
      <c r="B342" s="2">
        <v>41831</v>
      </c>
      <c r="C342" s="1" t="s">
        <v>351</v>
      </c>
      <c r="D342" s="5">
        <v>438.5</v>
      </c>
    </row>
    <row r="343" spans="1:4" x14ac:dyDescent="0.25">
      <c r="A343" s="1">
        <v>85</v>
      </c>
      <c r="B343" s="2">
        <v>41831</v>
      </c>
      <c r="C343" s="1" t="s">
        <v>79</v>
      </c>
      <c r="D343" s="5">
        <v>400</v>
      </c>
    </row>
    <row r="344" spans="1:4" x14ac:dyDescent="0.25">
      <c r="A344" s="1">
        <v>88</v>
      </c>
      <c r="B344" s="2">
        <v>41831</v>
      </c>
      <c r="C344" s="1" t="s">
        <v>364</v>
      </c>
      <c r="D344" s="5">
        <v>521</v>
      </c>
    </row>
    <row r="345" spans="1:4" x14ac:dyDescent="0.25">
      <c r="A345" s="1">
        <v>102</v>
      </c>
      <c r="B345" s="2">
        <v>41831</v>
      </c>
      <c r="C345" s="1" t="s">
        <v>365</v>
      </c>
      <c r="D345" s="5">
        <v>459</v>
      </c>
    </row>
    <row r="346" spans="1:4" x14ac:dyDescent="0.25">
      <c r="A346" s="1">
        <v>104</v>
      </c>
      <c r="B346" s="2">
        <v>41831</v>
      </c>
      <c r="C346" s="1" t="s">
        <v>210</v>
      </c>
      <c r="D346" s="5">
        <v>614.5</v>
      </c>
    </row>
    <row r="347" spans="1:4" x14ac:dyDescent="0.25">
      <c r="A347" s="1">
        <v>108</v>
      </c>
      <c r="B347" s="2">
        <v>41831</v>
      </c>
      <c r="C347" s="1" t="s">
        <v>160</v>
      </c>
      <c r="D347" s="5">
        <v>500</v>
      </c>
    </row>
    <row r="348" spans="1:4" x14ac:dyDescent="0.25">
      <c r="A348" s="1">
        <v>110</v>
      </c>
      <c r="B348" s="2">
        <v>41831</v>
      </c>
      <c r="C348" s="1" t="s">
        <v>83</v>
      </c>
      <c r="D348" s="5">
        <v>575</v>
      </c>
    </row>
    <row r="349" spans="1:4" x14ac:dyDescent="0.25">
      <c r="A349" s="1">
        <v>117</v>
      </c>
      <c r="B349" s="2">
        <v>41831</v>
      </c>
      <c r="C349" s="1" t="s">
        <v>232</v>
      </c>
      <c r="D349" s="5">
        <v>1489.89</v>
      </c>
    </row>
    <row r="350" spans="1:4" x14ac:dyDescent="0.25">
      <c r="A350" s="1">
        <v>119</v>
      </c>
      <c r="B350" s="2">
        <v>41831</v>
      </c>
      <c r="C350" s="1" t="s">
        <v>349</v>
      </c>
      <c r="D350" s="5">
        <v>248.35</v>
      </c>
    </row>
    <row r="351" spans="1:4" x14ac:dyDescent="0.25">
      <c r="A351" s="1">
        <v>130</v>
      </c>
      <c r="B351" s="2">
        <v>41831</v>
      </c>
      <c r="C351" s="1" t="s">
        <v>366</v>
      </c>
      <c r="D351" s="5">
        <v>465</v>
      </c>
    </row>
    <row r="352" spans="1:4" x14ac:dyDescent="0.25">
      <c r="A352" s="1">
        <v>133</v>
      </c>
      <c r="B352" s="2">
        <v>41831</v>
      </c>
      <c r="C352" s="1" t="s">
        <v>87</v>
      </c>
      <c r="D352" s="5">
        <v>412.05</v>
      </c>
    </row>
    <row r="353" spans="1:4" x14ac:dyDescent="0.25">
      <c r="A353" s="1">
        <v>138</v>
      </c>
      <c r="B353" s="2">
        <v>41831</v>
      </c>
      <c r="C353" s="1" t="s">
        <v>16</v>
      </c>
      <c r="D353" s="5">
        <v>646</v>
      </c>
    </row>
    <row r="354" spans="1:4" x14ac:dyDescent="0.25">
      <c r="A354" s="1">
        <v>140</v>
      </c>
      <c r="B354" s="2">
        <v>41831</v>
      </c>
      <c r="C354" s="1" t="s">
        <v>88</v>
      </c>
      <c r="D354" s="5">
        <v>692.5</v>
      </c>
    </row>
    <row r="355" spans="1:4" x14ac:dyDescent="0.25">
      <c r="A355" s="1">
        <v>142</v>
      </c>
      <c r="B355" s="2">
        <v>41831</v>
      </c>
      <c r="C355" s="1" t="s">
        <v>324</v>
      </c>
      <c r="D355" s="5">
        <v>500</v>
      </c>
    </row>
    <row r="356" spans="1:4" x14ac:dyDescent="0.25">
      <c r="A356" s="1">
        <v>175</v>
      </c>
      <c r="B356" s="2">
        <v>41831</v>
      </c>
      <c r="C356" s="1" t="s">
        <v>275</v>
      </c>
      <c r="D356" s="5">
        <v>-319.76</v>
      </c>
    </row>
    <row r="357" spans="1:4" x14ac:dyDescent="0.25">
      <c r="A357" s="1">
        <v>184</v>
      </c>
      <c r="B357" s="2">
        <v>41831</v>
      </c>
      <c r="C357" s="1" t="s">
        <v>217</v>
      </c>
      <c r="D357" s="5">
        <v>1938</v>
      </c>
    </row>
    <row r="358" spans="1:4" x14ac:dyDescent="0.25">
      <c r="A358" s="1">
        <v>185</v>
      </c>
      <c r="B358" s="2">
        <v>41831</v>
      </c>
      <c r="C358" s="1" t="s">
        <v>17</v>
      </c>
      <c r="D358" s="5">
        <v>900</v>
      </c>
    </row>
    <row r="359" spans="1:4" x14ac:dyDescent="0.25">
      <c r="A359" s="1">
        <v>202</v>
      </c>
      <c r="B359" s="2">
        <v>41831</v>
      </c>
      <c r="C359" s="1" t="s">
        <v>237</v>
      </c>
      <c r="D359" s="5">
        <v>561</v>
      </c>
    </row>
    <row r="360" spans="1:4" x14ac:dyDescent="0.25">
      <c r="A360" s="1">
        <v>203</v>
      </c>
      <c r="B360" s="2">
        <v>41831</v>
      </c>
      <c r="C360" s="1" t="s">
        <v>95</v>
      </c>
      <c r="D360" s="5">
        <v>561</v>
      </c>
    </row>
    <row r="361" spans="1:4" x14ac:dyDescent="0.25">
      <c r="A361" s="1">
        <v>204</v>
      </c>
      <c r="B361" s="2">
        <v>41831</v>
      </c>
      <c r="C361" s="1" t="s">
        <v>242</v>
      </c>
      <c r="D361" s="5">
        <v>357</v>
      </c>
    </row>
    <row r="362" spans="1:4" x14ac:dyDescent="0.25">
      <c r="A362" s="1">
        <v>206</v>
      </c>
      <c r="B362" s="2">
        <v>41831</v>
      </c>
      <c r="C362" s="1" t="s">
        <v>334</v>
      </c>
      <c r="D362" s="5">
        <v>800</v>
      </c>
    </row>
    <row r="363" spans="1:4" x14ac:dyDescent="0.25">
      <c r="A363" s="1">
        <v>214</v>
      </c>
      <c r="B363" s="2">
        <v>41831</v>
      </c>
      <c r="C363" s="1" t="s">
        <v>323</v>
      </c>
      <c r="D363" s="5">
        <v>400</v>
      </c>
    </row>
    <row r="364" spans="1:4" x14ac:dyDescent="0.25">
      <c r="A364" s="1">
        <v>218</v>
      </c>
      <c r="B364" s="2">
        <v>41831</v>
      </c>
      <c r="C364" s="1" t="s">
        <v>233</v>
      </c>
      <c r="D364" s="5">
        <v>805.61</v>
      </c>
    </row>
    <row r="365" spans="1:4" x14ac:dyDescent="0.25">
      <c r="A365" s="1">
        <v>223</v>
      </c>
      <c r="B365" s="2">
        <v>41831</v>
      </c>
      <c r="C365" s="1" t="s">
        <v>325</v>
      </c>
      <c r="D365" s="5">
        <v>630.91</v>
      </c>
    </row>
    <row r="366" spans="1:4" x14ac:dyDescent="0.25">
      <c r="A366" s="1">
        <v>232</v>
      </c>
      <c r="B366" s="2">
        <v>41831</v>
      </c>
      <c r="C366" s="1" t="s">
        <v>100</v>
      </c>
      <c r="D366" s="5">
        <v>-162.24</v>
      </c>
    </row>
    <row r="367" spans="1:4" x14ac:dyDescent="0.25">
      <c r="A367" s="1">
        <v>236</v>
      </c>
      <c r="B367" s="2">
        <v>41831</v>
      </c>
      <c r="C367" s="1" t="s">
        <v>211</v>
      </c>
      <c r="D367" s="5">
        <v>718.55</v>
      </c>
    </row>
    <row r="368" spans="1:4" x14ac:dyDescent="0.25">
      <c r="A368" s="1">
        <v>242</v>
      </c>
      <c r="B368" s="2">
        <v>41831</v>
      </c>
      <c r="C368" s="1" t="s">
        <v>339</v>
      </c>
      <c r="D368" s="5">
        <v>625</v>
      </c>
    </row>
    <row r="369" spans="1:4" x14ac:dyDescent="0.25">
      <c r="A369" s="1">
        <v>245</v>
      </c>
      <c r="B369" s="2">
        <v>41831</v>
      </c>
      <c r="C369" s="1" t="s">
        <v>340</v>
      </c>
      <c r="D369" s="5">
        <v>2339.5700000000002</v>
      </c>
    </row>
    <row r="370" spans="1:4" x14ac:dyDescent="0.25">
      <c r="A370" s="1">
        <v>268</v>
      </c>
      <c r="B370" s="2">
        <v>41831</v>
      </c>
      <c r="C370" s="1" t="s">
        <v>162</v>
      </c>
      <c r="D370" s="5">
        <v>280.5</v>
      </c>
    </row>
    <row r="371" spans="1:4" x14ac:dyDescent="0.25">
      <c r="A371" s="1">
        <v>269</v>
      </c>
      <c r="B371" s="2">
        <v>41831</v>
      </c>
      <c r="C371" s="1" t="s">
        <v>254</v>
      </c>
      <c r="D371" s="5">
        <v>525</v>
      </c>
    </row>
    <row r="372" spans="1:4" x14ac:dyDescent="0.25">
      <c r="A372" s="1">
        <v>276</v>
      </c>
      <c r="B372" s="2">
        <v>41831</v>
      </c>
      <c r="C372" s="1" t="s">
        <v>342</v>
      </c>
      <c r="D372" s="5">
        <v>0</v>
      </c>
    </row>
    <row r="373" spans="1:4" x14ac:dyDescent="0.25">
      <c r="A373" s="1">
        <v>396</v>
      </c>
      <c r="B373" s="2">
        <v>41831</v>
      </c>
      <c r="C373" s="1" t="s">
        <v>357</v>
      </c>
      <c r="D373" s="5">
        <v>459</v>
      </c>
    </row>
    <row r="374" spans="1:4" x14ac:dyDescent="0.25">
      <c r="A374" s="1">
        <v>183</v>
      </c>
      <c r="B374" s="2">
        <v>41834</v>
      </c>
      <c r="C374" s="1" t="s">
        <v>264</v>
      </c>
      <c r="D374" s="5">
        <v>1100</v>
      </c>
    </row>
    <row r="375" spans="1:4" x14ac:dyDescent="0.25">
      <c r="A375" s="1">
        <v>236</v>
      </c>
      <c r="B375" s="2">
        <v>41834</v>
      </c>
      <c r="C375" s="1" t="s">
        <v>211</v>
      </c>
      <c r="D375" s="5">
        <v>681.45</v>
      </c>
    </row>
    <row r="376" spans="1:4" x14ac:dyDescent="0.25">
      <c r="A376" s="1">
        <v>250</v>
      </c>
      <c r="B376" s="2">
        <v>41835</v>
      </c>
      <c r="C376" s="1" t="s">
        <v>212</v>
      </c>
      <c r="D376" s="5">
        <v>100</v>
      </c>
    </row>
    <row r="377" spans="1:4" x14ac:dyDescent="0.25">
      <c r="A377" s="1">
        <v>27</v>
      </c>
      <c r="B377" s="2">
        <v>41838</v>
      </c>
      <c r="C377" s="1" t="s">
        <v>159</v>
      </c>
      <c r="D377" s="5">
        <v>1834.37</v>
      </c>
    </row>
    <row r="378" spans="1:4" x14ac:dyDescent="0.25">
      <c r="A378" s="1">
        <v>41</v>
      </c>
      <c r="B378" s="2">
        <v>41838</v>
      </c>
      <c r="C378" s="1" t="s">
        <v>10</v>
      </c>
      <c r="D378" s="5">
        <v>5872.53</v>
      </c>
    </row>
    <row r="379" spans="1:4" x14ac:dyDescent="0.25">
      <c r="A379" s="1">
        <v>83</v>
      </c>
      <c r="B379" s="2">
        <v>41838</v>
      </c>
      <c r="C379" s="1" t="s">
        <v>351</v>
      </c>
      <c r="D379" s="5">
        <v>2600</v>
      </c>
    </row>
    <row r="380" spans="1:4" x14ac:dyDescent="0.25">
      <c r="A380" s="1">
        <v>85</v>
      </c>
      <c r="B380" s="2">
        <v>41838</v>
      </c>
      <c r="C380" s="1" t="s">
        <v>79</v>
      </c>
      <c r="D380" s="5">
        <v>565</v>
      </c>
    </row>
    <row r="381" spans="1:4" x14ac:dyDescent="0.25">
      <c r="A381" s="1">
        <v>110</v>
      </c>
      <c r="B381" s="2">
        <v>41838</v>
      </c>
      <c r="C381" s="1" t="s">
        <v>83</v>
      </c>
      <c r="D381" s="5">
        <v>400</v>
      </c>
    </row>
    <row r="382" spans="1:4" x14ac:dyDescent="0.25">
      <c r="A382" s="1">
        <v>117</v>
      </c>
      <c r="B382" s="2">
        <v>41838</v>
      </c>
      <c r="C382" s="1" t="s">
        <v>232</v>
      </c>
      <c r="D382" s="5">
        <v>133.33000000000001</v>
      </c>
    </row>
    <row r="383" spans="1:4" x14ac:dyDescent="0.25">
      <c r="A383" s="1">
        <v>133</v>
      </c>
      <c r="B383" s="2">
        <v>41838</v>
      </c>
      <c r="C383" s="1" t="s">
        <v>87</v>
      </c>
      <c r="D383" s="5">
        <v>434.4</v>
      </c>
    </row>
    <row r="384" spans="1:4" x14ac:dyDescent="0.25">
      <c r="A384" s="1">
        <v>138</v>
      </c>
      <c r="B384" s="2">
        <v>41838</v>
      </c>
      <c r="C384" s="1" t="s">
        <v>16</v>
      </c>
      <c r="D384" s="5">
        <v>2040</v>
      </c>
    </row>
    <row r="385" spans="1:4" x14ac:dyDescent="0.25">
      <c r="A385" s="1">
        <v>142</v>
      </c>
      <c r="B385" s="2">
        <v>41838</v>
      </c>
      <c r="C385" s="1" t="s">
        <v>324</v>
      </c>
      <c r="D385" s="5">
        <v>486.5</v>
      </c>
    </row>
    <row r="386" spans="1:4" x14ac:dyDescent="0.25">
      <c r="A386" s="1">
        <v>146</v>
      </c>
      <c r="B386" s="2">
        <v>41838</v>
      </c>
      <c r="C386" s="1" t="s">
        <v>362</v>
      </c>
      <c r="D386" s="5">
        <v>500</v>
      </c>
    </row>
    <row r="387" spans="1:4" x14ac:dyDescent="0.25">
      <c r="A387" s="1">
        <v>148</v>
      </c>
      <c r="B387" s="2">
        <v>41838</v>
      </c>
      <c r="C387" s="1" t="s">
        <v>89</v>
      </c>
      <c r="D387" s="5">
        <v>459</v>
      </c>
    </row>
    <row r="388" spans="1:4" x14ac:dyDescent="0.25">
      <c r="A388" s="1">
        <v>185</v>
      </c>
      <c r="B388" s="2">
        <v>41838</v>
      </c>
      <c r="C388" s="1" t="s">
        <v>17</v>
      </c>
      <c r="D388" s="5">
        <v>1146.6300000000001</v>
      </c>
    </row>
    <row r="389" spans="1:4" x14ac:dyDescent="0.25">
      <c r="A389" s="1">
        <v>189</v>
      </c>
      <c r="B389" s="2">
        <v>41838</v>
      </c>
      <c r="C389" s="1" t="s">
        <v>350</v>
      </c>
      <c r="D389" s="5">
        <v>586.5</v>
      </c>
    </row>
    <row r="390" spans="1:4" x14ac:dyDescent="0.25">
      <c r="A390" s="1">
        <v>202</v>
      </c>
      <c r="B390" s="2">
        <v>41838</v>
      </c>
      <c r="C390" s="1" t="s">
        <v>237</v>
      </c>
      <c r="D390" s="5">
        <v>3064</v>
      </c>
    </row>
    <row r="391" spans="1:4" x14ac:dyDescent="0.25">
      <c r="A391" s="1">
        <v>203</v>
      </c>
      <c r="B391" s="2">
        <v>41838</v>
      </c>
      <c r="C391" s="1" t="s">
        <v>95</v>
      </c>
      <c r="D391" s="5">
        <v>2525</v>
      </c>
    </row>
    <row r="392" spans="1:4" x14ac:dyDescent="0.25">
      <c r="A392" s="1">
        <v>206</v>
      </c>
      <c r="B392" s="2">
        <v>41838</v>
      </c>
      <c r="C392" s="1" t="s">
        <v>334</v>
      </c>
      <c r="D392" s="5">
        <v>2100</v>
      </c>
    </row>
    <row r="393" spans="1:4" x14ac:dyDescent="0.25">
      <c r="A393" s="1">
        <v>214</v>
      </c>
      <c r="B393" s="2">
        <v>41838</v>
      </c>
      <c r="C393" s="1" t="s">
        <v>323</v>
      </c>
      <c r="D393" s="5">
        <v>1100</v>
      </c>
    </row>
    <row r="394" spans="1:4" x14ac:dyDescent="0.25">
      <c r="A394" s="1">
        <v>218</v>
      </c>
      <c r="B394" s="2">
        <v>41838</v>
      </c>
      <c r="C394" s="1" t="s">
        <v>233</v>
      </c>
      <c r="D394" s="5">
        <v>202.5</v>
      </c>
    </row>
    <row r="395" spans="1:4" x14ac:dyDescent="0.25">
      <c r="A395" s="1">
        <v>223</v>
      </c>
      <c r="B395" s="2">
        <v>41838</v>
      </c>
      <c r="C395" s="1" t="s">
        <v>325</v>
      </c>
      <c r="D395" s="5">
        <v>500</v>
      </c>
    </row>
    <row r="396" spans="1:4" x14ac:dyDescent="0.25">
      <c r="A396" s="1">
        <v>224</v>
      </c>
      <c r="B396" s="2">
        <v>41838</v>
      </c>
      <c r="C396" s="1" t="s">
        <v>335</v>
      </c>
      <c r="D396" s="5">
        <v>518.24</v>
      </c>
    </row>
    <row r="397" spans="1:4" x14ac:dyDescent="0.25">
      <c r="A397" s="1">
        <v>228</v>
      </c>
      <c r="B397" s="2">
        <v>41838</v>
      </c>
      <c r="C397" s="1" t="s">
        <v>99</v>
      </c>
      <c r="D397" s="5">
        <v>650</v>
      </c>
    </row>
    <row r="398" spans="1:4" x14ac:dyDescent="0.25">
      <c r="A398" s="1">
        <v>231</v>
      </c>
      <c r="B398" s="2">
        <v>41838</v>
      </c>
      <c r="C398" s="1" t="s">
        <v>310</v>
      </c>
      <c r="D398" s="5">
        <v>530.61</v>
      </c>
    </row>
    <row r="399" spans="1:4" x14ac:dyDescent="0.25">
      <c r="A399" s="1">
        <v>232</v>
      </c>
      <c r="B399" s="2">
        <v>41838</v>
      </c>
      <c r="C399" s="1" t="s">
        <v>100</v>
      </c>
      <c r="D399" s="5">
        <v>300</v>
      </c>
    </row>
    <row r="400" spans="1:4" x14ac:dyDescent="0.25">
      <c r="A400" s="1">
        <v>247</v>
      </c>
      <c r="B400" s="2">
        <v>41838</v>
      </c>
      <c r="C400" s="1" t="s">
        <v>341</v>
      </c>
      <c r="D400" s="5">
        <v>500</v>
      </c>
    </row>
    <row r="401" spans="1:4" x14ac:dyDescent="0.25">
      <c r="A401" s="1">
        <v>250</v>
      </c>
      <c r="B401" s="2">
        <v>41838</v>
      </c>
      <c r="C401" s="1" t="s">
        <v>212</v>
      </c>
      <c r="D401" s="5">
        <v>100</v>
      </c>
    </row>
    <row r="402" spans="1:4" x14ac:dyDescent="0.25">
      <c r="A402" s="1">
        <v>255</v>
      </c>
      <c r="B402" s="2">
        <v>41838</v>
      </c>
      <c r="C402" s="1" t="s">
        <v>21</v>
      </c>
      <c r="D402" s="5">
        <v>612</v>
      </c>
    </row>
    <row r="403" spans="1:4" x14ac:dyDescent="0.25">
      <c r="A403" s="1">
        <v>260</v>
      </c>
      <c r="B403" s="2">
        <v>41838</v>
      </c>
      <c r="C403" s="1" t="s">
        <v>327</v>
      </c>
      <c r="D403" s="5">
        <v>510</v>
      </c>
    </row>
    <row r="404" spans="1:4" x14ac:dyDescent="0.25">
      <c r="A404" s="1">
        <v>263</v>
      </c>
      <c r="B404" s="2">
        <v>41838</v>
      </c>
      <c r="C404" s="1" t="s">
        <v>363</v>
      </c>
      <c r="D404" s="5">
        <v>306</v>
      </c>
    </row>
    <row r="405" spans="1:4" x14ac:dyDescent="0.25">
      <c r="A405" s="1">
        <v>379</v>
      </c>
      <c r="B405" s="2">
        <v>41838</v>
      </c>
      <c r="C405" s="1" t="s">
        <v>30</v>
      </c>
      <c r="D405" s="5">
        <v>500</v>
      </c>
    </row>
    <row r="406" spans="1:4" x14ac:dyDescent="0.25">
      <c r="A406" s="1">
        <v>28</v>
      </c>
      <c r="B406" s="2">
        <v>41841</v>
      </c>
      <c r="C406" s="1" t="s">
        <v>6</v>
      </c>
      <c r="D406" s="5">
        <v>1116.5</v>
      </c>
    </row>
    <row r="407" spans="1:4" x14ac:dyDescent="0.25">
      <c r="A407" s="1">
        <v>179</v>
      </c>
      <c r="B407" s="2">
        <v>41841</v>
      </c>
      <c r="C407" s="1" t="s">
        <v>197</v>
      </c>
      <c r="D407" s="5">
        <v>1796.5</v>
      </c>
    </row>
    <row r="408" spans="1:4" x14ac:dyDescent="0.25">
      <c r="A408" s="1">
        <v>244</v>
      </c>
      <c r="B408" s="2">
        <v>41841</v>
      </c>
      <c r="C408" s="1" t="s">
        <v>311</v>
      </c>
      <c r="D408" s="5">
        <v>500</v>
      </c>
    </row>
    <row r="409" spans="1:4" x14ac:dyDescent="0.25">
      <c r="A409" s="1">
        <v>324</v>
      </c>
      <c r="B409" s="2">
        <v>41841</v>
      </c>
      <c r="C409" s="1" t="s">
        <v>106</v>
      </c>
      <c r="D409" s="5">
        <v>726</v>
      </c>
    </row>
    <row r="410" spans="1:4" x14ac:dyDescent="0.25">
      <c r="A410" s="1">
        <v>373</v>
      </c>
      <c r="B410" s="2">
        <v>41843</v>
      </c>
      <c r="C410" s="1" t="s">
        <v>234</v>
      </c>
      <c r="D410" s="5">
        <v>1000</v>
      </c>
    </row>
    <row r="411" spans="1:4" x14ac:dyDescent="0.25">
      <c r="A411" s="1">
        <v>28</v>
      </c>
      <c r="B411" s="2">
        <v>41845</v>
      </c>
      <c r="C411" s="1" t="s">
        <v>6</v>
      </c>
      <c r="D411" s="5">
        <v>1175</v>
      </c>
    </row>
    <row r="412" spans="1:4" x14ac:dyDescent="0.25">
      <c r="A412" s="1">
        <v>41</v>
      </c>
      <c r="B412" s="2">
        <v>41845</v>
      </c>
      <c r="C412" s="1" t="s">
        <v>10</v>
      </c>
      <c r="D412" s="5">
        <v>2326.25</v>
      </c>
    </row>
    <row r="413" spans="1:4" x14ac:dyDescent="0.25">
      <c r="A413" s="1">
        <v>94</v>
      </c>
      <c r="B413" s="2">
        <v>41845</v>
      </c>
      <c r="C413" s="1" t="s">
        <v>182</v>
      </c>
      <c r="D413" s="5">
        <v>500</v>
      </c>
    </row>
    <row r="414" spans="1:4" x14ac:dyDescent="0.25">
      <c r="A414" s="1">
        <v>99</v>
      </c>
      <c r="B414" s="2">
        <v>41845</v>
      </c>
      <c r="C414" s="1" t="s">
        <v>240</v>
      </c>
      <c r="D414" s="5">
        <v>-675</v>
      </c>
    </row>
    <row r="415" spans="1:4" x14ac:dyDescent="0.25">
      <c r="A415" s="1">
        <v>108</v>
      </c>
      <c r="B415" s="2">
        <v>41845</v>
      </c>
      <c r="C415" s="1" t="s">
        <v>160</v>
      </c>
      <c r="D415" s="5">
        <v>759.72</v>
      </c>
    </row>
    <row r="416" spans="1:4" x14ac:dyDescent="0.25">
      <c r="A416" s="1">
        <v>116</v>
      </c>
      <c r="B416" s="2">
        <v>41845</v>
      </c>
      <c r="C416" s="1" t="s">
        <v>358</v>
      </c>
      <c r="D416" s="5">
        <v>900</v>
      </c>
    </row>
    <row r="417" spans="1:4" x14ac:dyDescent="0.25">
      <c r="A417" s="1">
        <v>133</v>
      </c>
      <c r="B417" s="2">
        <v>41845</v>
      </c>
      <c r="C417" s="1" t="s">
        <v>87</v>
      </c>
      <c r="D417" s="5">
        <v>1068.96</v>
      </c>
    </row>
    <row r="418" spans="1:4" x14ac:dyDescent="0.25">
      <c r="A418" s="1">
        <v>134</v>
      </c>
      <c r="B418" s="2">
        <v>41845</v>
      </c>
      <c r="C418" s="1" t="s">
        <v>291</v>
      </c>
      <c r="D418" s="5">
        <v>550</v>
      </c>
    </row>
    <row r="419" spans="1:4" x14ac:dyDescent="0.25">
      <c r="A419" s="1">
        <v>138</v>
      </c>
      <c r="B419" s="2">
        <v>41845</v>
      </c>
      <c r="C419" s="1" t="s">
        <v>16</v>
      </c>
      <c r="D419" s="5">
        <v>1050</v>
      </c>
    </row>
    <row r="420" spans="1:4" x14ac:dyDescent="0.25">
      <c r="A420" s="1">
        <v>143</v>
      </c>
      <c r="B420" s="2">
        <v>41845</v>
      </c>
      <c r="C420" s="1" t="s">
        <v>359</v>
      </c>
      <c r="D420" s="5">
        <v>1063</v>
      </c>
    </row>
    <row r="421" spans="1:4" x14ac:dyDescent="0.25">
      <c r="A421" s="1">
        <v>152</v>
      </c>
      <c r="B421" s="2">
        <v>41845</v>
      </c>
      <c r="C421" s="1" t="s">
        <v>90</v>
      </c>
      <c r="D421" s="5">
        <v>1424</v>
      </c>
    </row>
    <row r="422" spans="1:4" x14ac:dyDescent="0.25">
      <c r="A422" s="1">
        <v>156</v>
      </c>
      <c r="B422" s="2">
        <v>41845</v>
      </c>
      <c r="C422" s="1" t="s">
        <v>360</v>
      </c>
      <c r="D422" s="5">
        <v>-675</v>
      </c>
    </row>
    <row r="423" spans="1:4" x14ac:dyDescent="0.25">
      <c r="A423" s="1">
        <v>157</v>
      </c>
      <c r="B423" s="2">
        <v>41845</v>
      </c>
      <c r="C423" s="1" t="s">
        <v>92</v>
      </c>
      <c r="D423" s="5">
        <v>500</v>
      </c>
    </row>
    <row r="424" spans="1:4" x14ac:dyDescent="0.25">
      <c r="A424" s="1">
        <v>164</v>
      </c>
      <c r="B424" s="2">
        <v>41845</v>
      </c>
      <c r="C424" s="1" t="s">
        <v>361</v>
      </c>
      <c r="D424" s="5">
        <v>459</v>
      </c>
    </row>
    <row r="425" spans="1:4" x14ac:dyDescent="0.25">
      <c r="A425" s="1">
        <v>175</v>
      </c>
      <c r="B425" s="2">
        <v>41845</v>
      </c>
      <c r="C425" s="1" t="s">
        <v>275</v>
      </c>
      <c r="D425" s="5">
        <v>-899.64</v>
      </c>
    </row>
    <row r="426" spans="1:4" x14ac:dyDescent="0.25">
      <c r="A426" s="1">
        <v>183</v>
      </c>
      <c r="B426" s="2">
        <v>41845</v>
      </c>
      <c r="C426" s="1" t="s">
        <v>264</v>
      </c>
      <c r="D426" s="5">
        <v>1224.0999999999999</v>
      </c>
    </row>
    <row r="427" spans="1:4" x14ac:dyDescent="0.25">
      <c r="A427" s="1">
        <v>185</v>
      </c>
      <c r="B427" s="2">
        <v>41845</v>
      </c>
      <c r="C427" s="1" t="s">
        <v>17</v>
      </c>
      <c r="D427" s="5">
        <v>1000</v>
      </c>
    </row>
    <row r="428" spans="1:4" x14ac:dyDescent="0.25">
      <c r="A428" s="1">
        <v>191</v>
      </c>
      <c r="B428" s="2">
        <v>41845</v>
      </c>
      <c r="C428" s="1" t="s">
        <v>277</v>
      </c>
      <c r="D428" s="5">
        <v>1000</v>
      </c>
    </row>
    <row r="429" spans="1:4" x14ac:dyDescent="0.25">
      <c r="A429" s="1">
        <v>202</v>
      </c>
      <c r="B429" s="2">
        <v>41845</v>
      </c>
      <c r="C429" s="1" t="s">
        <v>237</v>
      </c>
      <c r="D429" s="5">
        <v>428.5</v>
      </c>
    </row>
    <row r="430" spans="1:4" x14ac:dyDescent="0.25">
      <c r="A430" s="1">
        <v>213</v>
      </c>
      <c r="B430" s="2">
        <v>41845</v>
      </c>
      <c r="C430" s="1" t="s">
        <v>338</v>
      </c>
      <c r="D430" s="5">
        <v>400</v>
      </c>
    </row>
    <row r="431" spans="1:4" x14ac:dyDescent="0.25">
      <c r="A431" s="1">
        <v>217</v>
      </c>
      <c r="B431" s="2">
        <v>41845</v>
      </c>
      <c r="C431" s="1" t="s">
        <v>97</v>
      </c>
      <c r="D431" s="5">
        <v>550</v>
      </c>
    </row>
    <row r="432" spans="1:4" x14ac:dyDescent="0.25">
      <c r="A432" s="1">
        <v>218</v>
      </c>
      <c r="B432" s="2">
        <v>41845</v>
      </c>
      <c r="C432" s="1" t="s">
        <v>233</v>
      </c>
      <c r="D432" s="5">
        <v>1150.52</v>
      </c>
    </row>
    <row r="433" spans="1:4" x14ac:dyDescent="0.25">
      <c r="A433" s="1">
        <v>225</v>
      </c>
      <c r="B433" s="2">
        <v>41845</v>
      </c>
      <c r="C433" s="1" t="s">
        <v>326</v>
      </c>
      <c r="D433" s="5">
        <v>300</v>
      </c>
    </row>
    <row r="434" spans="1:4" x14ac:dyDescent="0.25">
      <c r="A434" s="1">
        <v>230</v>
      </c>
      <c r="B434" s="2">
        <v>41845</v>
      </c>
      <c r="C434" s="1" t="s">
        <v>316</v>
      </c>
      <c r="D434" s="5">
        <v>356.13</v>
      </c>
    </row>
    <row r="435" spans="1:4" x14ac:dyDescent="0.25">
      <c r="A435" s="1">
        <v>234</v>
      </c>
      <c r="B435" s="2">
        <v>41845</v>
      </c>
      <c r="C435" s="1" t="s">
        <v>259</v>
      </c>
      <c r="D435" s="5">
        <v>525</v>
      </c>
    </row>
    <row r="436" spans="1:4" x14ac:dyDescent="0.25">
      <c r="A436" s="1">
        <v>236</v>
      </c>
      <c r="B436" s="2">
        <v>41845</v>
      </c>
      <c r="C436" s="1" t="s">
        <v>211</v>
      </c>
      <c r="D436" s="5">
        <v>500</v>
      </c>
    </row>
    <row r="437" spans="1:4" x14ac:dyDescent="0.25">
      <c r="A437" s="1">
        <v>244</v>
      </c>
      <c r="B437" s="2">
        <v>41845</v>
      </c>
      <c r="C437" s="1" t="s">
        <v>311</v>
      </c>
      <c r="D437" s="5">
        <v>192.07</v>
      </c>
    </row>
    <row r="438" spans="1:4" x14ac:dyDescent="0.25">
      <c r="A438" s="1">
        <v>247</v>
      </c>
      <c r="B438" s="2">
        <v>41845</v>
      </c>
      <c r="C438" s="1" t="s">
        <v>341</v>
      </c>
      <c r="D438" s="5">
        <v>1100</v>
      </c>
    </row>
    <row r="439" spans="1:4" x14ac:dyDescent="0.25">
      <c r="A439" s="1">
        <v>248</v>
      </c>
      <c r="B439" s="2">
        <v>41845</v>
      </c>
      <c r="C439" s="1" t="s">
        <v>19</v>
      </c>
      <c r="D439" s="5">
        <v>1687</v>
      </c>
    </row>
    <row r="440" spans="1:4" x14ac:dyDescent="0.25">
      <c r="A440" s="1">
        <v>249</v>
      </c>
      <c r="B440" s="2">
        <v>41845</v>
      </c>
      <c r="C440" s="1" t="s">
        <v>260</v>
      </c>
      <c r="D440" s="5">
        <v>816</v>
      </c>
    </row>
    <row r="441" spans="1:4" x14ac:dyDescent="0.25">
      <c r="A441" s="1">
        <v>255</v>
      </c>
      <c r="B441" s="2">
        <v>41845</v>
      </c>
      <c r="C441" s="1" t="s">
        <v>21</v>
      </c>
      <c r="D441" s="5">
        <v>1075</v>
      </c>
    </row>
    <row r="442" spans="1:4" x14ac:dyDescent="0.25">
      <c r="A442" s="1">
        <v>261</v>
      </c>
      <c r="B442" s="2">
        <v>41845</v>
      </c>
      <c r="C442" s="1" t="s">
        <v>22</v>
      </c>
      <c r="D442" s="5">
        <v>1889</v>
      </c>
    </row>
    <row r="443" spans="1:4" x14ac:dyDescent="0.25">
      <c r="A443" s="1">
        <v>282</v>
      </c>
      <c r="B443" s="2">
        <v>41845</v>
      </c>
      <c r="C443" s="1" t="s">
        <v>23</v>
      </c>
      <c r="D443" s="5">
        <v>1122</v>
      </c>
    </row>
    <row r="444" spans="1:4" x14ac:dyDescent="0.25">
      <c r="A444" s="1">
        <v>324</v>
      </c>
      <c r="B444" s="2">
        <v>41845</v>
      </c>
      <c r="C444" s="1" t="s">
        <v>106</v>
      </c>
      <c r="D444" s="5">
        <v>971</v>
      </c>
    </row>
    <row r="445" spans="1:4" x14ac:dyDescent="0.25">
      <c r="A445" s="1">
        <v>396</v>
      </c>
      <c r="B445" s="2">
        <v>41845</v>
      </c>
      <c r="C445" s="1" t="s">
        <v>357</v>
      </c>
      <c r="D445" s="5">
        <v>727.93</v>
      </c>
    </row>
    <row r="446" spans="1:4" x14ac:dyDescent="0.25">
      <c r="A446" s="1">
        <v>63</v>
      </c>
      <c r="B446" s="2">
        <v>41849</v>
      </c>
      <c r="C446" s="1" t="s">
        <v>181</v>
      </c>
      <c r="D446" s="5">
        <v>4165</v>
      </c>
    </row>
    <row r="447" spans="1:4" x14ac:dyDescent="0.25">
      <c r="A447" s="1">
        <v>175</v>
      </c>
      <c r="B447" s="2">
        <v>41849</v>
      </c>
      <c r="C447" s="1" t="s">
        <v>275</v>
      </c>
      <c r="D447" s="5">
        <v>2365</v>
      </c>
    </row>
    <row r="448" spans="1:4" x14ac:dyDescent="0.25">
      <c r="A448" s="1">
        <v>27</v>
      </c>
      <c r="B448" s="2">
        <v>41851</v>
      </c>
      <c r="C448" s="1" t="s">
        <v>159</v>
      </c>
      <c r="D448" s="5">
        <v>-1621.55</v>
      </c>
    </row>
    <row r="449" spans="1:4" x14ac:dyDescent="0.25">
      <c r="A449" s="1">
        <v>28</v>
      </c>
      <c r="B449" s="2">
        <v>41851</v>
      </c>
      <c r="C449" s="1" t="s">
        <v>6</v>
      </c>
      <c r="D449" s="5">
        <v>675</v>
      </c>
    </row>
    <row r="450" spans="1:4" x14ac:dyDescent="0.25">
      <c r="A450" s="1">
        <v>37</v>
      </c>
      <c r="B450" s="2">
        <v>41851</v>
      </c>
      <c r="C450" s="1" t="s">
        <v>77</v>
      </c>
      <c r="D450" s="5">
        <v>0</v>
      </c>
    </row>
    <row r="451" spans="1:4" x14ac:dyDescent="0.25">
      <c r="A451" s="1">
        <v>41</v>
      </c>
      <c r="B451" s="2">
        <v>41851</v>
      </c>
      <c r="C451" s="1" t="s">
        <v>10</v>
      </c>
      <c r="D451" s="5">
        <v>1037.55</v>
      </c>
    </row>
    <row r="452" spans="1:4" x14ac:dyDescent="0.25">
      <c r="A452" s="1">
        <v>59</v>
      </c>
      <c r="B452" s="2">
        <v>41851</v>
      </c>
      <c r="C452" s="1" t="s">
        <v>354</v>
      </c>
      <c r="D452" s="5">
        <v>1500</v>
      </c>
    </row>
    <row r="453" spans="1:4" x14ac:dyDescent="0.25">
      <c r="A453" s="1">
        <v>67</v>
      </c>
      <c r="B453" s="2">
        <v>41851</v>
      </c>
      <c r="C453" s="1" t="s">
        <v>355</v>
      </c>
      <c r="D453" s="5">
        <v>0</v>
      </c>
    </row>
    <row r="454" spans="1:4" x14ac:dyDescent="0.25">
      <c r="A454" s="1">
        <v>133</v>
      </c>
      <c r="B454" s="2">
        <v>41851</v>
      </c>
      <c r="C454" s="1" t="s">
        <v>87</v>
      </c>
      <c r="D454" s="5">
        <v>2249.1</v>
      </c>
    </row>
    <row r="455" spans="1:4" x14ac:dyDescent="0.25">
      <c r="A455" s="1">
        <v>134</v>
      </c>
      <c r="B455" s="2">
        <v>41851</v>
      </c>
      <c r="C455" s="1" t="s">
        <v>291</v>
      </c>
      <c r="D455" s="5">
        <v>961.15</v>
      </c>
    </row>
    <row r="456" spans="1:4" x14ac:dyDescent="0.25">
      <c r="A456" s="1">
        <v>138</v>
      </c>
      <c r="B456" s="2">
        <v>41851</v>
      </c>
      <c r="C456" s="1" t="s">
        <v>16</v>
      </c>
      <c r="D456" s="5">
        <v>893</v>
      </c>
    </row>
    <row r="457" spans="1:4" x14ac:dyDescent="0.25">
      <c r="A457" s="1">
        <v>140</v>
      </c>
      <c r="B457" s="2">
        <v>41851</v>
      </c>
      <c r="C457" s="1" t="s">
        <v>88</v>
      </c>
      <c r="D457" s="5">
        <v>50</v>
      </c>
    </row>
    <row r="458" spans="1:4" x14ac:dyDescent="0.25">
      <c r="A458" s="1">
        <v>141</v>
      </c>
      <c r="B458" s="2">
        <v>41851</v>
      </c>
      <c r="C458" s="1" t="s">
        <v>196</v>
      </c>
      <c r="D458" s="5">
        <v>676</v>
      </c>
    </row>
    <row r="459" spans="1:4" x14ac:dyDescent="0.25">
      <c r="A459" s="1">
        <v>155</v>
      </c>
      <c r="B459" s="2">
        <v>41851</v>
      </c>
      <c r="C459" s="1" t="s">
        <v>91</v>
      </c>
      <c r="D459" s="5">
        <v>1150</v>
      </c>
    </row>
    <row r="460" spans="1:4" x14ac:dyDescent="0.25">
      <c r="A460" s="1">
        <v>157</v>
      </c>
      <c r="B460" s="2">
        <v>41851</v>
      </c>
      <c r="C460" s="1" t="s">
        <v>92</v>
      </c>
      <c r="D460" s="5">
        <v>300</v>
      </c>
    </row>
    <row r="461" spans="1:4" x14ac:dyDescent="0.25">
      <c r="A461" s="1">
        <v>179</v>
      </c>
      <c r="B461" s="2">
        <v>41851</v>
      </c>
      <c r="C461" s="1" t="s">
        <v>197</v>
      </c>
      <c r="D461" s="5">
        <v>550</v>
      </c>
    </row>
    <row r="462" spans="1:4" x14ac:dyDescent="0.25">
      <c r="A462" s="1">
        <v>184</v>
      </c>
      <c r="B462" s="2">
        <v>41851</v>
      </c>
      <c r="C462" s="1" t="s">
        <v>217</v>
      </c>
      <c r="D462" s="5">
        <v>750</v>
      </c>
    </row>
    <row r="463" spans="1:4" x14ac:dyDescent="0.25">
      <c r="A463" s="1">
        <v>192</v>
      </c>
      <c r="B463" s="2">
        <v>41851</v>
      </c>
      <c r="C463" s="1" t="s">
        <v>94</v>
      </c>
      <c r="D463" s="5">
        <v>739.5</v>
      </c>
    </row>
    <row r="464" spans="1:4" x14ac:dyDescent="0.25">
      <c r="A464" s="1">
        <v>203</v>
      </c>
      <c r="B464" s="2">
        <v>41851</v>
      </c>
      <c r="C464" s="1" t="s">
        <v>95</v>
      </c>
      <c r="D464" s="5">
        <v>3224.66</v>
      </c>
    </row>
    <row r="465" spans="1:4" x14ac:dyDescent="0.25">
      <c r="A465" s="1">
        <v>213</v>
      </c>
      <c r="B465" s="2">
        <v>41851</v>
      </c>
      <c r="C465" s="1" t="s">
        <v>338</v>
      </c>
      <c r="D465" s="5">
        <v>532.26</v>
      </c>
    </row>
    <row r="466" spans="1:4" x14ac:dyDescent="0.25">
      <c r="A466" s="1">
        <v>214</v>
      </c>
      <c r="B466" s="2">
        <v>41851</v>
      </c>
      <c r="C466" s="1" t="s">
        <v>323</v>
      </c>
      <c r="D466" s="5">
        <v>500</v>
      </c>
    </row>
    <row r="467" spans="1:4" x14ac:dyDescent="0.25">
      <c r="A467" s="1">
        <v>218</v>
      </c>
      <c r="B467" s="2">
        <v>41851</v>
      </c>
      <c r="C467" s="1" t="s">
        <v>233</v>
      </c>
      <c r="D467" s="5">
        <v>1162.76</v>
      </c>
    </row>
    <row r="468" spans="1:4" x14ac:dyDescent="0.25">
      <c r="A468" s="1">
        <v>219</v>
      </c>
      <c r="B468" s="2">
        <v>41851</v>
      </c>
      <c r="C468" s="1" t="s">
        <v>98</v>
      </c>
      <c r="D468" s="5">
        <v>561</v>
      </c>
    </row>
    <row r="469" spans="1:4" x14ac:dyDescent="0.25">
      <c r="A469" s="1">
        <v>223</v>
      </c>
      <c r="B469" s="2">
        <v>41851</v>
      </c>
      <c r="C469" s="1" t="s">
        <v>325</v>
      </c>
      <c r="D469" s="5">
        <v>298.18</v>
      </c>
    </row>
    <row r="470" spans="1:4" x14ac:dyDescent="0.25">
      <c r="A470" s="1">
        <v>230</v>
      </c>
      <c r="B470" s="2">
        <v>41851</v>
      </c>
      <c r="C470" s="1" t="s">
        <v>316</v>
      </c>
      <c r="D470" s="5">
        <v>3662.76</v>
      </c>
    </row>
    <row r="471" spans="1:4" x14ac:dyDescent="0.25">
      <c r="A471" s="1">
        <v>231</v>
      </c>
      <c r="B471" s="2">
        <v>41851</v>
      </c>
      <c r="C471" s="1" t="s">
        <v>310</v>
      </c>
      <c r="D471" s="5">
        <v>2713.28</v>
      </c>
    </row>
    <row r="472" spans="1:4" x14ac:dyDescent="0.25">
      <c r="A472" s="1">
        <v>232</v>
      </c>
      <c r="B472" s="2">
        <v>41851</v>
      </c>
      <c r="C472" s="1" t="s">
        <v>100</v>
      </c>
      <c r="D472" s="5">
        <v>25</v>
      </c>
    </row>
    <row r="473" spans="1:4" x14ac:dyDescent="0.25">
      <c r="A473" s="1">
        <v>233</v>
      </c>
      <c r="B473" s="2">
        <v>41851</v>
      </c>
      <c r="C473" s="1" t="s">
        <v>294</v>
      </c>
      <c r="D473" s="5">
        <v>1143.8800000000001</v>
      </c>
    </row>
    <row r="474" spans="1:4" x14ac:dyDescent="0.25">
      <c r="A474" s="1">
        <v>234</v>
      </c>
      <c r="B474" s="2">
        <v>41851</v>
      </c>
      <c r="C474" s="1" t="s">
        <v>259</v>
      </c>
      <c r="D474" s="5">
        <v>400</v>
      </c>
    </row>
    <row r="475" spans="1:4" x14ac:dyDescent="0.25">
      <c r="A475" s="1">
        <v>237</v>
      </c>
      <c r="B475" s="2">
        <v>41851</v>
      </c>
      <c r="C475" s="1" t="s">
        <v>336</v>
      </c>
      <c r="D475" s="5">
        <v>500</v>
      </c>
    </row>
    <row r="476" spans="1:4" x14ac:dyDescent="0.25">
      <c r="A476" s="1">
        <v>239</v>
      </c>
      <c r="B476" s="2">
        <v>41851</v>
      </c>
      <c r="C476" s="1" t="s">
        <v>356</v>
      </c>
      <c r="D476" s="5">
        <v>688.5</v>
      </c>
    </row>
    <row r="477" spans="1:4" x14ac:dyDescent="0.25">
      <c r="A477" s="1">
        <v>250</v>
      </c>
      <c r="B477" s="2">
        <v>41851</v>
      </c>
      <c r="C477" s="1" t="s">
        <v>212</v>
      </c>
      <c r="D477" s="5">
        <v>1045.5</v>
      </c>
    </row>
    <row r="478" spans="1:4" x14ac:dyDescent="0.25">
      <c r="A478" s="1">
        <v>255</v>
      </c>
      <c r="B478" s="2">
        <v>41851</v>
      </c>
      <c r="C478" s="1" t="s">
        <v>21</v>
      </c>
      <c r="D478" s="5">
        <v>1250</v>
      </c>
    </row>
    <row r="479" spans="1:4" x14ac:dyDescent="0.25">
      <c r="A479" s="1">
        <v>295</v>
      </c>
      <c r="B479" s="2">
        <v>41851</v>
      </c>
      <c r="C479" s="1" t="s">
        <v>103</v>
      </c>
      <c r="D479" s="5">
        <v>650</v>
      </c>
    </row>
    <row r="480" spans="1:4" x14ac:dyDescent="0.25">
      <c r="A480" s="1">
        <v>328</v>
      </c>
      <c r="B480" s="2">
        <v>41851</v>
      </c>
      <c r="C480" s="1" t="s">
        <v>26</v>
      </c>
      <c r="D480" s="5">
        <v>2075</v>
      </c>
    </row>
    <row r="481" spans="1:4" x14ac:dyDescent="0.25">
      <c r="A481" s="1">
        <v>379</v>
      </c>
      <c r="B481" s="2">
        <v>41851</v>
      </c>
      <c r="C481" s="1" t="s">
        <v>30</v>
      </c>
      <c r="D481" s="5">
        <v>-335</v>
      </c>
    </row>
    <row r="482" spans="1:4" x14ac:dyDescent="0.25">
      <c r="A482" s="1">
        <v>396</v>
      </c>
      <c r="B482" s="2">
        <v>41851</v>
      </c>
      <c r="C482" s="1" t="s">
        <v>357</v>
      </c>
      <c r="D482" s="5">
        <v>231.5</v>
      </c>
    </row>
    <row r="483" spans="1:4" x14ac:dyDescent="0.25">
      <c r="A483" s="1">
        <v>185</v>
      </c>
      <c r="B483" s="2">
        <v>41852</v>
      </c>
      <c r="C483" s="1" t="s">
        <v>17</v>
      </c>
      <c r="D483" s="5">
        <v>900</v>
      </c>
    </row>
    <row r="484" spans="1:4" x14ac:dyDescent="0.25">
      <c r="A484" s="1">
        <v>99</v>
      </c>
      <c r="B484" s="2">
        <v>41853</v>
      </c>
      <c r="C484" s="1" t="s">
        <v>240</v>
      </c>
      <c r="D484" s="5">
        <v>154.5</v>
      </c>
    </row>
    <row r="485" spans="1:4" x14ac:dyDescent="0.25">
      <c r="A485" s="1">
        <v>224</v>
      </c>
      <c r="B485" s="2">
        <v>41853</v>
      </c>
      <c r="C485" s="1" t="s">
        <v>335</v>
      </c>
      <c r="D485" s="5">
        <v>750</v>
      </c>
    </row>
    <row r="486" spans="1:4" x14ac:dyDescent="0.25">
      <c r="A486" s="1">
        <v>227</v>
      </c>
      <c r="B486" s="2">
        <v>41853</v>
      </c>
      <c r="C486" s="1" t="s">
        <v>331</v>
      </c>
      <c r="D486" s="5">
        <v>975</v>
      </c>
    </row>
    <row r="487" spans="1:4" x14ac:dyDescent="0.25">
      <c r="A487" s="1">
        <v>261</v>
      </c>
      <c r="B487" s="2">
        <v>41853</v>
      </c>
      <c r="C487" s="1" t="s">
        <v>22</v>
      </c>
      <c r="D487" s="5">
        <v>1125</v>
      </c>
    </row>
    <row r="488" spans="1:4" x14ac:dyDescent="0.25">
      <c r="A488" s="1">
        <v>268</v>
      </c>
      <c r="B488" s="2">
        <v>41853</v>
      </c>
      <c r="C488" s="1" t="s">
        <v>162</v>
      </c>
      <c r="D488" s="5">
        <v>1050</v>
      </c>
    </row>
    <row r="489" spans="1:4" x14ac:dyDescent="0.25">
      <c r="A489" s="1">
        <v>276</v>
      </c>
      <c r="B489" s="2">
        <v>41853</v>
      </c>
      <c r="C489" s="1" t="s">
        <v>342</v>
      </c>
      <c r="D489" s="5">
        <v>0</v>
      </c>
    </row>
    <row r="490" spans="1:4" x14ac:dyDescent="0.25">
      <c r="A490" s="1">
        <v>285</v>
      </c>
      <c r="B490" s="2">
        <v>41853</v>
      </c>
      <c r="C490" s="1" t="s">
        <v>102</v>
      </c>
      <c r="D490" s="5">
        <v>510</v>
      </c>
    </row>
    <row r="491" spans="1:4" x14ac:dyDescent="0.25">
      <c r="A491" s="1">
        <v>322</v>
      </c>
      <c r="B491" s="2">
        <v>41853</v>
      </c>
      <c r="C491" s="1" t="s">
        <v>198</v>
      </c>
      <c r="D491" s="5">
        <v>550</v>
      </c>
    </row>
    <row r="492" spans="1:4" x14ac:dyDescent="0.25">
      <c r="A492" s="1">
        <v>363</v>
      </c>
      <c r="B492" s="2">
        <v>41853</v>
      </c>
      <c r="C492" s="1" t="s">
        <v>318</v>
      </c>
      <c r="D492" s="5">
        <v>925</v>
      </c>
    </row>
    <row r="493" spans="1:4" x14ac:dyDescent="0.25">
      <c r="A493" s="1">
        <v>160</v>
      </c>
      <c r="B493" s="2">
        <v>41855</v>
      </c>
      <c r="C493" s="1" t="s">
        <v>353</v>
      </c>
      <c r="D493" s="5">
        <v>357</v>
      </c>
    </row>
    <row r="494" spans="1:4" x14ac:dyDescent="0.25">
      <c r="A494" s="1">
        <v>211</v>
      </c>
      <c r="B494" s="2">
        <v>41855</v>
      </c>
      <c r="C494" s="1" t="s">
        <v>96</v>
      </c>
      <c r="D494" s="5">
        <v>1632</v>
      </c>
    </row>
    <row r="495" spans="1:4" x14ac:dyDescent="0.25">
      <c r="A495" s="1">
        <v>236</v>
      </c>
      <c r="B495" s="2">
        <v>41855</v>
      </c>
      <c r="C495" s="1" t="s">
        <v>211</v>
      </c>
      <c r="D495" s="5">
        <v>2300</v>
      </c>
    </row>
    <row r="496" spans="1:4" x14ac:dyDescent="0.25">
      <c r="A496" s="1">
        <v>304</v>
      </c>
      <c r="B496" s="2">
        <v>41855</v>
      </c>
      <c r="C496" s="1" t="s">
        <v>295</v>
      </c>
      <c r="D496" s="5">
        <v>1150</v>
      </c>
    </row>
    <row r="497" spans="1:4" x14ac:dyDescent="0.25">
      <c r="A497" s="1">
        <v>365</v>
      </c>
      <c r="B497" s="2">
        <v>41855</v>
      </c>
      <c r="C497" s="1" t="s">
        <v>29</v>
      </c>
      <c r="D497" s="5">
        <v>375</v>
      </c>
    </row>
    <row r="498" spans="1:4" x14ac:dyDescent="0.25">
      <c r="A498" s="1">
        <v>37</v>
      </c>
      <c r="B498" s="2">
        <v>41858</v>
      </c>
      <c r="C498" s="1" t="s">
        <v>77</v>
      </c>
      <c r="D498" s="5">
        <v>0</v>
      </c>
    </row>
    <row r="499" spans="1:4" x14ac:dyDescent="0.25">
      <c r="A499" s="1">
        <v>153</v>
      </c>
      <c r="B499" s="2">
        <v>41858</v>
      </c>
      <c r="C499" s="1" t="s">
        <v>216</v>
      </c>
      <c r="D499" s="5">
        <v>495.74</v>
      </c>
    </row>
    <row r="500" spans="1:4" x14ac:dyDescent="0.25">
      <c r="A500" s="1">
        <v>183</v>
      </c>
      <c r="B500" s="2">
        <v>41858</v>
      </c>
      <c r="C500" s="1" t="s">
        <v>264</v>
      </c>
      <c r="D500" s="5">
        <v>650</v>
      </c>
    </row>
    <row r="501" spans="1:4" x14ac:dyDescent="0.25">
      <c r="A501" s="1">
        <v>184</v>
      </c>
      <c r="B501" s="2">
        <v>41858</v>
      </c>
      <c r="C501" s="1" t="s">
        <v>217</v>
      </c>
      <c r="D501" s="5">
        <v>2400</v>
      </c>
    </row>
    <row r="502" spans="1:4" x14ac:dyDescent="0.25">
      <c r="A502" s="1">
        <v>203</v>
      </c>
      <c r="B502" s="2">
        <v>41858</v>
      </c>
      <c r="C502" s="1" t="s">
        <v>95</v>
      </c>
      <c r="D502" s="5">
        <v>1000</v>
      </c>
    </row>
    <row r="503" spans="1:4" x14ac:dyDescent="0.25">
      <c r="A503" s="1">
        <v>211</v>
      </c>
      <c r="B503" s="2">
        <v>41858</v>
      </c>
      <c r="C503" s="1" t="s">
        <v>96</v>
      </c>
      <c r="D503" s="5">
        <v>3200</v>
      </c>
    </row>
    <row r="504" spans="1:4" x14ac:dyDescent="0.25">
      <c r="A504" s="1">
        <v>213</v>
      </c>
      <c r="B504" s="2">
        <v>41858</v>
      </c>
      <c r="C504" s="1" t="s">
        <v>338</v>
      </c>
      <c r="D504" s="5">
        <v>1444.38</v>
      </c>
    </row>
    <row r="505" spans="1:4" x14ac:dyDescent="0.25">
      <c r="A505" s="1">
        <v>214</v>
      </c>
      <c r="B505" s="2">
        <v>41858</v>
      </c>
      <c r="C505" s="1" t="s">
        <v>323</v>
      </c>
      <c r="D505" s="5">
        <v>500</v>
      </c>
    </row>
    <row r="506" spans="1:4" x14ac:dyDescent="0.25">
      <c r="A506" s="1">
        <v>217</v>
      </c>
      <c r="B506" s="2">
        <v>41858</v>
      </c>
      <c r="C506" s="1" t="s">
        <v>97</v>
      </c>
      <c r="D506" s="5">
        <v>625</v>
      </c>
    </row>
    <row r="507" spans="1:4" x14ac:dyDescent="0.25">
      <c r="A507" s="1">
        <v>224</v>
      </c>
      <c r="B507" s="2">
        <v>41858</v>
      </c>
      <c r="C507" s="1" t="s">
        <v>335</v>
      </c>
      <c r="D507" s="5">
        <v>500</v>
      </c>
    </row>
    <row r="508" spans="1:4" x14ac:dyDescent="0.25">
      <c r="A508" s="1">
        <v>225</v>
      </c>
      <c r="B508" s="2">
        <v>41858</v>
      </c>
      <c r="C508" s="1" t="s">
        <v>326</v>
      </c>
      <c r="D508" s="5">
        <v>500</v>
      </c>
    </row>
    <row r="509" spans="1:4" x14ac:dyDescent="0.25">
      <c r="A509" s="1">
        <v>227</v>
      </c>
      <c r="B509" s="2">
        <v>41858</v>
      </c>
      <c r="C509" s="1" t="s">
        <v>331</v>
      </c>
      <c r="D509" s="5">
        <v>500</v>
      </c>
    </row>
    <row r="510" spans="1:4" x14ac:dyDescent="0.25">
      <c r="A510" s="1">
        <v>230</v>
      </c>
      <c r="B510" s="2">
        <v>41858</v>
      </c>
      <c r="C510" s="1" t="s">
        <v>316</v>
      </c>
      <c r="D510" s="5">
        <v>500</v>
      </c>
    </row>
    <row r="511" spans="1:4" x14ac:dyDescent="0.25">
      <c r="A511" s="1">
        <v>231</v>
      </c>
      <c r="B511" s="2">
        <v>41858</v>
      </c>
      <c r="C511" s="1" t="s">
        <v>310</v>
      </c>
      <c r="D511" s="5">
        <v>500</v>
      </c>
    </row>
    <row r="512" spans="1:4" x14ac:dyDescent="0.25">
      <c r="A512" s="1">
        <v>232</v>
      </c>
      <c r="B512" s="2">
        <v>41858</v>
      </c>
      <c r="C512" s="1" t="s">
        <v>100</v>
      </c>
      <c r="D512" s="5">
        <v>500</v>
      </c>
    </row>
    <row r="513" spans="1:4" x14ac:dyDescent="0.25">
      <c r="A513" s="1">
        <v>233</v>
      </c>
      <c r="B513" s="2">
        <v>41858</v>
      </c>
      <c r="C513" s="1" t="s">
        <v>294</v>
      </c>
      <c r="D513" s="5">
        <v>500</v>
      </c>
    </row>
    <row r="514" spans="1:4" x14ac:dyDescent="0.25">
      <c r="A514" s="1">
        <v>236</v>
      </c>
      <c r="B514" s="2">
        <v>41858</v>
      </c>
      <c r="C514" s="1" t="s">
        <v>211</v>
      </c>
      <c r="D514" s="5">
        <v>500</v>
      </c>
    </row>
    <row r="515" spans="1:4" x14ac:dyDescent="0.25">
      <c r="A515" s="1">
        <v>237</v>
      </c>
      <c r="B515" s="2">
        <v>41858</v>
      </c>
      <c r="C515" s="1" t="s">
        <v>336</v>
      </c>
      <c r="D515" s="5">
        <v>500</v>
      </c>
    </row>
    <row r="516" spans="1:4" x14ac:dyDescent="0.25">
      <c r="A516" s="1">
        <v>245</v>
      </c>
      <c r="B516" s="2">
        <v>41858</v>
      </c>
      <c r="C516" s="1" t="s">
        <v>340</v>
      </c>
      <c r="D516" s="5">
        <v>1275</v>
      </c>
    </row>
    <row r="517" spans="1:4" x14ac:dyDescent="0.25">
      <c r="A517" s="1">
        <v>286</v>
      </c>
      <c r="B517" s="2">
        <v>41858</v>
      </c>
      <c r="C517" s="1" t="s">
        <v>266</v>
      </c>
      <c r="D517" s="5">
        <v>918</v>
      </c>
    </row>
    <row r="518" spans="1:4" x14ac:dyDescent="0.25">
      <c r="A518" s="1">
        <v>324</v>
      </c>
      <c r="B518" s="2">
        <v>41858</v>
      </c>
      <c r="C518" s="1" t="s">
        <v>106</v>
      </c>
      <c r="D518" s="5">
        <v>180.5</v>
      </c>
    </row>
    <row r="519" spans="1:4" x14ac:dyDescent="0.25">
      <c r="A519" s="1">
        <v>328</v>
      </c>
      <c r="B519" s="2">
        <v>41858</v>
      </c>
      <c r="C519" s="1" t="s">
        <v>26</v>
      </c>
      <c r="D519" s="5">
        <v>255</v>
      </c>
    </row>
    <row r="520" spans="1:4" x14ac:dyDescent="0.25">
      <c r="A520" s="1">
        <v>358</v>
      </c>
      <c r="B520" s="2">
        <v>41858</v>
      </c>
      <c r="C520" s="1" t="s">
        <v>179</v>
      </c>
      <c r="D520" s="5">
        <v>2000</v>
      </c>
    </row>
    <row r="521" spans="1:4" x14ac:dyDescent="0.25">
      <c r="A521" s="1">
        <v>365</v>
      </c>
      <c r="B521" s="2">
        <v>41858</v>
      </c>
      <c r="C521" s="1" t="s">
        <v>29</v>
      </c>
      <c r="D521" s="5">
        <v>1200</v>
      </c>
    </row>
    <row r="522" spans="1:4" x14ac:dyDescent="0.25">
      <c r="A522" s="1">
        <v>378</v>
      </c>
      <c r="B522" s="2">
        <v>41858</v>
      </c>
      <c r="C522" s="1" t="s">
        <v>109</v>
      </c>
      <c r="D522" s="5">
        <v>1950</v>
      </c>
    </row>
    <row r="523" spans="1:4" x14ac:dyDescent="0.25">
      <c r="A523" s="1">
        <v>383</v>
      </c>
      <c r="B523" s="2">
        <v>41858</v>
      </c>
      <c r="C523" s="1" t="s">
        <v>220</v>
      </c>
      <c r="D523" s="5">
        <v>425</v>
      </c>
    </row>
    <row r="524" spans="1:4" x14ac:dyDescent="0.25">
      <c r="A524" s="1">
        <v>41</v>
      </c>
      <c r="B524" s="2">
        <v>41859</v>
      </c>
      <c r="C524" s="1" t="s">
        <v>10</v>
      </c>
      <c r="D524" s="5">
        <v>-865.51</v>
      </c>
    </row>
    <row r="525" spans="1:4" x14ac:dyDescent="0.25">
      <c r="A525" s="1">
        <v>83</v>
      </c>
      <c r="B525" s="2">
        <v>41859</v>
      </c>
      <c r="C525" s="1" t="s">
        <v>351</v>
      </c>
      <c r="D525" s="5">
        <v>1861.5</v>
      </c>
    </row>
    <row r="526" spans="1:4" x14ac:dyDescent="0.25">
      <c r="A526" s="1">
        <v>85</v>
      </c>
      <c r="B526" s="2">
        <v>41859</v>
      </c>
      <c r="C526" s="1" t="s">
        <v>79</v>
      </c>
      <c r="D526" s="5">
        <v>355</v>
      </c>
    </row>
    <row r="527" spans="1:4" x14ac:dyDescent="0.25">
      <c r="A527" s="1">
        <v>119</v>
      </c>
      <c r="B527" s="2">
        <v>41859</v>
      </c>
      <c r="C527" s="1" t="s">
        <v>349</v>
      </c>
      <c r="D527" s="5">
        <v>1000</v>
      </c>
    </row>
    <row r="528" spans="1:4" x14ac:dyDescent="0.25">
      <c r="A528" s="1">
        <v>152</v>
      </c>
      <c r="B528" s="2">
        <v>41859</v>
      </c>
      <c r="C528" s="1" t="s">
        <v>90</v>
      </c>
      <c r="D528" s="5">
        <v>-171.43</v>
      </c>
    </row>
    <row r="529" spans="1:4" x14ac:dyDescent="0.25">
      <c r="A529" s="1">
        <v>153</v>
      </c>
      <c r="B529" s="2">
        <v>41859</v>
      </c>
      <c r="C529" s="1" t="s">
        <v>216</v>
      </c>
      <c r="D529" s="5">
        <v>28.57</v>
      </c>
    </row>
    <row r="530" spans="1:4" x14ac:dyDescent="0.25">
      <c r="A530" s="1">
        <v>185</v>
      </c>
      <c r="B530" s="2">
        <v>41859</v>
      </c>
      <c r="C530" s="1" t="s">
        <v>17</v>
      </c>
      <c r="D530" s="5">
        <v>1000</v>
      </c>
    </row>
    <row r="531" spans="1:4" x14ac:dyDescent="0.25">
      <c r="A531" s="1">
        <v>214</v>
      </c>
      <c r="B531" s="2">
        <v>41859</v>
      </c>
      <c r="C531" s="1" t="s">
        <v>323</v>
      </c>
      <c r="D531" s="5">
        <v>1625</v>
      </c>
    </row>
    <row r="532" spans="1:4" x14ac:dyDescent="0.25">
      <c r="A532" s="1">
        <v>218</v>
      </c>
      <c r="B532" s="2">
        <v>41859</v>
      </c>
      <c r="C532" s="1" t="s">
        <v>233</v>
      </c>
      <c r="D532" s="5">
        <v>1225</v>
      </c>
    </row>
    <row r="533" spans="1:4" x14ac:dyDescent="0.25">
      <c r="A533" s="1">
        <v>227</v>
      </c>
      <c r="B533" s="2">
        <v>41859</v>
      </c>
      <c r="C533" s="1" t="s">
        <v>331</v>
      </c>
      <c r="D533" s="5">
        <v>800</v>
      </c>
    </row>
    <row r="534" spans="1:4" x14ac:dyDescent="0.25">
      <c r="A534" s="1">
        <v>230</v>
      </c>
      <c r="B534" s="2">
        <v>41859</v>
      </c>
      <c r="C534" s="1" t="s">
        <v>316</v>
      </c>
      <c r="D534" s="5">
        <v>1100</v>
      </c>
    </row>
    <row r="535" spans="1:4" x14ac:dyDescent="0.25">
      <c r="A535" s="1">
        <v>231</v>
      </c>
      <c r="B535" s="2">
        <v>41859</v>
      </c>
      <c r="C535" s="1" t="s">
        <v>310</v>
      </c>
      <c r="D535" s="5">
        <v>3500</v>
      </c>
    </row>
    <row r="536" spans="1:4" x14ac:dyDescent="0.25">
      <c r="A536" s="1">
        <v>232</v>
      </c>
      <c r="B536" s="2">
        <v>41859</v>
      </c>
      <c r="C536" s="1" t="s">
        <v>100</v>
      </c>
      <c r="D536" s="5">
        <v>2025</v>
      </c>
    </row>
    <row r="537" spans="1:4" x14ac:dyDescent="0.25">
      <c r="A537" s="1">
        <v>233</v>
      </c>
      <c r="B537" s="2">
        <v>41859</v>
      </c>
      <c r="C537" s="1" t="s">
        <v>294</v>
      </c>
      <c r="D537" s="5">
        <v>3675</v>
      </c>
    </row>
    <row r="538" spans="1:4" x14ac:dyDescent="0.25">
      <c r="A538" s="1">
        <v>234</v>
      </c>
      <c r="B538" s="2">
        <v>41859</v>
      </c>
      <c r="C538" s="1" t="s">
        <v>259</v>
      </c>
      <c r="D538" s="5">
        <v>500</v>
      </c>
    </row>
    <row r="539" spans="1:4" x14ac:dyDescent="0.25">
      <c r="A539" s="1">
        <v>236</v>
      </c>
      <c r="B539" s="2">
        <v>41859</v>
      </c>
      <c r="C539" s="1" t="s">
        <v>211</v>
      </c>
      <c r="D539" s="5">
        <v>2400</v>
      </c>
    </row>
    <row r="540" spans="1:4" x14ac:dyDescent="0.25">
      <c r="A540" s="1">
        <v>237</v>
      </c>
      <c r="B540" s="2">
        <v>41859</v>
      </c>
      <c r="C540" s="1" t="s">
        <v>336</v>
      </c>
      <c r="D540" s="5">
        <v>425</v>
      </c>
    </row>
    <row r="541" spans="1:4" x14ac:dyDescent="0.25">
      <c r="A541" s="1">
        <v>248</v>
      </c>
      <c r="B541" s="2">
        <v>41859</v>
      </c>
      <c r="C541" s="1" t="s">
        <v>19</v>
      </c>
      <c r="D541" s="5">
        <v>1508.5</v>
      </c>
    </row>
    <row r="542" spans="1:4" x14ac:dyDescent="0.25">
      <c r="A542" s="1">
        <v>261</v>
      </c>
      <c r="B542" s="2">
        <v>41859</v>
      </c>
      <c r="C542" s="1" t="s">
        <v>22</v>
      </c>
      <c r="D542" s="5">
        <v>1975</v>
      </c>
    </row>
    <row r="543" spans="1:4" x14ac:dyDescent="0.25">
      <c r="A543" s="1">
        <v>276</v>
      </c>
      <c r="B543" s="2">
        <v>41859</v>
      </c>
      <c r="C543" s="1" t="s">
        <v>342</v>
      </c>
      <c r="D543" s="5">
        <v>0</v>
      </c>
    </row>
    <row r="544" spans="1:4" x14ac:dyDescent="0.25">
      <c r="A544" s="1">
        <v>295</v>
      </c>
      <c r="B544" s="2">
        <v>41859</v>
      </c>
      <c r="C544" s="1" t="s">
        <v>103</v>
      </c>
      <c r="D544" s="5">
        <v>1475</v>
      </c>
    </row>
    <row r="545" spans="1:4" x14ac:dyDescent="0.25">
      <c r="A545" s="1">
        <v>319</v>
      </c>
      <c r="B545" s="2">
        <v>41859</v>
      </c>
      <c r="C545" s="1" t="s">
        <v>352</v>
      </c>
      <c r="D545" s="5">
        <v>550</v>
      </c>
    </row>
    <row r="546" spans="1:4" x14ac:dyDescent="0.25">
      <c r="A546" s="1">
        <v>322</v>
      </c>
      <c r="B546" s="2">
        <v>41859</v>
      </c>
      <c r="C546" s="1" t="s">
        <v>198</v>
      </c>
      <c r="D546" s="5">
        <v>1550</v>
      </c>
    </row>
    <row r="547" spans="1:4" x14ac:dyDescent="0.25">
      <c r="A547" s="1">
        <v>370</v>
      </c>
      <c r="B547" s="2">
        <v>41859</v>
      </c>
      <c r="C547" s="1" t="s">
        <v>180</v>
      </c>
      <c r="D547" s="5">
        <v>382.5</v>
      </c>
    </row>
    <row r="548" spans="1:4" x14ac:dyDescent="0.25">
      <c r="A548" s="1">
        <v>382</v>
      </c>
      <c r="B548" s="2">
        <v>41859</v>
      </c>
      <c r="C548" s="1" t="s">
        <v>164</v>
      </c>
      <c r="D548" s="5">
        <v>800</v>
      </c>
    </row>
    <row r="549" spans="1:4" x14ac:dyDescent="0.25">
      <c r="A549" s="1">
        <v>389</v>
      </c>
      <c r="B549" s="2">
        <v>41859</v>
      </c>
      <c r="C549" s="1" t="s">
        <v>31</v>
      </c>
      <c r="D549" s="5">
        <v>3300.5</v>
      </c>
    </row>
    <row r="550" spans="1:4" x14ac:dyDescent="0.25">
      <c r="A550" s="1">
        <v>391</v>
      </c>
      <c r="B550" s="2">
        <v>41859</v>
      </c>
      <c r="C550" s="1" t="s">
        <v>319</v>
      </c>
      <c r="D550" s="5">
        <v>1650</v>
      </c>
    </row>
    <row r="551" spans="1:4" x14ac:dyDescent="0.25">
      <c r="A551" s="1">
        <v>37</v>
      </c>
      <c r="B551" s="2">
        <v>41862</v>
      </c>
      <c r="C551" s="1" t="s">
        <v>77</v>
      </c>
      <c r="D551" s="5">
        <v>5000</v>
      </c>
    </row>
    <row r="552" spans="1:4" x14ac:dyDescent="0.25">
      <c r="A552" s="1">
        <v>202</v>
      </c>
      <c r="B552" s="2">
        <v>41862</v>
      </c>
      <c r="C552" s="1" t="s">
        <v>237</v>
      </c>
      <c r="D552" s="5">
        <v>425</v>
      </c>
    </row>
    <row r="553" spans="1:4" x14ac:dyDescent="0.25">
      <c r="A553" s="1">
        <v>373</v>
      </c>
      <c r="B553" s="2">
        <v>41862</v>
      </c>
      <c r="C553" s="1" t="s">
        <v>234</v>
      </c>
      <c r="D553" s="5">
        <v>1500</v>
      </c>
    </row>
    <row r="554" spans="1:4" x14ac:dyDescent="0.25">
      <c r="A554" s="1">
        <v>383</v>
      </c>
      <c r="B554" s="2">
        <v>41862</v>
      </c>
      <c r="C554" s="1" t="s">
        <v>220</v>
      </c>
      <c r="D554" s="5">
        <v>400</v>
      </c>
    </row>
    <row r="555" spans="1:4" x14ac:dyDescent="0.25">
      <c r="A555" s="1">
        <v>94</v>
      </c>
      <c r="B555" s="2">
        <v>41865</v>
      </c>
      <c r="C555" s="1" t="s">
        <v>182</v>
      </c>
      <c r="D555" s="5">
        <v>847</v>
      </c>
    </row>
    <row r="556" spans="1:4" x14ac:dyDescent="0.25">
      <c r="A556" s="1">
        <v>183</v>
      </c>
      <c r="B556" s="2">
        <v>41865</v>
      </c>
      <c r="C556" s="1" t="s">
        <v>264</v>
      </c>
      <c r="D556" s="5">
        <v>1186.1500000000001</v>
      </c>
    </row>
    <row r="557" spans="1:4" x14ac:dyDescent="0.25">
      <c r="A557" s="1">
        <v>189</v>
      </c>
      <c r="B557" s="2">
        <v>41865</v>
      </c>
      <c r="C557" s="1" t="s">
        <v>350</v>
      </c>
      <c r="D557" s="5">
        <v>1122</v>
      </c>
    </row>
    <row r="558" spans="1:4" x14ac:dyDescent="0.25">
      <c r="A558" s="1">
        <v>202</v>
      </c>
      <c r="B558" s="2">
        <v>41865</v>
      </c>
      <c r="C558" s="1" t="s">
        <v>237</v>
      </c>
      <c r="D558" s="5">
        <v>160</v>
      </c>
    </row>
    <row r="559" spans="1:4" x14ac:dyDescent="0.25">
      <c r="A559" s="1">
        <v>203</v>
      </c>
      <c r="B559" s="2">
        <v>41865</v>
      </c>
      <c r="C559" s="1" t="s">
        <v>95</v>
      </c>
      <c r="D559" s="5">
        <v>500</v>
      </c>
    </row>
    <row r="560" spans="1:4" x14ac:dyDescent="0.25">
      <c r="A560" s="1">
        <v>211</v>
      </c>
      <c r="B560" s="2">
        <v>41865</v>
      </c>
      <c r="C560" s="1" t="s">
        <v>96</v>
      </c>
      <c r="D560" s="5">
        <v>1786</v>
      </c>
    </row>
    <row r="561" spans="1:4" x14ac:dyDescent="0.25">
      <c r="A561" s="1">
        <v>213</v>
      </c>
      <c r="B561" s="2">
        <v>41865</v>
      </c>
      <c r="C561" s="1" t="s">
        <v>338</v>
      </c>
      <c r="D561" s="5">
        <v>267.38</v>
      </c>
    </row>
    <row r="562" spans="1:4" x14ac:dyDescent="0.25">
      <c r="A562" s="1">
        <v>218</v>
      </c>
      <c r="B562" s="2">
        <v>41865</v>
      </c>
      <c r="C562" s="1" t="s">
        <v>233</v>
      </c>
      <c r="D562" s="5">
        <v>110</v>
      </c>
    </row>
    <row r="563" spans="1:4" x14ac:dyDescent="0.25">
      <c r="A563" s="1">
        <v>228</v>
      </c>
      <c r="B563" s="2">
        <v>41865</v>
      </c>
      <c r="C563" s="1" t="s">
        <v>99</v>
      </c>
      <c r="D563" s="5">
        <v>600</v>
      </c>
    </row>
    <row r="564" spans="1:4" x14ac:dyDescent="0.25">
      <c r="A564" s="1">
        <v>231</v>
      </c>
      <c r="B564" s="2">
        <v>41865</v>
      </c>
      <c r="C564" s="1" t="s">
        <v>310</v>
      </c>
      <c r="D564" s="5">
        <v>500</v>
      </c>
    </row>
    <row r="565" spans="1:4" x14ac:dyDescent="0.25">
      <c r="A565" s="1">
        <v>232</v>
      </c>
      <c r="B565" s="2">
        <v>41865</v>
      </c>
      <c r="C565" s="1" t="s">
        <v>100</v>
      </c>
      <c r="D565" s="5">
        <v>412.76</v>
      </c>
    </row>
    <row r="566" spans="1:4" x14ac:dyDescent="0.25">
      <c r="A566" s="1">
        <v>244</v>
      </c>
      <c r="B566" s="2">
        <v>41865</v>
      </c>
      <c r="C566" s="1" t="s">
        <v>311</v>
      </c>
      <c r="D566" s="5">
        <v>25</v>
      </c>
    </row>
    <row r="567" spans="1:4" x14ac:dyDescent="0.25">
      <c r="A567" s="1">
        <v>245</v>
      </c>
      <c r="B567" s="2">
        <v>41865</v>
      </c>
      <c r="C567" s="1" t="s">
        <v>340</v>
      </c>
      <c r="D567" s="5">
        <v>450</v>
      </c>
    </row>
    <row r="568" spans="1:4" x14ac:dyDescent="0.25">
      <c r="A568" s="1">
        <v>282</v>
      </c>
      <c r="B568" s="2">
        <v>41865</v>
      </c>
      <c r="C568" s="1" t="s">
        <v>23</v>
      </c>
      <c r="D568" s="5">
        <v>1403</v>
      </c>
    </row>
    <row r="569" spans="1:4" x14ac:dyDescent="0.25">
      <c r="A569" s="1">
        <v>302</v>
      </c>
      <c r="B569" s="2">
        <v>41865</v>
      </c>
      <c r="C569" s="1" t="s">
        <v>104</v>
      </c>
      <c r="D569" s="5">
        <v>625</v>
      </c>
    </row>
    <row r="570" spans="1:4" x14ac:dyDescent="0.25">
      <c r="A570" s="1">
        <v>304</v>
      </c>
      <c r="B570" s="2">
        <v>41865</v>
      </c>
      <c r="C570" s="1" t="s">
        <v>295</v>
      </c>
      <c r="D570" s="5">
        <v>1050</v>
      </c>
    </row>
    <row r="571" spans="1:4" x14ac:dyDescent="0.25">
      <c r="A571" s="1">
        <v>324</v>
      </c>
      <c r="B571" s="2">
        <v>41865</v>
      </c>
      <c r="C571" s="1" t="s">
        <v>106</v>
      </c>
      <c r="D571" s="5">
        <v>1025</v>
      </c>
    </row>
    <row r="572" spans="1:4" x14ac:dyDescent="0.25">
      <c r="A572" s="1">
        <v>373</v>
      </c>
      <c r="B572" s="2">
        <v>41865</v>
      </c>
      <c r="C572" s="1" t="s">
        <v>234</v>
      </c>
      <c r="D572" s="5">
        <v>1200</v>
      </c>
    </row>
    <row r="573" spans="1:4" x14ac:dyDescent="0.25">
      <c r="A573" s="1">
        <v>378</v>
      </c>
      <c r="B573" s="2">
        <v>41865</v>
      </c>
      <c r="C573" s="1" t="s">
        <v>109</v>
      </c>
      <c r="D573" s="5">
        <v>2181</v>
      </c>
    </row>
    <row r="574" spans="1:4" x14ac:dyDescent="0.25">
      <c r="A574" s="1">
        <v>383</v>
      </c>
      <c r="B574" s="2">
        <v>41865</v>
      </c>
      <c r="C574" s="1" t="s">
        <v>220</v>
      </c>
      <c r="D574" s="5">
        <v>350</v>
      </c>
    </row>
    <row r="575" spans="1:4" x14ac:dyDescent="0.25">
      <c r="A575" s="1">
        <v>392</v>
      </c>
      <c r="B575" s="2">
        <v>41865</v>
      </c>
      <c r="C575" s="1" t="s">
        <v>111</v>
      </c>
      <c r="D575" s="5">
        <v>1375</v>
      </c>
    </row>
    <row r="576" spans="1:4" x14ac:dyDescent="0.25">
      <c r="A576" s="1">
        <v>27</v>
      </c>
      <c r="B576" s="2">
        <v>41866</v>
      </c>
      <c r="C576" s="1" t="s">
        <v>159</v>
      </c>
      <c r="D576" s="5">
        <v>2119.88</v>
      </c>
    </row>
    <row r="577" spans="1:4" x14ac:dyDescent="0.25">
      <c r="A577" s="1">
        <v>28</v>
      </c>
      <c r="B577" s="2">
        <v>41866</v>
      </c>
      <c r="C577" s="1" t="s">
        <v>6</v>
      </c>
      <c r="D577" s="5">
        <v>500</v>
      </c>
    </row>
    <row r="578" spans="1:4" x14ac:dyDescent="0.25">
      <c r="A578" s="1">
        <v>37</v>
      </c>
      <c r="B578" s="2">
        <v>41866</v>
      </c>
      <c r="C578" s="1" t="s">
        <v>77</v>
      </c>
      <c r="D578" s="5">
        <v>2971.6</v>
      </c>
    </row>
    <row r="579" spans="1:4" x14ac:dyDescent="0.25">
      <c r="A579" s="1">
        <v>41</v>
      </c>
      <c r="B579" s="2">
        <v>41866</v>
      </c>
      <c r="C579" s="1" t="s">
        <v>10</v>
      </c>
      <c r="D579" s="5">
        <v>1260.3800000000001</v>
      </c>
    </row>
    <row r="580" spans="1:4" x14ac:dyDescent="0.25">
      <c r="A580" s="1">
        <v>74</v>
      </c>
      <c r="B580" s="2">
        <v>41866</v>
      </c>
      <c r="C580" s="1" t="s">
        <v>328</v>
      </c>
      <c r="D580" s="5">
        <v>1000</v>
      </c>
    </row>
    <row r="581" spans="1:4" x14ac:dyDescent="0.25">
      <c r="A581" s="1">
        <v>85</v>
      </c>
      <c r="B581" s="2">
        <v>41866</v>
      </c>
      <c r="C581" s="1" t="s">
        <v>79</v>
      </c>
      <c r="D581" s="5">
        <v>4243.6000000000004</v>
      </c>
    </row>
    <row r="582" spans="1:4" x14ac:dyDescent="0.25">
      <c r="A582" s="1">
        <v>117</v>
      </c>
      <c r="B582" s="2">
        <v>41866</v>
      </c>
      <c r="C582" s="1" t="s">
        <v>232</v>
      </c>
      <c r="D582" s="5">
        <v>45</v>
      </c>
    </row>
    <row r="583" spans="1:4" x14ac:dyDescent="0.25">
      <c r="A583" s="1">
        <v>119</v>
      </c>
      <c r="B583" s="2">
        <v>41866</v>
      </c>
      <c r="C583" s="1" t="s">
        <v>349</v>
      </c>
      <c r="D583" s="5">
        <v>399.52</v>
      </c>
    </row>
    <row r="584" spans="1:4" x14ac:dyDescent="0.25">
      <c r="A584" s="1">
        <v>133</v>
      </c>
      <c r="B584" s="2">
        <v>41866</v>
      </c>
      <c r="C584" s="1" t="s">
        <v>87</v>
      </c>
      <c r="D584" s="5">
        <v>3407.5</v>
      </c>
    </row>
    <row r="585" spans="1:4" x14ac:dyDescent="0.25">
      <c r="A585" s="1">
        <v>140</v>
      </c>
      <c r="B585" s="2">
        <v>41866</v>
      </c>
      <c r="C585" s="1" t="s">
        <v>88</v>
      </c>
      <c r="D585" s="5">
        <v>127.13</v>
      </c>
    </row>
    <row r="586" spans="1:4" x14ac:dyDescent="0.25">
      <c r="A586" s="1">
        <v>157</v>
      </c>
      <c r="B586" s="2">
        <v>41866</v>
      </c>
      <c r="C586" s="1" t="s">
        <v>92</v>
      </c>
      <c r="D586" s="5">
        <v>900</v>
      </c>
    </row>
    <row r="587" spans="1:4" x14ac:dyDescent="0.25">
      <c r="A587" s="1">
        <v>180</v>
      </c>
      <c r="B587" s="2">
        <v>41866</v>
      </c>
      <c r="C587" s="1" t="s">
        <v>161</v>
      </c>
      <c r="D587" s="5">
        <v>295</v>
      </c>
    </row>
    <row r="588" spans="1:4" x14ac:dyDescent="0.25">
      <c r="A588" s="1">
        <v>185</v>
      </c>
      <c r="B588" s="2">
        <v>41866</v>
      </c>
      <c r="C588" s="1" t="s">
        <v>17</v>
      </c>
      <c r="D588" s="5">
        <v>383.78</v>
      </c>
    </row>
    <row r="589" spans="1:4" x14ac:dyDescent="0.25">
      <c r="A589" s="1">
        <v>202</v>
      </c>
      <c r="B589" s="2">
        <v>41866</v>
      </c>
      <c r="C589" s="1" t="s">
        <v>237</v>
      </c>
      <c r="D589" s="5">
        <v>2602.35</v>
      </c>
    </row>
    <row r="590" spans="1:4" x14ac:dyDescent="0.25">
      <c r="A590" s="1">
        <v>203</v>
      </c>
      <c r="B590" s="2">
        <v>41866</v>
      </c>
      <c r="C590" s="1" t="s">
        <v>95</v>
      </c>
      <c r="D590" s="5">
        <v>2464.25</v>
      </c>
    </row>
    <row r="591" spans="1:4" x14ac:dyDescent="0.25">
      <c r="A591" s="1">
        <v>217</v>
      </c>
      <c r="B591" s="2">
        <v>41866</v>
      </c>
      <c r="C591" s="1" t="s">
        <v>97</v>
      </c>
      <c r="D591" s="5">
        <v>1336.8</v>
      </c>
    </row>
    <row r="592" spans="1:4" x14ac:dyDescent="0.25">
      <c r="A592" s="1">
        <v>218</v>
      </c>
      <c r="B592" s="2">
        <v>41866</v>
      </c>
      <c r="C592" s="1" t="s">
        <v>233</v>
      </c>
      <c r="D592" s="5">
        <v>3072.5</v>
      </c>
    </row>
    <row r="593" spans="1:4" x14ac:dyDescent="0.25">
      <c r="A593" s="1">
        <v>236</v>
      </c>
      <c r="B593" s="2">
        <v>41866</v>
      </c>
      <c r="C593" s="1" t="s">
        <v>211</v>
      </c>
      <c r="D593" s="5">
        <v>21.25</v>
      </c>
    </row>
    <row r="594" spans="1:4" x14ac:dyDescent="0.25">
      <c r="A594" s="1">
        <v>244</v>
      </c>
      <c r="B594" s="2">
        <v>41866</v>
      </c>
      <c r="C594" s="1" t="s">
        <v>311</v>
      </c>
      <c r="D594" s="5">
        <v>289.3</v>
      </c>
    </row>
    <row r="595" spans="1:4" x14ac:dyDescent="0.25">
      <c r="A595" s="1">
        <v>261</v>
      </c>
      <c r="B595" s="2">
        <v>41866</v>
      </c>
      <c r="C595" s="1" t="s">
        <v>22</v>
      </c>
      <c r="D595" s="5">
        <v>800</v>
      </c>
    </row>
    <row r="596" spans="1:4" x14ac:dyDescent="0.25">
      <c r="A596" s="1">
        <v>285</v>
      </c>
      <c r="B596" s="2">
        <v>41866</v>
      </c>
      <c r="C596" s="1" t="s">
        <v>102</v>
      </c>
      <c r="D596" s="5">
        <v>76.5</v>
      </c>
    </row>
    <row r="597" spans="1:4" x14ac:dyDescent="0.25">
      <c r="A597" s="1">
        <v>379</v>
      </c>
      <c r="B597" s="2">
        <v>41866</v>
      </c>
      <c r="C597" s="1" t="s">
        <v>30</v>
      </c>
      <c r="D597" s="5">
        <v>0</v>
      </c>
    </row>
    <row r="598" spans="1:4" x14ac:dyDescent="0.25">
      <c r="A598" s="1">
        <v>389</v>
      </c>
      <c r="B598" s="2">
        <v>41866</v>
      </c>
      <c r="C598" s="1" t="s">
        <v>31</v>
      </c>
      <c r="D598" s="5">
        <v>1117.5</v>
      </c>
    </row>
    <row r="599" spans="1:4" x14ac:dyDescent="0.25">
      <c r="A599" s="1">
        <v>185</v>
      </c>
      <c r="B599" s="2">
        <v>41872</v>
      </c>
      <c r="C599" s="1" t="s">
        <v>17</v>
      </c>
      <c r="D599" s="5">
        <v>1000</v>
      </c>
    </row>
    <row r="600" spans="1:4" x14ac:dyDescent="0.25">
      <c r="A600" s="1">
        <v>41</v>
      </c>
      <c r="B600" s="2">
        <v>41873</v>
      </c>
      <c r="C600" s="1" t="s">
        <v>10</v>
      </c>
      <c r="D600" s="5">
        <v>1566.3</v>
      </c>
    </row>
    <row r="601" spans="1:4" x14ac:dyDescent="0.25">
      <c r="A601" s="1">
        <v>63</v>
      </c>
      <c r="B601" s="2">
        <v>41873</v>
      </c>
      <c r="C601" s="1" t="s">
        <v>181</v>
      </c>
      <c r="D601" s="5">
        <v>-663.68</v>
      </c>
    </row>
    <row r="602" spans="1:4" x14ac:dyDescent="0.25">
      <c r="A602" s="1">
        <v>94</v>
      </c>
      <c r="B602" s="2">
        <v>41873</v>
      </c>
      <c r="C602" s="1" t="s">
        <v>182</v>
      </c>
      <c r="D602" s="5">
        <v>1100</v>
      </c>
    </row>
    <row r="603" spans="1:4" x14ac:dyDescent="0.25">
      <c r="A603" s="1">
        <v>120</v>
      </c>
      <c r="B603" s="2">
        <v>41873</v>
      </c>
      <c r="C603" s="1" t="s">
        <v>337</v>
      </c>
      <c r="D603" s="5">
        <v>1200</v>
      </c>
    </row>
    <row r="604" spans="1:4" x14ac:dyDescent="0.25">
      <c r="A604" s="1">
        <v>133</v>
      </c>
      <c r="B604" s="2">
        <v>41873</v>
      </c>
      <c r="C604" s="1" t="s">
        <v>87</v>
      </c>
      <c r="D604" s="5">
        <v>1683.05</v>
      </c>
    </row>
    <row r="605" spans="1:4" x14ac:dyDescent="0.25">
      <c r="A605" s="1">
        <v>141</v>
      </c>
      <c r="B605" s="2">
        <v>41873</v>
      </c>
      <c r="C605" s="1" t="s">
        <v>196</v>
      </c>
      <c r="D605" s="5">
        <v>306</v>
      </c>
    </row>
    <row r="606" spans="1:4" x14ac:dyDescent="0.25">
      <c r="A606" s="1">
        <v>152</v>
      </c>
      <c r="B606" s="2">
        <v>41873</v>
      </c>
      <c r="C606" s="1" t="s">
        <v>90</v>
      </c>
      <c r="D606" s="5">
        <v>1428</v>
      </c>
    </row>
    <row r="607" spans="1:4" x14ac:dyDescent="0.25">
      <c r="A607" s="1">
        <v>191</v>
      </c>
      <c r="B607" s="2">
        <v>41873</v>
      </c>
      <c r="C607" s="1" t="s">
        <v>277</v>
      </c>
      <c r="D607" s="5">
        <v>-591.22</v>
      </c>
    </row>
    <row r="608" spans="1:4" x14ac:dyDescent="0.25">
      <c r="A608" s="1">
        <v>206</v>
      </c>
      <c r="B608" s="2">
        <v>41873</v>
      </c>
      <c r="C608" s="1" t="s">
        <v>334</v>
      </c>
      <c r="D608" s="5">
        <v>568</v>
      </c>
    </row>
    <row r="609" spans="1:4" x14ac:dyDescent="0.25">
      <c r="A609" s="1">
        <v>211</v>
      </c>
      <c r="B609" s="2">
        <v>41873</v>
      </c>
      <c r="C609" s="1" t="s">
        <v>96</v>
      </c>
      <c r="D609" s="5">
        <v>-850</v>
      </c>
    </row>
    <row r="610" spans="1:4" x14ac:dyDescent="0.25">
      <c r="A610" s="1">
        <v>213</v>
      </c>
      <c r="B610" s="2">
        <v>41873</v>
      </c>
      <c r="C610" s="1" t="s">
        <v>338</v>
      </c>
      <c r="D610" s="5">
        <v>139.88</v>
      </c>
    </row>
    <row r="611" spans="1:4" x14ac:dyDescent="0.25">
      <c r="A611" s="1">
        <v>214</v>
      </c>
      <c r="B611" s="2">
        <v>41873</v>
      </c>
      <c r="C611" s="1" t="s">
        <v>323</v>
      </c>
      <c r="D611" s="5">
        <v>500</v>
      </c>
    </row>
    <row r="612" spans="1:4" x14ac:dyDescent="0.25">
      <c r="A612" s="1">
        <v>218</v>
      </c>
      <c r="B612" s="2">
        <v>41873</v>
      </c>
      <c r="C612" s="1" t="s">
        <v>233</v>
      </c>
      <c r="D612" s="5">
        <v>1263.28</v>
      </c>
    </row>
    <row r="613" spans="1:4" x14ac:dyDescent="0.25">
      <c r="A613" s="1">
        <v>224</v>
      </c>
      <c r="B613" s="2">
        <v>41873</v>
      </c>
      <c r="C613" s="1" t="s">
        <v>335</v>
      </c>
      <c r="D613" s="5">
        <v>400</v>
      </c>
    </row>
    <row r="614" spans="1:4" x14ac:dyDescent="0.25">
      <c r="A614" s="1">
        <v>227</v>
      </c>
      <c r="B614" s="2">
        <v>41873</v>
      </c>
      <c r="C614" s="1" t="s">
        <v>331</v>
      </c>
      <c r="D614" s="5">
        <v>750</v>
      </c>
    </row>
    <row r="615" spans="1:4" x14ac:dyDescent="0.25">
      <c r="A615" s="1">
        <v>230</v>
      </c>
      <c r="B615" s="2">
        <v>41873</v>
      </c>
      <c r="C615" s="1" t="s">
        <v>316</v>
      </c>
      <c r="D615" s="5">
        <v>900</v>
      </c>
    </row>
    <row r="616" spans="1:4" x14ac:dyDescent="0.25">
      <c r="A616" s="1">
        <v>231</v>
      </c>
      <c r="B616" s="2">
        <v>41873</v>
      </c>
      <c r="C616" s="1" t="s">
        <v>310</v>
      </c>
      <c r="D616" s="5">
        <v>475</v>
      </c>
    </row>
    <row r="617" spans="1:4" x14ac:dyDescent="0.25">
      <c r="A617" s="1">
        <v>232</v>
      </c>
      <c r="B617" s="2">
        <v>41873</v>
      </c>
      <c r="C617" s="1" t="s">
        <v>100</v>
      </c>
      <c r="D617" s="5">
        <v>737.76</v>
      </c>
    </row>
    <row r="618" spans="1:4" x14ac:dyDescent="0.25">
      <c r="A618" s="1">
        <v>233</v>
      </c>
      <c r="B618" s="2">
        <v>41873</v>
      </c>
      <c r="C618" s="1" t="s">
        <v>294</v>
      </c>
      <c r="D618" s="5">
        <v>1700</v>
      </c>
    </row>
    <row r="619" spans="1:4" x14ac:dyDescent="0.25">
      <c r="A619" s="1">
        <v>234</v>
      </c>
      <c r="B619" s="2">
        <v>41873</v>
      </c>
      <c r="C619" s="1" t="s">
        <v>259</v>
      </c>
      <c r="D619" s="5">
        <v>950</v>
      </c>
    </row>
    <row r="620" spans="1:4" x14ac:dyDescent="0.25">
      <c r="A620" s="1">
        <v>236</v>
      </c>
      <c r="B620" s="2">
        <v>41873</v>
      </c>
      <c r="C620" s="1" t="s">
        <v>211</v>
      </c>
      <c r="D620" s="5">
        <v>925</v>
      </c>
    </row>
    <row r="621" spans="1:4" x14ac:dyDescent="0.25">
      <c r="A621" s="1">
        <v>242</v>
      </c>
      <c r="B621" s="2">
        <v>41873</v>
      </c>
      <c r="C621" s="1" t="s">
        <v>339</v>
      </c>
      <c r="D621" s="5">
        <v>408</v>
      </c>
    </row>
    <row r="622" spans="1:4" x14ac:dyDescent="0.25">
      <c r="A622" s="1">
        <v>244</v>
      </c>
      <c r="B622" s="2">
        <v>41873</v>
      </c>
      <c r="C622" s="1" t="s">
        <v>311</v>
      </c>
      <c r="D622" s="5">
        <v>571.42999999999995</v>
      </c>
    </row>
    <row r="623" spans="1:4" x14ac:dyDescent="0.25">
      <c r="A623" s="1">
        <v>245</v>
      </c>
      <c r="B623" s="2">
        <v>41873</v>
      </c>
      <c r="C623" s="1" t="s">
        <v>340</v>
      </c>
      <c r="D623" s="5">
        <v>1171.43</v>
      </c>
    </row>
    <row r="624" spans="1:4" x14ac:dyDescent="0.25">
      <c r="A624" s="1">
        <v>247</v>
      </c>
      <c r="B624" s="2">
        <v>41873</v>
      </c>
      <c r="C624" s="1" t="s">
        <v>341</v>
      </c>
      <c r="D624" s="5">
        <v>2000</v>
      </c>
    </row>
    <row r="625" spans="1:4" x14ac:dyDescent="0.25">
      <c r="A625" s="1">
        <v>248</v>
      </c>
      <c r="B625" s="2">
        <v>41873</v>
      </c>
      <c r="C625" s="1" t="s">
        <v>19</v>
      </c>
      <c r="D625" s="5">
        <v>1938</v>
      </c>
    </row>
    <row r="626" spans="1:4" x14ac:dyDescent="0.25">
      <c r="A626" s="1">
        <v>250</v>
      </c>
      <c r="B626" s="2">
        <v>41873</v>
      </c>
      <c r="C626" s="1" t="s">
        <v>212</v>
      </c>
      <c r="D626" s="5">
        <v>625</v>
      </c>
    </row>
    <row r="627" spans="1:4" x14ac:dyDescent="0.25">
      <c r="A627" s="1">
        <v>254</v>
      </c>
      <c r="B627" s="2">
        <v>41873</v>
      </c>
      <c r="C627" s="1" t="s">
        <v>317</v>
      </c>
      <c r="D627" s="5">
        <v>3575</v>
      </c>
    </row>
    <row r="628" spans="1:4" x14ac:dyDescent="0.25">
      <c r="A628" s="1">
        <v>260</v>
      </c>
      <c r="B628" s="2">
        <v>41873</v>
      </c>
      <c r="C628" s="1" t="s">
        <v>327</v>
      </c>
      <c r="D628" s="5">
        <v>575</v>
      </c>
    </row>
    <row r="629" spans="1:4" x14ac:dyDescent="0.25">
      <c r="A629" s="1">
        <v>261</v>
      </c>
      <c r="B629" s="2">
        <v>41873</v>
      </c>
      <c r="C629" s="1" t="s">
        <v>22</v>
      </c>
      <c r="D629" s="5">
        <v>500</v>
      </c>
    </row>
    <row r="630" spans="1:4" x14ac:dyDescent="0.25">
      <c r="A630" s="1">
        <v>269</v>
      </c>
      <c r="B630" s="2">
        <v>41873</v>
      </c>
      <c r="C630" s="1" t="s">
        <v>254</v>
      </c>
      <c r="D630" s="5">
        <v>1000</v>
      </c>
    </row>
    <row r="631" spans="1:4" x14ac:dyDescent="0.25">
      <c r="A631" s="1">
        <v>276</v>
      </c>
      <c r="B631" s="2">
        <v>41873</v>
      </c>
      <c r="C631" s="1" t="s">
        <v>342</v>
      </c>
      <c r="D631" s="5">
        <v>0</v>
      </c>
    </row>
    <row r="632" spans="1:4" x14ac:dyDescent="0.25">
      <c r="A632" s="1">
        <v>282</v>
      </c>
      <c r="B632" s="2">
        <v>41873</v>
      </c>
      <c r="C632" s="1" t="s">
        <v>23</v>
      </c>
      <c r="D632" s="5">
        <v>25</v>
      </c>
    </row>
    <row r="633" spans="1:4" x14ac:dyDescent="0.25">
      <c r="A633" s="1">
        <v>286</v>
      </c>
      <c r="B633" s="2">
        <v>41873</v>
      </c>
      <c r="C633" s="1" t="s">
        <v>266</v>
      </c>
      <c r="D633" s="5">
        <v>45</v>
      </c>
    </row>
    <row r="634" spans="1:4" x14ac:dyDescent="0.25">
      <c r="A634" s="1">
        <v>295</v>
      </c>
      <c r="B634" s="2">
        <v>41873</v>
      </c>
      <c r="C634" s="1" t="s">
        <v>103</v>
      </c>
      <c r="D634" s="5">
        <v>1000</v>
      </c>
    </row>
    <row r="635" spans="1:4" x14ac:dyDescent="0.25">
      <c r="A635" s="1">
        <v>302</v>
      </c>
      <c r="B635" s="2">
        <v>41873</v>
      </c>
      <c r="C635" s="1" t="s">
        <v>104</v>
      </c>
      <c r="D635" s="5">
        <v>800</v>
      </c>
    </row>
    <row r="636" spans="1:4" x14ac:dyDescent="0.25">
      <c r="A636" s="1">
        <v>324</v>
      </c>
      <c r="B636" s="2">
        <v>41873</v>
      </c>
      <c r="C636" s="1" t="s">
        <v>106</v>
      </c>
      <c r="D636" s="5">
        <v>700</v>
      </c>
    </row>
    <row r="637" spans="1:4" x14ac:dyDescent="0.25">
      <c r="A637" s="1">
        <v>352</v>
      </c>
      <c r="B637" s="2">
        <v>41873</v>
      </c>
      <c r="C637" s="1" t="s">
        <v>278</v>
      </c>
      <c r="D637" s="5">
        <v>250</v>
      </c>
    </row>
    <row r="638" spans="1:4" x14ac:dyDescent="0.25">
      <c r="A638" s="1">
        <v>355</v>
      </c>
      <c r="B638" s="2">
        <v>41873</v>
      </c>
      <c r="C638" s="1" t="s">
        <v>108</v>
      </c>
      <c r="D638" s="5">
        <v>0</v>
      </c>
    </row>
    <row r="639" spans="1:4" x14ac:dyDescent="0.25">
      <c r="A639" s="1">
        <v>360</v>
      </c>
      <c r="B639" s="2">
        <v>41873</v>
      </c>
      <c r="C639" s="1" t="s">
        <v>343</v>
      </c>
      <c r="D639" s="5">
        <v>300</v>
      </c>
    </row>
    <row r="640" spans="1:4" x14ac:dyDescent="0.25">
      <c r="A640" s="1">
        <v>368</v>
      </c>
      <c r="B640" s="2">
        <v>41873</v>
      </c>
      <c r="C640" s="1" t="s">
        <v>344</v>
      </c>
      <c r="D640" s="5">
        <v>841.5</v>
      </c>
    </row>
    <row r="641" spans="1:4" x14ac:dyDescent="0.25">
      <c r="A641" s="1">
        <v>370</v>
      </c>
      <c r="B641" s="2">
        <v>41873</v>
      </c>
      <c r="C641" s="1" t="s">
        <v>180</v>
      </c>
      <c r="D641" s="5">
        <v>382.5</v>
      </c>
    </row>
    <row r="642" spans="1:4" x14ac:dyDescent="0.25">
      <c r="A642" s="1">
        <v>389</v>
      </c>
      <c r="B642" s="2">
        <v>41873</v>
      </c>
      <c r="C642" s="1" t="s">
        <v>31</v>
      </c>
      <c r="D642" s="5">
        <v>1125</v>
      </c>
    </row>
    <row r="643" spans="1:4" x14ac:dyDescent="0.25">
      <c r="A643" s="1">
        <v>395</v>
      </c>
      <c r="B643" s="2">
        <v>41873</v>
      </c>
      <c r="C643" s="1" t="s">
        <v>332</v>
      </c>
      <c r="D643" s="5">
        <v>500</v>
      </c>
    </row>
    <row r="644" spans="1:4" x14ac:dyDescent="0.25">
      <c r="A644" s="1">
        <v>397</v>
      </c>
      <c r="B644" s="2">
        <v>41873</v>
      </c>
      <c r="C644" s="1" t="s">
        <v>287</v>
      </c>
      <c r="D644" s="5">
        <v>500</v>
      </c>
    </row>
    <row r="645" spans="1:4" x14ac:dyDescent="0.25">
      <c r="A645" s="1">
        <v>401</v>
      </c>
      <c r="B645" s="2">
        <v>41873</v>
      </c>
      <c r="C645" s="1" t="s">
        <v>184</v>
      </c>
      <c r="D645" s="5">
        <v>1175</v>
      </c>
    </row>
    <row r="646" spans="1:4" x14ac:dyDescent="0.25">
      <c r="A646" s="1">
        <v>404</v>
      </c>
      <c r="B646" s="2">
        <v>41873</v>
      </c>
      <c r="C646" s="1" t="s">
        <v>308</v>
      </c>
      <c r="D646" s="5">
        <v>400</v>
      </c>
    </row>
    <row r="647" spans="1:4" x14ac:dyDescent="0.25">
      <c r="A647" s="1">
        <v>405</v>
      </c>
      <c r="B647" s="2">
        <v>41873</v>
      </c>
      <c r="C647" s="1" t="s">
        <v>112</v>
      </c>
      <c r="D647" s="5">
        <v>650</v>
      </c>
    </row>
    <row r="648" spans="1:4" x14ac:dyDescent="0.25">
      <c r="A648" s="1">
        <v>407</v>
      </c>
      <c r="B648" s="2">
        <v>41873</v>
      </c>
      <c r="C648" s="1" t="s">
        <v>113</v>
      </c>
      <c r="D648" s="5">
        <v>333.86</v>
      </c>
    </row>
    <row r="649" spans="1:4" x14ac:dyDescent="0.25">
      <c r="A649" s="1">
        <v>415</v>
      </c>
      <c r="B649" s="2">
        <v>41873</v>
      </c>
      <c r="C649" s="1" t="s">
        <v>345</v>
      </c>
      <c r="D649" s="5">
        <v>875</v>
      </c>
    </row>
    <row r="650" spans="1:4" x14ac:dyDescent="0.25">
      <c r="A650" s="1">
        <v>418</v>
      </c>
      <c r="B650" s="2">
        <v>41873</v>
      </c>
      <c r="C650" s="1" t="s">
        <v>346</v>
      </c>
      <c r="D650" s="5">
        <v>1555.5</v>
      </c>
    </row>
    <row r="651" spans="1:4" x14ac:dyDescent="0.25">
      <c r="A651" s="1">
        <v>465</v>
      </c>
      <c r="B651" s="2">
        <v>41873</v>
      </c>
      <c r="C651" s="1" t="s">
        <v>119</v>
      </c>
      <c r="D651" s="5">
        <v>1050</v>
      </c>
    </row>
    <row r="652" spans="1:4" x14ac:dyDescent="0.25">
      <c r="A652" s="1">
        <v>472</v>
      </c>
      <c r="B652" s="2">
        <v>41873</v>
      </c>
      <c r="C652" s="1" t="s">
        <v>279</v>
      </c>
      <c r="D652" s="5">
        <v>205</v>
      </c>
    </row>
    <row r="653" spans="1:4" x14ac:dyDescent="0.25">
      <c r="A653" s="1">
        <v>480</v>
      </c>
      <c r="B653" s="2">
        <v>41873</v>
      </c>
      <c r="C653" s="1" t="s">
        <v>34</v>
      </c>
      <c r="D653" s="5">
        <v>1500</v>
      </c>
    </row>
    <row r="654" spans="1:4" x14ac:dyDescent="0.25">
      <c r="A654" s="1">
        <v>574</v>
      </c>
      <c r="B654" s="2">
        <v>41873</v>
      </c>
      <c r="C654" s="1" t="s">
        <v>298</v>
      </c>
      <c r="D654" s="5">
        <v>50</v>
      </c>
    </row>
    <row r="655" spans="1:4" x14ac:dyDescent="0.25">
      <c r="A655" s="1">
        <v>580</v>
      </c>
      <c r="B655" s="2">
        <v>41873</v>
      </c>
      <c r="C655" s="1" t="s">
        <v>37</v>
      </c>
      <c r="D655" s="5">
        <v>210</v>
      </c>
    </row>
    <row r="656" spans="1:4" x14ac:dyDescent="0.25">
      <c r="A656" s="1">
        <v>640</v>
      </c>
      <c r="B656" s="2">
        <v>41873</v>
      </c>
      <c r="C656" s="1" t="s">
        <v>347</v>
      </c>
      <c r="D656" s="5">
        <v>90</v>
      </c>
    </row>
    <row r="657" spans="1:4" x14ac:dyDescent="0.25">
      <c r="A657" s="1">
        <v>667</v>
      </c>
      <c r="B657" s="2">
        <v>41873</v>
      </c>
      <c r="C657" s="1" t="s">
        <v>348</v>
      </c>
      <c r="D657" s="5">
        <v>105</v>
      </c>
    </row>
    <row r="658" spans="1:4" x14ac:dyDescent="0.25">
      <c r="A658" s="1">
        <v>46</v>
      </c>
      <c r="B658" s="2">
        <v>41876</v>
      </c>
      <c r="C658" s="1" t="s">
        <v>78</v>
      </c>
      <c r="D658" s="5">
        <v>278.49</v>
      </c>
    </row>
    <row r="659" spans="1:4" x14ac:dyDescent="0.25">
      <c r="A659" s="1">
        <v>185</v>
      </c>
      <c r="B659" s="2">
        <v>41876</v>
      </c>
      <c r="C659" s="1" t="s">
        <v>17</v>
      </c>
      <c r="D659" s="5">
        <v>616.23</v>
      </c>
    </row>
    <row r="660" spans="1:4" x14ac:dyDescent="0.25">
      <c r="A660" s="1">
        <v>379</v>
      </c>
      <c r="B660" s="2">
        <v>41876</v>
      </c>
      <c r="C660" s="1" t="s">
        <v>30</v>
      </c>
      <c r="D660" s="5">
        <v>0</v>
      </c>
    </row>
    <row r="661" spans="1:4" x14ac:dyDescent="0.25">
      <c r="A661" s="1">
        <v>383</v>
      </c>
      <c r="B661" s="2">
        <v>41876</v>
      </c>
      <c r="C661" s="1" t="s">
        <v>220</v>
      </c>
      <c r="D661" s="5">
        <v>1350</v>
      </c>
    </row>
    <row r="662" spans="1:4" x14ac:dyDescent="0.25">
      <c r="A662" s="1">
        <v>134</v>
      </c>
      <c r="B662" s="2">
        <v>41877</v>
      </c>
      <c r="C662" s="1" t="s">
        <v>291</v>
      </c>
      <c r="D662" s="5">
        <v>1000</v>
      </c>
    </row>
    <row r="663" spans="1:4" x14ac:dyDescent="0.25">
      <c r="A663" s="1">
        <v>47</v>
      </c>
      <c r="B663" s="2">
        <v>41879</v>
      </c>
      <c r="C663" s="1" t="s">
        <v>239</v>
      </c>
      <c r="D663" s="5">
        <v>900</v>
      </c>
    </row>
    <row r="664" spans="1:4" x14ac:dyDescent="0.25">
      <c r="A664" s="1">
        <v>94</v>
      </c>
      <c r="B664" s="2">
        <v>41879</v>
      </c>
      <c r="C664" s="1" t="s">
        <v>182</v>
      </c>
      <c r="D664" s="5">
        <v>1100</v>
      </c>
    </row>
    <row r="665" spans="1:4" x14ac:dyDescent="0.25">
      <c r="A665" s="1">
        <v>104</v>
      </c>
      <c r="B665" s="2">
        <v>41879</v>
      </c>
      <c r="C665" s="1" t="s">
        <v>210</v>
      </c>
      <c r="D665" s="5">
        <v>4839.29</v>
      </c>
    </row>
    <row r="666" spans="1:4" x14ac:dyDescent="0.25">
      <c r="A666" s="1">
        <v>133</v>
      </c>
      <c r="B666" s="2">
        <v>41879</v>
      </c>
      <c r="C666" s="1" t="s">
        <v>87</v>
      </c>
      <c r="D666" s="5">
        <v>3113.19</v>
      </c>
    </row>
    <row r="667" spans="1:4" x14ac:dyDescent="0.25">
      <c r="A667" s="1">
        <v>152</v>
      </c>
      <c r="B667" s="2">
        <v>41879</v>
      </c>
      <c r="C667" s="1" t="s">
        <v>90</v>
      </c>
      <c r="D667" s="5">
        <v>484.5</v>
      </c>
    </row>
    <row r="668" spans="1:4" x14ac:dyDescent="0.25">
      <c r="A668" s="1">
        <v>157</v>
      </c>
      <c r="B668" s="2">
        <v>41879</v>
      </c>
      <c r="C668" s="1" t="s">
        <v>92</v>
      </c>
      <c r="D668" s="5">
        <v>357</v>
      </c>
    </row>
    <row r="669" spans="1:4" x14ac:dyDescent="0.25">
      <c r="A669" s="1">
        <v>206</v>
      </c>
      <c r="B669" s="2">
        <v>41879</v>
      </c>
      <c r="C669" s="1" t="s">
        <v>334</v>
      </c>
      <c r="D669" s="5">
        <v>841.5</v>
      </c>
    </row>
    <row r="670" spans="1:4" x14ac:dyDescent="0.25">
      <c r="A670" s="1">
        <v>214</v>
      </c>
      <c r="B670" s="2">
        <v>41879</v>
      </c>
      <c r="C670" s="1" t="s">
        <v>323</v>
      </c>
      <c r="D670" s="5">
        <v>500</v>
      </c>
    </row>
    <row r="671" spans="1:4" x14ac:dyDescent="0.25">
      <c r="A671" s="1">
        <v>218</v>
      </c>
      <c r="B671" s="2">
        <v>41879</v>
      </c>
      <c r="C671" s="1" t="s">
        <v>233</v>
      </c>
      <c r="D671" s="5">
        <v>500</v>
      </c>
    </row>
    <row r="672" spans="1:4" x14ac:dyDescent="0.25">
      <c r="A672" s="1">
        <v>224</v>
      </c>
      <c r="B672" s="2">
        <v>41879</v>
      </c>
      <c r="C672" s="1" t="s">
        <v>335</v>
      </c>
      <c r="D672" s="5">
        <v>500</v>
      </c>
    </row>
    <row r="673" spans="1:4" x14ac:dyDescent="0.25">
      <c r="A673" s="1">
        <v>230</v>
      </c>
      <c r="B673" s="2">
        <v>41879</v>
      </c>
      <c r="C673" s="1" t="s">
        <v>316</v>
      </c>
      <c r="D673" s="5">
        <v>500</v>
      </c>
    </row>
    <row r="674" spans="1:4" x14ac:dyDescent="0.25">
      <c r="A674" s="1">
        <v>232</v>
      </c>
      <c r="B674" s="2">
        <v>41879</v>
      </c>
      <c r="C674" s="1" t="s">
        <v>100</v>
      </c>
      <c r="D674" s="5">
        <v>6.65</v>
      </c>
    </row>
    <row r="675" spans="1:4" x14ac:dyDescent="0.25">
      <c r="A675" s="1">
        <v>234</v>
      </c>
      <c r="B675" s="2">
        <v>41879</v>
      </c>
      <c r="C675" s="1" t="s">
        <v>259</v>
      </c>
      <c r="D675" s="5">
        <v>500</v>
      </c>
    </row>
    <row r="676" spans="1:4" x14ac:dyDescent="0.25">
      <c r="A676" s="1">
        <v>237</v>
      </c>
      <c r="B676" s="2">
        <v>41879</v>
      </c>
      <c r="C676" s="1" t="s">
        <v>336</v>
      </c>
      <c r="D676" s="5">
        <v>500</v>
      </c>
    </row>
    <row r="677" spans="1:4" x14ac:dyDescent="0.25">
      <c r="A677" s="1">
        <v>248</v>
      </c>
      <c r="B677" s="2">
        <v>41879</v>
      </c>
      <c r="C677" s="1" t="s">
        <v>19</v>
      </c>
      <c r="D677" s="5">
        <v>1602.5</v>
      </c>
    </row>
    <row r="678" spans="1:4" x14ac:dyDescent="0.25">
      <c r="A678" s="1">
        <v>260</v>
      </c>
      <c r="B678" s="2">
        <v>41879</v>
      </c>
      <c r="C678" s="1" t="s">
        <v>327</v>
      </c>
      <c r="D678" s="5">
        <v>825</v>
      </c>
    </row>
    <row r="679" spans="1:4" x14ac:dyDescent="0.25">
      <c r="A679" s="1">
        <v>302</v>
      </c>
      <c r="B679" s="2">
        <v>41879</v>
      </c>
      <c r="C679" s="1" t="s">
        <v>104</v>
      </c>
      <c r="D679" s="5">
        <v>600</v>
      </c>
    </row>
    <row r="680" spans="1:4" x14ac:dyDescent="0.25">
      <c r="A680" s="1">
        <v>304</v>
      </c>
      <c r="B680" s="2">
        <v>41879</v>
      </c>
      <c r="C680" s="1" t="s">
        <v>295</v>
      </c>
      <c r="D680" s="5">
        <v>600</v>
      </c>
    </row>
    <row r="681" spans="1:4" x14ac:dyDescent="0.25">
      <c r="A681" s="1">
        <v>328</v>
      </c>
      <c r="B681" s="2">
        <v>41879</v>
      </c>
      <c r="C681" s="1" t="s">
        <v>26</v>
      </c>
      <c r="D681" s="5">
        <v>250</v>
      </c>
    </row>
    <row r="682" spans="1:4" x14ac:dyDescent="0.25">
      <c r="A682" s="1">
        <v>358</v>
      </c>
      <c r="B682" s="2">
        <v>41879</v>
      </c>
      <c r="C682" s="1" t="s">
        <v>179</v>
      </c>
      <c r="D682" s="5">
        <v>2500</v>
      </c>
    </row>
    <row r="683" spans="1:4" x14ac:dyDescent="0.25">
      <c r="A683" s="1">
        <v>382</v>
      </c>
      <c r="B683" s="2">
        <v>41879</v>
      </c>
      <c r="C683" s="1" t="s">
        <v>164</v>
      </c>
      <c r="D683" s="5">
        <v>1825</v>
      </c>
    </row>
    <row r="684" spans="1:4" x14ac:dyDescent="0.25">
      <c r="A684" s="1">
        <v>391</v>
      </c>
      <c r="B684" s="2">
        <v>41879</v>
      </c>
      <c r="C684" s="1" t="s">
        <v>319</v>
      </c>
      <c r="D684" s="5">
        <v>1100</v>
      </c>
    </row>
    <row r="685" spans="1:4" x14ac:dyDescent="0.25">
      <c r="A685" s="1">
        <v>392</v>
      </c>
      <c r="B685" s="2">
        <v>41879</v>
      </c>
      <c r="C685" s="1" t="s">
        <v>111</v>
      </c>
      <c r="D685" s="5">
        <v>2125</v>
      </c>
    </row>
    <row r="686" spans="1:4" x14ac:dyDescent="0.25">
      <c r="A686" s="1">
        <v>41</v>
      </c>
      <c r="B686" s="2">
        <v>41880</v>
      </c>
      <c r="C686" s="1" t="s">
        <v>10</v>
      </c>
      <c r="D686" s="5">
        <v>3993.1</v>
      </c>
    </row>
    <row r="687" spans="1:4" x14ac:dyDescent="0.25">
      <c r="A687" s="1">
        <v>46</v>
      </c>
      <c r="B687" s="2">
        <v>41880</v>
      </c>
      <c r="C687" s="1" t="s">
        <v>78</v>
      </c>
      <c r="D687" s="5">
        <v>1000</v>
      </c>
    </row>
    <row r="688" spans="1:4" x14ac:dyDescent="0.25">
      <c r="A688" s="1">
        <v>74</v>
      </c>
      <c r="B688" s="2">
        <v>41880</v>
      </c>
      <c r="C688" s="1" t="s">
        <v>328</v>
      </c>
      <c r="D688" s="5">
        <v>1000</v>
      </c>
    </row>
    <row r="689" spans="1:4" x14ac:dyDescent="0.25">
      <c r="A689" s="1">
        <v>87</v>
      </c>
      <c r="B689" s="2">
        <v>41880</v>
      </c>
      <c r="C689" s="1" t="s">
        <v>329</v>
      </c>
      <c r="D689" s="5">
        <v>500</v>
      </c>
    </row>
    <row r="690" spans="1:4" x14ac:dyDescent="0.25">
      <c r="A690" s="1">
        <v>149</v>
      </c>
      <c r="B690" s="2">
        <v>41880</v>
      </c>
      <c r="C690" s="1" t="s">
        <v>241</v>
      </c>
      <c r="D690" s="5">
        <v>-725</v>
      </c>
    </row>
    <row r="691" spans="1:4" x14ac:dyDescent="0.25">
      <c r="A691" s="1">
        <v>159</v>
      </c>
      <c r="B691" s="2">
        <v>41880</v>
      </c>
      <c r="C691" s="1" t="s">
        <v>330</v>
      </c>
      <c r="D691" s="5">
        <v>600</v>
      </c>
    </row>
    <row r="692" spans="1:4" x14ac:dyDescent="0.25">
      <c r="A692" s="1">
        <v>227</v>
      </c>
      <c r="B692" s="2">
        <v>41880</v>
      </c>
      <c r="C692" s="1" t="s">
        <v>331</v>
      </c>
      <c r="D692" s="5">
        <v>500</v>
      </c>
    </row>
    <row r="693" spans="1:4" x14ac:dyDescent="0.25">
      <c r="A693" s="1">
        <v>231</v>
      </c>
      <c r="B693" s="2">
        <v>41880</v>
      </c>
      <c r="C693" s="1" t="s">
        <v>310</v>
      </c>
      <c r="D693" s="5">
        <v>775</v>
      </c>
    </row>
    <row r="694" spans="1:4" x14ac:dyDescent="0.25">
      <c r="A694" s="1">
        <v>232</v>
      </c>
      <c r="B694" s="2">
        <v>41880</v>
      </c>
      <c r="C694" s="1" t="s">
        <v>100</v>
      </c>
      <c r="D694" s="5">
        <v>1718.38</v>
      </c>
    </row>
    <row r="695" spans="1:4" x14ac:dyDescent="0.25">
      <c r="A695" s="1">
        <v>233</v>
      </c>
      <c r="B695" s="2">
        <v>41880</v>
      </c>
      <c r="C695" s="1" t="s">
        <v>294</v>
      </c>
      <c r="D695" s="5">
        <v>575</v>
      </c>
    </row>
    <row r="696" spans="1:4" x14ac:dyDescent="0.25">
      <c r="A696" s="1">
        <v>236</v>
      </c>
      <c r="B696" s="2">
        <v>41880</v>
      </c>
      <c r="C696" s="1" t="s">
        <v>211</v>
      </c>
      <c r="D696" s="5">
        <v>800</v>
      </c>
    </row>
    <row r="697" spans="1:4" x14ac:dyDescent="0.25">
      <c r="A697" s="1">
        <v>254</v>
      </c>
      <c r="B697" s="2">
        <v>41880</v>
      </c>
      <c r="C697" s="1" t="s">
        <v>317</v>
      </c>
      <c r="D697" s="5">
        <v>3925</v>
      </c>
    </row>
    <row r="698" spans="1:4" x14ac:dyDescent="0.25">
      <c r="A698" s="1">
        <v>261</v>
      </c>
      <c r="B698" s="2">
        <v>41880</v>
      </c>
      <c r="C698" s="1" t="s">
        <v>22</v>
      </c>
      <c r="D698" s="5">
        <v>1825</v>
      </c>
    </row>
    <row r="699" spans="1:4" x14ac:dyDescent="0.25">
      <c r="A699" s="1">
        <v>268</v>
      </c>
      <c r="B699" s="2">
        <v>41880</v>
      </c>
      <c r="C699" s="1" t="s">
        <v>162</v>
      </c>
      <c r="D699" s="5">
        <v>1344.5</v>
      </c>
    </row>
    <row r="700" spans="1:4" x14ac:dyDescent="0.25">
      <c r="A700" s="1">
        <v>321</v>
      </c>
      <c r="B700" s="2">
        <v>41880</v>
      </c>
      <c r="C700" s="1" t="s">
        <v>105</v>
      </c>
      <c r="D700" s="5">
        <v>775</v>
      </c>
    </row>
    <row r="701" spans="1:4" x14ac:dyDescent="0.25">
      <c r="A701" s="1">
        <v>325</v>
      </c>
      <c r="B701" s="2">
        <v>41880</v>
      </c>
      <c r="C701" s="1" t="s">
        <v>107</v>
      </c>
      <c r="D701" s="5">
        <v>1450</v>
      </c>
    </row>
    <row r="702" spans="1:4" x14ac:dyDescent="0.25">
      <c r="A702" s="1">
        <v>326</v>
      </c>
      <c r="B702" s="2">
        <v>41880</v>
      </c>
      <c r="C702" s="1" t="s">
        <v>25</v>
      </c>
      <c r="D702" s="5">
        <v>1975</v>
      </c>
    </row>
    <row r="703" spans="1:4" x14ac:dyDescent="0.25">
      <c r="A703" s="1">
        <v>329</v>
      </c>
      <c r="B703" s="2">
        <v>41880</v>
      </c>
      <c r="C703" s="1" t="s">
        <v>199</v>
      </c>
      <c r="D703" s="5">
        <v>1198.5</v>
      </c>
    </row>
    <row r="704" spans="1:4" x14ac:dyDescent="0.25">
      <c r="A704" s="1">
        <v>332</v>
      </c>
      <c r="B704" s="2">
        <v>41880</v>
      </c>
      <c r="C704" s="1" t="s">
        <v>27</v>
      </c>
      <c r="D704" s="5">
        <v>2601</v>
      </c>
    </row>
    <row r="705" spans="1:4" x14ac:dyDescent="0.25">
      <c r="A705" s="1">
        <v>347</v>
      </c>
      <c r="B705" s="2">
        <v>41880</v>
      </c>
      <c r="C705" s="1" t="s">
        <v>313</v>
      </c>
      <c r="D705" s="5">
        <v>663</v>
      </c>
    </row>
    <row r="706" spans="1:4" x14ac:dyDescent="0.25">
      <c r="A706" s="1">
        <v>355</v>
      </c>
      <c r="B706" s="2">
        <v>41880</v>
      </c>
      <c r="C706" s="1" t="s">
        <v>108</v>
      </c>
      <c r="D706" s="5">
        <v>0</v>
      </c>
    </row>
    <row r="707" spans="1:4" x14ac:dyDescent="0.25">
      <c r="A707" s="1">
        <v>389</v>
      </c>
      <c r="B707" s="2">
        <v>41880</v>
      </c>
      <c r="C707" s="1" t="s">
        <v>31</v>
      </c>
      <c r="D707" s="5">
        <v>5950</v>
      </c>
    </row>
    <row r="708" spans="1:4" x14ac:dyDescent="0.25">
      <c r="A708" s="1">
        <v>395</v>
      </c>
      <c r="B708" s="2">
        <v>41880</v>
      </c>
      <c r="C708" s="1" t="s">
        <v>332</v>
      </c>
      <c r="D708" s="5">
        <v>500</v>
      </c>
    </row>
    <row r="709" spans="1:4" x14ac:dyDescent="0.25">
      <c r="A709" s="1">
        <v>397</v>
      </c>
      <c r="B709" s="2">
        <v>41880</v>
      </c>
      <c r="C709" s="1" t="s">
        <v>287</v>
      </c>
      <c r="D709" s="5">
        <v>500</v>
      </c>
    </row>
    <row r="710" spans="1:4" x14ac:dyDescent="0.25">
      <c r="A710" s="1">
        <v>410</v>
      </c>
      <c r="B710" s="2">
        <v>41880</v>
      </c>
      <c r="C710" s="1" t="s">
        <v>32</v>
      </c>
      <c r="D710" s="5">
        <v>1200</v>
      </c>
    </row>
    <row r="711" spans="1:4" x14ac:dyDescent="0.25">
      <c r="A711" s="1">
        <v>429</v>
      </c>
      <c r="B711" s="2">
        <v>41880</v>
      </c>
      <c r="C711" s="1" t="s">
        <v>296</v>
      </c>
      <c r="D711" s="5">
        <v>1125</v>
      </c>
    </row>
    <row r="712" spans="1:4" x14ac:dyDescent="0.25">
      <c r="A712" s="1">
        <v>430</v>
      </c>
      <c r="B712" s="2">
        <v>41880</v>
      </c>
      <c r="C712" s="1" t="s">
        <v>114</v>
      </c>
      <c r="D712" s="5">
        <v>841.5</v>
      </c>
    </row>
    <row r="713" spans="1:4" x14ac:dyDescent="0.25">
      <c r="A713" s="1">
        <v>443</v>
      </c>
      <c r="B713" s="2">
        <v>41880</v>
      </c>
      <c r="C713" s="1" t="s">
        <v>300</v>
      </c>
      <c r="D713" s="5">
        <v>275</v>
      </c>
    </row>
    <row r="714" spans="1:4" x14ac:dyDescent="0.25">
      <c r="A714" s="1">
        <v>472</v>
      </c>
      <c r="B714" s="2">
        <v>41880</v>
      </c>
      <c r="C714" s="1" t="s">
        <v>279</v>
      </c>
      <c r="D714" s="5">
        <v>500</v>
      </c>
    </row>
    <row r="715" spans="1:4" x14ac:dyDescent="0.25">
      <c r="A715" s="1">
        <v>580</v>
      </c>
      <c r="B715" s="2">
        <v>41880</v>
      </c>
      <c r="C715" s="1" t="s">
        <v>37</v>
      </c>
      <c r="D715" s="5">
        <v>500</v>
      </c>
    </row>
    <row r="716" spans="1:4" x14ac:dyDescent="0.25">
      <c r="A716" s="1">
        <v>642</v>
      </c>
      <c r="B716" s="2">
        <v>41880</v>
      </c>
      <c r="C716" s="1" t="s">
        <v>333</v>
      </c>
      <c r="D716" s="5">
        <v>80</v>
      </c>
    </row>
    <row r="717" spans="1:4" x14ac:dyDescent="0.25">
      <c r="A717" s="1">
        <v>269</v>
      </c>
      <c r="B717" s="2">
        <v>41884</v>
      </c>
      <c r="C717" s="1" t="s">
        <v>254</v>
      </c>
      <c r="D717" s="5">
        <v>1000</v>
      </c>
    </row>
    <row r="718" spans="1:4" x14ac:dyDescent="0.25">
      <c r="A718" s="1">
        <v>41</v>
      </c>
      <c r="B718" s="2">
        <v>41886</v>
      </c>
      <c r="C718" s="1" t="s">
        <v>10</v>
      </c>
      <c r="D718" s="5">
        <v>560</v>
      </c>
    </row>
    <row r="719" spans="1:4" x14ac:dyDescent="0.25">
      <c r="A719" s="1">
        <v>85</v>
      </c>
      <c r="B719" s="2">
        <v>41886</v>
      </c>
      <c r="C719" s="1" t="s">
        <v>79</v>
      </c>
      <c r="D719" s="5">
        <v>325</v>
      </c>
    </row>
    <row r="720" spans="1:4" x14ac:dyDescent="0.25">
      <c r="A720" s="1">
        <v>133</v>
      </c>
      <c r="B720" s="2">
        <v>41886</v>
      </c>
      <c r="C720" s="1" t="s">
        <v>87</v>
      </c>
      <c r="D720" s="5">
        <v>354.05</v>
      </c>
    </row>
    <row r="721" spans="1:4" x14ac:dyDescent="0.25">
      <c r="A721" s="1">
        <v>142</v>
      </c>
      <c r="B721" s="2">
        <v>41886</v>
      </c>
      <c r="C721" s="1" t="s">
        <v>324</v>
      </c>
      <c r="D721" s="5">
        <v>787.7</v>
      </c>
    </row>
    <row r="722" spans="1:4" x14ac:dyDescent="0.25">
      <c r="A722" s="1">
        <v>185</v>
      </c>
      <c r="B722" s="2">
        <v>41886</v>
      </c>
      <c r="C722" s="1" t="s">
        <v>17</v>
      </c>
      <c r="D722" s="5">
        <v>1000</v>
      </c>
    </row>
    <row r="723" spans="1:4" x14ac:dyDescent="0.25">
      <c r="A723" s="1">
        <v>203</v>
      </c>
      <c r="B723" s="2">
        <v>41886</v>
      </c>
      <c r="C723" s="1" t="s">
        <v>95</v>
      </c>
      <c r="D723" s="5">
        <v>-36</v>
      </c>
    </row>
    <row r="724" spans="1:4" x14ac:dyDescent="0.25">
      <c r="A724" s="1">
        <v>217</v>
      </c>
      <c r="B724" s="2">
        <v>41886</v>
      </c>
      <c r="C724" s="1" t="s">
        <v>97</v>
      </c>
      <c r="D724" s="5">
        <v>900</v>
      </c>
    </row>
    <row r="725" spans="1:4" x14ac:dyDescent="0.25">
      <c r="A725" s="1">
        <v>218</v>
      </c>
      <c r="B725" s="2">
        <v>41886</v>
      </c>
      <c r="C725" s="1" t="s">
        <v>233</v>
      </c>
      <c r="D725" s="5">
        <v>1150</v>
      </c>
    </row>
    <row r="726" spans="1:4" x14ac:dyDescent="0.25">
      <c r="A726" s="1">
        <v>223</v>
      </c>
      <c r="B726" s="2">
        <v>41886</v>
      </c>
      <c r="C726" s="1" t="s">
        <v>325</v>
      </c>
      <c r="D726" s="5">
        <v>393.5</v>
      </c>
    </row>
    <row r="727" spans="1:4" x14ac:dyDescent="0.25">
      <c r="A727" s="1">
        <v>225</v>
      </c>
      <c r="B727" s="2">
        <v>41886</v>
      </c>
      <c r="C727" s="1" t="s">
        <v>326</v>
      </c>
      <c r="D727" s="5">
        <v>500</v>
      </c>
    </row>
    <row r="728" spans="1:4" x14ac:dyDescent="0.25">
      <c r="A728" s="1">
        <v>230</v>
      </c>
      <c r="B728" s="2">
        <v>41886</v>
      </c>
      <c r="C728" s="1" t="s">
        <v>316</v>
      </c>
      <c r="D728" s="5">
        <v>1425</v>
      </c>
    </row>
    <row r="729" spans="1:4" x14ac:dyDescent="0.25">
      <c r="A729" s="1">
        <v>231</v>
      </c>
      <c r="B729" s="2">
        <v>41886</v>
      </c>
      <c r="C729" s="1" t="s">
        <v>310</v>
      </c>
      <c r="D729" s="5">
        <v>500</v>
      </c>
    </row>
    <row r="730" spans="1:4" x14ac:dyDescent="0.25">
      <c r="A730" s="1">
        <v>232</v>
      </c>
      <c r="B730" s="2">
        <v>41886</v>
      </c>
      <c r="C730" s="1" t="s">
        <v>100</v>
      </c>
      <c r="D730" s="5">
        <v>1950</v>
      </c>
    </row>
    <row r="731" spans="1:4" x14ac:dyDescent="0.25">
      <c r="A731" s="1">
        <v>233</v>
      </c>
      <c r="B731" s="2">
        <v>41886</v>
      </c>
      <c r="C731" s="1" t="s">
        <v>294</v>
      </c>
      <c r="D731" s="5">
        <v>1275</v>
      </c>
    </row>
    <row r="732" spans="1:4" x14ac:dyDescent="0.25">
      <c r="A732" s="1">
        <v>236</v>
      </c>
      <c r="B732" s="2">
        <v>41886</v>
      </c>
      <c r="C732" s="1" t="s">
        <v>211</v>
      </c>
      <c r="D732" s="5">
        <v>900</v>
      </c>
    </row>
    <row r="733" spans="1:4" x14ac:dyDescent="0.25">
      <c r="A733" s="1">
        <v>248</v>
      </c>
      <c r="B733" s="2">
        <v>41886</v>
      </c>
      <c r="C733" s="1" t="s">
        <v>19</v>
      </c>
      <c r="D733" s="5">
        <v>816</v>
      </c>
    </row>
    <row r="734" spans="1:4" x14ac:dyDescent="0.25">
      <c r="A734" s="1">
        <v>250</v>
      </c>
      <c r="B734" s="2">
        <v>41886</v>
      </c>
      <c r="C734" s="1" t="s">
        <v>212</v>
      </c>
      <c r="D734" s="5">
        <v>433.5</v>
      </c>
    </row>
    <row r="735" spans="1:4" x14ac:dyDescent="0.25">
      <c r="A735" s="1">
        <v>260</v>
      </c>
      <c r="B735" s="2">
        <v>41886</v>
      </c>
      <c r="C735" s="1" t="s">
        <v>327</v>
      </c>
      <c r="D735" s="5">
        <v>425</v>
      </c>
    </row>
    <row r="736" spans="1:4" x14ac:dyDescent="0.25">
      <c r="A736" s="1">
        <v>269</v>
      </c>
      <c r="B736" s="2">
        <v>41886</v>
      </c>
      <c r="C736" s="1" t="s">
        <v>254</v>
      </c>
      <c r="D736" s="5">
        <v>1000</v>
      </c>
    </row>
    <row r="737" spans="1:4" x14ac:dyDescent="0.25">
      <c r="A737" s="1">
        <v>325</v>
      </c>
      <c r="B737" s="2">
        <v>41886</v>
      </c>
      <c r="C737" s="1" t="s">
        <v>107</v>
      </c>
      <c r="D737" s="5">
        <v>675</v>
      </c>
    </row>
    <row r="738" spans="1:4" x14ac:dyDescent="0.25">
      <c r="A738" s="1">
        <v>326</v>
      </c>
      <c r="B738" s="2">
        <v>41886</v>
      </c>
      <c r="C738" s="1" t="s">
        <v>25</v>
      </c>
      <c r="D738" s="5">
        <v>1175</v>
      </c>
    </row>
    <row r="739" spans="1:4" x14ac:dyDescent="0.25">
      <c r="A739" s="1">
        <v>355</v>
      </c>
      <c r="B739" s="2">
        <v>41886</v>
      </c>
      <c r="C739" s="1" t="s">
        <v>108</v>
      </c>
      <c r="D739" s="5">
        <v>0</v>
      </c>
    </row>
    <row r="740" spans="1:4" x14ac:dyDescent="0.25">
      <c r="A740" s="1">
        <v>383</v>
      </c>
      <c r="B740" s="2">
        <v>41886</v>
      </c>
      <c r="C740" s="1" t="s">
        <v>220</v>
      </c>
      <c r="D740" s="5">
        <v>1425</v>
      </c>
    </row>
    <row r="741" spans="1:4" x14ac:dyDescent="0.25">
      <c r="A741" s="1">
        <v>391</v>
      </c>
      <c r="B741" s="2">
        <v>41886</v>
      </c>
      <c r="C741" s="1" t="s">
        <v>319</v>
      </c>
      <c r="D741" s="5">
        <v>900</v>
      </c>
    </row>
    <row r="742" spans="1:4" x14ac:dyDescent="0.25">
      <c r="A742" s="1">
        <v>392</v>
      </c>
      <c r="B742" s="2">
        <v>41886</v>
      </c>
      <c r="C742" s="1" t="s">
        <v>111</v>
      </c>
      <c r="D742" s="5">
        <v>1300</v>
      </c>
    </row>
    <row r="743" spans="1:4" x14ac:dyDescent="0.25">
      <c r="A743" s="1">
        <v>397</v>
      </c>
      <c r="B743" s="2">
        <v>41886</v>
      </c>
      <c r="C743" s="1" t="s">
        <v>287</v>
      </c>
      <c r="D743" s="5">
        <v>500</v>
      </c>
    </row>
    <row r="744" spans="1:4" x14ac:dyDescent="0.25">
      <c r="A744" s="1">
        <v>401</v>
      </c>
      <c r="B744" s="2">
        <v>41886</v>
      </c>
      <c r="C744" s="1" t="s">
        <v>184</v>
      </c>
      <c r="D744" s="5">
        <v>900</v>
      </c>
    </row>
    <row r="745" spans="1:4" x14ac:dyDescent="0.25">
      <c r="A745" s="1">
        <v>429</v>
      </c>
      <c r="B745" s="2">
        <v>41886</v>
      </c>
      <c r="C745" s="1" t="s">
        <v>296</v>
      </c>
      <c r="D745" s="5">
        <v>525</v>
      </c>
    </row>
    <row r="746" spans="1:4" x14ac:dyDescent="0.25">
      <c r="A746" s="1">
        <v>472</v>
      </c>
      <c r="B746" s="2">
        <v>41886</v>
      </c>
      <c r="C746" s="1" t="s">
        <v>279</v>
      </c>
      <c r="D746" s="5">
        <v>500</v>
      </c>
    </row>
    <row r="747" spans="1:4" x14ac:dyDescent="0.25">
      <c r="A747" s="1">
        <v>580</v>
      </c>
      <c r="B747" s="2">
        <v>41886</v>
      </c>
      <c r="C747" s="1" t="s">
        <v>37</v>
      </c>
      <c r="D747" s="5">
        <v>500</v>
      </c>
    </row>
    <row r="748" spans="1:4" x14ac:dyDescent="0.25">
      <c r="A748" s="1">
        <v>41</v>
      </c>
      <c r="B748" s="2">
        <v>41887</v>
      </c>
      <c r="C748" s="1" t="s">
        <v>10</v>
      </c>
      <c r="D748" s="5">
        <v>1463.7</v>
      </c>
    </row>
    <row r="749" spans="1:4" x14ac:dyDescent="0.25">
      <c r="A749" s="1">
        <v>63</v>
      </c>
      <c r="B749" s="2">
        <v>41887</v>
      </c>
      <c r="C749" s="1" t="s">
        <v>181</v>
      </c>
      <c r="D749" s="5">
        <v>0</v>
      </c>
    </row>
    <row r="750" spans="1:4" x14ac:dyDescent="0.25">
      <c r="A750" s="1">
        <v>85</v>
      </c>
      <c r="B750" s="2">
        <v>41887</v>
      </c>
      <c r="C750" s="1" t="s">
        <v>79</v>
      </c>
      <c r="D750" s="5">
        <v>1218.75</v>
      </c>
    </row>
    <row r="751" spans="1:4" x14ac:dyDescent="0.25">
      <c r="A751" s="1">
        <v>157</v>
      </c>
      <c r="B751" s="2">
        <v>41887</v>
      </c>
      <c r="C751" s="1" t="s">
        <v>92</v>
      </c>
      <c r="D751" s="5">
        <v>114.75</v>
      </c>
    </row>
    <row r="752" spans="1:4" x14ac:dyDescent="0.25">
      <c r="A752" s="1">
        <v>203</v>
      </c>
      <c r="B752" s="2">
        <v>41887</v>
      </c>
      <c r="C752" s="1" t="s">
        <v>95</v>
      </c>
      <c r="D752" s="5">
        <v>812.2</v>
      </c>
    </row>
    <row r="753" spans="1:4" x14ac:dyDescent="0.25">
      <c r="A753" s="1">
        <v>214</v>
      </c>
      <c r="B753" s="2">
        <v>41887</v>
      </c>
      <c r="C753" s="1" t="s">
        <v>323</v>
      </c>
      <c r="D753" s="5">
        <v>1500</v>
      </c>
    </row>
    <row r="754" spans="1:4" x14ac:dyDescent="0.25">
      <c r="A754" s="1">
        <v>254</v>
      </c>
      <c r="B754" s="2">
        <v>41887</v>
      </c>
      <c r="C754" s="1" t="s">
        <v>317</v>
      </c>
      <c r="D754" s="5">
        <v>4428</v>
      </c>
    </row>
    <row r="755" spans="1:4" x14ac:dyDescent="0.25">
      <c r="A755" s="1">
        <v>261</v>
      </c>
      <c r="B755" s="2">
        <v>41887</v>
      </c>
      <c r="C755" s="1" t="s">
        <v>22</v>
      </c>
      <c r="D755" s="5">
        <v>4150</v>
      </c>
    </row>
    <row r="756" spans="1:4" x14ac:dyDescent="0.25">
      <c r="A756" s="1">
        <v>268</v>
      </c>
      <c r="B756" s="2">
        <v>41887</v>
      </c>
      <c r="C756" s="1" t="s">
        <v>162</v>
      </c>
      <c r="D756" s="5">
        <v>675</v>
      </c>
    </row>
    <row r="757" spans="1:4" x14ac:dyDescent="0.25">
      <c r="A757" s="1">
        <v>321</v>
      </c>
      <c r="B757" s="2">
        <v>41887</v>
      </c>
      <c r="C757" s="1" t="s">
        <v>105</v>
      </c>
      <c r="D757" s="5">
        <v>1400</v>
      </c>
    </row>
    <row r="758" spans="1:4" x14ac:dyDescent="0.25">
      <c r="A758" s="1">
        <v>341</v>
      </c>
      <c r="B758" s="2">
        <v>41887</v>
      </c>
      <c r="C758" s="1" t="s">
        <v>307</v>
      </c>
      <c r="D758" s="5">
        <v>650</v>
      </c>
    </row>
    <row r="759" spans="1:4" x14ac:dyDescent="0.25">
      <c r="A759" s="1">
        <v>373</v>
      </c>
      <c r="B759" s="2">
        <v>41887</v>
      </c>
      <c r="C759" s="1" t="s">
        <v>234</v>
      </c>
      <c r="D759" s="5">
        <v>-1888.37</v>
      </c>
    </row>
    <row r="760" spans="1:4" x14ac:dyDescent="0.25">
      <c r="A760" s="1">
        <v>389</v>
      </c>
      <c r="B760" s="2">
        <v>41887</v>
      </c>
      <c r="C760" s="1" t="s">
        <v>31</v>
      </c>
      <c r="D760" s="5">
        <v>550</v>
      </c>
    </row>
    <row r="761" spans="1:4" x14ac:dyDescent="0.25">
      <c r="A761" s="1">
        <v>438</v>
      </c>
      <c r="B761" s="2">
        <v>41887</v>
      </c>
      <c r="C761" s="1" t="s">
        <v>115</v>
      </c>
      <c r="D761" s="5">
        <v>2175</v>
      </c>
    </row>
    <row r="762" spans="1:4" x14ac:dyDescent="0.25">
      <c r="A762" s="1">
        <v>446</v>
      </c>
      <c r="B762" s="2">
        <v>41887</v>
      </c>
      <c r="C762" s="1" t="s">
        <v>116</v>
      </c>
      <c r="D762" s="5">
        <v>225</v>
      </c>
    </row>
    <row r="763" spans="1:4" x14ac:dyDescent="0.25">
      <c r="A763" s="1">
        <v>458</v>
      </c>
      <c r="B763" s="2">
        <v>41887</v>
      </c>
      <c r="C763" s="1" t="s">
        <v>185</v>
      </c>
      <c r="D763" s="5">
        <v>775</v>
      </c>
    </row>
    <row r="764" spans="1:4" x14ac:dyDescent="0.25">
      <c r="A764" s="1">
        <v>487</v>
      </c>
      <c r="B764" s="2">
        <v>41887</v>
      </c>
      <c r="C764" s="1" t="s">
        <v>303</v>
      </c>
      <c r="D764" s="5">
        <v>1132.5</v>
      </c>
    </row>
    <row r="765" spans="1:4" x14ac:dyDescent="0.25">
      <c r="A765" s="1">
        <v>41</v>
      </c>
      <c r="B765" s="2">
        <v>41888</v>
      </c>
      <c r="C765" s="1" t="s">
        <v>10</v>
      </c>
      <c r="D765" s="5">
        <v>1071</v>
      </c>
    </row>
    <row r="766" spans="1:4" x14ac:dyDescent="0.25">
      <c r="A766" s="1">
        <v>41</v>
      </c>
      <c r="B766" s="2">
        <v>41889</v>
      </c>
      <c r="C766" s="1" t="s">
        <v>10</v>
      </c>
      <c r="D766" s="5">
        <v>1428</v>
      </c>
    </row>
    <row r="767" spans="1:4" x14ac:dyDescent="0.25">
      <c r="A767" s="1">
        <v>41</v>
      </c>
      <c r="B767" s="2">
        <v>41890</v>
      </c>
      <c r="C767" s="1" t="s">
        <v>10</v>
      </c>
      <c r="D767" s="5">
        <v>1856.4</v>
      </c>
    </row>
    <row r="768" spans="1:4" x14ac:dyDescent="0.25">
      <c r="A768" s="1">
        <v>27</v>
      </c>
      <c r="B768" s="2">
        <v>41891</v>
      </c>
      <c r="C768" s="1" t="s">
        <v>159</v>
      </c>
      <c r="D768" s="5">
        <v>500</v>
      </c>
    </row>
    <row r="769" spans="1:4" x14ac:dyDescent="0.25">
      <c r="A769" s="1">
        <v>41</v>
      </c>
      <c r="B769" s="2">
        <v>41891</v>
      </c>
      <c r="C769" s="1" t="s">
        <v>10</v>
      </c>
      <c r="D769" s="5">
        <v>1428</v>
      </c>
    </row>
    <row r="770" spans="1:4" x14ac:dyDescent="0.25">
      <c r="A770" s="1">
        <v>282</v>
      </c>
      <c r="B770" s="2">
        <v>41891</v>
      </c>
      <c r="C770" s="1" t="s">
        <v>23</v>
      </c>
      <c r="D770" s="5">
        <v>975</v>
      </c>
    </row>
    <row r="771" spans="1:4" x14ac:dyDescent="0.25">
      <c r="A771" s="1">
        <v>383</v>
      </c>
      <c r="B771" s="2">
        <v>41891</v>
      </c>
      <c r="C771" s="1" t="s">
        <v>220</v>
      </c>
      <c r="D771" s="5">
        <v>3000</v>
      </c>
    </row>
    <row r="772" spans="1:4" x14ac:dyDescent="0.25">
      <c r="A772" s="1">
        <v>480</v>
      </c>
      <c r="B772" s="2">
        <v>41891</v>
      </c>
      <c r="C772" s="1" t="s">
        <v>34</v>
      </c>
      <c r="D772" s="5">
        <v>2000</v>
      </c>
    </row>
    <row r="773" spans="1:4" x14ac:dyDescent="0.25">
      <c r="A773" s="1">
        <v>41</v>
      </c>
      <c r="B773" s="2">
        <v>41892</v>
      </c>
      <c r="C773" s="1" t="s">
        <v>10</v>
      </c>
      <c r="D773" s="5">
        <v>-510</v>
      </c>
    </row>
    <row r="774" spans="1:4" x14ac:dyDescent="0.25">
      <c r="A774" s="1">
        <v>41</v>
      </c>
      <c r="B774" s="2">
        <v>41893</v>
      </c>
      <c r="C774" s="1" t="s">
        <v>10</v>
      </c>
      <c r="D774" s="5">
        <v>-135.69999999999999</v>
      </c>
    </row>
    <row r="775" spans="1:4" x14ac:dyDescent="0.25">
      <c r="A775" s="1">
        <v>41</v>
      </c>
      <c r="B775" s="2">
        <v>41894</v>
      </c>
      <c r="C775" s="1" t="s">
        <v>10</v>
      </c>
      <c r="D775" s="5">
        <v>619.37</v>
      </c>
    </row>
    <row r="776" spans="1:4" x14ac:dyDescent="0.25">
      <c r="A776" s="1">
        <v>77</v>
      </c>
      <c r="B776" s="2">
        <v>41894</v>
      </c>
      <c r="C776" s="1" t="s">
        <v>11</v>
      </c>
      <c r="D776" s="5">
        <v>2625</v>
      </c>
    </row>
    <row r="777" spans="1:4" x14ac:dyDescent="0.25">
      <c r="A777" s="1">
        <v>85</v>
      </c>
      <c r="B777" s="2">
        <v>41894</v>
      </c>
      <c r="C777" s="1" t="s">
        <v>79</v>
      </c>
      <c r="D777" s="5">
        <v>1218.75</v>
      </c>
    </row>
    <row r="778" spans="1:4" x14ac:dyDescent="0.25">
      <c r="A778" s="1">
        <v>157</v>
      </c>
      <c r="B778" s="2">
        <v>41894</v>
      </c>
      <c r="C778" s="1" t="s">
        <v>92</v>
      </c>
      <c r="D778" s="5">
        <v>892.5</v>
      </c>
    </row>
    <row r="779" spans="1:4" x14ac:dyDescent="0.25">
      <c r="A779" s="1">
        <v>175</v>
      </c>
      <c r="B779" s="2">
        <v>41894</v>
      </c>
      <c r="C779" s="1" t="s">
        <v>275</v>
      </c>
      <c r="D779" s="5">
        <v>3150</v>
      </c>
    </row>
    <row r="780" spans="1:4" x14ac:dyDescent="0.25">
      <c r="A780" s="1">
        <v>185</v>
      </c>
      <c r="B780" s="2">
        <v>41894</v>
      </c>
      <c r="C780" s="1" t="s">
        <v>17</v>
      </c>
      <c r="D780" s="5">
        <v>1000</v>
      </c>
    </row>
    <row r="781" spans="1:4" x14ac:dyDescent="0.25">
      <c r="A781" s="1">
        <v>203</v>
      </c>
      <c r="B781" s="2">
        <v>41894</v>
      </c>
      <c r="C781" s="1" t="s">
        <v>95</v>
      </c>
      <c r="D781" s="5">
        <v>2051</v>
      </c>
    </row>
    <row r="782" spans="1:4" x14ac:dyDescent="0.25">
      <c r="A782" s="1">
        <v>217</v>
      </c>
      <c r="B782" s="2">
        <v>41894</v>
      </c>
      <c r="C782" s="1" t="s">
        <v>97</v>
      </c>
      <c r="D782" s="5">
        <v>280.5</v>
      </c>
    </row>
    <row r="783" spans="1:4" x14ac:dyDescent="0.25">
      <c r="A783" s="1">
        <v>230</v>
      </c>
      <c r="B783" s="2">
        <v>41894</v>
      </c>
      <c r="C783" s="1" t="s">
        <v>316</v>
      </c>
      <c r="D783" s="5">
        <v>1350</v>
      </c>
    </row>
    <row r="784" spans="1:4" x14ac:dyDescent="0.25">
      <c r="A784" s="1">
        <v>231</v>
      </c>
      <c r="B784" s="2">
        <v>41894</v>
      </c>
      <c r="C784" s="1" t="s">
        <v>310</v>
      </c>
      <c r="D784" s="5">
        <v>2241.5</v>
      </c>
    </row>
    <row r="785" spans="1:4" x14ac:dyDescent="0.25">
      <c r="A785" s="1">
        <v>232</v>
      </c>
      <c r="B785" s="2">
        <v>41894</v>
      </c>
      <c r="C785" s="1" t="s">
        <v>100</v>
      </c>
      <c r="D785" s="5">
        <v>3253.23</v>
      </c>
    </row>
    <row r="786" spans="1:4" x14ac:dyDescent="0.25">
      <c r="A786" s="1">
        <v>233</v>
      </c>
      <c r="B786" s="2">
        <v>41894</v>
      </c>
      <c r="C786" s="1" t="s">
        <v>294</v>
      </c>
      <c r="D786" s="5">
        <v>691.5</v>
      </c>
    </row>
    <row r="787" spans="1:4" x14ac:dyDescent="0.25">
      <c r="A787" s="1">
        <v>248</v>
      </c>
      <c r="B787" s="2">
        <v>41894</v>
      </c>
      <c r="C787" s="1" t="s">
        <v>19</v>
      </c>
      <c r="D787" s="5">
        <v>357</v>
      </c>
    </row>
    <row r="788" spans="1:4" x14ac:dyDescent="0.25">
      <c r="A788" s="1">
        <v>254</v>
      </c>
      <c r="B788" s="2">
        <v>41894</v>
      </c>
      <c r="C788" s="1" t="s">
        <v>317</v>
      </c>
      <c r="D788" s="5">
        <v>1350</v>
      </c>
    </row>
    <row r="789" spans="1:4" x14ac:dyDescent="0.25">
      <c r="A789" s="1">
        <v>261</v>
      </c>
      <c r="B789" s="2">
        <v>41894</v>
      </c>
      <c r="C789" s="1" t="s">
        <v>22</v>
      </c>
      <c r="D789" s="5">
        <v>2975</v>
      </c>
    </row>
    <row r="790" spans="1:4" x14ac:dyDescent="0.25">
      <c r="A790" s="1">
        <v>268</v>
      </c>
      <c r="B790" s="2">
        <v>41894</v>
      </c>
      <c r="C790" s="1" t="s">
        <v>162</v>
      </c>
      <c r="D790" s="5">
        <v>3200</v>
      </c>
    </row>
    <row r="791" spans="1:4" x14ac:dyDescent="0.25">
      <c r="A791" s="1">
        <v>269</v>
      </c>
      <c r="B791" s="2">
        <v>41894</v>
      </c>
      <c r="C791" s="1" t="s">
        <v>254</v>
      </c>
      <c r="D791" s="5">
        <v>1000</v>
      </c>
    </row>
    <row r="792" spans="1:4" x14ac:dyDescent="0.25">
      <c r="A792" s="1">
        <v>282</v>
      </c>
      <c r="B792" s="2">
        <v>41894</v>
      </c>
      <c r="C792" s="1" t="s">
        <v>23</v>
      </c>
      <c r="D792" s="5">
        <v>2425</v>
      </c>
    </row>
    <row r="793" spans="1:4" x14ac:dyDescent="0.25">
      <c r="A793" s="1">
        <v>285</v>
      </c>
      <c r="B793" s="2">
        <v>41894</v>
      </c>
      <c r="C793" s="1" t="s">
        <v>102</v>
      </c>
      <c r="D793" s="5">
        <v>994.5</v>
      </c>
    </row>
    <row r="794" spans="1:4" x14ac:dyDescent="0.25">
      <c r="A794" s="1">
        <v>321</v>
      </c>
      <c r="B794" s="2">
        <v>41894</v>
      </c>
      <c r="C794" s="1" t="s">
        <v>105</v>
      </c>
      <c r="D794" s="5">
        <v>4250</v>
      </c>
    </row>
    <row r="795" spans="1:4" x14ac:dyDescent="0.25">
      <c r="A795" s="1">
        <v>326</v>
      </c>
      <c r="B795" s="2">
        <v>41894</v>
      </c>
      <c r="C795" s="1" t="s">
        <v>25</v>
      </c>
      <c r="D795" s="5">
        <v>900</v>
      </c>
    </row>
    <row r="796" spans="1:4" x14ac:dyDescent="0.25">
      <c r="A796" s="1">
        <v>329</v>
      </c>
      <c r="B796" s="2">
        <v>41894</v>
      </c>
      <c r="C796" s="1" t="s">
        <v>199</v>
      </c>
      <c r="D796" s="5">
        <v>1759.5</v>
      </c>
    </row>
    <row r="797" spans="1:4" x14ac:dyDescent="0.25">
      <c r="A797" s="1">
        <v>341</v>
      </c>
      <c r="B797" s="2">
        <v>41894</v>
      </c>
      <c r="C797" s="1" t="s">
        <v>307</v>
      </c>
      <c r="D797" s="5">
        <v>725</v>
      </c>
    </row>
    <row r="798" spans="1:4" x14ac:dyDescent="0.25">
      <c r="A798" s="1">
        <v>347</v>
      </c>
      <c r="B798" s="2">
        <v>41894</v>
      </c>
      <c r="C798" s="1" t="s">
        <v>313</v>
      </c>
      <c r="D798" s="5">
        <v>357</v>
      </c>
    </row>
    <row r="799" spans="1:4" x14ac:dyDescent="0.25">
      <c r="A799" s="1">
        <v>352</v>
      </c>
      <c r="B799" s="2">
        <v>41894</v>
      </c>
      <c r="C799" s="1" t="s">
        <v>278</v>
      </c>
      <c r="D799" s="5">
        <v>2000</v>
      </c>
    </row>
    <row r="800" spans="1:4" x14ac:dyDescent="0.25">
      <c r="A800" s="1">
        <v>355</v>
      </c>
      <c r="B800" s="2">
        <v>41894</v>
      </c>
      <c r="C800" s="1" t="s">
        <v>108</v>
      </c>
      <c r="D800" s="5">
        <v>0</v>
      </c>
    </row>
    <row r="801" spans="1:4" x14ac:dyDescent="0.25">
      <c r="A801" s="1">
        <v>358</v>
      </c>
      <c r="B801" s="2">
        <v>41894</v>
      </c>
      <c r="C801" s="1" t="s">
        <v>179</v>
      </c>
      <c r="D801" s="5">
        <v>1525</v>
      </c>
    </row>
    <row r="802" spans="1:4" x14ac:dyDescent="0.25">
      <c r="A802" s="1">
        <v>363</v>
      </c>
      <c r="B802" s="2">
        <v>41894</v>
      </c>
      <c r="C802" s="1" t="s">
        <v>318</v>
      </c>
      <c r="D802" s="5">
        <v>375</v>
      </c>
    </row>
    <row r="803" spans="1:4" x14ac:dyDescent="0.25">
      <c r="A803" s="1">
        <v>365</v>
      </c>
      <c r="B803" s="2">
        <v>41894</v>
      </c>
      <c r="C803" s="1" t="s">
        <v>29</v>
      </c>
      <c r="D803" s="5">
        <v>2600</v>
      </c>
    </row>
    <row r="804" spans="1:4" x14ac:dyDescent="0.25">
      <c r="A804" s="1">
        <v>373</v>
      </c>
      <c r="B804" s="2">
        <v>41894</v>
      </c>
      <c r="C804" s="1" t="s">
        <v>234</v>
      </c>
      <c r="D804" s="5">
        <v>-452.79</v>
      </c>
    </row>
    <row r="805" spans="1:4" x14ac:dyDescent="0.25">
      <c r="A805" s="1">
        <v>378</v>
      </c>
      <c r="B805" s="2">
        <v>41894</v>
      </c>
      <c r="C805" s="1" t="s">
        <v>109</v>
      </c>
      <c r="D805" s="5">
        <v>850</v>
      </c>
    </row>
    <row r="806" spans="1:4" x14ac:dyDescent="0.25">
      <c r="A806" s="1">
        <v>389</v>
      </c>
      <c r="B806" s="2">
        <v>41894</v>
      </c>
      <c r="C806" s="1" t="s">
        <v>31</v>
      </c>
      <c r="D806" s="5">
        <v>6000</v>
      </c>
    </row>
    <row r="807" spans="1:4" x14ac:dyDescent="0.25">
      <c r="A807" s="1">
        <v>391</v>
      </c>
      <c r="B807" s="2">
        <v>41894</v>
      </c>
      <c r="C807" s="1" t="s">
        <v>319</v>
      </c>
      <c r="D807" s="5">
        <v>950</v>
      </c>
    </row>
    <row r="808" spans="1:4" x14ac:dyDescent="0.25">
      <c r="A808" s="1">
        <v>392</v>
      </c>
      <c r="B808" s="2">
        <v>41894</v>
      </c>
      <c r="C808" s="1" t="s">
        <v>111</v>
      </c>
      <c r="D808" s="5">
        <v>1850</v>
      </c>
    </row>
    <row r="809" spans="1:4" x14ac:dyDescent="0.25">
      <c r="A809" s="1">
        <v>397</v>
      </c>
      <c r="B809" s="2">
        <v>41894</v>
      </c>
      <c r="C809" s="1" t="s">
        <v>287</v>
      </c>
      <c r="D809" s="5">
        <v>500</v>
      </c>
    </row>
    <row r="810" spans="1:4" x14ac:dyDescent="0.25">
      <c r="A810" s="1">
        <v>401</v>
      </c>
      <c r="B810" s="2">
        <v>41894</v>
      </c>
      <c r="C810" s="1" t="s">
        <v>184</v>
      </c>
      <c r="D810" s="5">
        <v>950</v>
      </c>
    </row>
    <row r="811" spans="1:4" x14ac:dyDescent="0.25">
      <c r="A811" s="1">
        <v>403</v>
      </c>
      <c r="B811" s="2">
        <v>41894</v>
      </c>
      <c r="C811" s="1" t="s">
        <v>221</v>
      </c>
      <c r="D811" s="5">
        <v>330.01</v>
      </c>
    </row>
    <row r="812" spans="1:4" x14ac:dyDescent="0.25">
      <c r="A812" s="1">
        <v>404</v>
      </c>
      <c r="B812" s="2">
        <v>41894</v>
      </c>
      <c r="C812" s="1" t="s">
        <v>308</v>
      </c>
      <c r="D812" s="5">
        <v>400</v>
      </c>
    </row>
    <row r="813" spans="1:4" x14ac:dyDescent="0.25">
      <c r="A813" s="1">
        <v>405</v>
      </c>
      <c r="B813" s="2">
        <v>41894</v>
      </c>
      <c r="C813" s="1" t="s">
        <v>112</v>
      </c>
      <c r="D813" s="5">
        <v>400</v>
      </c>
    </row>
    <row r="814" spans="1:4" x14ac:dyDescent="0.25">
      <c r="A814" s="1">
        <v>407</v>
      </c>
      <c r="B814" s="2">
        <v>41894</v>
      </c>
      <c r="C814" s="1" t="s">
        <v>113</v>
      </c>
      <c r="D814" s="5">
        <v>295</v>
      </c>
    </row>
    <row r="815" spans="1:4" x14ac:dyDescent="0.25">
      <c r="A815" s="1">
        <v>410</v>
      </c>
      <c r="B815" s="2">
        <v>41894</v>
      </c>
      <c r="C815" s="1" t="s">
        <v>32</v>
      </c>
      <c r="D815" s="5">
        <v>1000</v>
      </c>
    </row>
    <row r="816" spans="1:4" x14ac:dyDescent="0.25">
      <c r="A816" s="1">
        <v>422</v>
      </c>
      <c r="B816" s="2">
        <v>41894</v>
      </c>
      <c r="C816" s="1" t="s">
        <v>165</v>
      </c>
      <c r="D816" s="5">
        <v>625</v>
      </c>
    </row>
    <row r="817" spans="1:4" x14ac:dyDescent="0.25">
      <c r="A817" s="1">
        <v>428</v>
      </c>
      <c r="B817" s="2">
        <v>41894</v>
      </c>
      <c r="C817" s="1" t="s">
        <v>213</v>
      </c>
      <c r="D817" s="5">
        <v>2075</v>
      </c>
    </row>
    <row r="818" spans="1:4" x14ac:dyDescent="0.25">
      <c r="A818" s="1">
        <v>443</v>
      </c>
      <c r="B818" s="2">
        <v>41894</v>
      </c>
      <c r="C818" s="1" t="s">
        <v>300</v>
      </c>
      <c r="D818" s="5">
        <v>300</v>
      </c>
    </row>
    <row r="819" spans="1:4" x14ac:dyDescent="0.25">
      <c r="A819" s="1">
        <v>446</v>
      </c>
      <c r="B819" s="2">
        <v>41894</v>
      </c>
      <c r="C819" s="1" t="s">
        <v>116</v>
      </c>
      <c r="D819" s="5">
        <v>225</v>
      </c>
    </row>
    <row r="820" spans="1:4" x14ac:dyDescent="0.25">
      <c r="A820" s="1">
        <v>472</v>
      </c>
      <c r="B820" s="2">
        <v>41894</v>
      </c>
      <c r="C820" s="1" t="s">
        <v>279</v>
      </c>
      <c r="D820" s="5">
        <v>500</v>
      </c>
    </row>
    <row r="821" spans="1:4" x14ac:dyDescent="0.25">
      <c r="A821" s="1">
        <v>473</v>
      </c>
      <c r="B821" s="2">
        <v>41894</v>
      </c>
      <c r="C821" s="1" t="s">
        <v>320</v>
      </c>
      <c r="D821" s="5">
        <v>1650</v>
      </c>
    </row>
    <row r="822" spans="1:4" x14ac:dyDescent="0.25">
      <c r="A822" s="1">
        <v>498</v>
      </c>
      <c r="B822" s="2">
        <v>41894</v>
      </c>
      <c r="C822" s="1" t="s">
        <v>186</v>
      </c>
      <c r="D822" s="5">
        <v>400</v>
      </c>
    </row>
    <row r="823" spans="1:4" x14ac:dyDescent="0.25">
      <c r="A823" s="1">
        <v>530</v>
      </c>
      <c r="B823" s="2">
        <v>41894</v>
      </c>
      <c r="C823" s="1" t="s">
        <v>35</v>
      </c>
      <c r="D823" s="5">
        <v>2950</v>
      </c>
    </row>
    <row r="824" spans="1:4" x14ac:dyDescent="0.25">
      <c r="A824" s="1">
        <v>534</v>
      </c>
      <c r="B824" s="2">
        <v>41894</v>
      </c>
      <c r="C824" s="1" t="s">
        <v>285</v>
      </c>
      <c r="D824" s="5">
        <v>1325</v>
      </c>
    </row>
    <row r="825" spans="1:4" x14ac:dyDescent="0.25">
      <c r="A825" s="1">
        <v>539</v>
      </c>
      <c r="B825" s="2">
        <v>41894</v>
      </c>
      <c r="C825" s="1" t="s">
        <v>122</v>
      </c>
      <c r="D825" s="5">
        <v>1571.22</v>
      </c>
    </row>
    <row r="826" spans="1:4" x14ac:dyDescent="0.25">
      <c r="A826" s="1">
        <v>541</v>
      </c>
      <c r="B826" s="2">
        <v>41894</v>
      </c>
      <c r="C826" s="1" t="s">
        <v>321</v>
      </c>
      <c r="D826" s="5">
        <v>360.61</v>
      </c>
    </row>
    <row r="827" spans="1:4" x14ac:dyDescent="0.25">
      <c r="A827" s="1">
        <v>549</v>
      </c>
      <c r="B827" s="2">
        <v>41894</v>
      </c>
      <c r="C827" s="1" t="s">
        <v>280</v>
      </c>
      <c r="D827" s="5">
        <v>3050</v>
      </c>
    </row>
    <row r="828" spans="1:4" x14ac:dyDescent="0.25">
      <c r="A828" s="1">
        <v>550</v>
      </c>
      <c r="B828" s="2">
        <v>41894</v>
      </c>
      <c r="C828" s="1" t="s">
        <v>297</v>
      </c>
      <c r="D828" s="5">
        <v>1600</v>
      </c>
    </row>
    <row r="829" spans="1:4" x14ac:dyDescent="0.25">
      <c r="A829" s="1">
        <v>551</v>
      </c>
      <c r="B829" s="2">
        <v>41894</v>
      </c>
      <c r="C829" s="1" t="s">
        <v>166</v>
      </c>
      <c r="D829" s="5">
        <v>1375</v>
      </c>
    </row>
    <row r="830" spans="1:4" x14ac:dyDescent="0.25">
      <c r="A830" s="1">
        <v>553</v>
      </c>
      <c r="B830" s="2">
        <v>41894</v>
      </c>
      <c r="C830" s="1" t="s">
        <v>281</v>
      </c>
      <c r="D830" s="5">
        <v>650</v>
      </c>
    </row>
    <row r="831" spans="1:4" x14ac:dyDescent="0.25">
      <c r="A831" s="1">
        <v>576</v>
      </c>
      <c r="B831" s="2">
        <v>41894</v>
      </c>
      <c r="C831" s="1" t="s">
        <v>36</v>
      </c>
      <c r="D831" s="5">
        <v>1000</v>
      </c>
    </row>
    <row r="832" spans="1:4" x14ac:dyDescent="0.25">
      <c r="A832" s="1">
        <v>580</v>
      </c>
      <c r="B832" s="2">
        <v>41894</v>
      </c>
      <c r="C832" s="1" t="s">
        <v>37</v>
      </c>
      <c r="D832" s="5">
        <v>500</v>
      </c>
    </row>
    <row r="833" spans="1:4" x14ac:dyDescent="0.25">
      <c r="A833" s="1">
        <v>581</v>
      </c>
      <c r="B833" s="2">
        <v>41894</v>
      </c>
      <c r="C833" s="1" t="s">
        <v>322</v>
      </c>
      <c r="D833" s="5">
        <v>1000</v>
      </c>
    </row>
    <row r="834" spans="1:4" x14ac:dyDescent="0.25">
      <c r="A834" s="1">
        <v>63</v>
      </c>
      <c r="B834" s="2">
        <v>41897</v>
      </c>
      <c r="C834" s="1" t="s">
        <v>181</v>
      </c>
      <c r="D834" s="5">
        <v>306.25</v>
      </c>
    </row>
    <row r="835" spans="1:4" x14ac:dyDescent="0.25">
      <c r="A835" s="1">
        <v>347</v>
      </c>
      <c r="B835" s="2">
        <v>41897</v>
      </c>
      <c r="C835" s="1" t="s">
        <v>313</v>
      </c>
      <c r="D835" s="5">
        <v>357</v>
      </c>
    </row>
    <row r="836" spans="1:4" x14ac:dyDescent="0.25">
      <c r="A836" s="1">
        <v>488</v>
      </c>
      <c r="B836" s="2">
        <v>41897</v>
      </c>
      <c r="C836" s="1" t="s">
        <v>314</v>
      </c>
      <c r="D836" s="5">
        <v>650</v>
      </c>
    </row>
    <row r="837" spans="1:4" x14ac:dyDescent="0.25">
      <c r="A837" s="1">
        <v>617</v>
      </c>
      <c r="B837" s="2">
        <v>41897</v>
      </c>
      <c r="C837" s="1" t="s">
        <v>315</v>
      </c>
      <c r="D837" s="5">
        <v>350</v>
      </c>
    </row>
    <row r="838" spans="1:4" x14ac:dyDescent="0.25">
      <c r="A838" s="1">
        <v>27</v>
      </c>
      <c r="B838" s="2">
        <v>41901</v>
      </c>
      <c r="C838" s="1" t="s">
        <v>159</v>
      </c>
      <c r="D838" s="5">
        <v>4916.38</v>
      </c>
    </row>
    <row r="839" spans="1:4" x14ac:dyDescent="0.25">
      <c r="A839" s="1">
        <v>37</v>
      </c>
      <c r="B839" s="2">
        <v>41901</v>
      </c>
      <c r="C839" s="1" t="s">
        <v>77</v>
      </c>
      <c r="D839" s="5">
        <v>-201.72</v>
      </c>
    </row>
    <row r="840" spans="1:4" x14ac:dyDescent="0.25">
      <c r="A840" s="1">
        <v>41</v>
      </c>
      <c r="B840" s="2">
        <v>41901</v>
      </c>
      <c r="C840" s="1" t="s">
        <v>10</v>
      </c>
      <c r="D840" s="5">
        <v>3612.98</v>
      </c>
    </row>
    <row r="841" spans="1:4" x14ac:dyDescent="0.25">
      <c r="A841" s="1">
        <v>63</v>
      </c>
      <c r="B841" s="2">
        <v>41901</v>
      </c>
      <c r="C841" s="1" t="s">
        <v>181</v>
      </c>
      <c r="D841" s="5">
        <v>0</v>
      </c>
    </row>
    <row r="842" spans="1:4" x14ac:dyDescent="0.25">
      <c r="A842" s="1">
        <v>77</v>
      </c>
      <c r="B842" s="2">
        <v>41901</v>
      </c>
      <c r="C842" s="1" t="s">
        <v>11</v>
      </c>
      <c r="D842" s="5">
        <v>50</v>
      </c>
    </row>
    <row r="843" spans="1:4" x14ac:dyDescent="0.25">
      <c r="A843" s="1">
        <v>85</v>
      </c>
      <c r="B843" s="2">
        <v>41901</v>
      </c>
      <c r="C843" s="1" t="s">
        <v>79</v>
      </c>
      <c r="D843" s="5">
        <v>4913.3999999999996</v>
      </c>
    </row>
    <row r="844" spans="1:4" x14ac:dyDescent="0.25">
      <c r="A844" s="1">
        <v>133</v>
      </c>
      <c r="B844" s="2">
        <v>41901</v>
      </c>
      <c r="C844" s="1" t="s">
        <v>87</v>
      </c>
      <c r="D844" s="5">
        <v>1420.6</v>
      </c>
    </row>
    <row r="845" spans="1:4" x14ac:dyDescent="0.25">
      <c r="A845" s="1">
        <v>180</v>
      </c>
      <c r="B845" s="2">
        <v>41901</v>
      </c>
      <c r="C845" s="1" t="s">
        <v>161</v>
      </c>
      <c r="D845" s="5">
        <v>2335.5700000000002</v>
      </c>
    </row>
    <row r="846" spans="1:4" x14ac:dyDescent="0.25">
      <c r="A846" s="1">
        <v>203</v>
      </c>
      <c r="B846" s="2">
        <v>41901</v>
      </c>
      <c r="C846" s="1" t="s">
        <v>95</v>
      </c>
      <c r="D846" s="5">
        <v>4040</v>
      </c>
    </row>
    <row r="847" spans="1:4" x14ac:dyDescent="0.25">
      <c r="A847" s="1">
        <v>217</v>
      </c>
      <c r="B847" s="2">
        <v>41901</v>
      </c>
      <c r="C847" s="1" t="s">
        <v>97</v>
      </c>
      <c r="D847" s="5">
        <v>2616.25</v>
      </c>
    </row>
    <row r="848" spans="1:4" x14ac:dyDescent="0.25">
      <c r="A848" s="1">
        <v>218</v>
      </c>
      <c r="B848" s="2">
        <v>41901</v>
      </c>
      <c r="C848" s="1" t="s">
        <v>233</v>
      </c>
      <c r="D848" s="5">
        <v>1737.13</v>
      </c>
    </row>
    <row r="849" spans="1:4" x14ac:dyDescent="0.25">
      <c r="A849" s="1">
        <v>232</v>
      </c>
      <c r="B849" s="2">
        <v>41901</v>
      </c>
      <c r="C849" s="1" t="s">
        <v>100</v>
      </c>
      <c r="D849" s="5">
        <v>5.25</v>
      </c>
    </row>
    <row r="850" spans="1:4" x14ac:dyDescent="0.25">
      <c r="A850" s="1">
        <v>233</v>
      </c>
      <c r="B850" s="2">
        <v>41901</v>
      </c>
      <c r="C850" s="1" t="s">
        <v>294</v>
      </c>
      <c r="D850" s="5">
        <v>1280.25</v>
      </c>
    </row>
    <row r="851" spans="1:4" x14ac:dyDescent="0.25">
      <c r="A851" s="1">
        <v>244</v>
      </c>
      <c r="B851" s="2">
        <v>41901</v>
      </c>
      <c r="C851" s="1" t="s">
        <v>311</v>
      </c>
      <c r="D851" s="5">
        <v>22.5</v>
      </c>
    </row>
    <row r="852" spans="1:4" x14ac:dyDescent="0.25">
      <c r="A852" s="1">
        <v>248</v>
      </c>
      <c r="B852" s="2">
        <v>41901</v>
      </c>
      <c r="C852" s="1" t="s">
        <v>19</v>
      </c>
      <c r="D852" s="5">
        <v>561</v>
      </c>
    </row>
    <row r="853" spans="1:4" x14ac:dyDescent="0.25">
      <c r="A853" s="1">
        <v>261</v>
      </c>
      <c r="B853" s="2">
        <v>41901</v>
      </c>
      <c r="C853" s="1" t="s">
        <v>22</v>
      </c>
      <c r="D853" s="5">
        <v>2650</v>
      </c>
    </row>
    <row r="854" spans="1:4" x14ac:dyDescent="0.25">
      <c r="A854" s="1">
        <v>269</v>
      </c>
      <c r="B854" s="2">
        <v>41901</v>
      </c>
      <c r="C854" s="1" t="s">
        <v>254</v>
      </c>
      <c r="D854" s="5">
        <v>1000</v>
      </c>
    </row>
    <row r="855" spans="1:4" x14ac:dyDescent="0.25">
      <c r="A855" s="1">
        <v>282</v>
      </c>
      <c r="B855" s="2">
        <v>41901</v>
      </c>
      <c r="C855" s="1" t="s">
        <v>23</v>
      </c>
      <c r="D855" s="5">
        <v>1200</v>
      </c>
    </row>
    <row r="856" spans="1:4" x14ac:dyDescent="0.25">
      <c r="A856" s="1">
        <v>355</v>
      </c>
      <c r="B856" s="2">
        <v>41901</v>
      </c>
      <c r="C856" s="1" t="s">
        <v>108</v>
      </c>
      <c r="D856" s="5">
        <v>0</v>
      </c>
    </row>
    <row r="857" spans="1:4" x14ac:dyDescent="0.25">
      <c r="A857" s="1">
        <v>365</v>
      </c>
      <c r="B857" s="2">
        <v>41901</v>
      </c>
      <c r="C857" s="1" t="s">
        <v>29</v>
      </c>
      <c r="D857" s="5">
        <v>1125</v>
      </c>
    </row>
    <row r="858" spans="1:4" x14ac:dyDescent="0.25">
      <c r="A858" s="1">
        <v>373</v>
      </c>
      <c r="B858" s="2">
        <v>41901</v>
      </c>
      <c r="C858" s="1" t="s">
        <v>234</v>
      </c>
      <c r="D858" s="5">
        <v>-452.79</v>
      </c>
    </row>
    <row r="859" spans="1:4" x14ac:dyDescent="0.25">
      <c r="A859" s="1">
        <v>379</v>
      </c>
      <c r="B859" s="2">
        <v>41901</v>
      </c>
      <c r="C859" s="1" t="s">
        <v>30</v>
      </c>
      <c r="D859" s="5">
        <v>390</v>
      </c>
    </row>
    <row r="860" spans="1:4" x14ac:dyDescent="0.25">
      <c r="A860" s="1">
        <v>383</v>
      </c>
      <c r="B860" s="2">
        <v>41901</v>
      </c>
      <c r="C860" s="1" t="s">
        <v>220</v>
      </c>
      <c r="D860" s="5">
        <v>1500</v>
      </c>
    </row>
    <row r="861" spans="1:4" x14ac:dyDescent="0.25">
      <c r="A861" s="1">
        <v>389</v>
      </c>
      <c r="B861" s="2">
        <v>41901</v>
      </c>
      <c r="C861" s="1" t="s">
        <v>31</v>
      </c>
      <c r="D861" s="5">
        <v>1200</v>
      </c>
    </row>
    <row r="862" spans="1:4" x14ac:dyDescent="0.25">
      <c r="A862" s="1">
        <v>397</v>
      </c>
      <c r="B862" s="2">
        <v>41901</v>
      </c>
      <c r="C862" s="1" t="s">
        <v>287</v>
      </c>
      <c r="D862" s="5">
        <v>500</v>
      </c>
    </row>
    <row r="863" spans="1:4" x14ac:dyDescent="0.25">
      <c r="A863" s="1">
        <v>401</v>
      </c>
      <c r="B863" s="2">
        <v>41901</v>
      </c>
      <c r="C863" s="1" t="s">
        <v>184</v>
      </c>
      <c r="D863" s="5">
        <v>450</v>
      </c>
    </row>
    <row r="864" spans="1:4" x14ac:dyDescent="0.25">
      <c r="A864" s="1">
        <v>410</v>
      </c>
      <c r="B864" s="2">
        <v>41901</v>
      </c>
      <c r="C864" s="1" t="s">
        <v>32</v>
      </c>
      <c r="D864" s="5">
        <v>1500</v>
      </c>
    </row>
    <row r="865" spans="1:4" x14ac:dyDescent="0.25">
      <c r="A865" s="1">
        <v>422</v>
      </c>
      <c r="B865" s="2">
        <v>41901</v>
      </c>
      <c r="C865" s="1" t="s">
        <v>165</v>
      </c>
      <c r="D865" s="5">
        <v>925</v>
      </c>
    </row>
    <row r="866" spans="1:4" x14ac:dyDescent="0.25">
      <c r="A866" s="1">
        <v>438</v>
      </c>
      <c r="B866" s="2">
        <v>41901</v>
      </c>
      <c r="C866" s="1" t="s">
        <v>115</v>
      </c>
      <c r="D866" s="5">
        <v>925</v>
      </c>
    </row>
    <row r="867" spans="1:4" x14ac:dyDescent="0.25">
      <c r="A867" s="1">
        <v>472</v>
      </c>
      <c r="B867" s="2">
        <v>41901</v>
      </c>
      <c r="C867" s="1" t="s">
        <v>279</v>
      </c>
      <c r="D867" s="5">
        <v>500</v>
      </c>
    </row>
    <row r="868" spans="1:4" x14ac:dyDescent="0.25">
      <c r="A868" s="1">
        <v>487</v>
      </c>
      <c r="B868" s="2">
        <v>41901</v>
      </c>
      <c r="C868" s="1" t="s">
        <v>303</v>
      </c>
      <c r="D868" s="5">
        <v>459</v>
      </c>
    </row>
    <row r="869" spans="1:4" x14ac:dyDescent="0.25">
      <c r="A869" s="1">
        <v>548</v>
      </c>
      <c r="B869" s="2">
        <v>41901</v>
      </c>
      <c r="C869" s="1" t="s">
        <v>312</v>
      </c>
      <c r="D869" s="5">
        <v>750</v>
      </c>
    </row>
    <row r="870" spans="1:4" x14ac:dyDescent="0.25">
      <c r="A870" s="1">
        <v>550</v>
      </c>
      <c r="B870" s="2">
        <v>41901</v>
      </c>
      <c r="C870" s="1" t="s">
        <v>297</v>
      </c>
      <c r="D870" s="5">
        <v>1259</v>
      </c>
    </row>
    <row r="871" spans="1:4" x14ac:dyDescent="0.25">
      <c r="A871" s="1">
        <v>574</v>
      </c>
      <c r="B871" s="2">
        <v>41901</v>
      </c>
      <c r="C871" s="1" t="s">
        <v>298</v>
      </c>
      <c r="D871" s="5">
        <v>0</v>
      </c>
    </row>
    <row r="872" spans="1:4" x14ac:dyDescent="0.25">
      <c r="A872" s="1">
        <v>580</v>
      </c>
      <c r="B872" s="2">
        <v>41901</v>
      </c>
      <c r="C872" s="1" t="s">
        <v>37</v>
      </c>
      <c r="D872" s="5">
        <v>500</v>
      </c>
    </row>
    <row r="873" spans="1:4" x14ac:dyDescent="0.25">
      <c r="A873" s="1">
        <v>202</v>
      </c>
      <c r="B873" s="2">
        <v>41904</v>
      </c>
      <c r="C873" s="1" t="s">
        <v>237</v>
      </c>
      <c r="D873" s="5">
        <v>-999.75</v>
      </c>
    </row>
    <row r="874" spans="1:4" x14ac:dyDescent="0.25">
      <c r="A874" s="1">
        <v>231</v>
      </c>
      <c r="B874" s="2">
        <v>41904</v>
      </c>
      <c r="C874" s="1" t="s">
        <v>310</v>
      </c>
      <c r="D874" s="5">
        <v>500</v>
      </c>
    </row>
    <row r="875" spans="1:4" x14ac:dyDescent="0.25">
      <c r="A875" s="1">
        <v>255</v>
      </c>
      <c r="B875" s="2">
        <v>41904</v>
      </c>
      <c r="C875" s="1" t="s">
        <v>21</v>
      </c>
      <c r="D875" s="5">
        <v>50</v>
      </c>
    </row>
    <row r="876" spans="1:4" x14ac:dyDescent="0.25">
      <c r="A876" s="1">
        <v>379</v>
      </c>
      <c r="B876" s="2">
        <v>41904</v>
      </c>
      <c r="C876" s="1" t="s">
        <v>30</v>
      </c>
      <c r="D876" s="5">
        <v>625</v>
      </c>
    </row>
    <row r="877" spans="1:4" x14ac:dyDescent="0.25">
      <c r="A877" s="1">
        <v>582</v>
      </c>
      <c r="B877" s="2">
        <v>41904</v>
      </c>
      <c r="C877" s="1" t="s">
        <v>123</v>
      </c>
      <c r="D877" s="5">
        <v>500</v>
      </c>
    </row>
    <row r="878" spans="1:4" x14ac:dyDescent="0.25">
      <c r="A878" s="1">
        <v>383</v>
      </c>
      <c r="B878" s="2">
        <v>41905</v>
      </c>
      <c r="C878" s="1" t="s">
        <v>220</v>
      </c>
      <c r="D878" s="5">
        <v>1025</v>
      </c>
    </row>
    <row r="879" spans="1:4" x14ac:dyDescent="0.25">
      <c r="A879" s="1">
        <v>303</v>
      </c>
      <c r="B879" s="2">
        <v>41906</v>
      </c>
      <c r="C879" s="1" t="s">
        <v>218</v>
      </c>
      <c r="D879" s="5">
        <v>575</v>
      </c>
    </row>
    <row r="880" spans="1:4" x14ac:dyDescent="0.25">
      <c r="A880" s="1">
        <v>37</v>
      </c>
      <c r="B880" s="2">
        <v>41907</v>
      </c>
      <c r="C880" s="1" t="s">
        <v>77</v>
      </c>
      <c r="D880" s="5">
        <v>3093.03</v>
      </c>
    </row>
    <row r="881" spans="1:4" x14ac:dyDescent="0.25">
      <c r="A881" s="1">
        <v>77</v>
      </c>
      <c r="B881" s="2">
        <v>41907</v>
      </c>
      <c r="C881" s="1" t="s">
        <v>11</v>
      </c>
      <c r="D881" s="5">
        <v>1025</v>
      </c>
    </row>
    <row r="882" spans="1:4" x14ac:dyDescent="0.25">
      <c r="A882" s="1">
        <v>133</v>
      </c>
      <c r="B882" s="2">
        <v>41907</v>
      </c>
      <c r="C882" s="1" t="s">
        <v>87</v>
      </c>
      <c r="D882" s="5">
        <v>162.94999999999999</v>
      </c>
    </row>
    <row r="883" spans="1:4" x14ac:dyDescent="0.25">
      <c r="A883" s="1">
        <v>203</v>
      </c>
      <c r="B883" s="2">
        <v>41907</v>
      </c>
      <c r="C883" s="1" t="s">
        <v>95</v>
      </c>
      <c r="D883" s="5">
        <v>358.75</v>
      </c>
    </row>
    <row r="884" spans="1:4" x14ac:dyDescent="0.25">
      <c r="A884" s="1">
        <v>248</v>
      </c>
      <c r="B884" s="2">
        <v>41907</v>
      </c>
      <c r="C884" s="1" t="s">
        <v>19</v>
      </c>
      <c r="D884" s="5">
        <v>-612</v>
      </c>
    </row>
    <row r="885" spans="1:4" x14ac:dyDescent="0.25">
      <c r="A885" s="1">
        <v>261</v>
      </c>
      <c r="B885" s="2">
        <v>41907</v>
      </c>
      <c r="C885" s="1" t="s">
        <v>22</v>
      </c>
      <c r="D885" s="5">
        <v>885</v>
      </c>
    </row>
    <row r="886" spans="1:4" x14ac:dyDescent="0.25">
      <c r="A886" s="1">
        <v>268</v>
      </c>
      <c r="B886" s="2">
        <v>41907</v>
      </c>
      <c r="C886" s="1" t="s">
        <v>162</v>
      </c>
      <c r="D886" s="5">
        <v>1500</v>
      </c>
    </row>
    <row r="887" spans="1:4" x14ac:dyDescent="0.25">
      <c r="A887" s="1">
        <v>269</v>
      </c>
      <c r="B887" s="2">
        <v>41907</v>
      </c>
      <c r="C887" s="1" t="s">
        <v>254</v>
      </c>
      <c r="D887" s="5">
        <v>1000</v>
      </c>
    </row>
    <row r="888" spans="1:4" x14ac:dyDescent="0.25">
      <c r="A888" s="1">
        <v>295</v>
      </c>
      <c r="B888" s="2">
        <v>41907</v>
      </c>
      <c r="C888" s="1" t="s">
        <v>103</v>
      </c>
      <c r="D888" s="5">
        <v>1300</v>
      </c>
    </row>
    <row r="889" spans="1:4" x14ac:dyDescent="0.25">
      <c r="A889" s="1">
        <v>321</v>
      </c>
      <c r="B889" s="2">
        <v>41907</v>
      </c>
      <c r="C889" s="1" t="s">
        <v>105</v>
      </c>
      <c r="D889" s="5">
        <v>350</v>
      </c>
    </row>
    <row r="890" spans="1:4" x14ac:dyDescent="0.25">
      <c r="A890" s="1">
        <v>341</v>
      </c>
      <c r="B890" s="2">
        <v>41907</v>
      </c>
      <c r="C890" s="1" t="s">
        <v>307</v>
      </c>
      <c r="D890" s="5">
        <v>450</v>
      </c>
    </row>
    <row r="891" spans="1:4" x14ac:dyDescent="0.25">
      <c r="A891" s="1">
        <v>352</v>
      </c>
      <c r="B891" s="2">
        <v>41907</v>
      </c>
      <c r="C891" s="1" t="s">
        <v>278</v>
      </c>
      <c r="D891" s="5">
        <v>32.5</v>
      </c>
    </row>
    <row r="892" spans="1:4" x14ac:dyDescent="0.25">
      <c r="A892" s="1">
        <v>373</v>
      </c>
      <c r="B892" s="2">
        <v>41907</v>
      </c>
      <c r="C892" s="1" t="s">
        <v>234</v>
      </c>
      <c r="D892" s="5">
        <v>-452.79</v>
      </c>
    </row>
    <row r="893" spans="1:4" x14ac:dyDescent="0.25">
      <c r="A893" s="1">
        <v>379</v>
      </c>
      <c r="B893" s="2">
        <v>41907</v>
      </c>
      <c r="C893" s="1" t="s">
        <v>30</v>
      </c>
      <c r="D893" s="5">
        <v>625</v>
      </c>
    </row>
    <row r="894" spans="1:4" x14ac:dyDescent="0.25">
      <c r="A894" s="1">
        <v>389</v>
      </c>
      <c r="B894" s="2">
        <v>41907</v>
      </c>
      <c r="C894" s="1" t="s">
        <v>31</v>
      </c>
      <c r="D894" s="5">
        <v>505</v>
      </c>
    </row>
    <row r="895" spans="1:4" x14ac:dyDescent="0.25">
      <c r="A895" s="1">
        <v>397</v>
      </c>
      <c r="B895" s="2">
        <v>41907</v>
      </c>
      <c r="C895" s="1" t="s">
        <v>287</v>
      </c>
      <c r="D895" s="5">
        <v>500</v>
      </c>
    </row>
    <row r="896" spans="1:4" x14ac:dyDescent="0.25">
      <c r="A896" s="1">
        <v>401</v>
      </c>
      <c r="B896" s="2">
        <v>41907</v>
      </c>
      <c r="C896" s="1" t="s">
        <v>184</v>
      </c>
      <c r="D896" s="5">
        <v>1300</v>
      </c>
    </row>
    <row r="897" spans="1:4" x14ac:dyDescent="0.25">
      <c r="A897" s="1">
        <v>404</v>
      </c>
      <c r="B897" s="2">
        <v>41907</v>
      </c>
      <c r="C897" s="1" t="s">
        <v>308</v>
      </c>
      <c r="D897" s="5">
        <v>1000</v>
      </c>
    </row>
    <row r="898" spans="1:4" x14ac:dyDescent="0.25">
      <c r="A898" s="1">
        <v>407</v>
      </c>
      <c r="B898" s="2">
        <v>41907</v>
      </c>
      <c r="C898" s="1" t="s">
        <v>113</v>
      </c>
      <c r="D898" s="5">
        <v>225.02</v>
      </c>
    </row>
    <row r="899" spans="1:4" x14ac:dyDescent="0.25">
      <c r="A899" s="1">
        <v>422</v>
      </c>
      <c r="B899" s="2">
        <v>41907</v>
      </c>
      <c r="C899" s="1" t="s">
        <v>165</v>
      </c>
      <c r="D899" s="5">
        <v>775</v>
      </c>
    </row>
    <row r="900" spans="1:4" x14ac:dyDescent="0.25">
      <c r="A900" s="1">
        <v>437</v>
      </c>
      <c r="B900" s="2">
        <v>41907</v>
      </c>
      <c r="C900" s="1" t="s">
        <v>309</v>
      </c>
      <c r="D900" s="5">
        <v>-750</v>
      </c>
    </row>
    <row r="901" spans="1:4" x14ac:dyDescent="0.25">
      <c r="A901" s="1">
        <v>438</v>
      </c>
      <c r="B901" s="2">
        <v>41907</v>
      </c>
      <c r="C901" s="1" t="s">
        <v>115</v>
      </c>
      <c r="D901" s="5">
        <v>675</v>
      </c>
    </row>
    <row r="902" spans="1:4" x14ac:dyDescent="0.25">
      <c r="A902" s="1">
        <v>443</v>
      </c>
      <c r="B902" s="2">
        <v>41907</v>
      </c>
      <c r="C902" s="1" t="s">
        <v>300</v>
      </c>
      <c r="D902" s="5">
        <v>475</v>
      </c>
    </row>
    <row r="903" spans="1:4" x14ac:dyDescent="0.25">
      <c r="A903" s="1">
        <v>458</v>
      </c>
      <c r="B903" s="2">
        <v>41907</v>
      </c>
      <c r="C903" s="1" t="s">
        <v>185</v>
      </c>
      <c r="D903" s="5">
        <v>1075</v>
      </c>
    </row>
    <row r="904" spans="1:4" x14ac:dyDescent="0.25">
      <c r="A904" s="1">
        <v>472</v>
      </c>
      <c r="B904" s="2">
        <v>41907</v>
      </c>
      <c r="C904" s="1" t="s">
        <v>279</v>
      </c>
      <c r="D904" s="5">
        <v>1596.5</v>
      </c>
    </row>
    <row r="905" spans="1:4" x14ac:dyDescent="0.25">
      <c r="A905" s="1">
        <v>477</v>
      </c>
      <c r="B905" s="2">
        <v>41907</v>
      </c>
      <c r="C905" s="1" t="s">
        <v>284</v>
      </c>
      <c r="D905" s="5">
        <v>1500</v>
      </c>
    </row>
    <row r="906" spans="1:4" x14ac:dyDescent="0.25">
      <c r="A906" s="1">
        <v>487</v>
      </c>
      <c r="B906" s="2">
        <v>41907</v>
      </c>
      <c r="C906" s="1" t="s">
        <v>303</v>
      </c>
      <c r="D906" s="5">
        <v>1078</v>
      </c>
    </row>
    <row r="907" spans="1:4" x14ac:dyDescent="0.25">
      <c r="A907" s="1">
        <v>539</v>
      </c>
      <c r="B907" s="2">
        <v>41907</v>
      </c>
      <c r="C907" s="1" t="s">
        <v>122</v>
      </c>
      <c r="D907" s="5">
        <v>1846.22</v>
      </c>
    </row>
    <row r="908" spans="1:4" x14ac:dyDescent="0.25">
      <c r="A908" s="1">
        <v>549</v>
      </c>
      <c r="B908" s="2">
        <v>41907</v>
      </c>
      <c r="C908" s="1" t="s">
        <v>280</v>
      </c>
      <c r="D908" s="5">
        <v>375</v>
      </c>
    </row>
    <row r="909" spans="1:4" x14ac:dyDescent="0.25">
      <c r="A909" s="1">
        <v>551</v>
      </c>
      <c r="B909" s="2">
        <v>41907</v>
      </c>
      <c r="C909" s="1" t="s">
        <v>166</v>
      </c>
      <c r="D909" s="5">
        <v>500</v>
      </c>
    </row>
    <row r="910" spans="1:4" x14ac:dyDescent="0.25">
      <c r="A910" s="1">
        <v>569</v>
      </c>
      <c r="B910" s="2">
        <v>41907</v>
      </c>
      <c r="C910" s="1" t="s">
        <v>301</v>
      </c>
      <c r="D910" s="5">
        <v>900</v>
      </c>
    </row>
    <row r="911" spans="1:4" x14ac:dyDescent="0.25">
      <c r="A911" s="1">
        <v>574</v>
      </c>
      <c r="B911" s="2">
        <v>41907</v>
      </c>
      <c r="C911" s="1" t="s">
        <v>298</v>
      </c>
      <c r="D911" s="5">
        <v>0</v>
      </c>
    </row>
    <row r="912" spans="1:4" x14ac:dyDescent="0.25">
      <c r="A912" s="1">
        <v>580</v>
      </c>
      <c r="B912" s="2">
        <v>41907</v>
      </c>
      <c r="C912" s="1" t="s">
        <v>37</v>
      </c>
      <c r="D912" s="5">
        <v>500</v>
      </c>
    </row>
    <row r="913" spans="1:4" x14ac:dyDescent="0.25">
      <c r="A913" s="1">
        <v>582</v>
      </c>
      <c r="B913" s="2">
        <v>41907</v>
      </c>
      <c r="C913" s="1" t="s">
        <v>123</v>
      </c>
      <c r="D913" s="5">
        <v>2055.5</v>
      </c>
    </row>
    <row r="914" spans="1:4" x14ac:dyDescent="0.25">
      <c r="A914" s="1">
        <v>590</v>
      </c>
      <c r="B914" s="2">
        <v>41907</v>
      </c>
      <c r="C914" s="1" t="s">
        <v>282</v>
      </c>
      <c r="D914" s="5">
        <v>1000</v>
      </c>
    </row>
    <row r="915" spans="1:4" x14ac:dyDescent="0.25">
      <c r="A915" s="1">
        <v>594</v>
      </c>
      <c r="B915" s="2">
        <v>41907</v>
      </c>
      <c r="C915" s="1" t="s">
        <v>223</v>
      </c>
      <c r="D915" s="5">
        <v>850</v>
      </c>
    </row>
    <row r="916" spans="1:4" x14ac:dyDescent="0.25">
      <c r="A916" s="1">
        <v>604</v>
      </c>
      <c r="B916" s="2">
        <v>41907</v>
      </c>
      <c r="C916" s="1" t="s">
        <v>127</v>
      </c>
      <c r="D916" s="5">
        <v>1125</v>
      </c>
    </row>
    <row r="917" spans="1:4" x14ac:dyDescent="0.25">
      <c r="A917" s="1">
        <v>615</v>
      </c>
      <c r="B917" s="2">
        <v>41907</v>
      </c>
      <c r="C917" s="1" t="s">
        <v>201</v>
      </c>
      <c r="D917" s="5">
        <v>457.27</v>
      </c>
    </row>
    <row r="918" spans="1:4" x14ac:dyDescent="0.25">
      <c r="A918" s="1">
        <v>268</v>
      </c>
      <c r="B918" s="2">
        <v>41908</v>
      </c>
      <c r="C918" s="1" t="s">
        <v>162</v>
      </c>
      <c r="D918" s="5">
        <v>400</v>
      </c>
    </row>
    <row r="919" spans="1:4" x14ac:dyDescent="0.25">
      <c r="A919" s="1">
        <v>293</v>
      </c>
      <c r="B919" s="2">
        <v>41908</v>
      </c>
      <c r="C919" s="1" t="s">
        <v>305</v>
      </c>
      <c r="D919" s="5">
        <v>575</v>
      </c>
    </row>
    <row r="920" spans="1:4" x14ac:dyDescent="0.25">
      <c r="A920" s="1">
        <v>390</v>
      </c>
      <c r="B920" s="2">
        <v>41908</v>
      </c>
      <c r="C920" s="1" t="s">
        <v>306</v>
      </c>
      <c r="D920" s="5">
        <v>850</v>
      </c>
    </row>
    <row r="921" spans="1:4" x14ac:dyDescent="0.25">
      <c r="A921" s="1">
        <v>429</v>
      </c>
      <c r="B921" s="2">
        <v>41908</v>
      </c>
      <c r="C921" s="1" t="s">
        <v>296</v>
      </c>
      <c r="D921" s="5">
        <v>500</v>
      </c>
    </row>
    <row r="922" spans="1:4" x14ac:dyDescent="0.25">
      <c r="A922" s="1">
        <v>458</v>
      </c>
      <c r="B922" s="2">
        <v>41908</v>
      </c>
      <c r="C922" s="1" t="s">
        <v>185</v>
      </c>
      <c r="D922" s="5">
        <v>400</v>
      </c>
    </row>
    <row r="923" spans="1:4" x14ac:dyDescent="0.25">
      <c r="A923" s="1">
        <v>464</v>
      </c>
      <c r="B923" s="2">
        <v>41908</v>
      </c>
      <c r="C923" s="1" t="s">
        <v>118</v>
      </c>
      <c r="D923" s="5">
        <v>625</v>
      </c>
    </row>
    <row r="924" spans="1:4" x14ac:dyDescent="0.25">
      <c r="A924" s="1">
        <v>202</v>
      </c>
      <c r="B924" s="2">
        <v>41911</v>
      </c>
      <c r="C924" s="1" t="s">
        <v>237</v>
      </c>
      <c r="D924" s="5">
        <v>5175</v>
      </c>
    </row>
    <row r="925" spans="1:4" x14ac:dyDescent="0.25">
      <c r="A925" s="1">
        <v>218</v>
      </c>
      <c r="B925" s="2">
        <v>41911</v>
      </c>
      <c r="C925" s="1" t="s">
        <v>233</v>
      </c>
      <c r="D925" s="5">
        <v>500</v>
      </c>
    </row>
    <row r="926" spans="1:4" x14ac:dyDescent="0.25">
      <c r="A926" s="1">
        <v>334</v>
      </c>
      <c r="B926" s="2">
        <v>41911</v>
      </c>
      <c r="C926" s="1" t="s">
        <v>267</v>
      </c>
      <c r="D926" s="5">
        <v>1989</v>
      </c>
    </row>
    <row r="927" spans="1:4" x14ac:dyDescent="0.25">
      <c r="A927" s="1">
        <v>335</v>
      </c>
      <c r="B927" s="2">
        <v>41911</v>
      </c>
      <c r="C927" s="1" t="s">
        <v>304</v>
      </c>
      <c r="D927" s="5">
        <v>175</v>
      </c>
    </row>
    <row r="928" spans="1:4" x14ac:dyDescent="0.25">
      <c r="A928" s="1">
        <v>355</v>
      </c>
      <c r="B928" s="2">
        <v>41911</v>
      </c>
      <c r="C928" s="1" t="s">
        <v>108</v>
      </c>
      <c r="D928" s="5">
        <v>0</v>
      </c>
    </row>
    <row r="929" spans="1:4" x14ac:dyDescent="0.25">
      <c r="A929" s="1">
        <v>383</v>
      </c>
      <c r="B929" s="2">
        <v>41913</v>
      </c>
      <c r="C929" s="1" t="s">
        <v>220</v>
      </c>
      <c r="D929" s="5">
        <v>300</v>
      </c>
    </row>
    <row r="930" spans="1:4" x14ac:dyDescent="0.25">
      <c r="A930" s="1">
        <v>692</v>
      </c>
      <c r="B930" s="2">
        <v>41913</v>
      </c>
      <c r="C930" s="1" t="s">
        <v>50</v>
      </c>
      <c r="D930" s="5">
        <v>1061</v>
      </c>
    </row>
    <row r="931" spans="1:4" x14ac:dyDescent="0.25">
      <c r="A931" s="1">
        <v>37</v>
      </c>
      <c r="B931" s="2">
        <v>41915</v>
      </c>
      <c r="C931" s="1" t="s">
        <v>77</v>
      </c>
      <c r="D931" s="5">
        <v>2768.19</v>
      </c>
    </row>
    <row r="932" spans="1:4" x14ac:dyDescent="0.25">
      <c r="A932" s="1">
        <v>77</v>
      </c>
      <c r="B932" s="2">
        <v>41915</v>
      </c>
      <c r="C932" s="1" t="s">
        <v>11</v>
      </c>
      <c r="D932" s="5">
        <v>425</v>
      </c>
    </row>
    <row r="933" spans="1:4" x14ac:dyDescent="0.25">
      <c r="A933" s="1">
        <v>248</v>
      </c>
      <c r="B933" s="2">
        <v>41915</v>
      </c>
      <c r="C933" s="1" t="s">
        <v>19</v>
      </c>
      <c r="D933" s="5">
        <v>1555.5</v>
      </c>
    </row>
    <row r="934" spans="1:4" x14ac:dyDescent="0.25">
      <c r="A934" s="1">
        <v>261</v>
      </c>
      <c r="B934" s="2">
        <v>41915</v>
      </c>
      <c r="C934" s="1" t="s">
        <v>22</v>
      </c>
      <c r="D934" s="5">
        <v>1975</v>
      </c>
    </row>
    <row r="935" spans="1:4" x14ac:dyDescent="0.25">
      <c r="A935" s="1">
        <v>321</v>
      </c>
      <c r="B935" s="2">
        <v>41915</v>
      </c>
      <c r="C935" s="1" t="s">
        <v>105</v>
      </c>
      <c r="D935" s="5">
        <v>500</v>
      </c>
    </row>
    <row r="936" spans="1:4" x14ac:dyDescent="0.25">
      <c r="A936" s="1">
        <v>373</v>
      </c>
      <c r="B936" s="2">
        <v>41915</v>
      </c>
      <c r="C936" s="1" t="s">
        <v>234</v>
      </c>
      <c r="D936" s="5">
        <v>-442.36</v>
      </c>
    </row>
    <row r="937" spans="1:4" x14ac:dyDescent="0.25">
      <c r="A937" s="1">
        <v>389</v>
      </c>
      <c r="B937" s="2">
        <v>41915</v>
      </c>
      <c r="C937" s="1" t="s">
        <v>31</v>
      </c>
      <c r="D937" s="5">
        <v>2000</v>
      </c>
    </row>
    <row r="938" spans="1:4" x14ac:dyDescent="0.25">
      <c r="A938" s="1">
        <v>428</v>
      </c>
      <c r="B938" s="2">
        <v>41915</v>
      </c>
      <c r="C938" s="1" t="s">
        <v>213</v>
      </c>
      <c r="D938" s="5">
        <v>400</v>
      </c>
    </row>
    <row r="939" spans="1:4" x14ac:dyDescent="0.25">
      <c r="A939" s="1">
        <v>436</v>
      </c>
      <c r="B939" s="2">
        <v>41915</v>
      </c>
      <c r="C939" s="1" t="s">
        <v>302</v>
      </c>
      <c r="D939" s="5">
        <v>800</v>
      </c>
    </row>
    <row r="940" spans="1:4" x14ac:dyDescent="0.25">
      <c r="A940" s="1">
        <v>438</v>
      </c>
      <c r="B940" s="2">
        <v>41915</v>
      </c>
      <c r="C940" s="1" t="s">
        <v>115</v>
      </c>
      <c r="D940" s="5">
        <v>1275</v>
      </c>
    </row>
    <row r="941" spans="1:4" x14ac:dyDescent="0.25">
      <c r="A941" s="1">
        <v>458</v>
      </c>
      <c r="B941" s="2">
        <v>41915</v>
      </c>
      <c r="C941" s="1" t="s">
        <v>185</v>
      </c>
      <c r="D941" s="5">
        <v>675</v>
      </c>
    </row>
    <row r="942" spans="1:4" x14ac:dyDescent="0.25">
      <c r="A942" s="1">
        <v>487</v>
      </c>
      <c r="B942" s="2">
        <v>41915</v>
      </c>
      <c r="C942" s="1" t="s">
        <v>303</v>
      </c>
      <c r="D942" s="5">
        <v>1096.5</v>
      </c>
    </row>
    <row r="943" spans="1:4" x14ac:dyDescent="0.25">
      <c r="A943" s="1">
        <v>583</v>
      </c>
      <c r="B943" s="2">
        <v>41915</v>
      </c>
      <c r="C943" s="1" t="s">
        <v>124</v>
      </c>
      <c r="D943" s="5">
        <v>500</v>
      </c>
    </row>
    <row r="944" spans="1:4" x14ac:dyDescent="0.25">
      <c r="A944" s="1">
        <v>594</v>
      </c>
      <c r="B944" s="2">
        <v>41915</v>
      </c>
      <c r="C944" s="1" t="s">
        <v>223</v>
      </c>
      <c r="D944" s="5">
        <v>600</v>
      </c>
    </row>
    <row r="945" spans="1:4" x14ac:dyDescent="0.25">
      <c r="A945" s="1">
        <v>626</v>
      </c>
      <c r="B945" s="2">
        <v>41915</v>
      </c>
      <c r="C945" s="1" t="s">
        <v>187</v>
      </c>
      <c r="D945" s="5">
        <v>2448</v>
      </c>
    </row>
    <row r="946" spans="1:4" x14ac:dyDescent="0.25">
      <c r="A946" s="1">
        <v>28</v>
      </c>
      <c r="B946" s="2">
        <v>41918</v>
      </c>
      <c r="C946" s="1" t="s">
        <v>6</v>
      </c>
      <c r="D946" s="5">
        <v>1825</v>
      </c>
    </row>
    <row r="947" spans="1:4" x14ac:dyDescent="0.25">
      <c r="A947" s="1">
        <v>41</v>
      </c>
      <c r="B947" s="2">
        <v>41918</v>
      </c>
      <c r="C947" s="1" t="s">
        <v>10</v>
      </c>
      <c r="D947" s="5">
        <v>175</v>
      </c>
    </row>
    <row r="948" spans="1:4" x14ac:dyDescent="0.25">
      <c r="A948" s="1">
        <v>94</v>
      </c>
      <c r="B948" s="2">
        <v>41918</v>
      </c>
      <c r="C948" s="1" t="s">
        <v>182</v>
      </c>
      <c r="D948" s="5">
        <v>900</v>
      </c>
    </row>
    <row r="949" spans="1:4" x14ac:dyDescent="0.25">
      <c r="A949" s="1">
        <v>133</v>
      </c>
      <c r="B949" s="2">
        <v>41918</v>
      </c>
      <c r="C949" s="1" t="s">
        <v>87</v>
      </c>
      <c r="D949" s="5">
        <v>775</v>
      </c>
    </row>
    <row r="950" spans="1:4" x14ac:dyDescent="0.25">
      <c r="A950" s="1">
        <v>185</v>
      </c>
      <c r="B950" s="2">
        <v>41918</v>
      </c>
      <c r="C950" s="1" t="s">
        <v>17</v>
      </c>
      <c r="D950" s="5">
        <v>250</v>
      </c>
    </row>
    <row r="951" spans="1:4" x14ac:dyDescent="0.25">
      <c r="A951" s="1">
        <v>218</v>
      </c>
      <c r="B951" s="2">
        <v>41918</v>
      </c>
      <c r="C951" s="1" t="s">
        <v>233</v>
      </c>
      <c r="D951" s="5">
        <v>1000</v>
      </c>
    </row>
    <row r="952" spans="1:4" x14ac:dyDescent="0.25">
      <c r="A952" s="1">
        <v>234</v>
      </c>
      <c r="B952" s="2">
        <v>41918</v>
      </c>
      <c r="C952" s="1" t="s">
        <v>259</v>
      </c>
      <c r="D952" s="5">
        <v>525</v>
      </c>
    </row>
    <row r="953" spans="1:4" x14ac:dyDescent="0.25">
      <c r="A953" s="1">
        <v>268</v>
      </c>
      <c r="B953" s="2">
        <v>41918</v>
      </c>
      <c r="C953" s="1" t="s">
        <v>162</v>
      </c>
      <c r="D953" s="5">
        <v>675</v>
      </c>
    </row>
    <row r="954" spans="1:4" x14ac:dyDescent="0.25">
      <c r="A954" s="1">
        <v>269</v>
      </c>
      <c r="B954" s="2">
        <v>41918</v>
      </c>
      <c r="C954" s="1" t="s">
        <v>254</v>
      </c>
      <c r="D954" s="5">
        <v>1000</v>
      </c>
    </row>
    <row r="955" spans="1:4" x14ac:dyDescent="0.25">
      <c r="A955" s="1">
        <v>282</v>
      </c>
      <c r="B955" s="2">
        <v>41918</v>
      </c>
      <c r="C955" s="1" t="s">
        <v>23</v>
      </c>
      <c r="D955" s="5">
        <v>300</v>
      </c>
    </row>
    <row r="956" spans="1:4" x14ac:dyDescent="0.25">
      <c r="A956" s="1">
        <v>295</v>
      </c>
      <c r="B956" s="2">
        <v>41918</v>
      </c>
      <c r="C956" s="1" t="s">
        <v>103</v>
      </c>
      <c r="D956" s="5">
        <v>875</v>
      </c>
    </row>
    <row r="957" spans="1:4" x14ac:dyDescent="0.25">
      <c r="A957" s="1">
        <v>326</v>
      </c>
      <c r="B957" s="2">
        <v>41918</v>
      </c>
      <c r="C957" s="1" t="s">
        <v>25</v>
      </c>
      <c r="D957" s="5">
        <v>600</v>
      </c>
    </row>
    <row r="958" spans="1:4" x14ac:dyDescent="0.25">
      <c r="A958" s="1">
        <v>328</v>
      </c>
      <c r="B958" s="2">
        <v>41918</v>
      </c>
      <c r="C958" s="1" t="s">
        <v>26</v>
      </c>
      <c r="D958" s="5">
        <v>1000</v>
      </c>
    </row>
    <row r="959" spans="1:4" x14ac:dyDescent="0.25">
      <c r="A959" s="1">
        <v>329</v>
      </c>
      <c r="B959" s="2">
        <v>41918</v>
      </c>
      <c r="C959" s="1" t="s">
        <v>199</v>
      </c>
      <c r="D959" s="5">
        <v>709.2</v>
      </c>
    </row>
    <row r="960" spans="1:4" x14ac:dyDescent="0.25">
      <c r="A960" s="1">
        <v>343</v>
      </c>
      <c r="B960" s="2">
        <v>41918</v>
      </c>
      <c r="C960" s="1" t="s">
        <v>28</v>
      </c>
      <c r="D960" s="5">
        <v>994.5</v>
      </c>
    </row>
    <row r="961" spans="1:4" x14ac:dyDescent="0.25">
      <c r="A961" s="1">
        <v>355</v>
      </c>
      <c r="B961" s="2">
        <v>41918</v>
      </c>
      <c r="C961" s="1" t="s">
        <v>108</v>
      </c>
      <c r="D961" s="5">
        <v>0</v>
      </c>
    </row>
    <row r="962" spans="1:4" x14ac:dyDescent="0.25">
      <c r="A962" s="1">
        <v>365</v>
      </c>
      <c r="B962" s="2">
        <v>41918</v>
      </c>
      <c r="C962" s="1" t="s">
        <v>29</v>
      </c>
      <c r="D962" s="5">
        <v>1375</v>
      </c>
    </row>
    <row r="963" spans="1:4" x14ac:dyDescent="0.25">
      <c r="A963" s="1">
        <v>383</v>
      </c>
      <c r="B963" s="2">
        <v>41918</v>
      </c>
      <c r="C963" s="1" t="s">
        <v>220</v>
      </c>
      <c r="D963" s="5">
        <v>1700</v>
      </c>
    </row>
    <row r="964" spans="1:4" x14ac:dyDescent="0.25">
      <c r="A964" s="1">
        <v>389</v>
      </c>
      <c r="B964" s="2">
        <v>41918</v>
      </c>
      <c r="C964" s="1" t="s">
        <v>31</v>
      </c>
      <c r="D964" s="5">
        <v>1750</v>
      </c>
    </row>
    <row r="965" spans="1:4" x14ac:dyDescent="0.25">
      <c r="A965" s="1">
        <v>392</v>
      </c>
      <c r="B965" s="2">
        <v>41918</v>
      </c>
      <c r="C965" s="1" t="s">
        <v>111</v>
      </c>
      <c r="D965" s="5">
        <v>950</v>
      </c>
    </row>
    <row r="966" spans="1:4" x14ac:dyDescent="0.25">
      <c r="A966" s="1">
        <v>397</v>
      </c>
      <c r="B966" s="2">
        <v>41918</v>
      </c>
      <c r="C966" s="1" t="s">
        <v>287</v>
      </c>
      <c r="D966" s="5">
        <v>500</v>
      </c>
    </row>
    <row r="967" spans="1:4" x14ac:dyDescent="0.25">
      <c r="A967" s="1">
        <v>443</v>
      </c>
      <c r="B967" s="2">
        <v>41918</v>
      </c>
      <c r="C967" s="1" t="s">
        <v>300</v>
      </c>
      <c r="D967" s="5">
        <v>500</v>
      </c>
    </row>
    <row r="968" spans="1:4" x14ac:dyDescent="0.25">
      <c r="A968" s="1">
        <v>464</v>
      </c>
      <c r="B968" s="2">
        <v>41918</v>
      </c>
      <c r="C968" s="1" t="s">
        <v>118</v>
      </c>
      <c r="D968" s="5">
        <v>325</v>
      </c>
    </row>
    <row r="969" spans="1:4" x14ac:dyDescent="0.25">
      <c r="A969" s="1">
        <v>472</v>
      </c>
      <c r="B969" s="2">
        <v>41918</v>
      </c>
      <c r="C969" s="1" t="s">
        <v>279</v>
      </c>
      <c r="D969" s="5">
        <v>500</v>
      </c>
    </row>
    <row r="970" spans="1:4" x14ac:dyDescent="0.25">
      <c r="A970" s="1">
        <v>530</v>
      </c>
      <c r="B970" s="2">
        <v>41918</v>
      </c>
      <c r="C970" s="1" t="s">
        <v>35</v>
      </c>
      <c r="D970" s="5">
        <v>350</v>
      </c>
    </row>
    <row r="971" spans="1:4" x14ac:dyDescent="0.25">
      <c r="A971" s="1">
        <v>550</v>
      </c>
      <c r="B971" s="2">
        <v>41918</v>
      </c>
      <c r="C971" s="1" t="s">
        <v>297</v>
      </c>
      <c r="D971" s="5">
        <v>850</v>
      </c>
    </row>
    <row r="972" spans="1:4" x14ac:dyDescent="0.25">
      <c r="A972" s="1">
        <v>551</v>
      </c>
      <c r="B972" s="2">
        <v>41918</v>
      </c>
      <c r="C972" s="1" t="s">
        <v>166</v>
      </c>
      <c r="D972" s="5">
        <v>1975</v>
      </c>
    </row>
    <row r="973" spans="1:4" x14ac:dyDescent="0.25">
      <c r="A973" s="1">
        <v>569</v>
      </c>
      <c r="B973" s="2">
        <v>41918</v>
      </c>
      <c r="C973" s="1" t="s">
        <v>301</v>
      </c>
      <c r="D973" s="5">
        <v>975</v>
      </c>
    </row>
    <row r="974" spans="1:4" x14ac:dyDescent="0.25">
      <c r="A974" s="1">
        <v>580</v>
      </c>
      <c r="B974" s="2">
        <v>41918</v>
      </c>
      <c r="C974" s="1" t="s">
        <v>37</v>
      </c>
      <c r="D974" s="5">
        <v>500</v>
      </c>
    </row>
    <row r="975" spans="1:4" x14ac:dyDescent="0.25">
      <c r="A975" s="1">
        <v>582</v>
      </c>
      <c r="B975" s="2">
        <v>41918</v>
      </c>
      <c r="C975" s="1" t="s">
        <v>123</v>
      </c>
      <c r="D975" s="5">
        <v>500</v>
      </c>
    </row>
    <row r="976" spans="1:4" x14ac:dyDescent="0.25">
      <c r="A976" s="1">
        <v>593</v>
      </c>
      <c r="B976" s="2">
        <v>41918</v>
      </c>
      <c r="C976" s="1" t="s">
        <v>38</v>
      </c>
      <c r="D976" s="5">
        <v>250</v>
      </c>
    </row>
    <row r="977" spans="1:4" x14ac:dyDescent="0.25">
      <c r="A977" s="1">
        <v>615</v>
      </c>
      <c r="B977" s="2">
        <v>41918</v>
      </c>
      <c r="C977" s="1" t="s">
        <v>201</v>
      </c>
      <c r="D977" s="5">
        <v>966.13</v>
      </c>
    </row>
    <row r="978" spans="1:4" x14ac:dyDescent="0.25">
      <c r="A978" s="1">
        <v>634</v>
      </c>
      <c r="B978" s="2">
        <v>41918</v>
      </c>
      <c r="C978" s="1" t="s">
        <v>225</v>
      </c>
      <c r="D978" s="5">
        <v>425</v>
      </c>
    </row>
    <row r="979" spans="1:4" x14ac:dyDescent="0.25">
      <c r="A979" s="1">
        <v>389</v>
      </c>
      <c r="B979" s="2">
        <v>41919</v>
      </c>
      <c r="C979" s="1" t="s">
        <v>31</v>
      </c>
      <c r="D979" s="5">
        <v>1000</v>
      </c>
    </row>
    <row r="980" spans="1:4" x14ac:dyDescent="0.25">
      <c r="A980" s="1">
        <v>574</v>
      </c>
      <c r="B980" s="2">
        <v>41919</v>
      </c>
      <c r="C980" s="1" t="s">
        <v>298</v>
      </c>
      <c r="D980" s="5">
        <v>0</v>
      </c>
    </row>
    <row r="981" spans="1:4" x14ac:dyDescent="0.25">
      <c r="A981" s="1">
        <v>652</v>
      </c>
      <c r="B981" s="2">
        <v>41919</v>
      </c>
      <c r="C981" s="1" t="s">
        <v>299</v>
      </c>
      <c r="D981" s="5">
        <v>725</v>
      </c>
    </row>
    <row r="982" spans="1:4" x14ac:dyDescent="0.25">
      <c r="A982" s="1">
        <v>27</v>
      </c>
      <c r="B982" s="2">
        <v>41922</v>
      </c>
      <c r="C982" s="1" t="s">
        <v>159</v>
      </c>
      <c r="D982" s="5">
        <v>1699.35</v>
      </c>
    </row>
    <row r="983" spans="1:4" x14ac:dyDescent="0.25">
      <c r="A983" s="1">
        <v>28</v>
      </c>
      <c r="B983" s="2">
        <v>41922</v>
      </c>
      <c r="C983" s="1" t="s">
        <v>6</v>
      </c>
      <c r="D983" s="5">
        <v>1000</v>
      </c>
    </row>
    <row r="984" spans="1:4" x14ac:dyDescent="0.25">
      <c r="A984" s="1">
        <v>63</v>
      </c>
      <c r="B984" s="2">
        <v>41922</v>
      </c>
      <c r="C984" s="1" t="s">
        <v>181</v>
      </c>
      <c r="D984" s="5">
        <v>2942.72</v>
      </c>
    </row>
    <row r="985" spans="1:4" x14ac:dyDescent="0.25">
      <c r="A985" s="1">
        <v>77</v>
      </c>
      <c r="B985" s="2">
        <v>41922</v>
      </c>
      <c r="C985" s="1" t="s">
        <v>11</v>
      </c>
      <c r="D985" s="5">
        <v>1800</v>
      </c>
    </row>
    <row r="986" spans="1:4" x14ac:dyDescent="0.25">
      <c r="A986" s="1">
        <v>217</v>
      </c>
      <c r="B986" s="2">
        <v>41922</v>
      </c>
      <c r="C986" s="1" t="s">
        <v>97</v>
      </c>
      <c r="D986" s="5">
        <v>294.5</v>
      </c>
    </row>
    <row r="987" spans="1:4" x14ac:dyDescent="0.25">
      <c r="A987" s="1">
        <v>233</v>
      </c>
      <c r="B987" s="2">
        <v>41922</v>
      </c>
      <c r="C987" s="1" t="s">
        <v>294</v>
      </c>
      <c r="D987" s="5">
        <v>475</v>
      </c>
    </row>
    <row r="988" spans="1:4" x14ac:dyDescent="0.25">
      <c r="A988" s="1">
        <v>255</v>
      </c>
      <c r="B988" s="2">
        <v>41922</v>
      </c>
      <c r="C988" s="1" t="s">
        <v>21</v>
      </c>
      <c r="D988" s="5">
        <v>1788</v>
      </c>
    </row>
    <row r="989" spans="1:4" x14ac:dyDescent="0.25">
      <c r="A989" s="1">
        <v>261</v>
      </c>
      <c r="B989" s="2">
        <v>41922</v>
      </c>
      <c r="C989" s="1" t="s">
        <v>22</v>
      </c>
      <c r="D989" s="5">
        <v>2475</v>
      </c>
    </row>
    <row r="990" spans="1:4" x14ac:dyDescent="0.25">
      <c r="A990" s="1">
        <v>268</v>
      </c>
      <c r="B990" s="2">
        <v>41922</v>
      </c>
      <c r="C990" s="1" t="s">
        <v>162</v>
      </c>
      <c r="D990" s="5">
        <v>400</v>
      </c>
    </row>
    <row r="991" spans="1:4" x14ac:dyDescent="0.25">
      <c r="A991" s="1">
        <v>269</v>
      </c>
      <c r="B991" s="2">
        <v>41922</v>
      </c>
      <c r="C991" s="1" t="s">
        <v>254</v>
      </c>
      <c r="D991" s="5">
        <v>1000</v>
      </c>
    </row>
    <row r="992" spans="1:4" x14ac:dyDescent="0.25">
      <c r="A992" s="1">
        <v>285</v>
      </c>
      <c r="B992" s="2">
        <v>41922</v>
      </c>
      <c r="C992" s="1" t="s">
        <v>102</v>
      </c>
      <c r="D992" s="5">
        <v>1491.75</v>
      </c>
    </row>
    <row r="993" spans="1:4" x14ac:dyDescent="0.25">
      <c r="A993" s="1">
        <v>295</v>
      </c>
      <c r="B993" s="2">
        <v>41922</v>
      </c>
      <c r="C993" s="1" t="s">
        <v>103</v>
      </c>
      <c r="D993" s="5">
        <v>1900</v>
      </c>
    </row>
    <row r="994" spans="1:4" x14ac:dyDescent="0.25">
      <c r="A994" s="1">
        <v>304</v>
      </c>
      <c r="B994" s="2">
        <v>41922</v>
      </c>
      <c r="C994" s="1" t="s">
        <v>295</v>
      </c>
      <c r="D994" s="5">
        <v>1500</v>
      </c>
    </row>
    <row r="995" spans="1:4" x14ac:dyDescent="0.25">
      <c r="A995" s="1">
        <v>329</v>
      </c>
      <c r="B995" s="2">
        <v>41922</v>
      </c>
      <c r="C995" s="1" t="s">
        <v>199</v>
      </c>
      <c r="D995" s="5">
        <v>1759.5</v>
      </c>
    </row>
    <row r="996" spans="1:4" x14ac:dyDescent="0.25">
      <c r="A996" s="1">
        <v>343</v>
      </c>
      <c r="B996" s="2">
        <v>41922</v>
      </c>
      <c r="C996" s="1" t="s">
        <v>28</v>
      </c>
      <c r="D996" s="5">
        <v>714</v>
      </c>
    </row>
    <row r="997" spans="1:4" x14ac:dyDescent="0.25">
      <c r="A997" s="1">
        <v>352</v>
      </c>
      <c r="B997" s="2">
        <v>41922</v>
      </c>
      <c r="C997" s="1" t="s">
        <v>278</v>
      </c>
      <c r="D997" s="5">
        <v>1375</v>
      </c>
    </row>
    <row r="998" spans="1:4" x14ac:dyDescent="0.25">
      <c r="A998" s="1">
        <v>355</v>
      </c>
      <c r="B998" s="2">
        <v>41922</v>
      </c>
      <c r="C998" s="1" t="s">
        <v>108</v>
      </c>
      <c r="D998" s="5">
        <v>0</v>
      </c>
    </row>
    <row r="999" spans="1:4" x14ac:dyDescent="0.25">
      <c r="A999" s="1">
        <v>365</v>
      </c>
      <c r="B999" s="2">
        <v>41922</v>
      </c>
      <c r="C999" s="1" t="s">
        <v>29</v>
      </c>
      <c r="D999" s="5">
        <v>1025</v>
      </c>
    </row>
    <row r="1000" spans="1:4" x14ac:dyDescent="0.25">
      <c r="A1000" s="1">
        <v>392</v>
      </c>
      <c r="B1000" s="2">
        <v>41922</v>
      </c>
      <c r="C1000" s="1" t="s">
        <v>111</v>
      </c>
      <c r="D1000" s="5">
        <v>1875</v>
      </c>
    </row>
    <row r="1001" spans="1:4" x14ac:dyDescent="0.25">
      <c r="A1001" s="1">
        <v>397</v>
      </c>
      <c r="B1001" s="2">
        <v>41922</v>
      </c>
      <c r="C1001" s="1" t="s">
        <v>287</v>
      </c>
      <c r="D1001" s="5">
        <v>500</v>
      </c>
    </row>
    <row r="1002" spans="1:4" x14ac:dyDescent="0.25">
      <c r="A1002" s="1">
        <v>401</v>
      </c>
      <c r="B1002" s="2">
        <v>41922</v>
      </c>
      <c r="C1002" s="1" t="s">
        <v>184</v>
      </c>
      <c r="D1002" s="5">
        <v>275</v>
      </c>
    </row>
    <row r="1003" spans="1:4" x14ac:dyDescent="0.25">
      <c r="A1003" s="1">
        <v>405</v>
      </c>
      <c r="B1003" s="2">
        <v>41922</v>
      </c>
      <c r="C1003" s="1" t="s">
        <v>112</v>
      </c>
      <c r="D1003" s="5">
        <v>950</v>
      </c>
    </row>
    <row r="1004" spans="1:4" x14ac:dyDescent="0.25">
      <c r="A1004" s="1">
        <v>410</v>
      </c>
      <c r="B1004" s="2">
        <v>41922</v>
      </c>
      <c r="C1004" s="1" t="s">
        <v>32</v>
      </c>
      <c r="D1004" s="5">
        <v>1000</v>
      </c>
    </row>
    <row r="1005" spans="1:4" x14ac:dyDescent="0.25">
      <c r="A1005" s="1">
        <v>429</v>
      </c>
      <c r="B1005" s="2">
        <v>41922</v>
      </c>
      <c r="C1005" s="1" t="s">
        <v>296</v>
      </c>
      <c r="D1005" s="5">
        <v>509.49</v>
      </c>
    </row>
    <row r="1006" spans="1:4" x14ac:dyDescent="0.25">
      <c r="A1006" s="1">
        <v>430</v>
      </c>
      <c r="B1006" s="2">
        <v>41922</v>
      </c>
      <c r="C1006" s="1" t="s">
        <v>114</v>
      </c>
      <c r="D1006" s="5">
        <v>1608.5</v>
      </c>
    </row>
    <row r="1007" spans="1:4" x14ac:dyDescent="0.25">
      <c r="A1007" s="1">
        <v>438</v>
      </c>
      <c r="B1007" s="2">
        <v>41922</v>
      </c>
      <c r="C1007" s="1" t="s">
        <v>115</v>
      </c>
      <c r="D1007" s="5">
        <v>650</v>
      </c>
    </row>
    <row r="1008" spans="1:4" x14ac:dyDescent="0.25">
      <c r="A1008" s="1">
        <v>472</v>
      </c>
      <c r="B1008" s="2">
        <v>41922</v>
      </c>
      <c r="C1008" s="1" t="s">
        <v>279</v>
      </c>
      <c r="D1008" s="5">
        <v>500</v>
      </c>
    </row>
    <row r="1009" spans="1:4" x14ac:dyDescent="0.25">
      <c r="A1009" s="1">
        <v>549</v>
      </c>
      <c r="B1009" s="2">
        <v>41922</v>
      </c>
      <c r="C1009" s="1" t="s">
        <v>280</v>
      </c>
      <c r="D1009" s="5">
        <v>1450</v>
      </c>
    </row>
    <row r="1010" spans="1:4" x14ac:dyDescent="0.25">
      <c r="A1010" s="1">
        <v>550</v>
      </c>
      <c r="B1010" s="2">
        <v>41922</v>
      </c>
      <c r="C1010" s="1" t="s">
        <v>297</v>
      </c>
      <c r="D1010" s="5">
        <v>875</v>
      </c>
    </row>
    <row r="1011" spans="1:4" x14ac:dyDescent="0.25">
      <c r="A1011" s="1">
        <v>574</v>
      </c>
      <c r="B1011" s="2">
        <v>41922</v>
      </c>
      <c r="C1011" s="1" t="s">
        <v>298</v>
      </c>
      <c r="D1011" s="5">
        <v>0</v>
      </c>
    </row>
    <row r="1012" spans="1:4" x14ac:dyDescent="0.25">
      <c r="A1012" s="1">
        <v>580</v>
      </c>
      <c r="B1012" s="2">
        <v>41922</v>
      </c>
      <c r="C1012" s="1" t="s">
        <v>37</v>
      </c>
      <c r="D1012" s="5">
        <v>500</v>
      </c>
    </row>
    <row r="1013" spans="1:4" x14ac:dyDescent="0.25">
      <c r="A1013" s="1">
        <v>582</v>
      </c>
      <c r="B1013" s="2">
        <v>41922</v>
      </c>
      <c r="C1013" s="1" t="s">
        <v>123</v>
      </c>
      <c r="D1013" s="5">
        <v>500</v>
      </c>
    </row>
    <row r="1014" spans="1:4" x14ac:dyDescent="0.25">
      <c r="A1014" s="1">
        <v>590</v>
      </c>
      <c r="B1014" s="2">
        <v>41922</v>
      </c>
      <c r="C1014" s="1" t="s">
        <v>282</v>
      </c>
      <c r="D1014" s="5">
        <v>525</v>
      </c>
    </row>
    <row r="1015" spans="1:4" x14ac:dyDescent="0.25">
      <c r="A1015" s="1">
        <v>598</v>
      </c>
      <c r="B1015" s="2">
        <v>41922</v>
      </c>
      <c r="C1015" s="1" t="s">
        <v>247</v>
      </c>
      <c r="D1015" s="5">
        <v>1625</v>
      </c>
    </row>
    <row r="1016" spans="1:4" x14ac:dyDescent="0.25">
      <c r="A1016" s="1">
        <v>600</v>
      </c>
      <c r="B1016" s="2">
        <v>41922</v>
      </c>
      <c r="C1016" s="1" t="s">
        <v>244</v>
      </c>
      <c r="D1016" s="5">
        <v>561</v>
      </c>
    </row>
    <row r="1017" spans="1:4" x14ac:dyDescent="0.25">
      <c r="A1017" s="1">
        <v>601</v>
      </c>
      <c r="B1017" s="2">
        <v>41922</v>
      </c>
      <c r="C1017" s="1" t="s">
        <v>126</v>
      </c>
      <c r="D1017" s="5">
        <v>1377</v>
      </c>
    </row>
    <row r="1018" spans="1:4" x14ac:dyDescent="0.25">
      <c r="A1018" s="1">
        <v>612</v>
      </c>
      <c r="B1018" s="2">
        <v>41922</v>
      </c>
      <c r="C1018" s="1" t="s">
        <v>245</v>
      </c>
      <c r="D1018" s="5">
        <v>925</v>
      </c>
    </row>
    <row r="1019" spans="1:4" x14ac:dyDescent="0.25">
      <c r="A1019" s="1">
        <v>614</v>
      </c>
      <c r="B1019" s="2">
        <v>41922</v>
      </c>
      <c r="C1019" s="1" t="s">
        <v>130</v>
      </c>
      <c r="D1019" s="5">
        <v>625</v>
      </c>
    </row>
    <row r="1020" spans="1:4" x14ac:dyDescent="0.25">
      <c r="A1020" s="1">
        <v>616</v>
      </c>
      <c r="B1020" s="2">
        <v>41922</v>
      </c>
      <c r="C1020" s="1" t="s">
        <v>40</v>
      </c>
      <c r="D1020" s="5">
        <v>800</v>
      </c>
    </row>
    <row r="1021" spans="1:4" x14ac:dyDescent="0.25">
      <c r="A1021" s="1">
        <v>626</v>
      </c>
      <c r="B1021" s="2">
        <v>41922</v>
      </c>
      <c r="C1021" s="1" t="s">
        <v>187</v>
      </c>
      <c r="D1021" s="5">
        <v>701.59</v>
      </c>
    </row>
    <row r="1022" spans="1:4" x14ac:dyDescent="0.25">
      <c r="A1022" s="1">
        <v>646</v>
      </c>
      <c r="B1022" s="2">
        <v>41922</v>
      </c>
      <c r="C1022" s="1" t="s">
        <v>203</v>
      </c>
      <c r="D1022" s="5">
        <v>775</v>
      </c>
    </row>
    <row r="1023" spans="1:4" x14ac:dyDescent="0.25">
      <c r="A1023" s="1">
        <v>648</v>
      </c>
      <c r="B1023" s="2">
        <v>41922</v>
      </c>
      <c r="C1023" s="1" t="s">
        <v>42</v>
      </c>
      <c r="D1023" s="5">
        <v>950</v>
      </c>
    </row>
    <row r="1024" spans="1:4" x14ac:dyDescent="0.25">
      <c r="A1024" s="1">
        <v>650</v>
      </c>
      <c r="B1024" s="2">
        <v>41922</v>
      </c>
      <c r="C1024" s="1" t="s">
        <v>283</v>
      </c>
      <c r="D1024" s="5">
        <v>510</v>
      </c>
    </row>
    <row r="1025" spans="1:4" x14ac:dyDescent="0.25">
      <c r="A1025" s="1">
        <v>652</v>
      </c>
      <c r="B1025" s="2">
        <v>41922</v>
      </c>
      <c r="C1025" s="1" t="s">
        <v>299</v>
      </c>
      <c r="D1025" s="5">
        <v>725</v>
      </c>
    </row>
    <row r="1026" spans="1:4" x14ac:dyDescent="0.25">
      <c r="A1026" s="1">
        <v>37</v>
      </c>
      <c r="B1026" s="2">
        <v>41926</v>
      </c>
      <c r="C1026" s="1" t="s">
        <v>77</v>
      </c>
      <c r="D1026" s="5">
        <v>150</v>
      </c>
    </row>
    <row r="1027" spans="1:4" x14ac:dyDescent="0.25">
      <c r="A1027" s="1">
        <v>212</v>
      </c>
      <c r="B1027" s="2">
        <v>41926</v>
      </c>
      <c r="C1027" s="1" t="s">
        <v>265</v>
      </c>
      <c r="D1027" s="5">
        <v>76.069999999999993</v>
      </c>
    </row>
    <row r="1028" spans="1:4" x14ac:dyDescent="0.25">
      <c r="A1028" s="1">
        <v>383</v>
      </c>
      <c r="B1028" s="2">
        <v>41926</v>
      </c>
      <c r="C1028" s="1" t="s">
        <v>220</v>
      </c>
      <c r="D1028" s="5">
        <v>500</v>
      </c>
    </row>
    <row r="1029" spans="1:4" x14ac:dyDescent="0.25">
      <c r="A1029" s="1">
        <v>387</v>
      </c>
      <c r="B1029" s="2">
        <v>41926</v>
      </c>
      <c r="C1029" s="1" t="s">
        <v>110</v>
      </c>
      <c r="D1029" s="5">
        <v>867</v>
      </c>
    </row>
    <row r="1030" spans="1:4" x14ac:dyDescent="0.25">
      <c r="A1030" s="1">
        <v>401</v>
      </c>
      <c r="B1030" s="2">
        <v>41926</v>
      </c>
      <c r="C1030" s="1" t="s">
        <v>184</v>
      </c>
      <c r="D1030" s="5">
        <v>-500</v>
      </c>
    </row>
    <row r="1031" spans="1:4" x14ac:dyDescent="0.25">
      <c r="A1031" s="1">
        <v>474</v>
      </c>
      <c r="B1031" s="2">
        <v>41926</v>
      </c>
      <c r="C1031" s="1" t="s">
        <v>268</v>
      </c>
      <c r="D1031" s="5">
        <v>1175</v>
      </c>
    </row>
    <row r="1032" spans="1:4" x14ac:dyDescent="0.25">
      <c r="A1032" s="1">
        <v>649</v>
      </c>
      <c r="B1032" s="2">
        <v>41926</v>
      </c>
      <c r="C1032" s="1" t="s">
        <v>293</v>
      </c>
      <c r="D1032" s="5">
        <v>867</v>
      </c>
    </row>
    <row r="1033" spans="1:4" x14ac:dyDescent="0.25">
      <c r="A1033" s="1">
        <v>653</v>
      </c>
      <c r="B1033" s="2">
        <v>41926</v>
      </c>
      <c r="C1033" s="1" t="s">
        <v>292</v>
      </c>
      <c r="D1033" s="5">
        <v>4175</v>
      </c>
    </row>
    <row r="1034" spans="1:4" x14ac:dyDescent="0.25">
      <c r="A1034" s="1">
        <v>660</v>
      </c>
      <c r="B1034" s="2">
        <v>41926</v>
      </c>
      <c r="C1034" s="1" t="s">
        <v>132</v>
      </c>
      <c r="D1034" s="5">
        <v>2958</v>
      </c>
    </row>
    <row r="1035" spans="1:4" x14ac:dyDescent="0.25">
      <c r="A1035" s="1">
        <v>661</v>
      </c>
      <c r="B1035" s="2">
        <v>41926</v>
      </c>
      <c r="C1035" s="1" t="s">
        <v>188</v>
      </c>
      <c r="D1035" s="5">
        <v>693</v>
      </c>
    </row>
    <row r="1036" spans="1:4" x14ac:dyDescent="0.25">
      <c r="A1036" s="1">
        <v>680</v>
      </c>
      <c r="B1036" s="2">
        <v>41926</v>
      </c>
      <c r="C1036" s="1" t="s">
        <v>46</v>
      </c>
      <c r="D1036" s="5">
        <v>380</v>
      </c>
    </row>
    <row r="1037" spans="1:4" x14ac:dyDescent="0.25">
      <c r="A1037" s="1">
        <v>27</v>
      </c>
      <c r="B1037" s="2">
        <v>41929</v>
      </c>
      <c r="C1037" s="1" t="s">
        <v>159</v>
      </c>
      <c r="D1037" s="5">
        <v>7691.5</v>
      </c>
    </row>
    <row r="1038" spans="1:4" x14ac:dyDescent="0.25">
      <c r="A1038" s="1">
        <v>28</v>
      </c>
      <c r="B1038" s="2">
        <v>41929</v>
      </c>
      <c r="C1038" s="1" t="s">
        <v>6</v>
      </c>
      <c r="D1038" s="5">
        <v>613</v>
      </c>
    </row>
    <row r="1039" spans="1:4" x14ac:dyDescent="0.25">
      <c r="A1039" s="1">
        <v>37</v>
      </c>
      <c r="B1039" s="2">
        <v>41929</v>
      </c>
      <c r="C1039" s="1" t="s">
        <v>77</v>
      </c>
      <c r="D1039" s="5">
        <v>6658.9</v>
      </c>
    </row>
    <row r="1040" spans="1:4" x14ac:dyDescent="0.25">
      <c r="A1040" s="1">
        <v>41</v>
      </c>
      <c r="B1040" s="2">
        <v>41929</v>
      </c>
      <c r="C1040" s="1" t="s">
        <v>10</v>
      </c>
      <c r="D1040" s="5">
        <v>606.41</v>
      </c>
    </row>
    <row r="1041" spans="1:4" x14ac:dyDescent="0.25">
      <c r="A1041" s="1">
        <v>77</v>
      </c>
      <c r="B1041" s="2">
        <v>41929</v>
      </c>
      <c r="C1041" s="1" t="s">
        <v>11</v>
      </c>
      <c r="D1041" s="5">
        <v>2175</v>
      </c>
    </row>
    <row r="1042" spans="1:4" x14ac:dyDescent="0.25">
      <c r="A1042" s="1">
        <v>82</v>
      </c>
      <c r="B1042" s="2">
        <v>41929</v>
      </c>
      <c r="C1042" s="1" t="s">
        <v>289</v>
      </c>
      <c r="D1042" s="5">
        <v>387.5</v>
      </c>
    </row>
    <row r="1043" spans="1:4" x14ac:dyDescent="0.25">
      <c r="A1043" s="1">
        <v>85</v>
      </c>
      <c r="B1043" s="2">
        <v>41929</v>
      </c>
      <c r="C1043" s="1" t="s">
        <v>79</v>
      </c>
      <c r="D1043" s="5">
        <v>3067.5</v>
      </c>
    </row>
    <row r="1044" spans="1:4" x14ac:dyDescent="0.25">
      <c r="A1044" s="1">
        <v>99</v>
      </c>
      <c r="B1044" s="2">
        <v>41929</v>
      </c>
      <c r="C1044" s="1" t="s">
        <v>240</v>
      </c>
      <c r="D1044" s="5">
        <v>968</v>
      </c>
    </row>
    <row r="1045" spans="1:4" x14ac:dyDescent="0.25">
      <c r="A1045" s="1">
        <v>105</v>
      </c>
      <c r="B1045" s="2">
        <v>41929</v>
      </c>
      <c r="C1045" s="1" t="s">
        <v>290</v>
      </c>
      <c r="D1045" s="5">
        <v>675</v>
      </c>
    </row>
    <row r="1046" spans="1:4" x14ac:dyDescent="0.25">
      <c r="A1046" s="1">
        <v>114</v>
      </c>
      <c r="B1046" s="2">
        <v>41929</v>
      </c>
      <c r="C1046" s="1" t="s">
        <v>215</v>
      </c>
      <c r="D1046" s="5">
        <v>31.88</v>
      </c>
    </row>
    <row r="1047" spans="1:4" x14ac:dyDescent="0.25">
      <c r="A1047" s="1">
        <v>117</v>
      </c>
      <c r="B1047" s="2">
        <v>41929</v>
      </c>
      <c r="C1047" s="1" t="s">
        <v>232</v>
      </c>
      <c r="D1047" s="5">
        <v>415.9</v>
      </c>
    </row>
    <row r="1048" spans="1:4" x14ac:dyDescent="0.25">
      <c r="A1048" s="1">
        <v>134</v>
      </c>
      <c r="B1048" s="2">
        <v>41929</v>
      </c>
      <c r="C1048" s="1" t="s">
        <v>291</v>
      </c>
      <c r="D1048" s="5">
        <v>254.98</v>
      </c>
    </row>
    <row r="1049" spans="1:4" x14ac:dyDescent="0.25">
      <c r="A1049" s="1">
        <v>202</v>
      </c>
      <c r="B1049" s="2">
        <v>41929</v>
      </c>
      <c r="C1049" s="1" t="s">
        <v>237</v>
      </c>
      <c r="D1049" s="5">
        <v>1692.93</v>
      </c>
    </row>
    <row r="1050" spans="1:4" x14ac:dyDescent="0.25">
      <c r="A1050" s="1">
        <v>203</v>
      </c>
      <c r="B1050" s="2">
        <v>41929</v>
      </c>
      <c r="C1050" s="1" t="s">
        <v>95</v>
      </c>
      <c r="D1050" s="5">
        <v>12118.8</v>
      </c>
    </row>
    <row r="1051" spans="1:4" x14ac:dyDescent="0.25">
      <c r="A1051" s="1">
        <v>212</v>
      </c>
      <c r="B1051" s="2">
        <v>41929</v>
      </c>
      <c r="C1051" s="1" t="s">
        <v>265</v>
      </c>
      <c r="D1051" s="5">
        <v>3306</v>
      </c>
    </row>
    <row r="1052" spans="1:4" x14ac:dyDescent="0.25">
      <c r="A1052" s="1">
        <v>217</v>
      </c>
      <c r="B1052" s="2">
        <v>41929</v>
      </c>
      <c r="C1052" s="1" t="s">
        <v>97</v>
      </c>
      <c r="D1052" s="5">
        <v>2210.2800000000002</v>
      </c>
    </row>
    <row r="1053" spans="1:4" x14ac:dyDescent="0.25">
      <c r="A1053" s="1">
        <v>248</v>
      </c>
      <c r="B1053" s="2">
        <v>41929</v>
      </c>
      <c r="C1053" s="1" t="s">
        <v>19</v>
      </c>
      <c r="D1053" s="5">
        <v>586.5</v>
      </c>
    </row>
    <row r="1054" spans="1:4" x14ac:dyDescent="0.25">
      <c r="A1054" s="1">
        <v>250</v>
      </c>
      <c r="B1054" s="2">
        <v>41929</v>
      </c>
      <c r="C1054" s="1" t="s">
        <v>212</v>
      </c>
      <c r="D1054" s="5">
        <v>433.5</v>
      </c>
    </row>
    <row r="1055" spans="1:4" x14ac:dyDescent="0.25">
      <c r="A1055" s="1">
        <v>261</v>
      </c>
      <c r="B1055" s="2">
        <v>41929</v>
      </c>
      <c r="C1055" s="1" t="s">
        <v>22</v>
      </c>
      <c r="D1055" s="5">
        <v>2256.8000000000002</v>
      </c>
    </row>
    <row r="1056" spans="1:4" x14ac:dyDescent="0.25">
      <c r="A1056" s="1">
        <v>269</v>
      </c>
      <c r="B1056" s="2">
        <v>41929</v>
      </c>
      <c r="C1056" s="1" t="s">
        <v>254</v>
      </c>
      <c r="D1056" s="5">
        <v>1194.3800000000001</v>
      </c>
    </row>
    <row r="1057" spans="1:4" x14ac:dyDescent="0.25">
      <c r="A1057" s="1">
        <v>282</v>
      </c>
      <c r="B1057" s="2">
        <v>41929</v>
      </c>
      <c r="C1057" s="1" t="s">
        <v>23</v>
      </c>
      <c r="D1057" s="5">
        <v>1175</v>
      </c>
    </row>
    <row r="1058" spans="1:4" x14ac:dyDescent="0.25">
      <c r="A1058" s="1">
        <v>329</v>
      </c>
      <c r="B1058" s="2">
        <v>41929</v>
      </c>
      <c r="C1058" s="1" t="s">
        <v>199</v>
      </c>
      <c r="D1058" s="5">
        <v>1989</v>
      </c>
    </row>
    <row r="1059" spans="1:4" x14ac:dyDescent="0.25">
      <c r="A1059" s="1">
        <v>332</v>
      </c>
      <c r="B1059" s="2">
        <v>41929</v>
      </c>
      <c r="C1059" s="1" t="s">
        <v>27</v>
      </c>
      <c r="D1059" s="5">
        <v>790.5</v>
      </c>
    </row>
    <row r="1060" spans="1:4" x14ac:dyDescent="0.25">
      <c r="A1060" s="1">
        <v>343</v>
      </c>
      <c r="B1060" s="2">
        <v>41929</v>
      </c>
      <c r="C1060" s="1" t="s">
        <v>28</v>
      </c>
      <c r="D1060" s="5">
        <v>1122</v>
      </c>
    </row>
    <row r="1061" spans="1:4" x14ac:dyDescent="0.25">
      <c r="A1061" s="1">
        <v>355</v>
      </c>
      <c r="B1061" s="2">
        <v>41929</v>
      </c>
      <c r="C1061" s="1" t="s">
        <v>108</v>
      </c>
      <c r="D1061" s="5">
        <v>72</v>
      </c>
    </row>
    <row r="1062" spans="1:4" x14ac:dyDescent="0.25">
      <c r="A1062" s="1">
        <v>365</v>
      </c>
      <c r="B1062" s="2">
        <v>41929</v>
      </c>
      <c r="C1062" s="1" t="s">
        <v>29</v>
      </c>
      <c r="D1062" s="5">
        <v>1400</v>
      </c>
    </row>
    <row r="1063" spans="1:4" x14ac:dyDescent="0.25">
      <c r="A1063" s="1">
        <v>387</v>
      </c>
      <c r="B1063" s="2">
        <v>41929</v>
      </c>
      <c r="C1063" s="1" t="s">
        <v>110</v>
      </c>
      <c r="D1063" s="5">
        <v>925</v>
      </c>
    </row>
    <row r="1064" spans="1:4" x14ac:dyDescent="0.25">
      <c r="A1064" s="1">
        <v>389</v>
      </c>
      <c r="B1064" s="2">
        <v>41929</v>
      </c>
      <c r="C1064" s="1" t="s">
        <v>31</v>
      </c>
      <c r="D1064" s="5">
        <v>1312.5</v>
      </c>
    </row>
    <row r="1065" spans="1:4" x14ac:dyDescent="0.25">
      <c r="A1065" s="1">
        <v>401</v>
      </c>
      <c r="B1065" s="2">
        <v>41929</v>
      </c>
      <c r="C1065" s="1" t="s">
        <v>184</v>
      </c>
      <c r="D1065" s="5">
        <v>833.75</v>
      </c>
    </row>
    <row r="1066" spans="1:4" x14ac:dyDescent="0.25">
      <c r="A1066" s="1">
        <v>410</v>
      </c>
      <c r="B1066" s="2">
        <v>41929</v>
      </c>
      <c r="C1066" s="1" t="s">
        <v>32</v>
      </c>
      <c r="D1066" s="5">
        <v>1592</v>
      </c>
    </row>
    <row r="1067" spans="1:4" x14ac:dyDescent="0.25">
      <c r="A1067" s="1">
        <v>422</v>
      </c>
      <c r="B1067" s="2">
        <v>41929</v>
      </c>
      <c r="C1067" s="1" t="s">
        <v>165</v>
      </c>
      <c r="D1067" s="5">
        <v>895.5</v>
      </c>
    </row>
    <row r="1068" spans="1:4" x14ac:dyDescent="0.25">
      <c r="A1068" s="1">
        <v>458</v>
      </c>
      <c r="B1068" s="2">
        <v>41929</v>
      </c>
      <c r="C1068" s="1" t="s">
        <v>185</v>
      </c>
      <c r="D1068" s="5">
        <v>140</v>
      </c>
    </row>
    <row r="1069" spans="1:4" x14ac:dyDescent="0.25">
      <c r="A1069" s="1">
        <v>464</v>
      </c>
      <c r="B1069" s="2">
        <v>41929</v>
      </c>
      <c r="C1069" s="1" t="s">
        <v>118</v>
      </c>
      <c r="D1069" s="5">
        <v>159.5</v>
      </c>
    </row>
    <row r="1070" spans="1:4" x14ac:dyDescent="0.25">
      <c r="A1070" s="1">
        <v>472</v>
      </c>
      <c r="B1070" s="2">
        <v>41929</v>
      </c>
      <c r="C1070" s="1" t="s">
        <v>279</v>
      </c>
      <c r="D1070" s="5">
        <v>500</v>
      </c>
    </row>
    <row r="1071" spans="1:4" x14ac:dyDescent="0.25">
      <c r="A1071" s="1">
        <v>474</v>
      </c>
      <c r="B1071" s="2">
        <v>41929</v>
      </c>
      <c r="C1071" s="1" t="s">
        <v>268</v>
      </c>
      <c r="D1071" s="5">
        <v>473.2</v>
      </c>
    </row>
    <row r="1072" spans="1:4" x14ac:dyDescent="0.25">
      <c r="A1072" s="1">
        <v>499</v>
      </c>
      <c r="B1072" s="2">
        <v>41929</v>
      </c>
      <c r="C1072" s="1" t="s">
        <v>200</v>
      </c>
      <c r="D1072" s="5">
        <v>561</v>
      </c>
    </row>
    <row r="1073" spans="1:4" x14ac:dyDescent="0.25">
      <c r="A1073" s="1">
        <v>539</v>
      </c>
      <c r="B1073" s="2">
        <v>41929</v>
      </c>
      <c r="C1073" s="1" t="s">
        <v>122</v>
      </c>
      <c r="D1073" s="5">
        <v>295.63</v>
      </c>
    </row>
    <row r="1074" spans="1:4" x14ac:dyDescent="0.25">
      <c r="A1074" s="1">
        <v>576</v>
      </c>
      <c r="B1074" s="2">
        <v>41929</v>
      </c>
      <c r="C1074" s="1" t="s">
        <v>36</v>
      </c>
      <c r="D1074" s="5">
        <v>1000</v>
      </c>
    </row>
    <row r="1075" spans="1:4" x14ac:dyDescent="0.25">
      <c r="A1075" s="1">
        <v>580</v>
      </c>
      <c r="B1075" s="2">
        <v>41929</v>
      </c>
      <c r="C1075" s="1" t="s">
        <v>37</v>
      </c>
      <c r="D1075" s="5">
        <v>500</v>
      </c>
    </row>
    <row r="1076" spans="1:4" x14ac:dyDescent="0.25">
      <c r="A1076" s="1">
        <v>582</v>
      </c>
      <c r="B1076" s="2">
        <v>41929</v>
      </c>
      <c r="C1076" s="1" t="s">
        <v>123</v>
      </c>
      <c r="D1076" s="5">
        <v>646.92999999999995</v>
      </c>
    </row>
    <row r="1077" spans="1:4" x14ac:dyDescent="0.25">
      <c r="A1077" s="1">
        <v>593</v>
      </c>
      <c r="B1077" s="2">
        <v>41929</v>
      </c>
      <c r="C1077" s="1" t="s">
        <v>38</v>
      </c>
      <c r="D1077" s="5">
        <v>158</v>
      </c>
    </row>
    <row r="1078" spans="1:4" x14ac:dyDescent="0.25">
      <c r="A1078" s="1">
        <v>599</v>
      </c>
      <c r="B1078" s="2">
        <v>41929</v>
      </c>
      <c r="C1078" s="1" t="s">
        <v>125</v>
      </c>
      <c r="D1078" s="5">
        <v>800</v>
      </c>
    </row>
    <row r="1079" spans="1:4" x14ac:dyDescent="0.25">
      <c r="A1079" s="1">
        <v>648</v>
      </c>
      <c r="B1079" s="2">
        <v>41929</v>
      </c>
      <c r="C1079" s="1" t="s">
        <v>42</v>
      </c>
      <c r="D1079" s="5">
        <v>475</v>
      </c>
    </row>
    <row r="1080" spans="1:4" x14ac:dyDescent="0.25">
      <c r="A1080" s="1">
        <v>650</v>
      </c>
      <c r="B1080" s="2">
        <v>41929</v>
      </c>
      <c r="C1080" s="1" t="s">
        <v>283</v>
      </c>
      <c r="D1080" s="5">
        <v>3876</v>
      </c>
    </row>
    <row r="1081" spans="1:4" x14ac:dyDescent="0.25">
      <c r="A1081" s="1">
        <v>653</v>
      </c>
      <c r="B1081" s="2">
        <v>41929</v>
      </c>
      <c r="C1081" s="1" t="s">
        <v>292</v>
      </c>
      <c r="D1081" s="5">
        <v>1025</v>
      </c>
    </row>
    <row r="1082" spans="1:4" x14ac:dyDescent="0.25">
      <c r="A1082" s="1">
        <v>676</v>
      </c>
      <c r="B1082" s="2">
        <v>41929</v>
      </c>
      <c r="C1082" s="1" t="s">
        <v>246</v>
      </c>
      <c r="D1082" s="5">
        <v>1530</v>
      </c>
    </row>
    <row r="1083" spans="1:4" x14ac:dyDescent="0.25">
      <c r="A1083" s="1">
        <v>680</v>
      </c>
      <c r="B1083" s="2">
        <v>41929</v>
      </c>
      <c r="C1083" s="1" t="s">
        <v>46</v>
      </c>
      <c r="D1083" s="5">
        <v>380</v>
      </c>
    </row>
    <row r="1084" spans="1:4" x14ac:dyDescent="0.25">
      <c r="A1084" s="1">
        <v>203</v>
      </c>
      <c r="B1084" s="2">
        <v>41932</v>
      </c>
      <c r="C1084" s="1" t="s">
        <v>95</v>
      </c>
      <c r="D1084" s="5">
        <v>-4921.8999999999996</v>
      </c>
    </row>
    <row r="1085" spans="1:4" x14ac:dyDescent="0.25">
      <c r="A1085" s="1">
        <v>407</v>
      </c>
      <c r="B1085" s="2">
        <v>41932</v>
      </c>
      <c r="C1085" s="1" t="s">
        <v>113</v>
      </c>
      <c r="D1085" s="5">
        <v>105.83</v>
      </c>
    </row>
    <row r="1086" spans="1:4" x14ac:dyDescent="0.25">
      <c r="A1086" s="1">
        <v>489</v>
      </c>
      <c r="B1086" s="2">
        <v>41932</v>
      </c>
      <c r="C1086" s="1" t="s">
        <v>288</v>
      </c>
      <c r="D1086" s="5">
        <v>918</v>
      </c>
    </row>
    <row r="1087" spans="1:4" x14ac:dyDescent="0.25">
      <c r="A1087" s="1">
        <v>512</v>
      </c>
      <c r="B1087" s="2">
        <v>41932</v>
      </c>
      <c r="C1087" s="1" t="s">
        <v>121</v>
      </c>
      <c r="D1087" s="5">
        <v>739.5</v>
      </c>
    </row>
    <row r="1088" spans="1:4" x14ac:dyDescent="0.25">
      <c r="A1088" s="1">
        <v>656</v>
      </c>
      <c r="B1088" s="2">
        <v>41932</v>
      </c>
      <c r="C1088" s="1" t="s">
        <v>43</v>
      </c>
      <c r="D1088" s="5">
        <v>425</v>
      </c>
    </row>
    <row r="1089" spans="1:4" x14ac:dyDescent="0.25">
      <c r="A1089" s="1">
        <v>664</v>
      </c>
      <c r="B1089" s="2">
        <v>41932</v>
      </c>
      <c r="C1089" s="1" t="s">
        <v>226</v>
      </c>
      <c r="D1089" s="5">
        <v>500</v>
      </c>
    </row>
    <row r="1090" spans="1:4" x14ac:dyDescent="0.25">
      <c r="A1090" s="1">
        <v>675</v>
      </c>
      <c r="B1090" s="2">
        <v>41932</v>
      </c>
      <c r="C1090" s="1" t="s">
        <v>228</v>
      </c>
      <c r="D1090" s="5">
        <v>275</v>
      </c>
    </row>
    <row r="1091" spans="1:4" x14ac:dyDescent="0.25">
      <c r="A1091" s="1">
        <v>679</v>
      </c>
      <c r="B1091" s="2">
        <v>41932</v>
      </c>
      <c r="C1091" s="1" t="s">
        <v>169</v>
      </c>
      <c r="D1091" s="5">
        <v>1468.8</v>
      </c>
    </row>
    <row r="1092" spans="1:4" x14ac:dyDescent="0.25">
      <c r="A1092" s="1">
        <v>685</v>
      </c>
      <c r="B1092" s="2">
        <v>41932</v>
      </c>
      <c r="C1092" s="1" t="s">
        <v>204</v>
      </c>
      <c r="D1092" s="5">
        <v>994.5</v>
      </c>
    </row>
    <row r="1093" spans="1:4" x14ac:dyDescent="0.25">
      <c r="A1093" s="1">
        <v>691</v>
      </c>
      <c r="B1093" s="2">
        <v>41932</v>
      </c>
      <c r="C1093" s="1" t="s">
        <v>49</v>
      </c>
      <c r="D1093" s="5">
        <v>242.88</v>
      </c>
    </row>
    <row r="1094" spans="1:4" x14ac:dyDescent="0.25">
      <c r="A1094" s="1">
        <v>719</v>
      </c>
      <c r="B1094" s="2">
        <v>41932</v>
      </c>
      <c r="C1094" s="1" t="s">
        <v>262</v>
      </c>
      <c r="D1094" s="5">
        <v>691.24</v>
      </c>
    </row>
    <row r="1095" spans="1:4" x14ac:dyDescent="0.25">
      <c r="A1095" s="1">
        <v>403</v>
      </c>
      <c r="B1095" s="2">
        <v>41933</v>
      </c>
      <c r="C1095" s="1" t="s">
        <v>221</v>
      </c>
      <c r="D1095" s="5">
        <v>1126.1400000000001</v>
      </c>
    </row>
    <row r="1096" spans="1:4" x14ac:dyDescent="0.25">
      <c r="A1096" s="1">
        <v>699</v>
      </c>
      <c r="B1096" s="2">
        <v>41933</v>
      </c>
      <c r="C1096" s="1" t="s">
        <v>189</v>
      </c>
      <c r="D1096" s="5">
        <v>900</v>
      </c>
    </row>
    <row r="1097" spans="1:4" x14ac:dyDescent="0.25">
      <c r="A1097" s="1">
        <v>185</v>
      </c>
      <c r="B1097" s="2">
        <v>41934</v>
      </c>
      <c r="C1097" s="1" t="s">
        <v>17</v>
      </c>
      <c r="D1097" s="5">
        <v>1208.7</v>
      </c>
    </row>
    <row r="1098" spans="1:4" x14ac:dyDescent="0.25">
      <c r="A1098" s="1">
        <v>638</v>
      </c>
      <c r="B1098" s="2">
        <v>41934</v>
      </c>
      <c r="C1098" s="1" t="s">
        <v>248</v>
      </c>
      <c r="D1098" s="5">
        <v>612</v>
      </c>
    </row>
    <row r="1099" spans="1:4" x14ac:dyDescent="0.25">
      <c r="A1099" s="1">
        <v>41</v>
      </c>
      <c r="B1099" s="2">
        <v>41936</v>
      </c>
      <c r="C1099" s="1" t="s">
        <v>10</v>
      </c>
      <c r="D1099" s="5">
        <v>3716.02</v>
      </c>
    </row>
    <row r="1100" spans="1:4" x14ac:dyDescent="0.25">
      <c r="A1100" s="1">
        <v>63</v>
      </c>
      <c r="B1100" s="2">
        <v>41936</v>
      </c>
      <c r="C1100" s="1" t="s">
        <v>181</v>
      </c>
      <c r="D1100" s="5">
        <v>254.52</v>
      </c>
    </row>
    <row r="1101" spans="1:4" x14ac:dyDescent="0.25">
      <c r="A1101" s="1">
        <v>85</v>
      </c>
      <c r="B1101" s="2">
        <v>41936</v>
      </c>
      <c r="C1101" s="1" t="s">
        <v>79</v>
      </c>
      <c r="D1101" s="5">
        <v>2519.1799999999998</v>
      </c>
    </row>
    <row r="1102" spans="1:4" x14ac:dyDescent="0.25">
      <c r="A1102" s="1">
        <v>133</v>
      </c>
      <c r="B1102" s="2">
        <v>41936</v>
      </c>
      <c r="C1102" s="1" t="s">
        <v>87</v>
      </c>
      <c r="D1102" s="5">
        <v>369.15</v>
      </c>
    </row>
    <row r="1103" spans="1:4" x14ac:dyDescent="0.25">
      <c r="A1103" s="1">
        <v>175</v>
      </c>
      <c r="B1103" s="2">
        <v>41936</v>
      </c>
      <c r="C1103" s="1" t="s">
        <v>275</v>
      </c>
      <c r="D1103" s="5">
        <v>584.38</v>
      </c>
    </row>
    <row r="1104" spans="1:4" x14ac:dyDescent="0.25">
      <c r="A1104" s="1">
        <v>203</v>
      </c>
      <c r="B1104" s="2">
        <v>41936</v>
      </c>
      <c r="C1104" s="1" t="s">
        <v>95</v>
      </c>
      <c r="D1104" s="5">
        <v>2887.54</v>
      </c>
    </row>
    <row r="1105" spans="1:4" x14ac:dyDescent="0.25">
      <c r="A1105" s="1">
        <v>211</v>
      </c>
      <c r="B1105" s="2">
        <v>41936</v>
      </c>
      <c r="C1105" s="1" t="s">
        <v>96</v>
      </c>
      <c r="D1105" s="5">
        <v>790.5</v>
      </c>
    </row>
    <row r="1106" spans="1:4" x14ac:dyDescent="0.25">
      <c r="A1106" s="1">
        <v>248</v>
      </c>
      <c r="B1106" s="2">
        <v>41936</v>
      </c>
      <c r="C1106" s="1" t="s">
        <v>19</v>
      </c>
      <c r="D1106" s="5">
        <v>2473.5</v>
      </c>
    </row>
    <row r="1107" spans="1:4" x14ac:dyDescent="0.25">
      <c r="A1107" s="1">
        <v>261</v>
      </c>
      <c r="B1107" s="2">
        <v>41936</v>
      </c>
      <c r="C1107" s="1" t="s">
        <v>22</v>
      </c>
      <c r="D1107" s="5">
        <v>2652</v>
      </c>
    </row>
    <row r="1108" spans="1:4" x14ac:dyDescent="0.25">
      <c r="A1108" s="1">
        <v>268</v>
      </c>
      <c r="B1108" s="2">
        <v>41936</v>
      </c>
      <c r="C1108" s="1" t="s">
        <v>162</v>
      </c>
      <c r="D1108" s="5">
        <v>900</v>
      </c>
    </row>
    <row r="1109" spans="1:4" x14ac:dyDescent="0.25">
      <c r="A1109" s="1">
        <v>269</v>
      </c>
      <c r="B1109" s="2">
        <v>41936</v>
      </c>
      <c r="C1109" s="1" t="s">
        <v>254</v>
      </c>
      <c r="D1109" s="5">
        <v>1000</v>
      </c>
    </row>
    <row r="1110" spans="1:4" x14ac:dyDescent="0.25">
      <c r="A1110" s="1">
        <v>295</v>
      </c>
      <c r="B1110" s="2">
        <v>41936</v>
      </c>
      <c r="C1110" s="1" t="s">
        <v>103</v>
      </c>
      <c r="D1110" s="5">
        <v>1125</v>
      </c>
    </row>
    <row r="1111" spans="1:4" x14ac:dyDescent="0.25">
      <c r="A1111" s="1">
        <v>343</v>
      </c>
      <c r="B1111" s="2">
        <v>41936</v>
      </c>
      <c r="C1111" s="1" t="s">
        <v>28</v>
      </c>
      <c r="D1111" s="5">
        <v>1224</v>
      </c>
    </row>
    <row r="1112" spans="1:4" x14ac:dyDescent="0.25">
      <c r="A1112" s="1">
        <v>355</v>
      </c>
      <c r="B1112" s="2">
        <v>41936</v>
      </c>
      <c r="C1112" s="1" t="s">
        <v>108</v>
      </c>
      <c r="D1112" s="5">
        <v>0</v>
      </c>
    </row>
    <row r="1113" spans="1:4" x14ac:dyDescent="0.25">
      <c r="A1113" s="1">
        <v>365</v>
      </c>
      <c r="B1113" s="2">
        <v>41936</v>
      </c>
      <c r="C1113" s="1" t="s">
        <v>29</v>
      </c>
      <c r="D1113" s="5">
        <v>262.5</v>
      </c>
    </row>
    <row r="1114" spans="1:4" x14ac:dyDescent="0.25">
      <c r="A1114" s="1">
        <v>382</v>
      </c>
      <c r="B1114" s="2">
        <v>41936</v>
      </c>
      <c r="C1114" s="1" t="s">
        <v>164</v>
      </c>
      <c r="D1114" s="5">
        <v>1225</v>
      </c>
    </row>
    <row r="1115" spans="1:4" x14ac:dyDescent="0.25">
      <c r="A1115" s="1">
        <v>383</v>
      </c>
      <c r="B1115" s="2">
        <v>41936</v>
      </c>
      <c r="C1115" s="1" t="s">
        <v>220</v>
      </c>
      <c r="D1115" s="5">
        <v>425</v>
      </c>
    </row>
    <row r="1116" spans="1:4" x14ac:dyDescent="0.25">
      <c r="A1116" s="1">
        <v>389</v>
      </c>
      <c r="B1116" s="2">
        <v>41936</v>
      </c>
      <c r="C1116" s="1" t="s">
        <v>31</v>
      </c>
      <c r="D1116" s="5">
        <v>5000</v>
      </c>
    </row>
    <row r="1117" spans="1:4" x14ac:dyDescent="0.25">
      <c r="A1117" s="1">
        <v>397</v>
      </c>
      <c r="B1117" s="2">
        <v>41936</v>
      </c>
      <c r="C1117" s="1" t="s">
        <v>287</v>
      </c>
      <c r="D1117" s="5">
        <v>500</v>
      </c>
    </row>
    <row r="1118" spans="1:4" x14ac:dyDescent="0.25">
      <c r="A1118" s="1">
        <v>401</v>
      </c>
      <c r="B1118" s="2">
        <v>41936</v>
      </c>
      <c r="C1118" s="1" t="s">
        <v>184</v>
      </c>
      <c r="D1118" s="5">
        <v>561</v>
      </c>
    </row>
    <row r="1119" spans="1:4" x14ac:dyDescent="0.25">
      <c r="A1119" s="1">
        <v>472</v>
      </c>
      <c r="B1119" s="2">
        <v>41936</v>
      </c>
      <c r="C1119" s="1" t="s">
        <v>279</v>
      </c>
      <c r="D1119" s="5">
        <v>500</v>
      </c>
    </row>
    <row r="1120" spans="1:4" x14ac:dyDescent="0.25">
      <c r="A1120" s="1">
        <v>489</v>
      </c>
      <c r="B1120" s="2">
        <v>41936</v>
      </c>
      <c r="C1120" s="1" t="s">
        <v>288</v>
      </c>
      <c r="D1120" s="5">
        <v>425</v>
      </c>
    </row>
    <row r="1121" spans="1:4" x14ac:dyDescent="0.25">
      <c r="A1121" s="1">
        <v>539</v>
      </c>
      <c r="B1121" s="2">
        <v>41936</v>
      </c>
      <c r="C1121" s="1" t="s">
        <v>122</v>
      </c>
      <c r="D1121" s="5">
        <v>-200.87</v>
      </c>
    </row>
    <row r="1122" spans="1:4" x14ac:dyDescent="0.25">
      <c r="A1122" s="1">
        <v>551</v>
      </c>
      <c r="B1122" s="2">
        <v>41936</v>
      </c>
      <c r="C1122" s="1" t="s">
        <v>166</v>
      </c>
      <c r="D1122" s="5">
        <v>800</v>
      </c>
    </row>
    <row r="1123" spans="1:4" x14ac:dyDescent="0.25">
      <c r="A1123" s="1">
        <v>576</v>
      </c>
      <c r="B1123" s="2">
        <v>41936</v>
      </c>
      <c r="C1123" s="1" t="s">
        <v>36</v>
      </c>
      <c r="D1123" s="5">
        <v>2793.01</v>
      </c>
    </row>
    <row r="1124" spans="1:4" x14ac:dyDescent="0.25">
      <c r="A1124" s="1">
        <v>580</v>
      </c>
      <c r="B1124" s="2">
        <v>41936</v>
      </c>
      <c r="C1124" s="1" t="s">
        <v>37</v>
      </c>
      <c r="D1124" s="5">
        <v>500</v>
      </c>
    </row>
    <row r="1125" spans="1:4" x14ac:dyDescent="0.25">
      <c r="A1125" s="1">
        <v>582</v>
      </c>
      <c r="B1125" s="2">
        <v>41936</v>
      </c>
      <c r="C1125" s="1" t="s">
        <v>123</v>
      </c>
      <c r="D1125" s="5">
        <v>500</v>
      </c>
    </row>
    <row r="1126" spans="1:4" x14ac:dyDescent="0.25">
      <c r="A1126" s="1">
        <v>583</v>
      </c>
      <c r="B1126" s="2">
        <v>41936</v>
      </c>
      <c r="C1126" s="1" t="s">
        <v>124</v>
      </c>
      <c r="D1126" s="5">
        <v>2575.5</v>
      </c>
    </row>
    <row r="1127" spans="1:4" x14ac:dyDescent="0.25">
      <c r="A1127" s="1">
        <v>586</v>
      </c>
      <c r="B1127" s="2">
        <v>41936</v>
      </c>
      <c r="C1127" s="1" t="s">
        <v>270</v>
      </c>
      <c r="D1127" s="5">
        <v>975</v>
      </c>
    </row>
    <row r="1128" spans="1:4" x14ac:dyDescent="0.25">
      <c r="A1128" s="1">
        <v>593</v>
      </c>
      <c r="B1128" s="2">
        <v>41936</v>
      </c>
      <c r="C1128" s="1" t="s">
        <v>38</v>
      </c>
      <c r="D1128" s="5">
        <v>1224</v>
      </c>
    </row>
    <row r="1129" spans="1:4" x14ac:dyDescent="0.25">
      <c r="A1129" s="1">
        <v>594</v>
      </c>
      <c r="B1129" s="2">
        <v>41936</v>
      </c>
      <c r="C1129" s="1" t="s">
        <v>223</v>
      </c>
      <c r="D1129" s="5">
        <v>382.5</v>
      </c>
    </row>
    <row r="1130" spans="1:4" x14ac:dyDescent="0.25">
      <c r="A1130" s="1">
        <v>601</v>
      </c>
      <c r="B1130" s="2">
        <v>41936</v>
      </c>
      <c r="C1130" s="1" t="s">
        <v>126</v>
      </c>
      <c r="D1130" s="5">
        <v>714</v>
      </c>
    </row>
    <row r="1131" spans="1:4" x14ac:dyDescent="0.25">
      <c r="A1131" s="1">
        <v>606</v>
      </c>
      <c r="B1131" s="2">
        <v>41936</v>
      </c>
      <c r="C1131" s="1" t="s">
        <v>128</v>
      </c>
      <c r="D1131" s="5">
        <v>663</v>
      </c>
    </row>
    <row r="1132" spans="1:4" x14ac:dyDescent="0.25">
      <c r="A1132" s="1">
        <v>612</v>
      </c>
      <c r="B1132" s="2">
        <v>41936</v>
      </c>
      <c r="C1132" s="1" t="s">
        <v>245</v>
      </c>
      <c r="D1132" s="5">
        <v>-925</v>
      </c>
    </row>
    <row r="1133" spans="1:4" x14ac:dyDescent="0.25">
      <c r="A1133" s="1">
        <v>614</v>
      </c>
      <c r="B1133" s="2">
        <v>41936</v>
      </c>
      <c r="C1133" s="1" t="s">
        <v>130</v>
      </c>
      <c r="D1133" s="5">
        <v>612</v>
      </c>
    </row>
    <row r="1134" spans="1:4" x14ac:dyDescent="0.25">
      <c r="A1134" s="1">
        <v>615</v>
      </c>
      <c r="B1134" s="2">
        <v>41936</v>
      </c>
      <c r="C1134" s="1" t="s">
        <v>201</v>
      </c>
      <c r="D1134" s="5">
        <v>397.5</v>
      </c>
    </row>
    <row r="1135" spans="1:4" x14ac:dyDescent="0.25">
      <c r="A1135" s="1">
        <v>632</v>
      </c>
      <c r="B1135" s="2">
        <v>41936</v>
      </c>
      <c r="C1135" s="1" t="s">
        <v>41</v>
      </c>
      <c r="D1135" s="5">
        <v>714</v>
      </c>
    </row>
    <row r="1136" spans="1:4" x14ac:dyDescent="0.25">
      <c r="A1136" s="1">
        <v>635</v>
      </c>
      <c r="B1136" s="2">
        <v>41936</v>
      </c>
      <c r="C1136" s="1" t="s">
        <v>167</v>
      </c>
      <c r="D1136" s="5">
        <v>500</v>
      </c>
    </row>
    <row r="1137" spans="1:4" x14ac:dyDescent="0.25">
      <c r="A1137" s="1">
        <v>638</v>
      </c>
      <c r="B1137" s="2">
        <v>41936</v>
      </c>
      <c r="C1137" s="1" t="s">
        <v>248</v>
      </c>
      <c r="D1137" s="5">
        <v>459</v>
      </c>
    </row>
    <row r="1138" spans="1:4" x14ac:dyDescent="0.25">
      <c r="A1138" s="1">
        <v>648</v>
      </c>
      <c r="B1138" s="2">
        <v>41936</v>
      </c>
      <c r="C1138" s="1" t="s">
        <v>42</v>
      </c>
      <c r="D1138" s="5">
        <v>600</v>
      </c>
    </row>
    <row r="1139" spans="1:4" x14ac:dyDescent="0.25">
      <c r="A1139" s="1">
        <v>661</v>
      </c>
      <c r="B1139" s="2">
        <v>41936</v>
      </c>
      <c r="C1139" s="1" t="s">
        <v>188</v>
      </c>
      <c r="D1139" s="5">
        <v>130.47</v>
      </c>
    </row>
    <row r="1140" spans="1:4" x14ac:dyDescent="0.25">
      <c r="A1140" s="1">
        <v>664</v>
      </c>
      <c r="B1140" s="2">
        <v>41936</v>
      </c>
      <c r="C1140" s="1" t="s">
        <v>226</v>
      </c>
      <c r="D1140" s="5">
        <v>500</v>
      </c>
    </row>
    <row r="1141" spans="1:4" x14ac:dyDescent="0.25">
      <c r="A1141" s="1">
        <v>672</v>
      </c>
      <c r="B1141" s="2">
        <v>41936</v>
      </c>
      <c r="C1141" s="1" t="s">
        <v>168</v>
      </c>
      <c r="D1141" s="5">
        <v>510</v>
      </c>
    </row>
    <row r="1142" spans="1:4" x14ac:dyDescent="0.25">
      <c r="A1142" s="1">
        <v>675</v>
      </c>
      <c r="B1142" s="2">
        <v>41936</v>
      </c>
      <c r="C1142" s="1" t="s">
        <v>228</v>
      </c>
      <c r="D1142" s="5">
        <v>850</v>
      </c>
    </row>
    <row r="1143" spans="1:4" x14ac:dyDescent="0.25">
      <c r="A1143" s="1">
        <v>676</v>
      </c>
      <c r="B1143" s="2">
        <v>41936</v>
      </c>
      <c r="C1143" s="1" t="s">
        <v>246</v>
      </c>
      <c r="D1143" s="5">
        <v>535.5</v>
      </c>
    </row>
    <row r="1144" spans="1:4" x14ac:dyDescent="0.25">
      <c r="A1144" s="1">
        <v>683</v>
      </c>
      <c r="B1144" s="2">
        <v>41936</v>
      </c>
      <c r="C1144" s="1" t="s">
        <v>261</v>
      </c>
      <c r="D1144" s="5">
        <v>663</v>
      </c>
    </row>
    <row r="1145" spans="1:4" x14ac:dyDescent="0.25">
      <c r="A1145" s="1">
        <v>705</v>
      </c>
      <c r="B1145" s="2">
        <v>41936</v>
      </c>
      <c r="C1145" s="1" t="s">
        <v>256</v>
      </c>
      <c r="D1145" s="5">
        <v>500</v>
      </c>
    </row>
    <row r="1146" spans="1:4" x14ac:dyDescent="0.25">
      <c r="A1146" s="1">
        <v>610</v>
      </c>
      <c r="B1146" s="2">
        <v>41939</v>
      </c>
      <c r="C1146" s="1" t="s">
        <v>129</v>
      </c>
      <c r="D1146" s="5">
        <v>275</v>
      </c>
    </row>
    <row r="1147" spans="1:4" x14ac:dyDescent="0.25">
      <c r="A1147" s="1">
        <v>203</v>
      </c>
      <c r="B1147" s="2">
        <v>41940</v>
      </c>
      <c r="C1147" s="1" t="s">
        <v>95</v>
      </c>
      <c r="D1147" s="5">
        <v>97.81</v>
      </c>
    </row>
    <row r="1148" spans="1:4" x14ac:dyDescent="0.25">
      <c r="A1148" s="1">
        <v>28</v>
      </c>
      <c r="B1148" s="2">
        <v>41943</v>
      </c>
      <c r="C1148" s="1" t="s">
        <v>6</v>
      </c>
      <c r="D1148" s="5">
        <v>923.5</v>
      </c>
    </row>
    <row r="1149" spans="1:4" x14ac:dyDescent="0.25">
      <c r="A1149" s="1">
        <v>175</v>
      </c>
      <c r="B1149" s="2">
        <v>41943</v>
      </c>
      <c r="C1149" s="1" t="s">
        <v>275</v>
      </c>
      <c r="D1149" s="5">
        <v>135.05000000000001</v>
      </c>
    </row>
    <row r="1150" spans="1:4" x14ac:dyDescent="0.25">
      <c r="A1150" s="1">
        <v>217</v>
      </c>
      <c r="B1150" s="2">
        <v>41943</v>
      </c>
      <c r="C1150" s="1" t="s">
        <v>97</v>
      </c>
      <c r="D1150" s="5">
        <v>325</v>
      </c>
    </row>
    <row r="1151" spans="1:4" x14ac:dyDescent="0.25">
      <c r="A1151" s="1">
        <v>218</v>
      </c>
      <c r="B1151" s="2">
        <v>41943</v>
      </c>
      <c r="C1151" s="1" t="s">
        <v>233</v>
      </c>
      <c r="D1151" s="5">
        <v>2784.5</v>
      </c>
    </row>
    <row r="1152" spans="1:4" x14ac:dyDescent="0.25">
      <c r="A1152" s="1">
        <v>248</v>
      </c>
      <c r="B1152" s="2">
        <v>41943</v>
      </c>
      <c r="C1152" s="1" t="s">
        <v>19</v>
      </c>
      <c r="D1152" s="5">
        <v>1632</v>
      </c>
    </row>
    <row r="1153" spans="1:4" x14ac:dyDescent="0.25">
      <c r="A1153" s="1">
        <v>261</v>
      </c>
      <c r="B1153" s="2">
        <v>41943</v>
      </c>
      <c r="C1153" s="1" t="s">
        <v>22</v>
      </c>
      <c r="D1153" s="5">
        <v>3687</v>
      </c>
    </row>
    <row r="1154" spans="1:4" x14ac:dyDescent="0.25">
      <c r="A1154" s="1">
        <v>268</v>
      </c>
      <c r="B1154" s="2">
        <v>41943</v>
      </c>
      <c r="C1154" s="1" t="s">
        <v>162</v>
      </c>
      <c r="D1154" s="5">
        <v>1542.5</v>
      </c>
    </row>
    <row r="1155" spans="1:4" x14ac:dyDescent="0.25">
      <c r="A1155" s="1">
        <v>269</v>
      </c>
      <c r="B1155" s="2">
        <v>41943</v>
      </c>
      <c r="C1155" s="1" t="s">
        <v>254</v>
      </c>
      <c r="D1155" s="5">
        <v>1000</v>
      </c>
    </row>
    <row r="1156" spans="1:4" x14ac:dyDescent="0.25">
      <c r="A1156" s="1">
        <v>282</v>
      </c>
      <c r="B1156" s="2">
        <v>41943</v>
      </c>
      <c r="C1156" s="1" t="s">
        <v>23</v>
      </c>
      <c r="D1156" s="5">
        <v>2400</v>
      </c>
    </row>
    <row r="1157" spans="1:4" x14ac:dyDescent="0.25">
      <c r="A1157" s="1">
        <v>295</v>
      </c>
      <c r="B1157" s="2">
        <v>41943</v>
      </c>
      <c r="C1157" s="1" t="s">
        <v>103</v>
      </c>
      <c r="D1157" s="5">
        <v>650</v>
      </c>
    </row>
    <row r="1158" spans="1:4" x14ac:dyDescent="0.25">
      <c r="A1158" s="1">
        <v>302</v>
      </c>
      <c r="B1158" s="2">
        <v>41943</v>
      </c>
      <c r="C1158" s="1" t="s">
        <v>104</v>
      </c>
      <c r="D1158" s="5">
        <v>1150</v>
      </c>
    </row>
    <row r="1159" spans="1:4" x14ac:dyDescent="0.25">
      <c r="A1159" s="1">
        <v>321</v>
      </c>
      <c r="B1159" s="2">
        <v>41943</v>
      </c>
      <c r="C1159" s="1" t="s">
        <v>105</v>
      </c>
      <c r="D1159" s="5">
        <v>350</v>
      </c>
    </row>
    <row r="1160" spans="1:4" x14ac:dyDescent="0.25">
      <c r="A1160" s="1">
        <v>332</v>
      </c>
      <c r="B1160" s="2">
        <v>41943</v>
      </c>
      <c r="C1160" s="1" t="s">
        <v>27</v>
      </c>
      <c r="D1160" s="5">
        <v>1275</v>
      </c>
    </row>
    <row r="1161" spans="1:4" x14ac:dyDescent="0.25">
      <c r="A1161" s="1">
        <v>343</v>
      </c>
      <c r="B1161" s="2">
        <v>41943</v>
      </c>
      <c r="C1161" s="1" t="s">
        <v>28</v>
      </c>
      <c r="D1161" s="5">
        <v>280.5</v>
      </c>
    </row>
    <row r="1162" spans="1:4" x14ac:dyDescent="0.25">
      <c r="A1162" s="1">
        <v>355</v>
      </c>
      <c r="B1162" s="2">
        <v>41943</v>
      </c>
      <c r="C1162" s="1" t="s">
        <v>108</v>
      </c>
      <c r="D1162" s="5">
        <v>0</v>
      </c>
    </row>
    <row r="1163" spans="1:4" x14ac:dyDescent="0.25">
      <c r="A1163" s="1">
        <v>358</v>
      </c>
      <c r="B1163" s="2">
        <v>41943</v>
      </c>
      <c r="C1163" s="1" t="s">
        <v>179</v>
      </c>
      <c r="D1163" s="5">
        <v>1197</v>
      </c>
    </row>
    <row r="1164" spans="1:4" x14ac:dyDescent="0.25">
      <c r="A1164" s="1">
        <v>365</v>
      </c>
      <c r="B1164" s="2">
        <v>41943</v>
      </c>
      <c r="C1164" s="1" t="s">
        <v>29</v>
      </c>
      <c r="D1164" s="5">
        <v>612</v>
      </c>
    </row>
    <row r="1165" spans="1:4" x14ac:dyDescent="0.25">
      <c r="A1165" s="1">
        <v>382</v>
      </c>
      <c r="B1165" s="2">
        <v>41943</v>
      </c>
      <c r="C1165" s="1" t="s">
        <v>164</v>
      </c>
      <c r="D1165" s="5">
        <v>1750</v>
      </c>
    </row>
    <row r="1166" spans="1:4" x14ac:dyDescent="0.25">
      <c r="A1166" s="1">
        <v>405</v>
      </c>
      <c r="B1166" s="2">
        <v>41943</v>
      </c>
      <c r="C1166" s="1" t="s">
        <v>112</v>
      </c>
      <c r="D1166" s="5">
        <v>600</v>
      </c>
    </row>
    <row r="1167" spans="1:4" x14ac:dyDescent="0.25">
      <c r="A1167" s="1">
        <v>407</v>
      </c>
      <c r="B1167" s="2">
        <v>41943</v>
      </c>
      <c r="C1167" s="1" t="s">
        <v>113</v>
      </c>
      <c r="D1167" s="5">
        <v>311.64999999999998</v>
      </c>
    </row>
    <row r="1168" spans="1:4" x14ac:dyDescent="0.25">
      <c r="A1168" s="1">
        <v>410</v>
      </c>
      <c r="B1168" s="2">
        <v>41943</v>
      </c>
      <c r="C1168" s="1" t="s">
        <v>32</v>
      </c>
      <c r="D1168" s="5">
        <v>1500</v>
      </c>
    </row>
    <row r="1169" spans="1:4" x14ac:dyDescent="0.25">
      <c r="A1169" s="1">
        <v>438</v>
      </c>
      <c r="B1169" s="2">
        <v>41943</v>
      </c>
      <c r="C1169" s="1" t="s">
        <v>115</v>
      </c>
      <c r="D1169" s="5">
        <v>600</v>
      </c>
    </row>
    <row r="1170" spans="1:4" x14ac:dyDescent="0.25">
      <c r="A1170" s="1">
        <v>453</v>
      </c>
      <c r="B1170" s="2">
        <v>41943</v>
      </c>
      <c r="C1170" s="1" t="s">
        <v>117</v>
      </c>
      <c r="D1170" s="5">
        <v>408</v>
      </c>
    </row>
    <row r="1171" spans="1:4" x14ac:dyDescent="0.25">
      <c r="A1171" s="1">
        <v>458</v>
      </c>
      <c r="B1171" s="2">
        <v>41943</v>
      </c>
      <c r="C1171" s="1" t="s">
        <v>185</v>
      </c>
      <c r="D1171" s="5">
        <v>832.5</v>
      </c>
    </row>
    <row r="1172" spans="1:4" x14ac:dyDescent="0.25">
      <c r="A1172" s="1">
        <v>472</v>
      </c>
      <c r="B1172" s="2">
        <v>41943</v>
      </c>
      <c r="C1172" s="1" t="s">
        <v>279</v>
      </c>
      <c r="D1172" s="5">
        <v>500</v>
      </c>
    </row>
    <row r="1173" spans="1:4" x14ac:dyDescent="0.25">
      <c r="A1173" s="1">
        <v>474</v>
      </c>
      <c r="B1173" s="2">
        <v>41943</v>
      </c>
      <c r="C1173" s="1" t="s">
        <v>268</v>
      </c>
      <c r="D1173" s="5">
        <v>934.4</v>
      </c>
    </row>
    <row r="1174" spans="1:4" x14ac:dyDescent="0.25">
      <c r="A1174" s="1">
        <v>475</v>
      </c>
      <c r="B1174" s="2">
        <v>41943</v>
      </c>
      <c r="C1174" s="1" t="s">
        <v>120</v>
      </c>
      <c r="D1174" s="5">
        <v>925</v>
      </c>
    </row>
    <row r="1175" spans="1:4" x14ac:dyDescent="0.25">
      <c r="A1175" s="1">
        <v>477</v>
      </c>
      <c r="B1175" s="2">
        <v>41943</v>
      </c>
      <c r="C1175" s="1" t="s">
        <v>284</v>
      </c>
      <c r="D1175" s="5">
        <v>2000</v>
      </c>
    </row>
    <row r="1176" spans="1:4" x14ac:dyDescent="0.25">
      <c r="A1176" s="1">
        <v>534</v>
      </c>
      <c r="B1176" s="2">
        <v>41943</v>
      </c>
      <c r="C1176" s="1" t="s">
        <v>285</v>
      </c>
      <c r="D1176" s="5">
        <v>350</v>
      </c>
    </row>
    <row r="1177" spans="1:4" x14ac:dyDescent="0.25">
      <c r="A1177" s="1">
        <v>539</v>
      </c>
      <c r="B1177" s="2">
        <v>41943</v>
      </c>
      <c r="C1177" s="1" t="s">
        <v>122</v>
      </c>
      <c r="D1177" s="5">
        <v>699.13</v>
      </c>
    </row>
    <row r="1178" spans="1:4" x14ac:dyDescent="0.25">
      <c r="A1178" s="1">
        <v>549</v>
      </c>
      <c r="B1178" s="2">
        <v>41943</v>
      </c>
      <c r="C1178" s="1" t="s">
        <v>280</v>
      </c>
      <c r="D1178" s="5">
        <v>892.5</v>
      </c>
    </row>
    <row r="1179" spans="1:4" x14ac:dyDescent="0.25">
      <c r="A1179" s="1">
        <v>551</v>
      </c>
      <c r="B1179" s="2">
        <v>41943</v>
      </c>
      <c r="C1179" s="1" t="s">
        <v>166</v>
      </c>
      <c r="D1179" s="5">
        <v>900</v>
      </c>
    </row>
    <row r="1180" spans="1:4" x14ac:dyDescent="0.25">
      <c r="A1180" s="1">
        <v>576</v>
      </c>
      <c r="B1180" s="2">
        <v>41943</v>
      </c>
      <c r="C1180" s="1" t="s">
        <v>36</v>
      </c>
      <c r="D1180" s="5">
        <v>1606.5</v>
      </c>
    </row>
    <row r="1181" spans="1:4" x14ac:dyDescent="0.25">
      <c r="A1181" s="1">
        <v>580</v>
      </c>
      <c r="B1181" s="2">
        <v>41943</v>
      </c>
      <c r="C1181" s="1" t="s">
        <v>37</v>
      </c>
      <c r="D1181" s="5">
        <v>500</v>
      </c>
    </row>
    <row r="1182" spans="1:4" x14ac:dyDescent="0.25">
      <c r="A1182" s="1">
        <v>582</v>
      </c>
      <c r="B1182" s="2">
        <v>41943</v>
      </c>
      <c r="C1182" s="1" t="s">
        <v>123</v>
      </c>
      <c r="D1182" s="5">
        <v>500</v>
      </c>
    </row>
    <row r="1183" spans="1:4" x14ac:dyDescent="0.25">
      <c r="A1183" s="1">
        <v>592</v>
      </c>
      <c r="B1183" s="2">
        <v>41943</v>
      </c>
      <c r="C1183" s="1" t="s">
        <v>222</v>
      </c>
      <c r="D1183" s="5">
        <v>408</v>
      </c>
    </row>
    <row r="1184" spans="1:4" x14ac:dyDescent="0.25">
      <c r="A1184" s="1">
        <v>612</v>
      </c>
      <c r="B1184" s="2">
        <v>41943</v>
      </c>
      <c r="C1184" s="1" t="s">
        <v>245</v>
      </c>
      <c r="D1184" s="5">
        <v>382.5</v>
      </c>
    </row>
    <row r="1185" spans="1:4" x14ac:dyDescent="0.25">
      <c r="A1185" s="1">
        <v>626</v>
      </c>
      <c r="B1185" s="2">
        <v>41943</v>
      </c>
      <c r="C1185" s="1" t="s">
        <v>187</v>
      </c>
      <c r="D1185" s="5">
        <v>945.86</v>
      </c>
    </row>
    <row r="1186" spans="1:4" x14ac:dyDescent="0.25">
      <c r="A1186" s="1">
        <v>629</v>
      </c>
      <c r="B1186" s="2">
        <v>41943</v>
      </c>
      <c r="C1186" s="1" t="s">
        <v>286</v>
      </c>
      <c r="D1186" s="5">
        <v>1550</v>
      </c>
    </row>
    <row r="1187" spans="1:4" x14ac:dyDescent="0.25">
      <c r="A1187" s="1">
        <v>635</v>
      </c>
      <c r="B1187" s="2">
        <v>41943</v>
      </c>
      <c r="C1187" s="1" t="s">
        <v>167</v>
      </c>
      <c r="D1187" s="5">
        <v>500</v>
      </c>
    </row>
    <row r="1188" spans="1:4" x14ac:dyDescent="0.25">
      <c r="A1188" s="1">
        <v>648</v>
      </c>
      <c r="B1188" s="2">
        <v>41943</v>
      </c>
      <c r="C1188" s="1" t="s">
        <v>42</v>
      </c>
      <c r="D1188" s="5">
        <v>550</v>
      </c>
    </row>
    <row r="1189" spans="1:4" x14ac:dyDescent="0.25">
      <c r="A1189" s="1">
        <v>650</v>
      </c>
      <c r="B1189" s="2">
        <v>41943</v>
      </c>
      <c r="C1189" s="1" t="s">
        <v>283</v>
      </c>
      <c r="D1189" s="5">
        <v>1377</v>
      </c>
    </row>
    <row r="1190" spans="1:4" x14ac:dyDescent="0.25">
      <c r="A1190" s="1">
        <v>656</v>
      </c>
      <c r="B1190" s="2">
        <v>41943</v>
      </c>
      <c r="C1190" s="1" t="s">
        <v>43</v>
      </c>
      <c r="D1190" s="5">
        <v>535.5</v>
      </c>
    </row>
    <row r="1191" spans="1:4" x14ac:dyDescent="0.25">
      <c r="A1191" s="1">
        <v>657</v>
      </c>
      <c r="B1191" s="2">
        <v>41943</v>
      </c>
      <c r="C1191" s="1" t="s">
        <v>131</v>
      </c>
      <c r="D1191" s="5">
        <v>975</v>
      </c>
    </row>
    <row r="1192" spans="1:4" x14ac:dyDescent="0.25">
      <c r="A1192" s="1">
        <v>664</v>
      </c>
      <c r="B1192" s="2">
        <v>41943</v>
      </c>
      <c r="C1192" s="1" t="s">
        <v>226</v>
      </c>
      <c r="D1192" s="5">
        <v>500</v>
      </c>
    </row>
    <row r="1193" spans="1:4" x14ac:dyDescent="0.25">
      <c r="A1193" s="1">
        <v>679</v>
      </c>
      <c r="B1193" s="2">
        <v>41943</v>
      </c>
      <c r="C1193" s="1" t="s">
        <v>169</v>
      </c>
      <c r="D1193" s="5">
        <v>91.8</v>
      </c>
    </row>
    <row r="1194" spans="1:4" x14ac:dyDescent="0.25">
      <c r="A1194" s="1">
        <v>680</v>
      </c>
      <c r="B1194" s="2">
        <v>41943</v>
      </c>
      <c r="C1194" s="1" t="s">
        <v>46</v>
      </c>
      <c r="D1194" s="5">
        <v>1061</v>
      </c>
    </row>
    <row r="1195" spans="1:4" x14ac:dyDescent="0.25">
      <c r="A1195" s="1">
        <v>705</v>
      </c>
      <c r="B1195" s="2">
        <v>41943</v>
      </c>
      <c r="C1195" s="1" t="s">
        <v>256</v>
      </c>
      <c r="D1195" s="5">
        <v>500</v>
      </c>
    </row>
    <row r="1196" spans="1:4" x14ac:dyDescent="0.25">
      <c r="A1196" s="1">
        <v>722</v>
      </c>
      <c r="B1196" s="2">
        <v>41943</v>
      </c>
      <c r="C1196" s="1" t="s">
        <v>135</v>
      </c>
      <c r="D1196" s="5">
        <v>280.5</v>
      </c>
    </row>
    <row r="1197" spans="1:4" x14ac:dyDescent="0.25">
      <c r="A1197" s="1">
        <v>212</v>
      </c>
      <c r="B1197" s="2">
        <v>41946</v>
      </c>
      <c r="C1197" s="1" t="s">
        <v>265</v>
      </c>
      <c r="D1197" s="5">
        <v>500</v>
      </c>
    </row>
    <row r="1198" spans="1:4" x14ac:dyDescent="0.25">
      <c r="A1198" s="1">
        <v>389</v>
      </c>
      <c r="B1198" s="2">
        <v>41947</v>
      </c>
      <c r="C1198" s="1" t="s">
        <v>31</v>
      </c>
      <c r="D1198" s="5">
        <v>3000</v>
      </c>
    </row>
    <row r="1199" spans="1:4" x14ac:dyDescent="0.25">
      <c r="A1199" s="1">
        <v>672</v>
      </c>
      <c r="B1199" s="2">
        <v>41947</v>
      </c>
      <c r="C1199" s="1" t="s">
        <v>168</v>
      </c>
      <c r="D1199" s="5">
        <v>500</v>
      </c>
    </row>
    <row r="1200" spans="1:4" x14ac:dyDescent="0.25">
      <c r="A1200" s="1">
        <v>715</v>
      </c>
      <c r="B1200" s="2">
        <v>41947</v>
      </c>
      <c r="C1200" s="1" t="s">
        <v>235</v>
      </c>
      <c r="D1200" s="5">
        <v>836.5</v>
      </c>
    </row>
    <row r="1201" spans="1:4" x14ac:dyDescent="0.25">
      <c r="A1201" s="1">
        <v>27</v>
      </c>
      <c r="B1201" s="2">
        <v>41950</v>
      </c>
      <c r="C1201" s="1" t="s">
        <v>159</v>
      </c>
      <c r="D1201" s="5">
        <v>2084.86</v>
      </c>
    </row>
    <row r="1202" spans="1:4" x14ac:dyDescent="0.25">
      <c r="A1202" s="1">
        <v>41</v>
      </c>
      <c r="B1202" s="2">
        <v>41950</v>
      </c>
      <c r="C1202" s="1" t="s">
        <v>10</v>
      </c>
      <c r="D1202" s="5">
        <v>265.79000000000002</v>
      </c>
    </row>
    <row r="1203" spans="1:4" x14ac:dyDescent="0.25">
      <c r="A1203" s="1">
        <v>63</v>
      </c>
      <c r="B1203" s="2">
        <v>41950</v>
      </c>
      <c r="C1203" s="1" t="s">
        <v>181</v>
      </c>
      <c r="D1203" s="5">
        <v>541.5</v>
      </c>
    </row>
    <row r="1204" spans="1:4" x14ac:dyDescent="0.25">
      <c r="A1204" s="1">
        <v>77</v>
      </c>
      <c r="B1204" s="2">
        <v>41950</v>
      </c>
      <c r="C1204" s="1" t="s">
        <v>11</v>
      </c>
      <c r="D1204" s="5">
        <v>-825</v>
      </c>
    </row>
    <row r="1205" spans="1:4" x14ac:dyDescent="0.25">
      <c r="A1205" s="1">
        <v>85</v>
      </c>
      <c r="B1205" s="2">
        <v>41950</v>
      </c>
      <c r="C1205" s="1" t="s">
        <v>79</v>
      </c>
      <c r="D1205" s="5">
        <v>1530</v>
      </c>
    </row>
    <row r="1206" spans="1:4" x14ac:dyDescent="0.25">
      <c r="A1206" s="1">
        <v>133</v>
      </c>
      <c r="B1206" s="2">
        <v>41950</v>
      </c>
      <c r="C1206" s="1" t="s">
        <v>87</v>
      </c>
      <c r="D1206" s="5">
        <v>765</v>
      </c>
    </row>
    <row r="1207" spans="1:4" x14ac:dyDescent="0.25">
      <c r="A1207" s="1">
        <v>175</v>
      </c>
      <c r="B1207" s="2">
        <v>41950</v>
      </c>
      <c r="C1207" s="1" t="s">
        <v>275</v>
      </c>
      <c r="D1207" s="5">
        <v>1203.1300000000001</v>
      </c>
    </row>
    <row r="1208" spans="1:4" x14ac:dyDescent="0.25">
      <c r="A1208" s="1">
        <v>191</v>
      </c>
      <c r="B1208" s="2">
        <v>41950</v>
      </c>
      <c r="C1208" s="1" t="s">
        <v>277</v>
      </c>
      <c r="D1208" s="5">
        <v>906.25</v>
      </c>
    </row>
    <row r="1209" spans="1:4" x14ac:dyDescent="0.25">
      <c r="A1209" s="1">
        <v>211</v>
      </c>
      <c r="B1209" s="2">
        <v>41950</v>
      </c>
      <c r="C1209" s="1" t="s">
        <v>96</v>
      </c>
      <c r="D1209" s="5">
        <v>-790.5</v>
      </c>
    </row>
    <row r="1210" spans="1:4" x14ac:dyDescent="0.25">
      <c r="A1210" s="1">
        <v>212</v>
      </c>
      <c r="B1210" s="2">
        <v>41950</v>
      </c>
      <c r="C1210" s="1" t="s">
        <v>265</v>
      </c>
      <c r="D1210" s="5">
        <v>913.29</v>
      </c>
    </row>
    <row r="1211" spans="1:4" x14ac:dyDescent="0.25">
      <c r="A1211" s="1">
        <v>250</v>
      </c>
      <c r="B1211" s="2">
        <v>41950</v>
      </c>
      <c r="C1211" s="1" t="s">
        <v>212</v>
      </c>
      <c r="D1211" s="5">
        <v>637.5</v>
      </c>
    </row>
    <row r="1212" spans="1:4" x14ac:dyDescent="0.25">
      <c r="A1212" s="1">
        <v>261</v>
      </c>
      <c r="B1212" s="2">
        <v>41950</v>
      </c>
      <c r="C1212" s="1" t="s">
        <v>22</v>
      </c>
      <c r="D1212" s="5">
        <v>3992.25</v>
      </c>
    </row>
    <row r="1213" spans="1:4" x14ac:dyDescent="0.25">
      <c r="A1213" s="1">
        <v>268</v>
      </c>
      <c r="B1213" s="2">
        <v>41950</v>
      </c>
      <c r="C1213" s="1" t="s">
        <v>162</v>
      </c>
      <c r="D1213" s="5">
        <v>892.5</v>
      </c>
    </row>
    <row r="1214" spans="1:4" x14ac:dyDescent="0.25">
      <c r="A1214" s="1">
        <v>269</v>
      </c>
      <c r="B1214" s="2">
        <v>41950</v>
      </c>
      <c r="C1214" s="1" t="s">
        <v>254</v>
      </c>
      <c r="D1214" s="5">
        <v>1000</v>
      </c>
    </row>
    <row r="1215" spans="1:4" x14ac:dyDescent="0.25">
      <c r="A1215" s="1">
        <v>326</v>
      </c>
      <c r="B1215" s="2">
        <v>41950</v>
      </c>
      <c r="C1215" s="1" t="s">
        <v>25</v>
      </c>
      <c r="D1215" s="5">
        <v>350</v>
      </c>
    </row>
    <row r="1216" spans="1:4" x14ac:dyDescent="0.25">
      <c r="A1216" s="1">
        <v>352</v>
      </c>
      <c r="B1216" s="2">
        <v>41950</v>
      </c>
      <c r="C1216" s="1" t="s">
        <v>278</v>
      </c>
      <c r="D1216" s="5">
        <v>408</v>
      </c>
    </row>
    <row r="1217" spans="1:4" x14ac:dyDescent="0.25">
      <c r="A1217" s="1">
        <v>355</v>
      </c>
      <c r="B1217" s="2">
        <v>41950</v>
      </c>
      <c r="C1217" s="1" t="s">
        <v>108</v>
      </c>
      <c r="D1217" s="5">
        <v>0</v>
      </c>
    </row>
    <row r="1218" spans="1:4" x14ac:dyDescent="0.25">
      <c r="A1218" s="1">
        <v>358</v>
      </c>
      <c r="B1218" s="2">
        <v>41950</v>
      </c>
      <c r="C1218" s="1" t="s">
        <v>179</v>
      </c>
      <c r="D1218" s="5">
        <v>2832.41</v>
      </c>
    </row>
    <row r="1219" spans="1:4" x14ac:dyDescent="0.25">
      <c r="A1219" s="1">
        <v>365</v>
      </c>
      <c r="B1219" s="2">
        <v>41950</v>
      </c>
      <c r="C1219" s="1" t="s">
        <v>29</v>
      </c>
      <c r="D1219" s="5">
        <v>1754.5</v>
      </c>
    </row>
    <row r="1220" spans="1:4" x14ac:dyDescent="0.25">
      <c r="A1220" s="1">
        <v>382</v>
      </c>
      <c r="B1220" s="2">
        <v>41950</v>
      </c>
      <c r="C1220" s="1" t="s">
        <v>164</v>
      </c>
      <c r="D1220" s="5">
        <v>300</v>
      </c>
    </row>
    <row r="1221" spans="1:4" x14ac:dyDescent="0.25">
      <c r="A1221" s="1">
        <v>389</v>
      </c>
      <c r="B1221" s="2">
        <v>41950</v>
      </c>
      <c r="C1221" s="1" t="s">
        <v>31</v>
      </c>
      <c r="D1221" s="5">
        <v>3021.25</v>
      </c>
    </row>
    <row r="1222" spans="1:4" x14ac:dyDescent="0.25">
      <c r="A1222" s="1">
        <v>392</v>
      </c>
      <c r="B1222" s="2">
        <v>41950</v>
      </c>
      <c r="C1222" s="1" t="s">
        <v>111</v>
      </c>
      <c r="D1222" s="5">
        <v>500</v>
      </c>
    </row>
    <row r="1223" spans="1:4" x14ac:dyDescent="0.25">
      <c r="A1223" s="1">
        <v>410</v>
      </c>
      <c r="B1223" s="2">
        <v>41950</v>
      </c>
      <c r="C1223" s="1" t="s">
        <v>32</v>
      </c>
      <c r="D1223" s="5">
        <v>458.16</v>
      </c>
    </row>
    <row r="1224" spans="1:4" x14ac:dyDescent="0.25">
      <c r="A1224" s="1">
        <v>422</v>
      </c>
      <c r="B1224" s="2">
        <v>41950</v>
      </c>
      <c r="C1224" s="1" t="s">
        <v>165</v>
      </c>
      <c r="D1224" s="5">
        <v>816</v>
      </c>
    </row>
    <row r="1225" spans="1:4" x14ac:dyDescent="0.25">
      <c r="A1225" s="1">
        <v>428</v>
      </c>
      <c r="B1225" s="2">
        <v>41950</v>
      </c>
      <c r="C1225" s="1" t="s">
        <v>213</v>
      </c>
      <c r="D1225" s="5">
        <v>765</v>
      </c>
    </row>
    <row r="1226" spans="1:4" x14ac:dyDescent="0.25">
      <c r="A1226" s="1">
        <v>464</v>
      </c>
      <c r="B1226" s="2">
        <v>41950</v>
      </c>
      <c r="C1226" s="1" t="s">
        <v>118</v>
      </c>
      <c r="D1226" s="5">
        <v>918</v>
      </c>
    </row>
    <row r="1227" spans="1:4" x14ac:dyDescent="0.25">
      <c r="A1227" s="1">
        <v>472</v>
      </c>
      <c r="B1227" s="2">
        <v>41950</v>
      </c>
      <c r="C1227" s="1" t="s">
        <v>279</v>
      </c>
      <c r="D1227" s="5">
        <v>500</v>
      </c>
    </row>
    <row r="1228" spans="1:4" x14ac:dyDescent="0.25">
      <c r="A1228" s="1">
        <v>530</v>
      </c>
      <c r="B1228" s="2">
        <v>41950</v>
      </c>
      <c r="C1228" s="1" t="s">
        <v>35</v>
      </c>
      <c r="D1228" s="5">
        <v>675</v>
      </c>
    </row>
    <row r="1229" spans="1:4" x14ac:dyDescent="0.25">
      <c r="A1229" s="1">
        <v>539</v>
      </c>
      <c r="B1229" s="2">
        <v>41950</v>
      </c>
      <c r="C1229" s="1" t="s">
        <v>122</v>
      </c>
      <c r="D1229" s="5">
        <v>1624.13</v>
      </c>
    </row>
    <row r="1230" spans="1:4" x14ac:dyDescent="0.25">
      <c r="A1230" s="1">
        <v>549</v>
      </c>
      <c r="B1230" s="2">
        <v>41950</v>
      </c>
      <c r="C1230" s="1" t="s">
        <v>280</v>
      </c>
      <c r="D1230" s="5">
        <v>918</v>
      </c>
    </row>
    <row r="1231" spans="1:4" x14ac:dyDescent="0.25">
      <c r="A1231" s="1">
        <v>553</v>
      </c>
      <c r="B1231" s="2">
        <v>41950</v>
      </c>
      <c r="C1231" s="1" t="s">
        <v>281</v>
      </c>
      <c r="D1231" s="5">
        <v>950</v>
      </c>
    </row>
    <row r="1232" spans="1:4" x14ac:dyDescent="0.25">
      <c r="A1232" s="1">
        <v>580</v>
      </c>
      <c r="B1232" s="2">
        <v>41950</v>
      </c>
      <c r="C1232" s="1" t="s">
        <v>37</v>
      </c>
      <c r="D1232" s="5">
        <v>500</v>
      </c>
    </row>
    <row r="1233" spans="1:4" x14ac:dyDescent="0.25">
      <c r="A1233" s="1">
        <v>582</v>
      </c>
      <c r="B1233" s="2">
        <v>41950</v>
      </c>
      <c r="C1233" s="1" t="s">
        <v>123</v>
      </c>
      <c r="D1233" s="5">
        <v>500</v>
      </c>
    </row>
    <row r="1234" spans="1:4" x14ac:dyDescent="0.25">
      <c r="A1234" s="1">
        <v>583</v>
      </c>
      <c r="B1234" s="2">
        <v>41950</v>
      </c>
      <c r="C1234" s="1" t="s">
        <v>124</v>
      </c>
      <c r="D1234" s="5">
        <v>688.5</v>
      </c>
    </row>
    <row r="1235" spans="1:4" x14ac:dyDescent="0.25">
      <c r="A1235" s="1">
        <v>586</v>
      </c>
      <c r="B1235" s="2">
        <v>41950</v>
      </c>
      <c r="C1235" s="1" t="s">
        <v>270</v>
      </c>
      <c r="D1235" s="5">
        <v>562.86</v>
      </c>
    </row>
    <row r="1236" spans="1:4" x14ac:dyDescent="0.25">
      <c r="A1236" s="1">
        <v>590</v>
      </c>
      <c r="B1236" s="2">
        <v>41950</v>
      </c>
      <c r="C1236" s="1" t="s">
        <v>282</v>
      </c>
      <c r="D1236" s="5">
        <v>180.51</v>
      </c>
    </row>
    <row r="1237" spans="1:4" x14ac:dyDescent="0.25">
      <c r="A1237" s="1">
        <v>593</v>
      </c>
      <c r="B1237" s="2">
        <v>41950</v>
      </c>
      <c r="C1237" s="1" t="s">
        <v>38</v>
      </c>
      <c r="D1237" s="5">
        <v>1147.5</v>
      </c>
    </row>
    <row r="1238" spans="1:4" x14ac:dyDescent="0.25">
      <c r="A1238" s="1">
        <v>599</v>
      </c>
      <c r="B1238" s="2">
        <v>41950</v>
      </c>
      <c r="C1238" s="1" t="s">
        <v>125</v>
      </c>
      <c r="D1238" s="5">
        <v>1650</v>
      </c>
    </row>
    <row r="1239" spans="1:4" x14ac:dyDescent="0.25">
      <c r="A1239" s="1">
        <v>607</v>
      </c>
      <c r="B1239" s="2">
        <v>41950</v>
      </c>
      <c r="C1239" s="1" t="s">
        <v>39</v>
      </c>
      <c r="D1239" s="5">
        <v>500</v>
      </c>
    </row>
    <row r="1240" spans="1:4" x14ac:dyDescent="0.25">
      <c r="A1240" s="1">
        <v>615</v>
      </c>
      <c r="B1240" s="2">
        <v>41950</v>
      </c>
      <c r="C1240" s="1" t="s">
        <v>201</v>
      </c>
      <c r="D1240" s="5">
        <v>293.20999999999998</v>
      </c>
    </row>
    <row r="1241" spans="1:4" x14ac:dyDescent="0.25">
      <c r="A1241" s="1">
        <v>621</v>
      </c>
      <c r="B1241" s="2">
        <v>41950</v>
      </c>
      <c r="C1241" s="1" t="s">
        <v>224</v>
      </c>
      <c r="D1241" s="5">
        <v>459</v>
      </c>
    </row>
    <row r="1242" spans="1:4" x14ac:dyDescent="0.25">
      <c r="A1242" s="1">
        <v>635</v>
      </c>
      <c r="B1242" s="2">
        <v>41950</v>
      </c>
      <c r="C1242" s="1" t="s">
        <v>167</v>
      </c>
      <c r="D1242" s="5">
        <v>500</v>
      </c>
    </row>
    <row r="1243" spans="1:4" x14ac:dyDescent="0.25">
      <c r="A1243" s="1">
        <v>646</v>
      </c>
      <c r="B1243" s="2">
        <v>41950</v>
      </c>
      <c r="C1243" s="1" t="s">
        <v>203</v>
      </c>
      <c r="D1243" s="5">
        <v>2450</v>
      </c>
    </row>
    <row r="1244" spans="1:4" x14ac:dyDescent="0.25">
      <c r="A1244" s="1">
        <v>648</v>
      </c>
      <c r="B1244" s="2">
        <v>41950</v>
      </c>
      <c r="C1244" s="1" t="s">
        <v>42</v>
      </c>
      <c r="D1244" s="5">
        <v>1300</v>
      </c>
    </row>
    <row r="1245" spans="1:4" x14ac:dyDescent="0.25">
      <c r="A1245" s="1">
        <v>650</v>
      </c>
      <c r="B1245" s="2">
        <v>41950</v>
      </c>
      <c r="C1245" s="1" t="s">
        <v>283</v>
      </c>
      <c r="D1245" s="5">
        <v>1555.5</v>
      </c>
    </row>
    <row r="1246" spans="1:4" x14ac:dyDescent="0.25">
      <c r="A1246" s="1">
        <v>656</v>
      </c>
      <c r="B1246" s="2">
        <v>41950</v>
      </c>
      <c r="C1246" s="1" t="s">
        <v>43</v>
      </c>
      <c r="D1246" s="5">
        <v>586.5</v>
      </c>
    </row>
    <row r="1247" spans="1:4" x14ac:dyDescent="0.25">
      <c r="A1247" s="1">
        <v>664</v>
      </c>
      <c r="B1247" s="2">
        <v>41950</v>
      </c>
      <c r="C1247" s="1" t="s">
        <v>226</v>
      </c>
      <c r="D1247" s="5">
        <v>500</v>
      </c>
    </row>
    <row r="1248" spans="1:4" x14ac:dyDescent="0.25">
      <c r="A1248" s="1">
        <v>674</v>
      </c>
      <c r="B1248" s="2">
        <v>41950</v>
      </c>
      <c r="C1248" s="1" t="s">
        <v>45</v>
      </c>
      <c r="D1248" s="5">
        <v>1150</v>
      </c>
    </row>
    <row r="1249" spans="1:4" x14ac:dyDescent="0.25">
      <c r="A1249" s="1">
        <v>676</v>
      </c>
      <c r="B1249" s="2">
        <v>41950</v>
      </c>
      <c r="C1249" s="1" t="s">
        <v>246</v>
      </c>
      <c r="D1249" s="5">
        <v>4182</v>
      </c>
    </row>
    <row r="1250" spans="1:4" x14ac:dyDescent="0.25">
      <c r="A1250" s="1">
        <v>685</v>
      </c>
      <c r="B1250" s="2">
        <v>41950</v>
      </c>
      <c r="C1250" s="1" t="s">
        <v>204</v>
      </c>
      <c r="D1250" s="5">
        <v>0</v>
      </c>
    </row>
    <row r="1251" spans="1:4" x14ac:dyDescent="0.25">
      <c r="A1251" s="1">
        <v>691</v>
      </c>
      <c r="B1251" s="2">
        <v>41950</v>
      </c>
      <c r="C1251" s="1" t="s">
        <v>49</v>
      </c>
      <c r="D1251" s="5">
        <v>246.57</v>
      </c>
    </row>
    <row r="1252" spans="1:4" x14ac:dyDescent="0.25">
      <c r="A1252" s="1">
        <v>703</v>
      </c>
      <c r="B1252" s="2">
        <v>41950</v>
      </c>
      <c r="C1252" s="1" t="s">
        <v>51</v>
      </c>
      <c r="D1252" s="5">
        <v>1147.5</v>
      </c>
    </row>
    <row r="1253" spans="1:4" x14ac:dyDescent="0.25">
      <c r="A1253" s="1">
        <v>705</v>
      </c>
      <c r="B1253" s="2">
        <v>41950</v>
      </c>
      <c r="C1253" s="1" t="s">
        <v>256</v>
      </c>
      <c r="D1253" s="5">
        <v>500</v>
      </c>
    </row>
    <row r="1254" spans="1:4" x14ac:dyDescent="0.25">
      <c r="A1254" s="1">
        <v>708</v>
      </c>
      <c r="B1254" s="2">
        <v>41950</v>
      </c>
      <c r="C1254" s="1" t="s">
        <v>206</v>
      </c>
      <c r="D1254" s="5">
        <v>255</v>
      </c>
    </row>
    <row r="1255" spans="1:4" x14ac:dyDescent="0.25">
      <c r="A1255" s="1">
        <v>711</v>
      </c>
      <c r="B1255" s="2">
        <v>41950</v>
      </c>
      <c r="C1255" s="1" t="s">
        <v>190</v>
      </c>
      <c r="D1255" s="5">
        <v>1375</v>
      </c>
    </row>
    <row r="1256" spans="1:4" x14ac:dyDescent="0.25">
      <c r="A1256" s="1">
        <v>715</v>
      </c>
      <c r="B1256" s="2">
        <v>41950</v>
      </c>
      <c r="C1256" s="1" t="s">
        <v>235</v>
      </c>
      <c r="D1256" s="5">
        <v>561</v>
      </c>
    </row>
    <row r="1257" spans="1:4" x14ac:dyDescent="0.25">
      <c r="A1257" s="1">
        <v>716</v>
      </c>
      <c r="B1257" s="2">
        <v>41950</v>
      </c>
      <c r="C1257" s="1" t="s">
        <v>271</v>
      </c>
      <c r="D1257" s="5">
        <v>330</v>
      </c>
    </row>
    <row r="1258" spans="1:4" x14ac:dyDescent="0.25">
      <c r="A1258" s="1">
        <v>722</v>
      </c>
      <c r="B1258" s="2">
        <v>41950</v>
      </c>
      <c r="C1258" s="1" t="s">
        <v>135</v>
      </c>
      <c r="D1258" s="5">
        <v>408</v>
      </c>
    </row>
    <row r="1259" spans="1:4" x14ac:dyDescent="0.25">
      <c r="A1259" s="1">
        <v>726</v>
      </c>
      <c r="B1259" s="2">
        <v>41950</v>
      </c>
      <c r="C1259" s="1" t="s">
        <v>53</v>
      </c>
      <c r="D1259" s="5">
        <v>561</v>
      </c>
    </row>
    <row r="1260" spans="1:4" x14ac:dyDescent="0.25">
      <c r="A1260" s="1">
        <v>771</v>
      </c>
      <c r="B1260" s="2">
        <v>41950</v>
      </c>
      <c r="C1260" s="1" t="s">
        <v>57</v>
      </c>
      <c r="D1260" s="5">
        <v>330</v>
      </c>
    </row>
    <row r="1261" spans="1:4" x14ac:dyDescent="0.25">
      <c r="A1261" s="1">
        <v>616</v>
      </c>
      <c r="B1261" s="2">
        <v>41951</v>
      </c>
      <c r="C1261" s="1" t="s">
        <v>40</v>
      </c>
      <c r="D1261" s="5">
        <v>408</v>
      </c>
    </row>
    <row r="1262" spans="1:4" x14ac:dyDescent="0.25">
      <c r="A1262" s="1">
        <v>175</v>
      </c>
      <c r="B1262" s="2">
        <v>41953</v>
      </c>
      <c r="C1262" s="1" t="s">
        <v>275</v>
      </c>
      <c r="D1262" s="5">
        <v>412.5</v>
      </c>
    </row>
    <row r="1263" spans="1:4" x14ac:dyDescent="0.25">
      <c r="A1263" s="1">
        <v>383</v>
      </c>
      <c r="B1263" s="2">
        <v>41953</v>
      </c>
      <c r="C1263" s="1" t="s">
        <v>220</v>
      </c>
      <c r="D1263" s="5">
        <v>1200</v>
      </c>
    </row>
    <row r="1264" spans="1:4" x14ac:dyDescent="0.25">
      <c r="A1264" s="1">
        <v>648</v>
      </c>
      <c r="B1264" s="2">
        <v>41953</v>
      </c>
      <c r="C1264" s="1" t="s">
        <v>42</v>
      </c>
      <c r="D1264" s="5">
        <v>330</v>
      </c>
    </row>
    <row r="1265" spans="1:4" x14ac:dyDescent="0.25">
      <c r="A1265" s="1">
        <v>788</v>
      </c>
      <c r="B1265" s="2">
        <v>41953</v>
      </c>
      <c r="C1265" s="1" t="s">
        <v>276</v>
      </c>
      <c r="D1265" s="5">
        <v>1100</v>
      </c>
    </row>
    <row r="1266" spans="1:4" x14ac:dyDescent="0.25">
      <c r="A1266" s="1">
        <v>343</v>
      </c>
      <c r="B1266" s="2">
        <v>41955</v>
      </c>
      <c r="C1266" s="1" t="s">
        <v>28</v>
      </c>
      <c r="D1266" s="5">
        <v>612</v>
      </c>
    </row>
    <row r="1267" spans="1:4" x14ac:dyDescent="0.25">
      <c r="A1267" s="1">
        <v>672</v>
      </c>
      <c r="B1267" s="2">
        <v>41955</v>
      </c>
      <c r="C1267" s="1" t="s">
        <v>168</v>
      </c>
      <c r="D1267" s="5">
        <v>500</v>
      </c>
    </row>
    <row r="1268" spans="1:4" x14ac:dyDescent="0.25">
      <c r="A1268" s="1">
        <v>782</v>
      </c>
      <c r="B1268" s="2">
        <v>41955</v>
      </c>
      <c r="C1268" s="1" t="s">
        <v>173</v>
      </c>
      <c r="D1268" s="5">
        <v>1000</v>
      </c>
    </row>
    <row r="1269" spans="1:4" x14ac:dyDescent="0.25">
      <c r="A1269" s="1">
        <v>27</v>
      </c>
      <c r="B1269" s="2">
        <v>41957</v>
      </c>
      <c r="C1269" s="1" t="s">
        <v>159</v>
      </c>
      <c r="D1269" s="5">
        <v>252</v>
      </c>
    </row>
    <row r="1270" spans="1:4" x14ac:dyDescent="0.25">
      <c r="A1270" s="1">
        <v>28</v>
      </c>
      <c r="B1270" s="2">
        <v>41957</v>
      </c>
      <c r="C1270" s="1" t="s">
        <v>6</v>
      </c>
      <c r="D1270" s="5">
        <v>1077</v>
      </c>
    </row>
    <row r="1271" spans="1:4" x14ac:dyDescent="0.25">
      <c r="A1271" s="1">
        <v>37</v>
      </c>
      <c r="B1271" s="2">
        <v>41957</v>
      </c>
      <c r="C1271" s="1" t="s">
        <v>77</v>
      </c>
      <c r="D1271" s="5">
        <v>150</v>
      </c>
    </row>
    <row r="1272" spans="1:4" x14ac:dyDescent="0.25">
      <c r="A1272" s="1">
        <v>41</v>
      </c>
      <c r="B1272" s="2">
        <v>41957</v>
      </c>
      <c r="C1272" s="1" t="s">
        <v>10</v>
      </c>
      <c r="D1272" s="5">
        <v>5303.14</v>
      </c>
    </row>
    <row r="1273" spans="1:4" x14ac:dyDescent="0.25">
      <c r="A1273" s="1">
        <v>63</v>
      </c>
      <c r="B1273" s="2">
        <v>41957</v>
      </c>
      <c r="C1273" s="1" t="s">
        <v>181</v>
      </c>
      <c r="D1273" s="5">
        <v>1466.55</v>
      </c>
    </row>
    <row r="1274" spans="1:4" x14ac:dyDescent="0.25">
      <c r="A1274" s="1">
        <v>85</v>
      </c>
      <c r="B1274" s="2">
        <v>41957</v>
      </c>
      <c r="C1274" s="1" t="s">
        <v>79</v>
      </c>
      <c r="D1274" s="5">
        <v>765</v>
      </c>
    </row>
    <row r="1275" spans="1:4" x14ac:dyDescent="0.25">
      <c r="A1275" s="1">
        <v>94</v>
      </c>
      <c r="B1275" s="2">
        <v>41957</v>
      </c>
      <c r="C1275" s="1" t="s">
        <v>182</v>
      </c>
      <c r="D1275" s="5">
        <v>1100</v>
      </c>
    </row>
    <row r="1276" spans="1:4" x14ac:dyDescent="0.25">
      <c r="A1276" s="1">
        <v>104</v>
      </c>
      <c r="B1276" s="2">
        <v>41957</v>
      </c>
      <c r="C1276" s="1" t="s">
        <v>210</v>
      </c>
      <c r="D1276" s="5">
        <v>528</v>
      </c>
    </row>
    <row r="1277" spans="1:4" x14ac:dyDescent="0.25">
      <c r="A1277" s="1">
        <v>133</v>
      </c>
      <c r="B1277" s="2">
        <v>41957</v>
      </c>
      <c r="C1277" s="1" t="s">
        <v>87</v>
      </c>
      <c r="D1277" s="5">
        <v>1331.25</v>
      </c>
    </row>
    <row r="1278" spans="1:4" x14ac:dyDescent="0.25">
      <c r="A1278" s="1">
        <v>139</v>
      </c>
      <c r="B1278" s="2">
        <v>41957</v>
      </c>
      <c r="C1278" s="1" t="s">
        <v>263</v>
      </c>
      <c r="D1278" s="5">
        <v>-5288</v>
      </c>
    </row>
    <row r="1279" spans="1:4" x14ac:dyDescent="0.25">
      <c r="A1279" s="1">
        <v>149</v>
      </c>
      <c r="B1279" s="2">
        <v>41957</v>
      </c>
      <c r="C1279" s="1" t="s">
        <v>241</v>
      </c>
      <c r="D1279" s="5">
        <v>751</v>
      </c>
    </row>
    <row r="1280" spans="1:4" x14ac:dyDescent="0.25">
      <c r="A1280" s="1">
        <v>183</v>
      </c>
      <c r="B1280" s="2">
        <v>41957</v>
      </c>
      <c r="C1280" s="1" t="s">
        <v>264</v>
      </c>
      <c r="D1280" s="5">
        <v>106</v>
      </c>
    </row>
    <row r="1281" spans="1:4" x14ac:dyDescent="0.25">
      <c r="A1281" s="1">
        <v>184</v>
      </c>
      <c r="B1281" s="2">
        <v>41957</v>
      </c>
      <c r="C1281" s="1" t="s">
        <v>217</v>
      </c>
      <c r="D1281" s="5">
        <v>714</v>
      </c>
    </row>
    <row r="1282" spans="1:4" x14ac:dyDescent="0.25">
      <c r="A1282" s="1">
        <v>202</v>
      </c>
      <c r="B1282" s="2">
        <v>41957</v>
      </c>
      <c r="C1282" s="1" t="s">
        <v>237</v>
      </c>
      <c r="D1282" s="5">
        <v>981.25</v>
      </c>
    </row>
    <row r="1283" spans="1:4" x14ac:dyDescent="0.25">
      <c r="A1283" s="1">
        <v>211</v>
      </c>
      <c r="B1283" s="2">
        <v>41957</v>
      </c>
      <c r="C1283" s="1" t="s">
        <v>96</v>
      </c>
      <c r="D1283" s="5">
        <v>1419.5</v>
      </c>
    </row>
    <row r="1284" spans="1:4" x14ac:dyDescent="0.25">
      <c r="A1284" s="1">
        <v>212</v>
      </c>
      <c r="B1284" s="2">
        <v>41957</v>
      </c>
      <c r="C1284" s="1" t="s">
        <v>265</v>
      </c>
      <c r="D1284" s="5">
        <v>981.43</v>
      </c>
    </row>
    <row r="1285" spans="1:4" x14ac:dyDescent="0.25">
      <c r="A1285" s="1">
        <v>218</v>
      </c>
      <c r="B1285" s="2">
        <v>41957</v>
      </c>
      <c r="C1285" s="1" t="s">
        <v>233</v>
      </c>
      <c r="D1285" s="5">
        <v>500</v>
      </c>
    </row>
    <row r="1286" spans="1:4" x14ac:dyDescent="0.25">
      <c r="A1286" s="1">
        <v>248</v>
      </c>
      <c r="B1286" s="2">
        <v>41957</v>
      </c>
      <c r="C1286" s="1" t="s">
        <v>19</v>
      </c>
      <c r="D1286" s="5">
        <v>1377</v>
      </c>
    </row>
    <row r="1287" spans="1:4" x14ac:dyDescent="0.25">
      <c r="A1287" s="1">
        <v>261</v>
      </c>
      <c r="B1287" s="2">
        <v>41957</v>
      </c>
      <c r="C1287" s="1" t="s">
        <v>22</v>
      </c>
      <c r="D1287" s="5">
        <v>1774.5</v>
      </c>
    </row>
    <row r="1288" spans="1:4" x14ac:dyDescent="0.25">
      <c r="A1288" s="1">
        <v>268</v>
      </c>
      <c r="B1288" s="2">
        <v>41957</v>
      </c>
      <c r="C1288" s="1" t="s">
        <v>162</v>
      </c>
      <c r="D1288" s="5">
        <v>1071</v>
      </c>
    </row>
    <row r="1289" spans="1:4" x14ac:dyDescent="0.25">
      <c r="A1289" s="1">
        <v>269</v>
      </c>
      <c r="B1289" s="2">
        <v>41957</v>
      </c>
      <c r="C1289" s="1" t="s">
        <v>254</v>
      </c>
      <c r="D1289" s="5">
        <v>1000</v>
      </c>
    </row>
    <row r="1290" spans="1:4" x14ac:dyDescent="0.25">
      <c r="A1290" s="1">
        <v>282</v>
      </c>
      <c r="B1290" s="2">
        <v>41957</v>
      </c>
      <c r="C1290" s="1" t="s">
        <v>23</v>
      </c>
      <c r="D1290" s="5">
        <v>375</v>
      </c>
    </row>
    <row r="1291" spans="1:4" x14ac:dyDescent="0.25">
      <c r="A1291" s="1">
        <v>286</v>
      </c>
      <c r="B1291" s="2">
        <v>41957</v>
      </c>
      <c r="C1291" s="1" t="s">
        <v>266</v>
      </c>
      <c r="D1291" s="5">
        <v>918</v>
      </c>
    </row>
    <row r="1292" spans="1:4" x14ac:dyDescent="0.25">
      <c r="A1292" s="1">
        <v>295</v>
      </c>
      <c r="B1292" s="2">
        <v>41957</v>
      </c>
      <c r="C1292" s="1" t="s">
        <v>103</v>
      </c>
      <c r="D1292" s="5">
        <v>375</v>
      </c>
    </row>
    <row r="1293" spans="1:4" x14ac:dyDescent="0.25">
      <c r="A1293" s="1">
        <v>302</v>
      </c>
      <c r="B1293" s="2">
        <v>41957</v>
      </c>
      <c r="C1293" s="1" t="s">
        <v>104</v>
      </c>
      <c r="D1293" s="5">
        <v>501.14</v>
      </c>
    </row>
    <row r="1294" spans="1:4" x14ac:dyDescent="0.25">
      <c r="A1294" s="1">
        <v>321</v>
      </c>
      <c r="B1294" s="2">
        <v>41957</v>
      </c>
      <c r="C1294" s="1" t="s">
        <v>105</v>
      </c>
      <c r="D1294" s="5">
        <v>317.05</v>
      </c>
    </row>
    <row r="1295" spans="1:4" x14ac:dyDescent="0.25">
      <c r="A1295" s="1">
        <v>322</v>
      </c>
      <c r="B1295" s="2">
        <v>41957</v>
      </c>
      <c r="C1295" s="1" t="s">
        <v>198</v>
      </c>
      <c r="D1295" s="5">
        <v>441.5</v>
      </c>
    </row>
    <row r="1296" spans="1:4" x14ac:dyDescent="0.25">
      <c r="A1296" s="1">
        <v>326</v>
      </c>
      <c r="B1296" s="2">
        <v>41957</v>
      </c>
      <c r="C1296" s="1" t="s">
        <v>25</v>
      </c>
      <c r="D1296" s="5">
        <v>850</v>
      </c>
    </row>
    <row r="1297" spans="1:4" x14ac:dyDescent="0.25">
      <c r="A1297" s="1">
        <v>329</v>
      </c>
      <c r="B1297" s="2">
        <v>41957</v>
      </c>
      <c r="C1297" s="1" t="s">
        <v>199</v>
      </c>
      <c r="D1297" s="5">
        <v>2450</v>
      </c>
    </row>
    <row r="1298" spans="1:4" x14ac:dyDescent="0.25">
      <c r="A1298" s="1">
        <v>334</v>
      </c>
      <c r="B1298" s="2">
        <v>41957</v>
      </c>
      <c r="C1298" s="1" t="s">
        <v>267</v>
      </c>
      <c r="D1298" s="5">
        <v>1161.58</v>
      </c>
    </row>
    <row r="1299" spans="1:4" x14ac:dyDescent="0.25">
      <c r="A1299" s="1">
        <v>365</v>
      </c>
      <c r="B1299" s="2">
        <v>41957</v>
      </c>
      <c r="C1299" s="1" t="s">
        <v>29</v>
      </c>
      <c r="D1299" s="5">
        <v>150</v>
      </c>
    </row>
    <row r="1300" spans="1:4" x14ac:dyDescent="0.25">
      <c r="A1300" s="1">
        <v>382</v>
      </c>
      <c r="B1300" s="2">
        <v>41957</v>
      </c>
      <c r="C1300" s="1" t="s">
        <v>164</v>
      </c>
      <c r="D1300" s="5">
        <v>800</v>
      </c>
    </row>
    <row r="1301" spans="1:4" x14ac:dyDescent="0.25">
      <c r="A1301" s="1">
        <v>389</v>
      </c>
      <c r="B1301" s="2">
        <v>41957</v>
      </c>
      <c r="C1301" s="1" t="s">
        <v>31</v>
      </c>
      <c r="D1301" s="5">
        <v>4100</v>
      </c>
    </row>
    <row r="1302" spans="1:4" x14ac:dyDescent="0.25">
      <c r="A1302" s="1">
        <v>410</v>
      </c>
      <c r="B1302" s="2">
        <v>41957</v>
      </c>
      <c r="C1302" s="1" t="s">
        <v>32</v>
      </c>
      <c r="D1302" s="5">
        <v>1738.92</v>
      </c>
    </row>
    <row r="1303" spans="1:4" x14ac:dyDescent="0.25">
      <c r="A1303" s="1">
        <v>422</v>
      </c>
      <c r="B1303" s="2">
        <v>41957</v>
      </c>
      <c r="C1303" s="1" t="s">
        <v>165</v>
      </c>
      <c r="D1303" s="5">
        <v>500</v>
      </c>
    </row>
    <row r="1304" spans="1:4" x14ac:dyDescent="0.25">
      <c r="A1304" s="1">
        <v>430</v>
      </c>
      <c r="B1304" s="2">
        <v>41957</v>
      </c>
      <c r="C1304" s="1" t="s">
        <v>114</v>
      </c>
      <c r="D1304" s="5">
        <v>573.20000000000005</v>
      </c>
    </row>
    <row r="1305" spans="1:4" x14ac:dyDescent="0.25">
      <c r="A1305" s="1">
        <v>474</v>
      </c>
      <c r="B1305" s="2">
        <v>41957</v>
      </c>
      <c r="C1305" s="1" t="s">
        <v>268</v>
      </c>
      <c r="D1305" s="5">
        <v>306</v>
      </c>
    </row>
    <row r="1306" spans="1:4" x14ac:dyDescent="0.25">
      <c r="A1306" s="1">
        <v>493</v>
      </c>
      <c r="B1306" s="2">
        <v>41957</v>
      </c>
      <c r="C1306" s="1" t="s">
        <v>269</v>
      </c>
      <c r="D1306" s="5">
        <v>525</v>
      </c>
    </row>
    <row r="1307" spans="1:4" x14ac:dyDescent="0.25">
      <c r="A1307" s="1">
        <v>530</v>
      </c>
      <c r="B1307" s="2">
        <v>41957</v>
      </c>
      <c r="C1307" s="1" t="s">
        <v>35</v>
      </c>
      <c r="D1307" s="5">
        <v>1050</v>
      </c>
    </row>
    <row r="1308" spans="1:4" x14ac:dyDescent="0.25">
      <c r="A1308" s="1">
        <v>580</v>
      </c>
      <c r="B1308" s="2">
        <v>41957</v>
      </c>
      <c r="C1308" s="1" t="s">
        <v>37</v>
      </c>
      <c r="D1308" s="5">
        <v>750</v>
      </c>
    </row>
    <row r="1309" spans="1:4" x14ac:dyDescent="0.25">
      <c r="A1309" s="1">
        <v>583</v>
      </c>
      <c r="B1309" s="2">
        <v>41957</v>
      </c>
      <c r="C1309" s="1" t="s">
        <v>124</v>
      </c>
      <c r="D1309" s="5">
        <v>500</v>
      </c>
    </row>
    <row r="1310" spans="1:4" x14ac:dyDescent="0.25">
      <c r="A1310" s="1">
        <v>586</v>
      </c>
      <c r="B1310" s="2">
        <v>41957</v>
      </c>
      <c r="C1310" s="1" t="s">
        <v>270</v>
      </c>
      <c r="D1310" s="5">
        <v>898.18</v>
      </c>
    </row>
    <row r="1311" spans="1:4" x14ac:dyDescent="0.25">
      <c r="A1311" s="1">
        <v>593</v>
      </c>
      <c r="B1311" s="2">
        <v>41957</v>
      </c>
      <c r="C1311" s="1" t="s">
        <v>38</v>
      </c>
      <c r="D1311" s="5">
        <v>765</v>
      </c>
    </row>
    <row r="1312" spans="1:4" x14ac:dyDescent="0.25">
      <c r="A1312" s="1">
        <v>599</v>
      </c>
      <c r="B1312" s="2">
        <v>41957</v>
      </c>
      <c r="C1312" s="1" t="s">
        <v>125</v>
      </c>
      <c r="D1312" s="5">
        <v>1700</v>
      </c>
    </row>
    <row r="1313" spans="1:4" x14ac:dyDescent="0.25">
      <c r="A1313" s="1">
        <v>606</v>
      </c>
      <c r="B1313" s="2">
        <v>41957</v>
      </c>
      <c r="C1313" s="1" t="s">
        <v>128</v>
      </c>
      <c r="D1313" s="5">
        <v>586.5</v>
      </c>
    </row>
    <row r="1314" spans="1:4" x14ac:dyDescent="0.25">
      <c r="A1314" s="1">
        <v>626</v>
      </c>
      <c r="B1314" s="2">
        <v>41957</v>
      </c>
      <c r="C1314" s="1" t="s">
        <v>187</v>
      </c>
      <c r="D1314" s="5">
        <v>1516.41</v>
      </c>
    </row>
    <row r="1315" spans="1:4" x14ac:dyDescent="0.25">
      <c r="A1315" s="1">
        <v>631</v>
      </c>
      <c r="B1315" s="2">
        <v>41957</v>
      </c>
      <c r="C1315" s="1" t="s">
        <v>202</v>
      </c>
      <c r="D1315" s="5">
        <v>288.04000000000002</v>
      </c>
    </row>
    <row r="1316" spans="1:4" x14ac:dyDescent="0.25">
      <c r="A1316" s="1">
        <v>646</v>
      </c>
      <c r="B1316" s="2">
        <v>41957</v>
      </c>
      <c r="C1316" s="1" t="s">
        <v>203</v>
      </c>
      <c r="D1316" s="5">
        <v>850</v>
      </c>
    </row>
    <row r="1317" spans="1:4" x14ac:dyDescent="0.25">
      <c r="A1317" s="1">
        <v>648</v>
      </c>
      <c r="B1317" s="2">
        <v>41957</v>
      </c>
      <c r="C1317" s="1" t="s">
        <v>42</v>
      </c>
      <c r="D1317" s="5">
        <v>2400</v>
      </c>
    </row>
    <row r="1318" spans="1:4" x14ac:dyDescent="0.25">
      <c r="A1318" s="1">
        <v>664</v>
      </c>
      <c r="B1318" s="2">
        <v>41957</v>
      </c>
      <c r="C1318" s="1" t="s">
        <v>226</v>
      </c>
      <c r="D1318" s="5">
        <v>500</v>
      </c>
    </row>
    <row r="1319" spans="1:4" x14ac:dyDescent="0.25">
      <c r="A1319" s="1">
        <v>676</v>
      </c>
      <c r="B1319" s="2">
        <v>41957</v>
      </c>
      <c r="C1319" s="1" t="s">
        <v>246</v>
      </c>
      <c r="D1319" s="5">
        <v>918</v>
      </c>
    </row>
    <row r="1320" spans="1:4" x14ac:dyDescent="0.25">
      <c r="A1320" s="1">
        <v>679</v>
      </c>
      <c r="B1320" s="2">
        <v>41957</v>
      </c>
      <c r="C1320" s="1" t="s">
        <v>169</v>
      </c>
      <c r="D1320" s="5">
        <v>867</v>
      </c>
    </row>
    <row r="1321" spans="1:4" x14ac:dyDescent="0.25">
      <c r="A1321" s="1">
        <v>687</v>
      </c>
      <c r="B1321" s="2">
        <v>41957</v>
      </c>
      <c r="C1321" s="1" t="s">
        <v>133</v>
      </c>
      <c r="D1321" s="5">
        <v>775</v>
      </c>
    </row>
    <row r="1322" spans="1:4" x14ac:dyDescent="0.25">
      <c r="A1322" s="1">
        <v>690</v>
      </c>
      <c r="B1322" s="2">
        <v>41957</v>
      </c>
      <c r="C1322" s="1" t="s">
        <v>48</v>
      </c>
      <c r="D1322" s="5">
        <v>850</v>
      </c>
    </row>
    <row r="1323" spans="1:4" x14ac:dyDescent="0.25">
      <c r="A1323" s="1">
        <v>691</v>
      </c>
      <c r="B1323" s="2">
        <v>41957</v>
      </c>
      <c r="C1323" s="1" t="s">
        <v>49</v>
      </c>
      <c r="D1323" s="5">
        <v>275</v>
      </c>
    </row>
    <row r="1324" spans="1:4" x14ac:dyDescent="0.25">
      <c r="A1324" s="1">
        <v>696</v>
      </c>
      <c r="B1324" s="2">
        <v>41957</v>
      </c>
      <c r="C1324" s="1" t="s">
        <v>205</v>
      </c>
      <c r="D1324" s="5">
        <v>825</v>
      </c>
    </row>
    <row r="1325" spans="1:4" x14ac:dyDescent="0.25">
      <c r="A1325" s="1">
        <v>703</v>
      </c>
      <c r="B1325" s="2">
        <v>41957</v>
      </c>
      <c r="C1325" s="1" t="s">
        <v>51</v>
      </c>
      <c r="D1325" s="5">
        <v>280.5</v>
      </c>
    </row>
    <row r="1326" spans="1:4" x14ac:dyDescent="0.25">
      <c r="A1326" s="1">
        <v>705</v>
      </c>
      <c r="B1326" s="2">
        <v>41957</v>
      </c>
      <c r="C1326" s="1" t="s">
        <v>256</v>
      </c>
      <c r="D1326" s="5">
        <v>943.5</v>
      </c>
    </row>
    <row r="1327" spans="1:4" x14ac:dyDescent="0.25">
      <c r="A1327" s="1">
        <v>708</v>
      </c>
      <c r="B1327" s="2">
        <v>41957</v>
      </c>
      <c r="C1327" s="1" t="s">
        <v>206</v>
      </c>
      <c r="D1327" s="5">
        <v>994.5</v>
      </c>
    </row>
    <row r="1328" spans="1:4" x14ac:dyDescent="0.25">
      <c r="A1328" s="1">
        <v>714</v>
      </c>
      <c r="B1328" s="2">
        <v>41957</v>
      </c>
      <c r="C1328" s="1" t="s">
        <v>171</v>
      </c>
      <c r="D1328" s="5">
        <v>500</v>
      </c>
    </row>
    <row r="1329" spans="1:4" x14ac:dyDescent="0.25">
      <c r="A1329" s="1">
        <v>715</v>
      </c>
      <c r="B1329" s="2">
        <v>41957</v>
      </c>
      <c r="C1329" s="1" t="s">
        <v>235</v>
      </c>
      <c r="D1329" s="5">
        <v>500</v>
      </c>
    </row>
    <row r="1330" spans="1:4" x14ac:dyDescent="0.25">
      <c r="A1330" s="1">
        <v>716</v>
      </c>
      <c r="B1330" s="2">
        <v>41957</v>
      </c>
      <c r="C1330" s="1" t="s">
        <v>271</v>
      </c>
      <c r="D1330" s="5">
        <v>790.5</v>
      </c>
    </row>
    <row r="1331" spans="1:4" x14ac:dyDescent="0.25">
      <c r="A1331" s="1">
        <v>722</v>
      </c>
      <c r="B1331" s="2">
        <v>41957</v>
      </c>
      <c r="C1331" s="1" t="s">
        <v>135</v>
      </c>
      <c r="D1331" s="5">
        <v>0</v>
      </c>
    </row>
    <row r="1332" spans="1:4" x14ac:dyDescent="0.25">
      <c r="A1332" s="1">
        <v>725</v>
      </c>
      <c r="B1332" s="2">
        <v>41957</v>
      </c>
      <c r="C1332" s="1" t="s">
        <v>229</v>
      </c>
      <c r="D1332" s="5">
        <v>500</v>
      </c>
    </row>
    <row r="1333" spans="1:4" x14ac:dyDescent="0.25">
      <c r="A1333" s="1">
        <v>726</v>
      </c>
      <c r="B1333" s="2">
        <v>41957</v>
      </c>
      <c r="C1333" s="1" t="s">
        <v>53</v>
      </c>
      <c r="D1333" s="5">
        <v>2142</v>
      </c>
    </row>
    <row r="1334" spans="1:4" x14ac:dyDescent="0.25">
      <c r="A1334" s="1">
        <v>728</v>
      </c>
      <c r="B1334" s="2">
        <v>41957</v>
      </c>
      <c r="C1334" s="1" t="s">
        <v>272</v>
      </c>
      <c r="D1334" s="5">
        <v>1122</v>
      </c>
    </row>
    <row r="1335" spans="1:4" x14ac:dyDescent="0.25">
      <c r="A1335" s="1">
        <v>739</v>
      </c>
      <c r="B1335" s="2">
        <v>41957</v>
      </c>
      <c r="C1335" s="1" t="s">
        <v>273</v>
      </c>
      <c r="D1335" s="5">
        <v>1326</v>
      </c>
    </row>
    <row r="1336" spans="1:4" x14ac:dyDescent="0.25">
      <c r="A1336" s="1">
        <v>764</v>
      </c>
      <c r="B1336" s="2">
        <v>41957</v>
      </c>
      <c r="C1336" s="1" t="s">
        <v>208</v>
      </c>
      <c r="D1336" s="5">
        <v>1325</v>
      </c>
    </row>
    <row r="1337" spans="1:4" x14ac:dyDescent="0.25">
      <c r="A1337" s="1">
        <v>771</v>
      </c>
      <c r="B1337" s="2">
        <v>41957</v>
      </c>
      <c r="C1337" s="1" t="s">
        <v>57</v>
      </c>
      <c r="D1337" s="5">
        <v>1377</v>
      </c>
    </row>
    <row r="1338" spans="1:4" x14ac:dyDescent="0.25">
      <c r="A1338" s="1">
        <v>772</v>
      </c>
      <c r="B1338" s="2">
        <v>41957</v>
      </c>
      <c r="C1338" s="1" t="s">
        <v>274</v>
      </c>
      <c r="D1338" s="5">
        <v>800</v>
      </c>
    </row>
    <row r="1339" spans="1:4" x14ac:dyDescent="0.25">
      <c r="A1339" s="1">
        <v>782</v>
      </c>
      <c r="B1339" s="2">
        <v>41957</v>
      </c>
      <c r="C1339" s="1" t="s">
        <v>173</v>
      </c>
      <c r="D1339" s="5">
        <v>1000</v>
      </c>
    </row>
    <row r="1340" spans="1:4" x14ac:dyDescent="0.25">
      <c r="A1340" s="1">
        <v>790</v>
      </c>
      <c r="B1340" s="2">
        <v>41957</v>
      </c>
      <c r="C1340" s="1" t="s">
        <v>209</v>
      </c>
      <c r="D1340" s="5">
        <v>739.5</v>
      </c>
    </row>
    <row r="1341" spans="1:4" x14ac:dyDescent="0.25">
      <c r="A1341" s="1">
        <v>807</v>
      </c>
      <c r="B1341" s="2">
        <v>41957</v>
      </c>
      <c r="C1341" s="1" t="s">
        <v>230</v>
      </c>
      <c r="D1341" s="5">
        <v>500</v>
      </c>
    </row>
    <row r="1342" spans="1:4" x14ac:dyDescent="0.25">
      <c r="A1342" s="1">
        <v>614</v>
      </c>
      <c r="B1342" s="2">
        <v>41961</v>
      </c>
      <c r="C1342" s="1" t="s">
        <v>130</v>
      </c>
      <c r="D1342" s="5">
        <v>484.5</v>
      </c>
    </row>
    <row r="1343" spans="1:4" x14ac:dyDescent="0.25">
      <c r="A1343" s="1">
        <v>672</v>
      </c>
      <c r="B1343" s="2">
        <v>41961</v>
      </c>
      <c r="C1343" s="1" t="s">
        <v>168</v>
      </c>
      <c r="D1343" s="5">
        <v>500</v>
      </c>
    </row>
    <row r="1344" spans="1:4" x14ac:dyDescent="0.25">
      <c r="A1344" s="1">
        <v>750</v>
      </c>
      <c r="B1344" s="2">
        <v>41962</v>
      </c>
      <c r="C1344" s="1" t="s">
        <v>55</v>
      </c>
      <c r="D1344" s="5">
        <v>500</v>
      </c>
    </row>
    <row r="1345" spans="1:4" x14ac:dyDescent="0.25">
      <c r="A1345" s="1">
        <v>692</v>
      </c>
      <c r="B1345" s="2">
        <v>41963</v>
      </c>
      <c r="C1345" s="1" t="s">
        <v>50</v>
      </c>
      <c r="D1345" s="5">
        <v>2500</v>
      </c>
    </row>
    <row r="1346" spans="1:4" x14ac:dyDescent="0.25">
      <c r="A1346" s="1">
        <v>27</v>
      </c>
      <c r="B1346" s="2">
        <v>41964</v>
      </c>
      <c r="C1346" s="1" t="s">
        <v>159</v>
      </c>
      <c r="D1346" s="5">
        <v>3840.61</v>
      </c>
    </row>
    <row r="1347" spans="1:4" x14ac:dyDescent="0.25">
      <c r="A1347" s="1">
        <v>28</v>
      </c>
      <c r="B1347" s="2">
        <v>41964</v>
      </c>
      <c r="C1347" s="1" t="s">
        <v>6</v>
      </c>
      <c r="D1347" s="5">
        <v>627.5</v>
      </c>
    </row>
    <row r="1348" spans="1:4" x14ac:dyDescent="0.25">
      <c r="A1348" s="1">
        <v>37</v>
      </c>
      <c r="B1348" s="2">
        <v>41964</v>
      </c>
      <c r="C1348" s="1" t="s">
        <v>77</v>
      </c>
      <c r="D1348" s="5">
        <v>8287.2099999999991</v>
      </c>
    </row>
    <row r="1349" spans="1:4" x14ac:dyDescent="0.25">
      <c r="A1349" s="1">
        <v>41</v>
      </c>
      <c r="B1349" s="2">
        <v>41964</v>
      </c>
      <c r="C1349" s="1" t="s">
        <v>10</v>
      </c>
      <c r="D1349" s="5">
        <v>3794.63</v>
      </c>
    </row>
    <row r="1350" spans="1:4" x14ac:dyDescent="0.25">
      <c r="A1350" s="1">
        <v>63</v>
      </c>
      <c r="B1350" s="2">
        <v>41964</v>
      </c>
      <c r="C1350" s="1" t="s">
        <v>181</v>
      </c>
      <c r="D1350" s="5">
        <v>1403.4</v>
      </c>
    </row>
    <row r="1351" spans="1:4" x14ac:dyDescent="0.25">
      <c r="A1351" s="1">
        <v>77</v>
      </c>
      <c r="B1351" s="2">
        <v>41964</v>
      </c>
      <c r="C1351" s="1" t="s">
        <v>11</v>
      </c>
      <c r="D1351" s="5">
        <v>700</v>
      </c>
    </row>
    <row r="1352" spans="1:4" x14ac:dyDescent="0.25">
      <c r="A1352" s="1">
        <v>133</v>
      </c>
      <c r="B1352" s="2">
        <v>41964</v>
      </c>
      <c r="C1352" s="1" t="s">
        <v>87</v>
      </c>
      <c r="D1352" s="5">
        <v>9.57</v>
      </c>
    </row>
    <row r="1353" spans="1:4" x14ac:dyDescent="0.25">
      <c r="A1353" s="1">
        <v>180</v>
      </c>
      <c r="B1353" s="2">
        <v>41964</v>
      </c>
      <c r="C1353" s="1" t="s">
        <v>161</v>
      </c>
      <c r="D1353" s="5">
        <v>122.5</v>
      </c>
    </row>
    <row r="1354" spans="1:4" x14ac:dyDescent="0.25">
      <c r="A1354" s="1">
        <v>202</v>
      </c>
      <c r="B1354" s="2">
        <v>41964</v>
      </c>
      <c r="C1354" s="1" t="s">
        <v>237</v>
      </c>
      <c r="D1354" s="5">
        <v>1193.1500000000001</v>
      </c>
    </row>
    <row r="1355" spans="1:4" x14ac:dyDescent="0.25">
      <c r="A1355" s="1">
        <v>203</v>
      </c>
      <c r="B1355" s="2">
        <v>41964</v>
      </c>
      <c r="C1355" s="1" t="s">
        <v>95</v>
      </c>
      <c r="D1355" s="5">
        <v>11900.9</v>
      </c>
    </row>
    <row r="1356" spans="1:4" x14ac:dyDescent="0.25">
      <c r="A1356" s="1">
        <v>217</v>
      </c>
      <c r="B1356" s="2">
        <v>41964</v>
      </c>
      <c r="C1356" s="1" t="s">
        <v>97</v>
      </c>
      <c r="D1356" s="5">
        <v>2421.66</v>
      </c>
    </row>
    <row r="1357" spans="1:4" x14ac:dyDescent="0.25">
      <c r="A1357" s="1">
        <v>234</v>
      </c>
      <c r="B1357" s="2">
        <v>41964</v>
      </c>
      <c r="C1357" s="1" t="s">
        <v>259</v>
      </c>
      <c r="D1357" s="5">
        <v>500</v>
      </c>
    </row>
    <row r="1358" spans="1:4" x14ac:dyDescent="0.25">
      <c r="A1358" s="1">
        <v>249</v>
      </c>
      <c r="B1358" s="2">
        <v>41964</v>
      </c>
      <c r="C1358" s="1" t="s">
        <v>260</v>
      </c>
      <c r="D1358" s="5">
        <v>-816</v>
      </c>
    </row>
    <row r="1359" spans="1:4" x14ac:dyDescent="0.25">
      <c r="A1359" s="1">
        <v>261</v>
      </c>
      <c r="B1359" s="2">
        <v>41964</v>
      </c>
      <c r="C1359" s="1" t="s">
        <v>22</v>
      </c>
      <c r="D1359" s="5">
        <v>3250</v>
      </c>
    </row>
    <row r="1360" spans="1:4" x14ac:dyDescent="0.25">
      <c r="A1360" s="1">
        <v>269</v>
      </c>
      <c r="B1360" s="2">
        <v>41964</v>
      </c>
      <c r="C1360" s="1" t="s">
        <v>254</v>
      </c>
      <c r="D1360" s="5">
        <v>25.5</v>
      </c>
    </row>
    <row r="1361" spans="1:4" x14ac:dyDescent="0.25">
      <c r="A1361" s="1">
        <v>282</v>
      </c>
      <c r="B1361" s="2">
        <v>41964</v>
      </c>
      <c r="C1361" s="1" t="s">
        <v>23</v>
      </c>
      <c r="D1361" s="5">
        <v>1225</v>
      </c>
    </row>
    <row r="1362" spans="1:4" x14ac:dyDescent="0.25">
      <c r="A1362" s="1">
        <v>295</v>
      </c>
      <c r="B1362" s="2">
        <v>41964</v>
      </c>
      <c r="C1362" s="1" t="s">
        <v>103</v>
      </c>
      <c r="D1362" s="5">
        <v>2850</v>
      </c>
    </row>
    <row r="1363" spans="1:4" x14ac:dyDescent="0.25">
      <c r="A1363" s="1">
        <v>303</v>
      </c>
      <c r="B1363" s="2">
        <v>41964</v>
      </c>
      <c r="C1363" s="1" t="s">
        <v>218</v>
      </c>
      <c r="D1363" s="5">
        <v>61.25</v>
      </c>
    </row>
    <row r="1364" spans="1:4" x14ac:dyDescent="0.25">
      <c r="A1364" s="1">
        <v>324</v>
      </c>
      <c r="B1364" s="2">
        <v>41964</v>
      </c>
      <c r="C1364" s="1" t="s">
        <v>106</v>
      </c>
      <c r="D1364" s="5">
        <v>-119.5</v>
      </c>
    </row>
    <row r="1365" spans="1:4" x14ac:dyDescent="0.25">
      <c r="A1365" s="1">
        <v>326</v>
      </c>
      <c r="B1365" s="2">
        <v>41964</v>
      </c>
      <c r="C1365" s="1" t="s">
        <v>25</v>
      </c>
      <c r="D1365" s="5">
        <v>2000</v>
      </c>
    </row>
    <row r="1366" spans="1:4" x14ac:dyDescent="0.25">
      <c r="A1366" s="1">
        <v>355</v>
      </c>
      <c r="B1366" s="2">
        <v>41964</v>
      </c>
      <c r="C1366" s="1" t="s">
        <v>108</v>
      </c>
      <c r="D1366" s="5">
        <v>21.04</v>
      </c>
    </row>
    <row r="1367" spans="1:4" x14ac:dyDescent="0.25">
      <c r="A1367" s="1">
        <v>358</v>
      </c>
      <c r="B1367" s="2">
        <v>41964</v>
      </c>
      <c r="C1367" s="1" t="s">
        <v>179</v>
      </c>
      <c r="D1367" s="5">
        <v>691.35</v>
      </c>
    </row>
    <row r="1368" spans="1:4" x14ac:dyDescent="0.25">
      <c r="A1368" s="1">
        <v>365</v>
      </c>
      <c r="B1368" s="2">
        <v>41964</v>
      </c>
      <c r="C1368" s="1" t="s">
        <v>29</v>
      </c>
      <c r="D1368" s="5">
        <v>1351.5</v>
      </c>
    </row>
    <row r="1369" spans="1:4" x14ac:dyDescent="0.25">
      <c r="A1369" s="1">
        <v>383</v>
      </c>
      <c r="B1369" s="2">
        <v>41964</v>
      </c>
      <c r="C1369" s="1" t="s">
        <v>220</v>
      </c>
      <c r="D1369" s="5">
        <v>3470</v>
      </c>
    </row>
    <row r="1370" spans="1:4" x14ac:dyDescent="0.25">
      <c r="A1370" s="1">
        <v>389</v>
      </c>
      <c r="B1370" s="2">
        <v>41964</v>
      </c>
      <c r="C1370" s="1" t="s">
        <v>31</v>
      </c>
      <c r="D1370" s="5">
        <v>396.25</v>
      </c>
    </row>
    <row r="1371" spans="1:4" x14ac:dyDescent="0.25">
      <c r="A1371" s="1">
        <v>392</v>
      </c>
      <c r="B1371" s="2">
        <v>41964</v>
      </c>
      <c r="C1371" s="1" t="s">
        <v>111</v>
      </c>
      <c r="D1371" s="5">
        <v>600</v>
      </c>
    </row>
    <row r="1372" spans="1:4" x14ac:dyDescent="0.25">
      <c r="A1372" s="1">
        <v>401</v>
      </c>
      <c r="B1372" s="2">
        <v>41964</v>
      </c>
      <c r="C1372" s="1" t="s">
        <v>184</v>
      </c>
      <c r="D1372" s="5">
        <v>232.07</v>
      </c>
    </row>
    <row r="1373" spans="1:4" x14ac:dyDescent="0.25">
      <c r="A1373" s="1">
        <v>405</v>
      </c>
      <c r="B1373" s="2">
        <v>41964</v>
      </c>
      <c r="C1373" s="1" t="s">
        <v>112</v>
      </c>
      <c r="D1373" s="5">
        <v>400</v>
      </c>
    </row>
    <row r="1374" spans="1:4" x14ac:dyDescent="0.25">
      <c r="A1374" s="1">
        <v>407</v>
      </c>
      <c r="B1374" s="2">
        <v>41964</v>
      </c>
      <c r="C1374" s="1" t="s">
        <v>113</v>
      </c>
      <c r="D1374" s="5">
        <v>495.9</v>
      </c>
    </row>
    <row r="1375" spans="1:4" x14ac:dyDescent="0.25">
      <c r="A1375" s="1">
        <v>410</v>
      </c>
      <c r="B1375" s="2">
        <v>41964</v>
      </c>
      <c r="C1375" s="1" t="s">
        <v>32</v>
      </c>
      <c r="D1375" s="5">
        <v>393.08</v>
      </c>
    </row>
    <row r="1376" spans="1:4" x14ac:dyDescent="0.25">
      <c r="A1376" s="1">
        <v>499</v>
      </c>
      <c r="B1376" s="2">
        <v>41964</v>
      </c>
      <c r="C1376" s="1" t="s">
        <v>200</v>
      </c>
      <c r="D1376" s="5">
        <v>561</v>
      </c>
    </row>
    <row r="1377" spans="1:4" x14ac:dyDescent="0.25">
      <c r="A1377" s="1">
        <v>530</v>
      </c>
      <c r="B1377" s="2">
        <v>41964</v>
      </c>
      <c r="C1377" s="1" t="s">
        <v>35</v>
      </c>
      <c r="D1377" s="5">
        <v>1750</v>
      </c>
    </row>
    <row r="1378" spans="1:4" x14ac:dyDescent="0.25">
      <c r="A1378" s="1">
        <v>583</v>
      </c>
      <c r="B1378" s="2">
        <v>41964</v>
      </c>
      <c r="C1378" s="1" t="s">
        <v>124</v>
      </c>
      <c r="D1378" s="5">
        <v>112</v>
      </c>
    </row>
    <row r="1379" spans="1:4" x14ac:dyDescent="0.25">
      <c r="A1379" s="1">
        <v>599</v>
      </c>
      <c r="B1379" s="2">
        <v>41964</v>
      </c>
      <c r="C1379" s="1" t="s">
        <v>125</v>
      </c>
      <c r="D1379" s="5">
        <v>475</v>
      </c>
    </row>
    <row r="1380" spans="1:4" x14ac:dyDescent="0.25">
      <c r="A1380" s="1">
        <v>607</v>
      </c>
      <c r="B1380" s="2">
        <v>41964</v>
      </c>
      <c r="C1380" s="1" t="s">
        <v>39</v>
      </c>
      <c r="D1380" s="5">
        <v>425</v>
      </c>
    </row>
    <row r="1381" spans="1:4" x14ac:dyDescent="0.25">
      <c r="A1381" s="1">
        <v>621</v>
      </c>
      <c r="B1381" s="2">
        <v>41964</v>
      </c>
      <c r="C1381" s="1" t="s">
        <v>224</v>
      </c>
      <c r="D1381" s="5">
        <v>765</v>
      </c>
    </row>
    <row r="1382" spans="1:4" x14ac:dyDescent="0.25">
      <c r="A1382" s="1">
        <v>626</v>
      </c>
      <c r="B1382" s="2">
        <v>41964</v>
      </c>
      <c r="C1382" s="1" t="s">
        <v>187</v>
      </c>
      <c r="D1382" s="5">
        <v>368.36</v>
      </c>
    </row>
    <row r="1383" spans="1:4" x14ac:dyDescent="0.25">
      <c r="A1383" s="1">
        <v>646</v>
      </c>
      <c r="B1383" s="2">
        <v>41964</v>
      </c>
      <c r="C1383" s="1" t="s">
        <v>203</v>
      </c>
      <c r="D1383" s="5">
        <v>1050</v>
      </c>
    </row>
    <row r="1384" spans="1:4" x14ac:dyDescent="0.25">
      <c r="A1384" s="1">
        <v>648</v>
      </c>
      <c r="B1384" s="2">
        <v>41964</v>
      </c>
      <c r="C1384" s="1" t="s">
        <v>42</v>
      </c>
      <c r="D1384" s="5">
        <v>1450</v>
      </c>
    </row>
    <row r="1385" spans="1:4" x14ac:dyDescent="0.25">
      <c r="A1385" s="1">
        <v>656</v>
      </c>
      <c r="B1385" s="2">
        <v>41964</v>
      </c>
      <c r="C1385" s="1" t="s">
        <v>43</v>
      </c>
      <c r="D1385" s="5">
        <v>969</v>
      </c>
    </row>
    <row r="1386" spans="1:4" x14ac:dyDescent="0.25">
      <c r="A1386" s="1">
        <v>664</v>
      </c>
      <c r="B1386" s="2">
        <v>41964</v>
      </c>
      <c r="C1386" s="1" t="s">
        <v>226</v>
      </c>
      <c r="D1386" s="5">
        <v>500</v>
      </c>
    </row>
    <row r="1387" spans="1:4" x14ac:dyDescent="0.25">
      <c r="A1387" s="1">
        <v>672</v>
      </c>
      <c r="B1387" s="2">
        <v>41964</v>
      </c>
      <c r="C1387" s="1" t="s">
        <v>168</v>
      </c>
      <c r="D1387" s="5">
        <v>924</v>
      </c>
    </row>
    <row r="1388" spans="1:4" x14ac:dyDescent="0.25">
      <c r="A1388" s="1">
        <v>679</v>
      </c>
      <c r="B1388" s="2">
        <v>41964</v>
      </c>
      <c r="C1388" s="1" t="s">
        <v>169</v>
      </c>
      <c r="D1388" s="5">
        <v>5357.28</v>
      </c>
    </row>
    <row r="1389" spans="1:4" x14ac:dyDescent="0.25">
      <c r="A1389" s="1">
        <v>683</v>
      </c>
      <c r="B1389" s="2">
        <v>41964</v>
      </c>
      <c r="C1389" s="1" t="s">
        <v>261</v>
      </c>
      <c r="D1389" s="5">
        <v>612</v>
      </c>
    </row>
    <row r="1390" spans="1:4" x14ac:dyDescent="0.25">
      <c r="A1390" s="1">
        <v>690</v>
      </c>
      <c r="B1390" s="2">
        <v>41964</v>
      </c>
      <c r="C1390" s="1" t="s">
        <v>48</v>
      </c>
      <c r="D1390" s="5">
        <v>1200</v>
      </c>
    </row>
    <row r="1391" spans="1:4" x14ac:dyDescent="0.25">
      <c r="A1391" s="1">
        <v>692</v>
      </c>
      <c r="B1391" s="2">
        <v>41964</v>
      </c>
      <c r="C1391" s="1" t="s">
        <v>50</v>
      </c>
      <c r="D1391" s="5">
        <v>535.5</v>
      </c>
    </row>
    <row r="1392" spans="1:4" x14ac:dyDescent="0.25">
      <c r="A1392" s="1">
        <v>699</v>
      </c>
      <c r="B1392" s="2">
        <v>41964</v>
      </c>
      <c r="C1392" s="1" t="s">
        <v>189</v>
      </c>
      <c r="D1392" s="5">
        <v>650</v>
      </c>
    </row>
    <row r="1393" spans="1:4" x14ac:dyDescent="0.25">
      <c r="A1393" s="1">
        <v>703</v>
      </c>
      <c r="B1393" s="2">
        <v>41964</v>
      </c>
      <c r="C1393" s="1" t="s">
        <v>51</v>
      </c>
      <c r="D1393" s="5">
        <v>433.5</v>
      </c>
    </row>
    <row r="1394" spans="1:4" x14ac:dyDescent="0.25">
      <c r="A1394" s="1">
        <v>714</v>
      </c>
      <c r="B1394" s="2">
        <v>41964</v>
      </c>
      <c r="C1394" s="1" t="s">
        <v>171</v>
      </c>
      <c r="D1394" s="5">
        <v>500</v>
      </c>
    </row>
    <row r="1395" spans="1:4" x14ac:dyDescent="0.25">
      <c r="A1395" s="1">
        <v>719</v>
      </c>
      <c r="B1395" s="2">
        <v>41964</v>
      </c>
      <c r="C1395" s="1" t="s">
        <v>262</v>
      </c>
      <c r="D1395" s="5">
        <v>240</v>
      </c>
    </row>
    <row r="1396" spans="1:4" x14ac:dyDescent="0.25">
      <c r="A1396" s="1">
        <v>726</v>
      </c>
      <c r="B1396" s="2">
        <v>41964</v>
      </c>
      <c r="C1396" s="1" t="s">
        <v>53</v>
      </c>
      <c r="D1396" s="5">
        <v>1759.5</v>
      </c>
    </row>
    <row r="1397" spans="1:4" x14ac:dyDescent="0.25">
      <c r="A1397" s="1">
        <v>735</v>
      </c>
      <c r="B1397" s="2">
        <v>41964</v>
      </c>
      <c r="C1397" s="1" t="s">
        <v>54</v>
      </c>
      <c r="D1397" s="5">
        <v>959</v>
      </c>
    </row>
    <row r="1398" spans="1:4" x14ac:dyDescent="0.25">
      <c r="A1398" s="1">
        <v>764</v>
      </c>
      <c r="B1398" s="2">
        <v>41964</v>
      </c>
      <c r="C1398" s="1" t="s">
        <v>208</v>
      </c>
      <c r="D1398" s="5">
        <v>1175</v>
      </c>
    </row>
    <row r="1399" spans="1:4" x14ac:dyDescent="0.25">
      <c r="A1399" s="1">
        <v>771</v>
      </c>
      <c r="B1399" s="2">
        <v>41964</v>
      </c>
      <c r="C1399" s="1" t="s">
        <v>57</v>
      </c>
      <c r="D1399" s="5">
        <v>2407.5</v>
      </c>
    </row>
    <row r="1400" spans="1:4" x14ac:dyDescent="0.25">
      <c r="A1400" s="1">
        <v>782</v>
      </c>
      <c r="B1400" s="2">
        <v>41964</v>
      </c>
      <c r="C1400" s="1" t="s">
        <v>173</v>
      </c>
      <c r="D1400" s="5">
        <v>1000</v>
      </c>
    </row>
    <row r="1401" spans="1:4" x14ac:dyDescent="0.25">
      <c r="A1401" s="1">
        <v>790</v>
      </c>
      <c r="B1401" s="2">
        <v>41964</v>
      </c>
      <c r="C1401" s="1" t="s">
        <v>209</v>
      </c>
      <c r="D1401" s="5">
        <v>1096.5</v>
      </c>
    </row>
    <row r="1402" spans="1:4" x14ac:dyDescent="0.25">
      <c r="A1402" s="1">
        <v>807</v>
      </c>
      <c r="B1402" s="2">
        <v>41964</v>
      </c>
      <c r="C1402" s="1" t="s">
        <v>230</v>
      </c>
      <c r="D1402" s="5">
        <v>484.5</v>
      </c>
    </row>
    <row r="1403" spans="1:4" x14ac:dyDescent="0.25">
      <c r="A1403" s="1">
        <v>831</v>
      </c>
      <c r="B1403" s="2">
        <v>41964</v>
      </c>
      <c r="C1403" s="1" t="s">
        <v>238</v>
      </c>
      <c r="D1403" s="5">
        <v>325</v>
      </c>
    </row>
    <row r="1404" spans="1:4" x14ac:dyDescent="0.25">
      <c r="A1404" s="1">
        <v>295</v>
      </c>
      <c r="B1404" s="2">
        <v>41966</v>
      </c>
      <c r="C1404" s="1" t="s">
        <v>103</v>
      </c>
      <c r="D1404" s="5">
        <v>2300</v>
      </c>
    </row>
    <row r="1405" spans="1:4" x14ac:dyDescent="0.25">
      <c r="A1405" s="1">
        <v>551</v>
      </c>
      <c r="B1405" s="2">
        <v>41967</v>
      </c>
      <c r="C1405" s="1" t="s">
        <v>166</v>
      </c>
      <c r="D1405" s="5">
        <v>400</v>
      </c>
    </row>
    <row r="1406" spans="1:4" x14ac:dyDescent="0.25">
      <c r="A1406" s="1">
        <v>37</v>
      </c>
      <c r="B1406" s="2">
        <v>41968</v>
      </c>
      <c r="C1406" s="1" t="s">
        <v>77</v>
      </c>
      <c r="D1406" s="5">
        <v>375</v>
      </c>
    </row>
    <row r="1407" spans="1:4" x14ac:dyDescent="0.25">
      <c r="A1407" s="1">
        <v>218</v>
      </c>
      <c r="B1407" s="2">
        <v>41968</v>
      </c>
      <c r="C1407" s="1" t="s">
        <v>233</v>
      </c>
      <c r="D1407" s="5">
        <v>2368</v>
      </c>
    </row>
    <row r="1408" spans="1:4" x14ac:dyDescent="0.25">
      <c r="A1408" s="1">
        <v>250</v>
      </c>
      <c r="B1408" s="2">
        <v>41968</v>
      </c>
      <c r="C1408" s="1" t="s">
        <v>212</v>
      </c>
      <c r="D1408" s="5">
        <v>219.05</v>
      </c>
    </row>
    <row r="1409" spans="1:4" x14ac:dyDescent="0.25">
      <c r="A1409" s="1">
        <v>332</v>
      </c>
      <c r="B1409" s="2">
        <v>41968</v>
      </c>
      <c r="C1409" s="1" t="s">
        <v>27</v>
      </c>
      <c r="D1409" s="5">
        <v>1203.5999999999999</v>
      </c>
    </row>
    <row r="1410" spans="1:4" x14ac:dyDescent="0.25">
      <c r="A1410" s="1">
        <v>365</v>
      </c>
      <c r="B1410" s="2">
        <v>41968</v>
      </c>
      <c r="C1410" s="1" t="s">
        <v>29</v>
      </c>
      <c r="D1410" s="5">
        <v>561</v>
      </c>
    </row>
    <row r="1411" spans="1:4" x14ac:dyDescent="0.25">
      <c r="A1411" s="1">
        <v>387</v>
      </c>
      <c r="B1411" s="2">
        <v>41968</v>
      </c>
      <c r="C1411" s="1" t="s">
        <v>110</v>
      </c>
      <c r="D1411" s="5">
        <v>357</v>
      </c>
    </row>
    <row r="1412" spans="1:4" x14ac:dyDescent="0.25">
      <c r="A1412" s="1">
        <v>392</v>
      </c>
      <c r="B1412" s="2">
        <v>41968</v>
      </c>
      <c r="C1412" s="1" t="s">
        <v>111</v>
      </c>
      <c r="D1412" s="5">
        <v>1500</v>
      </c>
    </row>
    <row r="1413" spans="1:4" x14ac:dyDescent="0.25">
      <c r="A1413" s="1">
        <v>410</v>
      </c>
      <c r="B1413" s="2">
        <v>41968</v>
      </c>
      <c r="C1413" s="1" t="s">
        <v>32</v>
      </c>
      <c r="D1413" s="5">
        <v>2906.12</v>
      </c>
    </row>
    <row r="1414" spans="1:4" x14ac:dyDescent="0.25">
      <c r="A1414" s="1">
        <v>422</v>
      </c>
      <c r="B1414" s="2">
        <v>41968</v>
      </c>
      <c r="C1414" s="1" t="s">
        <v>165</v>
      </c>
      <c r="D1414" s="5">
        <v>500</v>
      </c>
    </row>
    <row r="1415" spans="1:4" x14ac:dyDescent="0.25">
      <c r="A1415" s="1">
        <v>580</v>
      </c>
      <c r="B1415" s="2">
        <v>41968</v>
      </c>
      <c r="C1415" s="1" t="s">
        <v>37</v>
      </c>
      <c r="D1415" s="5">
        <v>1500</v>
      </c>
    </row>
    <row r="1416" spans="1:4" x14ac:dyDescent="0.25">
      <c r="A1416" s="1">
        <v>582</v>
      </c>
      <c r="B1416" s="2">
        <v>41968</v>
      </c>
      <c r="C1416" s="1" t="s">
        <v>123</v>
      </c>
      <c r="D1416" s="5">
        <v>500</v>
      </c>
    </row>
    <row r="1417" spans="1:4" x14ac:dyDescent="0.25">
      <c r="A1417" s="1">
        <v>599</v>
      </c>
      <c r="B1417" s="2">
        <v>41968</v>
      </c>
      <c r="C1417" s="1" t="s">
        <v>125</v>
      </c>
      <c r="D1417" s="5">
        <v>2000</v>
      </c>
    </row>
    <row r="1418" spans="1:4" x14ac:dyDescent="0.25">
      <c r="A1418" s="1">
        <v>626</v>
      </c>
      <c r="B1418" s="2">
        <v>41968</v>
      </c>
      <c r="C1418" s="1" t="s">
        <v>187</v>
      </c>
      <c r="D1418" s="5">
        <v>745.18</v>
      </c>
    </row>
    <row r="1419" spans="1:4" x14ac:dyDescent="0.25">
      <c r="A1419" s="1">
        <v>664</v>
      </c>
      <c r="B1419" s="2">
        <v>41968</v>
      </c>
      <c r="C1419" s="1" t="s">
        <v>226</v>
      </c>
      <c r="D1419" s="5">
        <v>1000</v>
      </c>
    </row>
    <row r="1420" spans="1:4" x14ac:dyDescent="0.25">
      <c r="A1420" s="1">
        <v>676</v>
      </c>
      <c r="B1420" s="2">
        <v>41968</v>
      </c>
      <c r="C1420" s="1" t="s">
        <v>246</v>
      </c>
      <c r="D1420" s="5">
        <v>1530</v>
      </c>
    </row>
    <row r="1421" spans="1:4" x14ac:dyDescent="0.25">
      <c r="A1421" s="1">
        <v>678</v>
      </c>
      <c r="B1421" s="2">
        <v>41968</v>
      </c>
      <c r="C1421" s="1" t="s">
        <v>255</v>
      </c>
      <c r="D1421" s="5">
        <v>975</v>
      </c>
    </row>
    <row r="1422" spans="1:4" x14ac:dyDescent="0.25">
      <c r="A1422" s="1">
        <v>703</v>
      </c>
      <c r="B1422" s="2">
        <v>41968</v>
      </c>
      <c r="C1422" s="1" t="s">
        <v>51</v>
      </c>
      <c r="D1422" s="5">
        <v>1020</v>
      </c>
    </row>
    <row r="1423" spans="1:4" x14ac:dyDescent="0.25">
      <c r="A1423" s="1">
        <v>705</v>
      </c>
      <c r="B1423" s="2">
        <v>41968</v>
      </c>
      <c r="C1423" s="1" t="s">
        <v>256</v>
      </c>
      <c r="D1423" s="5">
        <v>500</v>
      </c>
    </row>
    <row r="1424" spans="1:4" x14ac:dyDescent="0.25">
      <c r="A1424" s="1">
        <v>708</v>
      </c>
      <c r="B1424" s="2">
        <v>41968</v>
      </c>
      <c r="C1424" s="1" t="s">
        <v>206</v>
      </c>
      <c r="D1424" s="5">
        <v>1198.5</v>
      </c>
    </row>
    <row r="1425" spans="1:4" x14ac:dyDescent="0.25">
      <c r="A1425" s="1">
        <v>714</v>
      </c>
      <c r="B1425" s="2">
        <v>41968</v>
      </c>
      <c r="C1425" s="1" t="s">
        <v>171</v>
      </c>
      <c r="D1425" s="5">
        <v>500</v>
      </c>
    </row>
    <row r="1426" spans="1:4" x14ac:dyDescent="0.25">
      <c r="A1426" s="1">
        <v>715</v>
      </c>
      <c r="B1426" s="2">
        <v>41968</v>
      </c>
      <c r="C1426" s="1" t="s">
        <v>235</v>
      </c>
      <c r="D1426" s="5">
        <v>500</v>
      </c>
    </row>
    <row r="1427" spans="1:4" x14ac:dyDescent="0.25">
      <c r="A1427" s="1">
        <v>725</v>
      </c>
      <c r="B1427" s="2">
        <v>41968</v>
      </c>
      <c r="C1427" s="1" t="s">
        <v>229</v>
      </c>
      <c r="D1427" s="5">
        <v>1000</v>
      </c>
    </row>
    <row r="1428" spans="1:4" x14ac:dyDescent="0.25">
      <c r="A1428" s="1">
        <v>730</v>
      </c>
      <c r="B1428" s="2">
        <v>41968</v>
      </c>
      <c r="C1428" s="1" t="s">
        <v>257</v>
      </c>
      <c r="D1428" s="5">
        <v>688.5</v>
      </c>
    </row>
    <row r="1429" spans="1:4" x14ac:dyDescent="0.25">
      <c r="A1429" s="1">
        <v>750</v>
      </c>
      <c r="B1429" s="2">
        <v>41968</v>
      </c>
      <c r="C1429" s="1" t="s">
        <v>55</v>
      </c>
      <c r="D1429" s="5">
        <v>1000</v>
      </c>
    </row>
    <row r="1430" spans="1:4" x14ac:dyDescent="0.25">
      <c r="A1430" s="1">
        <v>782</v>
      </c>
      <c r="B1430" s="2">
        <v>41968</v>
      </c>
      <c r="C1430" s="1" t="s">
        <v>173</v>
      </c>
      <c r="D1430" s="5">
        <v>1000</v>
      </c>
    </row>
    <row r="1431" spans="1:4" x14ac:dyDescent="0.25">
      <c r="A1431" s="1">
        <v>793</v>
      </c>
      <c r="B1431" s="2">
        <v>41968</v>
      </c>
      <c r="C1431" s="1" t="s">
        <v>191</v>
      </c>
      <c r="D1431" s="5">
        <v>612</v>
      </c>
    </row>
    <row r="1432" spans="1:4" x14ac:dyDescent="0.25">
      <c r="A1432" s="1">
        <v>817</v>
      </c>
      <c r="B1432" s="2">
        <v>41968</v>
      </c>
      <c r="C1432" s="1" t="s">
        <v>60</v>
      </c>
      <c r="D1432" s="5">
        <v>561</v>
      </c>
    </row>
    <row r="1433" spans="1:4" x14ac:dyDescent="0.25">
      <c r="A1433" s="1">
        <v>821</v>
      </c>
      <c r="B1433" s="2">
        <v>41968</v>
      </c>
      <c r="C1433" s="1" t="s">
        <v>258</v>
      </c>
      <c r="D1433" s="5">
        <v>600</v>
      </c>
    </row>
    <row r="1434" spans="1:4" x14ac:dyDescent="0.25">
      <c r="A1434" s="1">
        <v>269</v>
      </c>
      <c r="B1434" s="2">
        <v>41969</v>
      </c>
      <c r="C1434" s="1" t="s">
        <v>254</v>
      </c>
      <c r="D1434" s="5">
        <v>2000</v>
      </c>
    </row>
    <row r="1435" spans="1:4" x14ac:dyDescent="0.25">
      <c r="A1435" s="1">
        <v>615</v>
      </c>
      <c r="B1435" s="2">
        <v>41969</v>
      </c>
      <c r="C1435" s="1" t="s">
        <v>201</v>
      </c>
      <c r="D1435" s="5">
        <v>1338.71</v>
      </c>
    </row>
    <row r="1436" spans="1:4" x14ac:dyDescent="0.25">
      <c r="A1436" s="1">
        <v>77</v>
      </c>
      <c r="B1436" s="2">
        <v>41971</v>
      </c>
      <c r="C1436" s="1" t="s">
        <v>11</v>
      </c>
      <c r="D1436" s="5">
        <v>3550</v>
      </c>
    </row>
    <row r="1437" spans="1:4" x14ac:dyDescent="0.25">
      <c r="A1437" s="1">
        <v>94</v>
      </c>
      <c r="B1437" s="2">
        <v>41971</v>
      </c>
      <c r="C1437" s="1" t="s">
        <v>182</v>
      </c>
      <c r="D1437" s="5">
        <v>1275</v>
      </c>
    </row>
    <row r="1438" spans="1:4" x14ac:dyDescent="0.25">
      <c r="A1438" s="1">
        <v>149</v>
      </c>
      <c r="B1438" s="2">
        <v>41971</v>
      </c>
      <c r="C1438" s="1" t="s">
        <v>241</v>
      </c>
      <c r="D1438" s="5">
        <v>637.5</v>
      </c>
    </row>
    <row r="1439" spans="1:4" x14ac:dyDescent="0.25">
      <c r="A1439" s="1">
        <v>185</v>
      </c>
      <c r="B1439" s="2">
        <v>41971</v>
      </c>
      <c r="C1439" s="1" t="s">
        <v>17</v>
      </c>
      <c r="D1439" s="5">
        <v>314.32</v>
      </c>
    </row>
    <row r="1440" spans="1:4" x14ac:dyDescent="0.25">
      <c r="A1440" s="1">
        <v>261</v>
      </c>
      <c r="B1440" s="2">
        <v>41971</v>
      </c>
      <c r="C1440" s="1" t="s">
        <v>22</v>
      </c>
      <c r="D1440" s="5">
        <v>2204</v>
      </c>
    </row>
    <row r="1441" spans="1:4" x14ac:dyDescent="0.25">
      <c r="A1441" s="1">
        <v>355</v>
      </c>
      <c r="B1441" s="2">
        <v>41971</v>
      </c>
      <c r="C1441" s="1" t="s">
        <v>108</v>
      </c>
      <c r="D1441" s="5">
        <v>93.46</v>
      </c>
    </row>
    <row r="1442" spans="1:4" x14ac:dyDescent="0.25">
      <c r="A1442" s="1">
        <v>458</v>
      </c>
      <c r="B1442" s="2">
        <v>41971</v>
      </c>
      <c r="C1442" s="1" t="s">
        <v>185</v>
      </c>
      <c r="D1442" s="5">
        <v>-382.5</v>
      </c>
    </row>
    <row r="1443" spans="1:4" x14ac:dyDescent="0.25">
      <c r="A1443" s="1">
        <v>530</v>
      </c>
      <c r="B1443" s="2">
        <v>41971</v>
      </c>
      <c r="C1443" s="1" t="s">
        <v>35</v>
      </c>
      <c r="D1443" s="5">
        <v>700</v>
      </c>
    </row>
    <row r="1444" spans="1:4" x14ac:dyDescent="0.25">
      <c r="A1444" s="1">
        <v>576</v>
      </c>
      <c r="B1444" s="2">
        <v>41971</v>
      </c>
      <c r="C1444" s="1" t="s">
        <v>36</v>
      </c>
      <c r="D1444" s="5">
        <v>1143.55</v>
      </c>
    </row>
    <row r="1445" spans="1:4" x14ac:dyDescent="0.25">
      <c r="A1445" s="1">
        <v>583</v>
      </c>
      <c r="B1445" s="2">
        <v>41971</v>
      </c>
      <c r="C1445" s="1" t="s">
        <v>124</v>
      </c>
      <c r="D1445" s="5">
        <v>586.5</v>
      </c>
    </row>
    <row r="1446" spans="1:4" x14ac:dyDescent="0.25">
      <c r="A1446" s="1">
        <v>616</v>
      </c>
      <c r="B1446" s="2">
        <v>41971</v>
      </c>
      <c r="C1446" s="1" t="s">
        <v>40</v>
      </c>
      <c r="D1446" s="5">
        <v>637.5</v>
      </c>
    </row>
    <row r="1447" spans="1:4" x14ac:dyDescent="0.25">
      <c r="A1447" s="1">
        <v>621</v>
      </c>
      <c r="B1447" s="2">
        <v>41971</v>
      </c>
      <c r="C1447" s="1" t="s">
        <v>224</v>
      </c>
      <c r="D1447" s="5">
        <v>612</v>
      </c>
    </row>
    <row r="1448" spans="1:4" x14ac:dyDescent="0.25">
      <c r="A1448" s="1">
        <v>657</v>
      </c>
      <c r="B1448" s="2">
        <v>41971</v>
      </c>
      <c r="C1448" s="1" t="s">
        <v>131</v>
      </c>
      <c r="D1448" s="5">
        <v>280.5</v>
      </c>
    </row>
    <row r="1449" spans="1:4" x14ac:dyDescent="0.25">
      <c r="A1449" s="1">
        <v>691</v>
      </c>
      <c r="B1449" s="2">
        <v>41971</v>
      </c>
      <c r="C1449" s="1" t="s">
        <v>49</v>
      </c>
      <c r="D1449" s="5">
        <v>1175.73</v>
      </c>
    </row>
    <row r="1450" spans="1:4" x14ac:dyDescent="0.25">
      <c r="A1450" s="1">
        <v>702</v>
      </c>
      <c r="B1450" s="2">
        <v>41971</v>
      </c>
      <c r="C1450" s="1" t="s">
        <v>134</v>
      </c>
      <c r="D1450" s="5">
        <v>1800</v>
      </c>
    </row>
    <row r="1451" spans="1:4" x14ac:dyDescent="0.25">
      <c r="A1451" s="1">
        <v>771</v>
      </c>
      <c r="B1451" s="2">
        <v>41971</v>
      </c>
      <c r="C1451" s="1" t="s">
        <v>57</v>
      </c>
      <c r="D1451" s="5">
        <v>816</v>
      </c>
    </row>
    <row r="1452" spans="1:4" x14ac:dyDescent="0.25">
      <c r="A1452" s="1">
        <v>784</v>
      </c>
      <c r="B1452" s="2">
        <v>41971</v>
      </c>
      <c r="C1452" s="1" t="s">
        <v>58</v>
      </c>
      <c r="D1452" s="5">
        <v>331.5</v>
      </c>
    </row>
    <row r="1453" spans="1:4" x14ac:dyDescent="0.25">
      <c r="A1453" s="1">
        <v>813</v>
      </c>
      <c r="B1453" s="2">
        <v>41971</v>
      </c>
      <c r="C1453" s="1" t="s">
        <v>252</v>
      </c>
      <c r="D1453" s="5">
        <v>950</v>
      </c>
    </row>
    <row r="1454" spans="1:4" x14ac:dyDescent="0.25">
      <c r="A1454" s="1">
        <v>834</v>
      </c>
      <c r="B1454" s="2">
        <v>41971</v>
      </c>
      <c r="C1454" s="1" t="s">
        <v>253</v>
      </c>
      <c r="D1454" s="5">
        <v>1300.5</v>
      </c>
    </row>
    <row r="1455" spans="1:4" x14ac:dyDescent="0.25">
      <c r="A1455" s="1">
        <v>854</v>
      </c>
      <c r="B1455" s="2">
        <v>41971</v>
      </c>
      <c r="C1455" s="1" t="s">
        <v>251</v>
      </c>
      <c r="D1455" s="5">
        <v>500</v>
      </c>
    </row>
    <row r="1456" spans="1:4" x14ac:dyDescent="0.25">
      <c r="A1456" s="1">
        <v>27</v>
      </c>
      <c r="B1456" s="2">
        <v>41978</v>
      </c>
      <c r="C1456" s="1" t="s">
        <v>159</v>
      </c>
      <c r="D1456" s="5">
        <v>2000</v>
      </c>
    </row>
    <row r="1457" spans="1:4" x14ac:dyDescent="0.25">
      <c r="A1457" s="1">
        <v>28</v>
      </c>
      <c r="B1457" s="2">
        <v>41978</v>
      </c>
      <c r="C1457" s="1" t="s">
        <v>6</v>
      </c>
      <c r="D1457" s="5">
        <v>400</v>
      </c>
    </row>
    <row r="1458" spans="1:4" x14ac:dyDescent="0.25">
      <c r="A1458" s="1">
        <v>41</v>
      </c>
      <c r="B1458" s="2">
        <v>41978</v>
      </c>
      <c r="C1458" s="1" t="s">
        <v>10</v>
      </c>
      <c r="D1458" s="5">
        <v>3168.44</v>
      </c>
    </row>
    <row r="1459" spans="1:4" x14ac:dyDescent="0.25">
      <c r="A1459" s="1">
        <v>77</v>
      </c>
      <c r="B1459" s="2">
        <v>41978</v>
      </c>
      <c r="C1459" s="1" t="s">
        <v>11</v>
      </c>
      <c r="D1459" s="5">
        <v>825</v>
      </c>
    </row>
    <row r="1460" spans="1:4" x14ac:dyDescent="0.25">
      <c r="A1460" s="1">
        <v>217</v>
      </c>
      <c r="B1460" s="2">
        <v>41978</v>
      </c>
      <c r="C1460" s="1" t="s">
        <v>97</v>
      </c>
      <c r="D1460" s="5">
        <v>700</v>
      </c>
    </row>
    <row r="1461" spans="1:4" x14ac:dyDescent="0.25">
      <c r="A1461" s="1">
        <v>218</v>
      </c>
      <c r="B1461" s="2">
        <v>41978</v>
      </c>
      <c r="C1461" s="1" t="s">
        <v>233</v>
      </c>
      <c r="D1461" s="5">
        <v>1632</v>
      </c>
    </row>
    <row r="1462" spans="1:4" x14ac:dyDescent="0.25">
      <c r="A1462" s="1">
        <v>250</v>
      </c>
      <c r="B1462" s="2">
        <v>41978</v>
      </c>
      <c r="C1462" s="1" t="s">
        <v>212</v>
      </c>
      <c r="D1462" s="5">
        <v>382.5</v>
      </c>
    </row>
    <row r="1463" spans="1:4" x14ac:dyDescent="0.25">
      <c r="A1463" s="1">
        <v>261</v>
      </c>
      <c r="B1463" s="2">
        <v>41978</v>
      </c>
      <c r="C1463" s="1" t="s">
        <v>22</v>
      </c>
      <c r="D1463" s="5">
        <v>3104.5</v>
      </c>
    </row>
    <row r="1464" spans="1:4" x14ac:dyDescent="0.25">
      <c r="A1464" s="1">
        <v>268</v>
      </c>
      <c r="B1464" s="2">
        <v>41978</v>
      </c>
      <c r="C1464" s="1" t="s">
        <v>162</v>
      </c>
      <c r="D1464" s="5">
        <v>1300</v>
      </c>
    </row>
    <row r="1465" spans="1:4" x14ac:dyDescent="0.25">
      <c r="A1465" s="1">
        <v>329</v>
      </c>
      <c r="B1465" s="2">
        <v>41978</v>
      </c>
      <c r="C1465" s="1" t="s">
        <v>199</v>
      </c>
      <c r="D1465" s="5">
        <v>775</v>
      </c>
    </row>
    <row r="1466" spans="1:4" x14ac:dyDescent="0.25">
      <c r="A1466" s="1">
        <v>332</v>
      </c>
      <c r="B1466" s="2">
        <v>41978</v>
      </c>
      <c r="C1466" s="1" t="s">
        <v>27</v>
      </c>
      <c r="D1466" s="5">
        <v>2269.5</v>
      </c>
    </row>
    <row r="1467" spans="1:4" x14ac:dyDescent="0.25">
      <c r="A1467" s="1">
        <v>365</v>
      </c>
      <c r="B1467" s="2">
        <v>41978</v>
      </c>
      <c r="C1467" s="1" t="s">
        <v>29</v>
      </c>
      <c r="D1467" s="5">
        <v>714</v>
      </c>
    </row>
    <row r="1468" spans="1:4" x14ac:dyDescent="0.25">
      <c r="A1468" s="1">
        <v>410</v>
      </c>
      <c r="B1468" s="2">
        <v>41978</v>
      </c>
      <c r="C1468" s="1" t="s">
        <v>32</v>
      </c>
      <c r="D1468" s="5">
        <v>-204.15</v>
      </c>
    </row>
    <row r="1469" spans="1:4" x14ac:dyDescent="0.25">
      <c r="A1469" s="1">
        <v>468</v>
      </c>
      <c r="B1469" s="2">
        <v>41978</v>
      </c>
      <c r="C1469" s="1"/>
      <c r="D1469" s="5">
        <v>3725</v>
      </c>
    </row>
    <row r="1470" spans="1:4" x14ac:dyDescent="0.25">
      <c r="A1470" s="1">
        <v>475</v>
      </c>
      <c r="B1470" s="2">
        <v>41978</v>
      </c>
      <c r="C1470" s="1" t="s">
        <v>120</v>
      </c>
      <c r="D1470" s="5">
        <v>775</v>
      </c>
    </row>
    <row r="1471" spans="1:4" x14ac:dyDescent="0.25">
      <c r="A1471" s="1">
        <v>576</v>
      </c>
      <c r="B1471" s="2">
        <v>41978</v>
      </c>
      <c r="C1471" s="1" t="s">
        <v>36</v>
      </c>
      <c r="D1471" s="5">
        <v>-204.15</v>
      </c>
    </row>
    <row r="1472" spans="1:4" x14ac:dyDescent="0.25">
      <c r="A1472" s="1">
        <v>580</v>
      </c>
      <c r="B1472" s="2">
        <v>41978</v>
      </c>
      <c r="C1472" s="1" t="s">
        <v>37</v>
      </c>
      <c r="D1472" s="5">
        <v>500</v>
      </c>
    </row>
    <row r="1473" spans="1:4" x14ac:dyDescent="0.25">
      <c r="A1473" s="1">
        <v>593</v>
      </c>
      <c r="B1473" s="2">
        <v>41978</v>
      </c>
      <c r="C1473" s="1" t="s">
        <v>38</v>
      </c>
      <c r="D1473" s="5">
        <v>51</v>
      </c>
    </row>
    <row r="1474" spans="1:4" x14ac:dyDescent="0.25">
      <c r="A1474" s="1">
        <v>598</v>
      </c>
      <c r="B1474" s="2">
        <v>41978</v>
      </c>
      <c r="C1474" s="1" t="s">
        <v>247</v>
      </c>
      <c r="D1474" s="5">
        <v>800</v>
      </c>
    </row>
    <row r="1475" spans="1:4" x14ac:dyDescent="0.25">
      <c r="A1475" s="1">
        <v>626</v>
      </c>
      <c r="B1475" s="2">
        <v>41978</v>
      </c>
      <c r="C1475" s="1" t="s">
        <v>187</v>
      </c>
      <c r="D1475" s="5">
        <v>847.18</v>
      </c>
    </row>
    <row r="1476" spans="1:4" x14ac:dyDescent="0.25">
      <c r="A1476" s="1">
        <v>632</v>
      </c>
      <c r="B1476" s="2">
        <v>41978</v>
      </c>
      <c r="C1476" s="1" t="s">
        <v>41</v>
      </c>
      <c r="D1476" s="5">
        <v>925</v>
      </c>
    </row>
    <row r="1477" spans="1:4" x14ac:dyDescent="0.25">
      <c r="A1477" s="1">
        <v>638</v>
      </c>
      <c r="B1477" s="2">
        <v>41978</v>
      </c>
      <c r="C1477" s="1" t="s">
        <v>248</v>
      </c>
      <c r="D1477" s="5">
        <v>637.5</v>
      </c>
    </row>
    <row r="1478" spans="1:4" x14ac:dyDescent="0.25">
      <c r="A1478" s="1">
        <v>646</v>
      </c>
      <c r="B1478" s="2">
        <v>41978</v>
      </c>
      <c r="C1478" s="1" t="s">
        <v>203</v>
      </c>
      <c r="D1478" s="5">
        <v>850</v>
      </c>
    </row>
    <row r="1479" spans="1:4" x14ac:dyDescent="0.25">
      <c r="A1479" s="1">
        <v>648</v>
      </c>
      <c r="B1479" s="2">
        <v>41978</v>
      </c>
      <c r="C1479" s="1" t="s">
        <v>42</v>
      </c>
      <c r="D1479" s="5">
        <v>750</v>
      </c>
    </row>
    <row r="1480" spans="1:4" x14ac:dyDescent="0.25">
      <c r="A1480" s="1">
        <v>657</v>
      </c>
      <c r="B1480" s="2">
        <v>41978</v>
      </c>
      <c r="C1480" s="1" t="s">
        <v>131</v>
      </c>
      <c r="D1480" s="5">
        <v>325</v>
      </c>
    </row>
    <row r="1481" spans="1:4" x14ac:dyDescent="0.25">
      <c r="A1481" s="1">
        <v>664</v>
      </c>
      <c r="B1481" s="2">
        <v>41978</v>
      </c>
      <c r="C1481" s="1" t="s">
        <v>226</v>
      </c>
      <c r="D1481" s="5">
        <v>1000</v>
      </c>
    </row>
    <row r="1482" spans="1:4" x14ac:dyDescent="0.25">
      <c r="A1482" s="1">
        <v>672</v>
      </c>
      <c r="B1482" s="2">
        <v>41978</v>
      </c>
      <c r="C1482" s="1" t="s">
        <v>168</v>
      </c>
      <c r="D1482" s="5">
        <v>770.38</v>
      </c>
    </row>
    <row r="1483" spans="1:4" x14ac:dyDescent="0.25">
      <c r="A1483" s="1">
        <v>674</v>
      </c>
      <c r="B1483" s="2">
        <v>41978</v>
      </c>
      <c r="C1483" s="1" t="s">
        <v>45</v>
      </c>
      <c r="D1483" s="5">
        <v>1150</v>
      </c>
    </row>
    <row r="1484" spans="1:4" x14ac:dyDescent="0.25">
      <c r="A1484" s="1">
        <v>676</v>
      </c>
      <c r="B1484" s="2">
        <v>41978</v>
      </c>
      <c r="C1484" s="1" t="s">
        <v>246</v>
      </c>
      <c r="D1484" s="5">
        <v>816</v>
      </c>
    </row>
    <row r="1485" spans="1:4" x14ac:dyDescent="0.25">
      <c r="A1485" s="1">
        <v>679</v>
      </c>
      <c r="B1485" s="2">
        <v>41978</v>
      </c>
      <c r="C1485" s="1" t="s">
        <v>169</v>
      </c>
      <c r="D1485" s="5">
        <v>535.5</v>
      </c>
    </row>
    <row r="1486" spans="1:4" x14ac:dyDescent="0.25">
      <c r="A1486" s="1">
        <v>687</v>
      </c>
      <c r="B1486" s="2">
        <v>41978</v>
      </c>
      <c r="C1486" s="1" t="s">
        <v>133</v>
      </c>
      <c r="D1486" s="5">
        <v>650</v>
      </c>
    </row>
    <row r="1487" spans="1:4" x14ac:dyDescent="0.25">
      <c r="A1487" s="1">
        <v>690</v>
      </c>
      <c r="B1487" s="2">
        <v>41978</v>
      </c>
      <c r="C1487" s="1" t="s">
        <v>48</v>
      </c>
      <c r="D1487" s="5">
        <v>625</v>
      </c>
    </row>
    <row r="1488" spans="1:4" x14ac:dyDescent="0.25">
      <c r="A1488" s="1">
        <v>702</v>
      </c>
      <c r="B1488" s="2">
        <v>41978</v>
      </c>
      <c r="C1488" s="1" t="s">
        <v>134</v>
      </c>
      <c r="D1488" s="5">
        <v>625</v>
      </c>
    </row>
    <row r="1489" spans="1:4" x14ac:dyDescent="0.25">
      <c r="A1489" s="1">
        <v>711</v>
      </c>
      <c r="B1489" s="2">
        <v>41978</v>
      </c>
      <c r="C1489" s="1" t="s">
        <v>190</v>
      </c>
      <c r="D1489" s="5">
        <v>600</v>
      </c>
    </row>
    <row r="1490" spans="1:4" x14ac:dyDescent="0.25">
      <c r="A1490" s="1">
        <v>714</v>
      </c>
      <c r="B1490" s="2">
        <v>41978</v>
      </c>
      <c r="C1490" s="1" t="s">
        <v>171</v>
      </c>
      <c r="D1490" s="5">
        <v>500</v>
      </c>
    </row>
    <row r="1491" spans="1:4" x14ac:dyDescent="0.25">
      <c r="A1491" s="1">
        <v>725</v>
      </c>
      <c r="B1491" s="2">
        <v>41978</v>
      </c>
      <c r="C1491" s="1" t="s">
        <v>229</v>
      </c>
      <c r="D1491" s="5">
        <v>500</v>
      </c>
    </row>
    <row r="1492" spans="1:4" x14ac:dyDescent="0.25">
      <c r="A1492" s="1">
        <v>726</v>
      </c>
      <c r="B1492" s="2">
        <v>41978</v>
      </c>
      <c r="C1492" s="1" t="s">
        <v>53</v>
      </c>
      <c r="D1492" s="5">
        <v>300</v>
      </c>
    </row>
    <row r="1493" spans="1:4" x14ac:dyDescent="0.25">
      <c r="A1493" s="1">
        <v>752</v>
      </c>
      <c r="B1493" s="2">
        <v>41978</v>
      </c>
      <c r="C1493" s="1" t="s">
        <v>249</v>
      </c>
      <c r="D1493" s="5">
        <v>325</v>
      </c>
    </row>
    <row r="1494" spans="1:4" x14ac:dyDescent="0.25">
      <c r="A1494" s="1">
        <v>753</v>
      </c>
      <c r="B1494" s="2">
        <v>41978</v>
      </c>
      <c r="C1494" s="1" t="s">
        <v>172</v>
      </c>
      <c r="D1494" s="5">
        <v>3510</v>
      </c>
    </row>
    <row r="1495" spans="1:4" x14ac:dyDescent="0.25">
      <c r="A1495" s="1">
        <v>764</v>
      </c>
      <c r="B1495" s="2">
        <v>41978</v>
      </c>
      <c r="C1495" s="1" t="s">
        <v>208</v>
      </c>
      <c r="D1495" s="5">
        <v>975</v>
      </c>
    </row>
    <row r="1496" spans="1:4" x14ac:dyDescent="0.25">
      <c r="A1496" s="1">
        <v>771</v>
      </c>
      <c r="B1496" s="2">
        <v>41978</v>
      </c>
      <c r="C1496" s="1" t="s">
        <v>57</v>
      </c>
      <c r="D1496" s="5">
        <v>714</v>
      </c>
    </row>
    <row r="1497" spans="1:4" x14ac:dyDescent="0.25">
      <c r="A1497" s="1">
        <v>790</v>
      </c>
      <c r="B1497" s="2">
        <v>41978</v>
      </c>
      <c r="C1497" s="1" t="s">
        <v>209</v>
      </c>
      <c r="D1497" s="5">
        <v>918</v>
      </c>
    </row>
    <row r="1498" spans="1:4" x14ac:dyDescent="0.25">
      <c r="A1498" s="1">
        <v>807</v>
      </c>
      <c r="B1498" s="2">
        <v>41978</v>
      </c>
      <c r="C1498" s="1" t="s">
        <v>230</v>
      </c>
      <c r="D1498" s="5">
        <v>1727.5</v>
      </c>
    </row>
    <row r="1499" spans="1:4" x14ac:dyDescent="0.25">
      <c r="A1499" s="1">
        <v>817</v>
      </c>
      <c r="B1499" s="2">
        <v>41978</v>
      </c>
      <c r="C1499" s="1" t="s">
        <v>60</v>
      </c>
      <c r="D1499" s="5">
        <v>994.5</v>
      </c>
    </row>
    <row r="1500" spans="1:4" x14ac:dyDescent="0.25">
      <c r="A1500" s="1">
        <v>842</v>
      </c>
      <c r="B1500" s="2">
        <v>41978</v>
      </c>
      <c r="C1500" s="1" t="s">
        <v>250</v>
      </c>
      <c r="D1500" s="5">
        <v>3000</v>
      </c>
    </row>
    <row r="1501" spans="1:4" x14ac:dyDescent="0.25">
      <c r="A1501" s="1">
        <v>844</v>
      </c>
      <c r="B1501" s="2">
        <v>41978</v>
      </c>
      <c r="C1501" s="1" t="s">
        <v>192</v>
      </c>
      <c r="D1501" s="5">
        <v>375</v>
      </c>
    </row>
    <row r="1502" spans="1:4" x14ac:dyDescent="0.25">
      <c r="A1502" s="1">
        <v>854</v>
      </c>
      <c r="B1502" s="2">
        <v>41978</v>
      </c>
      <c r="C1502" s="1" t="s">
        <v>251</v>
      </c>
      <c r="D1502" s="5">
        <v>994.5</v>
      </c>
    </row>
    <row r="1503" spans="1:4" x14ac:dyDescent="0.25">
      <c r="A1503" s="1">
        <v>890</v>
      </c>
      <c r="B1503" s="2">
        <v>41978</v>
      </c>
      <c r="C1503" s="1" t="s">
        <v>140</v>
      </c>
      <c r="D1503" s="5">
        <v>3000</v>
      </c>
    </row>
    <row r="1504" spans="1:4" x14ac:dyDescent="0.25">
      <c r="A1504" s="1">
        <v>890</v>
      </c>
      <c r="B1504" s="2">
        <v>41981</v>
      </c>
      <c r="C1504" s="1" t="s">
        <v>140</v>
      </c>
      <c r="D1504" s="5">
        <v>3000</v>
      </c>
    </row>
    <row r="1505" spans="1:4" x14ac:dyDescent="0.25">
      <c r="A1505" s="1">
        <v>782</v>
      </c>
      <c r="B1505" s="2">
        <v>41982</v>
      </c>
      <c r="C1505" s="1" t="s">
        <v>173</v>
      </c>
      <c r="D1505" s="5">
        <v>1000</v>
      </c>
    </row>
    <row r="1506" spans="1:4" x14ac:dyDescent="0.25">
      <c r="A1506" s="1">
        <v>714</v>
      </c>
      <c r="B1506" s="2">
        <v>41983</v>
      </c>
      <c r="C1506" s="1" t="s">
        <v>171</v>
      </c>
      <c r="D1506" s="5">
        <v>1000</v>
      </c>
    </row>
    <row r="1507" spans="1:4" x14ac:dyDescent="0.25">
      <c r="A1507" s="1">
        <v>37</v>
      </c>
      <c r="B1507" s="2">
        <v>41985</v>
      </c>
      <c r="C1507" s="1" t="s">
        <v>77</v>
      </c>
      <c r="D1507" s="5">
        <v>50</v>
      </c>
    </row>
    <row r="1508" spans="1:4" x14ac:dyDescent="0.25">
      <c r="A1508" s="1">
        <v>41</v>
      </c>
      <c r="B1508" s="2">
        <v>41985</v>
      </c>
      <c r="C1508" s="1" t="s">
        <v>10</v>
      </c>
      <c r="D1508" s="5">
        <v>775</v>
      </c>
    </row>
    <row r="1509" spans="1:4" x14ac:dyDescent="0.25">
      <c r="A1509" s="1">
        <v>47</v>
      </c>
      <c r="B1509" s="2">
        <v>41985</v>
      </c>
      <c r="C1509" s="1" t="s">
        <v>239</v>
      </c>
      <c r="D1509" s="5">
        <v>900</v>
      </c>
    </row>
    <row r="1510" spans="1:4" x14ac:dyDescent="0.25">
      <c r="A1510" s="1">
        <v>77</v>
      </c>
      <c r="B1510" s="2">
        <v>41985</v>
      </c>
      <c r="C1510" s="1" t="s">
        <v>11</v>
      </c>
      <c r="D1510" s="5">
        <v>1025</v>
      </c>
    </row>
    <row r="1511" spans="1:4" x14ac:dyDescent="0.25">
      <c r="A1511" s="1">
        <v>99</v>
      </c>
      <c r="B1511" s="2">
        <v>41985</v>
      </c>
      <c r="C1511" s="1" t="s">
        <v>240</v>
      </c>
      <c r="D1511" s="5">
        <v>1029.5</v>
      </c>
    </row>
    <row r="1512" spans="1:4" x14ac:dyDescent="0.25">
      <c r="A1512" s="1">
        <v>109</v>
      </c>
      <c r="B1512" s="2">
        <v>41985</v>
      </c>
      <c r="C1512" s="1" t="s">
        <v>82</v>
      </c>
      <c r="D1512" s="5">
        <v>-1324</v>
      </c>
    </row>
    <row r="1513" spans="1:4" x14ac:dyDescent="0.25">
      <c r="A1513" s="1">
        <v>149</v>
      </c>
      <c r="B1513" s="2">
        <v>41985</v>
      </c>
      <c r="C1513" s="1" t="s">
        <v>241</v>
      </c>
      <c r="D1513" s="5">
        <v>547</v>
      </c>
    </row>
    <row r="1514" spans="1:4" x14ac:dyDescent="0.25">
      <c r="A1514" s="1">
        <v>152</v>
      </c>
      <c r="B1514" s="2">
        <v>41985</v>
      </c>
      <c r="C1514" s="1" t="s">
        <v>90</v>
      </c>
      <c r="D1514" s="5">
        <v>314.5</v>
      </c>
    </row>
    <row r="1515" spans="1:4" x14ac:dyDescent="0.25">
      <c r="A1515" s="1">
        <v>153</v>
      </c>
      <c r="B1515" s="2">
        <v>41985</v>
      </c>
      <c r="C1515" s="1" t="s">
        <v>216</v>
      </c>
      <c r="D1515" s="5">
        <v>714</v>
      </c>
    </row>
    <row r="1516" spans="1:4" x14ac:dyDescent="0.25">
      <c r="A1516" s="1">
        <v>184</v>
      </c>
      <c r="B1516" s="2">
        <v>41985</v>
      </c>
      <c r="C1516" s="1" t="s">
        <v>217</v>
      </c>
      <c r="D1516" s="5">
        <v>1224</v>
      </c>
    </row>
    <row r="1517" spans="1:4" x14ac:dyDescent="0.25">
      <c r="A1517" s="1">
        <v>203</v>
      </c>
      <c r="B1517" s="2">
        <v>41985</v>
      </c>
      <c r="C1517" s="1" t="s">
        <v>95</v>
      </c>
      <c r="D1517" s="5">
        <v>3675</v>
      </c>
    </row>
    <row r="1518" spans="1:4" x14ac:dyDescent="0.25">
      <c r="A1518" s="1">
        <v>204</v>
      </c>
      <c r="B1518" s="2">
        <v>41985</v>
      </c>
      <c r="C1518" s="1" t="s">
        <v>242</v>
      </c>
      <c r="D1518" s="5">
        <v>554.72</v>
      </c>
    </row>
    <row r="1519" spans="1:4" x14ac:dyDescent="0.25">
      <c r="A1519" s="1">
        <v>211</v>
      </c>
      <c r="B1519" s="2">
        <v>41985</v>
      </c>
      <c r="C1519" s="1" t="s">
        <v>96</v>
      </c>
      <c r="D1519" s="5">
        <v>1440.5</v>
      </c>
    </row>
    <row r="1520" spans="1:4" x14ac:dyDescent="0.25">
      <c r="A1520" s="1">
        <v>218</v>
      </c>
      <c r="B1520" s="2">
        <v>41985</v>
      </c>
      <c r="C1520" s="1" t="s">
        <v>233</v>
      </c>
      <c r="D1520" s="5">
        <v>1587.5</v>
      </c>
    </row>
    <row r="1521" spans="1:4" x14ac:dyDescent="0.25">
      <c r="A1521" s="1">
        <v>219</v>
      </c>
      <c r="B1521" s="2">
        <v>41985</v>
      </c>
      <c r="C1521" s="1" t="s">
        <v>98</v>
      </c>
      <c r="D1521" s="5">
        <v>561</v>
      </c>
    </row>
    <row r="1522" spans="1:4" x14ac:dyDescent="0.25">
      <c r="A1522" s="1">
        <v>261</v>
      </c>
      <c r="B1522" s="2">
        <v>41985</v>
      </c>
      <c r="C1522" s="1" t="s">
        <v>22</v>
      </c>
      <c r="D1522" s="5">
        <v>3537</v>
      </c>
    </row>
    <row r="1523" spans="1:4" x14ac:dyDescent="0.25">
      <c r="A1523" s="1">
        <v>282</v>
      </c>
      <c r="B1523" s="2">
        <v>41985</v>
      </c>
      <c r="C1523" s="1" t="s">
        <v>23</v>
      </c>
      <c r="D1523" s="5">
        <v>2585</v>
      </c>
    </row>
    <row r="1524" spans="1:4" x14ac:dyDescent="0.25">
      <c r="A1524" s="1">
        <v>295</v>
      </c>
      <c r="B1524" s="2">
        <v>41985</v>
      </c>
      <c r="C1524" s="1" t="s">
        <v>103</v>
      </c>
      <c r="D1524" s="5">
        <v>725</v>
      </c>
    </row>
    <row r="1525" spans="1:4" x14ac:dyDescent="0.25">
      <c r="A1525" s="1">
        <v>308</v>
      </c>
      <c r="B1525" s="2">
        <v>41985</v>
      </c>
      <c r="C1525" s="1" t="s">
        <v>243</v>
      </c>
      <c r="D1525" s="5">
        <v>525</v>
      </c>
    </row>
    <row r="1526" spans="1:4" x14ac:dyDescent="0.25">
      <c r="A1526" s="1">
        <v>322</v>
      </c>
      <c r="B1526" s="2">
        <v>41985</v>
      </c>
      <c r="C1526" s="1" t="s">
        <v>198</v>
      </c>
      <c r="D1526" s="5">
        <v>600</v>
      </c>
    </row>
    <row r="1527" spans="1:4" x14ac:dyDescent="0.25">
      <c r="A1527" s="1">
        <v>326</v>
      </c>
      <c r="B1527" s="2">
        <v>41985</v>
      </c>
      <c r="C1527" s="1" t="s">
        <v>25</v>
      </c>
      <c r="D1527" s="5">
        <v>100</v>
      </c>
    </row>
    <row r="1528" spans="1:4" x14ac:dyDescent="0.25">
      <c r="A1528" s="1">
        <v>355</v>
      </c>
      <c r="B1528" s="2">
        <v>41985</v>
      </c>
      <c r="C1528" s="1" t="s">
        <v>108</v>
      </c>
      <c r="D1528" s="5">
        <v>214.98</v>
      </c>
    </row>
    <row r="1529" spans="1:4" x14ac:dyDescent="0.25">
      <c r="A1529" s="1">
        <v>365</v>
      </c>
      <c r="B1529" s="2">
        <v>41985</v>
      </c>
      <c r="C1529" s="1" t="s">
        <v>29</v>
      </c>
      <c r="D1529" s="5">
        <v>1025</v>
      </c>
    </row>
    <row r="1530" spans="1:4" x14ac:dyDescent="0.25">
      <c r="A1530" s="1">
        <v>382</v>
      </c>
      <c r="B1530" s="2">
        <v>41985</v>
      </c>
      <c r="C1530" s="1" t="s">
        <v>164</v>
      </c>
      <c r="D1530" s="5">
        <v>1725</v>
      </c>
    </row>
    <row r="1531" spans="1:4" x14ac:dyDescent="0.25">
      <c r="A1531" s="1">
        <v>389</v>
      </c>
      <c r="B1531" s="2">
        <v>41985</v>
      </c>
      <c r="C1531" s="1" t="s">
        <v>31</v>
      </c>
      <c r="D1531" s="5">
        <v>2632.5</v>
      </c>
    </row>
    <row r="1532" spans="1:4" x14ac:dyDescent="0.25">
      <c r="A1532" s="1">
        <v>392</v>
      </c>
      <c r="B1532" s="2">
        <v>41985</v>
      </c>
      <c r="C1532" s="1" t="s">
        <v>111</v>
      </c>
      <c r="D1532" s="5">
        <v>2650</v>
      </c>
    </row>
    <row r="1533" spans="1:4" x14ac:dyDescent="0.25">
      <c r="A1533" s="1">
        <v>410</v>
      </c>
      <c r="B1533" s="2">
        <v>41985</v>
      </c>
      <c r="C1533" s="1" t="s">
        <v>32</v>
      </c>
      <c r="D1533" s="5">
        <v>768.15</v>
      </c>
    </row>
    <row r="1534" spans="1:4" x14ac:dyDescent="0.25">
      <c r="A1534" s="1">
        <v>422</v>
      </c>
      <c r="B1534" s="2">
        <v>41985</v>
      </c>
      <c r="C1534" s="1" t="s">
        <v>165</v>
      </c>
      <c r="D1534" s="5">
        <v>500</v>
      </c>
    </row>
    <row r="1535" spans="1:4" x14ac:dyDescent="0.25">
      <c r="A1535" s="1">
        <v>468</v>
      </c>
      <c r="B1535" s="2">
        <v>41985</v>
      </c>
      <c r="C1535" s="1"/>
      <c r="D1535" s="5">
        <v>1125</v>
      </c>
    </row>
    <row r="1536" spans="1:4" x14ac:dyDescent="0.25">
      <c r="A1536" s="1">
        <v>475</v>
      </c>
      <c r="B1536" s="2">
        <v>41985</v>
      </c>
      <c r="C1536" s="1" t="s">
        <v>120</v>
      </c>
      <c r="D1536" s="5">
        <v>2450</v>
      </c>
    </row>
    <row r="1537" spans="1:4" x14ac:dyDescent="0.25">
      <c r="A1537" s="1">
        <v>551</v>
      </c>
      <c r="B1537" s="2">
        <v>41985</v>
      </c>
      <c r="C1537" s="1" t="s">
        <v>166</v>
      </c>
      <c r="D1537" s="5">
        <v>300.3</v>
      </c>
    </row>
    <row r="1538" spans="1:4" x14ac:dyDescent="0.25">
      <c r="A1538" s="1">
        <v>580</v>
      </c>
      <c r="B1538" s="2">
        <v>41985</v>
      </c>
      <c r="C1538" s="1" t="s">
        <v>37</v>
      </c>
      <c r="D1538" s="5">
        <v>750</v>
      </c>
    </row>
    <row r="1539" spans="1:4" x14ac:dyDescent="0.25">
      <c r="A1539" s="1">
        <v>582</v>
      </c>
      <c r="B1539" s="2">
        <v>41985</v>
      </c>
      <c r="C1539" s="1" t="s">
        <v>123</v>
      </c>
      <c r="D1539" s="5">
        <v>943.5</v>
      </c>
    </row>
    <row r="1540" spans="1:4" x14ac:dyDescent="0.25">
      <c r="A1540" s="1">
        <v>583</v>
      </c>
      <c r="B1540" s="2">
        <v>41985</v>
      </c>
      <c r="C1540" s="1" t="s">
        <v>124</v>
      </c>
      <c r="D1540" s="5">
        <v>841.5</v>
      </c>
    </row>
    <row r="1541" spans="1:4" x14ac:dyDescent="0.25">
      <c r="A1541" s="1">
        <v>593</v>
      </c>
      <c r="B1541" s="2">
        <v>41985</v>
      </c>
      <c r="C1541" s="1" t="s">
        <v>38</v>
      </c>
      <c r="D1541" s="5">
        <v>0</v>
      </c>
    </row>
    <row r="1542" spans="1:4" x14ac:dyDescent="0.25">
      <c r="A1542" s="1">
        <v>600</v>
      </c>
      <c r="B1542" s="2">
        <v>41985</v>
      </c>
      <c r="C1542" s="1" t="s">
        <v>244</v>
      </c>
      <c r="D1542" s="5">
        <v>561</v>
      </c>
    </row>
    <row r="1543" spans="1:4" x14ac:dyDescent="0.25">
      <c r="A1543" s="1">
        <v>612</v>
      </c>
      <c r="B1543" s="2">
        <v>41985</v>
      </c>
      <c r="C1543" s="1" t="s">
        <v>245</v>
      </c>
      <c r="D1543" s="5">
        <v>-382.5</v>
      </c>
    </row>
    <row r="1544" spans="1:4" x14ac:dyDescent="0.25">
      <c r="A1544" s="1">
        <v>632</v>
      </c>
      <c r="B1544" s="2">
        <v>41985</v>
      </c>
      <c r="C1544" s="1" t="s">
        <v>41</v>
      </c>
      <c r="D1544" s="5">
        <v>816</v>
      </c>
    </row>
    <row r="1545" spans="1:4" x14ac:dyDescent="0.25">
      <c r="A1545" s="1">
        <v>659</v>
      </c>
      <c r="B1545" s="2">
        <v>41985</v>
      </c>
      <c r="C1545" s="1" t="s">
        <v>44</v>
      </c>
      <c r="D1545" s="5">
        <v>2147.5</v>
      </c>
    </row>
    <row r="1546" spans="1:4" x14ac:dyDescent="0.25">
      <c r="A1546" s="1">
        <v>664</v>
      </c>
      <c r="B1546" s="2">
        <v>41985</v>
      </c>
      <c r="C1546" s="1" t="s">
        <v>226</v>
      </c>
      <c r="D1546" s="5">
        <v>250</v>
      </c>
    </row>
    <row r="1547" spans="1:4" x14ac:dyDescent="0.25">
      <c r="A1547" s="1">
        <v>672</v>
      </c>
      <c r="B1547" s="2">
        <v>41985</v>
      </c>
      <c r="C1547" s="1" t="s">
        <v>168</v>
      </c>
      <c r="D1547" s="5">
        <v>250</v>
      </c>
    </row>
    <row r="1548" spans="1:4" x14ac:dyDescent="0.25">
      <c r="A1548" s="1">
        <v>676</v>
      </c>
      <c r="B1548" s="2">
        <v>41985</v>
      </c>
      <c r="C1548" s="1" t="s">
        <v>246</v>
      </c>
      <c r="D1548" s="5">
        <v>459</v>
      </c>
    </row>
    <row r="1549" spans="1:4" x14ac:dyDescent="0.25">
      <c r="A1549" s="1">
        <v>714</v>
      </c>
      <c r="B1549" s="2">
        <v>41985</v>
      </c>
      <c r="C1549" s="1" t="s">
        <v>171</v>
      </c>
      <c r="D1549" s="5">
        <v>500</v>
      </c>
    </row>
    <row r="1550" spans="1:4" x14ac:dyDescent="0.25">
      <c r="A1550" s="1">
        <v>715</v>
      </c>
      <c r="B1550" s="2">
        <v>41985</v>
      </c>
      <c r="C1550" s="1" t="s">
        <v>235</v>
      </c>
      <c r="D1550" s="5">
        <v>725</v>
      </c>
    </row>
    <row r="1551" spans="1:4" x14ac:dyDescent="0.25">
      <c r="A1551" s="1">
        <v>722</v>
      </c>
      <c r="B1551" s="2">
        <v>41985</v>
      </c>
      <c r="C1551" s="1" t="s">
        <v>135</v>
      </c>
      <c r="D1551" s="5">
        <v>976</v>
      </c>
    </row>
    <row r="1552" spans="1:4" x14ac:dyDescent="0.25">
      <c r="A1552" s="1">
        <v>725</v>
      </c>
      <c r="B1552" s="2">
        <v>41985</v>
      </c>
      <c r="C1552" s="1" t="s">
        <v>229</v>
      </c>
      <c r="D1552" s="5">
        <v>1250</v>
      </c>
    </row>
    <row r="1553" spans="1:4" x14ac:dyDescent="0.25">
      <c r="A1553" s="1">
        <v>726</v>
      </c>
      <c r="B1553" s="2">
        <v>41985</v>
      </c>
      <c r="C1553" s="1" t="s">
        <v>53</v>
      </c>
      <c r="D1553" s="5">
        <v>510</v>
      </c>
    </row>
    <row r="1554" spans="1:4" x14ac:dyDescent="0.25">
      <c r="A1554" s="1">
        <v>750</v>
      </c>
      <c r="B1554" s="2">
        <v>41985</v>
      </c>
      <c r="C1554" s="1" t="s">
        <v>55</v>
      </c>
      <c r="D1554" s="5">
        <v>500</v>
      </c>
    </row>
    <row r="1555" spans="1:4" x14ac:dyDescent="0.25">
      <c r="A1555" s="1">
        <v>771</v>
      </c>
      <c r="B1555" s="2">
        <v>41985</v>
      </c>
      <c r="C1555" s="1" t="s">
        <v>57</v>
      </c>
      <c r="D1555" s="5">
        <v>1351.5</v>
      </c>
    </row>
    <row r="1556" spans="1:4" x14ac:dyDescent="0.25">
      <c r="A1556" s="1">
        <v>782</v>
      </c>
      <c r="B1556" s="2">
        <v>41985</v>
      </c>
      <c r="C1556" s="1" t="s">
        <v>173</v>
      </c>
      <c r="D1556" s="5">
        <v>1250</v>
      </c>
    </row>
    <row r="1557" spans="1:4" x14ac:dyDescent="0.25">
      <c r="A1557" s="1">
        <v>817</v>
      </c>
      <c r="B1557" s="2">
        <v>41985</v>
      </c>
      <c r="C1557" s="1" t="s">
        <v>60</v>
      </c>
      <c r="D1557" s="5">
        <v>510</v>
      </c>
    </row>
    <row r="1558" spans="1:4" x14ac:dyDescent="0.25">
      <c r="A1558" s="1">
        <v>823</v>
      </c>
      <c r="B1558" s="2">
        <v>41985</v>
      </c>
      <c r="C1558" s="1" t="s">
        <v>61</v>
      </c>
      <c r="D1558" s="5">
        <v>80.33</v>
      </c>
    </row>
    <row r="1559" spans="1:4" x14ac:dyDescent="0.25">
      <c r="A1559" s="1">
        <v>875</v>
      </c>
      <c r="B1559" s="2">
        <v>41985</v>
      </c>
      <c r="C1559" s="1" t="s">
        <v>65</v>
      </c>
      <c r="D1559" s="5">
        <v>250</v>
      </c>
    </row>
    <row r="1560" spans="1:4" x14ac:dyDescent="0.25">
      <c r="A1560" s="1">
        <v>890</v>
      </c>
      <c r="B1560" s="2">
        <v>41985</v>
      </c>
      <c r="C1560" s="1" t="s">
        <v>140</v>
      </c>
      <c r="D1560" s="5">
        <v>3000</v>
      </c>
    </row>
    <row r="1561" spans="1:4" x14ac:dyDescent="0.25">
      <c r="A1561" s="1">
        <v>631</v>
      </c>
      <c r="B1561" s="2">
        <v>41988</v>
      </c>
      <c r="C1561" s="1" t="s">
        <v>202</v>
      </c>
      <c r="D1561" s="5">
        <v>288.04000000000002</v>
      </c>
    </row>
    <row r="1562" spans="1:4" x14ac:dyDescent="0.25">
      <c r="A1562" s="1">
        <v>890</v>
      </c>
      <c r="B1562" s="2">
        <v>41988</v>
      </c>
      <c r="C1562" s="1" t="s">
        <v>140</v>
      </c>
      <c r="D1562" s="5">
        <v>1000</v>
      </c>
    </row>
    <row r="1563" spans="1:4" x14ac:dyDescent="0.25">
      <c r="A1563" s="1">
        <v>27</v>
      </c>
      <c r="B1563" s="2">
        <v>41992</v>
      </c>
      <c r="C1563" s="1" t="s">
        <v>159</v>
      </c>
      <c r="D1563" s="5">
        <v>9196.94</v>
      </c>
    </row>
    <row r="1564" spans="1:4" x14ac:dyDescent="0.25">
      <c r="A1564" s="1">
        <v>202</v>
      </c>
      <c r="B1564" s="2">
        <v>41992</v>
      </c>
      <c r="C1564" s="1" t="s">
        <v>237</v>
      </c>
      <c r="D1564" s="5">
        <v>411.15</v>
      </c>
    </row>
    <row r="1565" spans="1:4" x14ac:dyDescent="0.25">
      <c r="A1565" s="1">
        <v>203</v>
      </c>
      <c r="B1565" s="2">
        <v>41992</v>
      </c>
      <c r="C1565" s="1" t="s">
        <v>95</v>
      </c>
      <c r="D1565" s="5">
        <v>11341.02</v>
      </c>
    </row>
    <row r="1566" spans="1:4" x14ac:dyDescent="0.25">
      <c r="A1566" s="1">
        <v>261</v>
      </c>
      <c r="B1566" s="2">
        <v>41992</v>
      </c>
      <c r="C1566" s="1" t="s">
        <v>22</v>
      </c>
      <c r="D1566" s="5">
        <v>2315</v>
      </c>
    </row>
    <row r="1567" spans="1:4" x14ac:dyDescent="0.25">
      <c r="A1567" s="1">
        <v>358</v>
      </c>
      <c r="B1567" s="2">
        <v>41992</v>
      </c>
      <c r="C1567" s="1" t="s">
        <v>179</v>
      </c>
      <c r="D1567" s="5">
        <v>883.45</v>
      </c>
    </row>
    <row r="1568" spans="1:4" x14ac:dyDescent="0.25">
      <c r="A1568" s="1">
        <v>389</v>
      </c>
      <c r="B1568" s="2">
        <v>41992</v>
      </c>
      <c r="C1568" s="1" t="s">
        <v>31</v>
      </c>
      <c r="D1568" s="5">
        <v>1641.23</v>
      </c>
    </row>
    <row r="1569" spans="1:4" x14ac:dyDescent="0.25">
      <c r="A1569" s="1">
        <v>392</v>
      </c>
      <c r="B1569" s="2">
        <v>41992</v>
      </c>
      <c r="C1569" s="1" t="s">
        <v>111</v>
      </c>
      <c r="D1569" s="5">
        <v>1450</v>
      </c>
    </row>
    <row r="1570" spans="1:4" x14ac:dyDescent="0.25">
      <c r="A1570" s="1">
        <v>410</v>
      </c>
      <c r="B1570" s="2">
        <v>41992</v>
      </c>
      <c r="C1570" s="1" t="s">
        <v>32</v>
      </c>
      <c r="D1570" s="5">
        <v>1472.49</v>
      </c>
    </row>
    <row r="1571" spans="1:4" x14ac:dyDescent="0.25">
      <c r="A1571" s="1">
        <v>468</v>
      </c>
      <c r="B1571" s="2">
        <v>41992</v>
      </c>
      <c r="C1571" s="1"/>
      <c r="D1571" s="5">
        <v>2700</v>
      </c>
    </row>
    <row r="1572" spans="1:4" x14ac:dyDescent="0.25">
      <c r="A1572" s="1">
        <v>475</v>
      </c>
      <c r="B1572" s="2">
        <v>41992</v>
      </c>
      <c r="C1572" s="1" t="s">
        <v>120</v>
      </c>
      <c r="D1572" s="5">
        <v>1400</v>
      </c>
    </row>
    <row r="1573" spans="1:4" x14ac:dyDescent="0.25">
      <c r="A1573" s="1">
        <v>530</v>
      </c>
      <c r="B1573" s="2">
        <v>41992</v>
      </c>
      <c r="C1573" s="1" t="s">
        <v>35</v>
      </c>
      <c r="D1573" s="5">
        <v>1000</v>
      </c>
    </row>
    <row r="1574" spans="1:4" x14ac:dyDescent="0.25">
      <c r="A1574" s="1">
        <v>576</v>
      </c>
      <c r="B1574" s="2">
        <v>41992</v>
      </c>
      <c r="C1574" s="1" t="s">
        <v>36</v>
      </c>
      <c r="D1574" s="5">
        <v>250</v>
      </c>
    </row>
    <row r="1575" spans="1:4" x14ac:dyDescent="0.25">
      <c r="A1575" s="1">
        <v>607</v>
      </c>
      <c r="B1575" s="2">
        <v>41992</v>
      </c>
      <c r="C1575" s="1" t="s">
        <v>39</v>
      </c>
      <c r="D1575" s="5">
        <v>250</v>
      </c>
    </row>
    <row r="1576" spans="1:4" x14ac:dyDescent="0.25">
      <c r="A1576" s="1">
        <v>646</v>
      </c>
      <c r="B1576" s="2">
        <v>41992</v>
      </c>
      <c r="C1576" s="1" t="s">
        <v>203</v>
      </c>
      <c r="D1576" s="5">
        <v>775</v>
      </c>
    </row>
    <row r="1577" spans="1:4" x14ac:dyDescent="0.25">
      <c r="A1577" s="1">
        <v>659</v>
      </c>
      <c r="B1577" s="2">
        <v>41992</v>
      </c>
      <c r="C1577" s="1" t="s">
        <v>44</v>
      </c>
      <c r="D1577" s="5">
        <v>845</v>
      </c>
    </row>
    <row r="1578" spans="1:4" x14ac:dyDescent="0.25">
      <c r="A1578" s="1">
        <v>664</v>
      </c>
      <c r="B1578" s="2">
        <v>41992</v>
      </c>
      <c r="C1578" s="1" t="s">
        <v>226</v>
      </c>
      <c r="D1578" s="5">
        <v>750</v>
      </c>
    </row>
    <row r="1579" spans="1:4" x14ac:dyDescent="0.25">
      <c r="A1579" s="1">
        <v>702</v>
      </c>
      <c r="B1579" s="2">
        <v>41992</v>
      </c>
      <c r="C1579" s="1" t="s">
        <v>134</v>
      </c>
      <c r="D1579" s="5">
        <v>500</v>
      </c>
    </row>
    <row r="1580" spans="1:4" x14ac:dyDescent="0.25">
      <c r="A1580" s="1">
        <v>831</v>
      </c>
      <c r="B1580" s="2">
        <v>41992</v>
      </c>
      <c r="C1580" s="1" t="s">
        <v>238</v>
      </c>
      <c r="D1580" s="5">
        <v>212.5</v>
      </c>
    </row>
    <row r="1581" spans="1:4" x14ac:dyDescent="0.25">
      <c r="A1581" s="1">
        <v>28</v>
      </c>
      <c r="B1581" s="2">
        <v>41995</v>
      </c>
      <c r="C1581" s="1" t="s">
        <v>6</v>
      </c>
      <c r="D1581" s="5">
        <v>1000</v>
      </c>
    </row>
    <row r="1582" spans="1:4" x14ac:dyDescent="0.25">
      <c r="A1582" s="1">
        <v>37</v>
      </c>
      <c r="B1582" s="2">
        <v>41995</v>
      </c>
      <c r="C1582" s="1" t="s">
        <v>77</v>
      </c>
      <c r="D1582" s="5">
        <v>6819.74</v>
      </c>
    </row>
    <row r="1583" spans="1:4" x14ac:dyDescent="0.25">
      <c r="A1583" s="1">
        <v>85</v>
      </c>
      <c r="B1583" s="2">
        <v>41995</v>
      </c>
      <c r="C1583" s="1" t="s">
        <v>79</v>
      </c>
      <c r="D1583" s="5">
        <v>396.38</v>
      </c>
    </row>
    <row r="1584" spans="1:4" x14ac:dyDescent="0.25">
      <c r="A1584" s="1">
        <v>114</v>
      </c>
      <c r="B1584" s="2">
        <v>41995</v>
      </c>
      <c r="C1584" s="1" t="s">
        <v>215</v>
      </c>
      <c r="D1584" s="5">
        <v>1057.5</v>
      </c>
    </row>
    <row r="1585" spans="1:4" x14ac:dyDescent="0.25">
      <c r="A1585" s="1">
        <v>117</v>
      </c>
      <c r="B1585" s="2">
        <v>41995</v>
      </c>
      <c r="C1585" s="1" t="s">
        <v>232</v>
      </c>
      <c r="D1585" s="5">
        <v>75</v>
      </c>
    </row>
    <row r="1586" spans="1:4" x14ac:dyDescent="0.25">
      <c r="A1586" s="1">
        <v>217</v>
      </c>
      <c r="B1586" s="2">
        <v>41995</v>
      </c>
      <c r="C1586" s="1" t="s">
        <v>97</v>
      </c>
      <c r="D1586" s="5">
        <v>5165.28</v>
      </c>
    </row>
    <row r="1587" spans="1:4" x14ac:dyDescent="0.25">
      <c r="A1587" s="1">
        <v>218</v>
      </c>
      <c r="B1587" s="2">
        <v>41995</v>
      </c>
      <c r="C1587" s="1" t="s">
        <v>233</v>
      </c>
      <c r="D1587" s="5">
        <v>230.9</v>
      </c>
    </row>
    <row r="1588" spans="1:4" x14ac:dyDescent="0.25">
      <c r="A1588" s="1">
        <v>255</v>
      </c>
      <c r="B1588" s="2">
        <v>41995</v>
      </c>
      <c r="C1588" s="1" t="s">
        <v>21</v>
      </c>
      <c r="D1588" s="5">
        <v>1050</v>
      </c>
    </row>
    <row r="1589" spans="1:4" x14ac:dyDescent="0.25">
      <c r="A1589" s="1">
        <v>268</v>
      </c>
      <c r="B1589" s="2">
        <v>41995</v>
      </c>
      <c r="C1589" s="1" t="s">
        <v>162</v>
      </c>
      <c r="D1589" s="5">
        <v>0</v>
      </c>
    </row>
    <row r="1590" spans="1:4" x14ac:dyDescent="0.25">
      <c r="A1590" s="1">
        <v>329</v>
      </c>
      <c r="B1590" s="2">
        <v>41995</v>
      </c>
      <c r="C1590" s="1" t="s">
        <v>199</v>
      </c>
      <c r="D1590" s="5">
        <v>229.5</v>
      </c>
    </row>
    <row r="1591" spans="1:4" x14ac:dyDescent="0.25">
      <c r="A1591" s="1">
        <v>373</v>
      </c>
      <c r="B1591" s="2">
        <v>41995</v>
      </c>
      <c r="C1591" s="1" t="s">
        <v>234</v>
      </c>
      <c r="D1591" s="5">
        <v>500</v>
      </c>
    </row>
    <row r="1592" spans="1:4" x14ac:dyDescent="0.25">
      <c r="A1592" s="1">
        <v>378</v>
      </c>
      <c r="B1592" s="2">
        <v>41995</v>
      </c>
      <c r="C1592" s="1" t="s">
        <v>109</v>
      </c>
      <c r="D1592" s="5">
        <v>1875</v>
      </c>
    </row>
    <row r="1593" spans="1:4" x14ac:dyDescent="0.25">
      <c r="A1593" s="1">
        <v>401</v>
      </c>
      <c r="B1593" s="2">
        <v>41995</v>
      </c>
      <c r="C1593" s="1" t="s">
        <v>184</v>
      </c>
      <c r="D1593" s="5">
        <v>78.17</v>
      </c>
    </row>
    <row r="1594" spans="1:4" x14ac:dyDescent="0.25">
      <c r="A1594" s="1">
        <v>407</v>
      </c>
      <c r="B1594" s="2">
        <v>41995</v>
      </c>
      <c r="C1594" s="1" t="s">
        <v>113</v>
      </c>
      <c r="D1594" s="5">
        <v>475.35</v>
      </c>
    </row>
    <row r="1595" spans="1:4" x14ac:dyDescent="0.25">
      <c r="A1595" s="1">
        <v>422</v>
      </c>
      <c r="B1595" s="2">
        <v>41995</v>
      </c>
      <c r="C1595" s="1" t="s">
        <v>165</v>
      </c>
      <c r="D1595" s="5">
        <v>500</v>
      </c>
    </row>
    <row r="1596" spans="1:4" x14ac:dyDescent="0.25">
      <c r="A1596" s="1">
        <v>438</v>
      </c>
      <c r="B1596" s="2">
        <v>41995</v>
      </c>
      <c r="C1596" s="1" t="s">
        <v>115</v>
      </c>
      <c r="D1596" s="5">
        <v>525</v>
      </c>
    </row>
    <row r="1597" spans="1:4" x14ac:dyDescent="0.25">
      <c r="A1597" s="1">
        <v>580</v>
      </c>
      <c r="B1597" s="2">
        <v>41995</v>
      </c>
      <c r="C1597" s="1" t="s">
        <v>37</v>
      </c>
      <c r="D1597" s="5">
        <v>500</v>
      </c>
    </row>
    <row r="1598" spans="1:4" x14ac:dyDescent="0.25">
      <c r="A1598" s="1">
        <v>599</v>
      </c>
      <c r="B1598" s="2">
        <v>41995</v>
      </c>
      <c r="C1598" s="1" t="s">
        <v>125</v>
      </c>
      <c r="D1598" s="5">
        <v>500</v>
      </c>
    </row>
    <row r="1599" spans="1:4" x14ac:dyDescent="0.25">
      <c r="A1599" s="1">
        <v>672</v>
      </c>
      <c r="B1599" s="2">
        <v>41995</v>
      </c>
      <c r="C1599" s="1" t="s">
        <v>168</v>
      </c>
      <c r="D1599" s="5">
        <v>500</v>
      </c>
    </row>
    <row r="1600" spans="1:4" x14ac:dyDescent="0.25">
      <c r="A1600" s="1">
        <v>679</v>
      </c>
      <c r="B1600" s="2">
        <v>41995</v>
      </c>
      <c r="C1600" s="1" t="s">
        <v>169</v>
      </c>
      <c r="D1600" s="5">
        <v>2602.2399999999998</v>
      </c>
    </row>
    <row r="1601" spans="1:4" x14ac:dyDescent="0.25">
      <c r="A1601" s="1">
        <v>699</v>
      </c>
      <c r="B1601" s="2">
        <v>41995</v>
      </c>
      <c r="C1601" s="1" t="s">
        <v>189</v>
      </c>
      <c r="D1601" s="5">
        <v>250</v>
      </c>
    </row>
    <row r="1602" spans="1:4" x14ac:dyDescent="0.25">
      <c r="A1602" s="1">
        <v>708</v>
      </c>
      <c r="B1602" s="2">
        <v>41995</v>
      </c>
      <c r="C1602" s="1" t="s">
        <v>206</v>
      </c>
      <c r="D1602" s="5">
        <v>816</v>
      </c>
    </row>
    <row r="1603" spans="1:4" x14ac:dyDescent="0.25">
      <c r="A1603" s="1">
        <v>714</v>
      </c>
      <c r="B1603" s="2">
        <v>41995</v>
      </c>
      <c r="C1603" s="1" t="s">
        <v>171</v>
      </c>
      <c r="D1603" s="5">
        <v>1000</v>
      </c>
    </row>
    <row r="1604" spans="1:4" x14ac:dyDescent="0.25">
      <c r="A1604" s="1">
        <v>715</v>
      </c>
      <c r="B1604" s="2">
        <v>41995</v>
      </c>
      <c r="C1604" s="1" t="s">
        <v>235</v>
      </c>
      <c r="D1604" s="5">
        <v>250</v>
      </c>
    </row>
    <row r="1605" spans="1:4" x14ac:dyDescent="0.25">
      <c r="A1605" s="1">
        <v>722</v>
      </c>
      <c r="B1605" s="2">
        <v>41995</v>
      </c>
      <c r="C1605" s="1" t="s">
        <v>135</v>
      </c>
      <c r="D1605" s="5">
        <v>520</v>
      </c>
    </row>
    <row r="1606" spans="1:4" x14ac:dyDescent="0.25">
      <c r="A1606" s="1">
        <v>782</v>
      </c>
      <c r="B1606" s="2">
        <v>41995</v>
      </c>
      <c r="C1606" s="1" t="s">
        <v>173</v>
      </c>
      <c r="D1606" s="5">
        <v>1000</v>
      </c>
    </row>
    <row r="1607" spans="1:4" x14ac:dyDescent="0.25">
      <c r="A1607" s="1">
        <v>790</v>
      </c>
      <c r="B1607" s="2">
        <v>41995</v>
      </c>
      <c r="C1607" s="1" t="s">
        <v>209</v>
      </c>
      <c r="D1607" s="5">
        <v>750</v>
      </c>
    </row>
    <row r="1608" spans="1:4" x14ac:dyDescent="0.25">
      <c r="A1608" s="1">
        <v>807</v>
      </c>
      <c r="B1608" s="2">
        <v>41995</v>
      </c>
      <c r="C1608" s="1" t="s">
        <v>230</v>
      </c>
      <c r="D1608" s="5">
        <v>1358</v>
      </c>
    </row>
    <row r="1609" spans="1:4" x14ac:dyDescent="0.25">
      <c r="A1609" s="1">
        <v>832</v>
      </c>
      <c r="B1609" s="2">
        <v>41995</v>
      </c>
      <c r="C1609" s="1" t="s">
        <v>137</v>
      </c>
      <c r="D1609" s="5">
        <v>250</v>
      </c>
    </row>
    <row r="1610" spans="1:4" x14ac:dyDescent="0.25">
      <c r="A1610" s="1">
        <v>841</v>
      </c>
      <c r="B1610" s="2">
        <v>41995</v>
      </c>
      <c r="C1610" s="1" t="s">
        <v>236</v>
      </c>
      <c r="D1610" s="5">
        <v>250</v>
      </c>
    </row>
    <row r="1611" spans="1:4" x14ac:dyDescent="0.25">
      <c r="A1611" s="1">
        <v>857</v>
      </c>
      <c r="B1611" s="2">
        <v>41995</v>
      </c>
      <c r="C1611" s="1" t="s">
        <v>138</v>
      </c>
      <c r="D1611" s="5">
        <v>750</v>
      </c>
    </row>
    <row r="1612" spans="1:4" x14ac:dyDescent="0.25">
      <c r="A1612" s="1">
        <v>904</v>
      </c>
      <c r="B1612" s="2">
        <v>41995</v>
      </c>
      <c r="C1612" s="1" t="s">
        <v>214</v>
      </c>
      <c r="D1612" s="5">
        <v>5000</v>
      </c>
    </row>
    <row r="1613" spans="1:4" x14ac:dyDescent="0.25">
      <c r="A1613" s="1">
        <v>672</v>
      </c>
      <c r="B1613" s="2">
        <v>41997</v>
      </c>
      <c r="C1613" s="1" t="s">
        <v>168</v>
      </c>
      <c r="D1613" s="5">
        <v>1000</v>
      </c>
    </row>
    <row r="1614" spans="1:4" x14ac:dyDescent="0.25">
      <c r="A1614" s="1">
        <v>37</v>
      </c>
      <c r="B1614" s="2">
        <v>41999</v>
      </c>
      <c r="C1614" s="1" t="s">
        <v>77</v>
      </c>
      <c r="D1614" s="5">
        <v>2525</v>
      </c>
    </row>
    <row r="1615" spans="1:4" x14ac:dyDescent="0.25">
      <c r="A1615" s="1">
        <v>41</v>
      </c>
      <c r="B1615" s="2">
        <v>41999</v>
      </c>
      <c r="C1615" s="1" t="s">
        <v>10</v>
      </c>
      <c r="D1615" s="5">
        <v>500</v>
      </c>
    </row>
    <row r="1616" spans="1:4" x14ac:dyDescent="0.25">
      <c r="A1616" s="1">
        <v>63</v>
      </c>
      <c r="B1616" s="2">
        <v>41999</v>
      </c>
      <c r="C1616" s="1" t="s">
        <v>181</v>
      </c>
      <c r="D1616" s="5">
        <v>715.15</v>
      </c>
    </row>
    <row r="1617" spans="1:4" x14ac:dyDescent="0.25">
      <c r="A1617" s="1">
        <v>77</v>
      </c>
      <c r="B1617" s="2">
        <v>41999</v>
      </c>
      <c r="C1617" s="1" t="s">
        <v>11</v>
      </c>
      <c r="D1617" s="5">
        <v>2255</v>
      </c>
    </row>
    <row r="1618" spans="1:4" x14ac:dyDescent="0.25">
      <c r="A1618" s="1">
        <v>85</v>
      </c>
      <c r="B1618" s="2">
        <v>41999</v>
      </c>
      <c r="C1618" s="1" t="s">
        <v>79</v>
      </c>
      <c r="D1618" s="5">
        <v>621</v>
      </c>
    </row>
    <row r="1619" spans="1:4" x14ac:dyDescent="0.25">
      <c r="A1619" s="1">
        <v>109</v>
      </c>
      <c r="B1619" s="2">
        <v>41999</v>
      </c>
      <c r="C1619" s="1" t="s">
        <v>82</v>
      </c>
      <c r="D1619" s="5">
        <v>745</v>
      </c>
    </row>
    <row r="1620" spans="1:4" x14ac:dyDescent="0.25">
      <c r="A1620" s="1">
        <v>113</v>
      </c>
      <c r="B1620" s="2">
        <v>41999</v>
      </c>
      <c r="C1620" s="1" t="s">
        <v>84</v>
      </c>
      <c r="D1620" s="5">
        <v>-85.5</v>
      </c>
    </row>
    <row r="1621" spans="1:4" x14ac:dyDescent="0.25">
      <c r="A1621" s="1">
        <v>114</v>
      </c>
      <c r="B1621" s="2">
        <v>41999</v>
      </c>
      <c r="C1621" s="1" t="s">
        <v>215</v>
      </c>
      <c r="D1621" s="5">
        <v>700</v>
      </c>
    </row>
    <row r="1622" spans="1:4" x14ac:dyDescent="0.25">
      <c r="A1622" s="1">
        <v>141</v>
      </c>
      <c r="B1622" s="2">
        <v>41999</v>
      </c>
      <c r="C1622" s="1" t="s">
        <v>196</v>
      </c>
      <c r="D1622" s="5">
        <v>165</v>
      </c>
    </row>
    <row r="1623" spans="1:4" x14ac:dyDescent="0.25">
      <c r="A1623" s="1">
        <v>153</v>
      </c>
      <c r="B1623" s="2">
        <v>41999</v>
      </c>
      <c r="C1623" s="1" t="s">
        <v>216</v>
      </c>
      <c r="D1623" s="5">
        <v>1275</v>
      </c>
    </row>
    <row r="1624" spans="1:4" x14ac:dyDescent="0.25">
      <c r="A1624" s="1">
        <v>161</v>
      </c>
      <c r="B1624" s="2">
        <v>41999</v>
      </c>
      <c r="C1624" s="1" t="s">
        <v>183</v>
      </c>
      <c r="D1624" s="5">
        <v>-528</v>
      </c>
    </row>
    <row r="1625" spans="1:4" x14ac:dyDescent="0.25">
      <c r="A1625" s="1">
        <v>179</v>
      </c>
      <c r="B1625" s="2">
        <v>41999</v>
      </c>
      <c r="C1625" s="1" t="s">
        <v>197</v>
      </c>
      <c r="D1625" s="5">
        <v>116</v>
      </c>
    </row>
    <row r="1626" spans="1:4" x14ac:dyDescent="0.25">
      <c r="A1626" s="1">
        <v>184</v>
      </c>
      <c r="B1626" s="2">
        <v>41999</v>
      </c>
      <c r="C1626" s="1" t="s">
        <v>217</v>
      </c>
      <c r="D1626" s="5">
        <v>2310</v>
      </c>
    </row>
    <row r="1627" spans="1:4" x14ac:dyDescent="0.25">
      <c r="A1627" s="1">
        <v>203</v>
      </c>
      <c r="B1627" s="2">
        <v>41999</v>
      </c>
      <c r="C1627" s="1" t="s">
        <v>95</v>
      </c>
      <c r="D1627" s="5">
        <v>2249</v>
      </c>
    </row>
    <row r="1628" spans="1:4" x14ac:dyDescent="0.25">
      <c r="A1628" s="1">
        <v>211</v>
      </c>
      <c r="B1628" s="2">
        <v>41999</v>
      </c>
      <c r="C1628" s="1" t="s">
        <v>96</v>
      </c>
      <c r="D1628" s="5">
        <v>350</v>
      </c>
    </row>
    <row r="1629" spans="1:4" x14ac:dyDescent="0.25">
      <c r="A1629" s="1">
        <v>255</v>
      </c>
      <c r="B1629" s="2">
        <v>41999</v>
      </c>
      <c r="C1629" s="1" t="s">
        <v>21</v>
      </c>
      <c r="D1629" s="5">
        <v>623</v>
      </c>
    </row>
    <row r="1630" spans="1:4" x14ac:dyDescent="0.25">
      <c r="A1630" s="1">
        <v>261</v>
      </c>
      <c r="B1630" s="2">
        <v>41999</v>
      </c>
      <c r="C1630" s="1" t="s">
        <v>22</v>
      </c>
      <c r="D1630" s="5">
        <v>11124.25</v>
      </c>
    </row>
    <row r="1631" spans="1:4" x14ac:dyDescent="0.25">
      <c r="A1631" s="1">
        <v>268</v>
      </c>
      <c r="B1631" s="2">
        <v>41999</v>
      </c>
      <c r="C1631" s="1" t="s">
        <v>162</v>
      </c>
      <c r="D1631" s="5">
        <v>3450</v>
      </c>
    </row>
    <row r="1632" spans="1:4" x14ac:dyDescent="0.25">
      <c r="A1632" s="1">
        <v>302</v>
      </c>
      <c r="B1632" s="2">
        <v>41999</v>
      </c>
      <c r="C1632" s="1" t="s">
        <v>104</v>
      </c>
      <c r="D1632" s="5">
        <v>250</v>
      </c>
    </row>
    <row r="1633" spans="1:4" x14ac:dyDescent="0.25">
      <c r="A1633" s="1">
        <v>303</v>
      </c>
      <c r="B1633" s="2">
        <v>41999</v>
      </c>
      <c r="C1633" s="1" t="s">
        <v>218</v>
      </c>
      <c r="D1633" s="5">
        <v>475</v>
      </c>
    </row>
    <row r="1634" spans="1:4" x14ac:dyDescent="0.25">
      <c r="A1634" s="1">
        <v>322</v>
      </c>
      <c r="B1634" s="2">
        <v>41999</v>
      </c>
      <c r="C1634" s="1" t="s">
        <v>198</v>
      </c>
      <c r="D1634" s="5">
        <v>76.5</v>
      </c>
    </row>
    <row r="1635" spans="1:4" x14ac:dyDescent="0.25">
      <c r="A1635" s="1">
        <v>326</v>
      </c>
      <c r="B1635" s="2">
        <v>41999</v>
      </c>
      <c r="C1635" s="1" t="s">
        <v>25</v>
      </c>
      <c r="D1635" s="5">
        <v>1500</v>
      </c>
    </row>
    <row r="1636" spans="1:4" x14ac:dyDescent="0.25">
      <c r="A1636" s="1">
        <v>340</v>
      </c>
      <c r="B1636" s="2">
        <v>41999</v>
      </c>
      <c r="C1636" s="1" t="s">
        <v>219</v>
      </c>
      <c r="D1636" s="5">
        <v>500</v>
      </c>
    </row>
    <row r="1637" spans="1:4" x14ac:dyDescent="0.25">
      <c r="A1637" s="1">
        <v>343</v>
      </c>
      <c r="B1637" s="2">
        <v>41999</v>
      </c>
      <c r="C1637" s="1" t="s">
        <v>28</v>
      </c>
      <c r="D1637" s="5">
        <v>362.01</v>
      </c>
    </row>
    <row r="1638" spans="1:4" x14ac:dyDescent="0.25">
      <c r="A1638" s="1">
        <v>365</v>
      </c>
      <c r="B1638" s="2">
        <v>41999</v>
      </c>
      <c r="C1638" s="1" t="s">
        <v>29</v>
      </c>
      <c r="D1638" s="5">
        <v>5544</v>
      </c>
    </row>
    <row r="1639" spans="1:4" x14ac:dyDescent="0.25">
      <c r="A1639" s="1">
        <v>382</v>
      </c>
      <c r="B1639" s="2">
        <v>41999</v>
      </c>
      <c r="C1639" s="1" t="s">
        <v>164</v>
      </c>
      <c r="D1639" s="5">
        <v>2850</v>
      </c>
    </row>
    <row r="1640" spans="1:4" x14ac:dyDescent="0.25">
      <c r="A1640" s="1">
        <v>383</v>
      </c>
      <c r="B1640" s="2">
        <v>41999</v>
      </c>
      <c r="C1640" s="1" t="s">
        <v>220</v>
      </c>
      <c r="D1640" s="5">
        <v>475</v>
      </c>
    </row>
    <row r="1641" spans="1:4" x14ac:dyDescent="0.25">
      <c r="A1641" s="1">
        <v>389</v>
      </c>
      <c r="B1641" s="2">
        <v>41999</v>
      </c>
      <c r="C1641" s="1" t="s">
        <v>31</v>
      </c>
      <c r="D1641" s="5">
        <v>1825</v>
      </c>
    </row>
    <row r="1642" spans="1:4" x14ac:dyDescent="0.25">
      <c r="A1642" s="1">
        <v>392</v>
      </c>
      <c r="B1642" s="2">
        <v>41999</v>
      </c>
      <c r="C1642" s="1" t="s">
        <v>111</v>
      </c>
      <c r="D1642" s="5">
        <v>428</v>
      </c>
    </row>
    <row r="1643" spans="1:4" x14ac:dyDescent="0.25">
      <c r="A1643" s="1">
        <v>403</v>
      </c>
      <c r="B1643" s="2">
        <v>41999</v>
      </c>
      <c r="C1643" s="1" t="s">
        <v>221</v>
      </c>
      <c r="D1643" s="5">
        <v>1108.3699999999999</v>
      </c>
    </row>
    <row r="1644" spans="1:4" x14ac:dyDescent="0.25">
      <c r="A1644" s="1">
        <v>407</v>
      </c>
      <c r="B1644" s="2">
        <v>41999</v>
      </c>
      <c r="C1644" s="1" t="s">
        <v>113</v>
      </c>
      <c r="D1644" s="5">
        <v>185</v>
      </c>
    </row>
    <row r="1645" spans="1:4" x14ac:dyDescent="0.25">
      <c r="A1645" s="1">
        <v>410</v>
      </c>
      <c r="B1645" s="2">
        <v>41999</v>
      </c>
      <c r="C1645" s="1" t="s">
        <v>32</v>
      </c>
      <c r="D1645" s="5">
        <v>-204.15</v>
      </c>
    </row>
    <row r="1646" spans="1:4" x14ac:dyDescent="0.25">
      <c r="A1646" s="1">
        <v>422</v>
      </c>
      <c r="B1646" s="2">
        <v>41999</v>
      </c>
      <c r="C1646" s="1" t="s">
        <v>165</v>
      </c>
      <c r="D1646" s="5">
        <v>500</v>
      </c>
    </row>
    <row r="1647" spans="1:4" x14ac:dyDescent="0.25">
      <c r="A1647" s="1">
        <v>428</v>
      </c>
      <c r="B1647" s="2">
        <v>41999</v>
      </c>
      <c r="C1647" s="1" t="s">
        <v>213</v>
      </c>
      <c r="D1647" s="5">
        <v>1219</v>
      </c>
    </row>
    <row r="1648" spans="1:4" x14ac:dyDescent="0.25">
      <c r="A1648" s="1">
        <v>438</v>
      </c>
      <c r="B1648" s="2">
        <v>41999</v>
      </c>
      <c r="C1648" s="1" t="s">
        <v>115</v>
      </c>
      <c r="D1648" s="5">
        <v>1382.23</v>
      </c>
    </row>
    <row r="1649" spans="1:4" x14ac:dyDescent="0.25">
      <c r="A1649" s="1">
        <v>468</v>
      </c>
      <c r="B1649" s="2">
        <v>41999</v>
      </c>
      <c r="C1649" s="1"/>
      <c r="D1649" s="5">
        <v>97</v>
      </c>
    </row>
    <row r="1650" spans="1:4" x14ac:dyDescent="0.25">
      <c r="A1650" s="1">
        <v>530</v>
      </c>
      <c r="B1650" s="2">
        <v>41999</v>
      </c>
      <c r="C1650" s="1" t="s">
        <v>35</v>
      </c>
      <c r="D1650" s="5">
        <v>2552</v>
      </c>
    </row>
    <row r="1651" spans="1:4" x14ac:dyDescent="0.25">
      <c r="A1651" s="1">
        <v>551</v>
      </c>
      <c r="B1651" s="2">
        <v>41999</v>
      </c>
      <c r="C1651" s="1" t="s">
        <v>166</v>
      </c>
      <c r="D1651" s="5">
        <v>1025</v>
      </c>
    </row>
    <row r="1652" spans="1:4" x14ac:dyDescent="0.25">
      <c r="A1652" s="1">
        <v>576</v>
      </c>
      <c r="B1652" s="2">
        <v>41999</v>
      </c>
      <c r="C1652" s="1" t="s">
        <v>36</v>
      </c>
      <c r="D1652" s="5">
        <v>2473.35</v>
      </c>
    </row>
    <row r="1653" spans="1:4" x14ac:dyDescent="0.25">
      <c r="A1653" s="1">
        <v>580</v>
      </c>
      <c r="B1653" s="2">
        <v>41999</v>
      </c>
      <c r="C1653" s="1" t="s">
        <v>37</v>
      </c>
      <c r="D1653" s="5">
        <v>500</v>
      </c>
    </row>
    <row r="1654" spans="1:4" x14ac:dyDescent="0.25">
      <c r="A1654" s="1">
        <v>592</v>
      </c>
      <c r="B1654" s="2">
        <v>41999</v>
      </c>
      <c r="C1654" s="1" t="s">
        <v>222</v>
      </c>
      <c r="D1654" s="5">
        <v>1492</v>
      </c>
    </row>
    <row r="1655" spans="1:4" x14ac:dyDescent="0.25">
      <c r="A1655" s="1">
        <v>594</v>
      </c>
      <c r="B1655" s="2">
        <v>41999</v>
      </c>
      <c r="C1655" s="1" t="s">
        <v>223</v>
      </c>
      <c r="D1655" s="5">
        <v>800</v>
      </c>
    </row>
    <row r="1656" spans="1:4" x14ac:dyDescent="0.25">
      <c r="A1656" s="1">
        <v>601</v>
      </c>
      <c r="B1656" s="2">
        <v>41999</v>
      </c>
      <c r="C1656" s="1" t="s">
        <v>126</v>
      </c>
      <c r="D1656" s="5">
        <v>382.5</v>
      </c>
    </row>
    <row r="1657" spans="1:4" x14ac:dyDescent="0.25">
      <c r="A1657" s="1">
        <v>615</v>
      </c>
      <c r="B1657" s="2">
        <v>41999</v>
      </c>
      <c r="C1657" s="1" t="s">
        <v>201</v>
      </c>
      <c r="D1657" s="5">
        <v>803.94</v>
      </c>
    </row>
    <row r="1658" spans="1:4" x14ac:dyDescent="0.25">
      <c r="A1658" s="1">
        <v>621</v>
      </c>
      <c r="B1658" s="2">
        <v>41999</v>
      </c>
      <c r="C1658" s="1" t="s">
        <v>224</v>
      </c>
      <c r="D1658" s="5">
        <v>879</v>
      </c>
    </row>
    <row r="1659" spans="1:4" x14ac:dyDescent="0.25">
      <c r="A1659" s="1">
        <v>626</v>
      </c>
      <c r="B1659" s="2">
        <v>41999</v>
      </c>
      <c r="C1659" s="1" t="s">
        <v>187</v>
      </c>
      <c r="D1659" s="5">
        <v>255</v>
      </c>
    </row>
    <row r="1660" spans="1:4" x14ac:dyDescent="0.25">
      <c r="A1660" s="1">
        <v>634</v>
      </c>
      <c r="B1660" s="2">
        <v>41999</v>
      </c>
      <c r="C1660" s="1" t="s">
        <v>225</v>
      </c>
      <c r="D1660" s="5">
        <v>1125</v>
      </c>
    </row>
    <row r="1661" spans="1:4" x14ac:dyDescent="0.25">
      <c r="A1661" s="1">
        <v>635</v>
      </c>
      <c r="B1661" s="2">
        <v>41999</v>
      </c>
      <c r="C1661" s="1" t="s">
        <v>167</v>
      </c>
      <c r="D1661" s="5">
        <v>1050</v>
      </c>
    </row>
    <row r="1662" spans="1:4" x14ac:dyDescent="0.25">
      <c r="A1662" s="1">
        <v>646</v>
      </c>
      <c r="B1662" s="2">
        <v>41999</v>
      </c>
      <c r="C1662" s="1" t="s">
        <v>203</v>
      </c>
      <c r="D1662" s="5">
        <v>975</v>
      </c>
    </row>
    <row r="1663" spans="1:4" x14ac:dyDescent="0.25">
      <c r="A1663" s="1">
        <v>648</v>
      </c>
      <c r="B1663" s="2">
        <v>41999</v>
      </c>
      <c r="C1663" s="1" t="s">
        <v>42</v>
      </c>
      <c r="D1663" s="5">
        <v>3215</v>
      </c>
    </row>
    <row r="1664" spans="1:4" x14ac:dyDescent="0.25">
      <c r="A1664" s="1">
        <v>656</v>
      </c>
      <c r="B1664" s="2">
        <v>41999</v>
      </c>
      <c r="C1664" s="1" t="s">
        <v>43</v>
      </c>
      <c r="D1664" s="5">
        <v>459</v>
      </c>
    </row>
    <row r="1665" spans="1:4" x14ac:dyDescent="0.25">
      <c r="A1665" s="1">
        <v>664</v>
      </c>
      <c r="B1665" s="2">
        <v>41999</v>
      </c>
      <c r="C1665" s="1" t="s">
        <v>226</v>
      </c>
      <c r="D1665" s="5">
        <v>500</v>
      </c>
    </row>
    <row r="1666" spans="1:4" x14ac:dyDescent="0.25">
      <c r="A1666" s="1">
        <v>665</v>
      </c>
      <c r="B1666" s="2">
        <v>41999</v>
      </c>
      <c r="C1666" s="1" t="s">
        <v>227</v>
      </c>
      <c r="D1666" s="5">
        <v>500</v>
      </c>
    </row>
    <row r="1667" spans="1:4" x14ac:dyDescent="0.25">
      <c r="A1667" s="1">
        <v>675</v>
      </c>
      <c r="B1667" s="2">
        <v>41999</v>
      </c>
      <c r="C1667" s="1" t="s">
        <v>228</v>
      </c>
      <c r="D1667" s="5">
        <v>1357</v>
      </c>
    </row>
    <row r="1668" spans="1:4" x14ac:dyDescent="0.25">
      <c r="A1668" s="1">
        <v>680</v>
      </c>
      <c r="B1668" s="2">
        <v>41999</v>
      </c>
      <c r="C1668" s="1" t="s">
        <v>46</v>
      </c>
      <c r="D1668" s="5">
        <v>600</v>
      </c>
    </row>
    <row r="1669" spans="1:4" x14ac:dyDescent="0.25">
      <c r="A1669" s="1">
        <v>687</v>
      </c>
      <c r="B1669" s="2">
        <v>41999</v>
      </c>
      <c r="C1669" s="1" t="s">
        <v>133</v>
      </c>
      <c r="D1669" s="5">
        <v>908</v>
      </c>
    </row>
    <row r="1670" spans="1:4" x14ac:dyDescent="0.25">
      <c r="A1670" s="1">
        <v>690</v>
      </c>
      <c r="B1670" s="2">
        <v>41999</v>
      </c>
      <c r="C1670" s="1" t="s">
        <v>48</v>
      </c>
      <c r="D1670" s="5">
        <v>754</v>
      </c>
    </row>
    <row r="1671" spans="1:4" x14ac:dyDescent="0.25">
      <c r="A1671" s="1">
        <v>696</v>
      </c>
      <c r="B1671" s="2">
        <v>41999</v>
      </c>
      <c r="C1671" s="1" t="s">
        <v>205</v>
      </c>
      <c r="D1671" s="5">
        <v>575</v>
      </c>
    </row>
    <row r="1672" spans="1:4" x14ac:dyDescent="0.25">
      <c r="A1672" s="1">
        <v>702</v>
      </c>
      <c r="B1672" s="2">
        <v>41999</v>
      </c>
      <c r="C1672" s="1" t="s">
        <v>134</v>
      </c>
      <c r="D1672" s="5">
        <v>400</v>
      </c>
    </row>
    <row r="1673" spans="1:4" x14ac:dyDescent="0.25">
      <c r="A1673" s="1">
        <v>711</v>
      </c>
      <c r="B1673" s="2">
        <v>41999</v>
      </c>
      <c r="C1673" s="1" t="s">
        <v>190</v>
      </c>
      <c r="D1673" s="5">
        <v>1275</v>
      </c>
    </row>
    <row r="1674" spans="1:4" x14ac:dyDescent="0.25">
      <c r="A1674" s="1">
        <v>722</v>
      </c>
      <c r="B1674" s="2">
        <v>41999</v>
      </c>
      <c r="C1674" s="1" t="s">
        <v>135</v>
      </c>
      <c r="D1674" s="5">
        <v>1892</v>
      </c>
    </row>
    <row r="1675" spans="1:4" x14ac:dyDescent="0.25">
      <c r="A1675" s="1">
        <v>725</v>
      </c>
      <c r="B1675" s="2">
        <v>41999</v>
      </c>
      <c r="C1675" s="1" t="s">
        <v>229</v>
      </c>
      <c r="D1675" s="5">
        <v>250</v>
      </c>
    </row>
    <row r="1676" spans="1:4" x14ac:dyDescent="0.25">
      <c r="A1676" s="1">
        <v>750</v>
      </c>
      <c r="B1676" s="2">
        <v>41999</v>
      </c>
      <c r="C1676" s="1" t="s">
        <v>55</v>
      </c>
      <c r="D1676" s="5">
        <v>1800</v>
      </c>
    </row>
    <row r="1677" spans="1:4" x14ac:dyDescent="0.25">
      <c r="A1677" s="1">
        <v>784</v>
      </c>
      <c r="B1677" s="2">
        <v>41999</v>
      </c>
      <c r="C1677" s="1" t="s">
        <v>58</v>
      </c>
      <c r="D1677" s="5">
        <v>1168.5</v>
      </c>
    </row>
    <row r="1678" spans="1:4" x14ac:dyDescent="0.25">
      <c r="A1678" s="1">
        <v>807</v>
      </c>
      <c r="B1678" s="2">
        <v>41999</v>
      </c>
      <c r="C1678" s="1" t="s">
        <v>230</v>
      </c>
      <c r="D1678" s="5">
        <v>250</v>
      </c>
    </row>
    <row r="1679" spans="1:4" x14ac:dyDescent="0.25">
      <c r="A1679" s="1">
        <v>857</v>
      </c>
      <c r="B1679" s="2">
        <v>41999</v>
      </c>
      <c r="C1679" s="1" t="s">
        <v>138</v>
      </c>
      <c r="D1679" s="5">
        <v>750</v>
      </c>
    </row>
    <row r="1680" spans="1:4" x14ac:dyDescent="0.25">
      <c r="A1680" s="1">
        <v>858</v>
      </c>
      <c r="B1680" s="2">
        <v>41999</v>
      </c>
      <c r="C1680" s="1" t="s">
        <v>231</v>
      </c>
      <c r="D1680" s="5">
        <v>583.79</v>
      </c>
    </row>
    <row r="1681" spans="1:4" x14ac:dyDescent="0.25">
      <c r="A1681" s="1">
        <v>897</v>
      </c>
      <c r="B1681" s="2">
        <v>41999</v>
      </c>
      <c r="C1681" s="1" t="s">
        <v>66</v>
      </c>
      <c r="D1681" s="5">
        <v>500</v>
      </c>
    </row>
    <row r="1682" spans="1:4" x14ac:dyDescent="0.25">
      <c r="A1682" s="1">
        <v>906</v>
      </c>
      <c r="B1682" s="2">
        <v>41999</v>
      </c>
      <c r="C1682" s="1" t="s">
        <v>175</v>
      </c>
      <c r="D1682" s="5">
        <v>500</v>
      </c>
    </row>
    <row r="1683" spans="1:4" x14ac:dyDescent="0.25">
      <c r="A1683" s="1">
        <v>41</v>
      </c>
      <c r="B1683" s="2">
        <v>42004</v>
      </c>
      <c r="C1683" s="1" t="s">
        <v>10</v>
      </c>
      <c r="D1683" s="5">
        <v>4657.3599999999997</v>
      </c>
    </row>
    <row r="1684" spans="1:4" x14ac:dyDescent="0.25">
      <c r="A1684" s="1">
        <v>46</v>
      </c>
      <c r="B1684" s="2">
        <v>42004</v>
      </c>
      <c r="C1684" s="1" t="s">
        <v>78</v>
      </c>
      <c r="D1684" s="5">
        <v>333.33</v>
      </c>
    </row>
    <row r="1685" spans="1:4" x14ac:dyDescent="0.25">
      <c r="A1685" s="1">
        <v>63</v>
      </c>
      <c r="B1685" s="2">
        <v>42004</v>
      </c>
      <c r="C1685" s="1" t="s">
        <v>181</v>
      </c>
      <c r="D1685" s="5">
        <v>838.38</v>
      </c>
    </row>
    <row r="1686" spans="1:4" x14ac:dyDescent="0.25">
      <c r="A1686" s="1">
        <v>77</v>
      </c>
      <c r="B1686" s="2">
        <v>42004</v>
      </c>
      <c r="C1686" s="1" t="s">
        <v>11</v>
      </c>
      <c r="D1686" s="5">
        <v>36.67</v>
      </c>
    </row>
    <row r="1687" spans="1:4" x14ac:dyDescent="0.25">
      <c r="A1687" s="1">
        <v>85</v>
      </c>
      <c r="B1687" s="2">
        <v>42004</v>
      </c>
      <c r="C1687" s="1" t="s">
        <v>79</v>
      </c>
      <c r="D1687" s="5">
        <v>1145.83</v>
      </c>
    </row>
    <row r="1688" spans="1:4" x14ac:dyDescent="0.25">
      <c r="A1688" s="1">
        <v>94</v>
      </c>
      <c r="B1688" s="2">
        <v>42004</v>
      </c>
      <c r="C1688" s="1" t="s">
        <v>182</v>
      </c>
      <c r="D1688" s="5">
        <v>961</v>
      </c>
    </row>
    <row r="1689" spans="1:4" x14ac:dyDescent="0.25">
      <c r="A1689" s="1">
        <v>104</v>
      </c>
      <c r="B1689" s="2">
        <v>42004</v>
      </c>
      <c r="C1689" s="1" t="s">
        <v>210</v>
      </c>
      <c r="D1689" s="5">
        <v>325.83</v>
      </c>
    </row>
    <row r="1690" spans="1:4" x14ac:dyDescent="0.25">
      <c r="A1690" s="1">
        <v>109</v>
      </c>
      <c r="B1690" s="2">
        <v>42004</v>
      </c>
      <c r="C1690" s="1" t="s">
        <v>82</v>
      </c>
      <c r="D1690" s="5">
        <v>501.5</v>
      </c>
    </row>
    <row r="1691" spans="1:4" x14ac:dyDescent="0.25">
      <c r="A1691" s="1">
        <v>133</v>
      </c>
      <c r="B1691" s="2">
        <v>42004</v>
      </c>
      <c r="C1691" s="1" t="s">
        <v>87</v>
      </c>
      <c r="D1691" s="5">
        <v>291.14999999999998</v>
      </c>
    </row>
    <row r="1692" spans="1:4" x14ac:dyDescent="0.25">
      <c r="A1692" s="1">
        <v>148</v>
      </c>
      <c r="B1692" s="2">
        <v>42004</v>
      </c>
      <c r="C1692" s="1" t="s">
        <v>89</v>
      </c>
      <c r="D1692" s="5">
        <v>-331.5</v>
      </c>
    </row>
    <row r="1693" spans="1:4" x14ac:dyDescent="0.25">
      <c r="A1693" s="1">
        <v>152</v>
      </c>
      <c r="B1693" s="2">
        <v>42004</v>
      </c>
      <c r="C1693" s="1" t="s">
        <v>90</v>
      </c>
      <c r="D1693" s="5">
        <v>771</v>
      </c>
    </row>
    <row r="1694" spans="1:4" x14ac:dyDescent="0.25">
      <c r="A1694" s="1">
        <v>192</v>
      </c>
      <c r="B1694" s="2">
        <v>42004</v>
      </c>
      <c r="C1694" s="1" t="s">
        <v>94</v>
      </c>
      <c r="D1694" s="5">
        <v>491.17</v>
      </c>
    </row>
    <row r="1695" spans="1:4" x14ac:dyDescent="0.25">
      <c r="A1695" s="1">
        <v>203</v>
      </c>
      <c r="B1695" s="2">
        <v>42004</v>
      </c>
      <c r="C1695" s="1" t="s">
        <v>95</v>
      </c>
      <c r="D1695" s="5">
        <v>846.18</v>
      </c>
    </row>
    <row r="1696" spans="1:4" x14ac:dyDescent="0.25">
      <c r="A1696" s="1">
        <v>217</v>
      </c>
      <c r="B1696" s="2">
        <v>42004</v>
      </c>
      <c r="C1696" s="1" t="s">
        <v>97</v>
      </c>
      <c r="D1696" s="5">
        <v>287.5</v>
      </c>
    </row>
    <row r="1697" spans="1:4" x14ac:dyDescent="0.25">
      <c r="A1697" s="1">
        <v>219</v>
      </c>
      <c r="B1697" s="2">
        <v>42004</v>
      </c>
      <c r="C1697" s="1" t="s">
        <v>98</v>
      </c>
      <c r="D1697" s="5">
        <v>187</v>
      </c>
    </row>
    <row r="1698" spans="1:4" x14ac:dyDescent="0.25">
      <c r="A1698" s="1">
        <v>236</v>
      </c>
      <c r="B1698" s="2">
        <v>42004</v>
      </c>
      <c r="C1698" s="1" t="s">
        <v>211</v>
      </c>
      <c r="D1698" s="5">
        <v>100</v>
      </c>
    </row>
    <row r="1699" spans="1:4" x14ac:dyDescent="0.25">
      <c r="A1699" s="1">
        <v>250</v>
      </c>
      <c r="B1699" s="2">
        <v>42004</v>
      </c>
      <c r="C1699" s="1" t="s">
        <v>212</v>
      </c>
      <c r="D1699" s="5">
        <v>451.5</v>
      </c>
    </row>
    <row r="1700" spans="1:4" x14ac:dyDescent="0.25">
      <c r="A1700" s="1">
        <v>261</v>
      </c>
      <c r="B1700" s="2">
        <v>42004</v>
      </c>
      <c r="C1700" s="1" t="s">
        <v>22</v>
      </c>
      <c r="D1700" s="5">
        <v>7444.38</v>
      </c>
    </row>
    <row r="1701" spans="1:4" x14ac:dyDescent="0.25">
      <c r="A1701" s="1">
        <v>282</v>
      </c>
      <c r="B1701" s="2">
        <v>42004</v>
      </c>
      <c r="C1701" s="1" t="s">
        <v>23</v>
      </c>
      <c r="D1701" s="5">
        <v>1533.34</v>
      </c>
    </row>
    <row r="1702" spans="1:4" x14ac:dyDescent="0.25">
      <c r="A1702" s="1">
        <v>285</v>
      </c>
      <c r="B1702" s="2">
        <v>42004</v>
      </c>
      <c r="C1702" s="1" t="s">
        <v>102</v>
      </c>
      <c r="D1702" s="5">
        <v>497.25</v>
      </c>
    </row>
    <row r="1703" spans="1:4" x14ac:dyDescent="0.25">
      <c r="A1703" s="1">
        <v>295</v>
      </c>
      <c r="B1703" s="2">
        <v>42004</v>
      </c>
      <c r="C1703" s="1" t="s">
        <v>103</v>
      </c>
      <c r="D1703" s="5">
        <v>191.67</v>
      </c>
    </row>
    <row r="1704" spans="1:4" x14ac:dyDescent="0.25">
      <c r="A1704" s="1">
        <v>302</v>
      </c>
      <c r="B1704" s="2">
        <v>42004</v>
      </c>
      <c r="C1704" s="1" t="s">
        <v>104</v>
      </c>
      <c r="D1704" s="5">
        <v>109.09</v>
      </c>
    </row>
    <row r="1705" spans="1:4" x14ac:dyDescent="0.25">
      <c r="A1705" s="1">
        <v>324</v>
      </c>
      <c r="B1705" s="2">
        <v>42004</v>
      </c>
      <c r="C1705" s="1" t="s">
        <v>106</v>
      </c>
      <c r="D1705" s="5">
        <v>476</v>
      </c>
    </row>
    <row r="1706" spans="1:4" x14ac:dyDescent="0.25">
      <c r="A1706" s="1">
        <v>378</v>
      </c>
      <c r="B1706" s="2">
        <v>42004</v>
      </c>
      <c r="C1706" s="1" t="s">
        <v>109</v>
      </c>
      <c r="D1706" s="5">
        <v>1441.67</v>
      </c>
    </row>
    <row r="1707" spans="1:4" x14ac:dyDescent="0.25">
      <c r="A1707" s="1">
        <v>387</v>
      </c>
      <c r="B1707" s="2">
        <v>42004</v>
      </c>
      <c r="C1707" s="1" t="s">
        <v>110</v>
      </c>
      <c r="D1707" s="5">
        <v>136</v>
      </c>
    </row>
    <row r="1708" spans="1:4" x14ac:dyDescent="0.25">
      <c r="A1708" s="1">
        <v>392</v>
      </c>
      <c r="B1708" s="2">
        <v>42004</v>
      </c>
      <c r="C1708" s="1" t="s">
        <v>111</v>
      </c>
      <c r="D1708" s="5">
        <v>1466.67</v>
      </c>
    </row>
    <row r="1709" spans="1:4" x14ac:dyDescent="0.25">
      <c r="A1709" s="1">
        <v>405</v>
      </c>
      <c r="B1709" s="2">
        <v>42004</v>
      </c>
      <c r="C1709" s="1" t="s">
        <v>112</v>
      </c>
      <c r="D1709" s="5">
        <v>133.33000000000001</v>
      </c>
    </row>
    <row r="1710" spans="1:4" x14ac:dyDescent="0.25">
      <c r="A1710" s="1">
        <v>428</v>
      </c>
      <c r="B1710" s="2">
        <v>42004</v>
      </c>
      <c r="C1710" s="1" t="s">
        <v>213</v>
      </c>
      <c r="D1710" s="5">
        <v>750</v>
      </c>
    </row>
    <row r="1711" spans="1:4" x14ac:dyDescent="0.25">
      <c r="A1711" s="1">
        <v>438</v>
      </c>
      <c r="B1711" s="2">
        <v>42004</v>
      </c>
      <c r="C1711" s="1" t="s">
        <v>115</v>
      </c>
      <c r="D1711" s="5">
        <v>666.67</v>
      </c>
    </row>
    <row r="1712" spans="1:4" x14ac:dyDescent="0.25">
      <c r="A1712" s="1">
        <v>446</v>
      </c>
      <c r="B1712" s="2">
        <v>42004</v>
      </c>
      <c r="C1712" s="1" t="s">
        <v>116</v>
      </c>
      <c r="D1712" s="5">
        <v>75</v>
      </c>
    </row>
    <row r="1713" spans="1:4" x14ac:dyDescent="0.25">
      <c r="A1713" s="1">
        <v>453</v>
      </c>
      <c r="B1713" s="2">
        <v>42004</v>
      </c>
      <c r="C1713" s="1" t="s">
        <v>117</v>
      </c>
      <c r="D1713" s="5">
        <v>136</v>
      </c>
    </row>
    <row r="1714" spans="1:4" x14ac:dyDescent="0.25">
      <c r="A1714" s="1">
        <v>464</v>
      </c>
      <c r="B1714" s="2">
        <v>42004</v>
      </c>
      <c r="C1714" s="1" t="s">
        <v>118</v>
      </c>
      <c r="D1714" s="5">
        <v>208.33</v>
      </c>
    </row>
    <row r="1715" spans="1:4" x14ac:dyDescent="0.25">
      <c r="A1715" s="1">
        <v>465</v>
      </c>
      <c r="B1715" s="2">
        <v>42004</v>
      </c>
      <c r="C1715" s="1" t="s">
        <v>119</v>
      </c>
      <c r="D1715" s="5">
        <v>143.18</v>
      </c>
    </row>
    <row r="1716" spans="1:4" x14ac:dyDescent="0.25">
      <c r="A1716" s="1">
        <v>512</v>
      </c>
      <c r="B1716" s="2">
        <v>42004</v>
      </c>
      <c r="C1716" s="1" t="s">
        <v>121</v>
      </c>
      <c r="D1716" s="5">
        <v>246.5</v>
      </c>
    </row>
    <row r="1717" spans="1:4" x14ac:dyDescent="0.25">
      <c r="A1717" s="1">
        <v>580</v>
      </c>
      <c r="B1717" s="2">
        <v>42004</v>
      </c>
      <c r="C1717" s="1" t="s">
        <v>37</v>
      </c>
      <c r="D1717" s="5">
        <v>500</v>
      </c>
    </row>
    <row r="1718" spans="1:4" x14ac:dyDescent="0.25">
      <c r="A1718" s="1">
        <v>583</v>
      </c>
      <c r="B1718" s="2">
        <v>42004</v>
      </c>
      <c r="C1718" s="1" t="s">
        <v>124</v>
      </c>
      <c r="D1718" s="5">
        <v>476</v>
      </c>
    </row>
    <row r="1719" spans="1:4" x14ac:dyDescent="0.25">
      <c r="A1719" s="1">
        <v>593</v>
      </c>
      <c r="B1719" s="2">
        <v>42004</v>
      </c>
      <c r="C1719" s="1" t="s">
        <v>38</v>
      </c>
      <c r="D1719" s="5">
        <v>238</v>
      </c>
    </row>
    <row r="1720" spans="1:4" x14ac:dyDescent="0.25">
      <c r="A1720" s="1">
        <v>604</v>
      </c>
      <c r="B1720" s="2">
        <v>42004</v>
      </c>
      <c r="C1720" s="1" t="s">
        <v>127</v>
      </c>
      <c r="D1720" s="5">
        <v>375</v>
      </c>
    </row>
    <row r="1721" spans="1:4" x14ac:dyDescent="0.25">
      <c r="A1721" s="1">
        <v>606</v>
      </c>
      <c r="B1721" s="2">
        <v>42004</v>
      </c>
      <c r="C1721" s="1" t="s">
        <v>128</v>
      </c>
      <c r="D1721" s="5">
        <v>221</v>
      </c>
    </row>
    <row r="1722" spans="1:4" x14ac:dyDescent="0.25">
      <c r="A1722" s="1">
        <v>607</v>
      </c>
      <c r="B1722" s="2">
        <v>42004</v>
      </c>
      <c r="C1722" s="1" t="s">
        <v>39</v>
      </c>
      <c r="D1722" s="5">
        <v>250</v>
      </c>
    </row>
    <row r="1723" spans="1:4" x14ac:dyDescent="0.25">
      <c r="A1723" s="1">
        <v>610</v>
      </c>
      <c r="B1723" s="2">
        <v>42004</v>
      </c>
      <c r="C1723" s="1" t="s">
        <v>129</v>
      </c>
      <c r="D1723" s="5">
        <v>91.67</v>
      </c>
    </row>
    <row r="1724" spans="1:4" x14ac:dyDescent="0.25">
      <c r="A1724" s="1">
        <v>616</v>
      </c>
      <c r="B1724" s="2">
        <v>42004</v>
      </c>
      <c r="C1724" s="1" t="s">
        <v>40</v>
      </c>
      <c r="D1724" s="5">
        <v>136</v>
      </c>
    </row>
    <row r="1725" spans="1:4" x14ac:dyDescent="0.25">
      <c r="A1725" s="1">
        <v>626</v>
      </c>
      <c r="B1725" s="2">
        <v>42004</v>
      </c>
      <c r="C1725" s="1" t="s">
        <v>187</v>
      </c>
      <c r="D1725" s="5">
        <v>867</v>
      </c>
    </row>
    <row r="1726" spans="1:4" x14ac:dyDescent="0.25">
      <c r="A1726" s="1">
        <v>632</v>
      </c>
      <c r="B1726" s="2">
        <v>42004</v>
      </c>
      <c r="C1726" s="1" t="s">
        <v>41</v>
      </c>
      <c r="D1726" s="5">
        <v>750</v>
      </c>
    </row>
    <row r="1727" spans="1:4" x14ac:dyDescent="0.25">
      <c r="A1727" s="1">
        <v>657</v>
      </c>
      <c r="B1727" s="2">
        <v>42004</v>
      </c>
      <c r="C1727" s="1" t="s">
        <v>131</v>
      </c>
      <c r="D1727" s="5">
        <v>325</v>
      </c>
    </row>
    <row r="1728" spans="1:4" x14ac:dyDescent="0.25">
      <c r="A1728" s="1">
        <v>660</v>
      </c>
      <c r="B1728" s="2">
        <v>42004</v>
      </c>
      <c r="C1728" s="1" t="s">
        <v>132</v>
      </c>
      <c r="D1728" s="5">
        <v>357</v>
      </c>
    </row>
    <row r="1729" spans="1:4" x14ac:dyDescent="0.25">
      <c r="A1729" s="1">
        <v>661</v>
      </c>
      <c r="B1729" s="2">
        <v>42004</v>
      </c>
      <c r="C1729" s="1" t="s">
        <v>188</v>
      </c>
      <c r="D1729" s="5">
        <v>70.150000000000006</v>
      </c>
    </row>
    <row r="1730" spans="1:4" x14ac:dyDescent="0.25">
      <c r="A1730" s="1">
        <v>714</v>
      </c>
      <c r="B1730" s="2">
        <v>42004</v>
      </c>
      <c r="C1730" s="1" t="s">
        <v>171</v>
      </c>
      <c r="D1730" s="5">
        <v>500</v>
      </c>
    </row>
    <row r="1731" spans="1:4" x14ac:dyDescent="0.25">
      <c r="A1731" s="1">
        <v>771</v>
      </c>
      <c r="B1731" s="2">
        <v>42004</v>
      </c>
      <c r="C1731" s="1" t="s">
        <v>57</v>
      </c>
      <c r="D1731" s="5">
        <v>697</v>
      </c>
    </row>
    <row r="1732" spans="1:4" x14ac:dyDescent="0.25">
      <c r="A1732" s="1">
        <v>775</v>
      </c>
      <c r="B1732" s="2">
        <v>42004</v>
      </c>
      <c r="C1732" s="1" t="s">
        <v>136</v>
      </c>
      <c r="D1732" s="5">
        <v>138.66999999999999</v>
      </c>
    </row>
    <row r="1733" spans="1:4" x14ac:dyDescent="0.25">
      <c r="A1733" s="1">
        <v>852</v>
      </c>
      <c r="B1733" s="2">
        <v>42004</v>
      </c>
      <c r="C1733" s="1" t="s">
        <v>174</v>
      </c>
      <c r="D1733" s="5">
        <v>5000</v>
      </c>
    </row>
    <row r="1734" spans="1:4" x14ac:dyDescent="0.25">
      <c r="A1734" s="1">
        <v>904</v>
      </c>
      <c r="B1734" s="2">
        <v>42004</v>
      </c>
      <c r="C1734" s="1" t="s">
        <v>214</v>
      </c>
      <c r="D1734" s="5">
        <v>5000</v>
      </c>
    </row>
    <row r="1735" spans="1:4" x14ac:dyDescent="0.25">
      <c r="A1735" s="1">
        <v>389</v>
      </c>
      <c r="B1735" s="2">
        <v>42006</v>
      </c>
      <c r="C1735" s="1" t="s">
        <v>31</v>
      </c>
      <c r="D1735" s="5">
        <v>4835.2</v>
      </c>
    </row>
    <row r="1736" spans="1:4" x14ac:dyDescent="0.25">
      <c r="A1736" s="1">
        <v>37</v>
      </c>
      <c r="B1736" s="2">
        <v>42010</v>
      </c>
      <c r="C1736" s="1" t="s">
        <v>77</v>
      </c>
      <c r="D1736" s="5">
        <v>337.5</v>
      </c>
    </row>
    <row r="1737" spans="1:4" x14ac:dyDescent="0.25">
      <c r="A1737" s="1">
        <v>539</v>
      </c>
      <c r="B1737" s="2">
        <v>42010</v>
      </c>
      <c r="C1737" s="1" t="s">
        <v>122</v>
      </c>
      <c r="D1737" s="5">
        <v>728.19</v>
      </c>
    </row>
    <row r="1738" spans="1:4" x14ac:dyDescent="0.25">
      <c r="A1738" s="1">
        <v>690</v>
      </c>
      <c r="B1738" s="2">
        <v>42010</v>
      </c>
      <c r="C1738" s="1" t="s">
        <v>48</v>
      </c>
      <c r="D1738" s="5">
        <v>254.33</v>
      </c>
    </row>
    <row r="1739" spans="1:4" x14ac:dyDescent="0.25">
      <c r="A1739" s="1">
        <v>41</v>
      </c>
      <c r="B1739" s="2">
        <v>42013</v>
      </c>
      <c r="C1739" s="1" t="s">
        <v>10</v>
      </c>
      <c r="D1739" s="5">
        <v>3445.6</v>
      </c>
    </row>
    <row r="1740" spans="1:4" x14ac:dyDescent="0.25">
      <c r="A1740" s="1">
        <v>55</v>
      </c>
      <c r="B1740" s="2">
        <v>42013</v>
      </c>
      <c r="C1740" s="1" t="s">
        <v>195</v>
      </c>
      <c r="D1740" s="5">
        <v>425</v>
      </c>
    </row>
    <row r="1741" spans="1:4" x14ac:dyDescent="0.25">
      <c r="A1741" s="1">
        <v>63</v>
      </c>
      <c r="B1741" s="2">
        <v>42013</v>
      </c>
      <c r="C1741" s="1" t="s">
        <v>181</v>
      </c>
      <c r="D1741" s="5">
        <v>364.75</v>
      </c>
    </row>
    <row r="1742" spans="1:4" x14ac:dyDescent="0.25">
      <c r="A1742" s="1">
        <v>77</v>
      </c>
      <c r="B1742" s="2">
        <v>42013</v>
      </c>
      <c r="C1742" s="1" t="s">
        <v>11</v>
      </c>
      <c r="D1742" s="5">
        <v>1550</v>
      </c>
    </row>
    <row r="1743" spans="1:4" x14ac:dyDescent="0.25">
      <c r="A1743" s="1">
        <v>85</v>
      </c>
      <c r="B1743" s="2">
        <v>42013</v>
      </c>
      <c r="C1743" s="1" t="s">
        <v>79</v>
      </c>
      <c r="D1743" s="5">
        <v>2745.25</v>
      </c>
    </row>
    <row r="1744" spans="1:4" x14ac:dyDescent="0.25">
      <c r="A1744" s="1">
        <v>109</v>
      </c>
      <c r="B1744" s="2">
        <v>42013</v>
      </c>
      <c r="C1744" s="1" t="s">
        <v>82</v>
      </c>
      <c r="D1744" s="5">
        <v>404</v>
      </c>
    </row>
    <row r="1745" spans="1:4" x14ac:dyDescent="0.25">
      <c r="A1745" s="1">
        <v>133</v>
      </c>
      <c r="B1745" s="2">
        <v>42013</v>
      </c>
      <c r="C1745" s="1" t="s">
        <v>87</v>
      </c>
      <c r="D1745" s="5">
        <v>924.38</v>
      </c>
    </row>
    <row r="1746" spans="1:4" x14ac:dyDescent="0.25">
      <c r="A1746" s="1">
        <v>138</v>
      </c>
      <c r="B1746" s="2">
        <v>42013</v>
      </c>
      <c r="C1746" s="1" t="s">
        <v>16</v>
      </c>
      <c r="D1746" s="5">
        <v>2</v>
      </c>
    </row>
    <row r="1747" spans="1:4" x14ac:dyDescent="0.25">
      <c r="A1747" s="1">
        <v>141</v>
      </c>
      <c r="B1747" s="2">
        <v>42013</v>
      </c>
      <c r="C1747" s="1" t="s">
        <v>196</v>
      </c>
      <c r="D1747" s="5">
        <v>51</v>
      </c>
    </row>
    <row r="1748" spans="1:4" x14ac:dyDescent="0.25">
      <c r="A1748" s="1">
        <v>179</v>
      </c>
      <c r="B1748" s="2">
        <v>42013</v>
      </c>
      <c r="C1748" s="1" t="s">
        <v>197</v>
      </c>
      <c r="D1748" s="5">
        <v>584</v>
      </c>
    </row>
    <row r="1749" spans="1:4" x14ac:dyDescent="0.25">
      <c r="A1749" s="1">
        <v>203</v>
      </c>
      <c r="B1749" s="2">
        <v>42013</v>
      </c>
      <c r="C1749" s="1" t="s">
        <v>95</v>
      </c>
      <c r="D1749" s="5">
        <v>123.73</v>
      </c>
    </row>
    <row r="1750" spans="1:4" x14ac:dyDescent="0.25">
      <c r="A1750" s="1">
        <v>211</v>
      </c>
      <c r="B1750" s="2">
        <v>42013</v>
      </c>
      <c r="C1750" s="1" t="s">
        <v>96</v>
      </c>
      <c r="D1750" s="5">
        <v>550</v>
      </c>
    </row>
    <row r="1751" spans="1:4" x14ac:dyDescent="0.25">
      <c r="A1751" s="1">
        <v>261</v>
      </c>
      <c r="B1751" s="2">
        <v>42013</v>
      </c>
      <c r="C1751" s="1" t="s">
        <v>22</v>
      </c>
      <c r="D1751" s="5">
        <v>2968.25</v>
      </c>
    </row>
    <row r="1752" spans="1:4" x14ac:dyDescent="0.25">
      <c r="A1752" s="1">
        <v>268</v>
      </c>
      <c r="B1752" s="2">
        <v>42013</v>
      </c>
      <c r="C1752" s="1" t="s">
        <v>162</v>
      </c>
      <c r="D1752" s="5">
        <v>1430.75</v>
      </c>
    </row>
    <row r="1753" spans="1:4" x14ac:dyDescent="0.25">
      <c r="A1753" s="1">
        <v>282</v>
      </c>
      <c r="B1753" s="2">
        <v>42013</v>
      </c>
      <c r="C1753" s="1" t="s">
        <v>23</v>
      </c>
      <c r="D1753" s="5">
        <v>1475</v>
      </c>
    </row>
    <row r="1754" spans="1:4" x14ac:dyDescent="0.25">
      <c r="A1754" s="1">
        <v>321</v>
      </c>
      <c r="B1754" s="2">
        <v>42013</v>
      </c>
      <c r="C1754" s="1" t="s">
        <v>105</v>
      </c>
      <c r="D1754" s="5">
        <v>521.80999999999995</v>
      </c>
    </row>
    <row r="1755" spans="1:4" x14ac:dyDescent="0.25">
      <c r="A1755" s="1">
        <v>322</v>
      </c>
      <c r="B1755" s="2">
        <v>42013</v>
      </c>
      <c r="C1755" s="1" t="s">
        <v>198</v>
      </c>
      <c r="D1755" s="5">
        <v>765</v>
      </c>
    </row>
    <row r="1756" spans="1:4" x14ac:dyDescent="0.25">
      <c r="A1756" s="1">
        <v>326</v>
      </c>
      <c r="B1756" s="2">
        <v>42013</v>
      </c>
      <c r="C1756" s="1" t="s">
        <v>25</v>
      </c>
      <c r="D1756" s="5">
        <v>1817.96</v>
      </c>
    </row>
    <row r="1757" spans="1:4" x14ac:dyDescent="0.25">
      <c r="A1757" s="1">
        <v>329</v>
      </c>
      <c r="B1757" s="2">
        <v>42013</v>
      </c>
      <c r="C1757" s="1" t="s">
        <v>199</v>
      </c>
      <c r="D1757" s="5">
        <v>683.5</v>
      </c>
    </row>
    <row r="1758" spans="1:4" x14ac:dyDescent="0.25">
      <c r="A1758" s="1">
        <v>332</v>
      </c>
      <c r="B1758" s="2">
        <v>42013</v>
      </c>
      <c r="C1758" s="1" t="s">
        <v>27</v>
      </c>
      <c r="D1758" s="5">
        <v>1735</v>
      </c>
    </row>
    <row r="1759" spans="1:4" x14ac:dyDescent="0.25">
      <c r="A1759" s="1">
        <v>343</v>
      </c>
      <c r="B1759" s="2">
        <v>42013</v>
      </c>
      <c r="C1759" s="1" t="s">
        <v>28</v>
      </c>
      <c r="D1759" s="5">
        <v>1038</v>
      </c>
    </row>
    <row r="1760" spans="1:4" x14ac:dyDescent="0.25">
      <c r="A1760" s="1">
        <v>358</v>
      </c>
      <c r="B1760" s="2">
        <v>42013</v>
      </c>
      <c r="C1760" s="1" t="s">
        <v>179</v>
      </c>
      <c r="D1760" s="5">
        <v>750.07</v>
      </c>
    </row>
    <row r="1761" spans="1:4" x14ac:dyDescent="0.25">
      <c r="A1761" s="1">
        <v>365</v>
      </c>
      <c r="B1761" s="2">
        <v>42013</v>
      </c>
      <c r="C1761" s="1" t="s">
        <v>29</v>
      </c>
      <c r="D1761" s="5">
        <v>2019</v>
      </c>
    </row>
    <row r="1762" spans="1:4" x14ac:dyDescent="0.25">
      <c r="A1762" s="1">
        <v>382</v>
      </c>
      <c r="B1762" s="2">
        <v>42013</v>
      </c>
      <c r="C1762" s="1" t="s">
        <v>164</v>
      </c>
      <c r="D1762" s="5">
        <v>525</v>
      </c>
    </row>
    <row r="1763" spans="1:4" x14ac:dyDescent="0.25">
      <c r="A1763" s="1">
        <v>389</v>
      </c>
      <c r="B1763" s="2">
        <v>42013</v>
      </c>
      <c r="C1763" s="1" t="s">
        <v>31</v>
      </c>
      <c r="D1763" s="5">
        <v>1000</v>
      </c>
    </row>
    <row r="1764" spans="1:4" x14ac:dyDescent="0.25">
      <c r="A1764" s="1">
        <v>392</v>
      </c>
      <c r="B1764" s="2">
        <v>42013</v>
      </c>
      <c r="C1764" s="1" t="s">
        <v>111</v>
      </c>
      <c r="D1764" s="5">
        <v>572</v>
      </c>
    </row>
    <row r="1765" spans="1:4" x14ac:dyDescent="0.25">
      <c r="A1765" s="1">
        <v>401</v>
      </c>
      <c r="B1765" s="2">
        <v>42013</v>
      </c>
      <c r="C1765" s="1" t="s">
        <v>184</v>
      </c>
      <c r="D1765" s="5">
        <v>675</v>
      </c>
    </row>
    <row r="1766" spans="1:4" x14ac:dyDescent="0.25">
      <c r="A1766" s="1">
        <v>405</v>
      </c>
      <c r="B1766" s="2">
        <v>42013</v>
      </c>
      <c r="C1766" s="1" t="s">
        <v>112</v>
      </c>
      <c r="D1766" s="5">
        <v>1237.5</v>
      </c>
    </row>
    <row r="1767" spans="1:4" x14ac:dyDescent="0.25">
      <c r="A1767" s="1">
        <v>422</v>
      </c>
      <c r="B1767" s="2">
        <v>42013</v>
      </c>
      <c r="C1767" s="1" t="s">
        <v>165</v>
      </c>
      <c r="D1767" s="5">
        <v>2213.75</v>
      </c>
    </row>
    <row r="1768" spans="1:4" x14ac:dyDescent="0.25">
      <c r="A1768" s="1">
        <v>438</v>
      </c>
      <c r="B1768" s="2">
        <v>42013</v>
      </c>
      <c r="C1768" s="1" t="s">
        <v>115</v>
      </c>
      <c r="D1768" s="5">
        <v>1878</v>
      </c>
    </row>
    <row r="1769" spans="1:4" x14ac:dyDescent="0.25">
      <c r="A1769" s="1">
        <v>464</v>
      </c>
      <c r="B1769" s="2">
        <v>42013</v>
      </c>
      <c r="C1769" s="1" t="s">
        <v>118</v>
      </c>
      <c r="D1769" s="5">
        <v>918</v>
      </c>
    </row>
    <row r="1770" spans="1:4" x14ac:dyDescent="0.25">
      <c r="A1770" s="1">
        <v>468</v>
      </c>
      <c r="B1770" s="2">
        <v>42013</v>
      </c>
      <c r="C1770" s="1"/>
      <c r="D1770" s="5">
        <v>4403</v>
      </c>
    </row>
    <row r="1771" spans="1:4" x14ac:dyDescent="0.25">
      <c r="A1771" s="1">
        <v>475</v>
      </c>
      <c r="B1771" s="2">
        <v>42013</v>
      </c>
      <c r="C1771" s="1" t="s">
        <v>120</v>
      </c>
      <c r="D1771" s="5">
        <v>1412.5</v>
      </c>
    </row>
    <row r="1772" spans="1:4" x14ac:dyDescent="0.25">
      <c r="A1772" s="1">
        <v>499</v>
      </c>
      <c r="B1772" s="2">
        <v>42013</v>
      </c>
      <c r="C1772" s="1" t="s">
        <v>200</v>
      </c>
      <c r="D1772" s="5">
        <v>415.75</v>
      </c>
    </row>
    <row r="1773" spans="1:4" x14ac:dyDescent="0.25">
      <c r="A1773" s="1">
        <v>551</v>
      </c>
      <c r="B1773" s="2">
        <v>42013</v>
      </c>
      <c r="C1773" s="1" t="s">
        <v>166</v>
      </c>
      <c r="D1773" s="5">
        <v>287.5</v>
      </c>
    </row>
    <row r="1774" spans="1:4" x14ac:dyDescent="0.25">
      <c r="A1774" s="1">
        <v>606</v>
      </c>
      <c r="B1774" s="2">
        <v>42013</v>
      </c>
      <c r="C1774" s="1" t="s">
        <v>128</v>
      </c>
      <c r="D1774" s="5">
        <v>536.5</v>
      </c>
    </row>
    <row r="1775" spans="1:4" x14ac:dyDescent="0.25">
      <c r="A1775" s="1">
        <v>607</v>
      </c>
      <c r="B1775" s="2">
        <v>42013</v>
      </c>
      <c r="C1775" s="1" t="s">
        <v>39</v>
      </c>
      <c r="D1775" s="5">
        <v>500</v>
      </c>
    </row>
    <row r="1776" spans="1:4" x14ac:dyDescent="0.25">
      <c r="A1776" s="1">
        <v>615</v>
      </c>
      <c r="B1776" s="2">
        <v>42013</v>
      </c>
      <c r="C1776" s="1" t="s">
        <v>201</v>
      </c>
      <c r="D1776" s="5">
        <v>1552.75</v>
      </c>
    </row>
    <row r="1777" spans="1:4" x14ac:dyDescent="0.25">
      <c r="A1777" s="1">
        <v>626</v>
      </c>
      <c r="B1777" s="2">
        <v>42013</v>
      </c>
      <c r="C1777" s="1" t="s">
        <v>187</v>
      </c>
      <c r="D1777" s="5">
        <v>1091.5</v>
      </c>
    </row>
    <row r="1778" spans="1:4" x14ac:dyDescent="0.25">
      <c r="A1778" s="1">
        <v>631</v>
      </c>
      <c r="B1778" s="2">
        <v>42013</v>
      </c>
      <c r="C1778" s="1" t="s">
        <v>202</v>
      </c>
      <c r="D1778" s="5">
        <v>918</v>
      </c>
    </row>
    <row r="1779" spans="1:4" x14ac:dyDescent="0.25">
      <c r="A1779" s="1">
        <v>632</v>
      </c>
      <c r="B1779" s="2">
        <v>42013</v>
      </c>
      <c r="C1779" s="1" t="s">
        <v>41</v>
      </c>
      <c r="D1779" s="5">
        <v>2312.5</v>
      </c>
    </row>
    <row r="1780" spans="1:4" x14ac:dyDescent="0.25">
      <c r="A1780" s="1">
        <v>646</v>
      </c>
      <c r="B1780" s="2">
        <v>42013</v>
      </c>
      <c r="C1780" s="1" t="s">
        <v>203</v>
      </c>
      <c r="D1780" s="5">
        <v>250</v>
      </c>
    </row>
    <row r="1781" spans="1:4" x14ac:dyDescent="0.25">
      <c r="A1781" s="1">
        <v>648</v>
      </c>
      <c r="B1781" s="2">
        <v>42013</v>
      </c>
      <c r="C1781" s="1" t="s">
        <v>42</v>
      </c>
      <c r="D1781" s="5">
        <v>2012.5</v>
      </c>
    </row>
    <row r="1782" spans="1:4" x14ac:dyDescent="0.25">
      <c r="A1782" s="1">
        <v>672</v>
      </c>
      <c r="B1782" s="2">
        <v>42013</v>
      </c>
      <c r="C1782" s="1" t="s">
        <v>168</v>
      </c>
      <c r="D1782" s="5">
        <v>1250</v>
      </c>
    </row>
    <row r="1783" spans="1:4" x14ac:dyDescent="0.25">
      <c r="A1783" s="1">
        <v>679</v>
      </c>
      <c r="B1783" s="2">
        <v>42013</v>
      </c>
      <c r="C1783" s="1" t="s">
        <v>169</v>
      </c>
      <c r="D1783" s="5">
        <v>466.75</v>
      </c>
    </row>
    <row r="1784" spans="1:4" x14ac:dyDescent="0.25">
      <c r="A1784" s="1">
        <v>685</v>
      </c>
      <c r="B1784" s="2">
        <v>42013</v>
      </c>
      <c r="C1784" s="1" t="s">
        <v>204</v>
      </c>
      <c r="D1784" s="5">
        <v>1627</v>
      </c>
    </row>
    <row r="1785" spans="1:4" x14ac:dyDescent="0.25">
      <c r="A1785" s="1">
        <v>690</v>
      </c>
      <c r="B1785" s="2">
        <v>42013</v>
      </c>
      <c r="C1785" s="1" t="s">
        <v>48</v>
      </c>
      <c r="D1785" s="5">
        <v>250</v>
      </c>
    </row>
    <row r="1786" spans="1:4" x14ac:dyDescent="0.25">
      <c r="A1786" s="1">
        <v>696</v>
      </c>
      <c r="B1786" s="2">
        <v>42013</v>
      </c>
      <c r="C1786" s="1" t="s">
        <v>205</v>
      </c>
      <c r="D1786" s="5">
        <v>250</v>
      </c>
    </row>
    <row r="1787" spans="1:4" x14ac:dyDescent="0.25">
      <c r="A1787" s="1">
        <v>702</v>
      </c>
      <c r="B1787" s="2">
        <v>42013</v>
      </c>
      <c r="C1787" s="1" t="s">
        <v>134</v>
      </c>
      <c r="D1787" s="5">
        <v>2287.5</v>
      </c>
    </row>
    <row r="1788" spans="1:4" x14ac:dyDescent="0.25">
      <c r="A1788" s="1">
        <v>703</v>
      </c>
      <c r="B1788" s="2">
        <v>42013</v>
      </c>
      <c r="C1788" s="1" t="s">
        <v>51</v>
      </c>
      <c r="D1788" s="5">
        <v>556</v>
      </c>
    </row>
    <row r="1789" spans="1:4" x14ac:dyDescent="0.25">
      <c r="A1789" s="1">
        <v>708</v>
      </c>
      <c r="B1789" s="2">
        <v>42013</v>
      </c>
      <c r="C1789" s="1" t="s">
        <v>206</v>
      </c>
      <c r="D1789" s="5">
        <v>946.25</v>
      </c>
    </row>
    <row r="1790" spans="1:4" x14ac:dyDescent="0.25">
      <c r="A1790" s="1">
        <v>714</v>
      </c>
      <c r="B1790" s="2">
        <v>42013</v>
      </c>
      <c r="C1790" s="1" t="s">
        <v>171</v>
      </c>
      <c r="D1790" s="5">
        <v>1000</v>
      </c>
    </row>
    <row r="1791" spans="1:4" x14ac:dyDescent="0.25">
      <c r="A1791" s="1">
        <v>753</v>
      </c>
      <c r="B1791" s="2">
        <v>42013</v>
      </c>
      <c r="C1791" s="1" t="s">
        <v>172</v>
      </c>
      <c r="D1791" s="5">
        <v>984.5</v>
      </c>
    </row>
    <row r="1792" spans="1:4" x14ac:dyDescent="0.25">
      <c r="A1792" s="1">
        <v>755</v>
      </c>
      <c r="B1792" s="2">
        <v>42013</v>
      </c>
      <c r="C1792" s="1" t="s">
        <v>207</v>
      </c>
      <c r="D1792" s="5">
        <v>454</v>
      </c>
    </row>
    <row r="1793" spans="1:4" x14ac:dyDescent="0.25">
      <c r="A1793" s="1">
        <v>764</v>
      </c>
      <c r="B1793" s="2">
        <v>42013</v>
      </c>
      <c r="C1793" s="1" t="s">
        <v>208</v>
      </c>
      <c r="D1793" s="5">
        <v>662.5</v>
      </c>
    </row>
    <row r="1794" spans="1:4" x14ac:dyDescent="0.25">
      <c r="A1794" s="1">
        <v>790</v>
      </c>
      <c r="B1794" s="2">
        <v>42013</v>
      </c>
      <c r="C1794" s="1" t="s">
        <v>209</v>
      </c>
      <c r="D1794" s="5">
        <v>1367</v>
      </c>
    </row>
    <row r="1795" spans="1:4" x14ac:dyDescent="0.25">
      <c r="A1795" s="1">
        <v>809</v>
      </c>
      <c r="B1795" s="2">
        <v>42013</v>
      </c>
      <c r="C1795" s="1" t="s">
        <v>59</v>
      </c>
      <c r="D1795" s="5">
        <v>675</v>
      </c>
    </row>
    <row r="1796" spans="1:4" x14ac:dyDescent="0.25">
      <c r="A1796" s="1">
        <v>817</v>
      </c>
      <c r="B1796" s="2">
        <v>42013</v>
      </c>
      <c r="C1796" s="1" t="s">
        <v>60</v>
      </c>
      <c r="D1796" s="5">
        <v>683.5</v>
      </c>
    </row>
    <row r="1797" spans="1:4" x14ac:dyDescent="0.25">
      <c r="A1797" s="1">
        <v>832</v>
      </c>
      <c r="B1797" s="2">
        <v>42013</v>
      </c>
      <c r="C1797" s="1" t="s">
        <v>137</v>
      </c>
      <c r="D1797" s="5">
        <v>325</v>
      </c>
    </row>
    <row r="1798" spans="1:4" x14ac:dyDescent="0.25">
      <c r="A1798" s="1">
        <v>857</v>
      </c>
      <c r="B1798" s="2">
        <v>42013</v>
      </c>
      <c r="C1798" s="1" t="s">
        <v>138</v>
      </c>
      <c r="D1798" s="5">
        <v>1712.5</v>
      </c>
    </row>
    <row r="1799" spans="1:4" x14ac:dyDescent="0.25">
      <c r="A1799" s="1">
        <v>927</v>
      </c>
      <c r="B1799" s="2">
        <v>42013</v>
      </c>
      <c r="C1799" s="1" t="s">
        <v>69</v>
      </c>
      <c r="D1799" s="5">
        <v>517.75</v>
      </c>
    </row>
    <row r="1800" spans="1:4" x14ac:dyDescent="0.25">
      <c r="A1800" s="1">
        <v>546</v>
      </c>
      <c r="B1800" s="2">
        <v>42016</v>
      </c>
      <c r="C1800" s="1" t="s">
        <v>193</v>
      </c>
      <c r="D1800" s="5">
        <v>1528.25</v>
      </c>
    </row>
    <row r="1801" spans="1:4" x14ac:dyDescent="0.25">
      <c r="A1801" s="1">
        <v>898</v>
      </c>
      <c r="B1801" s="2">
        <v>42016</v>
      </c>
      <c r="C1801" s="1" t="s">
        <v>194</v>
      </c>
      <c r="D1801" s="5">
        <v>441.25</v>
      </c>
    </row>
    <row r="1802" spans="1:4" x14ac:dyDescent="0.25">
      <c r="A1802" s="1">
        <v>389</v>
      </c>
      <c r="B1802" s="2">
        <v>42017</v>
      </c>
      <c r="C1802" s="1" t="s">
        <v>31</v>
      </c>
      <c r="D1802" s="5">
        <v>6000</v>
      </c>
    </row>
    <row r="1803" spans="1:4" x14ac:dyDescent="0.25">
      <c r="A1803" s="1">
        <v>699</v>
      </c>
      <c r="B1803" s="2">
        <v>42017</v>
      </c>
      <c r="C1803" s="1" t="s">
        <v>189</v>
      </c>
      <c r="D1803" s="5">
        <v>1000</v>
      </c>
    </row>
    <row r="1804" spans="1:4" x14ac:dyDescent="0.25">
      <c r="A1804" s="1">
        <v>27</v>
      </c>
      <c r="B1804" s="2">
        <v>42019</v>
      </c>
      <c r="C1804" s="1" t="s">
        <v>159</v>
      </c>
      <c r="D1804" s="5">
        <v>5449.02</v>
      </c>
    </row>
    <row r="1805" spans="1:4" x14ac:dyDescent="0.25">
      <c r="A1805" s="1">
        <v>28</v>
      </c>
      <c r="B1805" s="2">
        <v>42019</v>
      </c>
      <c r="C1805" s="1" t="s">
        <v>6</v>
      </c>
      <c r="D1805" s="5">
        <v>250</v>
      </c>
    </row>
    <row r="1806" spans="1:4" x14ac:dyDescent="0.25">
      <c r="A1806" s="1">
        <v>37</v>
      </c>
      <c r="B1806" s="2">
        <v>42019</v>
      </c>
      <c r="C1806" s="1" t="s">
        <v>77</v>
      </c>
      <c r="D1806" s="5">
        <v>5624.02</v>
      </c>
    </row>
    <row r="1807" spans="1:4" x14ac:dyDescent="0.25">
      <c r="A1807" s="1">
        <v>41</v>
      </c>
      <c r="B1807" s="2">
        <v>42019</v>
      </c>
      <c r="C1807" s="1" t="s">
        <v>10</v>
      </c>
      <c r="D1807" s="5">
        <v>1889.56</v>
      </c>
    </row>
    <row r="1808" spans="1:4" x14ac:dyDescent="0.25">
      <c r="A1808" s="1">
        <v>63</v>
      </c>
      <c r="B1808" s="2">
        <v>42019</v>
      </c>
      <c r="C1808" s="1" t="s">
        <v>181</v>
      </c>
      <c r="D1808" s="5">
        <v>341.43</v>
      </c>
    </row>
    <row r="1809" spans="1:4" x14ac:dyDescent="0.25">
      <c r="A1809" s="1">
        <v>77</v>
      </c>
      <c r="B1809" s="2">
        <v>42019</v>
      </c>
      <c r="C1809" s="1" t="s">
        <v>11</v>
      </c>
      <c r="D1809" s="5">
        <v>1525</v>
      </c>
    </row>
    <row r="1810" spans="1:4" x14ac:dyDescent="0.25">
      <c r="A1810" s="1">
        <v>94</v>
      </c>
      <c r="B1810" s="2">
        <v>42019</v>
      </c>
      <c r="C1810" s="1" t="s">
        <v>182</v>
      </c>
      <c r="D1810" s="5">
        <v>525</v>
      </c>
    </row>
    <row r="1811" spans="1:4" x14ac:dyDescent="0.25">
      <c r="A1811" s="1">
        <v>161</v>
      </c>
      <c r="B1811" s="2">
        <v>42019</v>
      </c>
      <c r="C1811" s="1" t="s">
        <v>183</v>
      </c>
      <c r="D1811" s="5">
        <v>459</v>
      </c>
    </row>
    <row r="1812" spans="1:4" x14ac:dyDescent="0.25">
      <c r="A1812" s="1">
        <v>203</v>
      </c>
      <c r="B1812" s="2">
        <v>42019</v>
      </c>
      <c r="C1812" s="1" t="s">
        <v>95</v>
      </c>
      <c r="D1812" s="5">
        <v>5204.2700000000004</v>
      </c>
    </row>
    <row r="1813" spans="1:4" x14ac:dyDescent="0.25">
      <c r="A1813" s="1">
        <v>217</v>
      </c>
      <c r="B1813" s="2">
        <v>42019</v>
      </c>
      <c r="C1813" s="1" t="s">
        <v>97</v>
      </c>
      <c r="D1813" s="5">
        <v>1329.63</v>
      </c>
    </row>
    <row r="1814" spans="1:4" x14ac:dyDescent="0.25">
      <c r="A1814" s="1">
        <v>261</v>
      </c>
      <c r="B1814" s="2">
        <v>42019</v>
      </c>
      <c r="C1814" s="1" t="s">
        <v>22</v>
      </c>
      <c r="D1814" s="5">
        <v>2193</v>
      </c>
    </row>
    <row r="1815" spans="1:4" x14ac:dyDescent="0.25">
      <c r="A1815" s="1">
        <v>282</v>
      </c>
      <c r="B1815" s="2">
        <v>42019</v>
      </c>
      <c r="C1815" s="1" t="s">
        <v>23</v>
      </c>
      <c r="D1815" s="5">
        <v>1150</v>
      </c>
    </row>
    <row r="1816" spans="1:4" x14ac:dyDescent="0.25">
      <c r="A1816" s="1">
        <v>326</v>
      </c>
      <c r="B1816" s="2">
        <v>42019</v>
      </c>
      <c r="C1816" s="1" t="s">
        <v>25</v>
      </c>
      <c r="D1816" s="5">
        <v>1812.5</v>
      </c>
    </row>
    <row r="1817" spans="1:4" x14ac:dyDescent="0.25">
      <c r="A1817" s="1">
        <v>355</v>
      </c>
      <c r="B1817" s="2">
        <v>42019</v>
      </c>
      <c r="C1817" s="1" t="s">
        <v>108</v>
      </c>
      <c r="D1817" s="5">
        <v>500</v>
      </c>
    </row>
    <row r="1818" spans="1:4" x14ac:dyDescent="0.25">
      <c r="A1818" s="1">
        <v>365</v>
      </c>
      <c r="B1818" s="2">
        <v>42019</v>
      </c>
      <c r="C1818" s="1" t="s">
        <v>29</v>
      </c>
      <c r="D1818" s="5">
        <v>135</v>
      </c>
    </row>
    <row r="1819" spans="1:4" x14ac:dyDescent="0.25">
      <c r="A1819" s="1">
        <v>401</v>
      </c>
      <c r="B1819" s="2">
        <v>42019</v>
      </c>
      <c r="C1819" s="1" t="s">
        <v>184</v>
      </c>
      <c r="D1819" s="5">
        <v>145.88</v>
      </c>
    </row>
    <row r="1820" spans="1:4" x14ac:dyDescent="0.25">
      <c r="A1820" s="1">
        <v>407</v>
      </c>
      <c r="B1820" s="2">
        <v>42019</v>
      </c>
      <c r="C1820" s="1" t="s">
        <v>113</v>
      </c>
      <c r="D1820" s="5">
        <v>388.2</v>
      </c>
    </row>
    <row r="1821" spans="1:4" x14ac:dyDescent="0.25">
      <c r="A1821" s="1">
        <v>458</v>
      </c>
      <c r="B1821" s="2">
        <v>42019</v>
      </c>
      <c r="C1821" s="1" t="s">
        <v>185</v>
      </c>
      <c r="D1821" s="5">
        <v>675</v>
      </c>
    </row>
    <row r="1822" spans="1:4" x14ac:dyDescent="0.25">
      <c r="A1822" s="1">
        <v>498</v>
      </c>
      <c r="B1822" s="2">
        <v>42019</v>
      </c>
      <c r="C1822" s="1" t="s">
        <v>186</v>
      </c>
      <c r="D1822" s="5">
        <v>400</v>
      </c>
    </row>
    <row r="1823" spans="1:4" x14ac:dyDescent="0.25">
      <c r="A1823" s="1">
        <v>580</v>
      </c>
      <c r="B1823" s="2">
        <v>42019</v>
      </c>
      <c r="C1823" s="1" t="s">
        <v>37</v>
      </c>
      <c r="D1823" s="5">
        <v>500</v>
      </c>
    </row>
    <row r="1824" spans="1:4" x14ac:dyDescent="0.25">
      <c r="A1824" s="1">
        <v>583</v>
      </c>
      <c r="B1824" s="2">
        <v>42019</v>
      </c>
      <c r="C1824" s="1" t="s">
        <v>124</v>
      </c>
      <c r="D1824" s="5">
        <v>841.5</v>
      </c>
    </row>
    <row r="1825" spans="1:4" x14ac:dyDescent="0.25">
      <c r="A1825" s="1">
        <v>607</v>
      </c>
      <c r="B1825" s="2">
        <v>42019</v>
      </c>
      <c r="C1825" s="1" t="s">
        <v>39</v>
      </c>
      <c r="D1825" s="5">
        <v>450</v>
      </c>
    </row>
    <row r="1826" spans="1:4" x14ac:dyDescent="0.25">
      <c r="A1826" s="1">
        <v>626</v>
      </c>
      <c r="B1826" s="2">
        <v>42019</v>
      </c>
      <c r="C1826" s="1" t="s">
        <v>187</v>
      </c>
      <c r="D1826" s="5">
        <v>357</v>
      </c>
    </row>
    <row r="1827" spans="1:4" x14ac:dyDescent="0.25">
      <c r="A1827" s="1">
        <v>632</v>
      </c>
      <c r="B1827" s="2">
        <v>42019</v>
      </c>
      <c r="C1827" s="1" t="s">
        <v>41</v>
      </c>
      <c r="D1827" s="5">
        <v>934.5</v>
      </c>
    </row>
    <row r="1828" spans="1:4" x14ac:dyDescent="0.25">
      <c r="A1828" s="1">
        <v>635</v>
      </c>
      <c r="B1828" s="2">
        <v>42019</v>
      </c>
      <c r="C1828" s="1" t="s">
        <v>167</v>
      </c>
      <c r="D1828" s="5">
        <v>200</v>
      </c>
    </row>
    <row r="1829" spans="1:4" x14ac:dyDescent="0.25">
      <c r="A1829" s="1">
        <v>648</v>
      </c>
      <c r="B1829" s="2">
        <v>42019</v>
      </c>
      <c r="C1829" s="1" t="s">
        <v>42</v>
      </c>
      <c r="D1829" s="5">
        <v>512.5</v>
      </c>
    </row>
    <row r="1830" spans="1:4" x14ac:dyDescent="0.25">
      <c r="A1830" s="1">
        <v>661</v>
      </c>
      <c r="B1830" s="2">
        <v>42019</v>
      </c>
      <c r="C1830" s="1" t="s">
        <v>188</v>
      </c>
      <c r="D1830" s="5">
        <v>16.899999999999999</v>
      </c>
    </row>
    <row r="1831" spans="1:4" x14ac:dyDescent="0.25">
      <c r="A1831" s="1">
        <v>672</v>
      </c>
      <c r="B1831" s="2">
        <v>42019</v>
      </c>
      <c r="C1831" s="1" t="s">
        <v>168</v>
      </c>
      <c r="D1831" s="5">
        <v>874.5</v>
      </c>
    </row>
    <row r="1832" spans="1:4" x14ac:dyDescent="0.25">
      <c r="A1832" s="1">
        <v>679</v>
      </c>
      <c r="B1832" s="2">
        <v>42019</v>
      </c>
      <c r="C1832" s="1" t="s">
        <v>169</v>
      </c>
      <c r="D1832" s="5">
        <v>2922.71</v>
      </c>
    </row>
    <row r="1833" spans="1:4" x14ac:dyDescent="0.25">
      <c r="A1833" s="1">
        <v>690</v>
      </c>
      <c r="B1833" s="2">
        <v>42019</v>
      </c>
      <c r="C1833" s="1" t="s">
        <v>48</v>
      </c>
      <c r="D1833" s="5">
        <v>675</v>
      </c>
    </row>
    <row r="1834" spans="1:4" x14ac:dyDescent="0.25">
      <c r="A1834" s="1">
        <v>699</v>
      </c>
      <c r="B1834" s="2">
        <v>42019</v>
      </c>
      <c r="C1834" s="1" t="s">
        <v>189</v>
      </c>
      <c r="D1834" s="5">
        <v>900</v>
      </c>
    </row>
    <row r="1835" spans="1:4" x14ac:dyDescent="0.25">
      <c r="A1835" s="1">
        <v>702</v>
      </c>
      <c r="B1835" s="2">
        <v>42019</v>
      </c>
      <c r="C1835" s="1" t="s">
        <v>134</v>
      </c>
      <c r="D1835" s="5">
        <v>350</v>
      </c>
    </row>
    <row r="1836" spans="1:4" x14ac:dyDescent="0.25">
      <c r="A1836" s="1">
        <v>711</v>
      </c>
      <c r="B1836" s="2">
        <v>42019</v>
      </c>
      <c r="C1836" s="1" t="s">
        <v>190</v>
      </c>
      <c r="D1836" s="5">
        <v>700</v>
      </c>
    </row>
    <row r="1837" spans="1:4" x14ac:dyDescent="0.25">
      <c r="A1837" s="1">
        <v>735</v>
      </c>
      <c r="B1837" s="2">
        <v>42019</v>
      </c>
      <c r="C1837" s="1" t="s">
        <v>54</v>
      </c>
      <c r="D1837" s="5">
        <v>548.25</v>
      </c>
    </row>
    <row r="1838" spans="1:4" x14ac:dyDescent="0.25">
      <c r="A1838" s="1">
        <v>750</v>
      </c>
      <c r="B1838" s="2">
        <v>42019</v>
      </c>
      <c r="C1838" s="1" t="s">
        <v>55</v>
      </c>
      <c r="D1838" s="5">
        <v>250</v>
      </c>
    </row>
    <row r="1839" spans="1:4" x14ac:dyDescent="0.25">
      <c r="A1839" s="1">
        <v>793</v>
      </c>
      <c r="B1839" s="2">
        <v>42019</v>
      </c>
      <c r="C1839" s="1" t="s">
        <v>191</v>
      </c>
      <c r="D1839" s="5">
        <v>586.5</v>
      </c>
    </row>
    <row r="1840" spans="1:4" x14ac:dyDescent="0.25">
      <c r="A1840" s="1">
        <v>817</v>
      </c>
      <c r="B1840" s="2">
        <v>42019</v>
      </c>
      <c r="C1840" s="1" t="s">
        <v>60</v>
      </c>
      <c r="D1840" s="5">
        <v>760</v>
      </c>
    </row>
    <row r="1841" spans="1:4" x14ac:dyDescent="0.25">
      <c r="A1841" s="1">
        <v>844</v>
      </c>
      <c r="B1841" s="2">
        <v>42019</v>
      </c>
      <c r="C1841" s="1" t="s">
        <v>192</v>
      </c>
      <c r="D1841" s="5">
        <v>375</v>
      </c>
    </row>
    <row r="1842" spans="1:4" x14ac:dyDescent="0.25">
      <c r="A1842" s="1">
        <v>268</v>
      </c>
      <c r="B1842" s="2">
        <v>42020</v>
      </c>
      <c r="C1842" s="1" t="s">
        <v>162</v>
      </c>
      <c r="D1842" s="5">
        <v>594.25</v>
      </c>
    </row>
    <row r="1843" spans="1:4" x14ac:dyDescent="0.25">
      <c r="A1843" s="1">
        <v>203</v>
      </c>
      <c r="B1843" s="2">
        <v>42024</v>
      </c>
      <c r="C1843" s="1" t="s">
        <v>95</v>
      </c>
      <c r="D1843" s="5">
        <v>785</v>
      </c>
    </row>
    <row r="1844" spans="1:4" x14ac:dyDescent="0.25">
      <c r="A1844" s="1">
        <v>27</v>
      </c>
      <c r="B1844" s="2">
        <v>42027</v>
      </c>
      <c r="C1844" s="1" t="s">
        <v>159</v>
      </c>
      <c r="D1844" s="5">
        <v>6549.38</v>
      </c>
    </row>
    <row r="1845" spans="1:4" x14ac:dyDescent="0.25">
      <c r="A1845" s="1">
        <v>28</v>
      </c>
      <c r="B1845" s="2">
        <v>42027</v>
      </c>
      <c r="C1845" s="1" t="s">
        <v>6</v>
      </c>
      <c r="D1845" s="5">
        <v>920.75</v>
      </c>
    </row>
    <row r="1846" spans="1:4" x14ac:dyDescent="0.25">
      <c r="A1846" s="1">
        <v>41</v>
      </c>
      <c r="B1846" s="2">
        <v>42027</v>
      </c>
      <c r="C1846" s="1" t="s">
        <v>10</v>
      </c>
      <c r="D1846" s="5">
        <v>1570.8</v>
      </c>
    </row>
    <row r="1847" spans="1:4" x14ac:dyDescent="0.25">
      <c r="A1847" s="1">
        <v>133</v>
      </c>
      <c r="B1847" s="2">
        <v>42027</v>
      </c>
      <c r="C1847" s="1" t="s">
        <v>87</v>
      </c>
      <c r="D1847" s="5">
        <v>2850</v>
      </c>
    </row>
    <row r="1848" spans="1:4" x14ac:dyDescent="0.25">
      <c r="A1848" s="1">
        <v>147</v>
      </c>
      <c r="B1848" s="2">
        <v>42027</v>
      </c>
      <c r="C1848" s="1" t="s">
        <v>178</v>
      </c>
      <c r="D1848" s="5">
        <v>319</v>
      </c>
    </row>
    <row r="1849" spans="1:4" x14ac:dyDescent="0.25">
      <c r="A1849" s="1">
        <v>203</v>
      </c>
      <c r="B1849" s="2">
        <v>42027</v>
      </c>
      <c r="C1849" s="1" t="s">
        <v>95</v>
      </c>
      <c r="D1849" s="5">
        <v>392.5</v>
      </c>
    </row>
    <row r="1850" spans="1:4" x14ac:dyDescent="0.25">
      <c r="A1850" s="1">
        <v>217</v>
      </c>
      <c r="B1850" s="2">
        <v>42027</v>
      </c>
      <c r="C1850" s="1" t="s">
        <v>97</v>
      </c>
      <c r="D1850" s="5">
        <v>785</v>
      </c>
    </row>
    <row r="1851" spans="1:4" x14ac:dyDescent="0.25">
      <c r="A1851" s="1">
        <v>248</v>
      </c>
      <c r="B1851" s="2">
        <v>42027</v>
      </c>
      <c r="C1851" s="1" t="s">
        <v>19</v>
      </c>
      <c r="D1851" s="5">
        <v>51</v>
      </c>
    </row>
    <row r="1852" spans="1:4" x14ac:dyDescent="0.25">
      <c r="A1852" s="1">
        <v>255</v>
      </c>
      <c r="B1852" s="2">
        <v>42027</v>
      </c>
      <c r="C1852" s="1" t="s">
        <v>21</v>
      </c>
      <c r="D1852" s="5">
        <v>787.5</v>
      </c>
    </row>
    <row r="1853" spans="1:4" x14ac:dyDescent="0.25">
      <c r="A1853" s="1">
        <v>261</v>
      </c>
      <c r="B1853" s="2">
        <v>42027</v>
      </c>
      <c r="C1853" s="1" t="s">
        <v>22</v>
      </c>
      <c r="D1853" s="5">
        <v>3838</v>
      </c>
    </row>
    <row r="1854" spans="1:4" x14ac:dyDescent="0.25">
      <c r="A1854" s="1">
        <v>268</v>
      </c>
      <c r="B1854" s="2">
        <v>42027</v>
      </c>
      <c r="C1854" s="1" t="s">
        <v>162</v>
      </c>
      <c r="D1854" s="5">
        <v>637.5</v>
      </c>
    </row>
    <row r="1855" spans="1:4" x14ac:dyDescent="0.25">
      <c r="A1855" s="1">
        <v>282</v>
      </c>
      <c r="B1855" s="2">
        <v>42027</v>
      </c>
      <c r="C1855" s="1" t="s">
        <v>23</v>
      </c>
      <c r="D1855" s="5">
        <v>1625</v>
      </c>
    </row>
    <row r="1856" spans="1:4" x14ac:dyDescent="0.25">
      <c r="A1856" s="1">
        <v>326</v>
      </c>
      <c r="B1856" s="2">
        <v>42027</v>
      </c>
      <c r="C1856" s="1" t="s">
        <v>25</v>
      </c>
      <c r="D1856" s="5">
        <v>250</v>
      </c>
    </row>
    <row r="1857" spans="1:4" x14ac:dyDescent="0.25">
      <c r="A1857" s="1">
        <v>332</v>
      </c>
      <c r="B1857" s="2">
        <v>42027</v>
      </c>
      <c r="C1857" s="1" t="s">
        <v>27</v>
      </c>
      <c r="D1857" s="5">
        <v>765</v>
      </c>
    </row>
    <row r="1858" spans="1:4" x14ac:dyDescent="0.25">
      <c r="A1858" s="1">
        <v>355</v>
      </c>
      <c r="B1858" s="2">
        <v>42027</v>
      </c>
      <c r="C1858" s="1" t="s">
        <v>108</v>
      </c>
      <c r="D1858" s="5">
        <v>839.74</v>
      </c>
    </row>
    <row r="1859" spans="1:4" x14ac:dyDescent="0.25">
      <c r="A1859" s="1">
        <v>358</v>
      </c>
      <c r="B1859" s="2">
        <v>42027</v>
      </c>
      <c r="C1859" s="1" t="s">
        <v>179</v>
      </c>
      <c r="D1859" s="5">
        <v>790.5</v>
      </c>
    </row>
    <row r="1860" spans="1:4" x14ac:dyDescent="0.25">
      <c r="A1860" s="1">
        <v>365</v>
      </c>
      <c r="B1860" s="2">
        <v>42027</v>
      </c>
      <c r="C1860" s="1" t="s">
        <v>29</v>
      </c>
      <c r="D1860" s="5">
        <v>614</v>
      </c>
    </row>
    <row r="1861" spans="1:4" x14ac:dyDescent="0.25">
      <c r="A1861" s="1">
        <v>370</v>
      </c>
      <c r="B1861" s="2">
        <v>42027</v>
      </c>
      <c r="C1861" s="1" t="s">
        <v>180</v>
      </c>
      <c r="D1861" s="5">
        <v>0</v>
      </c>
    </row>
    <row r="1862" spans="1:4" x14ac:dyDescent="0.25">
      <c r="A1862" s="1">
        <v>382</v>
      </c>
      <c r="B1862" s="2">
        <v>42027</v>
      </c>
      <c r="C1862" s="1" t="s">
        <v>164</v>
      </c>
      <c r="D1862" s="5">
        <v>475</v>
      </c>
    </row>
    <row r="1863" spans="1:4" x14ac:dyDescent="0.25">
      <c r="A1863" s="1">
        <v>407</v>
      </c>
      <c r="B1863" s="2">
        <v>42027</v>
      </c>
      <c r="C1863" s="1" t="s">
        <v>113</v>
      </c>
      <c r="D1863" s="5">
        <v>225</v>
      </c>
    </row>
    <row r="1864" spans="1:4" x14ac:dyDescent="0.25">
      <c r="A1864" s="1">
        <v>530</v>
      </c>
      <c r="B1864" s="2">
        <v>42027</v>
      </c>
      <c r="C1864" s="1" t="s">
        <v>35</v>
      </c>
      <c r="D1864" s="5">
        <v>125</v>
      </c>
    </row>
    <row r="1865" spans="1:4" x14ac:dyDescent="0.25">
      <c r="A1865" s="1">
        <v>580</v>
      </c>
      <c r="B1865" s="2">
        <v>42027</v>
      </c>
      <c r="C1865" s="1" t="s">
        <v>37</v>
      </c>
      <c r="D1865" s="5">
        <v>500</v>
      </c>
    </row>
    <row r="1866" spans="1:4" x14ac:dyDescent="0.25">
      <c r="A1866" s="1">
        <v>583</v>
      </c>
      <c r="B1866" s="2">
        <v>42027</v>
      </c>
      <c r="C1866" s="1" t="s">
        <v>124</v>
      </c>
      <c r="D1866" s="5">
        <v>739.5</v>
      </c>
    </row>
    <row r="1867" spans="1:4" x14ac:dyDescent="0.25">
      <c r="A1867" s="1">
        <v>593</v>
      </c>
      <c r="B1867" s="2">
        <v>42027</v>
      </c>
      <c r="C1867" s="1" t="s">
        <v>38</v>
      </c>
      <c r="D1867" s="5">
        <v>1007.25</v>
      </c>
    </row>
    <row r="1868" spans="1:4" x14ac:dyDescent="0.25">
      <c r="A1868" s="1">
        <v>607</v>
      </c>
      <c r="B1868" s="2">
        <v>42027</v>
      </c>
      <c r="C1868" s="1" t="s">
        <v>39</v>
      </c>
      <c r="D1868" s="5">
        <v>575</v>
      </c>
    </row>
    <row r="1869" spans="1:4" x14ac:dyDescent="0.25">
      <c r="A1869" s="1">
        <v>648</v>
      </c>
      <c r="B1869" s="2">
        <v>42027</v>
      </c>
      <c r="C1869" s="1" t="s">
        <v>42</v>
      </c>
      <c r="D1869" s="5">
        <v>875</v>
      </c>
    </row>
    <row r="1870" spans="1:4" x14ac:dyDescent="0.25">
      <c r="A1870" s="1">
        <v>656</v>
      </c>
      <c r="B1870" s="2">
        <v>42027</v>
      </c>
      <c r="C1870" s="1" t="s">
        <v>43</v>
      </c>
      <c r="D1870" s="5">
        <v>429</v>
      </c>
    </row>
    <row r="1871" spans="1:4" x14ac:dyDescent="0.25">
      <c r="A1871" s="1">
        <v>659</v>
      </c>
      <c r="B1871" s="2">
        <v>42027</v>
      </c>
      <c r="C1871" s="1" t="s">
        <v>44</v>
      </c>
      <c r="D1871" s="5">
        <v>1053.25</v>
      </c>
    </row>
    <row r="1872" spans="1:4" x14ac:dyDescent="0.25">
      <c r="A1872" s="1">
        <v>679</v>
      </c>
      <c r="B1872" s="2">
        <v>42027</v>
      </c>
      <c r="C1872" s="1" t="s">
        <v>169</v>
      </c>
      <c r="D1872" s="5">
        <v>153</v>
      </c>
    </row>
    <row r="1873" spans="1:4" x14ac:dyDescent="0.25">
      <c r="A1873" s="1">
        <v>680</v>
      </c>
      <c r="B1873" s="2">
        <v>42027</v>
      </c>
      <c r="C1873" s="1" t="s">
        <v>46</v>
      </c>
      <c r="D1873" s="5">
        <v>1351.5</v>
      </c>
    </row>
    <row r="1874" spans="1:4" x14ac:dyDescent="0.25">
      <c r="A1874" s="1">
        <v>714</v>
      </c>
      <c r="B1874" s="2">
        <v>42027</v>
      </c>
      <c r="C1874" s="1" t="s">
        <v>171</v>
      </c>
      <c r="D1874" s="5">
        <v>204</v>
      </c>
    </row>
    <row r="1875" spans="1:4" x14ac:dyDescent="0.25">
      <c r="A1875" s="1">
        <v>722</v>
      </c>
      <c r="B1875" s="2">
        <v>42027</v>
      </c>
      <c r="C1875" s="1" t="s">
        <v>135</v>
      </c>
      <c r="D1875" s="5">
        <v>3053</v>
      </c>
    </row>
    <row r="1876" spans="1:4" x14ac:dyDescent="0.25">
      <c r="A1876" s="1">
        <v>726</v>
      </c>
      <c r="B1876" s="2">
        <v>42027</v>
      </c>
      <c r="C1876" s="1" t="s">
        <v>53</v>
      </c>
      <c r="D1876" s="5">
        <v>0</v>
      </c>
    </row>
    <row r="1877" spans="1:4" x14ac:dyDescent="0.25">
      <c r="A1877" s="1">
        <v>771</v>
      </c>
      <c r="B1877" s="2">
        <v>42027</v>
      </c>
      <c r="C1877" s="1" t="s">
        <v>57</v>
      </c>
      <c r="D1877" s="5">
        <v>300</v>
      </c>
    </row>
    <row r="1878" spans="1:4" x14ac:dyDescent="0.25">
      <c r="A1878" s="1">
        <v>784</v>
      </c>
      <c r="B1878" s="2">
        <v>42027</v>
      </c>
      <c r="C1878" s="1" t="s">
        <v>58</v>
      </c>
      <c r="D1878" s="5">
        <v>255</v>
      </c>
    </row>
    <row r="1879" spans="1:4" x14ac:dyDescent="0.25">
      <c r="A1879" s="1">
        <v>809</v>
      </c>
      <c r="B1879" s="2">
        <v>42027</v>
      </c>
      <c r="C1879" s="1" t="s">
        <v>59</v>
      </c>
      <c r="D1879" s="5">
        <v>350</v>
      </c>
    </row>
    <row r="1880" spans="1:4" x14ac:dyDescent="0.25">
      <c r="A1880" s="1">
        <v>817</v>
      </c>
      <c r="B1880" s="2">
        <v>42027</v>
      </c>
      <c r="C1880" s="1" t="s">
        <v>60</v>
      </c>
      <c r="D1880" s="5">
        <v>408</v>
      </c>
    </row>
    <row r="1881" spans="1:4" x14ac:dyDescent="0.25">
      <c r="A1881" s="1">
        <v>890</v>
      </c>
      <c r="B1881" s="2">
        <v>42027</v>
      </c>
      <c r="C1881" s="1" t="s">
        <v>140</v>
      </c>
      <c r="D1881" s="5">
        <v>165.75</v>
      </c>
    </row>
    <row r="1882" spans="1:4" x14ac:dyDescent="0.25">
      <c r="A1882" s="1">
        <v>927</v>
      </c>
      <c r="B1882" s="2">
        <v>42027</v>
      </c>
      <c r="C1882" s="1" t="s">
        <v>69</v>
      </c>
      <c r="D1882" s="5">
        <v>318.75</v>
      </c>
    </row>
    <row r="1883" spans="1:4" x14ac:dyDescent="0.25">
      <c r="A1883" s="1">
        <v>190</v>
      </c>
      <c r="B1883" s="2">
        <v>42031</v>
      </c>
      <c r="C1883" s="1" t="s">
        <v>177</v>
      </c>
      <c r="D1883" s="5">
        <v>0</v>
      </c>
    </row>
    <row r="1884" spans="1:4" x14ac:dyDescent="0.25">
      <c r="A1884" s="1">
        <v>19</v>
      </c>
      <c r="B1884" s="2">
        <v>42034</v>
      </c>
      <c r="C1884" s="1" t="s">
        <v>157</v>
      </c>
      <c r="D1884" s="5">
        <v>10000</v>
      </c>
    </row>
    <row r="1885" spans="1:4" x14ac:dyDescent="0.25">
      <c r="A1885" s="1">
        <v>24</v>
      </c>
      <c r="B1885" s="2">
        <v>42034</v>
      </c>
      <c r="C1885" s="1" t="s">
        <v>158</v>
      </c>
      <c r="D1885" s="5">
        <v>17.989999999999998</v>
      </c>
    </row>
    <row r="1886" spans="1:4" x14ac:dyDescent="0.25">
      <c r="A1886" s="1">
        <v>27</v>
      </c>
      <c r="B1886" s="2">
        <v>42034</v>
      </c>
      <c r="C1886" s="1" t="s">
        <v>159</v>
      </c>
      <c r="D1886" s="5">
        <v>0</v>
      </c>
    </row>
    <row r="1887" spans="1:4" x14ac:dyDescent="0.25">
      <c r="A1887" s="1">
        <v>28</v>
      </c>
      <c r="B1887" s="2">
        <v>42034</v>
      </c>
      <c r="C1887" s="1" t="s">
        <v>6</v>
      </c>
      <c r="D1887" s="5">
        <v>364</v>
      </c>
    </row>
    <row r="1888" spans="1:4" x14ac:dyDescent="0.25">
      <c r="A1888" s="1">
        <v>32</v>
      </c>
      <c r="B1888" s="2">
        <v>42034</v>
      </c>
      <c r="C1888" s="1" t="s">
        <v>7</v>
      </c>
      <c r="D1888" s="5">
        <v>960.31</v>
      </c>
    </row>
    <row r="1889" spans="1:4" x14ac:dyDescent="0.25">
      <c r="A1889" s="1">
        <v>37</v>
      </c>
      <c r="B1889" s="2">
        <v>42034</v>
      </c>
      <c r="C1889" s="1" t="s">
        <v>77</v>
      </c>
      <c r="D1889" s="5">
        <v>2633.11</v>
      </c>
    </row>
    <row r="1890" spans="1:4" x14ac:dyDescent="0.25">
      <c r="A1890" s="1">
        <v>108</v>
      </c>
      <c r="B1890" s="2">
        <v>42034</v>
      </c>
      <c r="C1890" s="1" t="s">
        <v>160</v>
      </c>
      <c r="D1890" s="5">
        <v>-250</v>
      </c>
    </row>
    <row r="1891" spans="1:4" x14ac:dyDescent="0.25">
      <c r="A1891" s="1">
        <v>133</v>
      </c>
      <c r="B1891" s="2">
        <v>42034</v>
      </c>
      <c r="C1891" s="1" t="s">
        <v>87</v>
      </c>
      <c r="D1891" s="5">
        <v>157.21</v>
      </c>
    </row>
    <row r="1892" spans="1:4" x14ac:dyDescent="0.25">
      <c r="A1892" s="1">
        <v>180</v>
      </c>
      <c r="B1892" s="2">
        <v>42034</v>
      </c>
      <c r="C1892" s="1" t="s">
        <v>161</v>
      </c>
      <c r="D1892" s="5">
        <v>34.17</v>
      </c>
    </row>
    <row r="1893" spans="1:4" x14ac:dyDescent="0.25">
      <c r="A1893" s="1">
        <v>203</v>
      </c>
      <c r="B1893" s="2">
        <v>42034</v>
      </c>
      <c r="C1893" s="1" t="s">
        <v>95</v>
      </c>
      <c r="D1893" s="5">
        <v>2690.5</v>
      </c>
    </row>
    <row r="1894" spans="1:4" x14ac:dyDescent="0.25">
      <c r="A1894" s="1">
        <v>217</v>
      </c>
      <c r="B1894" s="2">
        <v>42034</v>
      </c>
      <c r="C1894" s="1" t="s">
        <v>97</v>
      </c>
      <c r="D1894" s="5">
        <v>1145.23</v>
      </c>
    </row>
    <row r="1895" spans="1:4" x14ac:dyDescent="0.25">
      <c r="A1895" s="1">
        <v>261</v>
      </c>
      <c r="B1895" s="2">
        <v>42034</v>
      </c>
      <c r="C1895" s="1" t="s">
        <v>22</v>
      </c>
      <c r="D1895" s="5">
        <v>0</v>
      </c>
    </row>
    <row r="1896" spans="1:4" x14ac:dyDescent="0.25">
      <c r="A1896" s="1">
        <v>268</v>
      </c>
      <c r="B1896" s="2">
        <v>42034</v>
      </c>
      <c r="C1896" s="1" t="s">
        <v>162</v>
      </c>
      <c r="D1896" s="5">
        <v>250</v>
      </c>
    </row>
    <row r="1897" spans="1:4" x14ac:dyDescent="0.25">
      <c r="A1897" s="1">
        <v>300</v>
      </c>
      <c r="B1897" s="2">
        <v>42034</v>
      </c>
      <c r="C1897" s="1" t="s">
        <v>163</v>
      </c>
      <c r="D1897" s="5">
        <v>20.57</v>
      </c>
    </row>
    <row r="1898" spans="1:4" x14ac:dyDescent="0.25">
      <c r="A1898" s="1">
        <v>332</v>
      </c>
      <c r="B1898" s="2">
        <v>42034</v>
      </c>
      <c r="C1898" s="1" t="s">
        <v>27</v>
      </c>
      <c r="D1898" s="5">
        <v>0</v>
      </c>
    </row>
    <row r="1899" spans="1:4" x14ac:dyDescent="0.25">
      <c r="A1899" s="1">
        <v>355</v>
      </c>
      <c r="B1899" s="2">
        <v>42034</v>
      </c>
      <c r="C1899" s="1" t="s">
        <v>108</v>
      </c>
      <c r="D1899" s="5">
        <v>0</v>
      </c>
    </row>
    <row r="1900" spans="1:4" x14ac:dyDescent="0.25">
      <c r="A1900" s="1">
        <v>365</v>
      </c>
      <c r="B1900" s="2">
        <v>42034</v>
      </c>
      <c r="C1900" s="1" t="s">
        <v>29</v>
      </c>
      <c r="D1900" s="5">
        <v>0</v>
      </c>
    </row>
    <row r="1901" spans="1:4" x14ac:dyDescent="0.25">
      <c r="A1901" s="1">
        <v>382</v>
      </c>
      <c r="B1901" s="2">
        <v>42034</v>
      </c>
      <c r="C1901" s="1" t="s">
        <v>164</v>
      </c>
      <c r="D1901" s="5">
        <v>0</v>
      </c>
    </row>
    <row r="1902" spans="1:4" x14ac:dyDescent="0.25">
      <c r="A1902" s="1">
        <v>417</v>
      </c>
      <c r="B1902" s="2">
        <v>42034</v>
      </c>
      <c r="C1902" s="1" t="s">
        <v>33</v>
      </c>
      <c r="D1902" s="5">
        <v>1120.06</v>
      </c>
    </row>
    <row r="1903" spans="1:4" x14ac:dyDescent="0.25">
      <c r="A1903" s="1">
        <v>422</v>
      </c>
      <c r="B1903" s="2">
        <v>42034</v>
      </c>
      <c r="C1903" s="1" t="s">
        <v>165</v>
      </c>
      <c r="D1903" s="5">
        <v>0</v>
      </c>
    </row>
    <row r="1904" spans="1:4" x14ac:dyDescent="0.25">
      <c r="A1904" s="1">
        <v>464</v>
      </c>
      <c r="B1904" s="2">
        <v>42034</v>
      </c>
      <c r="C1904" s="1" t="s">
        <v>118</v>
      </c>
      <c r="D1904" s="5">
        <v>0</v>
      </c>
    </row>
    <row r="1905" spans="1:4" x14ac:dyDescent="0.25">
      <c r="A1905" s="1">
        <v>551</v>
      </c>
      <c r="B1905" s="2">
        <v>42034</v>
      </c>
      <c r="C1905" s="1" t="s">
        <v>166</v>
      </c>
      <c r="D1905" s="5">
        <v>1072.5</v>
      </c>
    </row>
    <row r="1906" spans="1:4" x14ac:dyDescent="0.25">
      <c r="A1906" s="1">
        <v>580</v>
      </c>
      <c r="B1906" s="2">
        <v>42034</v>
      </c>
      <c r="C1906" s="1" t="s">
        <v>37</v>
      </c>
      <c r="D1906" s="5">
        <v>860</v>
      </c>
    </row>
    <row r="1907" spans="1:4" x14ac:dyDescent="0.25">
      <c r="A1907" s="1">
        <v>582</v>
      </c>
      <c r="B1907" s="2">
        <v>42034</v>
      </c>
      <c r="C1907" s="1" t="s">
        <v>123</v>
      </c>
      <c r="D1907" s="5">
        <v>0</v>
      </c>
    </row>
    <row r="1908" spans="1:4" x14ac:dyDescent="0.25">
      <c r="A1908" s="1">
        <v>593</v>
      </c>
      <c r="B1908" s="2">
        <v>42034</v>
      </c>
      <c r="C1908" s="1" t="s">
        <v>38</v>
      </c>
      <c r="D1908" s="5">
        <v>250</v>
      </c>
    </row>
    <row r="1909" spans="1:4" x14ac:dyDescent="0.25">
      <c r="A1909" s="1">
        <v>632</v>
      </c>
      <c r="B1909" s="2">
        <v>42034</v>
      </c>
      <c r="C1909" s="1" t="s">
        <v>41</v>
      </c>
      <c r="D1909" s="5">
        <v>766</v>
      </c>
    </row>
    <row r="1910" spans="1:4" x14ac:dyDescent="0.25">
      <c r="A1910" s="1">
        <v>635</v>
      </c>
      <c r="B1910" s="2">
        <v>42034</v>
      </c>
      <c r="C1910" s="1" t="s">
        <v>167</v>
      </c>
      <c r="D1910" s="5">
        <v>0</v>
      </c>
    </row>
    <row r="1911" spans="1:4" x14ac:dyDescent="0.25">
      <c r="A1911" s="1">
        <v>656</v>
      </c>
      <c r="B1911" s="2">
        <v>42034</v>
      </c>
      <c r="C1911" s="1" t="s">
        <v>43</v>
      </c>
      <c r="D1911" s="5">
        <v>-153</v>
      </c>
    </row>
    <row r="1912" spans="1:4" x14ac:dyDescent="0.25">
      <c r="A1912" s="1">
        <v>659</v>
      </c>
      <c r="B1912" s="2">
        <v>42034</v>
      </c>
      <c r="C1912" s="1" t="s">
        <v>44</v>
      </c>
      <c r="D1912" s="5">
        <v>805.7</v>
      </c>
    </row>
    <row r="1913" spans="1:4" x14ac:dyDescent="0.25">
      <c r="A1913" s="1">
        <v>672</v>
      </c>
      <c r="B1913" s="2">
        <v>42034</v>
      </c>
      <c r="C1913" s="1" t="s">
        <v>168</v>
      </c>
      <c r="D1913" s="5">
        <v>2184</v>
      </c>
    </row>
    <row r="1914" spans="1:4" x14ac:dyDescent="0.25">
      <c r="A1914" s="1">
        <v>679</v>
      </c>
      <c r="B1914" s="2">
        <v>42034</v>
      </c>
      <c r="C1914" s="1" t="s">
        <v>169</v>
      </c>
      <c r="D1914" s="5">
        <v>156.31</v>
      </c>
    </row>
    <row r="1915" spans="1:4" x14ac:dyDescent="0.25">
      <c r="A1915" s="1">
        <v>692</v>
      </c>
      <c r="B1915" s="2">
        <v>42034</v>
      </c>
      <c r="C1915" s="1" t="s">
        <v>50</v>
      </c>
      <c r="D1915" s="5">
        <v>464.64</v>
      </c>
    </row>
    <row r="1916" spans="1:4" x14ac:dyDescent="0.25">
      <c r="A1916" s="1">
        <v>695</v>
      </c>
      <c r="B1916" s="2">
        <v>42034</v>
      </c>
      <c r="C1916" s="1" t="s">
        <v>170</v>
      </c>
      <c r="D1916" s="5">
        <v>0</v>
      </c>
    </row>
    <row r="1917" spans="1:4" x14ac:dyDescent="0.25">
      <c r="A1917" s="1">
        <v>702</v>
      </c>
      <c r="B1917" s="2">
        <v>42034</v>
      </c>
      <c r="C1917" s="1" t="s">
        <v>134</v>
      </c>
      <c r="D1917" s="5">
        <v>625</v>
      </c>
    </row>
    <row r="1918" spans="1:4" x14ac:dyDescent="0.25">
      <c r="A1918" s="1">
        <v>714</v>
      </c>
      <c r="B1918" s="2">
        <v>42034</v>
      </c>
      <c r="C1918" s="1" t="s">
        <v>171</v>
      </c>
      <c r="D1918" s="5">
        <v>0</v>
      </c>
    </row>
    <row r="1919" spans="1:4" x14ac:dyDescent="0.25">
      <c r="A1919" s="1">
        <v>722</v>
      </c>
      <c r="B1919" s="2">
        <v>42034</v>
      </c>
      <c r="C1919" s="1" t="s">
        <v>135</v>
      </c>
      <c r="D1919" s="5">
        <v>0</v>
      </c>
    </row>
    <row r="1920" spans="1:4" x14ac:dyDescent="0.25">
      <c r="A1920" s="1">
        <v>726</v>
      </c>
      <c r="B1920" s="2">
        <v>42034</v>
      </c>
      <c r="C1920" s="1" t="s">
        <v>53</v>
      </c>
      <c r="D1920" s="5">
        <v>0</v>
      </c>
    </row>
    <row r="1921" spans="1:4" x14ac:dyDescent="0.25">
      <c r="A1921" s="1">
        <v>750</v>
      </c>
      <c r="B1921" s="2">
        <v>42034</v>
      </c>
      <c r="C1921" s="1" t="s">
        <v>55</v>
      </c>
      <c r="D1921" s="5">
        <v>250</v>
      </c>
    </row>
    <row r="1922" spans="1:4" x14ac:dyDescent="0.25">
      <c r="A1922" s="1">
        <v>753</v>
      </c>
      <c r="B1922" s="2">
        <v>42034</v>
      </c>
      <c r="C1922" s="1" t="s">
        <v>172</v>
      </c>
      <c r="D1922" s="5">
        <v>0</v>
      </c>
    </row>
    <row r="1923" spans="1:4" x14ac:dyDescent="0.25">
      <c r="A1923" s="1">
        <v>771</v>
      </c>
      <c r="B1923" s="2">
        <v>42034</v>
      </c>
      <c r="C1923" s="1" t="s">
        <v>57</v>
      </c>
      <c r="D1923" s="5">
        <v>1380</v>
      </c>
    </row>
    <row r="1924" spans="1:4" x14ac:dyDescent="0.25">
      <c r="A1924" s="1">
        <v>782</v>
      </c>
      <c r="B1924" s="2">
        <v>42034</v>
      </c>
      <c r="C1924" s="1" t="s">
        <v>173</v>
      </c>
      <c r="D1924" s="5">
        <v>0</v>
      </c>
    </row>
    <row r="1925" spans="1:4" x14ac:dyDescent="0.25">
      <c r="A1925" s="1">
        <v>809</v>
      </c>
      <c r="B1925" s="2">
        <v>42034</v>
      </c>
      <c r="C1925" s="1" t="s">
        <v>59</v>
      </c>
      <c r="D1925" s="5">
        <v>1610</v>
      </c>
    </row>
    <row r="1926" spans="1:4" x14ac:dyDescent="0.25">
      <c r="A1926" s="1">
        <v>817</v>
      </c>
      <c r="B1926" s="2">
        <v>42034</v>
      </c>
      <c r="C1926" s="1" t="s">
        <v>60</v>
      </c>
      <c r="D1926" s="5">
        <v>-260</v>
      </c>
    </row>
    <row r="1927" spans="1:4" x14ac:dyDescent="0.25">
      <c r="A1927" s="1">
        <v>852</v>
      </c>
      <c r="B1927" s="2">
        <v>42034</v>
      </c>
      <c r="C1927" s="1" t="s">
        <v>174</v>
      </c>
      <c r="D1927" s="5">
        <v>2500</v>
      </c>
    </row>
    <row r="1928" spans="1:4" x14ac:dyDescent="0.25">
      <c r="A1928" s="1">
        <v>856</v>
      </c>
      <c r="B1928" s="2">
        <v>42034</v>
      </c>
      <c r="C1928" s="1" t="s">
        <v>62</v>
      </c>
      <c r="D1928" s="5">
        <v>0</v>
      </c>
    </row>
    <row r="1929" spans="1:4" x14ac:dyDescent="0.25">
      <c r="A1929" s="1">
        <v>859</v>
      </c>
      <c r="B1929" s="2">
        <v>42034</v>
      </c>
      <c r="C1929" s="1" t="s">
        <v>63</v>
      </c>
      <c r="D1929" s="5">
        <v>0</v>
      </c>
    </row>
    <row r="1930" spans="1:4" x14ac:dyDescent="0.25">
      <c r="A1930" s="1">
        <v>860</v>
      </c>
      <c r="B1930" s="2">
        <v>42034</v>
      </c>
      <c r="C1930" s="1" t="s">
        <v>64</v>
      </c>
      <c r="D1930" s="5">
        <v>0</v>
      </c>
    </row>
    <row r="1931" spans="1:4" x14ac:dyDescent="0.25">
      <c r="A1931" s="1">
        <v>894</v>
      </c>
      <c r="B1931" s="2">
        <v>42034</v>
      </c>
      <c r="C1931" s="1" t="s">
        <v>142</v>
      </c>
      <c r="D1931" s="5">
        <v>0</v>
      </c>
    </row>
    <row r="1932" spans="1:4" x14ac:dyDescent="0.25">
      <c r="A1932" s="1">
        <v>897</v>
      </c>
      <c r="B1932" s="2">
        <v>42034</v>
      </c>
      <c r="C1932" s="1" t="s">
        <v>66</v>
      </c>
      <c r="D1932" s="5">
        <v>0</v>
      </c>
    </row>
    <row r="1933" spans="1:4" x14ac:dyDescent="0.25">
      <c r="A1933" s="1">
        <v>906</v>
      </c>
      <c r="B1933" s="2">
        <v>42034</v>
      </c>
      <c r="C1933" s="1" t="s">
        <v>175</v>
      </c>
      <c r="D1933" s="5">
        <v>0</v>
      </c>
    </row>
    <row r="1934" spans="1:4" x14ac:dyDescent="0.25">
      <c r="A1934" s="1">
        <v>908</v>
      </c>
      <c r="B1934" s="2">
        <v>42034</v>
      </c>
      <c r="C1934" s="1" t="s">
        <v>143</v>
      </c>
      <c r="D1934" s="5">
        <v>0</v>
      </c>
    </row>
    <row r="1935" spans="1:4" x14ac:dyDescent="0.25">
      <c r="A1935" s="1">
        <v>940</v>
      </c>
      <c r="B1935" s="2">
        <v>42034</v>
      </c>
      <c r="C1935" s="1" t="s">
        <v>148</v>
      </c>
      <c r="D1935" s="5">
        <v>0</v>
      </c>
    </row>
    <row r="1936" spans="1:4" x14ac:dyDescent="0.25">
      <c r="A1936" s="1">
        <v>941</v>
      </c>
      <c r="B1936" s="2">
        <v>42034</v>
      </c>
      <c r="C1936" s="1" t="s">
        <v>149</v>
      </c>
      <c r="D1936" s="5">
        <v>0</v>
      </c>
    </row>
    <row r="1937" spans="1:4" x14ac:dyDescent="0.25">
      <c r="A1937" s="1">
        <v>943</v>
      </c>
      <c r="B1937" s="2">
        <v>42034</v>
      </c>
      <c r="C1937" s="1" t="s">
        <v>176</v>
      </c>
      <c r="D1937" s="5">
        <v>0</v>
      </c>
    </row>
    <row r="1938" spans="1:4" x14ac:dyDescent="0.25">
      <c r="A1938" s="1">
        <v>949</v>
      </c>
      <c r="B1938" s="2">
        <v>42034</v>
      </c>
      <c r="C1938" s="1" t="s">
        <v>150</v>
      </c>
      <c r="D1938" s="5">
        <v>0</v>
      </c>
    </row>
    <row r="1939" spans="1:4" x14ac:dyDescent="0.25">
      <c r="A1939" s="1">
        <v>964</v>
      </c>
      <c r="B1939" s="2">
        <v>42034</v>
      </c>
      <c r="C1939" s="1" t="s">
        <v>71</v>
      </c>
      <c r="D1939" s="5">
        <v>2250</v>
      </c>
    </row>
    <row r="1940" spans="1:4" x14ac:dyDescent="0.25">
      <c r="A1940" s="1">
        <v>969</v>
      </c>
      <c r="B1940" s="2">
        <v>42034</v>
      </c>
      <c r="C1940" s="1" t="s">
        <v>154</v>
      </c>
      <c r="D1940" s="5">
        <v>0</v>
      </c>
    </row>
    <row r="1941" spans="1:4" x14ac:dyDescent="0.25">
      <c r="A1941" s="1">
        <v>974</v>
      </c>
      <c r="B1941" s="2">
        <v>42034</v>
      </c>
      <c r="C1941" s="1" t="s">
        <v>155</v>
      </c>
      <c r="D1941" s="5">
        <v>0</v>
      </c>
    </row>
    <row r="1942" spans="1:4" x14ac:dyDescent="0.25">
      <c r="A1942" s="1">
        <v>614</v>
      </c>
      <c r="B1942" s="2">
        <v>42036</v>
      </c>
      <c r="C1942" s="1" t="s">
        <v>130</v>
      </c>
      <c r="D1942" s="5">
        <v>-625</v>
      </c>
    </row>
    <row r="1943" spans="1:4" x14ac:dyDescent="0.25">
      <c r="A1943" s="1">
        <v>23</v>
      </c>
      <c r="B1943" s="2">
        <v>42041</v>
      </c>
      <c r="C1943" s="1" t="s">
        <v>5</v>
      </c>
      <c r="D1943" s="5">
        <v>0</v>
      </c>
    </row>
    <row r="1944" spans="1:4" x14ac:dyDescent="0.25">
      <c r="A1944" s="1">
        <v>32</v>
      </c>
      <c r="B1944" s="2">
        <v>42041</v>
      </c>
      <c r="C1944" s="1" t="s">
        <v>7</v>
      </c>
      <c r="D1944" s="5">
        <v>0</v>
      </c>
    </row>
    <row r="1945" spans="1:4" x14ac:dyDescent="0.25">
      <c r="A1945" s="1">
        <v>34</v>
      </c>
      <c r="B1945" s="2">
        <v>42041</v>
      </c>
      <c r="C1945" s="1" t="s">
        <v>8</v>
      </c>
      <c r="D1945" s="5">
        <v>0</v>
      </c>
    </row>
    <row r="1946" spans="1:4" x14ac:dyDescent="0.25">
      <c r="A1946" s="1">
        <v>37</v>
      </c>
      <c r="B1946" s="2">
        <v>42041</v>
      </c>
      <c r="C1946" s="1" t="s">
        <v>77</v>
      </c>
      <c r="D1946" s="5">
        <v>1035.24</v>
      </c>
    </row>
    <row r="1947" spans="1:4" x14ac:dyDescent="0.25">
      <c r="A1947" s="1">
        <v>41</v>
      </c>
      <c r="B1947" s="2">
        <v>42041</v>
      </c>
      <c r="C1947" s="1" t="s">
        <v>10</v>
      </c>
      <c r="D1947" s="5">
        <v>4416.6000000000004</v>
      </c>
    </row>
    <row r="1948" spans="1:4" x14ac:dyDescent="0.25">
      <c r="A1948" s="1">
        <v>46</v>
      </c>
      <c r="B1948" s="2">
        <v>42041</v>
      </c>
      <c r="C1948" s="1" t="s">
        <v>78</v>
      </c>
      <c r="D1948" s="5">
        <v>333.33</v>
      </c>
    </row>
    <row r="1949" spans="1:4" x14ac:dyDescent="0.25">
      <c r="A1949" s="1">
        <v>77</v>
      </c>
      <c r="B1949" s="2">
        <v>42041</v>
      </c>
      <c r="C1949" s="1" t="s">
        <v>11</v>
      </c>
      <c r="D1949" s="5">
        <v>0</v>
      </c>
    </row>
    <row r="1950" spans="1:4" x14ac:dyDescent="0.25">
      <c r="A1950" s="1">
        <v>85</v>
      </c>
      <c r="B1950" s="2">
        <v>42041</v>
      </c>
      <c r="C1950" s="1" t="s">
        <v>79</v>
      </c>
      <c r="D1950" s="5">
        <v>1695.83</v>
      </c>
    </row>
    <row r="1951" spans="1:4" x14ac:dyDescent="0.25">
      <c r="A1951" s="1">
        <v>98</v>
      </c>
      <c r="B1951" s="2">
        <v>42041</v>
      </c>
      <c r="C1951" s="1" t="s">
        <v>80</v>
      </c>
      <c r="D1951" s="5">
        <v>1305.5</v>
      </c>
    </row>
    <row r="1952" spans="1:4" x14ac:dyDescent="0.25">
      <c r="A1952" s="1">
        <v>101</v>
      </c>
      <c r="B1952" s="2">
        <v>42041</v>
      </c>
      <c r="C1952" s="1" t="s">
        <v>81</v>
      </c>
      <c r="D1952" s="5">
        <v>-1000</v>
      </c>
    </row>
    <row r="1953" spans="1:4" x14ac:dyDescent="0.25">
      <c r="A1953" s="1">
        <v>107</v>
      </c>
      <c r="B1953" s="2">
        <v>42041</v>
      </c>
      <c r="C1953" s="1" t="s">
        <v>14</v>
      </c>
      <c r="D1953" s="5">
        <v>0</v>
      </c>
    </row>
    <row r="1954" spans="1:4" x14ac:dyDescent="0.25">
      <c r="A1954" s="1">
        <v>109</v>
      </c>
      <c r="B1954" s="2">
        <v>42041</v>
      </c>
      <c r="C1954" s="1" t="s">
        <v>82</v>
      </c>
      <c r="D1954" s="5">
        <v>709.83</v>
      </c>
    </row>
    <row r="1955" spans="1:4" x14ac:dyDescent="0.25">
      <c r="A1955" s="1">
        <v>110</v>
      </c>
      <c r="B1955" s="2">
        <v>42041</v>
      </c>
      <c r="C1955" s="1" t="s">
        <v>83</v>
      </c>
      <c r="D1955" s="5">
        <v>0</v>
      </c>
    </row>
    <row r="1956" spans="1:4" x14ac:dyDescent="0.25">
      <c r="A1956" s="1">
        <v>113</v>
      </c>
      <c r="B1956" s="2">
        <v>42041</v>
      </c>
      <c r="C1956" s="1" t="s">
        <v>84</v>
      </c>
      <c r="D1956" s="5">
        <v>-400</v>
      </c>
    </row>
    <row r="1957" spans="1:4" x14ac:dyDescent="0.25">
      <c r="A1957" s="1">
        <v>118</v>
      </c>
      <c r="B1957" s="2">
        <v>42041</v>
      </c>
      <c r="C1957" s="1" t="s">
        <v>85</v>
      </c>
      <c r="D1957" s="5">
        <v>-2025</v>
      </c>
    </row>
    <row r="1958" spans="1:4" x14ac:dyDescent="0.25">
      <c r="A1958" s="1">
        <v>121</v>
      </c>
      <c r="B1958" s="2">
        <v>42041</v>
      </c>
      <c r="C1958" s="1" t="s">
        <v>86</v>
      </c>
      <c r="D1958" s="5">
        <v>506.2</v>
      </c>
    </row>
    <row r="1959" spans="1:4" x14ac:dyDescent="0.25">
      <c r="A1959" s="1">
        <v>133</v>
      </c>
      <c r="B1959" s="2">
        <v>42041</v>
      </c>
      <c r="C1959" s="1" t="s">
        <v>87</v>
      </c>
      <c r="D1959" s="5">
        <v>387.5</v>
      </c>
    </row>
    <row r="1960" spans="1:4" x14ac:dyDescent="0.25">
      <c r="A1960" s="1">
        <v>136</v>
      </c>
      <c r="B1960" s="2">
        <v>42041</v>
      </c>
      <c r="C1960" s="1" t="s">
        <v>15</v>
      </c>
      <c r="D1960" s="5">
        <v>-1500</v>
      </c>
    </row>
    <row r="1961" spans="1:4" x14ac:dyDescent="0.25">
      <c r="A1961" s="1">
        <v>138</v>
      </c>
      <c r="B1961" s="2">
        <v>42041</v>
      </c>
      <c r="C1961" s="1" t="s">
        <v>16</v>
      </c>
      <c r="D1961" s="5">
        <v>374</v>
      </c>
    </row>
    <row r="1962" spans="1:4" x14ac:dyDescent="0.25">
      <c r="A1962" s="1">
        <v>140</v>
      </c>
      <c r="B1962" s="2">
        <v>42041</v>
      </c>
      <c r="C1962" s="1" t="s">
        <v>88</v>
      </c>
      <c r="D1962" s="5">
        <v>-2430.54</v>
      </c>
    </row>
    <row r="1963" spans="1:4" x14ac:dyDescent="0.25">
      <c r="A1963" s="1">
        <v>148</v>
      </c>
      <c r="B1963" s="2">
        <v>42041</v>
      </c>
      <c r="C1963" s="1" t="s">
        <v>89</v>
      </c>
      <c r="D1963" s="5">
        <v>153</v>
      </c>
    </row>
    <row r="1964" spans="1:4" x14ac:dyDescent="0.25">
      <c r="A1964" s="1">
        <v>152</v>
      </c>
      <c r="B1964" s="2">
        <v>42041</v>
      </c>
      <c r="C1964" s="1" t="s">
        <v>90</v>
      </c>
      <c r="D1964" s="5">
        <v>771</v>
      </c>
    </row>
    <row r="1965" spans="1:4" x14ac:dyDescent="0.25">
      <c r="A1965" s="1">
        <v>155</v>
      </c>
      <c r="B1965" s="2">
        <v>42041</v>
      </c>
      <c r="C1965" s="1" t="s">
        <v>91</v>
      </c>
      <c r="D1965" s="5">
        <v>0</v>
      </c>
    </row>
    <row r="1966" spans="1:4" x14ac:dyDescent="0.25">
      <c r="A1966" s="1">
        <v>157</v>
      </c>
      <c r="B1966" s="2">
        <v>42041</v>
      </c>
      <c r="C1966" s="1" t="s">
        <v>92</v>
      </c>
      <c r="D1966" s="5">
        <v>0</v>
      </c>
    </row>
    <row r="1967" spans="1:4" x14ac:dyDescent="0.25">
      <c r="A1967" s="1">
        <v>158</v>
      </c>
      <c r="B1967" s="2">
        <v>42041</v>
      </c>
      <c r="C1967" s="1" t="s">
        <v>93</v>
      </c>
      <c r="D1967" s="5">
        <v>-115.07</v>
      </c>
    </row>
    <row r="1968" spans="1:4" x14ac:dyDescent="0.25">
      <c r="A1968" s="1">
        <v>192</v>
      </c>
      <c r="B1968" s="2">
        <v>42041</v>
      </c>
      <c r="C1968" s="1" t="s">
        <v>94</v>
      </c>
      <c r="D1968" s="5">
        <v>491.17</v>
      </c>
    </row>
    <row r="1969" spans="1:4" x14ac:dyDescent="0.25">
      <c r="A1969" s="1">
        <v>203</v>
      </c>
      <c r="B1969" s="2">
        <v>42041</v>
      </c>
      <c r="C1969" s="1" t="s">
        <v>95</v>
      </c>
      <c r="D1969" s="5">
        <v>996.18</v>
      </c>
    </row>
    <row r="1970" spans="1:4" x14ac:dyDescent="0.25">
      <c r="A1970" s="1">
        <v>211</v>
      </c>
      <c r="B1970" s="2">
        <v>42041</v>
      </c>
      <c r="C1970" s="1" t="s">
        <v>96</v>
      </c>
      <c r="D1970" s="5">
        <v>0</v>
      </c>
    </row>
    <row r="1971" spans="1:4" x14ac:dyDescent="0.25">
      <c r="A1971" s="1">
        <v>217</v>
      </c>
      <c r="B1971" s="2">
        <v>42041</v>
      </c>
      <c r="C1971" s="1" t="s">
        <v>97</v>
      </c>
      <c r="D1971" s="5">
        <v>287.5</v>
      </c>
    </row>
    <row r="1972" spans="1:4" x14ac:dyDescent="0.25">
      <c r="A1972" s="1">
        <v>219</v>
      </c>
      <c r="B1972" s="2">
        <v>42041</v>
      </c>
      <c r="C1972" s="1" t="s">
        <v>98</v>
      </c>
      <c r="D1972" s="5">
        <v>187</v>
      </c>
    </row>
    <row r="1973" spans="1:4" x14ac:dyDescent="0.25">
      <c r="A1973" s="1">
        <v>222</v>
      </c>
      <c r="B1973" s="2">
        <v>42041</v>
      </c>
      <c r="C1973" s="1" t="s">
        <v>18</v>
      </c>
      <c r="D1973" s="5">
        <v>-0.72</v>
      </c>
    </row>
    <row r="1974" spans="1:4" x14ac:dyDescent="0.25">
      <c r="A1974" s="1">
        <v>228</v>
      </c>
      <c r="B1974" s="2">
        <v>42041</v>
      </c>
      <c r="C1974" s="1" t="s">
        <v>99</v>
      </c>
      <c r="D1974" s="5">
        <v>0</v>
      </c>
    </row>
    <row r="1975" spans="1:4" x14ac:dyDescent="0.25">
      <c r="A1975" s="1">
        <v>232</v>
      </c>
      <c r="B1975" s="2">
        <v>42041</v>
      </c>
      <c r="C1975" s="1" t="s">
        <v>100</v>
      </c>
      <c r="D1975" s="5">
        <v>-1650</v>
      </c>
    </row>
    <row r="1976" spans="1:4" x14ac:dyDescent="0.25">
      <c r="A1976" s="1">
        <v>248</v>
      </c>
      <c r="B1976" s="2">
        <v>42041</v>
      </c>
      <c r="C1976" s="1" t="s">
        <v>19</v>
      </c>
      <c r="D1976" s="5">
        <v>0</v>
      </c>
    </row>
    <row r="1977" spans="1:4" x14ac:dyDescent="0.25">
      <c r="A1977" s="1">
        <v>251</v>
      </c>
      <c r="B1977" s="2">
        <v>42041</v>
      </c>
      <c r="C1977" s="1" t="s">
        <v>20</v>
      </c>
      <c r="D1977" s="5">
        <v>-5753.5</v>
      </c>
    </row>
    <row r="1978" spans="1:4" x14ac:dyDescent="0.25">
      <c r="A1978" s="1">
        <v>255</v>
      </c>
      <c r="B1978" s="2">
        <v>42041</v>
      </c>
      <c r="C1978" s="1" t="s">
        <v>21</v>
      </c>
      <c r="D1978" s="5">
        <v>-393</v>
      </c>
    </row>
    <row r="1979" spans="1:4" x14ac:dyDescent="0.25">
      <c r="A1979" s="1">
        <v>261</v>
      </c>
      <c r="B1979" s="2">
        <v>42041</v>
      </c>
      <c r="C1979" s="1" t="s">
        <v>22</v>
      </c>
      <c r="D1979" s="5">
        <v>9570.1299999999992</v>
      </c>
    </row>
    <row r="1980" spans="1:4" x14ac:dyDescent="0.25">
      <c r="A1980" s="1">
        <v>282</v>
      </c>
      <c r="B1980" s="2">
        <v>42041</v>
      </c>
      <c r="C1980" s="1" t="s">
        <v>23</v>
      </c>
      <c r="D1980" s="5">
        <v>1783.34</v>
      </c>
    </row>
    <row r="1981" spans="1:4" x14ac:dyDescent="0.25">
      <c r="A1981" s="1">
        <v>283</v>
      </c>
      <c r="B1981" s="2">
        <v>42041</v>
      </c>
      <c r="C1981" s="1" t="s">
        <v>101</v>
      </c>
      <c r="D1981" s="5">
        <v>0</v>
      </c>
    </row>
    <row r="1982" spans="1:4" x14ac:dyDescent="0.25">
      <c r="A1982" s="1">
        <v>285</v>
      </c>
      <c r="B1982" s="2">
        <v>42041</v>
      </c>
      <c r="C1982" s="1" t="s">
        <v>102</v>
      </c>
      <c r="D1982" s="5">
        <v>497.25</v>
      </c>
    </row>
    <row r="1983" spans="1:4" x14ac:dyDescent="0.25">
      <c r="A1983" s="1">
        <v>295</v>
      </c>
      <c r="B1983" s="2">
        <v>42041</v>
      </c>
      <c r="C1983" s="1" t="s">
        <v>103</v>
      </c>
      <c r="D1983" s="5">
        <v>191.67</v>
      </c>
    </row>
    <row r="1984" spans="1:4" x14ac:dyDescent="0.25">
      <c r="A1984" s="1">
        <v>302</v>
      </c>
      <c r="B1984" s="2">
        <v>42041</v>
      </c>
      <c r="C1984" s="1" t="s">
        <v>104</v>
      </c>
      <c r="D1984" s="5">
        <v>109.09</v>
      </c>
    </row>
    <row r="1985" spans="1:4" x14ac:dyDescent="0.25">
      <c r="A1985" s="1">
        <v>321</v>
      </c>
      <c r="B1985" s="2">
        <v>42041</v>
      </c>
      <c r="C1985" s="1" t="s">
        <v>105</v>
      </c>
      <c r="D1985" s="5">
        <v>436.36</v>
      </c>
    </row>
    <row r="1986" spans="1:4" x14ac:dyDescent="0.25">
      <c r="A1986" s="1">
        <v>324</v>
      </c>
      <c r="B1986" s="2">
        <v>42041</v>
      </c>
      <c r="C1986" s="1" t="s">
        <v>106</v>
      </c>
      <c r="D1986" s="5">
        <v>476</v>
      </c>
    </row>
    <row r="1987" spans="1:4" x14ac:dyDescent="0.25">
      <c r="A1987" s="1">
        <v>325</v>
      </c>
      <c r="B1987" s="2">
        <v>42041</v>
      </c>
      <c r="C1987" s="1" t="s">
        <v>107</v>
      </c>
      <c r="D1987" s="5">
        <v>-750</v>
      </c>
    </row>
    <row r="1988" spans="1:4" x14ac:dyDescent="0.25">
      <c r="A1988" s="1">
        <v>326</v>
      </c>
      <c r="B1988" s="2">
        <v>42041</v>
      </c>
      <c r="C1988" s="1" t="s">
        <v>25</v>
      </c>
      <c r="D1988" s="5">
        <v>830.46</v>
      </c>
    </row>
    <row r="1989" spans="1:4" x14ac:dyDescent="0.25">
      <c r="A1989" s="1">
        <v>332</v>
      </c>
      <c r="B1989" s="2">
        <v>42041</v>
      </c>
      <c r="C1989" s="1" t="s">
        <v>27</v>
      </c>
      <c r="D1989" s="5">
        <v>561</v>
      </c>
    </row>
    <row r="1990" spans="1:4" x14ac:dyDescent="0.25">
      <c r="A1990" s="1">
        <v>355</v>
      </c>
      <c r="B1990" s="2">
        <v>42041</v>
      </c>
      <c r="C1990" s="1" t="s">
        <v>108</v>
      </c>
      <c r="D1990" s="5">
        <v>500</v>
      </c>
    </row>
    <row r="1991" spans="1:4" x14ac:dyDescent="0.25">
      <c r="A1991" s="1">
        <v>365</v>
      </c>
      <c r="B1991" s="2">
        <v>42041</v>
      </c>
      <c r="C1991" s="1" t="s">
        <v>29</v>
      </c>
      <c r="D1991" s="5">
        <v>0</v>
      </c>
    </row>
    <row r="1992" spans="1:4" x14ac:dyDescent="0.25">
      <c r="A1992" s="1">
        <v>378</v>
      </c>
      <c r="B1992" s="2">
        <v>42041</v>
      </c>
      <c r="C1992" s="1" t="s">
        <v>109</v>
      </c>
      <c r="D1992" s="5">
        <v>841.67</v>
      </c>
    </row>
    <row r="1993" spans="1:4" x14ac:dyDescent="0.25">
      <c r="A1993" s="1">
        <v>387</v>
      </c>
      <c r="B1993" s="2">
        <v>42041</v>
      </c>
      <c r="C1993" s="1" t="s">
        <v>110</v>
      </c>
      <c r="D1993" s="5">
        <v>136</v>
      </c>
    </row>
    <row r="1994" spans="1:4" x14ac:dyDescent="0.25">
      <c r="A1994" s="1">
        <v>389</v>
      </c>
      <c r="B1994" s="2">
        <v>42041</v>
      </c>
      <c r="C1994" s="1" t="s">
        <v>31</v>
      </c>
      <c r="D1994" s="5">
        <v>1843.53</v>
      </c>
    </row>
    <row r="1995" spans="1:4" x14ac:dyDescent="0.25">
      <c r="A1995" s="1">
        <v>392</v>
      </c>
      <c r="B1995" s="2">
        <v>42041</v>
      </c>
      <c r="C1995" s="1" t="s">
        <v>111</v>
      </c>
      <c r="D1995" s="5">
        <v>1466.67</v>
      </c>
    </row>
    <row r="1996" spans="1:4" x14ac:dyDescent="0.25">
      <c r="A1996" s="1">
        <v>405</v>
      </c>
      <c r="B1996" s="2">
        <v>42041</v>
      </c>
      <c r="C1996" s="1" t="s">
        <v>112</v>
      </c>
      <c r="D1996" s="5">
        <v>133.33000000000001</v>
      </c>
    </row>
    <row r="1997" spans="1:4" x14ac:dyDescent="0.25">
      <c r="A1997" s="1">
        <v>407</v>
      </c>
      <c r="B1997" s="2">
        <v>42041</v>
      </c>
      <c r="C1997" s="1" t="s">
        <v>113</v>
      </c>
      <c r="D1997" s="5">
        <v>150</v>
      </c>
    </row>
    <row r="1998" spans="1:4" x14ac:dyDescent="0.25">
      <c r="A1998" s="1">
        <v>417</v>
      </c>
      <c r="B1998" s="2">
        <v>42041</v>
      </c>
      <c r="C1998" s="1" t="s">
        <v>33</v>
      </c>
      <c r="D1998" s="5">
        <v>2536.87</v>
      </c>
    </row>
    <row r="1999" spans="1:4" x14ac:dyDescent="0.25">
      <c r="A1999" s="1">
        <v>430</v>
      </c>
      <c r="B1999" s="2">
        <v>42041</v>
      </c>
      <c r="C1999" s="1" t="s">
        <v>114</v>
      </c>
      <c r="D1999" s="5">
        <v>-1050</v>
      </c>
    </row>
    <row r="2000" spans="1:4" x14ac:dyDescent="0.25">
      <c r="A2000" s="1">
        <v>438</v>
      </c>
      <c r="B2000" s="2">
        <v>42041</v>
      </c>
      <c r="C2000" s="1" t="s">
        <v>115</v>
      </c>
      <c r="D2000" s="5">
        <v>666.67</v>
      </c>
    </row>
    <row r="2001" spans="1:4" x14ac:dyDescent="0.25">
      <c r="A2001" s="1">
        <v>446</v>
      </c>
      <c r="B2001" s="2">
        <v>42041</v>
      </c>
      <c r="C2001" s="1" t="s">
        <v>116</v>
      </c>
      <c r="D2001" s="5">
        <v>75</v>
      </c>
    </row>
    <row r="2002" spans="1:4" x14ac:dyDescent="0.25">
      <c r="A2002" s="1">
        <v>453</v>
      </c>
      <c r="B2002" s="2">
        <v>42041</v>
      </c>
      <c r="C2002" s="1" t="s">
        <v>117</v>
      </c>
      <c r="D2002" s="5">
        <v>136</v>
      </c>
    </row>
    <row r="2003" spans="1:4" x14ac:dyDescent="0.25">
      <c r="A2003" s="1">
        <v>464</v>
      </c>
      <c r="B2003" s="2">
        <v>42041</v>
      </c>
      <c r="C2003" s="1" t="s">
        <v>118</v>
      </c>
      <c r="D2003" s="5">
        <v>208.33</v>
      </c>
    </row>
    <row r="2004" spans="1:4" x14ac:dyDescent="0.25">
      <c r="A2004" s="1">
        <v>465</v>
      </c>
      <c r="B2004" s="2">
        <v>42041</v>
      </c>
      <c r="C2004" s="1" t="s">
        <v>119</v>
      </c>
      <c r="D2004" s="5">
        <v>143.18</v>
      </c>
    </row>
    <row r="2005" spans="1:4" x14ac:dyDescent="0.25">
      <c r="A2005" s="1">
        <v>468</v>
      </c>
      <c r="B2005" s="2">
        <v>42041</v>
      </c>
      <c r="C2005" s="1"/>
      <c r="D2005" s="5">
        <v>250</v>
      </c>
    </row>
    <row r="2006" spans="1:4" x14ac:dyDescent="0.25">
      <c r="A2006" s="1">
        <v>475</v>
      </c>
      <c r="B2006" s="2">
        <v>42041</v>
      </c>
      <c r="C2006" s="1" t="s">
        <v>120</v>
      </c>
      <c r="D2006" s="5">
        <v>575</v>
      </c>
    </row>
    <row r="2007" spans="1:4" x14ac:dyDescent="0.25">
      <c r="A2007" s="1">
        <v>512</v>
      </c>
      <c r="B2007" s="2">
        <v>42041</v>
      </c>
      <c r="C2007" s="1" t="s">
        <v>121</v>
      </c>
      <c r="D2007" s="5">
        <v>246.5</v>
      </c>
    </row>
    <row r="2008" spans="1:4" x14ac:dyDescent="0.25">
      <c r="A2008" s="1">
        <v>530</v>
      </c>
      <c r="B2008" s="2">
        <v>42041</v>
      </c>
      <c r="C2008" s="1" t="s">
        <v>35</v>
      </c>
      <c r="D2008" s="5">
        <v>-1777</v>
      </c>
    </row>
    <row r="2009" spans="1:4" x14ac:dyDescent="0.25">
      <c r="A2009" s="1">
        <v>539</v>
      </c>
      <c r="B2009" s="2">
        <v>42041</v>
      </c>
      <c r="C2009" s="1" t="s">
        <v>122</v>
      </c>
      <c r="D2009" s="5">
        <v>966.67</v>
      </c>
    </row>
    <row r="2010" spans="1:4" x14ac:dyDescent="0.25">
      <c r="A2010" s="1">
        <v>582</v>
      </c>
      <c r="B2010" s="2">
        <v>42041</v>
      </c>
      <c r="C2010" s="1" t="s">
        <v>123</v>
      </c>
      <c r="D2010" s="5">
        <v>0</v>
      </c>
    </row>
    <row r="2011" spans="1:4" x14ac:dyDescent="0.25">
      <c r="A2011" s="1">
        <v>583</v>
      </c>
      <c r="B2011" s="2">
        <v>42041</v>
      </c>
      <c r="C2011" s="1" t="s">
        <v>124</v>
      </c>
      <c r="D2011" s="5">
        <v>476</v>
      </c>
    </row>
    <row r="2012" spans="1:4" x14ac:dyDescent="0.25">
      <c r="A2012" s="1">
        <v>593</v>
      </c>
      <c r="B2012" s="2">
        <v>42041</v>
      </c>
      <c r="C2012" s="1" t="s">
        <v>38</v>
      </c>
      <c r="D2012" s="5">
        <v>238</v>
      </c>
    </row>
    <row r="2013" spans="1:4" x14ac:dyDescent="0.25">
      <c r="A2013" s="1">
        <v>599</v>
      </c>
      <c r="B2013" s="2">
        <v>42041</v>
      </c>
      <c r="C2013" s="1" t="s">
        <v>125</v>
      </c>
      <c r="D2013" s="5">
        <v>425</v>
      </c>
    </row>
    <row r="2014" spans="1:4" x14ac:dyDescent="0.25">
      <c r="A2014" s="1">
        <v>601</v>
      </c>
      <c r="B2014" s="2">
        <v>42041</v>
      </c>
      <c r="C2014" s="1" t="s">
        <v>126</v>
      </c>
      <c r="D2014" s="5">
        <v>-153</v>
      </c>
    </row>
    <row r="2015" spans="1:4" x14ac:dyDescent="0.25">
      <c r="A2015" s="1">
        <v>604</v>
      </c>
      <c r="B2015" s="2">
        <v>42041</v>
      </c>
      <c r="C2015" s="1" t="s">
        <v>127</v>
      </c>
      <c r="D2015" s="5">
        <v>375</v>
      </c>
    </row>
    <row r="2016" spans="1:4" x14ac:dyDescent="0.25">
      <c r="A2016" s="1">
        <v>606</v>
      </c>
      <c r="B2016" s="2">
        <v>42041</v>
      </c>
      <c r="C2016" s="1" t="s">
        <v>128</v>
      </c>
      <c r="D2016" s="5">
        <v>221</v>
      </c>
    </row>
    <row r="2017" spans="1:4" x14ac:dyDescent="0.25">
      <c r="A2017" s="1">
        <v>607</v>
      </c>
      <c r="B2017" s="2">
        <v>42041</v>
      </c>
      <c r="C2017" s="1" t="s">
        <v>39</v>
      </c>
      <c r="D2017" s="5">
        <v>250</v>
      </c>
    </row>
    <row r="2018" spans="1:4" x14ac:dyDescent="0.25">
      <c r="A2018" s="1">
        <v>610</v>
      </c>
      <c r="B2018" s="2">
        <v>42041</v>
      </c>
      <c r="C2018" s="1" t="s">
        <v>129</v>
      </c>
      <c r="D2018" s="5">
        <v>91.67</v>
      </c>
    </row>
    <row r="2019" spans="1:4" x14ac:dyDescent="0.25">
      <c r="A2019" s="1">
        <v>614</v>
      </c>
      <c r="B2019" s="2">
        <v>42041</v>
      </c>
      <c r="C2019" s="1" t="s">
        <v>130</v>
      </c>
      <c r="D2019" s="5">
        <v>204</v>
      </c>
    </row>
    <row r="2020" spans="1:4" x14ac:dyDescent="0.25">
      <c r="A2020" s="1">
        <v>616</v>
      </c>
      <c r="B2020" s="2">
        <v>42041</v>
      </c>
      <c r="C2020" s="1" t="s">
        <v>40</v>
      </c>
      <c r="D2020" s="5">
        <v>136</v>
      </c>
    </row>
    <row r="2021" spans="1:4" x14ac:dyDescent="0.25">
      <c r="A2021" s="1">
        <v>648</v>
      </c>
      <c r="B2021" s="2">
        <v>42041</v>
      </c>
      <c r="C2021" s="1" t="s">
        <v>42</v>
      </c>
      <c r="D2021" s="5">
        <v>-2390</v>
      </c>
    </row>
    <row r="2022" spans="1:4" x14ac:dyDescent="0.25">
      <c r="A2022" s="1">
        <v>656</v>
      </c>
      <c r="B2022" s="2">
        <v>42041</v>
      </c>
      <c r="C2022" s="1" t="s">
        <v>43</v>
      </c>
      <c r="D2022" s="5">
        <v>0</v>
      </c>
    </row>
    <row r="2023" spans="1:4" x14ac:dyDescent="0.25">
      <c r="A2023" s="1">
        <v>657</v>
      </c>
      <c r="B2023" s="2">
        <v>42041</v>
      </c>
      <c r="C2023" s="1" t="s">
        <v>131</v>
      </c>
      <c r="D2023" s="5">
        <v>325</v>
      </c>
    </row>
    <row r="2024" spans="1:4" x14ac:dyDescent="0.25">
      <c r="A2024" s="1">
        <v>659</v>
      </c>
      <c r="B2024" s="2">
        <v>42041</v>
      </c>
      <c r="C2024" s="1" t="s">
        <v>44</v>
      </c>
      <c r="D2024" s="5">
        <v>250</v>
      </c>
    </row>
    <row r="2025" spans="1:4" x14ac:dyDescent="0.25">
      <c r="A2025" s="1">
        <v>660</v>
      </c>
      <c r="B2025" s="2">
        <v>42041</v>
      </c>
      <c r="C2025" s="1" t="s">
        <v>132</v>
      </c>
      <c r="D2025" s="5">
        <v>357</v>
      </c>
    </row>
    <row r="2026" spans="1:4" x14ac:dyDescent="0.25">
      <c r="A2026" s="1">
        <v>687</v>
      </c>
      <c r="B2026" s="2">
        <v>42041</v>
      </c>
      <c r="C2026" s="1" t="s">
        <v>133</v>
      </c>
      <c r="D2026" s="5">
        <v>517</v>
      </c>
    </row>
    <row r="2027" spans="1:4" x14ac:dyDescent="0.25">
      <c r="A2027" s="1">
        <v>690</v>
      </c>
      <c r="B2027" s="2">
        <v>42041</v>
      </c>
      <c r="C2027" s="1" t="s">
        <v>48</v>
      </c>
      <c r="D2027" s="5">
        <v>-51.69</v>
      </c>
    </row>
    <row r="2028" spans="1:4" x14ac:dyDescent="0.25">
      <c r="A2028" s="1">
        <v>702</v>
      </c>
      <c r="B2028" s="2">
        <v>42041</v>
      </c>
      <c r="C2028" s="1" t="s">
        <v>134</v>
      </c>
      <c r="D2028" s="5">
        <v>1025</v>
      </c>
    </row>
    <row r="2029" spans="1:4" x14ac:dyDescent="0.25">
      <c r="A2029" s="1">
        <v>707</v>
      </c>
      <c r="B2029" s="2">
        <v>42041</v>
      </c>
      <c r="C2029" s="1" t="s">
        <v>52</v>
      </c>
      <c r="D2029" s="5">
        <v>0</v>
      </c>
    </row>
    <row r="2030" spans="1:4" x14ac:dyDescent="0.25">
      <c r="A2030" s="1">
        <v>722</v>
      </c>
      <c r="B2030" s="2">
        <v>42041</v>
      </c>
      <c r="C2030" s="1" t="s">
        <v>135</v>
      </c>
      <c r="D2030" s="5">
        <v>257</v>
      </c>
    </row>
    <row r="2031" spans="1:4" x14ac:dyDescent="0.25">
      <c r="A2031" s="1">
        <v>726</v>
      </c>
      <c r="B2031" s="2">
        <v>42041</v>
      </c>
      <c r="C2031" s="1" t="s">
        <v>53</v>
      </c>
      <c r="D2031" s="5">
        <v>0</v>
      </c>
    </row>
    <row r="2032" spans="1:4" x14ac:dyDescent="0.25">
      <c r="A2032" s="1">
        <v>771</v>
      </c>
      <c r="B2032" s="2">
        <v>42041</v>
      </c>
      <c r="C2032" s="1" t="s">
        <v>57</v>
      </c>
      <c r="D2032" s="5">
        <v>340</v>
      </c>
    </row>
    <row r="2033" spans="1:4" x14ac:dyDescent="0.25">
      <c r="A2033" s="1">
        <v>775</v>
      </c>
      <c r="B2033" s="2">
        <v>42041</v>
      </c>
      <c r="C2033" s="1" t="s">
        <v>136</v>
      </c>
      <c r="D2033" s="5">
        <v>138.66999999999999</v>
      </c>
    </row>
    <row r="2034" spans="1:4" x14ac:dyDescent="0.25">
      <c r="A2034" s="1">
        <v>817</v>
      </c>
      <c r="B2034" s="2">
        <v>42041</v>
      </c>
      <c r="C2034" s="1" t="s">
        <v>60</v>
      </c>
      <c r="D2034" s="5">
        <v>250</v>
      </c>
    </row>
    <row r="2035" spans="1:4" x14ac:dyDescent="0.25">
      <c r="A2035" s="1">
        <v>823</v>
      </c>
      <c r="B2035" s="2">
        <v>42041</v>
      </c>
      <c r="C2035" s="1" t="s">
        <v>61</v>
      </c>
      <c r="D2035" s="5">
        <v>500</v>
      </c>
    </row>
    <row r="2036" spans="1:4" x14ac:dyDescent="0.25">
      <c r="A2036" s="1">
        <v>832</v>
      </c>
      <c r="B2036" s="2">
        <v>42041</v>
      </c>
      <c r="C2036" s="1" t="s">
        <v>137</v>
      </c>
      <c r="D2036" s="5">
        <v>725</v>
      </c>
    </row>
    <row r="2037" spans="1:4" x14ac:dyDescent="0.25">
      <c r="A2037" s="1">
        <v>857</v>
      </c>
      <c r="B2037" s="2">
        <v>42041</v>
      </c>
      <c r="C2037" s="1" t="s">
        <v>138</v>
      </c>
      <c r="D2037" s="5">
        <v>500</v>
      </c>
    </row>
    <row r="2038" spans="1:4" x14ac:dyDescent="0.25">
      <c r="A2038" s="1">
        <v>867</v>
      </c>
      <c r="B2038" s="2">
        <v>42041</v>
      </c>
      <c r="C2038" s="1" t="s">
        <v>139</v>
      </c>
      <c r="D2038" s="5">
        <v>0</v>
      </c>
    </row>
    <row r="2039" spans="1:4" x14ac:dyDescent="0.25">
      <c r="A2039" s="1">
        <v>890</v>
      </c>
      <c r="B2039" s="2">
        <v>42041</v>
      </c>
      <c r="C2039" s="1" t="s">
        <v>140</v>
      </c>
      <c r="D2039" s="5">
        <v>0</v>
      </c>
    </row>
    <row r="2040" spans="1:4" x14ac:dyDescent="0.25">
      <c r="A2040" s="1">
        <v>893</v>
      </c>
      <c r="B2040" s="2">
        <v>42041</v>
      </c>
      <c r="C2040" s="1" t="s">
        <v>141</v>
      </c>
      <c r="D2040" s="5">
        <v>0</v>
      </c>
    </row>
    <row r="2041" spans="1:4" x14ac:dyDescent="0.25">
      <c r="A2041" s="1">
        <v>894</v>
      </c>
      <c r="B2041" s="2">
        <v>42041</v>
      </c>
      <c r="C2041" s="1" t="s">
        <v>142</v>
      </c>
      <c r="D2041" s="5">
        <v>469</v>
      </c>
    </row>
    <row r="2042" spans="1:4" x14ac:dyDescent="0.25">
      <c r="A2042" s="1">
        <v>897</v>
      </c>
      <c r="B2042" s="2">
        <v>42041</v>
      </c>
      <c r="C2042" s="1" t="s">
        <v>66</v>
      </c>
      <c r="D2042" s="5">
        <v>0</v>
      </c>
    </row>
    <row r="2043" spans="1:4" x14ac:dyDescent="0.25">
      <c r="A2043" s="1">
        <v>908</v>
      </c>
      <c r="B2043" s="2">
        <v>42041</v>
      </c>
      <c r="C2043" s="1" t="s">
        <v>143</v>
      </c>
      <c r="D2043" s="5">
        <v>0</v>
      </c>
    </row>
    <row r="2044" spans="1:4" x14ac:dyDescent="0.25">
      <c r="A2044" s="1">
        <v>911</v>
      </c>
      <c r="B2044" s="2">
        <v>42041</v>
      </c>
      <c r="C2044" s="1" t="s">
        <v>144</v>
      </c>
      <c r="D2044" s="5">
        <v>0</v>
      </c>
    </row>
    <row r="2045" spans="1:4" x14ac:dyDescent="0.25">
      <c r="A2045" s="1">
        <v>912</v>
      </c>
      <c r="B2045" s="2">
        <v>42041</v>
      </c>
      <c r="C2045" s="1" t="s">
        <v>145</v>
      </c>
      <c r="D2045" s="5">
        <v>0</v>
      </c>
    </row>
    <row r="2046" spans="1:4" x14ac:dyDescent="0.25">
      <c r="A2046" s="1">
        <v>915</v>
      </c>
      <c r="B2046" s="2">
        <v>42041</v>
      </c>
      <c r="C2046" s="1" t="s">
        <v>146</v>
      </c>
      <c r="D2046" s="5">
        <v>0</v>
      </c>
    </row>
    <row r="2047" spans="1:4" x14ac:dyDescent="0.25">
      <c r="A2047" s="1">
        <v>930</v>
      </c>
      <c r="B2047" s="2">
        <v>42041</v>
      </c>
      <c r="C2047" s="1" t="s">
        <v>147</v>
      </c>
      <c r="D2047" s="5">
        <v>0</v>
      </c>
    </row>
    <row r="2048" spans="1:4" x14ac:dyDescent="0.25">
      <c r="A2048" s="1">
        <v>940</v>
      </c>
      <c r="B2048" s="2">
        <v>42041</v>
      </c>
      <c r="C2048" s="1" t="s">
        <v>148</v>
      </c>
      <c r="D2048" s="5">
        <v>663</v>
      </c>
    </row>
    <row r="2049" spans="1:4" x14ac:dyDescent="0.25">
      <c r="A2049" s="1">
        <v>941</v>
      </c>
      <c r="B2049" s="2">
        <v>42041</v>
      </c>
      <c r="C2049" s="1" t="s">
        <v>149</v>
      </c>
      <c r="D2049" s="5">
        <v>0</v>
      </c>
    </row>
    <row r="2050" spans="1:4" x14ac:dyDescent="0.25">
      <c r="A2050" s="1">
        <v>945</v>
      </c>
      <c r="B2050" s="2">
        <v>42041</v>
      </c>
      <c r="C2050" s="1" t="s">
        <v>70</v>
      </c>
      <c r="D2050" s="5">
        <v>0</v>
      </c>
    </row>
    <row r="2051" spans="1:4" x14ac:dyDescent="0.25">
      <c r="A2051" s="1">
        <v>949</v>
      </c>
      <c r="B2051" s="2">
        <v>42041</v>
      </c>
      <c r="C2051" s="1" t="s">
        <v>150</v>
      </c>
      <c r="D2051" s="5">
        <v>0</v>
      </c>
    </row>
    <row r="2052" spans="1:4" x14ac:dyDescent="0.25">
      <c r="A2052" s="1">
        <v>957</v>
      </c>
      <c r="B2052" s="2">
        <v>42041</v>
      </c>
      <c r="C2052" s="1" t="s">
        <v>151</v>
      </c>
      <c r="D2052" s="5">
        <v>0</v>
      </c>
    </row>
    <row r="2053" spans="1:4" x14ac:dyDescent="0.25">
      <c r="A2053" s="1">
        <v>962</v>
      </c>
      <c r="B2053" s="2">
        <v>42041</v>
      </c>
      <c r="C2053" s="1" t="s">
        <v>152</v>
      </c>
      <c r="D2053" s="5">
        <v>0</v>
      </c>
    </row>
    <row r="2054" spans="1:4" x14ac:dyDescent="0.25">
      <c r="A2054" s="1">
        <v>966</v>
      </c>
      <c r="B2054" s="2">
        <v>42041</v>
      </c>
      <c r="C2054" s="1" t="s">
        <v>72</v>
      </c>
      <c r="D2054" s="5">
        <v>0</v>
      </c>
    </row>
    <row r="2055" spans="1:4" x14ac:dyDescent="0.25">
      <c r="A2055" s="1">
        <v>967</v>
      </c>
      <c r="B2055" s="2">
        <v>42041</v>
      </c>
      <c r="C2055" s="1" t="s">
        <v>153</v>
      </c>
      <c r="D2055" s="5">
        <v>0</v>
      </c>
    </row>
    <row r="2056" spans="1:4" x14ac:dyDescent="0.25">
      <c r="A2056" s="1">
        <v>969</v>
      </c>
      <c r="B2056" s="2">
        <v>42041</v>
      </c>
      <c r="C2056" s="1" t="s">
        <v>154</v>
      </c>
      <c r="D2056" s="5">
        <v>0</v>
      </c>
    </row>
    <row r="2057" spans="1:4" x14ac:dyDescent="0.25">
      <c r="A2057" s="1">
        <v>974</v>
      </c>
      <c r="B2057" s="2">
        <v>42041</v>
      </c>
      <c r="C2057" s="1" t="s">
        <v>155</v>
      </c>
      <c r="D2057" s="5">
        <v>556</v>
      </c>
    </row>
    <row r="2058" spans="1:4" x14ac:dyDescent="0.25">
      <c r="A2058" s="1">
        <v>975</v>
      </c>
      <c r="B2058" s="2">
        <v>42041</v>
      </c>
      <c r="C2058" s="1" t="s">
        <v>156</v>
      </c>
      <c r="D2058" s="5">
        <v>0</v>
      </c>
    </row>
    <row r="2059" spans="1:4" x14ac:dyDescent="0.25">
      <c r="A2059" s="8">
        <v>22</v>
      </c>
      <c r="B2059" s="11">
        <v>42048</v>
      </c>
      <c r="C2059" s="8" t="s">
        <v>4</v>
      </c>
      <c r="D2059" s="14">
        <v>1325</v>
      </c>
    </row>
    <row r="2060" spans="1:4" x14ac:dyDescent="0.25">
      <c r="A2060" s="8">
        <v>23</v>
      </c>
      <c r="B2060" s="11">
        <v>42048</v>
      </c>
      <c r="C2060" s="8" t="s">
        <v>5</v>
      </c>
      <c r="D2060" s="14">
        <v>262.72000000000003</v>
      </c>
    </row>
    <row r="2061" spans="1:4" x14ac:dyDescent="0.25">
      <c r="A2061" s="8">
        <v>28</v>
      </c>
      <c r="B2061" s="11">
        <v>42048</v>
      </c>
      <c r="C2061" s="8" t="s">
        <v>6</v>
      </c>
      <c r="D2061" s="14">
        <v>1550</v>
      </c>
    </row>
    <row r="2062" spans="1:4" x14ac:dyDescent="0.25">
      <c r="A2062" s="8">
        <v>32</v>
      </c>
      <c r="B2062" s="11">
        <v>42048</v>
      </c>
      <c r="C2062" s="8" t="s">
        <v>7</v>
      </c>
      <c r="D2062" s="14">
        <v>3618.57</v>
      </c>
    </row>
    <row r="2063" spans="1:4" x14ac:dyDescent="0.25">
      <c r="A2063" s="8">
        <v>34</v>
      </c>
      <c r="B2063" s="11">
        <v>42048</v>
      </c>
      <c r="C2063" s="8" t="s">
        <v>8</v>
      </c>
      <c r="D2063" s="14">
        <v>170.27</v>
      </c>
    </row>
    <row r="2064" spans="1:4" x14ac:dyDescent="0.25">
      <c r="A2064" s="8">
        <v>40</v>
      </c>
      <c r="B2064" s="11">
        <v>42048</v>
      </c>
      <c r="C2064" s="8" t="s">
        <v>9</v>
      </c>
      <c r="D2064" s="14">
        <v>-368.22</v>
      </c>
    </row>
    <row r="2065" spans="1:4" x14ac:dyDescent="0.25">
      <c r="A2065" s="8">
        <v>41</v>
      </c>
      <c r="B2065" s="11">
        <v>42048</v>
      </c>
      <c r="C2065" s="8" t="s">
        <v>10</v>
      </c>
      <c r="D2065" s="14">
        <v>1157.5999999999999</v>
      </c>
    </row>
    <row r="2066" spans="1:4" x14ac:dyDescent="0.25">
      <c r="A2066" s="8">
        <v>77</v>
      </c>
      <c r="B2066" s="11">
        <v>42048</v>
      </c>
      <c r="C2066" s="8" t="s">
        <v>11</v>
      </c>
      <c r="D2066" s="14">
        <v>1212.5</v>
      </c>
    </row>
    <row r="2067" spans="1:4" x14ac:dyDescent="0.25">
      <c r="A2067" s="8">
        <v>86</v>
      </c>
      <c r="B2067" s="11">
        <v>42048</v>
      </c>
      <c r="C2067" s="8" t="s">
        <v>12</v>
      </c>
      <c r="D2067" s="14">
        <v>-379.73</v>
      </c>
    </row>
    <row r="2068" spans="1:4" x14ac:dyDescent="0.25">
      <c r="A2068" s="8">
        <v>103</v>
      </c>
      <c r="B2068" s="11">
        <v>42048</v>
      </c>
      <c r="C2068" s="8" t="s">
        <v>13</v>
      </c>
      <c r="D2068" s="14">
        <v>-484.5</v>
      </c>
    </row>
    <row r="2069" spans="1:4" x14ac:dyDescent="0.25">
      <c r="A2069" s="8">
        <v>107</v>
      </c>
      <c r="B2069" s="11">
        <v>42048</v>
      </c>
      <c r="C2069" s="8" t="s">
        <v>14</v>
      </c>
      <c r="D2069" s="14">
        <v>2787.5</v>
      </c>
    </row>
    <row r="2070" spans="1:4" x14ac:dyDescent="0.25">
      <c r="A2070" s="8">
        <v>136</v>
      </c>
      <c r="B2070" s="11">
        <v>42048</v>
      </c>
      <c r="C2070" s="8" t="s">
        <v>15</v>
      </c>
      <c r="D2070" s="14">
        <v>765</v>
      </c>
    </row>
    <row r="2071" spans="1:4" x14ac:dyDescent="0.25">
      <c r="A2071" s="8">
        <v>138</v>
      </c>
      <c r="B2071" s="11">
        <v>42048</v>
      </c>
      <c r="C2071" s="8" t="s">
        <v>16</v>
      </c>
      <c r="D2071" s="14">
        <v>382.5</v>
      </c>
    </row>
    <row r="2072" spans="1:4" x14ac:dyDescent="0.25">
      <c r="A2072" s="8">
        <v>185</v>
      </c>
      <c r="B2072" s="11">
        <v>42048</v>
      </c>
      <c r="C2072" s="8" t="s">
        <v>17</v>
      </c>
      <c r="D2072" s="14">
        <v>-92</v>
      </c>
    </row>
    <row r="2073" spans="1:4" x14ac:dyDescent="0.25">
      <c r="A2073" s="8">
        <v>222</v>
      </c>
      <c r="B2073" s="11">
        <v>42048</v>
      </c>
      <c r="C2073" s="8" t="s">
        <v>18</v>
      </c>
      <c r="D2073" s="14">
        <v>1550</v>
      </c>
    </row>
    <row r="2074" spans="1:4" x14ac:dyDescent="0.25">
      <c r="A2074" s="8">
        <v>248</v>
      </c>
      <c r="B2074" s="11">
        <v>42048</v>
      </c>
      <c r="C2074" s="8" t="s">
        <v>19</v>
      </c>
      <c r="D2074" s="14">
        <v>-561</v>
      </c>
    </row>
    <row r="2075" spans="1:4" x14ac:dyDescent="0.25">
      <c r="A2075" s="8">
        <v>251</v>
      </c>
      <c r="B2075" s="11">
        <v>42048</v>
      </c>
      <c r="C2075" s="8" t="s">
        <v>20</v>
      </c>
      <c r="D2075" s="14">
        <v>1050</v>
      </c>
    </row>
    <row r="2076" spans="1:4" x14ac:dyDescent="0.25">
      <c r="A2076" s="8">
        <v>255</v>
      </c>
      <c r="B2076" s="11">
        <v>42048</v>
      </c>
      <c r="C2076" s="8" t="s">
        <v>21</v>
      </c>
      <c r="D2076" s="14">
        <v>850</v>
      </c>
    </row>
    <row r="2077" spans="1:4" x14ac:dyDescent="0.25">
      <c r="A2077" s="8">
        <v>261</v>
      </c>
      <c r="B2077" s="11">
        <v>42048</v>
      </c>
      <c r="C2077" s="8" t="s">
        <v>22</v>
      </c>
      <c r="D2077" s="14">
        <v>1585.48</v>
      </c>
    </row>
    <row r="2078" spans="1:4" x14ac:dyDescent="0.25">
      <c r="A2078" s="8">
        <v>282</v>
      </c>
      <c r="B2078" s="11">
        <v>42048</v>
      </c>
      <c r="C2078" s="8" t="s">
        <v>23</v>
      </c>
      <c r="D2078" s="14">
        <v>250</v>
      </c>
    </row>
    <row r="2079" spans="1:4" x14ac:dyDescent="0.25">
      <c r="A2079" s="8">
        <v>289</v>
      </c>
      <c r="B2079" s="11">
        <v>42048</v>
      </c>
      <c r="C2079" s="8" t="s">
        <v>24</v>
      </c>
      <c r="D2079" s="14">
        <v>-566</v>
      </c>
    </row>
    <row r="2080" spans="1:4" x14ac:dyDescent="0.25">
      <c r="A2080" s="8">
        <v>326</v>
      </c>
      <c r="B2080" s="11">
        <v>42048</v>
      </c>
      <c r="C2080" s="8" t="s">
        <v>25</v>
      </c>
      <c r="D2080" s="14">
        <v>250</v>
      </c>
    </row>
    <row r="2081" spans="1:4" x14ac:dyDescent="0.25">
      <c r="A2081" s="8">
        <v>328</v>
      </c>
      <c r="B2081" s="11">
        <v>42048</v>
      </c>
      <c r="C2081" s="8" t="s">
        <v>26</v>
      </c>
      <c r="D2081" s="14">
        <v>306</v>
      </c>
    </row>
    <row r="2082" spans="1:4" x14ac:dyDescent="0.25">
      <c r="A2082" s="8">
        <v>332</v>
      </c>
      <c r="B2082" s="11">
        <v>42048</v>
      </c>
      <c r="C2082" s="8" t="s">
        <v>27</v>
      </c>
      <c r="D2082" s="14">
        <v>-2065.5</v>
      </c>
    </row>
    <row r="2083" spans="1:4" x14ac:dyDescent="0.25">
      <c r="A2083" s="8">
        <v>343</v>
      </c>
      <c r="B2083" s="11">
        <v>42048</v>
      </c>
      <c r="C2083" s="8" t="s">
        <v>28</v>
      </c>
      <c r="D2083" s="14">
        <v>-92</v>
      </c>
    </row>
    <row r="2084" spans="1:4" x14ac:dyDescent="0.25">
      <c r="A2084" s="8">
        <v>365</v>
      </c>
      <c r="B2084" s="11">
        <v>42048</v>
      </c>
      <c r="C2084" s="8" t="s">
        <v>29</v>
      </c>
      <c r="D2084" s="14">
        <v>1257.75</v>
      </c>
    </row>
    <row r="2085" spans="1:4" x14ac:dyDescent="0.25">
      <c r="A2085" s="8">
        <v>379</v>
      </c>
      <c r="B2085" s="11">
        <v>42048</v>
      </c>
      <c r="C2085" s="8" t="s">
        <v>30</v>
      </c>
      <c r="D2085" s="14">
        <v>-306.55</v>
      </c>
    </row>
    <row r="2086" spans="1:4" x14ac:dyDescent="0.25">
      <c r="A2086" s="8">
        <v>389</v>
      </c>
      <c r="B2086" s="11">
        <v>42048</v>
      </c>
      <c r="C2086" s="8" t="s">
        <v>31</v>
      </c>
      <c r="D2086" s="14">
        <v>325</v>
      </c>
    </row>
    <row r="2087" spans="1:4" x14ac:dyDescent="0.25">
      <c r="A2087" s="8">
        <v>410</v>
      </c>
      <c r="B2087" s="11">
        <v>42048</v>
      </c>
      <c r="C2087" s="8" t="s">
        <v>32</v>
      </c>
      <c r="D2087" s="14">
        <v>-917.29</v>
      </c>
    </row>
    <row r="2088" spans="1:4" x14ac:dyDescent="0.25">
      <c r="A2088" s="8">
        <v>417</v>
      </c>
      <c r="B2088" s="11">
        <v>42048</v>
      </c>
      <c r="C2088" s="8" t="s">
        <v>33</v>
      </c>
      <c r="D2088" s="14">
        <v>715.68</v>
      </c>
    </row>
    <row r="2089" spans="1:4" x14ac:dyDescent="0.25">
      <c r="A2089" s="8">
        <v>480</v>
      </c>
      <c r="B2089" s="11">
        <v>42048</v>
      </c>
      <c r="C2089" s="8" t="s">
        <v>34</v>
      </c>
      <c r="D2089" s="14">
        <v>-306.55</v>
      </c>
    </row>
    <row r="2090" spans="1:4" x14ac:dyDescent="0.25">
      <c r="A2090" s="8">
        <v>530</v>
      </c>
      <c r="B2090" s="11">
        <v>42048</v>
      </c>
      <c r="C2090" s="8" t="s">
        <v>35</v>
      </c>
      <c r="D2090" s="14">
        <v>250</v>
      </c>
    </row>
    <row r="2091" spans="1:4" x14ac:dyDescent="0.25">
      <c r="A2091" s="8">
        <v>576</v>
      </c>
      <c r="B2091" s="11">
        <v>42048</v>
      </c>
      <c r="C2091" s="8" t="s">
        <v>36</v>
      </c>
      <c r="D2091" s="14">
        <v>-203.29</v>
      </c>
    </row>
    <row r="2092" spans="1:4" x14ac:dyDescent="0.25">
      <c r="A2092" s="8">
        <v>580</v>
      </c>
      <c r="B2092" s="11">
        <v>42048</v>
      </c>
      <c r="C2092" s="8" t="s">
        <v>37</v>
      </c>
      <c r="D2092" s="14">
        <v>250</v>
      </c>
    </row>
    <row r="2093" spans="1:4" x14ac:dyDescent="0.25">
      <c r="A2093" s="8">
        <v>593</v>
      </c>
      <c r="B2093" s="11">
        <v>42048</v>
      </c>
      <c r="C2093" s="8" t="s">
        <v>38</v>
      </c>
      <c r="D2093" s="14">
        <v>892.5</v>
      </c>
    </row>
    <row r="2094" spans="1:4" x14ac:dyDescent="0.25">
      <c r="A2094" s="8">
        <v>607</v>
      </c>
      <c r="B2094" s="11">
        <v>42048</v>
      </c>
      <c r="C2094" s="8" t="s">
        <v>39</v>
      </c>
      <c r="D2094" s="14">
        <v>250</v>
      </c>
    </row>
    <row r="2095" spans="1:4" x14ac:dyDescent="0.25">
      <c r="A2095" s="8">
        <v>616</v>
      </c>
      <c r="B2095" s="11">
        <v>42048</v>
      </c>
      <c r="C2095" s="8" t="s">
        <v>40</v>
      </c>
      <c r="D2095" s="14">
        <v>250</v>
      </c>
    </row>
    <row r="2096" spans="1:4" x14ac:dyDescent="0.25">
      <c r="A2096" s="8">
        <v>632</v>
      </c>
      <c r="B2096" s="11">
        <v>42048</v>
      </c>
      <c r="C2096" s="8" t="s">
        <v>41</v>
      </c>
      <c r="D2096" s="14">
        <v>987.5</v>
      </c>
    </row>
    <row r="2097" spans="1:4" x14ac:dyDescent="0.25">
      <c r="A2097" s="8">
        <v>648</v>
      </c>
      <c r="B2097" s="11">
        <v>42048</v>
      </c>
      <c r="C2097" s="8" t="s">
        <v>42</v>
      </c>
      <c r="D2097" s="14">
        <v>525</v>
      </c>
    </row>
    <row r="2098" spans="1:4" x14ac:dyDescent="0.25">
      <c r="A2098" s="8">
        <v>656</v>
      </c>
      <c r="B2098" s="11">
        <v>42048</v>
      </c>
      <c r="C2098" s="8" t="s">
        <v>43</v>
      </c>
      <c r="D2098" s="14">
        <v>250</v>
      </c>
    </row>
    <row r="2099" spans="1:4" x14ac:dyDescent="0.25">
      <c r="A2099" s="8">
        <v>659</v>
      </c>
      <c r="B2099" s="11">
        <v>42048</v>
      </c>
      <c r="C2099" s="8" t="s">
        <v>44</v>
      </c>
      <c r="D2099" s="14">
        <v>438.5</v>
      </c>
    </row>
    <row r="2100" spans="1:4" x14ac:dyDescent="0.25">
      <c r="A2100" s="8">
        <v>674</v>
      </c>
      <c r="B2100" s="11">
        <v>42048</v>
      </c>
      <c r="C2100" s="8" t="s">
        <v>45</v>
      </c>
      <c r="D2100" s="14">
        <v>250</v>
      </c>
    </row>
    <row r="2101" spans="1:4" x14ac:dyDescent="0.25">
      <c r="A2101" s="8">
        <v>680</v>
      </c>
      <c r="B2101" s="11">
        <v>42048</v>
      </c>
      <c r="C2101" s="8" t="s">
        <v>46</v>
      </c>
      <c r="D2101" s="14">
        <v>-92</v>
      </c>
    </row>
    <row r="2102" spans="1:4" x14ac:dyDescent="0.25">
      <c r="A2102" s="8">
        <v>689</v>
      </c>
      <c r="B2102" s="11">
        <v>42048</v>
      </c>
      <c r="C2102" s="8" t="s">
        <v>47</v>
      </c>
      <c r="D2102" s="14">
        <v>475</v>
      </c>
    </row>
    <row r="2103" spans="1:4" x14ac:dyDescent="0.25">
      <c r="A2103" s="8">
        <v>690</v>
      </c>
      <c r="B2103" s="11">
        <v>42048</v>
      </c>
      <c r="C2103" s="8" t="s">
        <v>48</v>
      </c>
      <c r="D2103" s="14">
        <v>-111.67</v>
      </c>
    </row>
    <row r="2104" spans="1:4" x14ac:dyDescent="0.25">
      <c r="A2104" s="8">
        <v>691</v>
      </c>
      <c r="B2104" s="11">
        <v>42048</v>
      </c>
      <c r="C2104" s="8" t="s">
        <v>49</v>
      </c>
      <c r="D2104" s="14">
        <v>967.39</v>
      </c>
    </row>
    <row r="2105" spans="1:4" x14ac:dyDescent="0.25">
      <c r="A2105" s="8">
        <v>692</v>
      </c>
      <c r="B2105" s="11">
        <v>42048</v>
      </c>
      <c r="C2105" s="8" t="s">
        <v>50</v>
      </c>
      <c r="D2105" s="14">
        <v>515</v>
      </c>
    </row>
    <row r="2106" spans="1:4" x14ac:dyDescent="0.25">
      <c r="A2106" s="8">
        <v>703</v>
      </c>
      <c r="B2106" s="11">
        <v>42048</v>
      </c>
      <c r="C2106" s="8" t="s">
        <v>51</v>
      </c>
      <c r="D2106" s="14">
        <v>221</v>
      </c>
    </row>
    <row r="2107" spans="1:4" x14ac:dyDescent="0.25">
      <c r="A2107" s="8">
        <v>707</v>
      </c>
      <c r="B2107" s="11">
        <v>42048</v>
      </c>
      <c r="C2107" s="8" t="s">
        <v>52</v>
      </c>
      <c r="D2107" s="14">
        <v>0</v>
      </c>
    </row>
    <row r="2108" spans="1:4" x14ac:dyDescent="0.25">
      <c r="A2108" s="8">
        <v>726</v>
      </c>
      <c r="B2108" s="11">
        <v>42048</v>
      </c>
      <c r="C2108" s="8" t="s">
        <v>53</v>
      </c>
      <c r="D2108" s="14">
        <v>535.5</v>
      </c>
    </row>
    <row r="2109" spans="1:4" x14ac:dyDescent="0.25">
      <c r="A2109" s="8">
        <v>735</v>
      </c>
      <c r="B2109" s="11">
        <v>42048</v>
      </c>
      <c r="C2109" s="8" t="s">
        <v>54</v>
      </c>
      <c r="D2109" s="14">
        <v>250</v>
      </c>
    </row>
    <row r="2110" spans="1:4" x14ac:dyDescent="0.25">
      <c r="A2110" s="8">
        <v>750</v>
      </c>
      <c r="B2110" s="11">
        <v>42048</v>
      </c>
      <c r="C2110" s="8" t="s">
        <v>55</v>
      </c>
      <c r="D2110" s="14">
        <v>1377</v>
      </c>
    </row>
    <row r="2111" spans="1:4" x14ac:dyDescent="0.25">
      <c r="A2111" s="8">
        <v>758</v>
      </c>
      <c r="B2111" s="11">
        <v>42048</v>
      </c>
      <c r="C2111" s="8" t="s">
        <v>56</v>
      </c>
      <c r="D2111" s="14">
        <v>1158</v>
      </c>
    </row>
    <row r="2112" spans="1:4" x14ac:dyDescent="0.25">
      <c r="A2112" s="8">
        <v>771</v>
      </c>
      <c r="B2112" s="11">
        <v>42048</v>
      </c>
      <c r="C2112" s="8" t="s">
        <v>57</v>
      </c>
      <c r="D2112" s="14">
        <v>325</v>
      </c>
    </row>
    <row r="2113" spans="1:4" x14ac:dyDescent="0.25">
      <c r="A2113" s="8">
        <v>784</v>
      </c>
      <c r="B2113" s="11">
        <v>42048</v>
      </c>
      <c r="C2113" s="8" t="s">
        <v>58</v>
      </c>
      <c r="D2113" s="14">
        <v>-203.48</v>
      </c>
    </row>
    <row r="2114" spans="1:4" x14ac:dyDescent="0.25">
      <c r="A2114" s="8">
        <v>809</v>
      </c>
      <c r="B2114" s="11">
        <v>42048</v>
      </c>
      <c r="C2114" s="8" t="s">
        <v>59</v>
      </c>
      <c r="D2114" s="14">
        <v>250</v>
      </c>
    </row>
    <row r="2115" spans="1:4" x14ac:dyDescent="0.25">
      <c r="A2115" s="8">
        <v>817</v>
      </c>
      <c r="B2115" s="11">
        <v>42048</v>
      </c>
      <c r="C2115" s="8" t="s">
        <v>60</v>
      </c>
      <c r="D2115" s="14">
        <v>1165.25</v>
      </c>
    </row>
    <row r="2116" spans="1:4" x14ac:dyDescent="0.25">
      <c r="A2116" s="8">
        <v>823</v>
      </c>
      <c r="B2116" s="11">
        <v>42048</v>
      </c>
      <c r="C2116" s="8" t="s">
        <v>61</v>
      </c>
      <c r="D2116" s="14">
        <v>140</v>
      </c>
    </row>
    <row r="2117" spans="1:4" x14ac:dyDescent="0.25">
      <c r="A2117" s="8">
        <v>856</v>
      </c>
      <c r="B2117" s="11">
        <v>42048</v>
      </c>
      <c r="C2117" s="8" t="s">
        <v>62</v>
      </c>
      <c r="D2117" s="14">
        <v>250</v>
      </c>
    </row>
    <row r="2118" spans="1:4" x14ac:dyDescent="0.25">
      <c r="A2118" s="8">
        <v>859</v>
      </c>
      <c r="B2118" s="11">
        <v>42048</v>
      </c>
      <c r="C2118" s="8" t="s">
        <v>63</v>
      </c>
      <c r="D2118" s="14">
        <v>2175</v>
      </c>
    </row>
    <row r="2119" spans="1:4" x14ac:dyDescent="0.25">
      <c r="A2119" s="8">
        <v>860</v>
      </c>
      <c r="B2119" s="11">
        <v>42048</v>
      </c>
      <c r="C2119" s="8" t="s">
        <v>64</v>
      </c>
      <c r="D2119" s="14">
        <v>1512.5</v>
      </c>
    </row>
    <row r="2120" spans="1:4" x14ac:dyDescent="0.25">
      <c r="A2120" s="8">
        <v>875</v>
      </c>
      <c r="B2120" s="11">
        <v>42048</v>
      </c>
      <c r="C2120" s="8" t="s">
        <v>65</v>
      </c>
      <c r="D2120" s="14">
        <v>-750</v>
      </c>
    </row>
    <row r="2121" spans="1:4" x14ac:dyDescent="0.25">
      <c r="A2121" s="8">
        <v>897</v>
      </c>
      <c r="B2121" s="11">
        <v>42048</v>
      </c>
      <c r="C2121" s="8" t="s">
        <v>66</v>
      </c>
      <c r="D2121" s="14">
        <v>987.5</v>
      </c>
    </row>
    <row r="2122" spans="1:4" x14ac:dyDescent="0.25">
      <c r="A2122" s="8">
        <v>907</v>
      </c>
      <c r="B2122" s="11">
        <v>42048</v>
      </c>
      <c r="C2122" s="8" t="s">
        <v>67</v>
      </c>
      <c r="D2122" s="14">
        <v>700</v>
      </c>
    </row>
    <row r="2123" spans="1:4" x14ac:dyDescent="0.25">
      <c r="A2123" s="8">
        <v>922</v>
      </c>
      <c r="B2123" s="11">
        <v>42048</v>
      </c>
      <c r="C2123" s="8" t="s">
        <v>68</v>
      </c>
      <c r="D2123" s="14">
        <v>1125</v>
      </c>
    </row>
    <row r="2124" spans="1:4" x14ac:dyDescent="0.25">
      <c r="A2124" s="8">
        <v>927</v>
      </c>
      <c r="B2124" s="11">
        <v>42048</v>
      </c>
      <c r="C2124" s="8" t="s">
        <v>69</v>
      </c>
      <c r="D2124" s="14">
        <v>-92</v>
      </c>
    </row>
    <row r="2125" spans="1:4" x14ac:dyDescent="0.25">
      <c r="A2125" s="8">
        <v>945</v>
      </c>
      <c r="B2125" s="11">
        <v>42048</v>
      </c>
      <c r="C2125" s="8" t="s">
        <v>70</v>
      </c>
      <c r="D2125" s="14">
        <v>500</v>
      </c>
    </row>
    <row r="2126" spans="1:4" x14ac:dyDescent="0.25">
      <c r="A2126" s="8">
        <v>964</v>
      </c>
      <c r="B2126" s="11">
        <v>42048</v>
      </c>
      <c r="C2126" s="8" t="s">
        <v>71</v>
      </c>
      <c r="D2126" s="14">
        <v>156</v>
      </c>
    </row>
    <row r="2127" spans="1:4" x14ac:dyDescent="0.25">
      <c r="A2127" s="8">
        <v>966</v>
      </c>
      <c r="B2127" s="11">
        <v>42048</v>
      </c>
      <c r="C2127" s="8" t="s">
        <v>72</v>
      </c>
      <c r="D2127" s="14">
        <v>1537.75</v>
      </c>
    </row>
    <row r="2128" spans="1:4" x14ac:dyDescent="0.25">
      <c r="A2128" s="8">
        <v>991</v>
      </c>
      <c r="B2128" s="11">
        <v>42048</v>
      </c>
      <c r="C2128" s="8" t="s">
        <v>73</v>
      </c>
      <c r="D2128" s="14">
        <v>492.25</v>
      </c>
    </row>
    <row r="2129" spans="1:4" x14ac:dyDescent="0.25">
      <c r="A2129" s="8">
        <v>1011</v>
      </c>
      <c r="B2129" s="11">
        <v>42048</v>
      </c>
      <c r="C2129" s="8" t="s">
        <v>74</v>
      </c>
      <c r="D2129" s="14">
        <v>-111.67</v>
      </c>
    </row>
    <row r="2130" spans="1:4" x14ac:dyDescent="0.25">
      <c r="A2130" s="8">
        <v>1040</v>
      </c>
      <c r="B2130" s="11">
        <v>42048</v>
      </c>
      <c r="C2130" s="8" t="s">
        <v>75</v>
      </c>
      <c r="D2130" s="14">
        <v>-111.67</v>
      </c>
    </row>
    <row r="2131" spans="1:4" x14ac:dyDescent="0.25">
      <c r="A2131" s="7">
        <v>1043</v>
      </c>
      <c r="B2131" s="10">
        <v>42048</v>
      </c>
      <c r="C2131" s="7" t="s">
        <v>76</v>
      </c>
      <c r="D2131" s="13">
        <v>250</v>
      </c>
    </row>
  </sheetData>
  <hyperlinks>
    <hyperlink ref="A1943" r:id="rId1" display="http://dev.dashboard.evolvesolar.com/my-commissions.php?user_id=23&amp;payweek=2015-02-06"/>
    <hyperlink ref="C1943" r:id="rId2" display="http://dev.dashboard.evolvesolar.com/my-commissions.php?user_id=23&amp;payweek=2015-02-06"/>
    <hyperlink ref="A1944" r:id="rId3" display="http://dev.dashboard.evolvesolar.com/my-commissions.php?user_id=32&amp;payweek=2015-02-06"/>
    <hyperlink ref="C1944" r:id="rId4" display="http://dev.dashboard.evolvesolar.com/my-commissions.php?user_id=32&amp;payweek=2015-02-06"/>
    <hyperlink ref="A1945" r:id="rId5" display="http://dev.dashboard.evolvesolar.com/my-commissions.php?user_id=34&amp;payweek=2015-02-06"/>
    <hyperlink ref="C1945" r:id="rId6" display="http://dev.dashboard.evolvesolar.com/my-commissions.php?user_id=34&amp;payweek=2015-02-06"/>
    <hyperlink ref="A1946" r:id="rId7" display="http://dev.dashboard.evolvesolar.com/my-commissions.php?user_id=37&amp;payweek=2015-02-06"/>
    <hyperlink ref="C1946" r:id="rId8" display="http://dev.dashboard.evolvesolar.com/my-commissions.php?user_id=37&amp;payweek=2015-02-06"/>
    <hyperlink ref="A1947" r:id="rId9" display="http://dev.dashboard.evolvesolar.com/my-commissions.php?user_id=41&amp;payweek=2015-02-06"/>
    <hyperlink ref="C1947" r:id="rId10" display="http://dev.dashboard.evolvesolar.com/my-commissions.php?user_id=41&amp;payweek=2015-02-06"/>
    <hyperlink ref="A1948" r:id="rId11" display="http://dev.dashboard.evolvesolar.com/my-commissions.php?user_id=46&amp;payweek=2015-02-06"/>
    <hyperlink ref="C1948" r:id="rId12" display="http://dev.dashboard.evolvesolar.com/my-commissions.php?user_id=46&amp;payweek=2015-02-06"/>
    <hyperlink ref="A1949" r:id="rId13" display="http://dev.dashboard.evolvesolar.com/my-commissions.php?user_id=77&amp;payweek=2015-02-06"/>
    <hyperlink ref="C1949" r:id="rId14" display="http://dev.dashboard.evolvesolar.com/my-commissions.php?user_id=77&amp;payweek=2015-02-06"/>
    <hyperlink ref="A1950" r:id="rId15" display="http://dev.dashboard.evolvesolar.com/my-commissions.php?user_id=85&amp;payweek=2015-02-06"/>
    <hyperlink ref="C1950" r:id="rId16" display="http://dev.dashboard.evolvesolar.com/my-commissions.php?user_id=85&amp;payweek=2015-02-06"/>
    <hyperlink ref="A1951" r:id="rId17" display="http://dev.dashboard.evolvesolar.com/my-commissions.php?user_id=98&amp;payweek=2015-02-06"/>
    <hyperlink ref="C1951" r:id="rId18" display="http://dev.dashboard.evolvesolar.com/my-commissions.php?user_id=98&amp;payweek=2015-02-06"/>
    <hyperlink ref="A1952" r:id="rId19" display="http://dev.dashboard.evolvesolar.com/my-commissions.php?user_id=101&amp;payweek=2015-02-06"/>
    <hyperlink ref="C1952" r:id="rId20" display="http://dev.dashboard.evolvesolar.com/my-commissions.php?user_id=101&amp;payweek=2015-02-06"/>
    <hyperlink ref="A1953" r:id="rId21" display="http://dev.dashboard.evolvesolar.com/my-commissions.php?user_id=107&amp;payweek=2015-02-06"/>
    <hyperlink ref="C1953" r:id="rId22" display="http://dev.dashboard.evolvesolar.com/my-commissions.php?user_id=107&amp;payweek=2015-02-06"/>
    <hyperlink ref="A1954" r:id="rId23" display="http://dev.dashboard.evolvesolar.com/my-commissions.php?user_id=109&amp;payweek=2015-02-06"/>
    <hyperlink ref="C1954" r:id="rId24" display="http://dev.dashboard.evolvesolar.com/my-commissions.php?user_id=109&amp;payweek=2015-02-06"/>
    <hyperlink ref="A1955" r:id="rId25" display="http://dev.dashboard.evolvesolar.com/my-commissions.php?user_id=110&amp;payweek=2015-02-06"/>
    <hyperlink ref="C1955" r:id="rId26" display="http://dev.dashboard.evolvesolar.com/my-commissions.php?user_id=110&amp;payweek=2015-02-06"/>
    <hyperlink ref="A1956" r:id="rId27" display="http://dev.dashboard.evolvesolar.com/my-commissions.php?user_id=113&amp;payweek=2015-02-06"/>
    <hyperlink ref="C1956" r:id="rId28" display="http://dev.dashboard.evolvesolar.com/my-commissions.php?user_id=113&amp;payweek=2015-02-06"/>
    <hyperlink ref="A1957" r:id="rId29" display="http://dev.dashboard.evolvesolar.com/my-commissions.php?user_id=118&amp;payweek=2015-02-06"/>
    <hyperlink ref="C1957" r:id="rId30" display="http://dev.dashboard.evolvesolar.com/my-commissions.php?user_id=118&amp;payweek=2015-02-06"/>
    <hyperlink ref="A1958" r:id="rId31" display="http://dev.dashboard.evolvesolar.com/my-commissions.php?user_id=121&amp;payweek=2015-02-06"/>
    <hyperlink ref="C1958" r:id="rId32" display="http://dev.dashboard.evolvesolar.com/my-commissions.php?user_id=121&amp;payweek=2015-02-06"/>
    <hyperlink ref="A1959" r:id="rId33" display="http://dev.dashboard.evolvesolar.com/my-commissions.php?user_id=133&amp;payweek=2015-02-06"/>
    <hyperlink ref="C1959" r:id="rId34" display="http://dev.dashboard.evolvesolar.com/my-commissions.php?user_id=133&amp;payweek=2015-02-06"/>
    <hyperlink ref="A1960" r:id="rId35" display="http://dev.dashboard.evolvesolar.com/my-commissions.php?user_id=136&amp;payweek=2015-02-06"/>
    <hyperlink ref="C1960" r:id="rId36" display="http://dev.dashboard.evolvesolar.com/my-commissions.php?user_id=136&amp;payweek=2015-02-06"/>
    <hyperlink ref="A1961" r:id="rId37" display="http://dev.dashboard.evolvesolar.com/my-commissions.php?user_id=138&amp;payweek=2015-02-06"/>
    <hyperlink ref="C1961" r:id="rId38" display="http://dev.dashboard.evolvesolar.com/my-commissions.php?user_id=138&amp;payweek=2015-02-06"/>
    <hyperlink ref="A1962" r:id="rId39" display="http://dev.dashboard.evolvesolar.com/my-commissions.php?user_id=140&amp;payweek=2015-02-06"/>
    <hyperlink ref="C1962" r:id="rId40" display="http://dev.dashboard.evolvesolar.com/my-commissions.php?user_id=140&amp;payweek=2015-02-06"/>
    <hyperlink ref="A1963" r:id="rId41" display="http://dev.dashboard.evolvesolar.com/my-commissions.php?user_id=148&amp;payweek=2015-02-06"/>
    <hyperlink ref="C1963" r:id="rId42" display="http://dev.dashboard.evolvesolar.com/my-commissions.php?user_id=148&amp;payweek=2015-02-06"/>
    <hyperlink ref="A1964" r:id="rId43" display="http://dev.dashboard.evolvesolar.com/my-commissions.php?user_id=152&amp;payweek=2015-02-06"/>
    <hyperlink ref="C1964" r:id="rId44" display="http://dev.dashboard.evolvesolar.com/my-commissions.php?user_id=152&amp;payweek=2015-02-06"/>
    <hyperlink ref="A1965" r:id="rId45" display="http://dev.dashboard.evolvesolar.com/my-commissions.php?user_id=155&amp;payweek=2015-02-06"/>
    <hyperlink ref="C1965" r:id="rId46" display="http://dev.dashboard.evolvesolar.com/my-commissions.php?user_id=155&amp;payweek=2015-02-06"/>
    <hyperlink ref="A1966" r:id="rId47" display="http://dev.dashboard.evolvesolar.com/my-commissions.php?user_id=157&amp;payweek=2015-02-06"/>
    <hyperlink ref="C1966" r:id="rId48" display="http://dev.dashboard.evolvesolar.com/my-commissions.php?user_id=157&amp;payweek=2015-02-06"/>
    <hyperlink ref="A1967" r:id="rId49" display="http://dev.dashboard.evolvesolar.com/my-commissions.php?user_id=158&amp;payweek=2015-02-06"/>
    <hyperlink ref="C1967" r:id="rId50" display="http://dev.dashboard.evolvesolar.com/my-commissions.php?user_id=158&amp;payweek=2015-02-06"/>
    <hyperlink ref="A1968" r:id="rId51" display="http://dev.dashboard.evolvesolar.com/my-commissions.php?user_id=192&amp;payweek=2015-02-06"/>
    <hyperlink ref="C1968" r:id="rId52" display="http://dev.dashboard.evolvesolar.com/my-commissions.php?user_id=192&amp;payweek=2015-02-06"/>
    <hyperlink ref="A1969" r:id="rId53" display="http://dev.dashboard.evolvesolar.com/my-commissions.php?user_id=203&amp;payweek=2015-02-06"/>
    <hyperlink ref="C1969" r:id="rId54" display="http://dev.dashboard.evolvesolar.com/my-commissions.php?user_id=203&amp;payweek=2015-02-06"/>
    <hyperlink ref="A1970" r:id="rId55" display="http://dev.dashboard.evolvesolar.com/my-commissions.php?user_id=211&amp;payweek=2015-02-06"/>
    <hyperlink ref="C1970" r:id="rId56" display="http://dev.dashboard.evolvesolar.com/my-commissions.php?user_id=211&amp;payweek=2015-02-06"/>
    <hyperlink ref="A1971" r:id="rId57" display="http://dev.dashboard.evolvesolar.com/my-commissions.php?user_id=217&amp;payweek=2015-02-06"/>
    <hyperlink ref="C1971" r:id="rId58" display="http://dev.dashboard.evolvesolar.com/my-commissions.php?user_id=217&amp;payweek=2015-02-06"/>
    <hyperlink ref="A1972" r:id="rId59" display="http://dev.dashboard.evolvesolar.com/my-commissions.php?user_id=219&amp;payweek=2015-02-06"/>
    <hyperlink ref="C1972" r:id="rId60" display="http://dev.dashboard.evolvesolar.com/my-commissions.php?user_id=219&amp;payweek=2015-02-06"/>
    <hyperlink ref="A1973" r:id="rId61" display="http://dev.dashboard.evolvesolar.com/my-commissions.php?user_id=222&amp;payweek=2015-02-06"/>
    <hyperlink ref="C1973" r:id="rId62" display="http://dev.dashboard.evolvesolar.com/my-commissions.php?user_id=222&amp;payweek=2015-02-06"/>
    <hyperlink ref="A1974" r:id="rId63" display="http://dev.dashboard.evolvesolar.com/my-commissions.php?user_id=228&amp;payweek=2015-02-06"/>
    <hyperlink ref="C1974" r:id="rId64" display="http://dev.dashboard.evolvesolar.com/my-commissions.php?user_id=228&amp;payweek=2015-02-06"/>
    <hyperlink ref="A1975" r:id="rId65" display="http://dev.dashboard.evolvesolar.com/my-commissions.php?user_id=232&amp;payweek=2015-02-06"/>
    <hyperlink ref="C1975" r:id="rId66" display="http://dev.dashboard.evolvesolar.com/my-commissions.php?user_id=232&amp;payweek=2015-02-06"/>
    <hyperlink ref="A1976" r:id="rId67" display="http://dev.dashboard.evolvesolar.com/my-commissions.php?user_id=248&amp;payweek=2015-02-06"/>
    <hyperlink ref="C1976" r:id="rId68" display="http://dev.dashboard.evolvesolar.com/my-commissions.php?user_id=248&amp;payweek=2015-02-06"/>
    <hyperlink ref="A1977" r:id="rId69" display="http://dev.dashboard.evolvesolar.com/my-commissions.php?user_id=251&amp;payweek=2015-02-06"/>
    <hyperlink ref="C1977" r:id="rId70" display="http://dev.dashboard.evolvesolar.com/my-commissions.php?user_id=251&amp;payweek=2015-02-06"/>
    <hyperlink ref="A1978" r:id="rId71" display="http://dev.dashboard.evolvesolar.com/my-commissions.php?user_id=255&amp;payweek=2015-02-06"/>
    <hyperlink ref="C1978" r:id="rId72" display="http://dev.dashboard.evolvesolar.com/my-commissions.php?user_id=255&amp;payweek=2015-02-06"/>
    <hyperlink ref="A1979" r:id="rId73" display="http://dev.dashboard.evolvesolar.com/my-commissions.php?user_id=261&amp;payweek=2015-02-06"/>
    <hyperlink ref="C1979" r:id="rId74" display="http://dev.dashboard.evolvesolar.com/my-commissions.php?user_id=261&amp;payweek=2015-02-06"/>
    <hyperlink ref="A1980" r:id="rId75" display="http://dev.dashboard.evolvesolar.com/my-commissions.php?user_id=282&amp;payweek=2015-02-06"/>
    <hyperlink ref="C1980" r:id="rId76" display="http://dev.dashboard.evolvesolar.com/my-commissions.php?user_id=282&amp;payweek=2015-02-06"/>
    <hyperlink ref="A1981" r:id="rId77" display="http://dev.dashboard.evolvesolar.com/my-commissions.php?user_id=283&amp;payweek=2015-02-06"/>
    <hyperlink ref="C1981" r:id="rId78" display="http://dev.dashboard.evolvesolar.com/my-commissions.php?user_id=283&amp;payweek=2015-02-06"/>
    <hyperlink ref="A1982" r:id="rId79" display="http://dev.dashboard.evolvesolar.com/my-commissions.php?user_id=285&amp;payweek=2015-02-06"/>
    <hyperlink ref="C1982" r:id="rId80" display="http://dev.dashboard.evolvesolar.com/my-commissions.php?user_id=285&amp;payweek=2015-02-06"/>
    <hyperlink ref="A1983" r:id="rId81" display="http://dev.dashboard.evolvesolar.com/my-commissions.php?user_id=295&amp;payweek=2015-02-06"/>
    <hyperlink ref="C1983" r:id="rId82" display="http://dev.dashboard.evolvesolar.com/my-commissions.php?user_id=295&amp;payweek=2015-02-06"/>
    <hyperlink ref="A1984" r:id="rId83" display="http://dev.dashboard.evolvesolar.com/my-commissions.php?user_id=302&amp;payweek=2015-02-06"/>
    <hyperlink ref="C1984" r:id="rId84" display="http://dev.dashboard.evolvesolar.com/my-commissions.php?user_id=302&amp;payweek=2015-02-06"/>
    <hyperlink ref="A1985" r:id="rId85" display="http://dev.dashboard.evolvesolar.com/my-commissions.php?user_id=321&amp;payweek=2015-02-06"/>
    <hyperlink ref="C1985" r:id="rId86" display="http://dev.dashboard.evolvesolar.com/my-commissions.php?user_id=321&amp;payweek=2015-02-06"/>
    <hyperlink ref="A1986" r:id="rId87" display="http://dev.dashboard.evolvesolar.com/my-commissions.php?user_id=324&amp;payweek=2015-02-06"/>
    <hyperlink ref="C1986" r:id="rId88" display="http://dev.dashboard.evolvesolar.com/my-commissions.php?user_id=324&amp;payweek=2015-02-06"/>
    <hyperlink ref="A1987" r:id="rId89" display="http://dev.dashboard.evolvesolar.com/my-commissions.php?user_id=325&amp;payweek=2015-02-06"/>
    <hyperlink ref="C1987" r:id="rId90" display="http://dev.dashboard.evolvesolar.com/my-commissions.php?user_id=325&amp;payweek=2015-02-06"/>
    <hyperlink ref="A1988" r:id="rId91" display="http://dev.dashboard.evolvesolar.com/my-commissions.php?user_id=326&amp;payweek=2015-02-06"/>
    <hyperlink ref="C1988" r:id="rId92" display="http://dev.dashboard.evolvesolar.com/my-commissions.php?user_id=326&amp;payweek=2015-02-06"/>
    <hyperlink ref="A1989" r:id="rId93" display="http://dev.dashboard.evolvesolar.com/my-commissions.php?user_id=332&amp;payweek=2015-02-06"/>
    <hyperlink ref="C1989" r:id="rId94" display="http://dev.dashboard.evolvesolar.com/my-commissions.php?user_id=332&amp;payweek=2015-02-06"/>
    <hyperlink ref="A1990" r:id="rId95" display="http://dev.dashboard.evolvesolar.com/my-commissions.php?user_id=355&amp;payweek=2015-02-06"/>
    <hyperlink ref="C1990" r:id="rId96" display="http://dev.dashboard.evolvesolar.com/my-commissions.php?user_id=355&amp;payweek=2015-02-06"/>
    <hyperlink ref="A1991" r:id="rId97" display="http://dev.dashboard.evolvesolar.com/my-commissions.php?user_id=365&amp;payweek=2015-02-06"/>
    <hyperlink ref="C1991" r:id="rId98" display="http://dev.dashboard.evolvesolar.com/my-commissions.php?user_id=365&amp;payweek=2015-02-06"/>
    <hyperlink ref="A1992" r:id="rId99" display="http://dev.dashboard.evolvesolar.com/my-commissions.php?user_id=378&amp;payweek=2015-02-06"/>
    <hyperlink ref="C1992" r:id="rId100" display="http://dev.dashboard.evolvesolar.com/my-commissions.php?user_id=378&amp;payweek=2015-02-06"/>
    <hyperlink ref="A1993" r:id="rId101" display="http://dev.dashboard.evolvesolar.com/my-commissions.php?user_id=387&amp;payweek=2015-02-06"/>
    <hyperlink ref="C1993" r:id="rId102" display="http://dev.dashboard.evolvesolar.com/my-commissions.php?user_id=387&amp;payweek=2015-02-06"/>
    <hyperlink ref="A1994" r:id="rId103" display="http://dev.dashboard.evolvesolar.com/my-commissions.php?user_id=389&amp;payweek=2015-02-06"/>
    <hyperlink ref="C1994" r:id="rId104" display="http://dev.dashboard.evolvesolar.com/my-commissions.php?user_id=389&amp;payweek=2015-02-06"/>
    <hyperlink ref="A1995" r:id="rId105" display="http://dev.dashboard.evolvesolar.com/my-commissions.php?user_id=392&amp;payweek=2015-02-06"/>
    <hyperlink ref="C1995" r:id="rId106" display="http://dev.dashboard.evolvesolar.com/my-commissions.php?user_id=392&amp;payweek=2015-02-06"/>
    <hyperlink ref="A1996" r:id="rId107" display="http://dev.dashboard.evolvesolar.com/my-commissions.php?user_id=405&amp;payweek=2015-02-06"/>
    <hyperlink ref="C1996" r:id="rId108" display="http://dev.dashboard.evolvesolar.com/my-commissions.php?user_id=405&amp;payweek=2015-02-06"/>
    <hyperlink ref="A1997" r:id="rId109" display="http://dev.dashboard.evolvesolar.com/my-commissions.php?user_id=407&amp;payweek=2015-02-06"/>
    <hyperlink ref="C1997" r:id="rId110" display="http://dev.dashboard.evolvesolar.com/my-commissions.php?user_id=407&amp;payweek=2015-02-06"/>
    <hyperlink ref="A1998" r:id="rId111" display="http://dev.dashboard.evolvesolar.com/my-commissions.php?user_id=417&amp;payweek=2015-02-06"/>
    <hyperlink ref="C1998" r:id="rId112" display="http://dev.dashboard.evolvesolar.com/my-commissions.php?user_id=417&amp;payweek=2015-02-06"/>
    <hyperlink ref="A1999" r:id="rId113" display="http://dev.dashboard.evolvesolar.com/my-commissions.php?user_id=430&amp;payweek=2015-02-06"/>
    <hyperlink ref="C1999" r:id="rId114" display="http://dev.dashboard.evolvesolar.com/my-commissions.php?user_id=430&amp;payweek=2015-02-06"/>
    <hyperlink ref="A2000" r:id="rId115" display="http://dev.dashboard.evolvesolar.com/my-commissions.php?user_id=438&amp;payweek=2015-02-06"/>
    <hyperlink ref="C2000" r:id="rId116" display="http://dev.dashboard.evolvesolar.com/my-commissions.php?user_id=438&amp;payweek=2015-02-06"/>
    <hyperlink ref="A2001" r:id="rId117" display="http://dev.dashboard.evolvesolar.com/my-commissions.php?user_id=446&amp;payweek=2015-02-06"/>
    <hyperlink ref="C2001" r:id="rId118" display="http://dev.dashboard.evolvesolar.com/my-commissions.php?user_id=446&amp;payweek=2015-02-06"/>
    <hyperlink ref="A2002" r:id="rId119" display="http://dev.dashboard.evolvesolar.com/my-commissions.php?user_id=453&amp;payweek=2015-02-06"/>
    <hyperlink ref="C2002" r:id="rId120" display="http://dev.dashboard.evolvesolar.com/my-commissions.php?user_id=453&amp;payweek=2015-02-06"/>
    <hyperlink ref="A2003" r:id="rId121" display="http://dev.dashboard.evolvesolar.com/my-commissions.php?user_id=464&amp;payweek=2015-02-06"/>
    <hyperlink ref="C2003" r:id="rId122" display="http://dev.dashboard.evolvesolar.com/my-commissions.php?user_id=464&amp;payweek=2015-02-06"/>
    <hyperlink ref="A2004" r:id="rId123" display="http://dev.dashboard.evolvesolar.com/my-commissions.php?user_id=465&amp;payweek=2015-02-06"/>
    <hyperlink ref="C2004" r:id="rId124" display="http://dev.dashboard.evolvesolar.com/my-commissions.php?user_id=465&amp;payweek=2015-02-06"/>
    <hyperlink ref="A2005" r:id="rId125" display="http://dev.dashboard.evolvesolar.com/my-commissions.php?user_id=468&amp;payweek=2015-02-06"/>
    <hyperlink ref="C2005" r:id="rId126" display="http://dev.dashboard.evolvesolar.com/my-commissions.php?user_id=468&amp;payweek=2015-02-06"/>
    <hyperlink ref="A2006" r:id="rId127" display="http://dev.dashboard.evolvesolar.com/my-commissions.php?user_id=475&amp;payweek=2015-02-06"/>
    <hyperlink ref="C2006" r:id="rId128" display="http://dev.dashboard.evolvesolar.com/my-commissions.php?user_id=475&amp;payweek=2015-02-06"/>
    <hyperlink ref="A2007" r:id="rId129" display="http://dev.dashboard.evolvesolar.com/my-commissions.php?user_id=512&amp;payweek=2015-02-06"/>
    <hyperlink ref="C2007" r:id="rId130" display="http://dev.dashboard.evolvesolar.com/my-commissions.php?user_id=512&amp;payweek=2015-02-06"/>
    <hyperlink ref="A2008" r:id="rId131" display="http://dev.dashboard.evolvesolar.com/my-commissions.php?user_id=530&amp;payweek=2015-02-06"/>
    <hyperlink ref="C2008" r:id="rId132" display="http://dev.dashboard.evolvesolar.com/my-commissions.php?user_id=530&amp;payweek=2015-02-06"/>
    <hyperlink ref="A2009" r:id="rId133" display="http://dev.dashboard.evolvesolar.com/my-commissions.php?user_id=539&amp;payweek=2015-02-06"/>
    <hyperlink ref="C2009" r:id="rId134" display="http://dev.dashboard.evolvesolar.com/my-commissions.php?user_id=539&amp;payweek=2015-02-06"/>
    <hyperlink ref="A2010" r:id="rId135" display="http://dev.dashboard.evolvesolar.com/my-commissions.php?user_id=582&amp;payweek=2015-02-06"/>
    <hyperlink ref="C2010" r:id="rId136" display="http://dev.dashboard.evolvesolar.com/my-commissions.php?user_id=582&amp;payweek=2015-02-06"/>
    <hyperlink ref="A2011" r:id="rId137" display="http://dev.dashboard.evolvesolar.com/my-commissions.php?user_id=583&amp;payweek=2015-02-06"/>
    <hyperlink ref="C2011" r:id="rId138" display="http://dev.dashboard.evolvesolar.com/my-commissions.php?user_id=583&amp;payweek=2015-02-06"/>
    <hyperlink ref="A2012" r:id="rId139" display="http://dev.dashboard.evolvesolar.com/my-commissions.php?user_id=593&amp;payweek=2015-02-06"/>
    <hyperlink ref="C2012" r:id="rId140" display="http://dev.dashboard.evolvesolar.com/my-commissions.php?user_id=593&amp;payweek=2015-02-06"/>
    <hyperlink ref="A2013" r:id="rId141" display="http://dev.dashboard.evolvesolar.com/my-commissions.php?user_id=599&amp;payweek=2015-02-06"/>
    <hyperlink ref="C2013" r:id="rId142" display="http://dev.dashboard.evolvesolar.com/my-commissions.php?user_id=599&amp;payweek=2015-02-06"/>
    <hyperlink ref="A2014" r:id="rId143" display="http://dev.dashboard.evolvesolar.com/my-commissions.php?user_id=601&amp;payweek=2015-02-06"/>
    <hyperlink ref="C2014" r:id="rId144" display="http://dev.dashboard.evolvesolar.com/my-commissions.php?user_id=601&amp;payweek=2015-02-06"/>
    <hyperlink ref="A2015" r:id="rId145" display="http://dev.dashboard.evolvesolar.com/my-commissions.php?user_id=604&amp;payweek=2015-02-06"/>
    <hyperlink ref="C2015" r:id="rId146" display="http://dev.dashboard.evolvesolar.com/my-commissions.php?user_id=604&amp;payweek=2015-02-06"/>
    <hyperlink ref="A2016" r:id="rId147" display="http://dev.dashboard.evolvesolar.com/my-commissions.php?user_id=606&amp;payweek=2015-02-06"/>
    <hyperlink ref="C2016" r:id="rId148" display="http://dev.dashboard.evolvesolar.com/my-commissions.php?user_id=606&amp;payweek=2015-02-06"/>
    <hyperlink ref="A2017" r:id="rId149" display="http://dev.dashboard.evolvesolar.com/my-commissions.php?user_id=607&amp;payweek=2015-02-06"/>
    <hyperlink ref="C2017" r:id="rId150" display="http://dev.dashboard.evolvesolar.com/my-commissions.php?user_id=607&amp;payweek=2015-02-06"/>
    <hyperlink ref="A2018" r:id="rId151" display="http://dev.dashboard.evolvesolar.com/my-commissions.php?user_id=610&amp;payweek=2015-02-06"/>
    <hyperlink ref="C2018" r:id="rId152" display="http://dev.dashboard.evolvesolar.com/my-commissions.php?user_id=610&amp;payweek=2015-02-06"/>
    <hyperlink ref="A2019" r:id="rId153" display="http://dev.dashboard.evolvesolar.com/my-commissions.php?user_id=614&amp;payweek=2015-02-06"/>
    <hyperlink ref="C2019" r:id="rId154" display="http://dev.dashboard.evolvesolar.com/my-commissions.php?user_id=614&amp;payweek=2015-02-06"/>
    <hyperlink ref="A2020" r:id="rId155" display="http://dev.dashboard.evolvesolar.com/my-commissions.php?user_id=616&amp;payweek=2015-02-06"/>
    <hyperlink ref="C2020" r:id="rId156" display="http://dev.dashboard.evolvesolar.com/my-commissions.php?user_id=616&amp;payweek=2015-02-06"/>
    <hyperlink ref="A2021" r:id="rId157" display="http://dev.dashboard.evolvesolar.com/my-commissions.php?user_id=648&amp;payweek=2015-02-06"/>
    <hyperlink ref="C2021" r:id="rId158" display="http://dev.dashboard.evolvesolar.com/my-commissions.php?user_id=648&amp;payweek=2015-02-06"/>
    <hyperlink ref="A2022" r:id="rId159" display="http://dev.dashboard.evolvesolar.com/my-commissions.php?user_id=656&amp;payweek=2015-02-06"/>
    <hyperlink ref="C2022" r:id="rId160" display="http://dev.dashboard.evolvesolar.com/my-commissions.php?user_id=656&amp;payweek=2015-02-06"/>
    <hyperlink ref="A2023" r:id="rId161" display="http://dev.dashboard.evolvesolar.com/my-commissions.php?user_id=657&amp;payweek=2015-02-06"/>
    <hyperlink ref="C2023" r:id="rId162" display="http://dev.dashboard.evolvesolar.com/my-commissions.php?user_id=657&amp;payweek=2015-02-06"/>
    <hyperlink ref="A2024" r:id="rId163" display="http://dev.dashboard.evolvesolar.com/my-commissions.php?user_id=659&amp;payweek=2015-02-06"/>
    <hyperlink ref="C2024" r:id="rId164" display="http://dev.dashboard.evolvesolar.com/my-commissions.php?user_id=659&amp;payweek=2015-02-06"/>
    <hyperlink ref="A2025" r:id="rId165" display="http://dev.dashboard.evolvesolar.com/my-commissions.php?user_id=660&amp;payweek=2015-02-06"/>
    <hyperlink ref="C2025" r:id="rId166" display="http://dev.dashboard.evolvesolar.com/my-commissions.php?user_id=660&amp;payweek=2015-02-06"/>
    <hyperlink ref="A2026" r:id="rId167" display="http://dev.dashboard.evolvesolar.com/my-commissions.php?user_id=687&amp;payweek=2015-02-06"/>
    <hyperlink ref="C2026" r:id="rId168" display="http://dev.dashboard.evolvesolar.com/my-commissions.php?user_id=687&amp;payweek=2015-02-06"/>
    <hyperlink ref="A2027" r:id="rId169" display="http://dev.dashboard.evolvesolar.com/my-commissions.php?user_id=690&amp;payweek=2015-02-06"/>
    <hyperlink ref="C2027" r:id="rId170" display="http://dev.dashboard.evolvesolar.com/my-commissions.php?user_id=690&amp;payweek=2015-02-06"/>
    <hyperlink ref="A2028" r:id="rId171" display="http://dev.dashboard.evolvesolar.com/my-commissions.php?user_id=702&amp;payweek=2015-02-06"/>
    <hyperlink ref="C2028" r:id="rId172" display="http://dev.dashboard.evolvesolar.com/my-commissions.php?user_id=702&amp;payweek=2015-02-06"/>
    <hyperlink ref="A2029" r:id="rId173" display="http://dev.dashboard.evolvesolar.com/my-commissions.php?user_id=707&amp;payweek=2015-02-06"/>
    <hyperlink ref="C2029" r:id="rId174" display="http://dev.dashboard.evolvesolar.com/my-commissions.php?user_id=707&amp;payweek=2015-02-06"/>
    <hyperlink ref="A2030" r:id="rId175" display="http://dev.dashboard.evolvesolar.com/my-commissions.php?user_id=722&amp;payweek=2015-02-06"/>
    <hyperlink ref="C2030" r:id="rId176" display="http://dev.dashboard.evolvesolar.com/my-commissions.php?user_id=722&amp;payweek=2015-02-06"/>
    <hyperlink ref="A2031" r:id="rId177" display="http://dev.dashboard.evolvesolar.com/my-commissions.php?user_id=726&amp;payweek=2015-02-06"/>
    <hyperlink ref="C2031" r:id="rId178" display="http://dev.dashboard.evolvesolar.com/my-commissions.php?user_id=726&amp;payweek=2015-02-06"/>
    <hyperlink ref="A2032" r:id="rId179" display="http://dev.dashboard.evolvesolar.com/my-commissions.php?user_id=771&amp;payweek=2015-02-06"/>
    <hyperlink ref="C2032" r:id="rId180" display="http://dev.dashboard.evolvesolar.com/my-commissions.php?user_id=771&amp;payweek=2015-02-06"/>
    <hyperlink ref="A2033" r:id="rId181" display="http://dev.dashboard.evolvesolar.com/my-commissions.php?user_id=775&amp;payweek=2015-02-06"/>
    <hyperlink ref="C2033" r:id="rId182" display="http://dev.dashboard.evolvesolar.com/my-commissions.php?user_id=775&amp;payweek=2015-02-06"/>
    <hyperlink ref="A2034" r:id="rId183" display="http://dev.dashboard.evolvesolar.com/my-commissions.php?user_id=817&amp;payweek=2015-02-06"/>
    <hyperlink ref="C2034" r:id="rId184" display="http://dev.dashboard.evolvesolar.com/my-commissions.php?user_id=817&amp;payweek=2015-02-06"/>
    <hyperlink ref="A2035" r:id="rId185" display="http://dev.dashboard.evolvesolar.com/my-commissions.php?user_id=823&amp;payweek=2015-02-06"/>
    <hyperlink ref="C2035" r:id="rId186" display="http://dev.dashboard.evolvesolar.com/my-commissions.php?user_id=823&amp;payweek=2015-02-06"/>
    <hyperlink ref="A2036" r:id="rId187" display="http://dev.dashboard.evolvesolar.com/my-commissions.php?user_id=832&amp;payweek=2015-02-06"/>
    <hyperlink ref="C2036" r:id="rId188" display="http://dev.dashboard.evolvesolar.com/my-commissions.php?user_id=832&amp;payweek=2015-02-06"/>
    <hyperlink ref="A2037" r:id="rId189" display="http://dev.dashboard.evolvesolar.com/my-commissions.php?user_id=857&amp;payweek=2015-02-06"/>
    <hyperlink ref="C2037" r:id="rId190" display="http://dev.dashboard.evolvesolar.com/my-commissions.php?user_id=857&amp;payweek=2015-02-06"/>
    <hyperlink ref="A2038" r:id="rId191" display="http://dev.dashboard.evolvesolar.com/my-commissions.php?user_id=867&amp;payweek=2015-02-06"/>
    <hyperlink ref="C2038" r:id="rId192" display="http://dev.dashboard.evolvesolar.com/my-commissions.php?user_id=867&amp;payweek=2015-02-06"/>
    <hyperlink ref="A2039" r:id="rId193" display="http://dev.dashboard.evolvesolar.com/my-commissions.php?user_id=890&amp;payweek=2015-02-06"/>
    <hyperlink ref="C2039" r:id="rId194" display="http://dev.dashboard.evolvesolar.com/my-commissions.php?user_id=890&amp;payweek=2015-02-06"/>
    <hyperlink ref="A2040" r:id="rId195" display="http://dev.dashboard.evolvesolar.com/my-commissions.php?user_id=893&amp;payweek=2015-02-06"/>
    <hyperlink ref="C2040" r:id="rId196" display="http://dev.dashboard.evolvesolar.com/my-commissions.php?user_id=893&amp;payweek=2015-02-06"/>
    <hyperlink ref="A2041" r:id="rId197" display="http://dev.dashboard.evolvesolar.com/my-commissions.php?user_id=894&amp;payweek=2015-02-06"/>
    <hyperlink ref="C2041" r:id="rId198" display="http://dev.dashboard.evolvesolar.com/my-commissions.php?user_id=894&amp;payweek=2015-02-06"/>
    <hyperlink ref="A2042" r:id="rId199" display="http://dev.dashboard.evolvesolar.com/my-commissions.php?user_id=897&amp;payweek=2015-02-06"/>
    <hyperlink ref="C2042" r:id="rId200" display="http://dev.dashboard.evolvesolar.com/my-commissions.php?user_id=897&amp;payweek=2015-02-06"/>
    <hyperlink ref="A2043" r:id="rId201" display="http://dev.dashboard.evolvesolar.com/my-commissions.php?user_id=908&amp;payweek=2015-02-06"/>
    <hyperlink ref="C2043" r:id="rId202" display="http://dev.dashboard.evolvesolar.com/my-commissions.php?user_id=908&amp;payweek=2015-02-06"/>
    <hyperlink ref="A2044" r:id="rId203" display="http://dev.dashboard.evolvesolar.com/my-commissions.php?user_id=911&amp;payweek=2015-02-06"/>
    <hyperlink ref="C2044" r:id="rId204" display="http://dev.dashboard.evolvesolar.com/my-commissions.php?user_id=911&amp;payweek=2015-02-06"/>
    <hyperlink ref="A2045" r:id="rId205" display="http://dev.dashboard.evolvesolar.com/my-commissions.php?user_id=912&amp;payweek=2015-02-06"/>
    <hyperlink ref="C2045" r:id="rId206" display="http://dev.dashboard.evolvesolar.com/my-commissions.php?user_id=912&amp;payweek=2015-02-06"/>
    <hyperlink ref="A2046" r:id="rId207" display="http://dev.dashboard.evolvesolar.com/my-commissions.php?user_id=915&amp;payweek=2015-02-06"/>
    <hyperlink ref="C2046" r:id="rId208" display="http://dev.dashboard.evolvesolar.com/my-commissions.php?user_id=915&amp;payweek=2015-02-06"/>
    <hyperlink ref="A2047" r:id="rId209" display="http://dev.dashboard.evolvesolar.com/my-commissions.php?user_id=930&amp;payweek=2015-02-06"/>
    <hyperlink ref="C2047" r:id="rId210" display="http://dev.dashboard.evolvesolar.com/my-commissions.php?user_id=930&amp;payweek=2015-02-06"/>
    <hyperlink ref="A2048" r:id="rId211" display="http://dev.dashboard.evolvesolar.com/my-commissions.php?user_id=940&amp;payweek=2015-02-06"/>
    <hyperlink ref="C2048" r:id="rId212" display="http://dev.dashboard.evolvesolar.com/my-commissions.php?user_id=940&amp;payweek=2015-02-06"/>
    <hyperlink ref="A2049" r:id="rId213" display="http://dev.dashboard.evolvesolar.com/my-commissions.php?user_id=941&amp;payweek=2015-02-06"/>
    <hyperlink ref="C2049" r:id="rId214" display="http://dev.dashboard.evolvesolar.com/my-commissions.php?user_id=941&amp;payweek=2015-02-06"/>
    <hyperlink ref="A2050" r:id="rId215" display="http://dev.dashboard.evolvesolar.com/my-commissions.php?user_id=945&amp;payweek=2015-02-06"/>
    <hyperlink ref="C2050" r:id="rId216" display="http://dev.dashboard.evolvesolar.com/my-commissions.php?user_id=945&amp;payweek=2015-02-06"/>
    <hyperlink ref="A2051" r:id="rId217" display="http://dev.dashboard.evolvesolar.com/my-commissions.php?user_id=949&amp;payweek=2015-02-06"/>
    <hyperlink ref="C2051" r:id="rId218" display="http://dev.dashboard.evolvesolar.com/my-commissions.php?user_id=949&amp;payweek=2015-02-06"/>
    <hyperlink ref="A2052" r:id="rId219" display="http://dev.dashboard.evolvesolar.com/my-commissions.php?user_id=957&amp;payweek=2015-02-06"/>
    <hyperlink ref="C2052" r:id="rId220" display="http://dev.dashboard.evolvesolar.com/my-commissions.php?user_id=957&amp;payweek=2015-02-06"/>
    <hyperlink ref="A2053" r:id="rId221" display="http://dev.dashboard.evolvesolar.com/my-commissions.php?user_id=962&amp;payweek=2015-02-06"/>
    <hyperlink ref="C2053" r:id="rId222" display="http://dev.dashboard.evolvesolar.com/my-commissions.php?user_id=962&amp;payweek=2015-02-06"/>
    <hyperlink ref="A2054" r:id="rId223" display="http://dev.dashboard.evolvesolar.com/my-commissions.php?user_id=966&amp;payweek=2015-02-06"/>
    <hyperlink ref="C2054" r:id="rId224" display="http://dev.dashboard.evolvesolar.com/my-commissions.php?user_id=966&amp;payweek=2015-02-06"/>
    <hyperlink ref="A2055" r:id="rId225" display="http://dev.dashboard.evolvesolar.com/my-commissions.php?user_id=967&amp;payweek=2015-02-06"/>
    <hyperlink ref="C2055" r:id="rId226" display="http://dev.dashboard.evolvesolar.com/my-commissions.php?user_id=967&amp;payweek=2015-02-06"/>
    <hyperlink ref="A2056" r:id="rId227" display="http://dev.dashboard.evolvesolar.com/my-commissions.php?user_id=969&amp;payweek=2015-02-06"/>
    <hyperlink ref="C2056" r:id="rId228" display="http://dev.dashboard.evolvesolar.com/my-commissions.php?user_id=969&amp;payweek=2015-02-06"/>
    <hyperlink ref="A2057" r:id="rId229" display="http://dev.dashboard.evolvesolar.com/my-commissions.php?user_id=974&amp;payweek=2015-02-06"/>
    <hyperlink ref="C2057" r:id="rId230" display="http://dev.dashboard.evolvesolar.com/my-commissions.php?user_id=974&amp;payweek=2015-02-06"/>
    <hyperlink ref="A2058" r:id="rId231" display="http://dev.dashboard.evolvesolar.com/my-commissions.php?user_id=975&amp;payweek=2015-02-06"/>
    <hyperlink ref="C2058" r:id="rId232" display="http://dev.dashboard.evolvesolar.com/my-commissions.php?user_id=975&amp;payweek=2015-02-06"/>
    <hyperlink ref="A1942" r:id="rId233" display="http://dev.dashboard.evolvesolar.com/my-commissions.php?user_id=614&amp;payweek=2015-02-01"/>
    <hyperlink ref="C1942" r:id="rId234" display="http://dev.dashboard.evolvesolar.com/my-commissions.php?user_id=614&amp;payweek=2015-02-01"/>
    <hyperlink ref="A1885" r:id="rId235" display="http://dev.dashboard.evolvesolar.com/my-commissions.php?user_id=24&amp;payweek=2015-01-30"/>
    <hyperlink ref="C1885" r:id="rId236" display="http://dev.dashboard.evolvesolar.com/my-commissions.php?user_id=24&amp;payweek=2015-01-30"/>
    <hyperlink ref="A1886" r:id="rId237" display="http://dev.dashboard.evolvesolar.com/my-commissions.php?user_id=27&amp;payweek=2015-01-30"/>
    <hyperlink ref="C1886" r:id="rId238" display="http://dev.dashboard.evolvesolar.com/my-commissions.php?user_id=27&amp;payweek=2015-01-30"/>
    <hyperlink ref="A1887" r:id="rId239" display="http://dev.dashboard.evolvesolar.com/my-commissions.php?user_id=28&amp;payweek=2015-01-30"/>
    <hyperlink ref="C1887" r:id="rId240" display="http://dev.dashboard.evolvesolar.com/my-commissions.php?user_id=28&amp;payweek=2015-01-30"/>
    <hyperlink ref="A1888" r:id="rId241" display="http://dev.dashboard.evolvesolar.com/my-commissions.php?user_id=32&amp;payweek=2015-01-30"/>
    <hyperlink ref="C1888" r:id="rId242" display="http://dev.dashboard.evolvesolar.com/my-commissions.php?user_id=32&amp;payweek=2015-01-30"/>
    <hyperlink ref="A1889" r:id="rId243" display="http://dev.dashboard.evolvesolar.com/my-commissions.php?user_id=37&amp;payweek=2015-01-30"/>
    <hyperlink ref="C1889" r:id="rId244" display="http://dev.dashboard.evolvesolar.com/my-commissions.php?user_id=37&amp;payweek=2015-01-30"/>
    <hyperlink ref="A1890" r:id="rId245" display="http://dev.dashboard.evolvesolar.com/my-commissions.php?user_id=108&amp;payweek=2015-01-30"/>
    <hyperlink ref="C1890" r:id="rId246" display="http://dev.dashboard.evolvesolar.com/my-commissions.php?user_id=108&amp;payweek=2015-01-30"/>
    <hyperlink ref="A1891" r:id="rId247" display="http://dev.dashboard.evolvesolar.com/my-commissions.php?user_id=133&amp;payweek=2015-01-30"/>
    <hyperlink ref="C1891" r:id="rId248" display="http://dev.dashboard.evolvesolar.com/my-commissions.php?user_id=133&amp;payweek=2015-01-30"/>
    <hyperlink ref="A1892" r:id="rId249" display="http://dev.dashboard.evolvesolar.com/my-commissions.php?user_id=180&amp;payweek=2015-01-30"/>
    <hyperlink ref="C1892" r:id="rId250" display="http://dev.dashboard.evolvesolar.com/my-commissions.php?user_id=180&amp;payweek=2015-01-30"/>
    <hyperlink ref="A1893" r:id="rId251" display="http://dev.dashboard.evolvesolar.com/my-commissions.php?user_id=203&amp;payweek=2015-01-30"/>
    <hyperlink ref="C1893" r:id="rId252" display="http://dev.dashboard.evolvesolar.com/my-commissions.php?user_id=203&amp;payweek=2015-01-30"/>
    <hyperlink ref="A1894" r:id="rId253" display="http://dev.dashboard.evolvesolar.com/my-commissions.php?user_id=217&amp;payweek=2015-01-30"/>
    <hyperlink ref="C1894" r:id="rId254" display="http://dev.dashboard.evolvesolar.com/my-commissions.php?user_id=217&amp;payweek=2015-01-30"/>
    <hyperlink ref="A1895" r:id="rId255" display="http://dev.dashboard.evolvesolar.com/my-commissions.php?user_id=261&amp;payweek=2015-01-30"/>
    <hyperlink ref="C1895" r:id="rId256" display="http://dev.dashboard.evolvesolar.com/my-commissions.php?user_id=261&amp;payweek=2015-01-30"/>
    <hyperlink ref="A1896" r:id="rId257" display="http://dev.dashboard.evolvesolar.com/my-commissions.php?user_id=268&amp;payweek=2015-01-30"/>
    <hyperlink ref="C1896" r:id="rId258" display="http://dev.dashboard.evolvesolar.com/my-commissions.php?user_id=268&amp;payweek=2015-01-30"/>
    <hyperlink ref="A1897" r:id="rId259" display="http://dev.dashboard.evolvesolar.com/my-commissions.php?user_id=300&amp;payweek=2015-01-30"/>
    <hyperlink ref="C1897" r:id="rId260" display="http://dev.dashboard.evolvesolar.com/my-commissions.php?user_id=300&amp;payweek=2015-01-30"/>
    <hyperlink ref="A1898" r:id="rId261" display="http://dev.dashboard.evolvesolar.com/my-commissions.php?user_id=332&amp;payweek=2015-01-30"/>
    <hyperlink ref="C1898" r:id="rId262" display="http://dev.dashboard.evolvesolar.com/my-commissions.php?user_id=332&amp;payweek=2015-01-30"/>
    <hyperlink ref="A1899" r:id="rId263" display="http://dev.dashboard.evolvesolar.com/my-commissions.php?user_id=355&amp;payweek=2015-01-30"/>
    <hyperlink ref="C1899" r:id="rId264" display="http://dev.dashboard.evolvesolar.com/my-commissions.php?user_id=355&amp;payweek=2015-01-30"/>
    <hyperlink ref="A1900" r:id="rId265" display="http://dev.dashboard.evolvesolar.com/my-commissions.php?user_id=365&amp;payweek=2015-01-30"/>
    <hyperlink ref="C1900" r:id="rId266" display="http://dev.dashboard.evolvesolar.com/my-commissions.php?user_id=365&amp;payweek=2015-01-30"/>
    <hyperlink ref="A1901" r:id="rId267" display="http://dev.dashboard.evolvesolar.com/my-commissions.php?user_id=382&amp;payweek=2015-01-30"/>
    <hyperlink ref="C1901" r:id="rId268" display="http://dev.dashboard.evolvesolar.com/my-commissions.php?user_id=382&amp;payweek=2015-01-30"/>
    <hyperlink ref="A1902" r:id="rId269" display="http://dev.dashboard.evolvesolar.com/my-commissions.php?user_id=417&amp;payweek=2015-01-30"/>
    <hyperlink ref="C1902" r:id="rId270" display="http://dev.dashboard.evolvesolar.com/my-commissions.php?user_id=417&amp;payweek=2015-01-30"/>
    <hyperlink ref="A1903" r:id="rId271" display="http://dev.dashboard.evolvesolar.com/my-commissions.php?user_id=422&amp;payweek=2015-01-30"/>
    <hyperlink ref="C1903" r:id="rId272" display="http://dev.dashboard.evolvesolar.com/my-commissions.php?user_id=422&amp;payweek=2015-01-30"/>
    <hyperlink ref="A1904" r:id="rId273" display="http://dev.dashboard.evolvesolar.com/my-commissions.php?user_id=464&amp;payweek=2015-01-30"/>
    <hyperlink ref="C1904" r:id="rId274" display="http://dev.dashboard.evolvesolar.com/my-commissions.php?user_id=464&amp;payweek=2015-01-30"/>
    <hyperlink ref="A1905" r:id="rId275" display="http://dev.dashboard.evolvesolar.com/my-commissions.php?user_id=551&amp;payweek=2015-01-30"/>
    <hyperlink ref="C1905" r:id="rId276" display="http://dev.dashboard.evolvesolar.com/my-commissions.php?user_id=551&amp;payweek=2015-01-30"/>
    <hyperlink ref="A1906" r:id="rId277" display="http://dev.dashboard.evolvesolar.com/my-commissions.php?user_id=580&amp;payweek=2015-01-30"/>
    <hyperlink ref="C1906" r:id="rId278" display="http://dev.dashboard.evolvesolar.com/my-commissions.php?user_id=580&amp;payweek=2015-01-30"/>
    <hyperlink ref="A1907" r:id="rId279" display="http://dev.dashboard.evolvesolar.com/my-commissions.php?user_id=582&amp;payweek=2015-01-30"/>
    <hyperlink ref="C1907" r:id="rId280" display="http://dev.dashboard.evolvesolar.com/my-commissions.php?user_id=582&amp;payweek=2015-01-30"/>
    <hyperlink ref="A1908" r:id="rId281" display="http://dev.dashboard.evolvesolar.com/my-commissions.php?user_id=593&amp;payweek=2015-01-30"/>
    <hyperlink ref="C1908" r:id="rId282" display="http://dev.dashboard.evolvesolar.com/my-commissions.php?user_id=593&amp;payweek=2015-01-30"/>
    <hyperlink ref="A1909" r:id="rId283" display="http://dev.dashboard.evolvesolar.com/my-commissions.php?user_id=632&amp;payweek=2015-01-30"/>
    <hyperlink ref="C1909" r:id="rId284" display="http://dev.dashboard.evolvesolar.com/my-commissions.php?user_id=632&amp;payweek=2015-01-30"/>
    <hyperlink ref="A1910" r:id="rId285" display="http://dev.dashboard.evolvesolar.com/my-commissions.php?user_id=635&amp;payweek=2015-01-30"/>
    <hyperlink ref="C1910" r:id="rId286" display="http://dev.dashboard.evolvesolar.com/my-commissions.php?user_id=635&amp;payweek=2015-01-30"/>
    <hyperlink ref="A1911" r:id="rId287" display="http://dev.dashboard.evolvesolar.com/my-commissions.php?user_id=656&amp;payweek=2015-01-30"/>
    <hyperlink ref="C1911" r:id="rId288" display="http://dev.dashboard.evolvesolar.com/my-commissions.php?user_id=656&amp;payweek=2015-01-30"/>
    <hyperlink ref="A1912" r:id="rId289" display="http://dev.dashboard.evolvesolar.com/my-commissions.php?user_id=659&amp;payweek=2015-01-30"/>
    <hyperlink ref="C1912" r:id="rId290" display="http://dev.dashboard.evolvesolar.com/my-commissions.php?user_id=659&amp;payweek=2015-01-30"/>
    <hyperlink ref="A1913" r:id="rId291" display="http://dev.dashboard.evolvesolar.com/my-commissions.php?user_id=672&amp;payweek=2015-01-30"/>
    <hyperlink ref="C1913" r:id="rId292" display="http://dev.dashboard.evolvesolar.com/my-commissions.php?user_id=672&amp;payweek=2015-01-30"/>
    <hyperlink ref="A1914" r:id="rId293" display="http://dev.dashboard.evolvesolar.com/my-commissions.php?user_id=679&amp;payweek=2015-01-30"/>
    <hyperlink ref="C1914" r:id="rId294" display="http://dev.dashboard.evolvesolar.com/my-commissions.php?user_id=679&amp;payweek=2015-01-30"/>
    <hyperlink ref="A1915" r:id="rId295" display="http://dev.dashboard.evolvesolar.com/my-commissions.php?user_id=692&amp;payweek=2015-01-30"/>
    <hyperlink ref="C1915" r:id="rId296" display="http://dev.dashboard.evolvesolar.com/my-commissions.php?user_id=692&amp;payweek=2015-01-30"/>
    <hyperlink ref="A1916" r:id="rId297" display="http://dev.dashboard.evolvesolar.com/my-commissions.php?user_id=695&amp;payweek=2015-01-30"/>
    <hyperlink ref="C1916" r:id="rId298" display="http://dev.dashboard.evolvesolar.com/my-commissions.php?user_id=695&amp;payweek=2015-01-30"/>
    <hyperlink ref="A1917" r:id="rId299" display="http://dev.dashboard.evolvesolar.com/my-commissions.php?user_id=702&amp;payweek=2015-01-30"/>
    <hyperlink ref="C1917" r:id="rId300" display="http://dev.dashboard.evolvesolar.com/my-commissions.php?user_id=702&amp;payweek=2015-01-30"/>
    <hyperlink ref="A1918" r:id="rId301" display="http://dev.dashboard.evolvesolar.com/my-commissions.php?user_id=714&amp;payweek=2015-01-30"/>
    <hyperlink ref="C1918" r:id="rId302" display="http://dev.dashboard.evolvesolar.com/my-commissions.php?user_id=714&amp;payweek=2015-01-30"/>
    <hyperlink ref="A1919" r:id="rId303" display="http://dev.dashboard.evolvesolar.com/my-commissions.php?user_id=722&amp;payweek=2015-01-30"/>
    <hyperlink ref="C1919" r:id="rId304" display="http://dev.dashboard.evolvesolar.com/my-commissions.php?user_id=722&amp;payweek=2015-01-30"/>
    <hyperlink ref="A1920" r:id="rId305" display="http://dev.dashboard.evolvesolar.com/my-commissions.php?user_id=726&amp;payweek=2015-01-30"/>
    <hyperlink ref="C1920" r:id="rId306" display="http://dev.dashboard.evolvesolar.com/my-commissions.php?user_id=726&amp;payweek=2015-01-30"/>
    <hyperlink ref="A1921" r:id="rId307" display="http://dev.dashboard.evolvesolar.com/my-commissions.php?user_id=750&amp;payweek=2015-01-30"/>
    <hyperlink ref="C1921" r:id="rId308" display="http://dev.dashboard.evolvesolar.com/my-commissions.php?user_id=750&amp;payweek=2015-01-30"/>
    <hyperlink ref="A1922" r:id="rId309" display="http://dev.dashboard.evolvesolar.com/my-commissions.php?user_id=753&amp;payweek=2015-01-30"/>
    <hyperlink ref="C1922" r:id="rId310" display="http://dev.dashboard.evolvesolar.com/my-commissions.php?user_id=753&amp;payweek=2015-01-30"/>
    <hyperlink ref="A1923" r:id="rId311" display="http://dev.dashboard.evolvesolar.com/my-commissions.php?user_id=771&amp;payweek=2015-01-30"/>
    <hyperlink ref="C1923" r:id="rId312" display="http://dev.dashboard.evolvesolar.com/my-commissions.php?user_id=771&amp;payweek=2015-01-30"/>
    <hyperlink ref="A1924" r:id="rId313" display="http://dev.dashboard.evolvesolar.com/my-commissions.php?user_id=782&amp;payweek=2015-01-30"/>
    <hyperlink ref="C1924" r:id="rId314" display="http://dev.dashboard.evolvesolar.com/my-commissions.php?user_id=782&amp;payweek=2015-01-30"/>
    <hyperlink ref="A1925" r:id="rId315" display="http://dev.dashboard.evolvesolar.com/my-commissions.php?user_id=809&amp;payweek=2015-01-30"/>
    <hyperlink ref="C1925" r:id="rId316" display="http://dev.dashboard.evolvesolar.com/my-commissions.php?user_id=809&amp;payweek=2015-01-30"/>
    <hyperlink ref="A1926" r:id="rId317" display="http://dev.dashboard.evolvesolar.com/my-commissions.php?user_id=817&amp;payweek=2015-01-30"/>
    <hyperlink ref="C1926" r:id="rId318" display="http://dev.dashboard.evolvesolar.com/my-commissions.php?user_id=817&amp;payweek=2015-01-30"/>
    <hyperlink ref="A1927" r:id="rId319" display="http://dev.dashboard.evolvesolar.com/my-commissions.php?user_id=852&amp;payweek=2015-01-30"/>
    <hyperlink ref="C1927" r:id="rId320" display="http://dev.dashboard.evolvesolar.com/my-commissions.php?user_id=852&amp;payweek=2015-01-30"/>
    <hyperlink ref="A1928" r:id="rId321" display="http://dev.dashboard.evolvesolar.com/my-commissions.php?user_id=856&amp;payweek=2015-01-30"/>
    <hyperlink ref="C1928" r:id="rId322" display="http://dev.dashboard.evolvesolar.com/my-commissions.php?user_id=856&amp;payweek=2015-01-30"/>
    <hyperlink ref="A1929" r:id="rId323" display="http://dev.dashboard.evolvesolar.com/my-commissions.php?user_id=859&amp;payweek=2015-01-30"/>
    <hyperlink ref="C1929" r:id="rId324" display="http://dev.dashboard.evolvesolar.com/my-commissions.php?user_id=859&amp;payweek=2015-01-30"/>
    <hyperlink ref="A1930" r:id="rId325" display="http://dev.dashboard.evolvesolar.com/my-commissions.php?user_id=860&amp;payweek=2015-01-30"/>
    <hyperlink ref="C1930" r:id="rId326" display="http://dev.dashboard.evolvesolar.com/my-commissions.php?user_id=860&amp;payweek=2015-01-30"/>
    <hyperlink ref="A1931" r:id="rId327" display="http://dev.dashboard.evolvesolar.com/my-commissions.php?user_id=894&amp;payweek=2015-01-30"/>
    <hyperlink ref="C1931" r:id="rId328" display="http://dev.dashboard.evolvesolar.com/my-commissions.php?user_id=894&amp;payweek=2015-01-30"/>
    <hyperlink ref="A1932" r:id="rId329" display="http://dev.dashboard.evolvesolar.com/my-commissions.php?user_id=897&amp;payweek=2015-01-30"/>
    <hyperlink ref="C1932" r:id="rId330" display="http://dev.dashboard.evolvesolar.com/my-commissions.php?user_id=897&amp;payweek=2015-01-30"/>
    <hyperlink ref="A1933" r:id="rId331" display="http://dev.dashboard.evolvesolar.com/my-commissions.php?user_id=906&amp;payweek=2015-01-30"/>
    <hyperlink ref="C1933" r:id="rId332" display="http://dev.dashboard.evolvesolar.com/my-commissions.php?user_id=906&amp;payweek=2015-01-30"/>
    <hyperlink ref="A1934" r:id="rId333" display="http://dev.dashboard.evolvesolar.com/my-commissions.php?user_id=908&amp;payweek=2015-01-30"/>
    <hyperlink ref="C1934" r:id="rId334" display="http://dev.dashboard.evolvesolar.com/my-commissions.php?user_id=908&amp;payweek=2015-01-30"/>
    <hyperlink ref="A1935" r:id="rId335" display="http://dev.dashboard.evolvesolar.com/my-commissions.php?user_id=940&amp;payweek=2015-01-30"/>
    <hyperlink ref="C1935" r:id="rId336" display="http://dev.dashboard.evolvesolar.com/my-commissions.php?user_id=940&amp;payweek=2015-01-30"/>
    <hyperlink ref="A1936" r:id="rId337" display="http://dev.dashboard.evolvesolar.com/my-commissions.php?user_id=941&amp;payweek=2015-01-30"/>
    <hyperlink ref="C1936" r:id="rId338" display="http://dev.dashboard.evolvesolar.com/my-commissions.php?user_id=941&amp;payweek=2015-01-30"/>
    <hyperlink ref="A1937" r:id="rId339" display="http://dev.dashboard.evolvesolar.com/my-commissions.php?user_id=943&amp;payweek=2015-01-30"/>
    <hyperlink ref="C1937" r:id="rId340" display="http://dev.dashboard.evolvesolar.com/my-commissions.php?user_id=943&amp;payweek=2015-01-30"/>
    <hyperlink ref="A1938" r:id="rId341" display="http://dev.dashboard.evolvesolar.com/my-commissions.php?user_id=949&amp;payweek=2015-01-30"/>
    <hyperlink ref="C1938" r:id="rId342" display="http://dev.dashboard.evolvesolar.com/my-commissions.php?user_id=949&amp;payweek=2015-01-30"/>
    <hyperlink ref="A1939" r:id="rId343" display="http://dev.dashboard.evolvesolar.com/my-commissions.php?user_id=964&amp;payweek=2015-01-30"/>
    <hyperlink ref="C1939" r:id="rId344" display="http://dev.dashboard.evolvesolar.com/my-commissions.php?user_id=964&amp;payweek=2015-01-30"/>
    <hyperlink ref="A1940" r:id="rId345" display="http://dev.dashboard.evolvesolar.com/my-commissions.php?user_id=969&amp;payweek=2015-01-30"/>
    <hyperlink ref="C1940" r:id="rId346" display="http://dev.dashboard.evolvesolar.com/my-commissions.php?user_id=969&amp;payweek=2015-01-30"/>
    <hyperlink ref="A1941" r:id="rId347" display="http://dev.dashboard.evolvesolar.com/my-commissions.php?user_id=974&amp;payweek=2015-01-30"/>
    <hyperlink ref="C1941" r:id="rId348" display="http://dev.dashboard.evolvesolar.com/my-commissions.php?user_id=974&amp;payweek=2015-01-30"/>
    <hyperlink ref="A1883" r:id="rId349" display="http://dev.dashboard.evolvesolar.com/my-commissions.php?user_id=190&amp;payweek=2015-01-27"/>
    <hyperlink ref="C1883" r:id="rId350" display="http://dev.dashboard.evolvesolar.com/my-commissions.php?user_id=190&amp;payweek=2015-01-27"/>
    <hyperlink ref="A1844" r:id="rId351" display="http://dev.dashboard.evolvesolar.com/my-commissions.php?user_id=27&amp;payweek=2015-01-23"/>
    <hyperlink ref="C1844" r:id="rId352" display="http://dev.dashboard.evolvesolar.com/my-commissions.php?user_id=27&amp;payweek=2015-01-23"/>
    <hyperlink ref="A1845" r:id="rId353" display="http://dev.dashboard.evolvesolar.com/my-commissions.php?user_id=28&amp;payweek=2015-01-23"/>
    <hyperlink ref="C1845" r:id="rId354" display="http://dev.dashboard.evolvesolar.com/my-commissions.php?user_id=28&amp;payweek=2015-01-23"/>
    <hyperlink ref="A1846" r:id="rId355" display="http://dev.dashboard.evolvesolar.com/my-commissions.php?user_id=41&amp;payweek=2015-01-23"/>
    <hyperlink ref="C1846" r:id="rId356" display="http://dev.dashboard.evolvesolar.com/my-commissions.php?user_id=41&amp;payweek=2015-01-23"/>
    <hyperlink ref="A1847" r:id="rId357" display="http://dev.dashboard.evolvesolar.com/my-commissions.php?user_id=133&amp;payweek=2015-01-23"/>
    <hyperlink ref="C1847" r:id="rId358" display="http://dev.dashboard.evolvesolar.com/my-commissions.php?user_id=133&amp;payweek=2015-01-23"/>
    <hyperlink ref="A1848" r:id="rId359" display="http://dev.dashboard.evolvesolar.com/my-commissions.php?user_id=147&amp;payweek=2015-01-23"/>
    <hyperlink ref="C1848" r:id="rId360" display="http://dev.dashboard.evolvesolar.com/my-commissions.php?user_id=147&amp;payweek=2015-01-23"/>
    <hyperlink ref="A1849" r:id="rId361" display="http://dev.dashboard.evolvesolar.com/my-commissions.php?user_id=203&amp;payweek=2015-01-23"/>
    <hyperlink ref="C1849" r:id="rId362" display="http://dev.dashboard.evolvesolar.com/my-commissions.php?user_id=203&amp;payweek=2015-01-23"/>
    <hyperlink ref="A1850" r:id="rId363" display="http://dev.dashboard.evolvesolar.com/my-commissions.php?user_id=217&amp;payweek=2015-01-23"/>
    <hyperlink ref="C1850" r:id="rId364" display="http://dev.dashboard.evolvesolar.com/my-commissions.php?user_id=217&amp;payweek=2015-01-23"/>
    <hyperlink ref="A1851" r:id="rId365" display="http://dev.dashboard.evolvesolar.com/my-commissions.php?user_id=248&amp;payweek=2015-01-23"/>
    <hyperlink ref="C1851" r:id="rId366" display="http://dev.dashboard.evolvesolar.com/my-commissions.php?user_id=248&amp;payweek=2015-01-23"/>
    <hyperlink ref="A1852" r:id="rId367" display="http://dev.dashboard.evolvesolar.com/my-commissions.php?user_id=255&amp;payweek=2015-01-23"/>
    <hyperlink ref="C1852" r:id="rId368" display="http://dev.dashboard.evolvesolar.com/my-commissions.php?user_id=255&amp;payweek=2015-01-23"/>
    <hyperlink ref="A1853" r:id="rId369" display="http://dev.dashboard.evolvesolar.com/my-commissions.php?user_id=261&amp;payweek=2015-01-23"/>
    <hyperlink ref="C1853" r:id="rId370" display="http://dev.dashboard.evolvesolar.com/my-commissions.php?user_id=261&amp;payweek=2015-01-23"/>
    <hyperlink ref="A1854" r:id="rId371" display="http://dev.dashboard.evolvesolar.com/my-commissions.php?user_id=268&amp;payweek=2015-01-23"/>
    <hyperlink ref="C1854" r:id="rId372" display="http://dev.dashboard.evolvesolar.com/my-commissions.php?user_id=268&amp;payweek=2015-01-23"/>
    <hyperlink ref="A1855" r:id="rId373" display="http://dev.dashboard.evolvesolar.com/my-commissions.php?user_id=282&amp;payweek=2015-01-23"/>
    <hyperlink ref="C1855" r:id="rId374" display="http://dev.dashboard.evolvesolar.com/my-commissions.php?user_id=282&amp;payweek=2015-01-23"/>
    <hyperlink ref="A1856" r:id="rId375" display="http://dev.dashboard.evolvesolar.com/my-commissions.php?user_id=326&amp;payweek=2015-01-23"/>
    <hyperlink ref="C1856" r:id="rId376" display="http://dev.dashboard.evolvesolar.com/my-commissions.php?user_id=326&amp;payweek=2015-01-23"/>
    <hyperlink ref="A1857" r:id="rId377" display="http://dev.dashboard.evolvesolar.com/my-commissions.php?user_id=332&amp;payweek=2015-01-23"/>
    <hyperlink ref="C1857" r:id="rId378" display="http://dev.dashboard.evolvesolar.com/my-commissions.php?user_id=332&amp;payweek=2015-01-23"/>
    <hyperlink ref="A1858" r:id="rId379" display="http://dev.dashboard.evolvesolar.com/my-commissions.php?user_id=355&amp;payweek=2015-01-23"/>
    <hyperlink ref="C1858" r:id="rId380" display="http://dev.dashboard.evolvesolar.com/my-commissions.php?user_id=355&amp;payweek=2015-01-23"/>
    <hyperlink ref="A1859" r:id="rId381" display="http://dev.dashboard.evolvesolar.com/my-commissions.php?user_id=358&amp;payweek=2015-01-23"/>
    <hyperlink ref="C1859" r:id="rId382" display="http://dev.dashboard.evolvesolar.com/my-commissions.php?user_id=358&amp;payweek=2015-01-23"/>
    <hyperlink ref="A1860" r:id="rId383" display="http://dev.dashboard.evolvesolar.com/my-commissions.php?user_id=365&amp;payweek=2015-01-23"/>
    <hyperlink ref="C1860" r:id="rId384" display="http://dev.dashboard.evolvesolar.com/my-commissions.php?user_id=365&amp;payweek=2015-01-23"/>
    <hyperlink ref="A1861" r:id="rId385" display="http://dev.dashboard.evolvesolar.com/my-commissions.php?user_id=370&amp;payweek=2015-01-23"/>
    <hyperlink ref="C1861" r:id="rId386" display="http://dev.dashboard.evolvesolar.com/my-commissions.php?user_id=370&amp;payweek=2015-01-23"/>
    <hyperlink ref="A1862" r:id="rId387" display="http://dev.dashboard.evolvesolar.com/my-commissions.php?user_id=382&amp;payweek=2015-01-23"/>
    <hyperlink ref="C1862" r:id="rId388" display="http://dev.dashboard.evolvesolar.com/my-commissions.php?user_id=382&amp;payweek=2015-01-23"/>
    <hyperlink ref="A1863" r:id="rId389" display="http://dev.dashboard.evolvesolar.com/my-commissions.php?user_id=407&amp;payweek=2015-01-23"/>
    <hyperlink ref="C1863" r:id="rId390" display="http://dev.dashboard.evolvesolar.com/my-commissions.php?user_id=407&amp;payweek=2015-01-23"/>
    <hyperlink ref="A1864" r:id="rId391" display="http://dev.dashboard.evolvesolar.com/my-commissions.php?user_id=530&amp;payweek=2015-01-23"/>
    <hyperlink ref="C1864" r:id="rId392" display="http://dev.dashboard.evolvesolar.com/my-commissions.php?user_id=530&amp;payweek=2015-01-23"/>
    <hyperlink ref="A1865" r:id="rId393" display="http://dev.dashboard.evolvesolar.com/my-commissions.php?user_id=580&amp;payweek=2015-01-23"/>
    <hyperlink ref="C1865" r:id="rId394" display="http://dev.dashboard.evolvesolar.com/my-commissions.php?user_id=580&amp;payweek=2015-01-23"/>
    <hyperlink ref="A1866" r:id="rId395" display="http://dev.dashboard.evolvesolar.com/my-commissions.php?user_id=583&amp;payweek=2015-01-23"/>
    <hyperlink ref="C1866" r:id="rId396" display="http://dev.dashboard.evolvesolar.com/my-commissions.php?user_id=583&amp;payweek=2015-01-23"/>
    <hyperlink ref="A1867" r:id="rId397" display="http://dev.dashboard.evolvesolar.com/my-commissions.php?user_id=593&amp;payweek=2015-01-23"/>
    <hyperlink ref="C1867" r:id="rId398" display="http://dev.dashboard.evolvesolar.com/my-commissions.php?user_id=593&amp;payweek=2015-01-23"/>
    <hyperlink ref="A1868" r:id="rId399" display="http://dev.dashboard.evolvesolar.com/my-commissions.php?user_id=607&amp;payweek=2015-01-23"/>
    <hyperlink ref="C1868" r:id="rId400" display="http://dev.dashboard.evolvesolar.com/my-commissions.php?user_id=607&amp;payweek=2015-01-23"/>
    <hyperlink ref="A1869" r:id="rId401" display="http://dev.dashboard.evolvesolar.com/my-commissions.php?user_id=648&amp;payweek=2015-01-23"/>
    <hyperlink ref="C1869" r:id="rId402" display="http://dev.dashboard.evolvesolar.com/my-commissions.php?user_id=648&amp;payweek=2015-01-23"/>
    <hyperlink ref="A1870" r:id="rId403" display="http://dev.dashboard.evolvesolar.com/my-commissions.php?user_id=656&amp;payweek=2015-01-23"/>
    <hyperlink ref="C1870" r:id="rId404" display="http://dev.dashboard.evolvesolar.com/my-commissions.php?user_id=656&amp;payweek=2015-01-23"/>
    <hyperlink ref="A1871" r:id="rId405" display="http://dev.dashboard.evolvesolar.com/my-commissions.php?user_id=659&amp;payweek=2015-01-23"/>
    <hyperlink ref="C1871" r:id="rId406" display="http://dev.dashboard.evolvesolar.com/my-commissions.php?user_id=659&amp;payweek=2015-01-23"/>
    <hyperlink ref="A1872" r:id="rId407" display="http://dev.dashboard.evolvesolar.com/my-commissions.php?user_id=679&amp;payweek=2015-01-23"/>
    <hyperlink ref="C1872" r:id="rId408" display="http://dev.dashboard.evolvesolar.com/my-commissions.php?user_id=679&amp;payweek=2015-01-23"/>
    <hyperlink ref="A1873" r:id="rId409" display="http://dev.dashboard.evolvesolar.com/my-commissions.php?user_id=680&amp;payweek=2015-01-23"/>
    <hyperlink ref="C1873" r:id="rId410" display="http://dev.dashboard.evolvesolar.com/my-commissions.php?user_id=680&amp;payweek=2015-01-23"/>
    <hyperlink ref="A1874" r:id="rId411" display="http://dev.dashboard.evolvesolar.com/my-commissions.php?user_id=714&amp;payweek=2015-01-23"/>
    <hyperlink ref="C1874" r:id="rId412" display="http://dev.dashboard.evolvesolar.com/my-commissions.php?user_id=714&amp;payweek=2015-01-23"/>
    <hyperlink ref="A1875" r:id="rId413" display="http://dev.dashboard.evolvesolar.com/my-commissions.php?user_id=722&amp;payweek=2015-01-23"/>
    <hyperlink ref="C1875" r:id="rId414" display="http://dev.dashboard.evolvesolar.com/my-commissions.php?user_id=722&amp;payweek=2015-01-23"/>
    <hyperlink ref="A1876" r:id="rId415" display="http://dev.dashboard.evolvesolar.com/my-commissions.php?user_id=726&amp;payweek=2015-01-23"/>
    <hyperlink ref="C1876" r:id="rId416" display="http://dev.dashboard.evolvesolar.com/my-commissions.php?user_id=726&amp;payweek=2015-01-23"/>
    <hyperlink ref="A1877" r:id="rId417" display="http://dev.dashboard.evolvesolar.com/my-commissions.php?user_id=771&amp;payweek=2015-01-23"/>
    <hyperlink ref="C1877" r:id="rId418" display="http://dev.dashboard.evolvesolar.com/my-commissions.php?user_id=771&amp;payweek=2015-01-23"/>
    <hyperlink ref="A1878" r:id="rId419" display="http://dev.dashboard.evolvesolar.com/my-commissions.php?user_id=784&amp;payweek=2015-01-23"/>
    <hyperlink ref="C1878" r:id="rId420" display="http://dev.dashboard.evolvesolar.com/my-commissions.php?user_id=784&amp;payweek=2015-01-23"/>
    <hyperlink ref="A1879" r:id="rId421" display="http://dev.dashboard.evolvesolar.com/my-commissions.php?user_id=809&amp;payweek=2015-01-23"/>
    <hyperlink ref="C1879" r:id="rId422" display="http://dev.dashboard.evolvesolar.com/my-commissions.php?user_id=809&amp;payweek=2015-01-23"/>
    <hyperlink ref="A1880" r:id="rId423" display="http://dev.dashboard.evolvesolar.com/my-commissions.php?user_id=817&amp;payweek=2015-01-23"/>
    <hyperlink ref="C1880" r:id="rId424" display="http://dev.dashboard.evolvesolar.com/my-commissions.php?user_id=817&amp;payweek=2015-01-23"/>
    <hyperlink ref="A1881" r:id="rId425" display="http://dev.dashboard.evolvesolar.com/my-commissions.php?user_id=890&amp;payweek=2015-01-23"/>
    <hyperlink ref="C1881" r:id="rId426" display="http://dev.dashboard.evolvesolar.com/my-commissions.php?user_id=890&amp;payweek=2015-01-23"/>
    <hyperlink ref="A1882" r:id="rId427" display="http://dev.dashboard.evolvesolar.com/my-commissions.php?user_id=927&amp;payweek=2015-01-23"/>
    <hyperlink ref="C1882" r:id="rId428" display="http://dev.dashboard.evolvesolar.com/my-commissions.php?user_id=927&amp;payweek=2015-01-23"/>
    <hyperlink ref="A1843" r:id="rId429" display="http://dev.dashboard.evolvesolar.com/my-commissions.php?user_id=203&amp;payweek=2015-01-20"/>
    <hyperlink ref="C1843" r:id="rId430" display="http://dev.dashboard.evolvesolar.com/my-commissions.php?user_id=203&amp;payweek=2015-01-20"/>
    <hyperlink ref="A1842" r:id="rId431" display="http://dev.dashboard.evolvesolar.com/my-commissions.php?user_id=268&amp;payweek=2015-01-16"/>
    <hyperlink ref="C1842" r:id="rId432" display="http://dev.dashboard.evolvesolar.com/my-commissions.php?user_id=268&amp;payweek=2015-01-16"/>
    <hyperlink ref="A1804" r:id="rId433" display="http://dev.dashboard.evolvesolar.com/my-commissions.php?user_id=27&amp;payweek=2015-01-15"/>
    <hyperlink ref="C1804" r:id="rId434" display="http://dev.dashboard.evolvesolar.com/my-commissions.php?user_id=27&amp;payweek=2015-01-15"/>
    <hyperlink ref="A1805" r:id="rId435" display="http://dev.dashboard.evolvesolar.com/my-commissions.php?user_id=28&amp;payweek=2015-01-15"/>
    <hyperlink ref="C1805" r:id="rId436" display="http://dev.dashboard.evolvesolar.com/my-commissions.php?user_id=28&amp;payweek=2015-01-15"/>
    <hyperlink ref="A1806" r:id="rId437" display="http://dev.dashboard.evolvesolar.com/my-commissions.php?user_id=37&amp;payweek=2015-01-15"/>
    <hyperlink ref="C1806" r:id="rId438" display="http://dev.dashboard.evolvesolar.com/my-commissions.php?user_id=37&amp;payweek=2015-01-15"/>
    <hyperlink ref="A1807" r:id="rId439" display="http://dev.dashboard.evolvesolar.com/my-commissions.php?user_id=41&amp;payweek=2015-01-15"/>
    <hyperlink ref="C1807" r:id="rId440" display="http://dev.dashboard.evolvesolar.com/my-commissions.php?user_id=41&amp;payweek=2015-01-15"/>
    <hyperlink ref="A1808" r:id="rId441" display="http://dev.dashboard.evolvesolar.com/my-commissions.php?user_id=63&amp;payweek=2015-01-15"/>
    <hyperlink ref="C1808" r:id="rId442" display="http://dev.dashboard.evolvesolar.com/my-commissions.php?user_id=63&amp;payweek=2015-01-15"/>
    <hyperlink ref="A1809" r:id="rId443" display="http://dev.dashboard.evolvesolar.com/my-commissions.php?user_id=77&amp;payweek=2015-01-15"/>
    <hyperlink ref="C1809" r:id="rId444" display="http://dev.dashboard.evolvesolar.com/my-commissions.php?user_id=77&amp;payweek=2015-01-15"/>
    <hyperlink ref="A1810" r:id="rId445" display="http://dev.dashboard.evolvesolar.com/my-commissions.php?user_id=94&amp;payweek=2015-01-15"/>
    <hyperlink ref="C1810" r:id="rId446" display="http://dev.dashboard.evolvesolar.com/my-commissions.php?user_id=94&amp;payweek=2015-01-15"/>
    <hyperlink ref="A1811" r:id="rId447" display="http://dev.dashboard.evolvesolar.com/my-commissions.php?user_id=161&amp;payweek=2015-01-15"/>
    <hyperlink ref="C1811" r:id="rId448" display="http://dev.dashboard.evolvesolar.com/my-commissions.php?user_id=161&amp;payweek=2015-01-15"/>
    <hyperlink ref="A1812" r:id="rId449" display="http://dev.dashboard.evolvesolar.com/my-commissions.php?user_id=203&amp;payweek=2015-01-15"/>
    <hyperlink ref="C1812" r:id="rId450" display="http://dev.dashboard.evolvesolar.com/my-commissions.php?user_id=203&amp;payweek=2015-01-15"/>
    <hyperlink ref="A1813" r:id="rId451" display="http://dev.dashboard.evolvesolar.com/my-commissions.php?user_id=217&amp;payweek=2015-01-15"/>
    <hyperlink ref="C1813" r:id="rId452" display="http://dev.dashboard.evolvesolar.com/my-commissions.php?user_id=217&amp;payweek=2015-01-15"/>
    <hyperlink ref="A1814" r:id="rId453" display="http://dev.dashboard.evolvesolar.com/my-commissions.php?user_id=261&amp;payweek=2015-01-15"/>
    <hyperlink ref="C1814" r:id="rId454" display="http://dev.dashboard.evolvesolar.com/my-commissions.php?user_id=261&amp;payweek=2015-01-15"/>
    <hyperlink ref="A1815" r:id="rId455" display="http://dev.dashboard.evolvesolar.com/my-commissions.php?user_id=282&amp;payweek=2015-01-15"/>
    <hyperlink ref="C1815" r:id="rId456" display="http://dev.dashboard.evolvesolar.com/my-commissions.php?user_id=282&amp;payweek=2015-01-15"/>
    <hyperlink ref="A1816" r:id="rId457" display="http://dev.dashboard.evolvesolar.com/my-commissions.php?user_id=326&amp;payweek=2015-01-15"/>
    <hyperlink ref="C1816" r:id="rId458" display="http://dev.dashboard.evolvesolar.com/my-commissions.php?user_id=326&amp;payweek=2015-01-15"/>
    <hyperlink ref="A1817" r:id="rId459" display="http://dev.dashboard.evolvesolar.com/my-commissions.php?user_id=355&amp;payweek=2015-01-15"/>
    <hyperlink ref="C1817" r:id="rId460" display="http://dev.dashboard.evolvesolar.com/my-commissions.php?user_id=355&amp;payweek=2015-01-15"/>
    <hyperlink ref="A1818" r:id="rId461" display="http://dev.dashboard.evolvesolar.com/my-commissions.php?user_id=365&amp;payweek=2015-01-15"/>
    <hyperlink ref="C1818" r:id="rId462" display="http://dev.dashboard.evolvesolar.com/my-commissions.php?user_id=365&amp;payweek=2015-01-15"/>
    <hyperlink ref="A1819" r:id="rId463" display="http://dev.dashboard.evolvesolar.com/my-commissions.php?user_id=401&amp;payweek=2015-01-15"/>
    <hyperlink ref="C1819" r:id="rId464" display="http://dev.dashboard.evolvesolar.com/my-commissions.php?user_id=401&amp;payweek=2015-01-15"/>
    <hyperlink ref="A1820" r:id="rId465" display="http://dev.dashboard.evolvesolar.com/my-commissions.php?user_id=407&amp;payweek=2015-01-15"/>
    <hyperlink ref="C1820" r:id="rId466" display="http://dev.dashboard.evolvesolar.com/my-commissions.php?user_id=407&amp;payweek=2015-01-15"/>
    <hyperlink ref="A1821" r:id="rId467" display="http://dev.dashboard.evolvesolar.com/my-commissions.php?user_id=458&amp;payweek=2015-01-15"/>
    <hyperlink ref="C1821" r:id="rId468" display="http://dev.dashboard.evolvesolar.com/my-commissions.php?user_id=458&amp;payweek=2015-01-15"/>
    <hyperlink ref="A1822" r:id="rId469" display="http://dev.dashboard.evolvesolar.com/my-commissions.php?user_id=498&amp;payweek=2015-01-15"/>
    <hyperlink ref="C1822" r:id="rId470" display="http://dev.dashboard.evolvesolar.com/my-commissions.php?user_id=498&amp;payweek=2015-01-15"/>
    <hyperlink ref="A1823" r:id="rId471" display="http://dev.dashboard.evolvesolar.com/my-commissions.php?user_id=580&amp;payweek=2015-01-15"/>
    <hyperlink ref="C1823" r:id="rId472" display="http://dev.dashboard.evolvesolar.com/my-commissions.php?user_id=580&amp;payweek=2015-01-15"/>
    <hyperlink ref="A1824" r:id="rId473" display="http://dev.dashboard.evolvesolar.com/my-commissions.php?user_id=583&amp;payweek=2015-01-15"/>
    <hyperlink ref="C1824" r:id="rId474" display="http://dev.dashboard.evolvesolar.com/my-commissions.php?user_id=583&amp;payweek=2015-01-15"/>
    <hyperlink ref="A1825" r:id="rId475" display="http://dev.dashboard.evolvesolar.com/my-commissions.php?user_id=607&amp;payweek=2015-01-15"/>
    <hyperlink ref="C1825" r:id="rId476" display="http://dev.dashboard.evolvesolar.com/my-commissions.php?user_id=607&amp;payweek=2015-01-15"/>
    <hyperlink ref="A1826" r:id="rId477" display="http://dev.dashboard.evolvesolar.com/my-commissions.php?user_id=626&amp;payweek=2015-01-15"/>
    <hyperlink ref="C1826" r:id="rId478" display="http://dev.dashboard.evolvesolar.com/my-commissions.php?user_id=626&amp;payweek=2015-01-15"/>
    <hyperlink ref="A1827" r:id="rId479" display="http://dev.dashboard.evolvesolar.com/my-commissions.php?user_id=632&amp;payweek=2015-01-15"/>
    <hyperlink ref="C1827" r:id="rId480" display="http://dev.dashboard.evolvesolar.com/my-commissions.php?user_id=632&amp;payweek=2015-01-15"/>
    <hyperlink ref="A1828" r:id="rId481" display="http://dev.dashboard.evolvesolar.com/my-commissions.php?user_id=635&amp;payweek=2015-01-15"/>
    <hyperlink ref="C1828" r:id="rId482" display="http://dev.dashboard.evolvesolar.com/my-commissions.php?user_id=635&amp;payweek=2015-01-15"/>
    <hyperlink ref="A1829" r:id="rId483" display="http://dev.dashboard.evolvesolar.com/my-commissions.php?user_id=648&amp;payweek=2015-01-15"/>
    <hyperlink ref="C1829" r:id="rId484" display="http://dev.dashboard.evolvesolar.com/my-commissions.php?user_id=648&amp;payweek=2015-01-15"/>
    <hyperlink ref="A1830" r:id="rId485" display="http://dev.dashboard.evolvesolar.com/my-commissions.php?user_id=661&amp;payweek=2015-01-15"/>
    <hyperlink ref="C1830" r:id="rId486" display="http://dev.dashboard.evolvesolar.com/my-commissions.php?user_id=661&amp;payweek=2015-01-15"/>
    <hyperlink ref="A1831" r:id="rId487" display="http://dev.dashboard.evolvesolar.com/my-commissions.php?user_id=672&amp;payweek=2015-01-15"/>
    <hyperlink ref="C1831" r:id="rId488" display="http://dev.dashboard.evolvesolar.com/my-commissions.php?user_id=672&amp;payweek=2015-01-15"/>
    <hyperlink ref="A1832" r:id="rId489" display="http://dev.dashboard.evolvesolar.com/my-commissions.php?user_id=679&amp;payweek=2015-01-15"/>
    <hyperlink ref="C1832" r:id="rId490" display="http://dev.dashboard.evolvesolar.com/my-commissions.php?user_id=679&amp;payweek=2015-01-15"/>
    <hyperlink ref="A1833" r:id="rId491" display="http://dev.dashboard.evolvesolar.com/my-commissions.php?user_id=690&amp;payweek=2015-01-15"/>
    <hyperlink ref="C1833" r:id="rId492" display="http://dev.dashboard.evolvesolar.com/my-commissions.php?user_id=690&amp;payweek=2015-01-15"/>
    <hyperlink ref="A1834" r:id="rId493" display="http://dev.dashboard.evolvesolar.com/my-commissions.php?user_id=699&amp;payweek=2015-01-15"/>
    <hyperlink ref="C1834" r:id="rId494" display="http://dev.dashboard.evolvesolar.com/my-commissions.php?user_id=699&amp;payweek=2015-01-15"/>
    <hyperlink ref="A1835" r:id="rId495" display="http://dev.dashboard.evolvesolar.com/my-commissions.php?user_id=702&amp;payweek=2015-01-15"/>
    <hyperlink ref="C1835" r:id="rId496" display="http://dev.dashboard.evolvesolar.com/my-commissions.php?user_id=702&amp;payweek=2015-01-15"/>
    <hyperlink ref="A1836" r:id="rId497" display="http://dev.dashboard.evolvesolar.com/my-commissions.php?user_id=711&amp;payweek=2015-01-15"/>
    <hyperlink ref="C1836" r:id="rId498" display="http://dev.dashboard.evolvesolar.com/my-commissions.php?user_id=711&amp;payweek=2015-01-15"/>
    <hyperlink ref="A1837" r:id="rId499" display="http://dev.dashboard.evolvesolar.com/my-commissions.php?user_id=735&amp;payweek=2015-01-15"/>
    <hyperlink ref="C1837" r:id="rId500" display="http://dev.dashboard.evolvesolar.com/my-commissions.php?user_id=735&amp;payweek=2015-01-15"/>
    <hyperlink ref="A1838" r:id="rId501" display="http://dev.dashboard.evolvesolar.com/my-commissions.php?user_id=750&amp;payweek=2015-01-15"/>
    <hyperlink ref="C1838" r:id="rId502" display="http://dev.dashboard.evolvesolar.com/my-commissions.php?user_id=750&amp;payweek=2015-01-15"/>
    <hyperlink ref="A1839" r:id="rId503" display="http://dev.dashboard.evolvesolar.com/my-commissions.php?user_id=793&amp;payweek=2015-01-15"/>
    <hyperlink ref="C1839" r:id="rId504" display="http://dev.dashboard.evolvesolar.com/my-commissions.php?user_id=793&amp;payweek=2015-01-15"/>
    <hyperlink ref="A1840" r:id="rId505" display="http://dev.dashboard.evolvesolar.com/my-commissions.php?user_id=817&amp;payweek=2015-01-15"/>
    <hyperlink ref="C1840" r:id="rId506" display="http://dev.dashboard.evolvesolar.com/my-commissions.php?user_id=817&amp;payweek=2015-01-15"/>
    <hyperlink ref="A1841" r:id="rId507" display="http://dev.dashboard.evolvesolar.com/my-commissions.php?user_id=844&amp;payweek=2015-01-15"/>
    <hyperlink ref="C1841" r:id="rId508" display="http://dev.dashboard.evolvesolar.com/my-commissions.php?user_id=844&amp;payweek=2015-01-15"/>
    <hyperlink ref="A1802" r:id="rId509" display="http://dev.dashboard.evolvesolar.com/my-commissions.php?user_id=389&amp;payweek=2015-01-13"/>
    <hyperlink ref="C1802" r:id="rId510" display="http://dev.dashboard.evolvesolar.com/my-commissions.php?user_id=389&amp;payweek=2015-01-13"/>
    <hyperlink ref="A1803" r:id="rId511" display="http://dev.dashboard.evolvesolar.com/my-commissions.php?user_id=699&amp;payweek=2015-01-13"/>
    <hyperlink ref="C1803" r:id="rId512" display="http://dev.dashboard.evolvesolar.com/my-commissions.php?user_id=699&amp;payweek=2015-01-13"/>
    <hyperlink ref="A1800" r:id="rId513" display="http://dev.dashboard.evolvesolar.com/my-commissions.php?user_id=546&amp;payweek=2015-01-12"/>
    <hyperlink ref="C1800" r:id="rId514" display="http://dev.dashboard.evolvesolar.com/my-commissions.php?user_id=546&amp;payweek=2015-01-12"/>
    <hyperlink ref="A1801" r:id="rId515" display="http://dev.dashboard.evolvesolar.com/my-commissions.php?user_id=898&amp;payweek=2015-01-12"/>
    <hyperlink ref="C1801" r:id="rId516" display="http://dev.dashboard.evolvesolar.com/my-commissions.php?user_id=898&amp;payweek=2015-01-12"/>
    <hyperlink ref="A1739" r:id="rId517" display="http://dev.dashboard.evolvesolar.com/my-commissions.php?user_id=41&amp;payweek=2015-01-09"/>
    <hyperlink ref="C1739" r:id="rId518" display="http://dev.dashboard.evolvesolar.com/my-commissions.php?user_id=41&amp;payweek=2015-01-09"/>
    <hyperlink ref="A1740" r:id="rId519" display="http://dev.dashboard.evolvesolar.com/my-commissions.php?user_id=55&amp;payweek=2015-01-09"/>
    <hyperlink ref="C1740" r:id="rId520" display="http://dev.dashboard.evolvesolar.com/my-commissions.php?user_id=55&amp;payweek=2015-01-09"/>
    <hyperlink ref="A1741" r:id="rId521" display="http://dev.dashboard.evolvesolar.com/my-commissions.php?user_id=63&amp;payweek=2015-01-09"/>
    <hyperlink ref="C1741" r:id="rId522" display="http://dev.dashboard.evolvesolar.com/my-commissions.php?user_id=63&amp;payweek=2015-01-09"/>
    <hyperlink ref="A1742" r:id="rId523" display="http://dev.dashboard.evolvesolar.com/my-commissions.php?user_id=77&amp;payweek=2015-01-09"/>
    <hyperlink ref="C1742" r:id="rId524" display="http://dev.dashboard.evolvesolar.com/my-commissions.php?user_id=77&amp;payweek=2015-01-09"/>
    <hyperlink ref="A1743" r:id="rId525" display="http://dev.dashboard.evolvesolar.com/my-commissions.php?user_id=85&amp;payweek=2015-01-09"/>
    <hyperlink ref="C1743" r:id="rId526" display="http://dev.dashboard.evolvesolar.com/my-commissions.php?user_id=85&amp;payweek=2015-01-09"/>
    <hyperlink ref="A1744" r:id="rId527" display="http://dev.dashboard.evolvesolar.com/my-commissions.php?user_id=109&amp;payweek=2015-01-09"/>
    <hyperlink ref="C1744" r:id="rId528" display="http://dev.dashboard.evolvesolar.com/my-commissions.php?user_id=109&amp;payweek=2015-01-09"/>
    <hyperlink ref="A1745" r:id="rId529" display="http://dev.dashboard.evolvesolar.com/my-commissions.php?user_id=133&amp;payweek=2015-01-09"/>
    <hyperlink ref="C1745" r:id="rId530" display="http://dev.dashboard.evolvesolar.com/my-commissions.php?user_id=133&amp;payweek=2015-01-09"/>
    <hyperlink ref="A1746" r:id="rId531" display="http://dev.dashboard.evolvesolar.com/my-commissions.php?user_id=138&amp;payweek=2015-01-09"/>
    <hyperlink ref="C1746" r:id="rId532" display="http://dev.dashboard.evolvesolar.com/my-commissions.php?user_id=138&amp;payweek=2015-01-09"/>
    <hyperlink ref="A1747" r:id="rId533" display="http://dev.dashboard.evolvesolar.com/my-commissions.php?user_id=141&amp;payweek=2015-01-09"/>
    <hyperlink ref="C1747" r:id="rId534" display="http://dev.dashboard.evolvesolar.com/my-commissions.php?user_id=141&amp;payweek=2015-01-09"/>
    <hyperlink ref="A1748" r:id="rId535" display="http://dev.dashboard.evolvesolar.com/my-commissions.php?user_id=179&amp;payweek=2015-01-09"/>
    <hyperlink ref="C1748" r:id="rId536" display="http://dev.dashboard.evolvesolar.com/my-commissions.php?user_id=179&amp;payweek=2015-01-09"/>
    <hyperlink ref="A1749" r:id="rId537" display="http://dev.dashboard.evolvesolar.com/my-commissions.php?user_id=203&amp;payweek=2015-01-09"/>
    <hyperlink ref="C1749" r:id="rId538" display="http://dev.dashboard.evolvesolar.com/my-commissions.php?user_id=203&amp;payweek=2015-01-09"/>
    <hyperlink ref="A1750" r:id="rId539" display="http://dev.dashboard.evolvesolar.com/my-commissions.php?user_id=211&amp;payweek=2015-01-09"/>
    <hyperlink ref="C1750" r:id="rId540" display="http://dev.dashboard.evolvesolar.com/my-commissions.php?user_id=211&amp;payweek=2015-01-09"/>
    <hyperlink ref="A1751" r:id="rId541" display="http://dev.dashboard.evolvesolar.com/my-commissions.php?user_id=261&amp;payweek=2015-01-09"/>
    <hyperlink ref="C1751" r:id="rId542" display="http://dev.dashboard.evolvesolar.com/my-commissions.php?user_id=261&amp;payweek=2015-01-09"/>
    <hyperlink ref="A1752" r:id="rId543" display="http://dev.dashboard.evolvesolar.com/my-commissions.php?user_id=268&amp;payweek=2015-01-09"/>
    <hyperlink ref="C1752" r:id="rId544" display="http://dev.dashboard.evolvesolar.com/my-commissions.php?user_id=268&amp;payweek=2015-01-09"/>
    <hyperlink ref="A1753" r:id="rId545" display="http://dev.dashboard.evolvesolar.com/my-commissions.php?user_id=282&amp;payweek=2015-01-09"/>
    <hyperlink ref="C1753" r:id="rId546" display="http://dev.dashboard.evolvesolar.com/my-commissions.php?user_id=282&amp;payweek=2015-01-09"/>
    <hyperlink ref="A1754" r:id="rId547" display="http://dev.dashboard.evolvesolar.com/my-commissions.php?user_id=321&amp;payweek=2015-01-09"/>
    <hyperlink ref="C1754" r:id="rId548" display="http://dev.dashboard.evolvesolar.com/my-commissions.php?user_id=321&amp;payweek=2015-01-09"/>
    <hyperlink ref="A1755" r:id="rId549" display="http://dev.dashboard.evolvesolar.com/my-commissions.php?user_id=322&amp;payweek=2015-01-09"/>
    <hyperlink ref="C1755" r:id="rId550" display="http://dev.dashboard.evolvesolar.com/my-commissions.php?user_id=322&amp;payweek=2015-01-09"/>
    <hyperlink ref="A1756" r:id="rId551" display="http://dev.dashboard.evolvesolar.com/my-commissions.php?user_id=326&amp;payweek=2015-01-09"/>
    <hyperlink ref="C1756" r:id="rId552" display="http://dev.dashboard.evolvesolar.com/my-commissions.php?user_id=326&amp;payweek=2015-01-09"/>
    <hyperlink ref="A1757" r:id="rId553" display="http://dev.dashboard.evolvesolar.com/my-commissions.php?user_id=329&amp;payweek=2015-01-09"/>
    <hyperlink ref="C1757" r:id="rId554" display="http://dev.dashboard.evolvesolar.com/my-commissions.php?user_id=329&amp;payweek=2015-01-09"/>
    <hyperlink ref="A1758" r:id="rId555" display="http://dev.dashboard.evolvesolar.com/my-commissions.php?user_id=332&amp;payweek=2015-01-09"/>
    <hyperlink ref="C1758" r:id="rId556" display="http://dev.dashboard.evolvesolar.com/my-commissions.php?user_id=332&amp;payweek=2015-01-09"/>
    <hyperlink ref="A1759" r:id="rId557" display="http://dev.dashboard.evolvesolar.com/my-commissions.php?user_id=343&amp;payweek=2015-01-09"/>
    <hyperlink ref="C1759" r:id="rId558" display="http://dev.dashboard.evolvesolar.com/my-commissions.php?user_id=343&amp;payweek=2015-01-09"/>
    <hyperlink ref="A1760" r:id="rId559" display="http://dev.dashboard.evolvesolar.com/my-commissions.php?user_id=358&amp;payweek=2015-01-09"/>
    <hyperlink ref="C1760" r:id="rId560" display="http://dev.dashboard.evolvesolar.com/my-commissions.php?user_id=358&amp;payweek=2015-01-09"/>
    <hyperlink ref="A1761" r:id="rId561" display="http://dev.dashboard.evolvesolar.com/my-commissions.php?user_id=365&amp;payweek=2015-01-09"/>
    <hyperlink ref="C1761" r:id="rId562" display="http://dev.dashboard.evolvesolar.com/my-commissions.php?user_id=365&amp;payweek=2015-01-09"/>
    <hyperlink ref="A1762" r:id="rId563" display="http://dev.dashboard.evolvesolar.com/my-commissions.php?user_id=382&amp;payweek=2015-01-09"/>
    <hyperlink ref="C1762" r:id="rId564" display="http://dev.dashboard.evolvesolar.com/my-commissions.php?user_id=382&amp;payweek=2015-01-09"/>
    <hyperlink ref="A1763" r:id="rId565" display="http://dev.dashboard.evolvesolar.com/my-commissions.php?user_id=389&amp;payweek=2015-01-09"/>
    <hyperlink ref="C1763" r:id="rId566" display="http://dev.dashboard.evolvesolar.com/my-commissions.php?user_id=389&amp;payweek=2015-01-09"/>
    <hyperlink ref="A1764" r:id="rId567" display="http://dev.dashboard.evolvesolar.com/my-commissions.php?user_id=392&amp;payweek=2015-01-09"/>
    <hyperlink ref="C1764" r:id="rId568" display="http://dev.dashboard.evolvesolar.com/my-commissions.php?user_id=392&amp;payweek=2015-01-09"/>
    <hyperlink ref="A1765" r:id="rId569" display="http://dev.dashboard.evolvesolar.com/my-commissions.php?user_id=401&amp;payweek=2015-01-09"/>
    <hyperlink ref="C1765" r:id="rId570" display="http://dev.dashboard.evolvesolar.com/my-commissions.php?user_id=401&amp;payweek=2015-01-09"/>
    <hyperlink ref="A1766" r:id="rId571" display="http://dev.dashboard.evolvesolar.com/my-commissions.php?user_id=405&amp;payweek=2015-01-09"/>
    <hyperlink ref="C1766" r:id="rId572" display="http://dev.dashboard.evolvesolar.com/my-commissions.php?user_id=405&amp;payweek=2015-01-09"/>
    <hyperlink ref="A1767" r:id="rId573" display="http://dev.dashboard.evolvesolar.com/my-commissions.php?user_id=422&amp;payweek=2015-01-09"/>
    <hyperlink ref="C1767" r:id="rId574" display="http://dev.dashboard.evolvesolar.com/my-commissions.php?user_id=422&amp;payweek=2015-01-09"/>
    <hyperlink ref="A1768" r:id="rId575" display="http://dev.dashboard.evolvesolar.com/my-commissions.php?user_id=438&amp;payweek=2015-01-09"/>
    <hyperlink ref="C1768" r:id="rId576" display="http://dev.dashboard.evolvesolar.com/my-commissions.php?user_id=438&amp;payweek=2015-01-09"/>
    <hyperlink ref="A1769" r:id="rId577" display="http://dev.dashboard.evolvesolar.com/my-commissions.php?user_id=464&amp;payweek=2015-01-09"/>
    <hyperlink ref="C1769" r:id="rId578" display="http://dev.dashboard.evolvesolar.com/my-commissions.php?user_id=464&amp;payweek=2015-01-09"/>
    <hyperlink ref="A1770" r:id="rId579" display="http://dev.dashboard.evolvesolar.com/my-commissions.php?user_id=468&amp;payweek=2015-01-09"/>
    <hyperlink ref="C1770" r:id="rId580" display="http://dev.dashboard.evolvesolar.com/my-commissions.php?user_id=468&amp;payweek=2015-01-09"/>
    <hyperlink ref="A1771" r:id="rId581" display="http://dev.dashboard.evolvesolar.com/my-commissions.php?user_id=475&amp;payweek=2015-01-09"/>
    <hyperlink ref="C1771" r:id="rId582" display="http://dev.dashboard.evolvesolar.com/my-commissions.php?user_id=475&amp;payweek=2015-01-09"/>
    <hyperlink ref="A1772" r:id="rId583" display="http://dev.dashboard.evolvesolar.com/my-commissions.php?user_id=499&amp;payweek=2015-01-09"/>
    <hyperlink ref="C1772" r:id="rId584" display="http://dev.dashboard.evolvesolar.com/my-commissions.php?user_id=499&amp;payweek=2015-01-09"/>
    <hyperlink ref="A1773" r:id="rId585" display="http://dev.dashboard.evolvesolar.com/my-commissions.php?user_id=551&amp;payweek=2015-01-09"/>
    <hyperlink ref="C1773" r:id="rId586" display="http://dev.dashboard.evolvesolar.com/my-commissions.php?user_id=551&amp;payweek=2015-01-09"/>
    <hyperlink ref="A1774" r:id="rId587" display="http://dev.dashboard.evolvesolar.com/my-commissions.php?user_id=606&amp;payweek=2015-01-09"/>
    <hyperlink ref="C1774" r:id="rId588" display="http://dev.dashboard.evolvesolar.com/my-commissions.php?user_id=606&amp;payweek=2015-01-09"/>
    <hyperlink ref="A1775" r:id="rId589" display="http://dev.dashboard.evolvesolar.com/my-commissions.php?user_id=607&amp;payweek=2015-01-09"/>
    <hyperlink ref="C1775" r:id="rId590" display="http://dev.dashboard.evolvesolar.com/my-commissions.php?user_id=607&amp;payweek=2015-01-09"/>
    <hyperlink ref="A1776" r:id="rId591" display="http://dev.dashboard.evolvesolar.com/my-commissions.php?user_id=615&amp;payweek=2015-01-09"/>
    <hyperlink ref="C1776" r:id="rId592" display="http://dev.dashboard.evolvesolar.com/my-commissions.php?user_id=615&amp;payweek=2015-01-09"/>
    <hyperlink ref="A1777" r:id="rId593" display="http://dev.dashboard.evolvesolar.com/my-commissions.php?user_id=626&amp;payweek=2015-01-09"/>
    <hyperlink ref="C1777" r:id="rId594" display="http://dev.dashboard.evolvesolar.com/my-commissions.php?user_id=626&amp;payweek=2015-01-09"/>
    <hyperlink ref="A1778" r:id="rId595" display="http://dev.dashboard.evolvesolar.com/my-commissions.php?user_id=631&amp;payweek=2015-01-09"/>
    <hyperlink ref="C1778" r:id="rId596" display="http://dev.dashboard.evolvesolar.com/my-commissions.php?user_id=631&amp;payweek=2015-01-09"/>
    <hyperlink ref="A1779" r:id="rId597" display="http://dev.dashboard.evolvesolar.com/my-commissions.php?user_id=632&amp;payweek=2015-01-09"/>
    <hyperlink ref="C1779" r:id="rId598" display="http://dev.dashboard.evolvesolar.com/my-commissions.php?user_id=632&amp;payweek=2015-01-09"/>
    <hyperlink ref="A1780" r:id="rId599" display="http://dev.dashboard.evolvesolar.com/my-commissions.php?user_id=646&amp;payweek=2015-01-09"/>
    <hyperlink ref="C1780" r:id="rId600" display="http://dev.dashboard.evolvesolar.com/my-commissions.php?user_id=646&amp;payweek=2015-01-09"/>
    <hyperlink ref="A1781" r:id="rId601" display="http://dev.dashboard.evolvesolar.com/my-commissions.php?user_id=648&amp;payweek=2015-01-09"/>
    <hyperlink ref="C1781" r:id="rId602" display="http://dev.dashboard.evolvesolar.com/my-commissions.php?user_id=648&amp;payweek=2015-01-09"/>
    <hyperlink ref="A1782" r:id="rId603" display="http://dev.dashboard.evolvesolar.com/my-commissions.php?user_id=672&amp;payweek=2015-01-09"/>
    <hyperlink ref="C1782" r:id="rId604" display="http://dev.dashboard.evolvesolar.com/my-commissions.php?user_id=672&amp;payweek=2015-01-09"/>
    <hyperlink ref="A1783" r:id="rId605" display="http://dev.dashboard.evolvesolar.com/my-commissions.php?user_id=679&amp;payweek=2015-01-09"/>
    <hyperlink ref="C1783" r:id="rId606" display="http://dev.dashboard.evolvesolar.com/my-commissions.php?user_id=679&amp;payweek=2015-01-09"/>
    <hyperlink ref="A1784" r:id="rId607" display="http://dev.dashboard.evolvesolar.com/my-commissions.php?user_id=685&amp;payweek=2015-01-09"/>
    <hyperlink ref="C1784" r:id="rId608" display="http://dev.dashboard.evolvesolar.com/my-commissions.php?user_id=685&amp;payweek=2015-01-09"/>
    <hyperlink ref="A1785" r:id="rId609" display="http://dev.dashboard.evolvesolar.com/my-commissions.php?user_id=690&amp;payweek=2015-01-09"/>
    <hyperlink ref="C1785" r:id="rId610" display="http://dev.dashboard.evolvesolar.com/my-commissions.php?user_id=690&amp;payweek=2015-01-09"/>
    <hyperlink ref="A1786" r:id="rId611" display="http://dev.dashboard.evolvesolar.com/my-commissions.php?user_id=696&amp;payweek=2015-01-09"/>
    <hyperlink ref="C1786" r:id="rId612" display="http://dev.dashboard.evolvesolar.com/my-commissions.php?user_id=696&amp;payweek=2015-01-09"/>
    <hyperlink ref="A1787" r:id="rId613" display="http://dev.dashboard.evolvesolar.com/my-commissions.php?user_id=702&amp;payweek=2015-01-09"/>
    <hyperlink ref="C1787" r:id="rId614" display="http://dev.dashboard.evolvesolar.com/my-commissions.php?user_id=702&amp;payweek=2015-01-09"/>
    <hyperlink ref="A1788" r:id="rId615" display="http://dev.dashboard.evolvesolar.com/my-commissions.php?user_id=703&amp;payweek=2015-01-09"/>
    <hyperlink ref="C1788" r:id="rId616" display="http://dev.dashboard.evolvesolar.com/my-commissions.php?user_id=703&amp;payweek=2015-01-09"/>
    <hyperlink ref="A1789" r:id="rId617" display="http://dev.dashboard.evolvesolar.com/my-commissions.php?user_id=708&amp;payweek=2015-01-09"/>
    <hyperlink ref="C1789" r:id="rId618" display="http://dev.dashboard.evolvesolar.com/my-commissions.php?user_id=708&amp;payweek=2015-01-09"/>
    <hyperlink ref="A1790" r:id="rId619" display="http://dev.dashboard.evolvesolar.com/my-commissions.php?user_id=714&amp;payweek=2015-01-09"/>
    <hyperlink ref="C1790" r:id="rId620" display="http://dev.dashboard.evolvesolar.com/my-commissions.php?user_id=714&amp;payweek=2015-01-09"/>
    <hyperlink ref="A1791" r:id="rId621" display="http://dev.dashboard.evolvesolar.com/my-commissions.php?user_id=753&amp;payweek=2015-01-09"/>
    <hyperlink ref="C1791" r:id="rId622" display="http://dev.dashboard.evolvesolar.com/my-commissions.php?user_id=753&amp;payweek=2015-01-09"/>
    <hyperlink ref="A1792" r:id="rId623" display="http://dev.dashboard.evolvesolar.com/my-commissions.php?user_id=755&amp;payweek=2015-01-09"/>
    <hyperlink ref="C1792" r:id="rId624" display="http://dev.dashboard.evolvesolar.com/my-commissions.php?user_id=755&amp;payweek=2015-01-09"/>
    <hyperlink ref="A1793" r:id="rId625" display="http://dev.dashboard.evolvesolar.com/my-commissions.php?user_id=764&amp;payweek=2015-01-09"/>
    <hyperlink ref="C1793" r:id="rId626" display="http://dev.dashboard.evolvesolar.com/my-commissions.php?user_id=764&amp;payweek=2015-01-09"/>
    <hyperlink ref="A1794" r:id="rId627" display="http://dev.dashboard.evolvesolar.com/my-commissions.php?user_id=790&amp;payweek=2015-01-09"/>
    <hyperlink ref="C1794" r:id="rId628" display="http://dev.dashboard.evolvesolar.com/my-commissions.php?user_id=790&amp;payweek=2015-01-09"/>
    <hyperlink ref="A1795" r:id="rId629" display="http://dev.dashboard.evolvesolar.com/my-commissions.php?user_id=809&amp;payweek=2015-01-09"/>
    <hyperlink ref="C1795" r:id="rId630" display="http://dev.dashboard.evolvesolar.com/my-commissions.php?user_id=809&amp;payweek=2015-01-09"/>
    <hyperlink ref="A1796" r:id="rId631" display="http://dev.dashboard.evolvesolar.com/my-commissions.php?user_id=817&amp;payweek=2015-01-09"/>
    <hyperlink ref="C1796" r:id="rId632" display="http://dev.dashboard.evolvesolar.com/my-commissions.php?user_id=817&amp;payweek=2015-01-09"/>
    <hyperlink ref="A1797" r:id="rId633" display="http://dev.dashboard.evolvesolar.com/my-commissions.php?user_id=832&amp;payweek=2015-01-09"/>
    <hyperlink ref="C1797" r:id="rId634" display="http://dev.dashboard.evolvesolar.com/my-commissions.php?user_id=832&amp;payweek=2015-01-09"/>
    <hyperlink ref="A1798" r:id="rId635" display="http://dev.dashboard.evolvesolar.com/my-commissions.php?user_id=857&amp;payweek=2015-01-09"/>
    <hyperlink ref="C1798" r:id="rId636" display="http://dev.dashboard.evolvesolar.com/my-commissions.php?user_id=857&amp;payweek=2015-01-09"/>
    <hyperlink ref="A1799" r:id="rId637" display="http://dev.dashboard.evolvesolar.com/my-commissions.php?user_id=927&amp;payweek=2015-01-09"/>
    <hyperlink ref="C1799" r:id="rId638" display="http://dev.dashboard.evolvesolar.com/my-commissions.php?user_id=927&amp;payweek=2015-01-09"/>
    <hyperlink ref="A1736" r:id="rId639" display="http://dev.dashboard.evolvesolar.com/my-commissions.php?user_id=37&amp;payweek=2015-01-06"/>
    <hyperlink ref="C1736" r:id="rId640" display="http://dev.dashboard.evolvesolar.com/my-commissions.php?user_id=37&amp;payweek=2015-01-06"/>
    <hyperlink ref="A1737" r:id="rId641" display="http://dev.dashboard.evolvesolar.com/my-commissions.php?user_id=539&amp;payweek=2015-01-06"/>
    <hyperlink ref="C1737" r:id="rId642" display="http://dev.dashboard.evolvesolar.com/my-commissions.php?user_id=539&amp;payweek=2015-01-06"/>
    <hyperlink ref="A1738" r:id="rId643" display="http://dev.dashboard.evolvesolar.com/my-commissions.php?user_id=690&amp;payweek=2015-01-06"/>
    <hyperlink ref="C1738" r:id="rId644" display="http://dev.dashboard.evolvesolar.com/my-commissions.php?user_id=690&amp;payweek=2015-01-06"/>
    <hyperlink ref="A1735" r:id="rId645" display="http://dev.dashboard.evolvesolar.com/my-commissions.php?user_id=389&amp;payweek=2015-01-02"/>
    <hyperlink ref="C1735" r:id="rId646" display="http://dev.dashboard.evolvesolar.com/my-commissions.php?user_id=389&amp;payweek=2015-01-02"/>
    <hyperlink ref="A1683" r:id="rId647" display="http://dev.dashboard.evolvesolar.com/my-commissions.php?user_id=41&amp;payweek=2014-12-31"/>
    <hyperlink ref="C1683" r:id="rId648" display="http://dev.dashboard.evolvesolar.com/my-commissions.php?user_id=41&amp;payweek=2014-12-31"/>
    <hyperlink ref="A1684" r:id="rId649" display="http://dev.dashboard.evolvesolar.com/my-commissions.php?user_id=46&amp;payweek=2014-12-31"/>
    <hyperlink ref="C1684" r:id="rId650" display="http://dev.dashboard.evolvesolar.com/my-commissions.php?user_id=46&amp;payweek=2014-12-31"/>
    <hyperlink ref="A1685" r:id="rId651" display="http://dev.dashboard.evolvesolar.com/my-commissions.php?user_id=63&amp;payweek=2014-12-31"/>
    <hyperlink ref="C1685" r:id="rId652" display="http://dev.dashboard.evolvesolar.com/my-commissions.php?user_id=63&amp;payweek=2014-12-31"/>
    <hyperlink ref="A1686" r:id="rId653" display="http://dev.dashboard.evolvesolar.com/my-commissions.php?user_id=77&amp;payweek=2014-12-31"/>
    <hyperlink ref="C1686" r:id="rId654" display="http://dev.dashboard.evolvesolar.com/my-commissions.php?user_id=77&amp;payweek=2014-12-31"/>
    <hyperlink ref="A1687" r:id="rId655" display="http://dev.dashboard.evolvesolar.com/my-commissions.php?user_id=85&amp;payweek=2014-12-31"/>
    <hyperlink ref="C1687" r:id="rId656" display="http://dev.dashboard.evolvesolar.com/my-commissions.php?user_id=85&amp;payweek=2014-12-31"/>
    <hyperlink ref="A1688" r:id="rId657" display="http://dev.dashboard.evolvesolar.com/my-commissions.php?user_id=94&amp;payweek=2014-12-31"/>
    <hyperlink ref="C1688" r:id="rId658" display="http://dev.dashboard.evolvesolar.com/my-commissions.php?user_id=94&amp;payweek=2014-12-31"/>
    <hyperlink ref="A1689" r:id="rId659" display="http://dev.dashboard.evolvesolar.com/my-commissions.php?user_id=104&amp;payweek=2014-12-31"/>
    <hyperlink ref="C1689" r:id="rId660" display="http://dev.dashboard.evolvesolar.com/my-commissions.php?user_id=104&amp;payweek=2014-12-31"/>
    <hyperlink ref="A1690" r:id="rId661" display="http://dev.dashboard.evolvesolar.com/my-commissions.php?user_id=109&amp;payweek=2014-12-31"/>
    <hyperlink ref="C1690" r:id="rId662" display="http://dev.dashboard.evolvesolar.com/my-commissions.php?user_id=109&amp;payweek=2014-12-31"/>
    <hyperlink ref="A1691" r:id="rId663" display="http://dev.dashboard.evolvesolar.com/my-commissions.php?user_id=133&amp;payweek=2014-12-31"/>
    <hyperlink ref="C1691" r:id="rId664" display="http://dev.dashboard.evolvesolar.com/my-commissions.php?user_id=133&amp;payweek=2014-12-31"/>
    <hyperlink ref="A1692" r:id="rId665" display="http://dev.dashboard.evolvesolar.com/my-commissions.php?user_id=148&amp;payweek=2014-12-31"/>
    <hyperlink ref="C1692" r:id="rId666" display="http://dev.dashboard.evolvesolar.com/my-commissions.php?user_id=148&amp;payweek=2014-12-31"/>
    <hyperlink ref="A1693" r:id="rId667" display="http://dev.dashboard.evolvesolar.com/my-commissions.php?user_id=152&amp;payweek=2014-12-31"/>
    <hyperlink ref="C1693" r:id="rId668" display="http://dev.dashboard.evolvesolar.com/my-commissions.php?user_id=152&amp;payweek=2014-12-31"/>
    <hyperlink ref="A1694" r:id="rId669" display="http://dev.dashboard.evolvesolar.com/my-commissions.php?user_id=192&amp;payweek=2014-12-31"/>
    <hyperlink ref="C1694" r:id="rId670" display="http://dev.dashboard.evolvesolar.com/my-commissions.php?user_id=192&amp;payweek=2014-12-31"/>
    <hyperlink ref="A1695" r:id="rId671" display="http://dev.dashboard.evolvesolar.com/my-commissions.php?user_id=203&amp;payweek=2014-12-31"/>
    <hyperlink ref="C1695" r:id="rId672" display="http://dev.dashboard.evolvesolar.com/my-commissions.php?user_id=203&amp;payweek=2014-12-31"/>
    <hyperlink ref="A1696" r:id="rId673" display="http://dev.dashboard.evolvesolar.com/my-commissions.php?user_id=217&amp;payweek=2014-12-31"/>
    <hyperlink ref="C1696" r:id="rId674" display="http://dev.dashboard.evolvesolar.com/my-commissions.php?user_id=217&amp;payweek=2014-12-31"/>
    <hyperlink ref="A1697" r:id="rId675" display="http://dev.dashboard.evolvesolar.com/my-commissions.php?user_id=219&amp;payweek=2014-12-31"/>
    <hyperlink ref="C1697" r:id="rId676" display="http://dev.dashboard.evolvesolar.com/my-commissions.php?user_id=219&amp;payweek=2014-12-31"/>
    <hyperlink ref="A1698" r:id="rId677" display="http://dev.dashboard.evolvesolar.com/my-commissions.php?user_id=236&amp;payweek=2014-12-31"/>
    <hyperlink ref="C1698" r:id="rId678" display="http://dev.dashboard.evolvesolar.com/my-commissions.php?user_id=236&amp;payweek=2014-12-31"/>
    <hyperlink ref="A1699" r:id="rId679" display="http://dev.dashboard.evolvesolar.com/my-commissions.php?user_id=250&amp;payweek=2014-12-31"/>
    <hyperlink ref="C1699" r:id="rId680" display="http://dev.dashboard.evolvesolar.com/my-commissions.php?user_id=250&amp;payweek=2014-12-31"/>
    <hyperlink ref="A1700" r:id="rId681" display="http://dev.dashboard.evolvesolar.com/my-commissions.php?user_id=261&amp;payweek=2014-12-31"/>
    <hyperlink ref="C1700" r:id="rId682" display="http://dev.dashboard.evolvesolar.com/my-commissions.php?user_id=261&amp;payweek=2014-12-31"/>
    <hyperlink ref="A1701" r:id="rId683" display="http://dev.dashboard.evolvesolar.com/my-commissions.php?user_id=282&amp;payweek=2014-12-31"/>
    <hyperlink ref="C1701" r:id="rId684" display="http://dev.dashboard.evolvesolar.com/my-commissions.php?user_id=282&amp;payweek=2014-12-31"/>
    <hyperlink ref="A1702" r:id="rId685" display="http://dev.dashboard.evolvesolar.com/my-commissions.php?user_id=285&amp;payweek=2014-12-31"/>
    <hyperlink ref="C1702" r:id="rId686" display="http://dev.dashboard.evolvesolar.com/my-commissions.php?user_id=285&amp;payweek=2014-12-31"/>
    <hyperlink ref="A1703" r:id="rId687" display="http://dev.dashboard.evolvesolar.com/my-commissions.php?user_id=295&amp;payweek=2014-12-31"/>
    <hyperlink ref="C1703" r:id="rId688" display="http://dev.dashboard.evolvesolar.com/my-commissions.php?user_id=295&amp;payweek=2014-12-31"/>
    <hyperlink ref="A1704" r:id="rId689" display="http://dev.dashboard.evolvesolar.com/my-commissions.php?user_id=302&amp;payweek=2014-12-31"/>
    <hyperlink ref="C1704" r:id="rId690" display="http://dev.dashboard.evolvesolar.com/my-commissions.php?user_id=302&amp;payweek=2014-12-31"/>
    <hyperlink ref="A1705" r:id="rId691" display="http://dev.dashboard.evolvesolar.com/my-commissions.php?user_id=324&amp;payweek=2014-12-31"/>
    <hyperlink ref="C1705" r:id="rId692" display="http://dev.dashboard.evolvesolar.com/my-commissions.php?user_id=324&amp;payweek=2014-12-31"/>
    <hyperlink ref="A1706" r:id="rId693" display="http://dev.dashboard.evolvesolar.com/my-commissions.php?user_id=378&amp;payweek=2014-12-31"/>
    <hyperlink ref="C1706" r:id="rId694" display="http://dev.dashboard.evolvesolar.com/my-commissions.php?user_id=378&amp;payweek=2014-12-31"/>
    <hyperlink ref="A1707" r:id="rId695" display="http://dev.dashboard.evolvesolar.com/my-commissions.php?user_id=387&amp;payweek=2014-12-31"/>
    <hyperlink ref="C1707" r:id="rId696" display="http://dev.dashboard.evolvesolar.com/my-commissions.php?user_id=387&amp;payweek=2014-12-31"/>
    <hyperlink ref="A1708" r:id="rId697" display="http://dev.dashboard.evolvesolar.com/my-commissions.php?user_id=392&amp;payweek=2014-12-31"/>
    <hyperlink ref="C1708" r:id="rId698" display="http://dev.dashboard.evolvesolar.com/my-commissions.php?user_id=392&amp;payweek=2014-12-31"/>
    <hyperlink ref="A1709" r:id="rId699" display="http://dev.dashboard.evolvesolar.com/my-commissions.php?user_id=405&amp;payweek=2014-12-31"/>
    <hyperlink ref="C1709" r:id="rId700" display="http://dev.dashboard.evolvesolar.com/my-commissions.php?user_id=405&amp;payweek=2014-12-31"/>
    <hyperlink ref="A1710" r:id="rId701" display="http://dev.dashboard.evolvesolar.com/my-commissions.php?user_id=428&amp;payweek=2014-12-31"/>
    <hyperlink ref="C1710" r:id="rId702" display="http://dev.dashboard.evolvesolar.com/my-commissions.php?user_id=428&amp;payweek=2014-12-31"/>
    <hyperlink ref="A1711" r:id="rId703" display="http://dev.dashboard.evolvesolar.com/my-commissions.php?user_id=438&amp;payweek=2014-12-31"/>
    <hyperlink ref="C1711" r:id="rId704" display="http://dev.dashboard.evolvesolar.com/my-commissions.php?user_id=438&amp;payweek=2014-12-31"/>
    <hyperlink ref="A1712" r:id="rId705" display="http://dev.dashboard.evolvesolar.com/my-commissions.php?user_id=446&amp;payweek=2014-12-31"/>
    <hyperlink ref="C1712" r:id="rId706" display="http://dev.dashboard.evolvesolar.com/my-commissions.php?user_id=446&amp;payweek=2014-12-31"/>
    <hyperlink ref="A1713" r:id="rId707" display="http://dev.dashboard.evolvesolar.com/my-commissions.php?user_id=453&amp;payweek=2014-12-31"/>
    <hyperlink ref="C1713" r:id="rId708" display="http://dev.dashboard.evolvesolar.com/my-commissions.php?user_id=453&amp;payweek=2014-12-31"/>
    <hyperlink ref="A1714" r:id="rId709" display="http://dev.dashboard.evolvesolar.com/my-commissions.php?user_id=464&amp;payweek=2014-12-31"/>
    <hyperlink ref="C1714" r:id="rId710" display="http://dev.dashboard.evolvesolar.com/my-commissions.php?user_id=464&amp;payweek=2014-12-31"/>
    <hyperlink ref="A1715" r:id="rId711" display="http://dev.dashboard.evolvesolar.com/my-commissions.php?user_id=465&amp;payweek=2014-12-31"/>
    <hyperlink ref="C1715" r:id="rId712" display="http://dev.dashboard.evolvesolar.com/my-commissions.php?user_id=465&amp;payweek=2014-12-31"/>
    <hyperlink ref="A1716" r:id="rId713" display="http://dev.dashboard.evolvesolar.com/my-commissions.php?user_id=512&amp;payweek=2014-12-31"/>
    <hyperlink ref="C1716" r:id="rId714" display="http://dev.dashboard.evolvesolar.com/my-commissions.php?user_id=512&amp;payweek=2014-12-31"/>
    <hyperlink ref="A1717" r:id="rId715" display="http://dev.dashboard.evolvesolar.com/my-commissions.php?user_id=580&amp;payweek=2014-12-31"/>
    <hyperlink ref="C1717" r:id="rId716" display="http://dev.dashboard.evolvesolar.com/my-commissions.php?user_id=580&amp;payweek=2014-12-31"/>
    <hyperlink ref="A1718" r:id="rId717" display="http://dev.dashboard.evolvesolar.com/my-commissions.php?user_id=583&amp;payweek=2014-12-31"/>
    <hyperlink ref="C1718" r:id="rId718" display="http://dev.dashboard.evolvesolar.com/my-commissions.php?user_id=583&amp;payweek=2014-12-31"/>
    <hyperlink ref="A1719" r:id="rId719" display="http://dev.dashboard.evolvesolar.com/my-commissions.php?user_id=593&amp;payweek=2014-12-31"/>
    <hyperlink ref="C1719" r:id="rId720" display="http://dev.dashboard.evolvesolar.com/my-commissions.php?user_id=593&amp;payweek=2014-12-31"/>
    <hyperlink ref="A1720" r:id="rId721" display="http://dev.dashboard.evolvesolar.com/my-commissions.php?user_id=604&amp;payweek=2014-12-31"/>
    <hyperlink ref="C1720" r:id="rId722" display="http://dev.dashboard.evolvesolar.com/my-commissions.php?user_id=604&amp;payweek=2014-12-31"/>
    <hyperlink ref="A1721" r:id="rId723" display="http://dev.dashboard.evolvesolar.com/my-commissions.php?user_id=606&amp;payweek=2014-12-31"/>
    <hyperlink ref="C1721" r:id="rId724" display="http://dev.dashboard.evolvesolar.com/my-commissions.php?user_id=606&amp;payweek=2014-12-31"/>
    <hyperlink ref="A1722" r:id="rId725" display="http://dev.dashboard.evolvesolar.com/my-commissions.php?user_id=607&amp;payweek=2014-12-31"/>
    <hyperlink ref="C1722" r:id="rId726" display="http://dev.dashboard.evolvesolar.com/my-commissions.php?user_id=607&amp;payweek=2014-12-31"/>
    <hyperlink ref="A1723" r:id="rId727" display="http://dev.dashboard.evolvesolar.com/my-commissions.php?user_id=610&amp;payweek=2014-12-31"/>
    <hyperlink ref="C1723" r:id="rId728" display="http://dev.dashboard.evolvesolar.com/my-commissions.php?user_id=610&amp;payweek=2014-12-31"/>
    <hyperlink ref="A1724" r:id="rId729" display="http://dev.dashboard.evolvesolar.com/my-commissions.php?user_id=616&amp;payweek=2014-12-31"/>
    <hyperlink ref="C1724" r:id="rId730" display="http://dev.dashboard.evolvesolar.com/my-commissions.php?user_id=616&amp;payweek=2014-12-31"/>
    <hyperlink ref="A1725" r:id="rId731" display="http://dev.dashboard.evolvesolar.com/my-commissions.php?user_id=626&amp;payweek=2014-12-31"/>
    <hyperlink ref="C1725" r:id="rId732" display="http://dev.dashboard.evolvesolar.com/my-commissions.php?user_id=626&amp;payweek=2014-12-31"/>
    <hyperlink ref="A1726" r:id="rId733" display="http://dev.dashboard.evolvesolar.com/my-commissions.php?user_id=632&amp;payweek=2014-12-31"/>
    <hyperlink ref="C1726" r:id="rId734" display="http://dev.dashboard.evolvesolar.com/my-commissions.php?user_id=632&amp;payweek=2014-12-31"/>
    <hyperlink ref="A1727" r:id="rId735" display="http://dev.dashboard.evolvesolar.com/my-commissions.php?user_id=657&amp;payweek=2014-12-31"/>
    <hyperlink ref="C1727" r:id="rId736" display="http://dev.dashboard.evolvesolar.com/my-commissions.php?user_id=657&amp;payweek=2014-12-31"/>
    <hyperlink ref="A1728" r:id="rId737" display="http://dev.dashboard.evolvesolar.com/my-commissions.php?user_id=660&amp;payweek=2014-12-31"/>
    <hyperlink ref="C1728" r:id="rId738" display="http://dev.dashboard.evolvesolar.com/my-commissions.php?user_id=660&amp;payweek=2014-12-31"/>
    <hyperlink ref="A1729" r:id="rId739" display="http://dev.dashboard.evolvesolar.com/my-commissions.php?user_id=661&amp;payweek=2014-12-31"/>
    <hyperlink ref="C1729" r:id="rId740" display="http://dev.dashboard.evolvesolar.com/my-commissions.php?user_id=661&amp;payweek=2014-12-31"/>
    <hyperlink ref="A1730" r:id="rId741" display="http://dev.dashboard.evolvesolar.com/my-commissions.php?user_id=714&amp;payweek=2014-12-31"/>
    <hyperlink ref="C1730" r:id="rId742" display="http://dev.dashboard.evolvesolar.com/my-commissions.php?user_id=714&amp;payweek=2014-12-31"/>
    <hyperlink ref="A1731" r:id="rId743" display="http://dev.dashboard.evolvesolar.com/my-commissions.php?user_id=771&amp;payweek=2014-12-31"/>
    <hyperlink ref="C1731" r:id="rId744" display="http://dev.dashboard.evolvesolar.com/my-commissions.php?user_id=771&amp;payweek=2014-12-31"/>
    <hyperlink ref="A1732" r:id="rId745" display="http://dev.dashboard.evolvesolar.com/my-commissions.php?user_id=775&amp;payweek=2014-12-31"/>
    <hyperlink ref="C1732" r:id="rId746" display="http://dev.dashboard.evolvesolar.com/my-commissions.php?user_id=775&amp;payweek=2014-12-31"/>
    <hyperlink ref="A1733" r:id="rId747" display="http://dev.dashboard.evolvesolar.com/my-commissions.php?user_id=852&amp;payweek=2014-12-31"/>
    <hyperlink ref="C1733" r:id="rId748" display="http://dev.dashboard.evolvesolar.com/my-commissions.php?user_id=852&amp;payweek=2014-12-31"/>
    <hyperlink ref="A1734" r:id="rId749" display="http://dev.dashboard.evolvesolar.com/my-commissions.php?user_id=904&amp;payweek=2014-12-31"/>
    <hyperlink ref="C1734" r:id="rId750" display="http://dev.dashboard.evolvesolar.com/my-commissions.php?user_id=904&amp;payweek=2014-12-31"/>
    <hyperlink ref="A1614" r:id="rId751" display="http://dev.dashboard.evolvesolar.com/my-commissions.php?user_id=37&amp;payweek=2014-12-26"/>
    <hyperlink ref="C1614" r:id="rId752" display="http://dev.dashboard.evolvesolar.com/my-commissions.php?user_id=37&amp;payweek=2014-12-26"/>
    <hyperlink ref="A1615" r:id="rId753" display="http://dev.dashboard.evolvesolar.com/my-commissions.php?user_id=41&amp;payweek=2014-12-26"/>
    <hyperlink ref="C1615" r:id="rId754" display="http://dev.dashboard.evolvesolar.com/my-commissions.php?user_id=41&amp;payweek=2014-12-26"/>
    <hyperlink ref="A1616" r:id="rId755" display="http://dev.dashboard.evolvesolar.com/my-commissions.php?user_id=63&amp;payweek=2014-12-26"/>
    <hyperlink ref="C1616" r:id="rId756" display="http://dev.dashboard.evolvesolar.com/my-commissions.php?user_id=63&amp;payweek=2014-12-26"/>
    <hyperlink ref="A1617" r:id="rId757" display="http://dev.dashboard.evolvesolar.com/my-commissions.php?user_id=77&amp;payweek=2014-12-26"/>
    <hyperlink ref="C1617" r:id="rId758" display="http://dev.dashboard.evolvesolar.com/my-commissions.php?user_id=77&amp;payweek=2014-12-26"/>
    <hyperlink ref="A1618" r:id="rId759" display="http://dev.dashboard.evolvesolar.com/my-commissions.php?user_id=85&amp;payweek=2014-12-26"/>
    <hyperlink ref="C1618" r:id="rId760" display="http://dev.dashboard.evolvesolar.com/my-commissions.php?user_id=85&amp;payweek=2014-12-26"/>
    <hyperlink ref="A1619" r:id="rId761" display="http://dev.dashboard.evolvesolar.com/my-commissions.php?user_id=109&amp;payweek=2014-12-26"/>
    <hyperlink ref="C1619" r:id="rId762" display="http://dev.dashboard.evolvesolar.com/my-commissions.php?user_id=109&amp;payweek=2014-12-26"/>
    <hyperlink ref="A1620" r:id="rId763" display="http://dev.dashboard.evolvesolar.com/my-commissions.php?user_id=113&amp;payweek=2014-12-26"/>
    <hyperlink ref="C1620" r:id="rId764" display="http://dev.dashboard.evolvesolar.com/my-commissions.php?user_id=113&amp;payweek=2014-12-26"/>
    <hyperlink ref="A1621" r:id="rId765" display="http://dev.dashboard.evolvesolar.com/my-commissions.php?user_id=114&amp;payweek=2014-12-26"/>
    <hyperlink ref="C1621" r:id="rId766" display="http://dev.dashboard.evolvesolar.com/my-commissions.php?user_id=114&amp;payweek=2014-12-26"/>
    <hyperlink ref="A1622" r:id="rId767" display="http://dev.dashboard.evolvesolar.com/my-commissions.php?user_id=141&amp;payweek=2014-12-26"/>
    <hyperlink ref="C1622" r:id="rId768" display="http://dev.dashboard.evolvesolar.com/my-commissions.php?user_id=141&amp;payweek=2014-12-26"/>
    <hyperlink ref="A1623" r:id="rId769" display="http://dev.dashboard.evolvesolar.com/my-commissions.php?user_id=153&amp;payweek=2014-12-26"/>
    <hyperlink ref="C1623" r:id="rId770" display="http://dev.dashboard.evolvesolar.com/my-commissions.php?user_id=153&amp;payweek=2014-12-26"/>
    <hyperlink ref="A1624" r:id="rId771" display="http://dev.dashboard.evolvesolar.com/my-commissions.php?user_id=161&amp;payweek=2014-12-26"/>
    <hyperlink ref="C1624" r:id="rId772" display="http://dev.dashboard.evolvesolar.com/my-commissions.php?user_id=161&amp;payweek=2014-12-26"/>
    <hyperlink ref="A1625" r:id="rId773" display="http://dev.dashboard.evolvesolar.com/my-commissions.php?user_id=179&amp;payweek=2014-12-26"/>
    <hyperlink ref="C1625" r:id="rId774" display="http://dev.dashboard.evolvesolar.com/my-commissions.php?user_id=179&amp;payweek=2014-12-26"/>
    <hyperlink ref="A1626" r:id="rId775" display="http://dev.dashboard.evolvesolar.com/my-commissions.php?user_id=184&amp;payweek=2014-12-26"/>
    <hyperlink ref="C1626" r:id="rId776" display="http://dev.dashboard.evolvesolar.com/my-commissions.php?user_id=184&amp;payweek=2014-12-26"/>
    <hyperlink ref="A1627" r:id="rId777" display="http://dev.dashboard.evolvesolar.com/my-commissions.php?user_id=203&amp;payweek=2014-12-26"/>
    <hyperlink ref="C1627" r:id="rId778" display="http://dev.dashboard.evolvesolar.com/my-commissions.php?user_id=203&amp;payweek=2014-12-26"/>
    <hyperlink ref="A1628" r:id="rId779" display="http://dev.dashboard.evolvesolar.com/my-commissions.php?user_id=211&amp;payweek=2014-12-26"/>
    <hyperlink ref="C1628" r:id="rId780" display="http://dev.dashboard.evolvesolar.com/my-commissions.php?user_id=211&amp;payweek=2014-12-26"/>
    <hyperlink ref="A1629" r:id="rId781" display="http://dev.dashboard.evolvesolar.com/my-commissions.php?user_id=255&amp;payweek=2014-12-26"/>
    <hyperlink ref="C1629" r:id="rId782" display="http://dev.dashboard.evolvesolar.com/my-commissions.php?user_id=255&amp;payweek=2014-12-26"/>
    <hyperlink ref="A1630" r:id="rId783" display="http://dev.dashboard.evolvesolar.com/my-commissions.php?user_id=261&amp;payweek=2014-12-26"/>
    <hyperlink ref="C1630" r:id="rId784" display="http://dev.dashboard.evolvesolar.com/my-commissions.php?user_id=261&amp;payweek=2014-12-26"/>
    <hyperlink ref="A1631" r:id="rId785" display="http://dev.dashboard.evolvesolar.com/my-commissions.php?user_id=268&amp;payweek=2014-12-26"/>
    <hyperlink ref="C1631" r:id="rId786" display="http://dev.dashboard.evolvesolar.com/my-commissions.php?user_id=268&amp;payweek=2014-12-26"/>
    <hyperlink ref="A1632" r:id="rId787" display="http://dev.dashboard.evolvesolar.com/my-commissions.php?user_id=302&amp;payweek=2014-12-26"/>
    <hyperlink ref="C1632" r:id="rId788" display="http://dev.dashboard.evolvesolar.com/my-commissions.php?user_id=302&amp;payweek=2014-12-26"/>
    <hyperlink ref="A1633" r:id="rId789" display="http://dev.dashboard.evolvesolar.com/my-commissions.php?user_id=303&amp;payweek=2014-12-26"/>
    <hyperlink ref="C1633" r:id="rId790" display="http://dev.dashboard.evolvesolar.com/my-commissions.php?user_id=303&amp;payweek=2014-12-26"/>
    <hyperlink ref="A1634" r:id="rId791" display="http://dev.dashboard.evolvesolar.com/my-commissions.php?user_id=322&amp;payweek=2014-12-26"/>
    <hyperlink ref="C1634" r:id="rId792" display="http://dev.dashboard.evolvesolar.com/my-commissions.php?user_id=322&amp;payweek=2014-12-26"/>
    <hyperlink ref="A1635" r:id="rId793" display="http://dev.dashboard.evolvesolar.com/my-commissions.php?user_id=326&amp;payweek=2014-12-26"/>
    <hyperlink ref="C1635" r:id="rId794" display="http://dev.dashboard.evolvesolar.com/my-commissions.php?user_id=326&amp;payweek=2014-12-26"/>
    <hyperlink ref="A1636" r:id="rId795" display="http://dev.dashboard.evolvesolar.com/my-commissions.php?user_id=340&amp;payweek=2014-12-26"/>
    <hyperlink ref="C1636" r:id="rId796" display="http://dev.dashboard.evolvesolar.com/my-commissions.php?user_id=340&amp;payweek=2014-12-26"/>
    <hyperlink ref="A1637" r:id="rId797" display="http://dev.dashboard.evolvesolar.com/my-commissions.php?user_id=343&amp;payweek=2014-12-26"/>
    <hyperlink ref="C1637" r:id="rId798" display="http://dev.dashboard.evolvesolar.com/my-commissions.php?user_id=343&amp;payweek=2014-12-26"/>
    <hyperlink ref="A1638" r:id="rId799" display="http://dev.dashboard.evolvesolar.com/my-commissions.php?user_id=365&amp;payweek=2014-12-26"/>
    <hyperlink ref="C1638" r:id="rId800" display="http://dev.dashboard.evolvesolar.com/my-commissions.php?user_id=365&amp;payweek=2014-12-26"/>
    <hyperlink ref="A1639" r:id="rId801" display="http://dev.dashboard.evolvesolar.com/my-commissions.php?user_id=382&amp;payweek=2014-12-26"/>
    <hyperlink ref="C1639" r:id="rId802" display="http://dev.dashboard.evolvesolar.com/my-commissions.php?user_id=382&amp;payweek=2014-12-26"/>
    <hyperlink ref="A1640" r:id="rId803" display="http://dev.dashboard.evolvesolar.com/my-commissions.php?user_id=383&amp;payweek=2014-12-26"/>
    <hyperlink ref="C1640" r:id="rId804" display="http://dev.dashboard.evolvesolar.com/my-commissions.php?user_id=383&amp;payweek=2014-12-26"/>
    <hyperlink ref="A1641" r:id="rId805" display="http://dev.dashboard.evolvesolar.com/my-commissions.php?user_id=389&amp;payweek=2014-12-26"/>
    <hyperlink ref="C1641" r:id="rId806" display="http://dev.dashboard.evolvesolar.com/my-commissions.php?user_id=389&amp;payweek=2014-12-26"/>
    <hyperlink ref="A1642" r:id="rId807" display="http://dev.dashboard.evolvesolar.com/my-commissions.php?user_id=392&amp;payweek=2014-12-26"/>
    <hyperlink ref="C1642" r:id="rId808" display="http://dev.dashboard.evolvesolar.com/my-commissions.php?user_id=392&amp;payweek=2014-12-26"/>
    <hyperlink ref="A1643" r:id="rId809" display="http://dev.dashboard.evolvesolar.com/my-commissions.php?user_id=403&amp;payweek=2014-12-26"/>
    <hyperlink ref="C1643" r:id="rId810" display="http://dev.dashboard.evolvesolar.com/my-commissions.php?user_id=403&amp;payweek=2014-12-26"/>
    <hyperlink ref="A1644" r:id="rId811" display="http://dev.dashboard.evolvesolar.com/my-commissions.php?user_id=407&amp;payweek=2014-12-26"/>
    <hyperlink ref="C1644" r:id="rId812" display="http://dev.dashboard.evolvesolar.com/my-commissions.php?user_id=407&amp;payweek=2014-12-26"/>
    <hyperlink ref="A1645" r:id="rId813" display="http://dev.dashboard.evolvesolar.com/my-commissions.php?user_id=410&amp;payweek=2014-12-26"/>
    <hyperlink ref="C1645" r:id="rId814" display="http://dev.dashboard.evolvesolar.com/my-commissions.php?user_id=410&amp;payweek=2014-12-26"/>
    <hyperlink ref="A1646" r:id="rId815" display="http://dev.dashboard.evolvesolar.com/my-commissions.php?user_id=422&amp;payweek=2014-12-26"/>
    <hyperlink ref="C1646" r:id="rId816" display="http://dev.dashboard.evolvesolar.com/my-commissions.php?user_id=422&amp;payweek=2014-12-26"/>
    <hyperlink ref="A1647" r:id="rId817" display="http://dev.dashboard.evolvesolar.com/my-commissions.php?user_id=428&amp;payweek=2014-12-26"/>
    <hyperlink ref="C1647" r:id="rId818" display="http://dev.dashboard.evolvesolar.com/my-commissions.php?user_id=428&amp;payweek=2014-12-26"/>
    <hyperlink ref="A1648" r:id="rId819" display="http://dev.dashboard.evolvesolar.com/my-commissions.php?user_id=438&amp;payweek=2014-12-26"/>
    <hyperlink ref="C1648" r:id="rId820" display="http://dev.dashboard.evolvesolar.com/my-commissions.php?user_id=438&amp;payweek=2014-12-26"/>
    <hyperlink ref="A1649" r:id="rId821" display="http://dev.dashboard.evolvesolar.com/my-commissions.php?user_id=468&amp;payweek=2014-12-26"/>
    <hyperlink ref="C1649" r:id="rId822" display="http://dev.dashboard.evolvesolar.com/my-commissions.php?user_id=468&amp;payweek=2014-12-26"/>
    <hyperlink ref="A1650" r:id="rId823" display="http://dev.dashboard.evolvesolar.com/my-commissions.php?user_id=530&amp;payweek=2014-12-26"/>
    <hyperlink ref="C1650" r:id="rId824" display="http://dev.dashboard.evolvesolar.com/my-commissions.php?user_id=530&amp;payweek=2014-12-26"/>
    <hyperlink ref="A1651" r:id="rId825" display="http://dev.dashboard.evolvesolar.com/my-commissions.php?user_id=551&amp;payweek=2014-12-26"/>
    <hyperlink ref="C1651" r:id="rId826" display="http://dev.dashboard.evolvesolar.com/my-commissions.php?user_id=551&amp;payweek=2014-12-26"/>
    <hyperlink ref="A1652" r:id="rId827" display="http://dev.dashboard.evolvesolar.com/my-commissions.php?user_id=576&amp;payweek=2014-12-26"/>
    <hyperlink ref="C1652" r:id="rId828" display="http://dev.dashboard.evolvesolar.com/my-commissions.php?user_id=576&amp;payweek=2014-12-26"/>
    <hyperlink ref="A1653" r:id="rId829" display="http://dev.dashboard.evolvesolar.com/my-commissions.php?user_id=580&amp;payweek=2014-12-26"/>
    <hyperlink ref="C1653" r:id="rId830" display="http://dev.dashboard.evolvesolar.com/my-commissions.php?user_id=580&amp;payweek=2014-12-26"/>
    <hyperlink ref="A1654" r:id="rId831" display="http://dev.dashboard.evolvesolar.com/my-commissions.php?user_id=592&amp;payweek=2014-12-26"/>
    <hyperlink ref="C1654" r:id="rId832" display="http://dev.dashboard.evolvesolar.com/my-commissions.php?user_id=592&amp;payweek=2014-12-26"/>
    <hyperlink ref="A1655" r:id="rId833" display="http://dev.dashboard.evolvesolar.com/my-commissions.php?user_id=594&amp;payweek=2014-12-26"/>
    <hyperlink ref="C1655" r:id="rId834" display="http://dev.dashboard.evolvesolar.com/my-commissions.php?user_id=594&amp;payweek=2014-12-26"/>
    <hyperlink ref="A1656" r:id="rId835" display="http://dev.dashboard.evolvesolar.com/my-commissions.php?user_id=601&amp;payweek=2014-12-26"/>
    <hyperlink ref="C1656" r:id="rId836" display="http://dev.dashboard.evolvesolar.com/my-commissions.php?user_id=601&amp;payweek=2014-12-26"/>
    <hyperlink ref="A1657" r:id="rId837" display="http://dev.dashboard.evolvesolar.com/my-commissions.php?user_id=615&amp;payweek=2014-12-26"/>
    <hyperlink ref="C1657" r:id="rId838" display="http://dev.dashboard.evolvesolar.com/my-commissions.php?user_id=615&amp;payweek=2014-12-26"/>
    <hyperlink ref="A1658" r:id="rId839" display="http://dev.dashboard.evolvesolar.com/my-commissions.php?user_id=621&amp;payweek=2014-12-26"/>
    <hyperlink ref="C1658" r:id="rId840" display="http://dev.dashboard.evolvesolar.com/my-commissions.php?user_id=621&amp;payweek=2014-12-26"/>
    <hyperlink ref="A1659" r:id="rId841" display="http://dev.dashboard.evolvesolar.com/my-commissions.php?user_id=626&amp;payweek=2014-12-26"/>
    <hyperlink ref="C1659" r:id="rId842" display="http://dev.dashboard.evolvesolar.com/my-commissions.php?user_id=626&amp;payweek=2014-12-26"/>
    <hyperlink ref="A1660" r:id="rId843" display="http://dev.dashboard.evolvesolar.com/my-commissions.php?user_id=634&amp;payweek=2014-12-26"/>
    <hyperlink ref="C1660" r:id="rId844" display="http://dev.dashboard.evolvesolar.com/my-commissions.php?user_id=634&amp;payweek=2014-12-26"/>
    <hyperlink ref="A1661" r:id="rId845" display="http://dev.dashboard.evolvesolar.com/my-commissions.php?user_id=635&amp;payweek=2014-12-26"/>
    <hyperlink ref="C1661" r:id="rId846" display="http://dev.dashboard.evolvesolar.com/my-commissions.php?user_id=635&amp;payweek=2014-12-26"/>
    <hyperlink ref="A1662" r:id="rId847" display="http://dev.dashboard.evolvesolar.com/my-commissions.php?user_id=646&amp;payweek=2014-12-26"/>
    <hyperlink ref="C1662" r:id="rId848" display="http://dev.dashboard.evolvesolar.com/my-commissions.php?user_id=646&amp;payweek=2014-12-26"/>
    <hyperlink ref="A1663" r:id="rId849" display="http://dev.dashboard.evolvesolar.com/my-commissions.php?user_id=648&amp;payweek=2014-12-26"/>
    <hyperlink ref="C1663" r:id="rId850" display="http://dev.dashboard.evolvesolar.com/my-commissions.php?user_id=648&amp;payweek=2014-12-26"/>
    <hyperlink ref="A1664" r:id="rId851" display="http://dev.dashboard.evolvesolar.com/my-commissions.php?user_id=656&amp;payweek=2014-12-26"/>
    <hyperlink ref="C1664" r:id="rId852" display="http://dev.dashboard.evolvesolar.com/my-commissions.php?user_id=656&amp;payweek=2014-12-26"/>
    <hyperlink ref="A1665" r:id="rId853" display="http://dev.dashboard.evolvesolar.com/my-commissions.php?user_id=664&amp;payweek=2014-12-26"/>
    <hyperlink ref="C1665" r:id="rId854" display="http://dev.dashboard.evolvesolar.com/my-commissions.php?user_id=664&amp;payweek=2014-12-26"/>
    <hyperlink ref="A1666" r:id="rId855" display="http://dev.dashboard.evolvesolar.com/my-commissions.php?user_id=665&amp;payweek=2014-12-26"/>
    <hyperlink ref="C1666" r:id="rId856" display="http://dev.dashboard.evolvesolar.com/my-commissions.php?user_id=665&amp;payweek=2014-12-26"/>
    <hyperlink ref="A1667" r:id="rId857" display="http://dev.dashboard.evolvesolar.com/my-commissions.php?user_id=675&amp;payweek=2014-12-26"/>
    <hyperlink ref="C1667" r:id="rId858" display="http://dev.dashboard.evolvesolar.com/my-commissions.php?user_id=675&amp;payweek=2014-12-26"/>
    <hyperlink ref="A1668" r:id="rId859" display="http://dev.dashboard.evolvesolar.com/my-commissions.php?user_id=680&amp;payweek=2014-12-26"/>
    <hyperlink ref="C1668" r:id="rId860" display="http://dev.dashboard.evolvesolar.com/my-commissions.php?user_id=680&amp;payweek=2014-12-26"/>
    <hyperlink ref="A1669" r:id="rId861" display="http://dev.dashboard.evolvesolar.com/my-commissions.php?user_id=687&amp;payweek=2014-12-26"/>
    <hyperlink ref="C1669" r:id="rId862" display="http://dev.dashboard.evolvesolar.com/my-commissions.php?user_id=687&amp;payweek=2014-12-26"/>
    <hyperlink ref="A1670" r:id="rId863" display="http://dev.dashboard.evolvesolar.com/my-commissions.php?user_id=690&amp;payweek=2014-12-26"/>
    <hyperlink ref="C1670" r:id="rId864" display="http://dev.dashboard.evolvesolar.com/my-commissions.php?user_id=690&amp;payweek=2014-12-26"/>
    <hyperlink ref="A1671" r:id="rId865" display="http://dev.dashboard.evolvesolar.com/my-commissions.php?user_id=696&amp;payweek=2014-12-26"/>
    <hyperlink ref="C1671" r:id="rId866" display="http://dev.dashboard.evolvesolar.com/my-commissions.php?user_id=696&amp;payweek=2014-12-26"/>
    <hyperlink ref="A1672" r:id="rId867" display="http://dev.dashboard.evolvesolar.com/my-commissions.php?user_id=702&amp;payweek=2014-12-26"/>
    <hyperlink ref="C1672" r:id="rId868" display="http://dev.dashboard.evolvesolar.com/my-commissions.php?user_id=702&amp;payweek=2014-12-26"/>
    <hyperlink ref="A1673" r:id="rId869" display="http://dev.dashboard.evolvesolar.com/my-commissions.php?user_id=711&amp;payweek=2014-12-26"/>
    <hyperlink ref="C1673" r:id="rId870" display="http://dev.dashboard.evolvesolar.com/my-commissions.php?user_id=711&amp;payweek=2014-12-26"/>
    <hyperlink ref="A1674" r:id="rId871" display="http://dev.dashboard.evolvesolar.com/my-commissions.php?user_id=722&amp;payweek=2014-12-26"/>
    <hyperlink ref="C1674" r:id="rId872" display="http://dev.dashboard.evolvesolar.com/my-commissions.php?user_id=722&amp;payweek=2014-12-26"/>
    <hyperlink ref="A1675" r:id="rId873" display="http://dev.dashboard.evolvesolar.com/my-commissions.php?user_id=725&amp;payweek=2014-12-26"/>
    <hyperlink ref="C1675" r:id="rId874" display="http://dev.dashboard.evolvesolar.com/my-commissions.php?user_id=725&amp;payweek=2014-12-26"/>
    <hyperlink ref="A1676" r:id="rId875" display="http://dev.dashboard.evolvesolar.com/my-commissions.php?user_id=750&amp;payweek=2014-12-26"/>
    <hyperlink ref="C1676" r:id="rId876" display="http://dev.dashboard.evolvesolar.com/my-commissions.php?user_id=750&amp;payweek=2014-12-26"/>
    <hyperlink ref="A1677" r:id="rId877" display="http://dev.dashboard.evolvesolar.com/my-commissions.php?user_id=784&amp;payweek=2014-12-26"/>
    <hyperlink ref="C1677" r:id="rId878" display="http://dev.dashboard.evolvesolar.com/my-commissions.php?user_id=784&amp;payweek=2014-12-26"/>
    <hyperlink ref="A1678" r:id="rId879" display="http://dev.dashboard.evolvesolar.com/my-commissions.php?user_id=807&amp;payweek=2014-12-26"/>
    <hyperlink ref="C1678" r:id="rId880" display="http://dev.dashboard.evolvesolar.com/my-commissions.php?user_id=807&amp;payweek=2014-12-26"/>
    <hyperlink ref="A1679" r:id="rId881" display="http://dev.dashboard.evolvesolar.com/my-commissions.php?user_id=857&amp;payweek=2014-12-26"/>
    <hyperlink ref="C1679" r:id="rId882" display="http://dev.dashboard.evolvesolar.com/my-commissions.php?user_id=857&amp;payweek=2014-12-26"/>
    <hyperlink ref="A1680" r:id="rId883" display="http://dev.dashboard.evolvesolar.com/my-commissions.php?user_id=858&amp;payweek=2014-12-26"/>
    <hyperlink ref="C1680" r:id="rId884" display="http://dev.dashboard.evolvesolar.com/my-commissions.php?user_id=858&amp;payweek=2014-12-26"/>
    <hyperlink ref="A1681" r:id="rId885" display="http://dev.dashboard.evolvesolar.com/my-commissions.php?user_id=897&amp;payweek=2014-12-26"/>
    <hyperlink ref="C1681" r:id="rId886" display="http://dev.dashboard.evolvesolar.com/my-commissions.php?user_id=897&amp;payweek=2014-12-26"/>
    <hyperlink ref="A1682" r:id="rId887" display="http://dev.dashboard.evolvesolar.com/my-commissions.php?user_id=906&amp;payweek=2014-12-26"/>
    <hyperlink ref="C1682" r:id="rId888" display="http://dev.dashboard.evolvesolar.com/my-commissions.php?user_id=906&amp;payweek=2014-12-26"/>
    <hyperlink ref="A1613" r:id="rId889" display="http://dev.dashboard.evolvesolar.com/my-commissions.php?user_id=672&amp;payweek=2014-12-24"/>
    <hyperlink ref="C1613" r:id="rId890" display="http://dev.dashboard.evolvesolar.com/my-commissions.php?user_id=672&amp;payweek=2014-12-24"/>
    <hyperlink ref="A1581" r:id="rId891" display="http://dev.dashboard.evolvesolar.com/my-commissions.php?user_id=28&amp;payweek=2014-12-22"/>
    <hyperlink ref="C1581" r:id="rId892" display="http://dev.dashboard.evolvesolar.com/my-commissions.php?user_id=28&amp;payweek=2014-12-22"/>
    <hyperlink ref="A1582" r:id="rId893" display="http://dev.dashboard.evolvesolar.com/my-commissions.php?user_id=37&amp;payweek=2014-12-22"/>
    <hyperlink ref="C1582" r:id="rId894" display="http://dev.dashboard.evolvesolar.com/my-commissions.php?user_id=37&amp;payweek=2014-12-22"/>
    <hyperlink ref="A1583" r:id="rId895" display="http://dev.dashboard.evolvesolar.com/my-commissions.php?user_id=85&amp;payweek=2014-12-22"/>
    <hyperlink ref="C1583" r:id="rId896" display="http://dev.dashboard.evolvesolar.com/my-commissions.php?user_id=85&amp;payweek=2014-12-22"/>
    <hyperlink ref="A1584" r:id="rId897" display="http://dev.dashboard.evolvesolar.com/my-commissions.php?user_id=114&amp;payweek=2014-12-22"/>
    <hyperlink ref="C1584" r:id="rId898" display="http://dev.dashboard.evolvesolar.com/my-commissions.php?user_id=114&amp;payweek=2014-12-22"/>
    <hyperlink ref="A1585" r:id="rId899" display="http://dev.dashboard.evolvesolar.com/my-commissions.php?user_id=117&amp;payweek=2014-12-22"/>
    <hyperlink ref="C1585" r:id="rId900" display="http://dev.dashboard.evolvesolar.com/my-commissions.php?user_id=117&amp;payweek=2014-12-22"/>
    <hyperlink ref="A1586" r:id="rId901" display="http://dev.dashboard.evolvesolar.com/my-commissions.php?user_id=217&amp;payweek=2014-12-22"/>
    <hyperlink ref="C1586" r:id="rId902" display="http://dev.dashboard.evolvesolar.com/my-commissions.php?user_id=217&amp;payweek=2014-12-22"/>
    <hyperlink ref="A1587" r:id="rId903" display="http://dev.dashboard.evolvesolar.com/my-commissions.php?user_id=218&amp;payweek=2014-12-22"/>
    <hyperlink ref="C1587" r:id="rId904" display="http://dev.dashboard.evolvesolar.com/my-commissions.php?user_id=218&amp;payweek=2014-12-22"/>
    <hyperlink ref="A1588" r:id="rId905" display="http://dev.dashboard.evolvesolar.com/my-commissions.php?user_id=255&amp;payweek=2014-12-22"/>
    <hyperlink ref="C1588" r:id="rId906" display="http://dev.dashboard.evolvesolar.com/my-commissions.php?user_id=255&amp;payweek=2014-12-22"/>
    <hyperlink ref="A1589" r:id="rId907" display="http://dev.dashboard.evolvesolar.com/my-commissions.php?user_id=268&amp;payweek=2014-12-22"/>
    <hyperlink ref="C1589" r:id="rId908" display="http://dev.dashboard.evolvesolar.com/my-commissions.php?user_id=268&amp;payweek=2014-12-22"/>
    <hyperlink ref="A1590" r:id="rId909" display="http://dev.dashboard.evolvesolar.com/my-commissions.php?user_id=329&amp;payweek=2014-12-22"/>
    <hyperlink ref="C1590" r:id="rId910" display="http://dev.dashboard.evolvesolar.com/my-commissions.php?user_id=329&amp;payweek=2014-12-22"/>
    <hyperlink ref="A1591" r:id="rId911" display="http://dev.dashboard.evolvesolar.com/my-commissions.php?user_id=373&amp;payweek=2014-12-22"/>
    <hyperlink ref="C1591" r:id="rId912" display="http://dev.dashboard.evolvesolar.com/my-commissions.php?user_id=373&amp;payweek=2014-12-22"/>
    <hyperlink ref="A1592" r:id="rId913" display="http://dev.dashboard.evolvesolar.com/my-commissions.php?user_id=378&amp;payweek=2014-12-22"/>
    <hyperlink ref="C1592" r:id="rId914" display="http://dev.dashboard.evolvesolar.com/my-commissions.php?user_id=378&amp;payweek=2014-12-22"/>
    <hyperlink ref="A1593" r:id="rId915" display="http://dev.dashboard.evolvesolar.com/my-commissions.php?user_id=401&amp;payweek=2014-12-22"/>
    <hyperlink ref="C1593" r:id="rId916" display="http://dev.dashboard.evolvesolar.com/my-commissions.php?user_id=401&amp;payweek=2014-12-22"/>
    <hyperlink ref="A1594" r:id="rId917" display="http://dev.dashboard.evolvesolar.com/my-commissions.php?user_id=407&amp;payweek=2014-12-22"/>
    <hyperlink ref="C1594" r:id="rId918" display="http://dev.dashboard.evolvesolar.com/my-commissions.php?user_id=407&amp;payweek=2014-12-22"/>
    <hyperlink ref="A1595" r:id="rId919" display="http://dev.dashboard.evolvesolar.com/my-commissions.php?user_id=422&amp;payweek=2014-12-22"/>
    <hyperlink ref="C1595" r:id="rId920" display="http://dev.dashboard.evolvesolar.com/my-commissions.php?user_id=422&amp;payweek=2014-12-22"/>
    <hyperlink ref="A1596" r:id="rId921" display="http://dev.dashboard.evolvesolar.com/my-commissions.php?user_id=438&amp;payweek=2014-12-22"/>
    <hyperlink ref="C1596" r:id="rId922" display="http://dev.dashboard.evolvesolar.com/my-commissions.php?user_id=438&amp;payweek=2014-12-22"/>
    <hyperlink ref="A1597" r:id="rId923" display="http://dev.dashboard.evolvesolar.com/my-commissions.php?user_id=580&amp;payweek=2014-12-22"/>
    <hyperlink ref="C1597" r:id="rId924" display="http://dev.dashboard.evolvesolar.com/my-commissions.php?user_id=580&amp;payweek=2014-12-22"/>
    <hyperlink ref="A1598" r:id="rId925" display="http://dev.dashboard.evolvesolar.com/my-commissions.php?user_id=599&amp;payweek=2014-12-22"/>
    <hyperlink ref="C1598" r:id="rId926" display="http://dev.dashboard.evolvesolar.com/my-commissions.php?user_id=599&amp;payweek=2014-12-22"/>
    <hyperlink ref="A1599" r:id="rId927" display="http://dev.dashboard.evolvesolar.com/my-commissions.php?user_id=672&amp;payweek=2014-12-22"/>
    <hyperlink ref="C1599" r:id="rId928" display="http://dev.dashboard.evolvesolar.com/my-commissions.php?user_id=672&amp;payweek=2014-12-22"/>
    <hyperlink ref="A1600" r:id="rId929" display="http://dev.dashboard.evolvesolar.com/my-commissions.php?user_id=679&amp;payweek=2014-12-22"/>
    <hyperlink ref="C1600" r:id="rId930" display="http://dev.dashboard.evolvesolar.com/my-commissions.php?user_id=679&amp;payweek=2014-12-22"/>
    <hyperlink ref="A1601" r:id="rId931" display="http://dev.dashboard.evolvesolar.com/my-commissions.php?user_id=699&amp;payweek=2014-12-22"/>
    <hyperlink ref="C1601" r:id="rId932" display="http://dev.dashboard.evolvesolar.com/my-commissions.php?user_id=699&amp;payweek=2014-12-22"/>
    <hyperlink ref="A1602" r:id="rId933" display="http://dev.dashboard.evolvesolar.com/my-commissions.php?user_id=708&amp;payweek=2014-12-22"/>
    <hyperlink ref="C1602" r:id="rId934" display="http://dev.dashboard.evolvesolar.com/my-commissions.php?user_id=708&amp;payweek=2014-12-22"/>
    <hyperlink ref="A1603" r:id="rId935" display="http://dev.dashboard.evolvesolar.com/my-commissions.php?user_id=714&amp;payweek=2014-12-22"/>
    <hyperlink ref="C1603" r:id="rId936" display="http://dev.dashboard.evolvesolar.com/my-commissions.php?user_id=714&amp;payweek=2014-12-22"/>
    <hyperlink ref="A1604" r:id="rId937" display="http://dev.dashboard.evolvesolar.com/my-commissions.php?user_id=715&amp;payweek=2014-12-22"/>
    <hyperlink ref="C1604" r:id="rId938" display="http://dev.dashboard.evolvesolar.com/my-commissions.php?user_id=715&amp;payweek=2014-12-22"/>
    <hyperlink ref="A1605" r:id="rId939" display="http://dev.dashboard.evolvesolar.com/my-commissions.php?user_id=722&amp;payweek=2014-12-22"/>
    <hyperlink ref="C1605" r:id="rId940" display="http://dev.dashboard.evolvesolar.com/my-commissions.php?user_id=722&amp;payweek=2014-12-22"/>
    <hyperlink ref="A1606" r:id="rId941" display="http://dev.dashboard.evolvesolar.com/my-commissions.php?user_id=782&amp;payweek=2014-12-22"/>
    <hyperlink ref="C1606" r:id="rId942" display="http://dev.dashboard.evolvesolar.com/my-commissions.php?user_id=782&amp;payweek=2014-12-22"/>
    <hyperlink ref="A1607" r:id="rId943" display="http://dev.dashboard.evolvesolar.com/my-commissions.php?user_id=790&amp;payweek=2014-12-22"/>
    <hyperlink ref="C1607" r:id="rId944" display="http://dev.dashboard.evolvesolar.com/my-commissions.php?user_id=790&amp;payweek=2014-12-22"/>
    <hyperlink ref="A1608" r:id="rId945" display="http://dev.dashboard.evolvesolar.com/my-commissions.php?user_id=807&amp;payweek=2014-12-22"/>
    <hyperlink ref="C1608" r:id="rId946" display="http://dev.dashboard.evolvesolar.com/my-commissions.php?user_id=807&amp;payweek=2014-12-22"/>
    <hyperlink ref="A1609" r:id="rId947" display="http://dev.dashboard.evolvesolar.com/my-commissions.php?user_id=832&amp;payweek=2014-12-22"/>
    <hyperlink ref="C1609" r:id="rId948" display="http://dev.dashboard.evolvesolar.com/my-commissions.php?user_id=832&amp;payweek=2014-12-22"/>
    <hyperlink ref="A1610" r:id="rId949" display="http://dev.dashboard.evolvesolar.com/my-commissions.php?user_id=841&amp;payweek=2014-12-22"/>
    <hyperlink ref="C1610" r:id="rId950" display="http://dev.dashboard.evolvesolar.com/my-commissions.php?user_id=841&amp;payweek=2014-12-22"/>
    <hyperlink ref="A1611" r:id="rId951" display="http://dev.dashboard.evolvesolar.com/my-commissions.php?user_id=857&amp;payweek=2014-12-22"/>
    <hyperlink ref="C1611" r:id="rId952" display="http://dev.dashboard.evolvesolar.com/my-commissions.php?user_id=857&amp;payweek=2014-12-22"/>
    <hyperlink ref="A1612" r:id="rId953" display="http://dev.dashboard.evolvesolar.com/my-commissions.php?user_id=904&amp;payweek=2014-12-22"/>
    <hyperlink ref="C1612" r:id="rId954" display="http://dev.dashboard.evolvesolar.com/my-commissions.php?user_id=904&amp;payweek=2014-12-22"/>
    <hyperlink ref="A1563" r:id="rId955" display="http://dev.dashboard.evolvesolar.com/my-commissions.php?user_id=27&amp;payweek=2014-12-19"/>
    <hyperlink ref="C1563" r:id="rId956" display="http://dev.dashboard.evolvesolar.com/my-commissions.php?user_id=27&amp;payweek=2014-12-19"/>
    <hyperlink ref="A1564" r:id="rId957" display="http://dev.dashboard.evolvesolar.com/my-commissions.php?user_id=202&amp;payweek=2014-12-19"/>
    <hyperlink ref="C1564" r:id="rId958" display="http://dev.dashboard.evolvesolar.com/my-commissions.php?user_id=202&amp;payweek=2014-12-19"/>
    <hyperlink ref="A1565" r:id="rId959" display="http://dev.dashboard.evolvesolar.com/my-commissions.php?user_id=203&amp;payweek=2014-12-19"/>
    <hyperlink ref="C1565" r:id="rId960" display="http://dev.dashboard.evolvesolar.com/my-commissions.php?user_id=203&amp;payweek=2014-12-19"/>
    <hyperlink ref="A1566" r:id="rId961" display="http://dev.dashboard.evolvesolar.com/my-commissions.php?user_id=261&amp;payweek=2014-12-19"/>
    <hyperlink ref="C1566" r:id="rId962" display="http://dev.dashboard.evolvesolar.com/my-commissions.php?user_id=261&amp;payweek=2014-12-19"/>
    <hyperlink ref="A1567" r:id="rId963" display="http://dev.dashboard.evolvesolar.com/my-commissions.php?user_id=358&amp;payweek=2014-12-19"/>
    <hyperlink ref="C1567" r:id="rId964" display="http://dev.dashboard.evolvesolar.com/my-commissions.php?user_id=358&amp;payweek=2014-12-19"/>
    <hyperlink ref="A1568" r:id="rId965" display="http://dev.dashboard.evolvesolar.com/my-commissions.php?user_id=389&amp;payweek=2014-12-19"/>
    <hyperlink ref="C1568" r:id="rId966" display="http://dev.dashboard.evolvesolar.com/my-commissions.php?user_id=389&amp;payweek=2014-12-19"/>
    <hyperlink ref="A1569" r:id="rId967" display="http://dev.dashboard.evolvesolar.com/my-commissions.php?user_id=392&amp;payweek=2014-12-19"/>
    <hyperlink ref="C1569" r:id="rId968" display="http://dev.dashboard.evolvesolar.com/my-commissions.php?user_id=392&amp;payweek=2014-12-19"/>
    <hyperlink ref="A1570" r:id="rId969" display="http://dev.dashboard.evolvesolar.com/my-commissions.php?user_id=410&amp;payweek=2014-12-19"/>
    <hyperlink ref="C1570" r:id="rId970" display="http://dev.dashboard.evolvesolar.com/my-commissions.php?user_id=410&amp;payweek=2014-12-19"/>
    <hyperlink ref="A1571" r:id="rId971" display="http://dev.dashboard.evolvesolar.com/my-commissions.php?user_id=468&amp;payweek=2014-12-19"/>
    <hyperlink ref="C1571" r:id="rId972" display="http://dev.dashboard.evolvesolar.com/my-commissions.php?user_id=468&amp;payweek=2014-12-19"/>
    <hyperlink ref="A1572" r:id="rId973" display="http://dev.dashboard.evolvesolar.com/my-commissions.php?user_id=475&amp;payweek=2014-12-19"/>
    <hyperlink ref="C1572" r:id="rId974" display="http://dev.dashboard.evolvesolar.com/my-commissions.php?user_id=475&amp;payweek=2014-12-19"/>
    <hyperlink ref="A1573" r:id="rId975" display="http://dev.dashboard.evolvesolar.com/my-commissions.php?user_id=530&amp;payweek=2014-12-19"/>
    <hyperlink ref="C1573" r:id="rId976" display="http://dev.dashboard.evolvesolar.com/my-commissions.php?user_id=530&amp;payweek=2014-12-19"/>
    <hyperlink ref="A1574" r:id="rId977" display="http://dev.dashboard.evolvesolar.com/my-commissions.php?user_id=576&amp;payweek=2014-12-19"/>
    <hyperlink ref="C1574" r:id="rId978" display="http://dev.dashboard.evolvesolar.com/my-commissions.php?user_id=576&amp;payweek=2014-12-19"/>
    <hyperlink ref="A1575" r:id="rId979" display="http://dev.dashboard.evolvesolar.com/my-commissions.php?user_id=607&amp;payweek=2014-12-19"/>
    <hyperlink ref="C1575" r:id="rId980" display="http://dev.dashboard.evolvesolar.com/my-commissions.php?user_id=607&amp;payweek=2014-12-19"/>
    <hyperlink ref="A1576" r:id="rId981" display="http://dev.dashboard.evolvesolar.com/my-commissions.php?user_id=646&amp;payweek=2014-12-19"/>
    <hyperlink ref="C1576" r:id="rId982" display="http://dev.dashboard.evolvesolar.com/my-commissions.php?user_id=646&amp;payweek=2014-12-19"/>
    <hyperlink ref="A1577" r:id="rId983" display="http://dev.dashboard.evolvesolar.com/my-commissions.php?user_id=659&amp;payweek=2014-12-19"/>
    <hyperlink ref="C1577" r:id="rId984" display="http://dev.dashboard.evolvesolar.com/my-commissions.php?user_id=659&amp;payweek=2014-12-19"/>
    <hyperlink ref="A1578" r:id="rId985" display="http://dev.dashboard.evolvesolar.com/my-commissions.php?user_id=664&amp;payweek=2014-12-19"/>
    <hyperlink ref="C1578" r:id="rId986" display="http://dev.dashboard.evolvesolar.com/my-commissions.php?user_id=664&amp;payweek=2014-12-19"/>
    <hyperlink ref="A1579" r:id="rId987" display="http://dev.dashboard.evolvesolar.com/my-commissions.php?user_id=702&amp;payweek=2014-12-19"/>
    <hyperlink ref="C1579" r:id="rId988" display="http://dev.dashboard.evolvesolar.com/my-commissions.php?user_id=702&amp;payweek=2014-12-19"/>
    <hyperlink ref="A1580" r:id="rId989" display="http://dev.dashboard.evolvesolar.com/my-commissions.php?user_id=831&amp;payweek=2014-12-19"/>
    <hyperlink ref="C1580" r:id="rId990" display="http://dev.dashboard.evolvesolar.com/my-commissions.php?user_id=831&amp;payweek=2014-12-19"/>
    <hyperlink ref="A1561" r:id="rId991" display="http://dev.dashboard.evolvesolar.com/my-commissions.php?user_id=631&amp;payweek=2014-12-15"/>
    <hyperlink ref="C1561" r:id="rId992" display="http://dev.dashboard.evolvesolar.com/my-commissions.php?user_id=631&amp;payweek=2014-12-15"/>
    <hyperlink ref="A1562" r:id="rId993" display="http://dev.dashboard.evolvesolar.com/my-commissions.php?user_id=890&amp;payweek=2014-12-15"/>
    <hyperlink ref="C1562" r:id="rId994" display="http://dev.dashboard.evolvesolar.com/my-commissions.php?user_id=890&amp;payweek=2014-12-15"/>
    <hyperlink ref="A1507" r:id="rId995" display="http://dev.dashboard.evolvesolar.com/my-commissions.php?user_id=37&amp;payweek=2014-12-12"/>
    <hyperlink ref="C1507" r:id="rId996" display="http://dev.dashboard.evolvesolar.com/my-commissions.php?user_id=37&amp;payweek=2014-12-12"/>
    <hyperlink ref="A1508" r:id="rId997" display="http://dev.dashboard.evolvesolar.com/my-commissions.php?user_id=41&amp;payweek=2014-12-12"/>
    <hyperlink ref="C1508" r:id="rId998" display="http://dev.dashboard.evolvesolar.com/my-commissions.php?user_id=41&amp;payweek=2014-12-12"/>
    <hyperlink ref="A1509" r:id="rId999" display="http://dev.dashboard.evolvesolar.com/my-commissions.php?user_id=47&amp;payweek=2014-12-12"/>
    <hyperlink ref="C1509" r:id="rId1000" display="http://dev.dashboard.evolvesolar.com/my-commissions.php?user_id=47&amp;payweek=2014-12-12"/>
    <hyperlink ref="A1510" r:id="rId1001" display="http://dev.dashboard.evolvesolar.com/my-commissions.php?user_id=77&amp;payweek=2014-12-12"/>
    <hyperlink ref="C1510" r:id="rId1002" display="http://dev.dashboard.evolvesolar.com/my-commissions.php?user_id=77&amp;payweek=2014-12-12"/>
    <hyperlink ref="A1511" r:id="rId1003" display="http://dev.dashboard.evolvesolar.com/my-commissions.php?user_id=99&amp;payweek=2014-12-12"/>
    <hyperlink ref="C1511" r:id="rId1004" display="http://dev.dashboard.evolvesolar.com/my-commissions.php?user_id=99&amp;payweek=2014-12-12"/>
    <hyperlink ref="A1512" r:id="rId1005" display="http://dev.dashboard.evolvesolar.com/my-commissions.php?user_id=109&amp;payweek=2014-12-12"/>
    <hyperlink ref="C1512" r:id="rId1006" display="http://dev.dashboard.evolvesolar.com/my-commissions.php?user_id=109&amp;payweek=2014-12-12"/>
    <hyperlink ref="A1513" r:id="rId1007" display="http://dev.dashboard.evolvesolar.com/my-commissions.php?user_id=149&amp;payweek=2014-12-12"/>
    <hyperlink ref="C1513" r:id="rId1008" display="http://dev.dashboard.evolvesolar.com/my-commissions.php?user_id=149&amp;payweek=2014-12-12"/>
    <hyperlink ref="A1514" r:id="rId1009" display="http://dev.dashboard.evolvesolar.com/my-commissions.php?user_id=152&amp;payweek=2014-12-12"/>
    <hyperlink ref="C1514" r:id="rId1010" display="http://dev.dashboard.evolvesolar.com/my-commissions.php?user_id=152&amp;payweek=2014-12-12"/>
    <hyperlink ref="A1515" r:id="rId1011" display="http://dev.dashboard.evolvesolar.com/my-commissions.php?user_id=153&amp;payweek=2014-12-12"/>
    <hyperlink ref="C1515" r:id="rId1012" display="http://dev.dashboard.evolvesolar.com/my-commissions.php?user_id=153&amp;payweek=2014-12-12"/>
    <hyperlink ref="A1516" r:id="rId1013" display="http://dev.dashboard.evolvesolar.com/my-commissions.php?user_id=184&amp;payweek=2014-12-12"/>
    <hyperlink ref="C1516" r:id="rId1014" display="http://dev.dashboard.evolvesolar.com/my-commissions.php?user_id=184&amp;payweek=2014-12-12"/>
    <hyperlink ref="A1517" r:id="rId1015" display="http://dev.dashboard.evolvesolar.com/my-commissions.php?user_id=203&amp;payweek=2014-12-12"/>
    <hyperlink ref="C1517" r:id="rId1016" display="http://dev.dashboard.evolvesolar.com/my-commissions.php?user_id=203&amp;payweek=2014-12-12"/>
    <hyperlink ref="A1518" r:id="rId1017" display="http://dev.dashboard.evolvesolar.com/my-commissions.php?user_id=204&amp;payweek=2014-12-12"/>
    <hyperlink ref="C1518" r:id="rId1018" display="http://dev.dashboard.evolvesolar.com/my-commissions.php?user_id=204&amp;payweek=2014-12-12"/>
    <hyperlink ref="A1519" r:id="rId1019" display="http://dev.dashboard.evolvesolar.com/my-commissions.php?user_id=211&amp;payweek=2014-12-12"/>
    <hyperlink ref="C1519" r:id="rId1020" display="http://dev.dashboard.evolvesolar.com/my-commissions.php?user_id=211&amp;payweek=2014-12-12"/>
    <hyperlink ref="A1520" r:id="rId1021" display="http://dev.dashboard.evolvesolar.com/my-commissions.php?user_id=218&amp;payweek=2014-12-12"/>
    <hyperlink ref="C1520" r:id="rId1022" display="http://dev.dashboard.evolvesolar.com/my-commissions.php?user_id=218&amp;payweek=2014-12-12"/>
    <hyperlink ref="A1521" r:id="rId1023" display="http://dev.dashboard.evolvesolar.com/my-commissions.php?user_id=219&amp;payweek=2014-12-12"/>
    <hyperlink ref="C1521" r:id="rId1024" display="http://dev.dashboard.evolvesolar.com/my-commissions.php?user_id=219&amp;payweek=2014-12-12"/>
    <hyperlink ref="A1522" r:id="rId1025" display="http://dev.dashboard.evolvesolar.com/my-commissions.php?user_id=261&amp;payweek=2014-12-12"/>
    <hyperlink ref="C1522" r:id="rId1026" display="http://dev.dashboard.evolvesolar.com/my-commissions.php?user_id=261&amp;payweek=2014-12-12"/>
    <hyperlink ref="A1523" r:id="rId1027" display="http://dev.dashboard.evolvesolar.com/my-commissions.php?user_id=282&amp;payweek=2014-12-12"/>
    <hyperlink ref="C1523" r:id="rId1028" display="http://dev.dashboard.evolvesolar.com/my-commissions.php?user_id=282&amp;payweek=2014-12-12"/>
    <hyperlink ref="A1524" r:id="rId1029" display="http://dev.dashboard.evolvesolar.com/my-commissions.php?user_id=295&amp;payweek=2014-12-12"/>
    <hyperlink ref="C1524" r:id="rId1030" display="http://dev.dashboard.evolvesolar.com/my-commissions.php?user_id=295&amp;payweek=2014-12-12"/>
    <hyperlink ref="A1525" r:id="rId1031" display="http://dev.dashboard.evolvesolar.com/my-commissions.php?user_id=308&amp;payweek=2014-12-12"/>
    <hyperlink ref="C1525" r:id="rId1032" display="http://dev.dashboard.evolvesolar.com/my-commissions.php?user_id=308&amp;payweek=2014-12-12"/>
    <hyperlink ref="A1526" r:id="rId1033" display="http://dev.dashboard.evolvesolar.com/my-commissions.php?user_id=322&amp;payweek=2014-12-12"/>
    <hyperlink ref="C1526" r:id="rId1034" display="http://dev.dashboard.evolvesolar.com/my-commissions.php?user_id=322&amp;payweek=2014-12-12"/>
    <hyperlink ref="A1527" r:id="rId1035" display="http://dev.dashboard.evolvesolar.com/my-commissions.php?user_id=326&amp;payweek=2014-12-12"/>
    <hyperlink ref="C1527" r:id="rId1036" display="http://dev.dashboard.evolvesolar.com/my-commissions.php?user_id=326&amp;payweek=2014-12-12"/>
    <hyperlink ref="A1528" r:id="rId1037" display="http://dev.dashboard.evolvesolar.com/my-commissions.php?user_id=355&amp;payweek=2014-12-12"/>
    <hyperlink ref="C1528" r:id="rId1038" display="http://dev.dashboard.evolvesolar.com/my-commissions.php?user_id=355&amp;payweek=2014-12-12"/>
    <hyperlink ref="A1529" r:id="rId1039" display="http://dev.dashboard.evolvesolar.com/my-commissions.php?user_id=365&amp;payweek=2014-12-12"/>
    <hyperlink ref="C1529" r:id="rId1040" display="http://dev.dashboard.evolvesolar.com/my-commissions.php?user_id=365&amp;payweek=2014-12-12"/>
    <hyperlink ref="A1530" r:id="rId1041" display="http://dev.dashboard.evolvesolar.com/my-commissions.php?user_id=382&amp;payweek=2014-12-12"/>
    <hyperlink ref="C1530" r:id="rId1042" display="http://dev.dashboard.evolvesolar.com/my-commissions.php?user_id=382&amp;payweek=2014-12-12"/>
    <hyperlink ref="A1531" r:id="rId1043" display="http://dev.dashboard.evolvesolar.com/my-commissions.php?user_id=389&amp;payweek=2014-12-12"/>
    <hyperlink ref="C1531" r:id="rId1044" display="http://dev.dashboard.evolvesolar.com/my-commissions.php?user_id=389&amp;payweek=2014-12-12"/>
    <hyperlink ref="A1532" r:id="rId1045" display="http://dev.dashboard.evolvesolar.com/my-commissions.php?user_id=392&amp;payweek=2014-12-12"/>
    <hyperlink ref="C1532" r:id="rId1046" display="http://dev.dashboard.evolvesolar.com/my-commissions.php?user_id=392&amp;payweek=2014-12-12"/>
    <hyperlink ref="A1533" r:id="rId1047" display="http://dev.dashboard.evolvesolar.com/my-commissions.php?user_id=410&amp;payweek=2014-12-12"/>
    <hyperlink ref="C1533" r:id="rId1048" display="http://dev.dashboard.evolvesolar.com/my-commissions.php?user_id=410&amp;payweek=2014-12-12"/>
    <hyperlink ref="A1534" r:id="rId1049" display="http://dev.dashboard.evolvesolar.com/my-commissions.php?user_id=422&amp;payweek=2014-12-12"/>
    <hyperlink ref="C1534" r:id="rId1050" display="http://dev.dashboard.evolvesolar.com/my-commissions.php?user_id=422&amp;payweek=2014-12-12"/>
    <hyperlink ref="A1535" r:id="rId1051" display="http://dev.dashboard.evolvesolar.com/my-commissions.php?user_id=468&amp;payweek=2014-12-12"/>
    <hyperlink ref="C1535" r:id="rId1052" display="http://dev.dashboard.evolvesolar.com/my-commissions.php?user_id=468&amp;payweek=2014-12-12"/>
    <hyperlink ref="A1536" r:id="rId1053" display="http://dev.dashboard.evolvesolar.com/my-commissions.php?user_id=475&amp;payweek=2014-12-12"/>
    <hyperlink ref="C1536" r:id="rId1054" display="http://dev.dashboard.evolvesolar.com/my-commissions.php?user_id=475&amp;payweek=2014-12-12"/>
    <hyperlink ref="A1537" r:id="rId1055" display="http://dev.dashboard.evolvesolar.com/my-commissions.php?user_id=551&amp;payweek=2014-12-12"/>
    <hyperlink ref="C1537" r:id="rId1056" display="http://dev.dashboard.evolvesolar.com/my-commissions.php?user_id=551&amp;payweek=2014-12-12"/>
    <hyperlink ref="A1538" r:id="rId1057" display="http://dev.dashboard.evolvesolar.com/my-commissions.php?user_id=580&amp;payweek=2014-12-12"/>
    <hyperlink ref="C1538" r:id="rId1058" display="http://dev.dashboard.evolvesolar.com/my-commissions.php?user_id=580&amp;payweek=2014-12-12"/>
    <hyperlink ref="A1539" r:id="rId1059" display="http://dev.dashboard.evolvesolar.com/my-commissions.php?user_id=582&amp;payweek=2014-12-12"/>
    <hyperlink ref="C1539" r:id="rId1060" display="http://dev.dashboard.evolvesolar.com/my-commissions.php?user_id=582&amp;payweek=2014-12-12"/>
    <hyperlink ref="A1540" r:id="rId1061" display="http://dev.dashboard.evolvesolar.com/my-commissions.php?user_id=583&amp;payweek=2014-12-12"/>
    <hyperlink ref="C1540" r:id="rId1062" display="http://dev.dashboard.evolvesolar.com/my-commissions.php?user_id=583&amp;payweek=2014-12-12"/>
    <hyperlink ref="A1541" r:id="rId1063" display="http://dev.dashboard.evolvesolar.com/my-commissions.php?user_id=593&amp;payweek=2014-12-12"/>
    <hyperlink ref="C1541" r:id="rId1064" display="http://dev.dashboard.evolvesolar.com/my-commissions.php?user_id=593&amp;payweek=2014-12-12"/>
    <hyperlink ref="A1542" r:id="rId1065" display="http://dev.dashboard.evolvesolar.com/my-commissions.php?user_id=600&amp;payweek=2014-12-12"/>
    <hyperlink ref="C1542" r:id="rId1066" display="http://dev.dashboard.evolvesolar.com/my-commissions.php?user_id=600&amp;payweek=2014-12-12"/>
    <hyperlink ref="A1543" r:id="rId1067" display="http://dev.dashboard.evolvesolar.com/my-commissions.php?user_id=612&amp;payweek=2014-12-12"/>
    <hyperlink ref="C1543" r:id="rId1068" display="http://dev.dashboard.evolvesolar.com/my-commissions.php?user_id=612&amp;payweek=2014-12-12"/>
    <hyperlink ref="A1544" r:id="rId1069" display="http://dev.dashboard.evolvesolar.com/my-commissions.php?user_id=632&amp;payweek=2014-12-12"/>
    <hyperlink ref="C1544" r:id="rId1070" display="http://dev.dashboard.evolvesolar.com/my-commissions.php?user_id=632&amp;payweek=2014-12-12"/>
    <hyperlink ref="A1545" r:id="rId1071" display="http://dev.dashboard.evolvesolar.com/my-commissions.php?user_id=659&amp;payweek=2014-12-12"/>
    <hyperlink ref="C1545" r:id="rId1072" display="http://dev.dashboard.evolvesolar.com/my-commissions.php?user_id=659&amp;payweek=2014-12-12"/>
    <hyperlink ref="A1546" r:id="rId1073" display="http://dev.dashboard.evolvesolar.com/my-commissions.php?user_id=664&amp;payweek=2014-12-12"/>
    <hyperlink ref="C1546" r:id="rId1074" display="http://dev.dashboard.evolvesolar.com/my-commissions.php?user_id=664&amp;payweek=2014-12-12"/>
    <hyperlink ref="A1547" r:id="rId1075" display="http://dev.dashboard.evolvesolar.com/my-commissions.php?user_id=672&amp;payweek=2014-12-12"/>
    <hyperlink ref="C1547" r:id="rId1076" display="http://dev.dashboard.evolvesolar.com/my-commissions.php?user_id=672&amp;payweek=2014-12-12"/>
    <hyperlink ref="A1548" r:id="rId1077" display="http://dev.dashboard.evolvesolar.com/my-commissions.php?user_id=676&amp;payweek=2014-12-12"/>
    <hyperlink ref="C1548" r:id="rId1078" display="http://dev.dashboard.evolvesolar.com/my-commissions.php?user_id=676&amp;payweek=2014-12-12"/>
    <hyperlink ref="A1549" r:id="rId1079" display="http://dev.dashboard.evolvesolar.com/my-commissions.php?user_id=714&amp;payweek=2014-12-12"/>
    <hyperlink ref="C1549" r:id="rId1080" display="http://dev.dashboard.evolvesolar.com/my-commissions.php?user_id=714&amp;payweek=2014-12-12"/>
    <hyperlink ref="A1550" r:id="rId1081" display="http://dev.dashboard.evolvesolar.com/my-commissions.php?user_id=715&amp;payweek=2014-12-12"/>
    <hyperlink ref="C1550" r:id="rId1082" display="http://dev.dashboard.evolvesolar.com/my-commissions.php?user_id=715&amp;payweek=2014-12-12"/>
    <hyperlink ref="A1551" r:id="rId1083" display="http://dev.dashboard.evolvesolar.com/my-commissions.php?user_id=722&amp;payweek=2014-12-12"/>
    <hyperlink ref="C1551" r:id="rId1084" display="http://dev.dashboard.evolvesolar.com/my-commissions.php?user_id=722&amp;payweek=2014-12-12"/>
    <hyperlink ref="A1552" r:id="rId1085" display="http://dev.dashboard.evolvesolar.com/my-commissions.php?user_id=725&amp;payweek=2014-12-12"/>
    <hyperlink ref="C1552" r:id="rId1086" display="http://dev.dashboard.evolvesolar.com/my-commissions.php?user_id=725&amp;payweek=2014-12-12"/>
    <hyperlink ref="A1553" r:id="rId1087" display="http://dev.dashboard.evolvesolar.com/my-commissions.php?user_id=726&amp;payweek=2014-12-12"/>
    <hyperlink ref="C1553" r:id="rId1088" display="http://dev.dashboard.evolvesolar.com/my-commissions.php?user_id=726&amp;payweek=2014-12-12"/>
    <hyperlink ref="A1554" r:id="rId1089" display="http://dev.dashboard.evolvesolar.com/my-commissions.php?user_id=750&amp;payweek=2014-12-12"/>
    <hyperlink ref="C1554" r:id="rId1090" display="http://dev.dashboard.evolvesolar.com/my-commissions.php?user_id=750&amp;payweek=2014-12-12"/>
    <hyperlink ref="A1555" r:id="rId1091" display="http://dev.dashboard.evolvesolar.com/my-commissions.php?user_id=771&amp;payweek=2014-12-12"/>
    <hyperlink ref="C1555" r:id="rId1092" display="http://dev.dashboard.evolvesolar.com/my-commissions.php?user_id=771&amp;payweek=2014-12-12"/>
    <hyperlink ref="A1556" r:id="rId1093" display="http://dev.dashboard.evolvesolar.com/my-commissions.php?user_id=782&amp;payweek=2014-12-12"/>
    <hyperlink ref="C1556" r:id="rId1094" display="http://dev.dashboard.evolvesolar.com/my-commissions.php?user_id=782&amp;payweek=2014-12-12"/>
    <hyperlink ref="A1557" r:id="rId1095" display="http://dev.dashboard.evolvesolar.com/my-commissions.php?user_id=817&amp;payweek=2014-12-12"/>
    <hyperlink ref="C1557" r:id="rId1096" display="http://dev.dashboard.evolvesolar.com/my-commissions.php?user_id=817&amp;payweek=2014-12-12"/>
    <hyperlink ref="A1558" r:id="rId1097" display="http://dev.dashboard.evolvesolar.com/my-commissions.php?user_id=823&amp;payweek=2014-12-12"/>
    <hyperlink ref="C1558" r:id="rId1098" display="http://dev.dashboard.evolvesolar.com/my-commissions.php?user_id=823&amp;payweek=2014-12-12"/>
    <hyperlink ref="A1559" r:id="rId1099" display="http://dev.dashboard.evolvesolar.com/my-commissions.php?user_id=875&amp;payweek=2014-12-12"/>
    <hyperlink ref="C1559" r:id="rId1100" display="http://dev.dashboard.evolvesolar.com/my-commissions.php?user_id=875&amp;payweek=2014-12-12"/>
    <hyperlink ref="A1560" r:id="rId1101" display="http://dev.dashboard.evolvesolar.com/my-commissions.php?user_id=890&amp;payweek=2014-12-12"/>
    <hyperlink ref="C1560" r:id="rId1102" display="http://dev.dashboard.evolvesolar.com/my-commissions.php?user_id=890&amp;payweek=2014-12-12"/>
    <hyperlink ref="A1506" r:id="rId1103" display="http://dev.dashboard.evolvesolar.com/my-commissions.php?user_id=714&amp;payweek=2014-12-10"/>
    <hyperlink ref="C1506" r:id="rId1104" display="http://dev.dashboard.evolvesolar.com/my-commissions.php?user_id=714&amp;payweek=2014-12-10"/>
    <hyperlink ref="A1505" r:id="rId1105" display="http://dev.dashboard.evolvesolar.com/my-commissions.php?user_id=782&amp;payweek=2014-12-09"/>
    <hyperlink ref="C1505" r:id="rId1106" display="http://dev.dashboard.evolvesolar.com/my-commissions.php?user_id=782&amp;payweek=2014-12-09"/>
    <hyperlink ref="A1504" r:id="rId1107" display="http://dev.dashboard.evolvesolar.com/my-commissions.php?user_id=890&amp;payweek=2014-12-08"/>
    <hyperlink ref="C1504" r:id="rId1108" display="http://dev.dashboard.evolvesolar.com/my-commissions.php?user_id=890&amp;payweek=2014-12-08"/>
    <hyperlink ref="A1456" r:id="rId1109" display="http://dev.dashboard.evolvesolar.com/my-commissions.php?user_id=27&amp;payweek=2014-12-05"/>
    <hyperlink ref="C1456" r:id="rId1110" display="http://dev.dashboard.evolvesolar.com/my-commissions.php?user_id=27&amp;payweek=2014-12-05"/>
    <hyperlink ref="A1457" r:id="rId1111" display="http://dev.dashboard.evolvesolar.com/my-commissions.php?user_id=28&amp;payweek=2014-12-05"/>
    <hyperlink ref="C1457" r:id="rId1112" display="http://dev.dashboard.evolvesolar.com/my-commissions.php?user_id=28&amp;payweek=2014-12-05"/>
    <hyperlink ref="A1458" r:id="rId1113" display="http://dev.dashboard.evolvesolar.com/my-commissions.php?user_id=41&amp;payweek=2014-12-05"/>
    <hyperlink ref="C1458" r:id="rId1114" display="http://dev.dashboard.evolvesolar.com/my-commissions.php?user_id=41&amp;payweek=2014-12-05"/>
    <hyperlink ref="A1459" r:id="rId1115" display="http://dev.dashboard.evolvesolar.com/my-commissions.php?user_id=77&amp;payweek=2014-12-05"/>
    <hyperlink ref="C1459" r:id="rId1116" display="http://dev.dashboard.evolvesolar.com/my-commissions.php?user_id=77&amp;payweek=2014-12-05"/>
    <hyperlink ref="A1460" r:id="rId1117" display="http://dev.dashboard.evolvesolar.com/my-commissions.php?user_id=217&amp;payweek=2014-12-05"/>
    <hyperlink ref="C1460" r:id="rId1118" display="http://dev.dashboard.evolvesolar.com/my-commissions.php?user_id=217&amp;payweek=2014-12-05"/>
    <hyperlink ref="A1461" r:id="rId1119" display="http://dev.dashboard.evolvesolar.com/my-commissions.php?user_id=218&amp;payweek=2014-12-05"/>
    <hyperlink ref="C1461" r:id="rId1120" display="http://dev.dashboard.evolvesolar.com/my-commissions.php?user_id=218&amp;payweek=2014-12-05"/>
    <hyperlink ref="A1462" r:id="rId1121" display="http://dev.dashboard.evolvesolar.com/my-commissions.php?user_id=250&amp;payweek=2014-12-05"/>
    <hyperlink ref="C1462" r:id="rId1122" display="http://dev.dashboard.evolvesolar.com/my-commissions.php?user_id=250&amp;payweek=2014-12-05"/>
    <hyperlink ref="A1463" r:id="rId1123" display="http://dev.dashboard.evolvesolar.com/my-commissions.php?user_id=261&amp;payweek=2014-12-05"/>
    <hyperlink ref="C1463" r:id="rId1124" display="http://dev.dashboard.evolvesolar.com/my-commissions.php?user_id=261&amp;payweek=2014-12-05"/>
    <hyperlink ref="A1464" r:id="rId1125" display="http://dev.dashboard.evolvesolar.com/my-commissions.php?user_id=268&amp;payweek=2014-12-05"/>
    <hyperlink ref="C1464" r:id="rId1126" display="http://dev.dashboard.evolvesolar.com/my-commissions.php?user_id=268&amp;payweek=2014-12-05"/>
    <hyperlink ref="A1465" r:id="rId1127" display="http://dev.dashboard.evolvesolar.com/my-commissions.php?user_id=329&amp;payweek=2014-12-05"/>
    <hyperlink ref="C1465" r:id="rId1128" display="http://dev.dashboard.evolvesolar.com/my-commissions.php?user_id=329&amp;payweek=2014-12-05"/>
    <hyperlink ref="A1466" r:id="rId1129" display="http://dev.dashboard.evolvesolar.com/my-commissions.php?user_id=332&amp;payweek=2014-12-05"/>
    <hyperlink ref="C1466" r:id="rId1130" display="http://dev.dashboard.evolvesolar.com/my-commissions.php?user_id=332&amp;payweek=2014-12-05"/>
    <hyperlink ref="A1467" r:id="rId1131" display="http://dev.dashboard.evolvesolar.com/my-commissions.php?user_id=365&amp;payweek=2014-12-05"/>
    <hyperlink ref="C1467" r:id="rId1132" display="http://dev.dashboard.evolvesolar.com/my-commissions.php?user_id=365&amp;payweek=2014-12-05"/>
    <hyperlink ref="A1468" r:id="rId1133" display="http://dev.dashboard.evolvesolar.com/my-commissions.php?user_id=410&amp;payweek=2014-12-05"/>
    <hyperlink ref="C1468" r:id="rId1134" display="http://dev.dashboard.evolvesolar.com/my-commissions.php?user_id=410&amp;payweek=2014-12-05"/>
    <hyperlink ref="A1469" r:id="rId1135" display="http://dev.dashboard.evolvesolar.com/my-commissions.php?user_id=468&amp;payweek=2014-12-05"/>
    <hyperlink ref="C1469" r:id="rId1136" display="http://dev.dashboard.evolvesolar.com/my-commissions.php?user_id=468&amp;payweek=2014-12-05"/>
    <hyperlink ref="A1470" r:id="rId1137" display="http://dev.dashboard.evolvesolar.com/my-commissions.php?user_id=475&amp;payweek=2014-12-05"/>
    <hyperlink ref="C1470" r:id="rId1138" display="http://dev.dashboard.evolvesolar.com/my-commissions.php?user_id=475&amp;payweek=2014-12-05"/>
    <hyperlink ref="A1471" r:id="rId1139" display="http://dev.dashboard.evolvesolar.com/my-commissions.php?user_id=576&amp;payweek=2014-12-05"/>
    <hyperlink ref="C1471" r:id="rId1140" display="http://dev.dashboard.evolvesolar.com/my-commissions.php?user_id=576&amp;payweek=2014-12-05"/>
    <hyperlink ref="A1472" r:id="rId1141" display="http://dev.dashboard.evolvesolar.com/my-commissions.php?user_id=580&amp;payweek=2014-12-05"/>
    <hyperlink ref="C1472" r:id="rId1142" display="http://dev.dashboard.evolvesolar.com/my-commissions.php?user_id=580&amp;payweek=2014-12-05"/>
    <hyperlink ref="A1473" r:id="rId1143" display="http://dev.dashboard.evolvesolar.com/my-commissions.php?user_id=593&amp;payweek=2014-12-05"/>
    <hyperlink ref="C1473" r:id="rId1144" display="http://dev.dashboard.evolvesolar.com/my-commissions.php?user_id=593&amp;payweek=2014-12-05"/>
    <hyperlink ref="A1474" r:id="rId1145" display="http://dev.dashboard.evolvesolar.com/my-commissions.php?user_id=598&amp;payweek=2014-12-05"/>
    <hyperlink ref="C1474" r:id="rId1146" display="http://dev.dashboard.evolvesolar.com/my-commissions.php?user_id=598&amp;payweek=2014-12-05"/>
    <hyperlink ref="A1475" r:id="rId1147" display="http://dev.dashboard.evolvesolar.com/my-commissions.php?user_id=626&amp;payweek=2014-12-05"/>
    <hyperlink ref="C1475" r:id="rId1148" display="http://dev.dashboard.evolvesolar.com/my-commissions.php?user_id=626&amp;payweek=2014-12-05"/>
    <hyperlink ref="A1476" r:id="rId1149" display="http://dev.dashboard.evolvesolar.com/my-commissions.php?user_id=632&amp;payweek=2014-12-05"/>
    <hyperlink ref="C1476" r:id="rId1150" display="http://dev.dashboard.evolvesolar.com/my-commissions.php?user_id=632&amp;payweek=2014-12-05"/>
    <hyperlink ref="A1477" r:id="rId1151" display="http://dev.dashboard.evolvesolar.com/my-commissions.php?user_id=638&amp;payweek=2014-12-05"/>
    <hyperlink ref="C1477" r:id="rId1152" display="http://dev.dashboard.evolvesolar.com/my-commissions.php?user_id=638&amp;payweek=2014-12-05"/>
    <hyperlink ref="A1478" r:id="rId1153" display="http://dev.dashboard.evolvesolar.com/my-commissions.php?user_id=646&amp;payweek=2014-12-05"/>
    <hyperlink ref="C1478" r:id="rId1154" display="http://dev.dashboard.evolvesolar.com/my-commissions.php?user_id=646&amp;payweek=2014-12-05"/>
    <hyperlink ref="A1479" r:id="rId1155" display="http://dev.dashboard.evolvesolar.com/my-commissions.php?user_id=648&amp;payweek=2014-12-05"/>
    <hyperlink ref="C1479" r:id="rId1156" display="http://dev.dashboard.evolvesolar.com/my-commissions.php?user_id=648&amp;payweek=2014-12-05"/>
    <hyperlink ref="A1480" r:id="rId1157" display="http://dev.dashboard.evolvesolar.com/my-commissions.php?user_id=657&amp;payweek=2014-12-05"/>
    <hyperlink ref="C1480" r:id="rId1158" display="http://dev.dashboard.evolvesolar.com/my-commissions.php?user_id=657&amp;payweek=2014-12-05"/>
    <hyperlink ref="A1481" r:id="rId1159" display="http://dev.dashboard.evolvesolar.com/my-commissions.php?user_id=664&amp;payweek=2014-12-05"/>
    <hyperlink ref="C1481" r:id="rId1160" display="http://dev.dashboard.evolvesolar.com/my-commissions.php?user_id=664&amp;payweek=2014-12-05"/>
    <hyperlink ref="A1482" r:id="rId1161" display="http://dev.dashboard.evolvesolar.com/my-commissions.php?user_id=672&amp;payweek=2014-12-05"/>
    <hyperlink ref="C1482" r:id="rId1162" display="http://dev.dashboard.evolvesolar.com/my-commissions.php?user_id=672&amp;payweek=2014-12-05"/>
    <hyperlink ref="A1483" r:id="rId1163" display="http://dev.dashboard.evolvesolar.com/my-commissions.php?user_id=674&amp;payweek=2014-12-05"/>
    <hyperlink ref="C1483" r:id="rId1164" display="http://dev.dashboard.evolvesolar.com/my-commissions.php?user_id=674&amp;payweek=2014-12-05"/>
    <hyperlink ref="A1484" r:id="rId1165" display="http://dev.dashboard.evolvesolar.com/my-commissions.php?user_id=676&amp;payweek=2014-12-05"/>
    <hyperlink ref="C1484" r:id="rId1166" display="http://dev.dashboard.evolvesolar.com/my-commissions.php?user_id=676&amp;payweek=2014-12-05"/>
    <hyperlink ref="A1485" r:id="rId1167" display="http://dev.dashboard.evolvesolar.com/my-commissions.php?user_id=679&amp;payweek=2014-12-05"/>
    <hyperlink ref="C1485" r:id="rId1168" display="http://dev.dashboard.evolvesolar.com/my-commissions.php?user_id=679&amp;payweek=2014-12-05"/>
    <hyperlink ref="A1486" r:id="rId1169" display="http://dev.dashboard.evolvesolar.com/my-commissions.php?user_id=687&amp;payweek=2014-12-05"/>
    <hyperlink ref="C1486" r:id="rId1170" display="http://dev.dashboard.evolvesolar.com/my-commissions.php?user_id=687&amp;payweek=2014-12-05"/>
    <hyperlink ref="A1487" r:id="rId1171" display="http://dev.dashboard.evolvesolar.com/my-commissions.php?user_id=690&amp;payweek=2014-12-05"/>
    <hyperlink ref="C1487" r:id="rId1172" display="http://dev.dashboard.evolvesolar.com/my-commissions.php?user_id=690&amp;payweek=2014-12-05"/>
    <hyperlink ref="A1488" r:id="rId1173" display="http://dev.dashboard.evolvesolar.com/my-commissions.php?user_id=702&amp;payweek=2014-12-05"/>
    <hyperlink ref="C1488" r:id="rId1174" display="http://dev.dashboard.evolvesolar.com/my-commissions.php?user_id=702&amp;payweek=2014-12-05"/>
    <hyperlink ref="A1489" r:id="rId1175" display="http://dev.dashboard.evolvesolar.com/my-commissions.php?user_id=711&amp;payweek=2014-12-05"/>
    <hyperlink ref="C1489" r:id="rId1176" display="http://dev.dashboard.evolvesolar.com/my-commissions.php?user_id=711&amp;payweek=2014-12-05"/>
    <hyperlink ref="A1490" r:id="rId1177" display="http://dev.dashboard.evolvesolar.com/my-commissions.php?user_id=714&amp;payweek=2014-12-05"/>
    <hyperlink ref="C1490" r:id="rId1178" display="http://dev.dashboard.evolvesolar.com/my-commissions.php?user_id=714&amp;payweek=2014-12-05"/>
    <hyperlink ref="A1491" r:id="rId1179" display="http://dev.dashboard.evolvesolar.com/my-commissions.php?user_id=725&amp;payweek=2014-12-05"/>
    <hyperlink ref="C1491" r:id="rId1180" display="http://dev.dashboard.evolvesolar.com/my-commissions.php?user_id=725&amp;payweek=2014-12-05"/>
    <hyperlink ref="A1492" r:id="rId1181" display="http://dev.dashboard.evolvesolar.com/my-commissions.php?user_id=726&amp;payweek=2014-12-05"/>
    <hyperlink ref="C1492" r:id="rId1182" display="http://dev.dashboard.evolvesolar.com/my-commissions.php?user_id=726&amp;payweek=2014-12-05"/>
    <hyperlink ref="A1493" r:id="rId1183" display="http://dev.dashboard.evolvesolar.com/my-commissions.php?user_id=752&amp;payweek=2014-12-05"/>
    <hyperlink ref="C1493" r:id="rId1184" display="http://dev.dashboard.evolvesolar.com/my-commissions.php?user_id=752&amp;payweek=2014-12-05"/>
    <hyperlink ref="A1494" r:id="rId1185" display="http://dev.dashboard.evolvesolar.com/my-commissions.php?user_id=753&amp;payweek=2014-12-05"/>
    <hyperlink ref="C1494" r:id="rId1186" display="http://dev.dashboard.evolvesolar.com/my-commissions.php?user_id=753&amp;payweek=2014-12-05"/>
    <hyperlink ref="A1495" r:id="rId1187" display="http://dev.dashboard.evolvesolar.com/my-commissions.php?user_id=764&amp;payweek=2014-12-05"/>
    <hyperlink ref="C1495" r:id="rId1188" display="http://dev.dashboard.evolvesolar.com/my-commissions.php?user_id=764&amp;payweek=2014-12-05"/>
    <hyperlink ref="A1496" r:id="rId1189" display="http://dev.dashboard.evolvesolar.com/my-commissions.php?user_id=771&amp;payweek=2014-12-05"/>
    <hyperlink ref="C1496" r:id="rId1190" display="http://dev.dashboard.evolvesolar.com/my-commissions.php?user_id=771&amp;payweek=2014-12-05"/>
    <hyperlink ref="A1497" r:id="rId1191" display="http://dev.dashboard.evolvesolar.com/my-commissions.php?user_id=790&amp;payweek=2014-12-05"/>
    <hyperlink ref="C1497" r:id="rId1192" display="http://dev.dashboard.evolvesolar.com/my-commissions.php?user_id=790&amp;payweek=2014-12-05"/>
    <hyperlink ref="A1498" r:id="rId1193" display="http://dev.dashboard.evolvesolar.com/my-commissions.php?user_id=807&amp;payweek=2014-12-05"/>
    <hyperlink ref="C1498" r:id="rId1194" display="http://dev.dashboard.evolvesolar.com/my-commissions.php?user_id=807&amp;payweek=2014-12-05"/>
    <hyperlink ref="A1499" r:id="rId1195" display="http://dev.dashboard.evolvesolar.com/my-commissions.php?user_id=817&amp;payweek=2014-12-05"/>
    <hyperlink ref="C1499" r:id="rId1196" display="http://dev.dashboard.evolvesolar.com/my-commissions.php?user_id=817&amp;payweek=2014-12-05"/>
    <hyperlink ref="A1500" r:id="rId1197" display="http://dev.dashboard.evolvesolar.com/my-commissions.php?user_id=842&amp;payweek=2014-12-05"/>
    <hyperlink ref="C1500" r:id="rId1198" display="http://dev.dashboard.evolvesolar.com/my-commissions.php?user_id=842&amp;payweek=2014-12-05"/>
    <hyperlink ref="A1501" r:id="rId1199" display="http://dev.dashboard.evolvesolar.com/my-commissions.php?user_id=844&amp;payweek=2014-12-05"/>
    <hyperlink ref="C1501" r:id="rId1200" display="http://dev.dashboard.evolvesolar.com/my-commissions.php?user_id=844&amp;payweek=2014-12-05"/>
    <hyperlink ref="A1502" r:id="rId1201" display="http://dev.dashboard.evolvesolar.com/my-commissions.php?user_id=854&amp;payweek=2014-12-05"/>
    <hyperlink ref="C1502" r:id="rId1202" display="http://dev.dashboard.evolvesolar.com/my-commissions.php?user_id=854&amp;payweek=2014-12-05"/>
    <hyperlink ref="A1503" r:id="rId1203" display="http://dev.dashboard.evolvesolar.com/my-commissions.php?user_id=890&amp;payweek=2014-12-05"/>
    <hyperlink ref="C1503" r:id="rId1204" display="http://dev.dashboard.evolvesolar.com/my-commissions.php?user_id=890&amp;payweek=2014-12-05"/>
    <hyperlink ref="A1436" r:id="rId1205" display="http://dev.dashboard.evolvesolar.com/my-commissions.php?user_id=77&amp;payweek=2014-11-28"/>
    <hyperlink ref="C1436" r:id="rId1206" display="http://dev.dashboard.evolvesolar.com/my-commissions.php?user_id=77&amp;payweek=2014-11-28"/>
    <hyperlink ref="A1437" r:id="rId1207" display="http://dev.dashboard.evolvesolar.com/my-commissions.php?user_id=94&amp;payweek=2014-11-28"/>
    <hyperlink ref="C1437" r:id="rId1208" display="http://dev.dashboard.evolvesolar.com/my-commissions.php?user_id=94&amp;payweek=2014-11-28"/>
    <hyperlink ref="A1438" r:id="rId1209" display="http://dev.dashboard.evolvesolar.com/my-commissions.php?user_id=149&amp;payweek=2014-11-28"/>
    <hyperlink ref="C1438" r:id="rId1210" display="http://dev.dashboard.evolvesolar.com/my-commissions.php?user_id=149&amp;payweek=2014-11-28"/>
    <hyperlink ref="A1439" r:id="rId1211" display="http://dev.dashboard.evolvesolar.com/my-commissions.php?user_id=185&amp;payweek=2014-11-28"/>
    <hyperlink ref="C1439" r:id="rId1212" display="http://dev.dashboard.evolvesolar.com/my-commissions.php?user_id=185&amp;payweek=2014-11-28"/>
    <hyperlink ref="A1440" r:id="rId1213" display="http://dev.dashboard.evolvesolar.com/my-commissions.php?user_id=261&amp;payweek=2014-11-28"/>
    <hyperlink ref="C1440" r:id="rId1214" display="http://dev.dashboard.evolvesolar.com/my-commissions.php?user_id=261&amp;payweek=2014-11-28"/>
    <hyperlink ref="A1441" r:id="rId1215" display="http://dev.dashboard.evolvesolar.com/my-commissions.php?user_id=355&amp;payweek=2014-11-28"/>
    <hyperlink ref="C1441" r:id="rId1216" display="http://dev.dashboard.evolvesolar.com/my-commissions.php?user_id=355&amp;payweek=2014-11-28"/>
    <hyperlink ref="A1442" r:id="rId1217" display="http://dev.dashboard.evolvesolar.com/my-commissions.php?user_id=458&amp;payweek=2014-11-28"/>
    <hyperlink ref="C1442" r:id="rId1218" display="http://dev.dashboard.evolvesolar.com/my-commissions.php?user_id=458&amp;payweek=2014-11-28"/>
    <hyperlink ref="A1443" r:id="rId1219" display="http://dev.dashboard.evolvesolar.com/my-commissions.php?user_id=530&amp;payweek=2014-11-28"/>
    <hyperlink ref="C1443" r:id="rId1220" display="http://dev.dashboard.evolvesolar.com/my-commissions.php?user_id=530&amp;payweek=2014-11-28"/>
    <hyperlink ref="A1444" r:id="rId1221" display="http://dev.dashboard.evolvesolar.com/my-commissions.php?user_id=576&amp;payweek=2014-11-28"/>
    <hyperlink ref="C1444" r:id="rId1222" display="http://dev.dashboard.evolvesolar.com/my-commissions.php?user_id=576&amp;payweek=2014-11-28"/>
    <hyperlink ref="A1445" r:id="rId1223" display="http://dev.dashboard.evolvesolar.com/my-commissions.php?user_id=583&amp;payweek=2014-11-28"/>
    <hyperlink ref="C1445" r:id="rId1224" display="http://dev.dashboard.evolvesolar.com/my-commissions.php?user_id=583&amp;payweek=2014-11-28"/>
    <hyperlink ref="A1446" r:id="rId1225" display="http://dev.dashboard.evolvesolar.com/my-commissions.php?user_id=616&amp;payweek=2014-11-28"/>
    <hyperlink ref="C1446" r:id="rId1226" display="http://dev.dashboard.evolvesolar.com/my-commissions.php?user_id=616&amp;payweek=2014-11-28"/>
    <hyperlink ref="A1447" r:id="rId1227" display="http://dev.dashboard.evolvesolar.com/my-commissions.php?user_id=621&amp;payweek=2014-11-28"/>
    <hyperlink ref="C1447" r:id="rId1228" display="http://dev.dashboard.evolvesolar.com/my-commissions.php?user_id=621&amp;payweek=2014-11-28"/>
    <hyperlink ref="A1448" r:id="rId1229" display="http://dev.dashboard.evolvesolar.com/my-commissions.php?user_id=657&amp;payweek=2014-11-28"/>
    <hyperlink ref="C1448" r:id="rId1230" display="http://dev.dashboard.evolvesolar.com/my-commissions.php?user_id=657&amp;payweek=2014-11-28"/>
    <hyperlink ref="A1449" r:id="rId1231" display="http://dev.dashboard.evolvesolar.com/my-commissions.php?user_id=691&amp;payweek=2014-11-28"/>
    <hyperlink ref="C1449" r:id="rId1232" display="http://dev.dashboard.evolvesolar.com/my-commissions.php?user_id=691&amp;payweek=2014-11-28"/>
    <hyperlink ref="A1450" r:id="rId1233" display="http://dev.dashboard.evolvesolar.com/my-commissions.php?user_id=702&amp;payweek=2014-11-28"/>
    <hyperlink ref="C1450" r:id="rId1234" display="http://dev.dashboard.evolvesolar.com/my-commissions.php?user_id=702&amp;payweek=2014-11-28"/>
    <hyperlink ref="A1451" r:id="rId1235" display="http://dev.dashboard.evolvesolar.com/my-commissions.php?user_id=771&amp;payweek=2014-11-28"/>
    <hyperlink ref="C1451" r:id="rId1236" display="http://dev.dashboard.evolvesolar.com/my-commissions.php?user_id=771&amp;payweek=2014-11-28"/>
    <hyperlink ref="A1452" r:id="rId1237" display="http://dev.dashboard.evolvesolar.com/my-commissions.php?user_id=784&amp;payweek=2014-11-28"/>
    <hyperlink ref="C1452" r:id="rId1238" display="http://dev.dashboard.evolvesolar.com/my-commissions.php?user_id=784&amp;payweek=2014-11-28"/>
    <hyperlink ref="A1453" r:id="rId1239" display="http://dev.dashboard.evolvesolar.com/my-commissions.php?user_id=813&amp;payweek=2014-11-28"/>
    <hyperlink ref="C1453" r:id="rId1240" display="http://dev.dashboard.evolvesolar.com/my-commissions.php?user_id=813&amp;payweek=2014-11-28"/>
    <hyperlink ref="A1454" r:id="rId1241" display="http://dev.dashboard.evolvesolar.com/my-commissions.php?user_id=834&amp;payweek=2014-11-28"/>
    <hyperlink ref="C1454" r:id="rId1242" display="http://dev.dashboard.evolvesolar.com/my-commissions.php?user_id=834&amp;payweek=2014-11-28"/>
    <hyperlink ref="A1455" r:id="rId1243" display="http://dev.dashboard.evolvesolar.com/my-commissions.php?user_id=854&amp;payweek=2014-11-28"/>
    <hyperlink ref="C1455" r:id="rId1244" display="http://dev.dashboard.evolvesolar.com/my-commissions.php?user_id=854&amp;payweek=2014-11-28"/>
    <hyperlink ref="A1434" r:id="rId1245" display="http://dev.dashboard.evolvesolar.com/my-commissions.php?user_id=269&amp;payweek=2014-11-26"/>
    <hyperlink ref="C1434" r:id="rId1246" display="http://dev.dashboard.evolvesolar.com/my-commissions.php?user_id=269&amp;payweek=2014-11-26"/>
    <hyperlink ref="A1435" r:id="rId1247" display="http://dev.dashboard.evolvesolar.com/my-commissions.php?user_id=615&amp;payweek=2014-11-26"/>
    <hyperlink ref="C1435" r:id="rId1248" display="http://dev.dashboard.evolvesolar.com/my-commissions.php?user_id=615&amp;payweek=2014-11-26"/>
    <hyperlink ref="A1406" r:id="rId1249" display="http://dev.dashboard.evolvesolar.com/my-commissions.php?user_id=37&amp;payweek=2014-11-25"/>
    <hyperlink ref="C1406" r:id="rId1250" display="http://dev.dashboard.evolvesolar.com/my-commissions.php?user_id=37&amp;payweek=2014-11-25"/>
    <hyperlink ref="A1407" r:id="rId1251" display="http://dev.dashboard.evolvesolar.com/my-commissions.php?user_id=218&amp;payweek=2014-11-25"/>
    <hyperlink ref="C1407" r:id="rId1252" display="http://dev.dashboard.evolvesolar.com/my-commissions.php?user_id=218&amp;payweek=2014-11-25"/>
    <hyperlink ref="A1408" r:id="rId1253" display="http://dev.dashboard.evolvesolar.com/my-commissions.php?user_id=250&amp;payweek=2014-11-25"/>
    <hyperlink ref="C1408" r:id="rId1254" display="http://dev.dashboard.evolvesolar.com/my-commissions.php?user_id=250&amp;payweek=2014-11-25"/>
    <hyperlink ref="A1409" r:id="rId1255" display="http://dev.dashboard.evolvesolar.com/my-commissions.php?user_id=332&amp;payweek=2014-11-25"/>
    <hyperlink ref="C1409" r:id="rId1256" display="http://dev.dashboard.evolvesolar.com/my-commissions.php?user_id=332&amp;payweek=2014-11-25"/>
    <hyperlink ref="A1410" r:id="rId1257" display="http://dev.dashboard.evolvesolar.com/my-commissions.php?user_id=365&amp;payweek=2014-11-25"/>
    <hyperlink ref="C1410" r:id="rId1258" display="http://dev.dashboard.evolvesolar.com/my-commissions.php?user_id=365&amp;payweek=2014-11-25"/>
    <hyperlink ref="A1411" r:id="rId1259" display="http://dev.dashboard.evolvesolar.com/my-commissions.php?user_id=387&amp;payweek=2014-11-25"/>
    <hyperlink ref="C1411" r:id="rId1260" display="http://dev.dashboard.evolvesolar.com/my-commissions.php?user_id=387&amp;payweek=2014-11-25"/>
    <hyperlink ref="A1412" r:id="rId1261" display="http://dev.dashboard.evolvesolar.com/my-commissions.php?user_id=392&amp;payweek=2014-11-25"/>
    <hyperlink ref="C1412" r:id="rId1262" display="http://dev.dashboard.evolvesolar.com/my-commissions.php?user_id=392&amp;payweek=2014-11-25"/>
    <hyperlink ref="A1413" r:id="rId1263" display="http://dev.dashboard.evolvesolar.com/my-commissions.php?user_id=410&amp;payweek=2014-11-25"/>
    <hyperlink ref="C1413" r:id="rId1264" display="http://dev.dashboard.evolvesolar.com/my-commissions.php?user_id=410&amp;payweek=2014-11-25"/>
    <hyperlink ref="A1414" r:id="rId1265" display="http://dev.dashboard.evolvesolar.com/my-commissions.php?user_id=422&amp;payweek=2014-11-25"/>
    <hyperlink ref="C1414" r:id="rId1266" display="http://dev.dashboard.evolvesolar.com/my-commissions.php?user_id=422&amp;payweek=2014-11-25"/>
    <hyperlink ref="A1415" r:id="rId1267" display="http://dev.dashboard.evolvesolar.com/my-commissions.php?user_id=580&amp;payweek=2014-11-25"/>
    <hyperlink ref="C1415" r:id="rId1268" display="http://dev.dashboard.evolvesolar.com/my-commissions.php?user_id=580&amp;payweek=2014-11-25"/>
    <hyperlink ref="A1416" r:id="rId1269" display="http://dev.dashboard.evolvesolar.com/my-commissions.php?user_id=582&amp;payweek=2014-11-25"/>
    <hyperlink ref="C1416" r:id="rId1270" display="http://dev.dashboard.evolvesolar.com/my-commissions.php?user_id=582&amp;payweek=2014-11-25"/>
    <hyperlink ref="A1417" r:id="rId1271" display="http://dev.dashboard.evolvesolar.com/my-commissions.php?user_id=599&amp;payweek=2014-11-25"/>
    <hyperlink ref="C1417" r:id="rId1272" display="http://dev.dashboard.evolvesolar.com/my-commissions.php?user_id=599&amp;payweek=2014-11-25"/>
    <hyperlink ref="A1418" r:id="rId1273" display="http://dev.dashboard.evolvesolar.com/my-commissions.php?user_id=626&amp;payweek=2014-11-25"/>
    <hyperlink ref="C1418" r:id="rId1274" display="http://dev.dashboard.evolvesolar.com/my-commissions.php?user_id=626&amp;payweek=2014-11-25"/>
    <hyperlink ref="A1419" r:id="rId1275" display="http://dev.dashboard.evolvesolar.com/my-commissions.php?user_id=664&amp;payweek=2014-11-25"/>
    <hyperlink ref="C1419" r:id="rId1276" display="http://dev.dashboard.evolvesolar.com/my-commissions.php?user_id=664&amp;payweek=2014-11-25"/>
    <hyperlink ref="A1420" r:id="rId1277" display="http://dev.dashboard.evolvesolar.com/my-commissions.php?user_id=676&amp;payweek=2014-11-25"/>
    <hyperlink ref="C1420" r:id="rId1278" display="http://dev.dashboard.evolvesolar.com/my-commissions.php?user_id=676&amp;payweek=2014-11-25"/>
    <hyperlink ref="A1421" r:id="rId1279" display="http://dev.dashboard.evolvesolar.com/my-commissions.php?user_id=678&amp;payweek=2014-11-25"/>
    <hyperlink ref="C1421" r:id="rId1280" display="http://dev.dashboard.evolvesolar.com/my-commissions.php?user_id=678&amp;payweek=2014-11-25"/>
    <hyperlink ref="A1422" r:id="rId1281" display="http://dev.dashboard.evolvesolar.com/my-commissions.php?user_id=703&amp;payweek=2014-11-25"/>
    <hyperlink ref="C1422" r:id="rId1282" display="http://dev.dashboard.evolvesolar.com/my-commissions.php?user_id=703&amp;payweek=2014-11-25"/>
    <hyperlink ref="A1423" r:id="rId1283" display="http://dev.dashboard.evolvesolar.com/my-commissions.php?user_id=705&amp;payweek=2014-11-25"/>
    <hyperlink ref="C1423" r:id="rId1284" display="http://dev.dashboard.evolvesolar.com/my-commissions.php?user_id=705&amp;payweek=2014-11-25"/>
    <hyperlink ref="A1424" r:id="rId1285" display="http://dev.dashboard.evolvesolar.com/my-commissions.php?user_id=708&amp;payweek=2014-11-25"/>
    <hyperlink ref="C1424" r:id="rId1286" display="http://dev.dashboard.evolvesolar.com/my-commissions.php?user_id=708&amp;payweek=2014-11-25"/>
    <hyperlink ref="A1425" r:id="rId1287" display="http://dev.dashboard.evolvesolar.com/my-commissions.php?user_id=714&amp;payweek=2014-11-25"/>
    <hyperlink ref="C1425" r:id="rId1288" display="http://dev.dashboard.evolvesolar.com/my-commissions.php?user_id=714&amp;payweek=2014-11-25"/>
    <hyperlink ref="A1426" r:id="rId1289" display="http://dev.dashboard.evolvesolar.com/my-commissions.php?user_id=715&amp;payweek=2014-11-25"/>
    <hyperlink ref="C1426" r:id="rId1290" display="http://dev.dashboard.evolvesolar.com/my-commissions.php?user_id=715&amp;payweek=2014-11-25"/>
    <hyperlink ref="A1427" r:id="rId1291" display="http://dev.dashboard.evolvesolar.com/my-commissions.php?user_id=725&amp;payweek=2014-11-25"/>
    <hyperlink ref="C1427" r:id="rId1292" display="http://dev.dashboard.evolvesolar.com/my-commissions.php?user_id=725&amp;payweek=2014-11-25"/>
    <hyperlink ref="A1428" r:id="rId1293" display="http://dev.dashboard.evolvesolar.com/my-commissions.php?user_id=730&amp;payweek=2014-11-25"/>
    <hyperlink ref="C1428" r:id="rId1294" display="http://dev.dashboard.evolvesolar.com/my-commissions.php?user_id=730&amp;payweek=2014-11-25"/>
    <hyperlink ref="A1429" r:id="rId1295" display="http://dev.dashboard.evolvesolar.com/my-commissions.php?user_id=750&amp;payweek=2014-11-25"/>
    <hyperlink ref="C1429" r:id="rId1296" display="http://dev.dashboard.evolvesolar.com/my-commissions.php?user_id=750&amp;payweek=2014-11-25"/>
    <hyperlink ref="A1430" r:id="rId1297" display="http://dev.dashboard.evolvesolar.com/my-commissions.php?user_id=782&amp;payweek=2014-11-25"/>
    <hyperlink ref="C1430" r:id="rId1298" display="http://dev.dashboard.evolvesolar.com/my-commissions.php?user_id=782&amp;payweek=2014-11-25"/>
    <hyperlink ref="A1431" r:id="rId1299" display="http://dev.dashboard.evolvesolar.com/my-commissions.php?user_id=793&amp;payweek=2014-11-25"/>
    <hyperlink ref="C1431" r:id="rId1300" display="http://dev.dashboard.evolvesolar.com/my-commissions.php?user_id=793&amp;payweek=2014-11-25"/>
    <hyperlink ref="A1432" r:id="rId1301" display="http://dev.dashboard.evolvesolar.com/my-commissions.php?user_id=817&amp;payweek=2014-11-25"/>
    <hyperlink ref="C1432" r:id="rId1302" display="http://dev.dashboard.evolvesolar.com/my-commissions.php?user_id=817&amp;payweek=2014-11-25"/>
    <hyperlink ref="A1433" r:id="rId1303" display="http://dev.dashboard.evolvesolar.com/my-commissions.php?user_id=821&amp;payweek=2014-11-25"/>
    <hyperlink ref="C1433" r:id="rId1304" display="http://dev.dashboard.evolvesolar.com/my-commissions.php?user_id=821&amp;payweek=2014-11-25"/>
    <hyperlink ref="A1405" r:id="rId1305" display="http://dev.dashboard.evolvesolar.com/my-commissions.php?user_id=551&amp;payweek=2014-11-24"/>
    <hyperlink ref="C1405" r:id="rId1306" display="http://dev.dashboard.evolvesolar.com/my-commissions.php?user_id=551&amp;payweek=2014-11-24"/>
    <hyperlink ref="A1404" r:id="rId1307" display="http://dev.dashboard.evolvesolar.com/my-commissions.php?user_id=295&amp;payweek=2014-11-23"/>
    <hyperlink ref="C1404" r:id="rId1308" display="http://dev.dashboard.evolvesolar.com/my-commissions.php?user_id=295&amp;payweek=2014-11-23"/>
    <hyperlink ref="A1346" r:id="rId1309" display="http://dev.dashboard.evolvesolar.com/my-commissions.php?user_id=27&amp;payweek=2014-11-21"/>
    <hyperlink ref="C1346" r:id="rId1310" display="http://dev.dashboard.evolvesolar.com/my-commissions.php?user_id=27&amp;payweek=2014-11-21"/>
    <hyperlink ref="A1347" r:id="rId1311" display="http://dev.dashboard.evolvesolar.com/my-commissions.php?user_id=28&amp;payweek=2014-11-21"/>
    <hyperlink ref="C1347" r:id="rId1312" display="http://dev.dashboard.evolvesolar.com/my-commissions.php?user_id=28&amp;payweek=2014-11-21"/>
    <hyperlink ref="A1348" r:id="rId1313" display="http://dev.dashboard.evolvesolar.com/my-commissions.php?user_id=37&amp;payweek=2014-11-21"/>
    <hyperlink ref="C1348" r:id="rId1314" display="http://dev.dashboard.evolvesolar.com/my-commissions.php?user_id=37&amp;payweek=2014-11-21"/>
    <hyperlink ref="A1349" r:id="rId1315" display="http://dev.dashboard.evolvesolar.com/my-commissions.php?user_id=41&amp;payweek=2014-11-21"/>
    <hyperlink ref="C1349" r:id="rId1316" display="http://dev.dashboard.evolvesolar.com/my-commissions.php?user_id=41&amp;payweek=2014-11-21"/>
    <hyperlink ref="A1350" r:id="rId1317" display="http://dev.dashboard.evolvesolar.com/my-commissions.php?user_id=63&amp;payweek=2014-11-21"/>
    <hyperlink ref="C1350" r:id="rId1318" display="http://dev.dashboard.evolvesolar.com/my-commissions.php?user_id=63&amp;payweek=2014-11-21"/>
    <hyperlink ref="A1351" r:id="rId1319" display="http://dev.dashboard.evolvesolar.com/my-commissions.php?user_id=77&amp;payweek=2014-11-21"/>
    <hyperlink ref="C1351" r:id="rId1320" display="http://dev.dashboard.evolvesolar.com/my-commissions.php?user_id=77&amp;payweek=2014-11-21"/>
    <hyperlink ref="A1352" r:id="rId1321" display="http://dev.dashboard.evolvesolar.com/my-commissions.php?user_id=133&amp;payweek=2014-11-21"/>
    <hyperlink ref="C1352" r:id="rId1322" display="http://dev.dashboard.evolvesolar.com/my-commissions.php?user_id=133&amp;payweek=2014-11-21"/>
    <hyperlink ref="A1353" r:id="rId1323" display="http://dev.dashboard.evolvesolar.com/my-commissions.php?user_id=180&amp;payweek=2014-11-21"/>
    <hyperlink ref="C1353" r:id="rId1324" display="http://dev.dashboard.evolvesolar.com/my-commissions.php?user_id=180&amp;payweek=2014-11-21"/>
    <hyperlink ref="A1354" r:id="rId1325" display="http://dev.dashboard.evolvesolar.com/my-commissions.php?user_id=202&amp;payweek=2014-11-21"/>
    <hyperlink ref="C1354" r:id="rId1326" display="http://dev.dashboard.evolvesolar.com/my-commissions.php?user_id=202&amp;payweek=2014-11-21"/>
    <hyperlink ref="A1355" r:id="rId1327" display="http://dev.dashboard.evolvesolar.com/my-commissions.php?user_id=203&amp;payweek=2014-11-21"/>
    <hyperlink ref="C1355" r:id="rId1328" display="http://dev.dashboard.evolvesolar.com/my-commissions.php?user_id=203&amp;payweek=2014-11-21"/>
    <hyperlink ref="A1356" r:id="rId1329" display="http://dev.dashboard.evolvesolar.com/my-commissions.php?user_id=217&amp;payweek=2014-11-21"/>
    <hyperlink ref="C1356" r:id="rId1330" display="http://dev.dashboard.evolvesolar.com/my-commissions.php?user_id=217&amp;payweek=2014-11-21"/>
    <hyperlink ref="A1357" r:id="rId1331" display="http://dev.dashboard.evolvesolar.com/my-commissions.php?user_id=234&amp;payweek=2014-11-21"/>
    <hyperlink ref="C1357" r:id="rId1332" display="http://dev.dashboard.evolvesolar.com/my-commissions.php?user_id=234&amp;payweek=2014-11-21"/>
    <hyperlink ref="A1358" r:id="rId1333" display="http://dev.dashboard.evolvesolar.com/my-commissions.php?user_id=249&amp;payweek=2014-11-21"/>
    <hyperlink ref="C1358" r:id="rId1334" display="http://dev.dashboard.evolvesolar.com/my-commissions.php?user_id=249&amp;payweek=2014-11-21"/>
    <hyperlink ref="A1359" r:id="rId1335" display="http://dev.dashboard.evolvesolar.com/my-commissions.php?user_id=261&amp;payweek=2014-11-21"/>
    <hyperlink ref="C1359" r:id="rId1336" display="http://dev.dashboard.evolvesolar.com/my-commissions.php?user_id=261&amp;payweek=2014-11-21"/>
    <hyperlink ref="A1360" r:id="rId1337" display="http://dev.dashboard.evolvesolar.com/my-commissions.php?user_id=269&amp;payweek=2014-11-21"/>
    <hyperlink ref="C1360" r:id="rId1338" display="http://dev.dashboard.evolvesolar.com/my-commissions.php?user_id=269&amp;payweek=2014-11-21"/>
    <hyperlink ref="A1361" r:id="rId1339" display="http://dev.dashboard.evolvesolar.com/my-commissions.php?user_id=282&amp;payweek=2014-11-21"/>
    <hyperlink ref="C1361" r:id="rId1340" display="http://dev.dashboard.evolvesolar.com/my-commissions.php?user_id=282&amp;payweek=2014-11-21"/>
    <hyperlink ref="A1362" r:id="rId1341" display="http://dev.dashboard.evolvesolar.com/my-commissions.php?user_id=295&amp;payweek=2014-11-21"/>
    <hyperlink ref="C1362" r:id="rId1342" display="http://dev.dashboard.evolvesolar.com/my-commissions.php?user_id=295&amp;payweek=2014-11-21"/>
    <hyperlink ref="A1363" r:id="rId1343" display="http://dev.dashboard.evolvesolar.com/my-commissions.php?user_id=303&amp;payweek=2014-11-21"/>
    <hyperlink ref="C1363" r:id="rId1344" display="http://dev.dashboard.evolvesolar.com/my-commissions.php?user_id=303&amp;payweek=2014-11-21"/>
    <hyperlink ref="A1364" r:id="rId1345" display="http://dev.dashboard.evolvesolar.com/my-commissions.php?user_id=324&amp;payweek=2014-11-21"/>
    <hyperlink ref="C1364" r:id="rId1346" display="http://dev.dashboard.evolvesolar.com/my-commissions.php?user_id=324&amp;payweek=2014-11-21"/>
    <hyperlink ref="A1365" r:id="rId1347" display="http://dev.dashboard.evolvesolar.com/my-commissions.php?user_id=326&amp;payweek=2014-11-21"/>
    <hyperlink ref="C1365" r:id="rId1348" display="http://dev.dashboard.evolvesolar.com/my-commissions.php?user_id=326&amp;payweek=2014-11-21"/>
    <hyperlink ref="A1366" r:id="rId1349" display="http://dev.dashboard.evolvesolar.com/my-commissions.php?user_id=355&amp;payweek=2014-11-21"/>
    <hyperlink ref="C1366" r:id="rId1350" display="http://dev.dashboard.evolvesolar.com/my-commissions.php?user_id=355&amp;payweek=2014-11-21"/>
    <hyperlink ref="A1367" r:id="rId1351" display="http://dev.dashboard.evolvesolar.com/my-commissions.php?user_id=358&amp;payweek=2014-11-21"/>
    <hyperlink ref="C1367" r:id="rId1352" display="http://dev.dashboard.evolvesolar.com/my-commissions.php?user_id=358&amp;payweek=2014-11-21"/>
    <hyperlink ref="A1368" r:id="rId1353" display="http://dev.dashboard.evolvesolar.com/my-commissions.php?user_id=365&amp;payweek=2014-11-21"/>
    <hyperlink ref="C1368" r:id="rId1354" display="http://dev.dashboard.evolvesolar.com/my-commissions.php?user_id=365&amp;payweek=2014-11-21"/>
    <hyperlink ref="A1369" r:id="rId1355" display="http://dev.dashboard.evolvesolar.com/my-commissions.php?user_id=383&amp;payweek=2014-11-21"/>
    <hyperlink ref="C1369" r:id="rId1356" display="http://dev.dashboard.evolvesolar.com/my-commissions.php?user_id=383&amp;payweek=2014-11-21"/>
    <hyperlink ref="A1370" r:id="rId1357" display="http://dev.dashboard.evolvesolar.com/my-commissions.php?user_id=389&amp;payweek=2014-11-21"/>
    <hyperlink ref="C1370" r:id="rId1358" display="http://dev.dashboard.evolvesolar.com/my-commissions.php?user_id=389&amp;payweek=2014-11-21"/>
    <hyperlink ref="A1371" r:id="rId1359" display="http://dev.dashboard.evolvesolar.com/my-commissions.php?user_id=392&amp;payweek=2014-11-21"/>
    <hyperlink ref="C1371" r:id="rId1360" display="http://dev.dashboard.evolvesolar.com/my-commissions.php?user_id=392&amp;payweek=2014-11-21"/>
    <hyperlink ref="A1372" r:id="rId1361" display="http://dev.dashboard.evolvesolar.com/my-commissions.php?user_id=401&amp;payweek=2014-11-21"/>
    <hyperlink ref="C1372" r:id="rId1362" display="http://dev.dashboard.evolvesolar.com/my-commissions.php?user_id=401&amp;payweek=2014-11-21"/>
    <hyperlink ref="A1373" r:id="rId1363" display="http://dev.dashboard.evolvesolar.com/my-commissions.php?user_id=405&amp;payweek=2014-11-21"/>
    <hyperlink ref="C1373" r:id="rId1364" display="http://dev.dashboard.evolvesolar.com/my-commissions.php?user_id=405&amp;payweek=2014-11-21"/>
    <hyperlink ref="A1374" r:id="rId1365" display="http://dev.dashboard.evolvesolar.com/my-commissions.php?user_id=407&amp;payweek=2014-11-21"/>
    <hyperlink ref="C1374" r:id="rId1366" display="http://dev.dashboard.evolvesolar.com/my-commissions.php?user_id=407&amp;payweek=2014-11-21"/>
    <hyperlink ref="A1375" r:id="rId1367" display="http://dev.dashboard.evolvesolar.com/my-commissions.php?user_id=410&amp;payweek=2014-11-21"/>
    <hyperlink ref="C1375" r:id="rId1368" display="http://dev.dashboard.evolvesolar.com/my-commissions.php?user_id=410&amp;payweek=2014-11-21"/>
    <hyperlink ref="A1376" r:id="rId1369" display="http://dev.dashboard.evolvesolar.com/my-commissions.php?user_id=499&amp;payweek=2014-11-21"/>
    <hyperlink ref="C1376" r:id="rId1370" display="http://dev.dashboard.evolvesolar.com/my-commissions.php?user_id=499&amp;payweek=2014-11-21"/>
    <hyperlink ref="A1377" r:id="rId1371" display="http://dev.dashboard.evolvesolar.com/my-commissions.php?user_id=530&amp;payweek=2014-11-21"/>
    <hyperlink ref="C1377" r:id="rId1372" display="http://dev.dashboard.evolvesolar.com/my-commissions.php?user_id=530&amp;payweek=2014-11-21"/>
    <hyperlink ref="A1378" r:id="rId1373" display="http://dev.dashboard.evolvesolar.com/my-commissions.php?user_id=583&amp;payweek=2014-11-21"/>
    <hyperlink ref="C1378" r:id="rId1374" display="http://dev.dashboard.evolvesolar.com/my-commissions.php?user_id=583&amp;payweek=2014-11-21"/>
    <hyperlink ref="A1379" r:id="rId1375" display="http://dev.dashboard.evolvesolar.com/my-commissions.php?user_id=599&amp;payweek=2014-11-21"/>
    <hyperlink ref="C1379" r:id="rId1376" display="http://dev.dashboard.evolvesolar.com/my-commissions.php?user_id=599&amp;payweek=2014-11-21"/>
    <hyperlink ref="A1380" r:id="rId1377" display="http://dev.dashboard.evolvesolar.com/my-commissions.php?user_id=607&amp;payweek=2014-11-21"/>
    <hyperlink ref="C1380" r:id="rId1378" display="http://dev.dashboard.evolvesolar.com/my-commissions.php?user_id=607&amp;payweek=2014-11-21"/>
    <hyperlink ref="A1381" r:id="rId1379" display="http://dev.dashboard.evolvesolar.com/my-commissions.php?user_id=621&amp;payweek=2014-11-21"/>
    <hyperlink ref="C1381" r:id="rId1380" display="http://dev.dashboard.evolvesolar.com/my-commissions.php?user_id=621&amp;payweek=2014-11-21"/>
    <hyperlink ref="A1382" r:id="rId1381" display="http://dev.dashboard.evolvesolar.com/my-commissions.php?user_id=626&amp;payweek=2014-11-21"/>
    <hyperlink ref="C1382" r:id="rId1382" display="http://dev.dashboard.evolvesolar.com/my-commissions.php?user_id=626&amp;payweek=2014-11-21"/>
    <hyperlink ref="A1383" r:id="rId1383" display="http://dev.dashboard.evolvesolar.com/my-commissions.php?user_id=646&amp;payweek=2014-11-21"/>
    <hyperlink ref="C1383" r:id="rId1384" display="http://dev.dashboard.evolvesolar.com/my-commissions.php?user_id=646&amp;payweek=2014-11-21"/>
    <hyperlink ref="A1384" r:id="rId1385" display="http://dev.dashboard.evolvesolar.com/my-commissions.php?user_id=648&amp;payweek=2014-11-21"/>
    <hyperlink ref="C1384" r:id="rId1386" display="http://dev.dashboard.evolvesolar.com/my-commissions.php?user_id=648&amp;payweek=2014-11-21"/>
    <hyperlink ref="A1385" r:id="rId1387" display="http://dev.dashboard.evolvesolar.com/my-commissions.php?user_id=656&amp;payweek=2014-11-21"/>
    <hyperlink ref="C1385" r:id="rId1388" display="http://dev.dashboard.evolvesolar.com/my-commissions.php?user_id=656&amp;payweek=2014-11-21"/>
    <hyperlink ref="A1386" r:id="rId1389" display="http://dev.dashboard.evolvesolar.com/my-commissions.php?user_id=664&amp;payweek=2014-11-21"/>
    <hyperlink ref="C1386" r:id="rId1390" display="http://dev.dashboard.evolvesolar.com/my-commissions.php?user_id=664&amp;payweek=2014-11-21"/>
    <hyperlink ref="A1387" r:id="rId1391" display="http://dev.dashboard.evolvesolar.com/my-commissions.php?user_id=672&amp;payweek=2014-11-21"/>
    <hyperlink ref="C1387" r:id="rId1392" display="http://dev.dashboard.evolvesolar.com/my-commissions.php?user_id=672&amp;payweek=2014-11-21"/>
    <hyperlink ref="A1388" r:id="rId1393" display="http://dev.dashboard.evolvesolar.com/my-commissions.php?user_id=679&amp;payweek=2014-11-21"/>
    <hyperlink ref="C1388" r:id="rId1394" display="http://dev.dashboard.evolvesolar.com/my-commissions.php?user_id=679&amp;payweek=2014-11-21"/>
    <hyperlink ref="A1389" r:id="rId1395" display="http://dev.dashboard.evolvesolar.com/my-commissions.php?user_id=683&amp;payweek=2014-11-21"/>
    <hyperlink ref="C1389" r:id="rId1396" display="http://dev.dashboard.evolvesolar.com/my-commissions.php?user_id=683&amp;payweek=2014-11-21"/>
    <hyperlink ref="A1390" r:id="rId1397" display="http://dev.dashboard.evolvesolar.com/my-commissions.php?user_id=690&amp;payweek=2014-11-21"/>
    <hyperlink ref="C1390" r:id="rId1398" display="http://dev.dashboard.evolvesolar.com/my-commissions.php?user_id=690&amp;payweek=2014-11-21"/>
    <hyperlink ref="A1391" r:id="rId1399" display="http://dev.dashboard.evolvesolar.com/my-commissions.php?user_id=692&amp;payweek=2014-11-21"/>
    <hyperlink ref="C1391" r:id="rId1400" display="http://dev.dashboard.evolvesolar.com/my-commissions.php?user_id=692&amp;payweek=2014-11-21"/>
    <hyperlink ref="A1392" r:id="rId1401" display="http://dev.dashboard.evolvesolar.com/my-commissions.php?user_id=699&amp;payweek=2014-11-21"/>
    <hyperlink ref="C1392" r:id="rId1402" display="http://dev.dashboard.evolvesolar.com/my-commissions.php?user_id=699&amp;payweek=2014-11-21"/>
    <hyperlink ref="A1393" r:id="rId1403" display="http://dev.dashboard.evolvesolar.com/my-commissions.php?user_id=703&amp;payweek=2014-11-21"/>
    <hyperlink ref="C1393" r:id="rId1404" display="http://dev.dashboard.evolvesolar.com/my-commissions.php?user_id=703&amp;payweek=2014-11-21"/>
    <hyperlink ref="A1394" r:id="rId1405" display="http://dev.dashboard.evolvesolar.com/my-commissions.php?user_id=714&amp;payweek=2014-11-21"/>
    <hyperlink ref="C1394" r:id="rId1406" display="http://dev.dashboard.evolvesolar.com/my-commissions.php?user_id=714&amp;payweek=2014-11-21"/>
    <hyperlink ref="A1395" r:id="rId1407" display="http://dev.dashboard.evolvesolar.com/my-commissions.php?user_id=719&amp;payweek=2014-11-21"/>
    <hyperlink ref="C1395" r:id="rId1408" display="http://dev.dashboard.evolvesolar.com/my-commissions.php?user_id=719&amp;payweek=2014-11-21"/>
    <hyperlink ref="A1396" r:id="rId1409" display="http://dev.dashboard.evolvesolar.com/my-commissions.php?user_id=726&amp;payweek=2014-11-21"/>
    <hyperlink ref="C1396" r:id="rId1410" display="http://dev.dashboard.evolvesolar.com/my-commissions.php?user_id=726&amp;payweek=2014-11-21"/>
    <hyperlink ref="A1397" r:id="rId1411" display="http://dev.dashboard.evolvesolar.com/my-commissions.php?user_id=735&amp;payweek=2014-11-21"/>
    <hyperlink ref="C1397" r:id="rId1412" display="http://dev.dashboard.evolvesolar.com/my-commissions.php?user_id=735&amp;payweek=2014-11-21"/>
    <hyperlink ref="A1398" r:id="rId1413" display="http://dev.dashboard.evolvesolar.com/my-commissions.php?user_id=764&amp;payweek=2014-11-21"/>
    <hyperlink ref="C1398" r:id="rId1414" display="http://dev.dashboard.evolvesolar.com/my-commissions.php?user_id=764&amp;payweek=2014-11-21"/>
    <hyperlink ref="A1399" r:id="rId1415" display="http://dev.dashboard.evolvesolar.com/my-commissions.php?user_id=771&amp;payweek=2014-11-21"/>
    <hyperlink ref="C1399" r:id="rId1416" display="http://dev.dashboard.evolvesolar.com/my-commissions.php?user_id=771&amp;payweek=2014-11-21"/>
    <hyperlink ref="A1400" r:id="rId1417" display="http://dev.dashboard.evolvesolar.com/my-commissions.php?user_id=782&amp;payweek=2014-11-21"/>
    <hyperlink ref="C1400" r:id="rId1418" display="http://dev.dashboard.evolvesolar.com/my-commissions.php?user_id=782&amp;payweek=2014-11-21"/>
    <hyperlink ref="A1401" r:id="rId1419" display="http://dev.dashboard.evolvesolar.com/my-commissions.php?user_id=790&amp;payweek=2014-11-21"/>
    <hyperlink ref="C1401" r:id="rId1420" display="http://dev.dashboard.evolvesolar.com/my-commissions.php?user_id=790&amp;payweek=2014-11-21"/>
    <hyperlink ref="A1402" r:id="rId1421" display="http://dev.dashboard.evolvesolar.com/my-commissions.php?user_id=807&amp;payweek=2014-11-21"/>
    <hyperlink ref="C1402" r:id="rId1422" display="http://dev.dashboard.evolvesolar.com/my-commissions.php?user_id=807&amp;payweek=2014-11-21"/>
    <hyperlink ref="A1403" r:id="rId1423" display="http://dev.dashboard.evolvesolar.com/my-commissions.php?user_id=831&amp;payweek=2014-11-21"/>
    <hyperlink ref="C1403" r:id="rId1424" display="http://dev.dashboard.evolvesolar.com/my-commissions.php?user_id=831&amp;payweek=2014-11-21"/>
    <hyperlink ref="A1345" r:id="rId1425" display="http://dev.dashboard.evolvesolar.com/my-commissions.php?user_id=692&amp;payweek=2014-11-20"/>
    <hyperlink ref="C1345" r:id="rId1426" display="http://dev.dashboard.evolvesolar.com/my-commissions.php?user_id=692&amp;payweek=2014-11-20"/>
    <hyperlink ref="A1344" r:id="rId1427" display="http://dev.dashboard.evolvesolar.com/my-commissions.php?user_id=750&amp;payweek=2014-11-19"/>
    <hyperlink ref="C1344" r:id="rId1428" display="http://dev.dashboard.evolvesolar.com/my-commissions.php?user_id=750&amp;payweek=2014-11-19"/>
    <hyperlink ref="A1342" r:id="rId1429" display="http://dev.dashboard.evolvesolar.com/my-commissions.php?user_id=614&amp;payweek=2014-11-18"/>
    <hyperlink ref="C1342" r:id="rId1430" display="http://dev.dashboard.evolvesolar.com/my-commissions.php?user_id=614&amp;payweek=2014-11-18"/>
    <hyperlink ref="A1343" r:id="rId1431" display="http://dev.dashboard.evolvesolar.com/my-commissions.php?user_id=672&amp;payweek=2014-11-18"/>
    <hyperlink ref="C1343" r:id="rId1432" display="http://dev.dashboard.evolvesolar.com/my-commissions.php?user_id=672&amp;payweek=2014-11-18"/>
    <hyperlink ref="A1269" r:id="rId1433" display="http://dev.dashboard.evolvesolar.com/my-commissions.php?user_id=27&amp;payweek=2014-11-14"/>
    <hyperlink ref="C1269" r:id="rId1434" display="http://dev.dashboard.evolvesolar.com/my-commissions.php?user_id=27&amp;payweek=2014-11-14"/>
    <hyperlink ref="A1270" r:id="rId1435" display="http://dev.dashboard.evolvesolar.com/my-commissions.php?user_id=28&amp;payweek=2014-11-14"/>
    <hyperlink ref="C1270" r:id="rId1436" display="http://dev.dashboard.evolvesolar.com/my-commissions.php?user_id=28&amp;payweek=2014-11-14"/>
    <hyperlink ref="A1271" r:id="rId1437" display="http://dev.dashboard.evolvesolar.com/my-commissions.php?user_id=37&amp;payweek=2014-11-14"/>
    <hyperlink ref="C1271" r:id="rId1438" display="http://dev.dashboard.evolvesolar.com/my-commissions.php?user_id=37&amp;payweek=2014-11-14"/>
    <hyperlink ref="A1272" r:id="rId1439" display="http://dev.dashboard.evolvesolar.com/my-commissions.php?user_id=41&amp;payweek=2014-11-14"/>
    <hyperlink ref="C1272" r:id="rId1440" display="http://dev.dashboard.evolvesolar.com/my-commissions.php?user_id=41&amp;payweek=2014-11-14"/>
    <hyperlink ref="A1273" r:id="rId1441" display="http://dev.dashboard.evolvesolar.com/my-commissions.php?user_id=63&amp;payweek=2014-11-14"/>
    <hyperlink ref="C1273" r:id="rId1442" display="http://dev.dashboard.evolvesolar.com/my-commissions.php?user_id=63&amp;payweek=2014-11-14"/>
    <hyperlink ref="A1274" r:id="rId1443" display="http://dev.dashboard.evolvesolar.com/my-commissions.php?user_id=85&amp;payweek=2014-11-14"/>
    <hyperlink ref="C1274" r:id="rId1444" display="http://dev.dashboard.evolvesolar.com/my-commissions.php?user_id=85&amp;payweek=2014-11-14"/>
    <hyperlink ref="A1275" r:id="rId1445" display="http://dev.dashboard.evolvesolar.com/my-commissions.php?user_id=94&amp;payweek=2014-11-14"/>
    <hyperlink ref="C1275" r:id="rId1446" display="http://dev.dashboard.evolvesolar.com/my-commissions.php?user_id=94&amp;payweek=2014-11-14"/>
    <hyperlink ref="A1276" r:id="rId1447" display="http://dev.dashboard.evolvesolar.com/my-commissions.php?user_id=104&amp;payweek=2014-11-14"/>
    <hyperlink ref="C1276" r:id="rId1448" display="http://dev.dashboard.evolvesolar.com/my-commissions.php?user_id=104&amp;payweek=2014-11-14"/>
    <hyperlink ref="A1277" r:id="rId1449" display="http://dev.dashboard.evolvesolar.com/my-commissions.php?user_id=133&amp;payweek=2014-11-14"/>
    <hyperlink ref="C1277" r:id="rId1450" display="http://dev.dashboard.evolvesolar.com/my-commissions.php?user_id=133&amp;payweek=2014-11-14"/>
    <hyperlink ref="A1278" r:id="rId1451" display="http://dev.dashboard.evolvesolar.com/my-commissions.php?user_id=139&amp;payweek=2014-11-14"/>
    <hyperlink ref="C1278" r:id="rId1452" display="http://dev.dashboard.evolvesolar.com/my-commissions.php?user_id=139&amp;payweek=2014-11-14"/>
    <hyperlink ref="A1279" r:id="rId1453" display="http://dev.dashboard.evolvesolar.com/my-commissions.php?user_id=149&amp;payweek=2014-11-14"/>
    <hyperlink ref="C1279" r:id="rId1454" display="http://dev.dashboard.evolvesolar.com/my-commissions.php?user_id=149&amp;payweek=2014-11-14"/>
    <hyperlink ref="A1280" r:id="rId1455" display="http://dev.dashboard.evolvesolar.com/my-commissions.php?user_id=183&amp;payweek=2014-11-14"/>
    <hyperlink ref="C1280" r:id="rId1456" display="http://dev.dashboard.evolvesolar.com/my-commissions.php?user_id=183&amp;payweek=2014-11-14"/>
    <hyperlink ref="A1281" r:id="rId1457" display="http://dev.dashboard.evolvesolar.com/my-commissions.php?user_id=184&amp;payweek=2014-11-14"/>
    <hyperlink ref="C1281" r:id="rId1458" display="http://dev.dashboard.evolvesolar.com/my-commissions.php?user_id=184&amp;payweek=2014-11-14"/>
    <hyperlink ref="A1282" r:id="rId1459" display="http://dev.dashboard.evolvesolar.com/my-commissions.php?user_id=202&amp;payweek=2014-11-14"/>
    <hyperlink ref="C1282" r:id="rId1460" display="http://dev.dashboard.evolvesolar.com/my-commissions.php?user_id=202&amp;payweek=2014-11-14"/>
    <hyperlink ref="A1283" r:id="rId1461" display="http://dev.dashboard.evolvesolar.com/my-commissions.php?user_id=211&amp;payweek=2014-11-14"/>
    <hyperlink ref="C1283" r:id="rId1462" display="http://dev.dashboard.evolvesolar.com/my-commissions.php?user_id=211&amp;payweek=2014-11-14"/>
    <hyperlink ref="A1284" r:id="rId1463" display="http://dev.dashboard.evolvesolar.com/my-commissions.php?user_id=212&amp;payweek=2014-11-14"/>
    <hyperlink ref="C1284" r:id="rId1464" display="http://dev.dashboard.evolvesolar.com/my-commissions.php?user_id=212&amp;payweek=2014-11-14"/>
    <hyperlink ref="A1285" r:id="rId1465" display="http://dev.dashboard.evolvesolar.com/my-commissions.php?user_id=218&amp;payweek=2014-11-14"/>
    <hyperlink ref="C1285" r:id="rId1466" display="http://dev.dashboard.evolvesolar.com/my-commissions.php?user_id=218&amp;payweek=2014-11-14"/>
    <hyperlink ref="A1286" r:id="rId1467" display="http://dev.dashboard.evolvesolar.com/my-commissions.php?user_id=248&amp;payweek=2014-11-14"/>
    <hyperlink ref="C1286" r:id="rId1468" display="http://dev.dashboard.evolvesolar.com/my-commissions.php?user_id=248&amp;payweek=2014-11-14"/>
    <hyperlink ref="A1287" r:id="rId1469" display="http://dev.dashboard.evolvesolar.com/my-commissions.php?user_id=261&amp;payweek=2014-11-14"/>
    <hyperlink ref="C1287" r:id="rId1470" display="http://dev.dashboard.evolvesolar.com/my-commissions.php?user_id=261&amp;payweek=2014-11-14"/>
    <hyperlink ref="A1288" r:id="rId1471" display="http://dev.dashboard.evolvesolar.com/my-commissions.php?user_id=268&amp;payweek=2014-11-14"/>
    <hyperlink ref="C1288" r:id="rId1472" display="http://dev.dashboard.evolvesolar.com/my-commissions.php?user_id=268&amp;payweek=2014-11-14"/>
    <hyperlink ref="A1289" r:id="rId1473" display="http://dev.dashboard.evolvesolar.com/my-commissions.php?user_id=269&amp;payweek=2014-11-14"/>
    <hyperlink ref="C1289" r:id="rId1474" display="http://dev.dashboard.evolvesolar.com/my-commissions.php?user_id=269&amp;payweek=2014-11-14"/>
    <hyperlink ref="A1290" r:id="rId1475" display="http://dev.dashboard.evolvesolar.com/my-commissions.php?user_id=282&amp;payweek=2014-11-14"/>
    <hyperlink ref="C1290" r:id="rId1476" display="http://dev.dashboard.evolvesolar.com/my-commissions.php?user_id=282&amp;payweek=2014-11-14"/>
    <hyperlink ref="A1291" r:id="rId1477" display="http://dev.dashboard.evolvesolar.com/my-commissions.php?user_id=286&amp;payweek=2014-11-14"/>
    <hyperlink ref="C1291" r:id="rId1478" display="http://dev.dashboard.evolvesolar.com/my-commissions.php?user_id=286&amp;payweek=2014-11-14"/>
    <hyperlink ref="A1292" r:id="rId1479" display="http://dev.dashboard.evolvesolar.com/my-commissions.php?user_id=295&amp;payweek=2014-11-14"/>
    <hyperlink ref="C1292" r:id="rId1480" display="http://dev.dashboard.evolvesolar.com/my-commissions.php?user_id=295&amp;payweek=2014-11-14"/>
    <hyperlink ref="A1293" r:id="rId1481" display="http://dev.dashboard.evolvesolar.com/my-commissions.php?user_id=302&amp;payweek=2014-11-14"/>
    <hyperlink ref="C1293" r:id="rId1482" display="http://dev.dashboard.evolvesolar.com/my-commissions.php?user_id=302&amp;payweek=2014-11-14"/>
    <hyperlink ref="A1294" r:id="rId1483" display="http://dev.dashboard.evolvesolar.com/my-commissions.php?user_id=321&amp;payweek=2014-11-14"/>
    <hyperlink ref="C1294" r:id="rId1484" display="http://dev.dashboard.evolvesolar.com/my-commissions.php?user_id=321&amp;payweek=2014-11-14"/>
    <hyperlink ref="A1295" r:id="rId1485" display="http://dev.dashboard.evolvesolar.com/my-commissions.php?user_id=322&amp;payweek=2014-11-14"/>
    <hyperlink ref="C1295" r:id="rId1486" display="http://dev.dashboard.evolvesolar.com/my-commissions.php?user_id=322&amp;payweek=2014-11-14"/>
    <hyperlink ref="A1296" r:id="rId1487" display="http://dev.dashboard.evolvesolar.com/my-commissions.php?user_id=326&amp;payweek=2014-11-14"/>
    <hyperlink ref="C1296" r:id="rId1488" display="http://dev.dashboard.evolvesolar.com/my-commissions.php?user_id=326&amp;payweek=2014-11-14"/>
    <hyperlink ref="A1297" r:id="rId1489" display="http://dev.dashboard.evolvesolar.com/my-commissions.php?user_id=329&amp;payweek=2014-11-14"/>
    <hyperlink ref="C1297" r:id="rId1490" display="http://dev.dashboard.evolvesolar.com/my-commissions.php?user_id=329&amp;payweek=2014-11-14"/>
    <hyperlink ref="A1298" r:id="rId1491" display="http://dev.dashboard.evolvesolar.com/my-commissions.php?user_id=334&amp;payweek=2014-11-14"/>
    <hyperlink ref="C1298" r:id="rId1492" display="http://dev.dashboard.evolvesolar.com/my-commissions.php?user_id=334&amp;payweek=2014-11-14"/>
    <hyperlink ref="A1299" r:id="rId1493" display="http://dev.dashboard.evolvesolar.com/my-commissions.php?user_id=365&amp;payweek=2014-11-14"/>
    <hyperlink ref="C1299" r:id="rId1494" display="http://dev.dashboard.evolvesolar.com/my-commissions.php?user_id=365&amp;payweek=2014-11-14"/>
    <hyperlink ref="A1300" r:id="rId1495" display="http://dev.dashboard.evolvesolar.com/my-commissions.php?user_id=382&amp;payweek=2014-11-14"/>
    <hyperlink ref="C1300" r:id="rId1496" display="http://dev.dashboard.evolvesolar.com/my-commissions.php?user_id=382&amp;payweek=2014-11-14"/>
    <hyperlink ref="A1301" r:id="rId1497" display="http://dev.dashboard.evolvesolar.com/my-commissions.php?user_id=389&amp;payweek=2014-11-14"/>
    <hyperlink ref="C1301" r:id="rId1498" display="http://dev.dashboard.evolvesolar.com/my-commissions.php?user_id=389&amp;payweek=2014-11-14"/>
    <hyperlink ref="A1302" r:id="rId1499" display="http://dev.dashboard.evolvesolar.com/my-commissions.php?user_id=410&amp;payweek=2014-11-14"/>
    <hyperlink ref="C1302" r:id="rId1500" display="http://dev.dashboard.evolvesolar.com/my-commissions.php?user_id=410&amp;payweek=2014-11-14"/>
    <hyperlink ref="A1303" r:id="rId1501" display="http://dev.dashboard.evolvesolar.com/my-commissions.php?user_id=422&amp;payweek=2014-11-14"/>
    <hyperlink ref="C1303" r:id="rId1502" display="http://dev.dashboard.evolvesolar.com/my-commissions.php?user_id=422&amp;payweek=2014-11-14"/>
    <hyperlink ref="A1304" r:id="rId1503" display="http://dev.dashboard.evolvesolar.com/my-commissions.php?user_id=430&amp;payweek=2014-11-14"/>
    <hyperlink ref="C1304" r:id="rId1504" display="http://dev.dashboard.evolvesolar.com/my-commissions.php?user_id=430&amp;payweek=2014-11-14"/>
    <hyperlink ref="A1305" r:id="rId1505" display="http://dev.dashboard.evolvesolar.com/my-commissions.php?user_id=474&amp;payweek=2014-11-14"/>
    <hyperlink ref="C1305" r:id="rId1506" display="http://dev.dashboard.evolvesolar.com/my-commissions.php?user_id=474&amp;payweek=2014-11-14"/>
    <hyperlink ref="A1306" r:id="rId1507" display="http://dev.dashboard.evolvesolar.com/my-commissions.php?user_id=493&amp;payweek=2014-11-14"/>
    <hyperlink ref="C1306" r:id="rId1508" display="http://dev.dashboard.evolvesolar.com/my-commissions.php?user_id=493&amp;payweek=2014-11-14"/>
    <hyperlink ref="A1307" r:id="rId1509" display="http://dev.dashboard.evolvesolar.com/my-commissions.php?user_id=530&amp;payweek=2014-11-14"/>
    <hyperlink ref="C1307" r:id="rId1510" display="http://dev.dashboard.evolvesolar.com/my-commissions.php?user_id=530&amp;payweek=2014-11-14"/>
    <hyperlink ref="A1308" r:id="rId1511" display="http://dev.dashboard.evolvesolar.com/my-commissions.php?user_id=580&amp;payweek=2014-11-14"/>
    <hyperlink ref="C1308" r:id="rId1512" display="http://dev.dashboard.evolvesolar.com/my-commissions.php?user_id=580&amp;payweek=2014-11-14"/>
    <hyperlink ref="A1309" r:id="rId1513" display="http://dev.dashboard.evolvesolar.com/my-commissions.php?user_id=583&amp;payweek=2014-11-14"/>
    <hyperlink ref="C1309" r:id="rId1514" display="http://dev.dashboard.evolvesolar.com/my-commissions.php?user_id=583&amp;payweek=2014-11-14"/>
    <hyperlink ref="A1310" r:id="rId1515" display="http://dev.dashboard.evolvesolar.com/my-commissions.php?user_id=586&amp;payweek=2014-11-14"/>
    <hyperlink ref="C1310" r:id="rId1516" display="http://dev.dashboard.evolvesolar.com/my-commissions.php?user_id=586&amp;payweek=2014-11-14"/>
    <hyperlink ref="A1311" r:id="rId1517" display="http://dev.dashboard.evolvesolar.com/my-commissions.php?user_id=593&amp;payweek=2014-11-14"/>
    <hyperlink ref="C1311" r:id="rId1518" display="http://dev.dashboard.evolvesolar.com/my-commissions.php?user_id=593&amp;payweek=2014-11-14"/>
    <hyperlink ref="A1312" r:id="rId1519" display="http://dev.dashboard.evolvesolar.com/my-commissions.php?user_id=599&amp;payweek=2014-11-14"/>
    <hyperlink ref="C1312" r:id="rId1520" display="http://dev.dashboard.evolvesolar.com/my-commissions.php?user_id=599&amp;payweek=2014-11-14"/>
    <hyperlink ref="A1313" r:id="rId1521" display="http://dev.dashboard.evolvesolar.com/my-commissions.php?user_id=606&amp;payweek=2014-11-14"/>
    <hyperlink ref="C1313" r:id="rId1522" display="http://dev.dashboard.evolvesolar.com/my-commissions.php?user_id=606&amp;payweek=2014-11-14"/>
    <hyperlink ref="A1314" r:id="rId1523" display="http://dev.dashboard.evolvesolar.com/my-commissions.php?user_id=626&amp;payweek=2014-11-14"/>
    <hyperlink ref="C1314" r:id="rId1524" display="http://dev.dashboard.evolvesolar.com/my-commissions.php?user_id=626&amp;payweek=2014-11-14"/>
    <hyperlink ref="A1315" r:id="rId1525" display="http://dev.dashboard.evolvesolar.com/my-commissions.php?user_id=631&amp;payweek=2014-11-14"/>
    <hyperlink ref="C1315" r:id="rId1526" display="http://dev.dashboard.evolvesolar.com/my-commissions.php?user_id=631&amp;payweek=2014-11-14"/>
    <hyperlink ref="A1316" r:id="rId1527" display="http://dev.dashboard.evolvesolar.com/my-commissions.php?user_id=646&amp;payweek=2014-11-14"/>
    <hyperlink ref="C1316" r:id="rId1528" display="http://dev.dashboard.evolvesolar.com/my-commissions.php?user_id=646&amp;payweek=2014-11-14"/>
    <hyperlink ref="A1317" r:id="rId1529" display="http://dev.dashboard.evolvesolar.com/my-commissions.php?user_id=648&amp;payweek=2014-11-14"/>
    <hyperlink ref="C1317" r:id="rId1530" display="http://dev.dashboard.evolvesolar.com/my-commissions.php?user_id=648&amp;payweek=2014-11-14"/>
    <hyperlink ref="A1318" r:id="rId1531" display="http://dev.dashboard.evolvesolar.com/my-commissions.php?user_id=664&amp;payweek=2014-11-14"/>
    <hyperlink ref="C1318" r:id="rId1532" display="http://dev.dashboard.evolvesolar.com/my-commissions.php?user_id=664&amp;payweek=2014-11-14"/>
    <hyperlink ref="A1319" r:id="rId1533" display="http://dev.dashboard.evolvesolar.com/my-commissions.php?user_id=676&amp;payweek=2014-11-14"/>
    <hyperlink ref="C1319" r:id="rId1534" display="http://dev.dashboard.evolvesolar.com/my-commissions.php?user_id=676&amp;payweek=2014-11-14"/>
    <hyperlink ref="A1320" r:id="rId1535" display="http://dev.dashboard.evolvesolar.com/my-commissions.php?user_id=679&amp;payweek=2014-11-14"/>
    <hyperlink ref="C1320" r:id="rId1536" display="http://dev.dashboard.evolvesolar.com/my-commissions.php?user_id=679&amp;payweek=2014-11-14"/>
    <hyperlink ref="A1321" r:id="rId1537" display="http://dev.dashboard.evolvesolar.com/my-commissions.php?user_id=687&amp;payweek=2014-11-14"/>
    <hyperlink ref="C1321" r:id="rId1538" display="http://dev.dashboard.evolvesolar.com/my-commissions.php?user_id=687&amp;payweek=2014-11-14"/>
    <hyperlink ref="A1322" r:id="rId1539" display="http://dev.dashboard.evolvesolar.com/my-commissions.php?user_id=690&amp;payweek=2014-11-14"/>
    <hyperlink ref="C1322" r:id="rId1540" display="http://dev.dashboard.evolvesolar.com/my-commissions.php?user_id=690&amp;payweek=2014-11-14"/>
    <hyperlink ref="A1323" r:id="rId1541" display="http://dev.dashboard.evolvesolar.com/my-commissions.php?user_id=691&amp;payweek=2014-11-14"/>
    <hyperlink ref="C1323" r:id="rId1542" display="http://dev.dashboard.evolvesolar.com/my-commissions.php?user_id=691&amp;payweek=2014-11-14"/>
    <hyperlink ref="A1324" r:id="rId1543" display="http://dev.dashboard.evolvesolar.com/my-commissions.php?user_id=696&amp;payweek=2014-11-14"/>
    <hyperlink ref="C1324" r:id="rId1544" display="http://dev.dashboard.evolvesolar.com/my-commissions.php?user_id=696&amp;payweek=2014-11-14"/>
    <hyperlink ref="A1325" r:id="rId1545" display="http://dev.dashboard.evolvesolar.com/my-commissions.php?user_id=703&amp;payweek=2014-11-14"/>
    <hyperlink ref="C1325" r:id="rId1546" display="http://dev.dashboard.evolvesolar.com/my-commissions.php?user_id=703&amp;payweek=2014-11-14"/>
    <hyperlink ref="A1326" r:id="rId1547" display="http://dev.dashboard.evolvesolar.com/my-commissions.php?user_id=705&amp;payweek=2014-11-14"/>
    <hyperlink ref="C1326" r:id="rId1548" display="http://dev.dashboard.evolvesolar.com/my-commissions.php?user_id=705&amp;payweek=2014-11-14"/>
    <hyperlink ref="A1327" r:id="rId1549" display="http://dev.dashboard.evolvesolar.com/my-commissions.php?user_id=708&amp;payweek=2014-11-14"/>
    <hyperlink ref="C1327" r:id="rId1550" display="http://dev.dashboard.evolvesolar.com/my-commissions.php?user_id=708&amp;payweek=2014-11-14"/>
    <hyperlink ref="A1328" r:id="rId1551" display="http://dev.dashboard.evolvesolar.com/my-commissions.php?user_id=714&amp;payweek=2014-11-14"/>
    <hyperlink ref="C1328" r:id="rId1552" display="http://dev.dashboard.evolvesolar.com/my-commissions.php?user_id=714&amp;payweek=2014-11-14"/>
    <hyperlink ref="A1329" r:id="rId1553" display="http://dev.dashboard.evolvesolar.com/my-commissions.php?user_id=715&amp;payweek=2014-11-14"/>
    <hyperlink ref="C1329" r:id="rId1554" display="http://dev.dashboard.evolvesolar.com/my-commissions.php?user_id=715&amp;payweek=2014-11-14"/>
    <hyperlink ref="A1330" r:id="rId1555" display="http://dev.dashboard.evolvesolar.com/my-commissions.php?user_id=716&amp;payweek=2014-11-14"/>
    <hyperlink ref="C1330" r:id="rId1556" display="http://dev.dashboard.evolvesolar.com/my-commissions.php?user_id=716&amp;payweek=2014-11-14"/>
    <hyperlink ref="A1331" r:id="rId1557" display="http://dev.dashboard.evolvesolar.com/my-commissions.php?user_id=722&amp;payweek=2014-11-14"/>
    <hyperlink ref="C1331" r:id="rId1558" display="http://dev.dashboard.evolvesolar.com/my-commissions.php?user_id=722&amp;payweek=2014-11-14"/>
    <hyperlink ref="A1332" r:id="rId1559" display="http://dev.dashboard.evolvesolar.com/my-commissions.php?user_id=725&amp;payweek=2014-11-14"/>
    <hyperlink ref="C1332" r:id="rId1560" display="http://dev.dashboard.evolvesolar.com/my-commissions.php?user_id=725&amp;payweek=2014-11-14"/>
    <hyperlink ref="A1333" r:id="rId1561" display="http://dev.dashboard.evolvesolar.com/my-commissions.php?user_id=726&amp;payweek=2014-11-14"/>
    <hyperlink ref="C1333" r:id="rId1562" display="http://dev.dashboard.evolvesolar.com/my-commissions.php?user_id=726&amp;payweek=2014-11-14"/>
    <hyperlink ref="A1334" r:id="rId1563" display="http://dev.dashboard.evolvesolar.com/my-commissions.php?user_id=728&amp;payweek=2014-11-14"/>
    <hyperlink ref="C1334" r:id="rId1564" display="http://dev.dashboard.evolvesolar.com/my-commissions.php?user_id=728&amp;payweek=2014-11-14"/>
    <hyperlink ref="A1335" r:id="rId1565" display="http://dev.dashboard.evolvesolar.com/my-commissions.php?user_id=739&amp;payweek=2014-11-14"/>
    <hyperlink ref="C1335" r:id="rId1566" display="http://dev.dashboard.evolvesolar.com/my-commissions.php?user_id=739&amp;payweek=2014-11-14"/>
    <hyperlink ref="A1336" r:id="rId1567" display="http://dev.dashboard.evolvesolar.com/my-commissions.php?user_id=764&amp;payweek=2014-11-14"/>
    <hyperlink ref="C1336" r:id="rId1568" display="http://dev.dashboard.evolvesolar.com/my-commissions.php?user_id=764&amp;payweek=2014-11-14"/>
    <hyperlink ref="A1337" r:id="rId1569" display="http://dev.dashboard.evolvesolar.com/my-commissions.php?user_id=771&amp;payweek=2014-11-14"/>
    <hyperlink ref="C1337" r:id="rId1570" display="http://dev.dashboard.evolvesolar.com/my-commissions.php?user_id=771&amp;payweek=2014-11-14"/>
    <hyperlink ref="A1338" r:id="rId1571" display="http://dev.dashboard.evolvesolar.com/my-commissions.php?user_id=772&amp;payweek=2014-11-14"/>
    <hyperlink ref="C1338" r:id="rId1572" display="http://dev.dashboard.evolvesolar.com/my-commissions.php?user_id=772&amp;payweek=2014-11-14"/>
    <hyperlink ref="A1339" r:id="rId1573" display="http://dev.dashboard.evolvesolar.com/my-commissions.php?user_id=782&amp;payweek=2014-11-14"/>
    <hyperlink ref="C1339" r:id="rId1574" display="http://dev.dashboard.evolvesolar.com/my-commissions.php?user_id=782&amp;payweek=2014-11-14"/>
    <hyperlink ref="A1340" r:id="rId1575" display="http://dev.dashboard.evolvesolar.com/my-commissions.php?user_id=790&amp;payweek=2014-11-14"/>
    <hyperlink ref="C1340" r:id="rId1576" display="http://dev.dashboard.evolvesolar.com/my-commissions.php?user_id=790&amp;payweek=2014-11-14"/>
    <hyperlink ref="A1341" r:id="rId1577" display="http://dev.dashboard.evolvesolar.com/my-commissions.php?user_id=807&amp;payweek=2014-11-14"/>
    <hyperlink ref="C1341" r:id="rId1578" display="http://dev.dashboard.evolvesolar.com/my-commissions.php?user_id=807&amp;payweek=2014-11-14"/>
    <hyperlink ref="A1266" r:id="rId1579" display="http://dev.dashboard.evolvesolar.com/my-commissions.php?user_id=343&amp;payweek=2014-11-12"/>
    <hyperlink ref="C1266" r:id="rId1580" display="http://dev.dashboard.evolvesolar.com/my-commissions.php?user_id=343&amp;payweek=2014-11-12"/>
    <hyperlink ref="A1267" r:id="rId1581" display="http://dev.dashboard.evolvesolar.com/my-commissions.php?user_id=672&amp;payweek=2014-11-12"/>
    <hyperlink ref="C1267" r:id="rId1582" display="http://dev.dashboard.evolvesolar.com/my-commissions.php?user_id=672&amp;payweek=2014-11-12"/>
    <hyperlink ref="A1268" r:id="rId1583" display="http://dev.dashboard.evolvesolar.com/my-commissions.php?user_id=782&amp;payweek=2014-11-12"/>
    <hyperlink ref="C1268" r:id="rId1584" display="http://dev.dashboard.evolvesolar.com/my-commissions.php?user_id=782&amp;payweek=2014-11-12"/>
    <hyperlink ref="A1262" r:id="rId1585" display="http://dev.dashboard.evolvesolar.com/my-commissions.php?user_id=175&amp;payweek=2014-11-10"/>
    <hyperlink ref="C1262" r:id="rId1586" display="http://dev.dashboard.evolvesolar.com/my-commissions.php?user_id=175&amp;payweek=2014-11-10"/>
    <hyperlink ref="A1263" r:id="rId1587" display="http://dev.dashboard.evolvesolar.com/my-commissions.php?user_id=383&amp;payweek=2014-11-10"/>
    <hyperlink ref="C1263" r:id="rId1588" display="http://dev.dashboard.evolvesolar.com/my-commissions.php?user_id=383&amp;payweek=2014-11-10"/>
    <hyperlink ref="A1264" r:id="rId1589" display="http://dev.dashboard.evolvesolar.com/my-commissions.php?user_id=648&amp;payweek=2014-11-10"/>
    <hyperlink ref="C1264" r:id="rId1590" display="http://dev.dashboard.evolvesolar.com/my-commissions.php?user_id=648&amp;payweek=2014-11-10"/>
    <hyperlink ref="A1265" r:id="rId1591" display="http://dev.dashboard.evolvesolar.com/my-commissions.php?user_id=788&amp;payweek=2014-11-10"/>
    <hyperlink ref="C1265" r:id="rId1592" display="http://dev.dashboard.evolvesolar.com/my-commissions.php?user_id=788&amp;payweek=2014-11-10"/>
    <hyperlink ref="A1261" r:id="rId1593" display="http://dev.dashboard.evolvesolar.com/my-commissions.php?user_id=616&amp;payweek=2014-11-08"/>
    <hyperlink ref="C1261" r:id="rId1594" display="http://dev.dashboard.evolvesolar.com/my-commissions.php?user_id=616&amp;payweek=2014-11-08"/>
    <hyperlink ref="A1201" r:id="rId1595" display="http://dev.dashboard.evolvesolar.com/my-commissions.php?user_id=27&amp;payweek=2014-11-07"/>
    <hyperlink ref="C1201" r:id="rId1596" display="http://dev.dashboard.evolvesolar.com/my-commissions.php?user_id=27&amp;payweek=2014-11-07"/>
    <hyperlink ref="A1202" r:id="rId1597" display="http://dev.dashboard.evolvesolar.com/my-commissions.php?user_id=41&amp;payweek=2014-11-07"/>
    <hyperlink ref="C1202" r:id="rId1598" display="http://dev.dashboard.evolvesolar.com/my-commissions.php?user_id=41&amp;payweek=2014-11-07"/>
    <hyperlink ref="A1203" r:id="rId1599" display="http://dev.dashboard.evolvesolar.com/my-commissions.php?user_id=63&amp;payweek=2014-11-07"/>
    <hyperlink ref="C1203" r:id="rId1600" display="http://dev.dashboard.evolvesolar.com/my-commissions.php?user_id=63&amp;payweek=2014-11-07"/>
    <hyperlink ref="A1204" r:id="rId1601" display="http://dev.dashboard.evolvesolar.com/my-commissions.php?user_id=77&amp;payweek=2014-11-07"/>
    <hyperlink ref="C1204" r:id="rId1602" display="http://dev.dashboard.evolvesolar.com/my-commissions.php?user_id=77&amp;payweek=2014-11-07"/>
    <hyperlink ref="A1205" r:id="rId1603" display="http://dev.dashboard.evolvesolar.com/my-commissions.php?user_id=85&amp;payweek=2014-11-07"/>
    <hyperlink ref="C1205" r:id="rId1604" display="http://dev.dashboard.evolvesolar.com/my-commissions.php?user_id=85&amp;payweek=2014-11-07"/>
    <hyperlink ref="A1206" r:id="rId1605" display="http://dev.dashboard.evolvesolar.com/my-commissions.php?user_id=133&amp;payweek=2014-11-07"/>
    <hyperlink ref="C1206" r:id="rId1606" display="http://dev.dashboard.evolvesolar.com/my-commissions.php?user_id=133&amp;payweek=2014-11-07"/>
    <hyperlink ref="A1207" r:id="rId1607" display="http://dev.dashboard.evolvesolar.com/my-commissions.php?user_id=175&amp;payweek=2014-11-07"/>
    <hyperlink ref="C1207" r:id="rId1608" display="http://dev.dashboard.evolvesolar.com/my-commissions.php?user_id=175&amp;payweek=2014-11-07"/>
    <hyperlink ref="A1208" r:id="rId1609" display="http://dev.dashboard.evolvesolar.com/my-commissions.php?user_id=191&amp;payweek=2014-11-07"/>
    <hyperlink ref="C1208" r:id="rId1610" display="http://dev.dashboard.evolvesolar.com/my-commissions.php?user_id=191&amp;payweek=2014-11-07"/>
    <hyperlink ref="A1209" r:id="rId1611" display="http://dev.dashboard.evolvesolar.com/my-commissions.php?user_id=211&amp;payweek=2014-11-07"/>
    <hyperlink ref="C1209" r:id="rId1612" display="http://dev.dashboard.evolvesolar.com/my-commissions.php?user_id=211&amp;payweek=2014-11-07"/>
    <hyperlink ref="A1210" r:id="rId1613" display="http://dev.dashboard.evolvesolar.com/my-commissions.php?user_id=212&amp;payweek=2014-11-07"/>
    <hyperlink ref="C1210" r:id="rId1614" display="http://dev.dashboard.evolvesolar.com/my-commissions.php?user_id=212&amp;payweek=2014-11-07"/>
    <hyperlink ref="A1211" r:id="rId1615" display="http://dev.dashboard.evolvesolar.com/my-commissions.php?user_id=250&amp;payweek=2014-11-07"/>
    <hyperlink ref="C1211" r:id="rId1616" display="http://dev.dashboard.evolvesolar.com/my-commissions.php?user_id=250&amp;payweek=2014-11-07"/>
    <hyperlink ref="A1212" r:id="rId1617" display="http://dev.dashboard.evolvesolar.com/my-commissions.php?user_id=261&amp;payweek=2014-11-07"/>
    <hyperlink ref="C1212" r:id="rId1618" display="http://dev.dashboard.evolvesolar.com/my-commissions.php?user_id=261&amp;payweek=2014-11-07"/>
    <hyperlink ref="A1213" r:id="rId1619" display="http://dev.dashboard.evolvesolar.com/my-commissions.php?user_id=268&amp;payweek=2014-11-07"/>
    <hyperlink ref="C1213" r:id="rId1620" display="http://dev.dashboard.evolvesolar.com/my-commissions.php?user_id=268&amp;payweek=2014-11-07"/>
    <hyperlink ref="A1214" r:id="rId1621" display="http://dev.dashboard.evolvesolar.com/my-commissions.php?user_id=269&amp;payweek=2014-11-07"/>
    <hyperlink ref="C1214" r:id="rId1622" display="http://dev.dashboard.evolvesolar.com/my-commissions.php?user_id=269&amp;payweek=2014-11-07"/>
    <hyperlink ref="A1215" r:id="rId1623" display="http://dev.dashboard.evolvesolar.com/my-commissions.php?user_id=326&amp;payweek=2014-11-07"/>
    <hyperlink ref="C1215" r:id="rId1624" display="http://dev.dashboard.evolvesolar.com/my-commissions.php?user_id=326&amp;payweek=2014-11-07"/>
    <hyperlink ref="A1216" r:id="rId1625" display="http://dev.dashboard.evolvesolar.com/my-commissions.php?user_id=352&amp;payweek=2014-11-07"/>
    <hyperlink ref="C1216" r:id="rId1626" display="http://dev.dashboard.evolvesolar.com/my-commissions.php?user_id=352&amp;payweek=2014-11-07"/>
    <hyperlink ref="A1217" r:id="rId1627" display="http://dev.dashboard.evolvesolar.com/my-commissions.php?user_id=355&amp;payweek=2014-11-07"/>
    <hyperlink ref="C1217" r:id="rId1628" display="http://dev.dashboard.evolvesolar.com/my-commissions.php?user_id=355&amp;payweek=2014-11-07"/>
    <hyperlink ref="A1218" r:id="rId1629" display="http://dev.dashboard.evolvesolar.com/my-commissions.php?user_id=358&amp;payweek=2014-11-07"/>
    <hyperlink ref="C1218" r:id="rId1630" display="http://dev.dashboard.evolvesolar.com/my-commissions.php?user_id=358&amp;payweek=2014-11-07"/>
    <hyperlink ref="A1219" r:id="rId1631" display="http://dev.dashboard.evolvesolar.com/my-commissions.php?user_id=365&amp;payweek=2014-11-07"/>
    <hyperlink ref="C1219" r:id="rId1632" display="http://dev.dashboard.evolvesolar.com/my-commissions.php?user_id=365&amp;payweek=2014-11-07"/>
    <hyperlink ref="A1220" r:id="rId1633" display="http://dev.dashboard.evolvesolar.com/my-commissions.php?user_id=382&amp;payweek=2014-11-07"/>
    <hyperlink ref="C1220" r:id="rId1634" display="http://dev.dashboard.evolvesolar.com/my-commissions.php?user_id=382&amp;payweek=2014-11-07"/>
    <hyperlink ref="A1221" r:id="rId1635" display="http://dev.dashboard.evolvesolar.com/my-commissions.php?user_id=389&amp;payweek=2014-11-07"/>
    <hyperlink ref="C1221" r:id="rId1636" display="http://dev.dashboard.evolvesolar.com/my-commissions.php?user_id=389&amp;payweek=2014-11-07"/>
    <hyperlink ref="A1222" r:id="rId1637" display="http://dev.dashboard.evolvesolar.com/my-commissions.php?user_id=392&amp;payweek=2014-11-07"/>
    <hyperlink ref="C1222" r:id="rId1638" display="http://dev.dashboard.evolvesolar.com/my-commissions.php?user_id=392&amp;payweek=2014-11-07"/>
    <hyperlink ref="A1223" r:id="rId1639" display="http://dev.dashboard.evolvesolar.com/my-commissions.php?user_id=410&amp;payweek=2014-11-07"/>
    <hyperlink ref="C1223" r:id="rId1640" display="http://dev.dashboard.evolvesolar.com/my-commissions.php?user_id=410&amp;payweek=2014-11-07"/>
    <hyperlink ref="A1224" r:id="rId1641" display="http://dev.dashboard.evolvesolar.com/my-commissions.php?user_id=422&amp;payweek=2014-11-07"/>
    <hyperlink ref="C1224" r:id="rId1642" display="http://dev.dashboard.evolvesolar.com/my-commissions.php?user_id=422&amp;payweek=2014-11-07"/>
    <hyperlink ref="A1225" r:id="rId1643" display="http://dev.dashboard.evolvesolar.com/my-commissions.php?user_id=428&amp;payweek=2014-11-07"/>
    <hyperlink ref="C1225" r:id="rId1644" display="http://dev.dashboard.evolvesolar.com/my-commissions.php?user_id=428&amp;payweek=2014-11-07"/>
    <hyperlink ref="A1226" r:id="rId1645" display="http://dev.dashboard.evolvesolar.com/my-commissions.php?user_id=464&amp;payweek=2014-11-07"/>
    <hyperlink ref="C1226" r:id="rId1646" display="http://dev.dashboard.evolvesolar.com/my-commissions.php?user_id=464&amp;payweek=2014-11-07"/>
    <hyperlink ref="A1227" r:id="rId1647" display="http://dev.dashboard.evolvesolar.com/my-commissions.php?user_id=472&amp;payweek=2014-11-07"/>
    <hyperlink ref="C1227" r:id="rId1648" display="http://dev.dashboard.evolvesolar.com/my-commissions.php?user_id=472&amp;payweek=2014-11-07"/>
    <hyperlink ref="A1228" r:id="rId1649" display="http://dev.dashboard.evolvesolar.com/my-commissions.php?user_id=530&amp;payweek=2014-11-07"/>
    <hyperlink ref="C1228" r:id="rId1650" display="http://dev.dashboard.evolvesolar.com/my-commissions.php?user_id=530&amp;payweek=2014-11-07"/>
    <hyperlink ref="A1229" r:id="rId1651" display="http://dev.dashboard.evolvesolar.com/my-commissions.php?user_id=539&amp;payweek=2014-11-07"/>
    <hyperlink ref="C1229" r:id="rId1652" display="http://dev.dashboard.evolvesolar.com/my-commissions.php?user_id=539&amp;payweek=2014-11-07"/>
    <hyperlink ref="A1230" r:id="rId1653" display="http://dev.dashboard.evolvesolar.com/my-commissions.php?user_id=549&amp;payweek=2014-11-07"/>
    <hyperlink ref="C1230" r:id="rId1654" display="http://dev.dashboard.evolvesolar.com/my-commissions.php?user_id=549&amp;payweek=2014-11-07"/>
    <hyperlink ref="A1231" r:id="rId1655" display="http://dev.dashboard.evolvesolar.com/my-commissions.php?user_id=553&amp;payweek=2014-11-07"/>
    <hyperlink ref="C1231" r:id="rId1656" display="http://dev.dashboard.evolvesolar.com/my-commissions.php?user_id=553&amp;payweek=2014-11-07"/>
    <hyperlink ref="A1232" r:id="rId1657" display="http://dev.dashboard.evolvesolar.com/my-commissions.php?user_id=580&amp;payweek=2014-11-07"/>
    <hyperlink ref="C1232" r:id="rId1658" display="http://dev.dashboard.evolvesolar.com/my-commissions.php?user_id=580&amp;payweek=2014-11-07"/>
    <hyperlink ref="A1233" r:id="rId1659" display="http://dev.dashboard.evolvesolar.com/my-commissions.php?user_id=582&amp;payweek=2014-11-07"/>
    <hyperlink ref="C1233" r:id="rId1660" display="http://dev.dashboard.evolvesolar.com/my-commissions.php?user_id=582&amp;payweek=2014-11-07"/>
    <hyperlink ref="A1234" r:id="rId1661" display="http://dev.dashboard.evolvesolar.com/my-commissions.php?user_id=583&amp;payweek=2014-11-07"/>
    <hyperlink ref="C1234" r:id="rId1662" display="http://dev.dashboard.evolvesolar.com/my-commissions.php?user_id=583&amp;payweek=2014-11-07"/>
    <hyperlink ref="A1235" r:id="rId1663" display="http://dev.dashboard.evolvesolar.com/my-commissions.php?user_id=586&amp;payweek=2014-11-07"/>
    <hyperlink ref="C1235" r:id="rId1664" display="http://dev.dashboard.evolvesolar.com/my-commissions.php?user_id=586&amp;payweek=2014-11-07"/>
    <hyperlink ref="A1236" r:id="rId1665" display="http://dev.dashboard.evolvesolar.com/my-commissions.php?user_id=590&amp;payweek=2014-11-07"/>
    <hyperlink ref="C1236" r:id="rId1666" display="http://dev.dashboard.evolvesolar.com/my-commissions.php?user_id=590&amp;payweek=2014-11-07"/>
    <hyperlink ref="A1237" r:id="rId1667" display="http://dev.dashboard.evolvesolar.com/my-commissions.php?user_id=593&amp;payweek=2014-11-07"/>
    <hyperlink ref="C1237" r:id="rId1668" display="http://dev.dashboard.evolvesolar.com/my-commissions.php?user_id=593&amp;payweek=2014-11-07"/>
    <hyperlink ref="A1238" r:id="rId1669" display="http://dev.dashboard.evolvesolar.com/my-commissions.php?user_id=599&amp;payweek=2014-11-07"/>
    <hyperlink ref="C1238" r:id="rId1670" display="http://dev.dashboard.evolvesolar.com/my-commissions.php?user_id=599&amp;payweek=2014-11-07"/>
    <hyperlink ref="A1239" r:id="rId1671" display="http://dev.dashboard.evolvesolar.com/my-commissions.php?user_id=607&amp;payweek=2014-11-07"/>
    <hyperlink ref="C1239" r:id="rId1672" display="http://dev.dashboard.evolvesolar.com/my-commissions.php?user_id=607&amp;payweek=2014-11-07"/>
    <hyperlink ref="A1240" r:id="rId1673" display="http://dev.dashboard.evolvesolar.com/my-commissions.php?user_id=615&amp;payweek=2014-11-07"/>
    <hyperlink ref="C1240" r:id="rId1674" display="http://dev.dashboard.evolvesolar.com/my-commissions.php?user_id=615&amp;payweek=2014-11-07"/>
    <hyperlink ref="A1241" r:id="rId1675" display="http://dev.dashboard.evolvesolar.com/my-commissions.php?user_id=621&amp;payweek=2014-11-07"/>
    <hyperlink ref="C1241" r:id="rId1676" display="http://dev.dashboard.evolvesolar.com/my-commissions.php?user_id=621&amp;payweek=2014-11-07"/>
    <hyperlink ref="A1242" r:id="rId1677" display="http://dev.dashboard.evolvesolar.com/my-commissions.php?user_id=635&amp;payweek=2014-11-07"/>
    <hyperlink ref="C1242" r:id="rId1678" display="http://dev.dashboard.evolvesolar.com/my-commissions.php?user_id=635&amp;payweek=2014-11-07"/>
    <hyperlink ref="A1243" r:id="rId1679" display="http://dev.dashboard.evolvesolar.com/my-commissions.php?user_id=646&amp;payweek=2014-11-07"/>
    <hyperlink ref="C1243" r:id="rId1680" display="http://dev.dashboard.evolvesolar.com/my-commissions.php?user_id=646&amp;payweek=2014-11-07"/>
    <hyperlink ref="A1244" r:id="rId1681" display="http://dev.dashboard.evolvesolar.com/my-commissions.php?user_id=648&amp;payweek=2014-11-07"/>
    <hyperlink ref="C1244" r:id="rId1682" display="http://dev.dashboard.evolvesolar.com/my-commissions.php?user_id=648&amp;payweek=2014-11-07"/>
    <hyperlink ref="A1245" r:id="rId1683" display="http://dev.dashboard.evolvesolar.com/my-commissions.php?user_id=650&amp;payweek=2014-11-07"/>
    <hyperlink ref="C1245" r:id="rId1684" display="http://dev.dashboard.evolvesolar.com/my-commissions.php?user_id=650&amp;payweek=2014-11-07"/>
    <hyperlink ref="A1246" r:id="rId1685" display="http://dev.dashboard.evolvesolar.com/my-commissions.php?user_id=656&amp;payweek=2014-11-07"/>
    <hyperlink ref="C1246" r:id="rId1686" display="http://dev.dashboard.evolvesolar.com/my-commissions.php?user_id=656&amp;payweek=2014-11-07"/>
    <hyperlink ref="A1247" r:id="rId1687" display="http://dev.dashboard.evolvesolar.com/my-commissions.php?user_id=664&amp;payweek=2014-11-07"/>
    <hyperlink ref="C1247" r:id="rId1688" display="http://dev.dashboard.evolvesolar.com/my-commissions.php?user_id=664&amp;payweek=2014-11-07"/>
    <hyperlink ref="A1248" r:id="rId1689" display="http://dev.dashboard.evolvesolar.com/my-commissions.php?user_id=674&amp;payweek=2014-11-07"/>
    <hyperlink ref="C1248" r:id="rId1690" display="http://dev.dashboard.evolvesolar.com/my-commissions.php?user_id=674&amp;payweek=2014-11-07"/>
    <hyperlink ref="A1249" r:id="rId1691" display="http://dev.dashboard.evolvesolar.com/my-commissions.php?user_id=676&amp;payweek=2014-11-07"/>
    <hyperlink ref="C1249" r:id="rId1692" display="http://dev.dashboard.evolvesolar.com/my-commissions.php?user_id=676&amp;payweek=2014-11-07"/>
    <hyperlink ref="A1250" r:id="rId1693" display="http://dev.dashboard.evolvesolar.com/my-commissions.php?user_id=685&amp;payweek=2014-11-07"/>
    <hyperlink ref="C1250" r:id="rId1694" display="http://dev.dashboard.evolvesolar.com/my-commissions.php?user_id=685&amp;payweek=2014-11-07"/>
    <hyperlink ref="A1251" r:id="rId1695" display="http://dev.dashboard.evolvesolar.com/my-commissions.php?user_id=691&amp;payweek=2014-11-07"/>
    <hyperlink ref="C1251" r:id="rId1696" display="http://dev.dashboard.evolvesolar.com/my-commissions.php?user_id=691&amp;payweek=2014-11-07"/>
    <hyperlink ref="A1252" r:id="rId1697" display="http://dev.dashboard.evolvesolar.com/my-commissions.php?user_id=703&amp;payweek=2014-11-07"/>
    <hyperlink ref="C1252" r:id="rId1698" display="http://dev.dashboard.evolvesolar.com/my-commissions.php?user_id=703&amp;payweek=2014-11-07"/>
    <hyperlink ref="A1253" r:id="rId1699" display="http://dev.dashboard.evolvesolar.com/my-commissions.php?user_id=705&amp;payweek=2014-11-07"/>
    <hyperlink ref="C1253" r:id="rId1700" display="http://dev.dashboard.evolvesolar.com/my-commissions.php?user_id=705&amp;payweek=2014-11-07"/>
    <hyperlink ref="A1254" r:id="rId1701" display="http://dev.dashboard.evolvesolar.com/my-commissions.php?user_id=708&amp;payweek=2014-11-07"/>
    <hyperlink ref="C1254" r:id="rId1702" display="http://dev.dashboard.evolvesolar.com/my-commissions.php?user_id=708&amp;payweek=2014-11-07"/>
    <hyperlink ref="A1255" r:id="rId1703" display="http://dev.dashboard.evolvesolar.com/my-commissions.php?user_id=711&amp;payweek=2014-11-07"/>
    <hyperlink ref="C1255" r:id="rId1704" display="http://dev.dashboard.evolvesolar.com/my-commissions.php?user_id=711&amp;payweek=2014-11-07"/>
    <hyperlink ref="A1256" r:id="rId1705" display="http://dev.dashboard.evolvesolar.com/my-commissions.php?user_id=715&amp;payweek=2014-11-07"/>
    <hyperlink ref="C1256" r:id="rId1706" display="http://dev.dashboard.evolvesolar.com/my-commissions.php?user_id=715&amp;payweek=2014-11-07"/>
    <hyperlink ref="A1257" r:id="rId1707" display="http://dev.dashboard.evolvesolar.com/my-commissions.php?user_id=716&amp;payweek=2014-11-07"/>
    <hyperlink ref="C1257" r:id="rId1708" display="http://dev.dashboard.evolvesolar.com/my-commissions.php?user_id=716&amp;payweek=2014-11-07"/>
    <hyperlink ref="A1258" r:id="rId1709" display="http://dev.dashboard.evolvesolar.com/my-commissions.php?user_id=722&amp;payweek=2014-11-07"/>
    <hyperlink ref="C1258" r:id="rId1710" display="http://dev.dashboard.evolvesolar.com/my-commissions.php?user_id=722&amp;payweek=2014-11-07"/>
    <hyperlink ref="A1259" r:id="rId1711" display="http://dev.dashboard.evolvesolar.com/my-commissions.php?user_id=726&amp;payweek=2014-11-07"/>
    <hyperlink ref="C1259" r:id="rId1712" display="http://dev.dashboard.evolvesolar.com/my-commissions.php?user_id=726&amp;payweek=2014-11-07"/>
    <hyperlink ref="A1260" r:id="rId1713" display="http://dev.dashboard.evolvesolar.com/my-commissions.php?user_id=771&amp;payweek=2014-11-07"/>
    <hyperlink ref="C1260" r:id="rId1714" display="http://dev.dashboard.evolvesolar.com/my-commissions.php?user_id=771&amp;payweek=2014-11-07"/>
    <hyperlink ref="A1198" r:id="rId1715" display="http://dev.dashboard.evolvesolar.com/my-commissions.php?user_id=389&amp;payweek=2014-11-04"/>
    <hyperlink ref="C1198" r:id="rId1716" display="http://dev.dashboard.evolvesolar.com/my-commissions.php?user_id=389&amp;payweek=2014-11-04"/>
    <hyperlink ref="A1199" r:id="rId1717" display="http://dev.dashboard.evolvesolar.com/my-commissions.php?user_id=672&amp;payweek=2014-11-04"/>
    <hyperlink ref="C1199" r:id="rId1718" display="http://dev.dashboard.evolvesolar.com/my-commissions.php?user_id=672&amp;payweek=2014-11-04"/>
    <hyperlink ref="A1200" r:id="rId1719" display="http://dev.dashboard.evolvesolar.com/my-commissions.php?user_id=715&amp;payweek=2014-11-04"/>
    <hyperlink ref="C1200" r:id="rId1720" display="http://dev.dashboard.evolvesolar.com/my-commissions.php?user_id=715&amp;payweek=2014-11-04"/>
    <hyperlink ref="A1197" r:id="rId1721" display="http://dev.dashboard.evolvesolar.com/my-commissions.php?user_id=212&amp;payweek=2014-11-03"/>
    <hyperlink ref="C1197" r:id="rId1722" display="http://dev.dashboard.evolvesolar.com/my-commissions.php?user_id=212&amp;payweek=2014-11-03"/>
    <hyperlink ref="A1148" r:id="rId1723" display="http://dev.dashboard.evolvesolar.com/my-commissions.php?user_id=28&amp;payweek=2014-10-31"/>
    <hyperlink ref="C1148" r:id="rId1724" display="http://dev.dashboard.evolvesolar.com/my-commissions.php?user_id=28&amp;payweek=2014-10-31"/>
    <hyperlink ref="A1149" r:id="rId1725" display="http://dev.dashboard.evolvesolar.com/my-commissions.php?user_id=175&amp;payweek=2014-10-31"/>
    <hyperlink ref="C1149" r:id="rId1726" display="http://dev.dashboard.evolvesolar.com/my-commissions.php?user_id=175&amp;payweek=2014-10-31"/>
    <hyperlink ref="A1150" r:id="rId1727" display="http://dev.dashboard.evolvesolar.com/my-commissions.php?user_id=217&amp;payweek=2014-10-31"/>
    <hyperlink ref="C1150" r:id="rId1728" display="http://dev.dashboard.evolvesolar.com/my-commissions.php?user_id=217&amp;payweek=2014-10-31"/>
    <hyperlink ref="A1151" r:id="rId1729" display="http://dev.dashboard.evolvesolar.com/my-commissions.php?user_id=218&amp;payweek=2014-10-31"/>
    <hyperlink ref="C1151" r:id="rId1730" display="http://dev.dashboard.evolvesolar.com/my-commissions.php?user_id=218&amp;payweek=2014-10-31"/>
    <hyperlink ref="A1152" r:id="rId1731" display="http://dev.dashboard.evolvesolar.com/my-commissions.php?user_id=248&amp;payweek=2014-10-31"/>
    <hyperlink ref="C1152" r:id="rId1732" display="http://dev.dashboard.evolvesolar.com/my-commissions.php?user_id=248&amp;payweek=2014-10-31"/>
    <hyperlink ref="A1153" r:id="rId1733" display="http://dev.dashboard.evolvesolar.com/my-commissions.php?user_id=261&amp;payweek=2014-10-31"/>
    <hyperlink ref="C1153" r:id="rId1734" display="http://dev.dashboard.evolvesolar.com/my-commissions.php?user_id=261&amp;payweek=2014-10-31"/>
    <hyperlink ref="A1154" r:id="rId1735" display="http://dev.dashboard.evolvesolar.com/my-commissions.php?user_id=268&amp;payweek=2014-10-31"/>
    <hyperlink ref="C1154" r:id="rId1736" display="http://dev.dashboard.evolvesolar.com/my-commissions.php?user_id=268&amp;payweek=2014-10-31"/>
    <hyperlink ref="A1155" r:id="rId1737" display="http://dev.dashboard.evolvesolar.com/my-commissions.php?user_id=269&amp;payweek=2014-10-31"/>
    <hyperlink ref="C1155" r:id="rId1738" display="http://dev.dashboard.evolvesolar.com/my-commissions.php?user_id=269&amp;payweek=2014-10-31"/>
    <hyperlink ref="A1156" r:id="rId1739" display="http://dev.dashboard.evolvesolar.com/my-commissions.php?user_id=282&amp;payweek=2014-10-31"/>
    <hyperlink ref="C1156" r:id="rId1740" display="http://dev.dashboard.evolvesolar.com/my-commissions.php?user_id=282&amp;payweek=2014-10-31"/>
    <hyperlink ref="A1157" r:id="rId1741" display="http://dev.dashboard.evolvesolar.com/my-commissions.php?user_id=295&amp;payweek=2014-10-31"/>
    <hyperlink ref="C1157" r:id="rId1742" display="http://dev.dashboard.evolvesolar.com/my-commissions.php?user_id=295&amp;payweek=2014-10-31"/>
    <hyperlink ref="A1158" r:id="rId1743" display="http://dev.dashboard.evolvesolar.com/my-commissions.php?user_id=302&amp;payweek=2014-10-31"/>
    <hyperlink ref="C1158" r:id="rId1744" display="http://dev.dashboard.evolvesolar.com/my-commissions.php?user_id=302&amp;payweek=2014-10-31"/>
    <hyperlink ref="A1159" r:id="rId1745" display="http://dev.dashboard.evolvesolar.com/my-commissions.php?user_id=321&amp;payweek=2014-10-31"/>
    <hyperlink ref="C1159" r:id="rId1746" display="http://dev.dashboard.evolvesolar.com/my-commissions.php?user_id=321&amp;payweek=2014-10-31"/>
    <hyperlink ref="A1160" r:id="rId1747" display="http://dev.dashboard.evolvesolar.com/my-commissions.php?user_id=332&amp;payweek=2014-10-31"/>
    <hyperlink ref="C1160" r:id="rId1748" display="http://dev.dashboard.evolvesolar.com/my-commissions.php?user_id=332&amp;payweek=2014-10-31"/>
    <hyperlink ref="A1161" r:id="rId1749" display="http://dev.dashboard.evolvesolar.com/my-commissions.php?user_id=343&amp;payweek=2014-10-31"/>
    <hyperlink ref="C1161" r:id="rId1750" display="http://dev.dashboard.evolvesolar.com/my-commissions.php?user_id=343&amp;payweek=2014-10-31"/>
    <hyperlink ref="A1162" r:id="rId1751" display="http://dev.dashboard.evolvesolar.com/my-commissions.php?user_id=355&amp;payweek=2014-10-31"/>
    <hyperlink ref="C1162" r:id="rId1752" display="http://dev.dashboard.evolvesolar.com/my-commissions.php?user_id=355&amp;payweek=2014-10-31"/>
    <hyperlink ref="A1163" r:id="rId1753" display="http://dev.dashboard.evolvesolar.com/my-commissions.php?user_id=358&amp;payweek=2014-10-31"/>
    <hyperlink ref="C1163" r:id="rId1754" display="http://dev.dashboard.evolvesolar.com/my-commissions.php?user_id=358&amp;payweek=2014-10-31"/>
    <hyperlink ref="A1164" r:id="rId1755" display="http://dev.dashboard.evolvesolar.com/my-commissions.php?user_id=365&amp;payweek=2014-10-31"/>
    <hyperlink ref="C1164" r:id="rId1756" display="http://dev.dashboard.evolvesolar.com/my-commissions.php?user_id=365&amp;payweek=2014-10-31"/>
    <hyperlink ref="A1165" r:id="rId1757" display="http://dev.dashboard.evolvesolar.com/my-commissions.php?user_id=382&amp;payweek=2014-10-31"/>
    <hyperlink ref="C1165" r:id="rId1758" display="http://dev.dashboard.evolvesolar.com/my-commissions.php?user_id=382&amp;payweek=2014-10-31"/>
    <hyperlink ref="A1166" r:id="rId1759" display="http://dev.dashboard.evolvesolar.com/my-commissions.php?user_id=405&amp;payweek=2014-10-31"/>
    <hyperlink ref="C1166" r:id="rId1760" display="http://dev.dashboard.evolvesolar.com/my-commissions.php?user_id=405&amp;payweek=2014-10-31"/>
    <hyperlink ref="A1167" r:id="rId1761" display="http://dev.dashboard.evolvesolar.com/my-commissions.php?user_id=407&amp;payweek=2014-10-31"/>
    <hyperlink ref="C1167" r:id="rId1762" display="http://dev.dashboard.evolvesolar.com/my-commissions.php?user_id=407&amp;payweek=2014-10-31"/>
    <hyperlink ref="A1168" r:id="rId1763" display="http://dev.dashboard.evolvesolar.com/my-commissions.php?user_id=410&amp;payweek=2014-10-31"/>
    <hyperlink ref="C1168" r:id="rId1764" display="http://dev.dashboard.evolvesolar.com/my-commissions.php?user_id=410&amp;payweek=2014-10-31"/>
    <hyperlink ref="A1169" r:id="rId1765" display="http://dev.dashboard.evolvesolar.com/my-commissions.php?user_id=438&amp;payweek=2014-10-31"/>
    <hyperlink ref="C1169" r:id="rId1766" display="http://dev.dashboard.evolvesolar.com/my-commissions.php?user_id=438&amp;payweek=2014-10-31"/>
    <hyperlink ref="A1170" r:id="rId1767" display="http://dev.dashboard.evolvesolar.com/my-commissions.php?user_id=453&amp;payweek=2014-10-31"/>
    <hyperlink ref="C1170" r:id="rId1768" display="http://dev.dashboard.evolvesolar.com/my-commissions.php?user_id=453&amp;payweek=2014-10-31"/>
    <hyperlink ref="A1171" r:id="rId1769" display="http://dev.dashboard.evolvesolar.com/my-commissions.php?user_id=458&amp;payweek=2014-10-31"/>
    <hyperlink ref="C1171" r:id="rId1770" display="http://dev.dashboard.evolvesolar.com/my-commissions.php?user_id=458&amp;payweek=2014-10-31"/>
    <hyperlink ref="A1172" r:id="rId1771" display="http://dev.dashboard.evolvesolar.com/my-commissions.php?user_id=472&amp;payweek=2014-10-31"/>
    <hyperlink ref="C1172" r:id="rId1772" display="http://dev.dashboard.evolvesolar.com/my-commissions.php?user_id=472&amp;payweek=2014-10-31"/>
    <hyperlink ref="A1173" r:id="rId1773" display="http://dev.dashboard.evolvesolar.com/my-commissions.php?user_id=474&amp;payweek=2014-10-31"/>
    <hyperlink ref="C1173" r:id="rId1774" display="http://dev.dashboard.evolvesolar.com/my-commissions.php?user_id=474&amp;payweek=2014-10-31"/>
    <hyperlink ref="A1174" r:id="rId1775" display="http://dev.dashboard.evolvesolar.com/my-commissions.php?user_id=475&amp;payweek=2014-10-31"/>
    <hyperlink ref="C1174" r:id="rId1776" display="http://dev.dashboard.evolvesolar.com/my-commissions.php?user_id=475&amp;payweek=2014-10-31"/>
    <hyperlink ref="A1175" r:id="rId1777" display="http://dev.dashboard.evolvesolar.com/my-commissions.php?user_id=477&amp;payweek=2014-10-31"/>
    <hyperlink ref="C1175" r:id="rId1778" display="http://dev.dashboard.evolvesolar.com/my-commissions.php?user_id=477&amp;payweek=2014-10-31"/>
    <hyperlink ref="A1176" r:id="rId1779" display="http://dev.dashboard.evolvesolar.com/my-commissions.php?user_id=534&amp;payweek=2014-10-31"/>
    <hyperlink ref="C1176" r:id="rId1780" display="http://dev.dashboard.evolvesolar.com/my-commissions.php?user_id=534&amp;payweek=2014-10-31"/>
    <hyperlink ref="A1177" r:id="rId1781" display="http://dev.dashboard.evolvesolar.com/my-commissions.php?user_id=539&amp;payweek=2014-10-31"/>
    <hyperlink ref="C1177" r:id="rId1782" display="http://dev.dashboard.evolvesolar.com/my-commissions.php?user_id=539&amp;payweek=2014-10-31"/>
    <hyperlink ref="A1178" r:id="rId1783" display="http://dev.dashboard.evolvesolar.com/my-commissions.php?user_id=549&amp;payweek=2014-10-31"/>
    <hyperlink ref="C1178" r:id="rId1784" display="http://dev.dashboard.evolvesolar.com/my-commissions.php?user_id=549&amp;payweek=2014-10-31"/>
    <hyperlink ref="A1179" r:id="rId1785" display="http://dev.dashboard.evolvesolar.com/my-commissions.php?user_id=551&amp;payweek=2014-10-31"/>
    <hyperlink ref="C1179" r:id="rId1786" display="http://dev.dashboard.evolvesolar.com/my-commissions.php?user_id=551&amp;payweek=2014-10-31"/>
    <hyperlink ref="A1180" r:id="rId1787" display="http://dev.dashboard.evolvesolar.com/my-commissions.php?user_id=576&amp;payweek=2014-10-31"/>
    <hyperlink ref="C1180" r:id="rId1788" display="http://dev.dashboard.evolvesolar.com/my-commissions.php?user_id=576&amp;payweek=2014-10-31"/>
    <hyperlink ref="A1181" r:id="rId1789" display="http://dev.dashboard.evolvesolar.com/my-commissions.php?user_id=580&amp;payweek=2014-10-31"/>
    <hyperlink ref="C1181" r:id="rId1790" display="http://dev.dashboard.evolvesolar.com/my-commissions.php?user_id=580&amp;payweek=2014-10-31"/>
    <hyperlink ref="A1182" r:id="rId1791" display="http://dev.dashboard.evolvesolar.com/my-commissions.php?user_id=582&amp;payweek=2014-10-31"/>
    <hyperlink ref="C1182" r:id="rId1792" display="http://dev.dashboard.evolvesolar.com/my-commissions.php?user_id=582&amp;payweek=2014-10-31"/>
    <hyperlink ref="A1183" r:id="rId1793" display="http://dev.dashboard.evolvesolar.com/my-commissions.php?user_id=592&amp;payweek=2014-10-31"/>
    <hyperlink ref="C1183" r:id="rId1794" display="http://dev.dashboard.evolvesolar.com/my-commissions.php?user_id=592&amp;payweek=2014-10-31"/>
    <hyperlink ref="A1184" r:id="rId1795" display="http://dev.dashboard.evolvesolar.com/my-commissions.php?user_id=612&amp;payweek=2014-10-31"/>
    <hyperlink ref="C1184" r:id="rId1796" display="http://dev.dashboard.evolvesolar.com/my-commissions.php?user_id=612&amp;payweek=2014-10-31"/>
    <hyperlink ref="A1185" r:id="rId1797" display="http://dev.dashboard.evolvesolar.com/my-commissions.php?user_id=626&amp;payweek=2014-10-31"/>
    <hyperlink ref="C1185" r:id="rId1798" display="http://dev.dashboard.evolvesolar.com/my-commissions.php?user_id=626&amp;payweek=2014-10-31"/>
    <hyperlink ref="A1186" r:id="rId1799" display="http://dev.dashboard.evolvesolar.com/my-commissions.php?user_id=629&amp;payweek=2014-10-31"/>
    <hyperlink ref="C1186" r:id="rId1800" display="http://dev.dashboard.evolvesolar.com/my-commissions.php?user_id=629&amp;payweek=2014-10-31"/>
    <hyperlink ref="A1187" r:id="rId1801" display="http://dev.dashboard.evolvesolar.com/my-commissions.php?user_id=635&amp;payweek=2014-10-31"/>
    <hyperlink ref="C1187" r:id="rId1802" display="http://dev.dashboard.evolvesolar.com/my-commissions.php?user_id=635&amp;payweek=2014-10-31"/>
    <hyperlink ref="A1188" r:id="rId1803" display="http://dev.dashboard.evolvesolar.com/my-commissions.php?user_id=648&amp;payweek=2014-10-31"/>
    <hyperlink ref="C1188" r:id="rId1804" display="http://dev.dashboard.evolvesolar.com/my-commissions.php?user_id=648&amp;payweek=2014-10-31"/>
    <hyperlink ref="A1189" r:id="rId1805" display="http://dev.dashboard.evolvesolar.com/my-commissions.php?user_id=650&amp;payweek=2014-10-31"/>
    <hyperlink ref="C1189" r:id="rId1806" display="http://dev.dashboard.evolvesolar.com/my-commissions.php?user_id=650&amp;payweek=2014-10-31"/>
    <hyperlink ref="A1190" r:id="rId1807" display="http://dev.dashboard.evolvesolar.com/my-commissions.php?user_id=656&amp;payweek=2014-10-31"/>
    <hyperlink ref="C1190" r:id="rId1808" display="http://dev.dashboard.evolvesolar.com/my-commissions.php?user_id=656&amp;payweek=2014-10-31"/>
    <hyperlink ref="A1191" r:id="rId1809" display="http://dev.dashboard.evolvesolar.com/my-commissions.php?user_id=657&amp;payweek=2014-10-31"/>
    <hyperlink ref="C1191" r:id="rId1810" display="http://dev.dashboard.evolvesolar.com/my-commissions.php?user_id=657&amp;payweek=2014-10-31"/>
    <hyperlink ref="A1192" r:id="rId1811" display="http://dev.dashboard.evolvesolar.com/my-commissions.php?user_id=664&amp;payweek=2014-10-31"/>
    <hyperlink ref="C1192" r:id="rId1812" display="http://dev.dashboard.evolvesolar.com/my-commissions.php?user_id=664&amp;payweek=2014-10-31"/>
    <hyperlink ref="A1193" r:id="rId1813" display="http://dev.dashboard.evolvesolar.com/my-commissions.php?user_id=679&amp;payweek=2014-10-31"/>
    <hyperlink ref="C1193" r:id="rId1814" display="http://dev.dashboard.evolvesolar.com/my-commissions.php?user_id=679&amp;payweek=2014-10-31"/>
    <hyperlink ref="A1194" r:id="rId1815" display="http://dev.dashboard.evolvesolar.com/my-commissions.php?user_id=680&amp;payweek=2014-10-31"/>
    <hyperlink ref="C1194" r:id="rId1816" display="http://dev.dashboard.evolvesolar.com/my-commissions.php?user_id=680&amp;payweek=2014-10-31"/>
    <hyperlink ref="A1195" r:id="rId1817" display="http://dev.dashboard.evolvesolar.com/my-commissions.php?user_id=705&amp;payweek=2014-10-31"/>
    <hyperlink ref="C1195" r:id="rId1818" display="http://dev.dashboard.evolvesolar.com/my-commissions.php?user_id=705&amp;payweek=2014-10-31"/>
    <hyperlink ref="A1196" r:id="rId1819" display="http://dev.dashboard.evolvesolar.com/my-commissions.php?user_id=722&amp;payweek=2014-10-31"/>
    <hyperlink ref="C1196" r:id="rId1820" display="http://dev.dashboard.evolvesolar.com/my-commissions.php?user_id=722&amp;payweek=2014-10-31"/>
    <hyperlink ref="A1147" r:id="rId1821" display="http://dev.dashboard.evolvesolar.com/my-commissions.php?user_id=203&amp;payweek=2014-10-28"/>
    <hyperlink ref="C1147" r:id="rId1822" display="http://dev.dashboard.evolvesolar.com/my-commissions.php?user_id=203&amp;payweek=2014-10-28"/>
    <hyperlink ref="A1146" r:id="rId1823" display="http://dev.dashboard.evolvesolar.com/my-commissions.php?user_id=610&amp;payweek=2014-10-27"/>
    <hyperlink ref="C1146" r:id="rId1824" display="http://dev.dashboard.evolvesolar.com/my-commissions.php?user_id=610&amp;payweek=2014-10-27"/>
    <hyperlink ref="A1099" r:id="rId1825" display="http://dev.dashboard.evolvesolar.com/my-commissions.php?user_id=41&amp;payweek=2014-10-24"/>
    <hyperlink ref="C1099" r:id="rId1826" display="http://dev.dashboard.evolvesolar.com/my-commissions.php?user_id=41&amp;payweek=2014-10-24"/>
    <hyperlink ref="A1100" r:id="rId1827" display="http://dev.dashboard.evolvesolar.com/my-commissions.php?user_id=63&amp;payweek=2014-10-24"/>
    <hyperlink ref="C1100" r:id="rId1828" display="http://dev.dashboard.evolvesolar.com/my-commissions.php?user_id=63&amp;payweek=2014-10-24"/>
    <hyperlink ref="A1101" r:id="rId1829" display="http://dev.dashboard.evolvesolar.com/my-commissions.php?user_id=85&amp;payweek=2014-10-24"/>
    <hyperlink ref="C1101" r:id="rId1830" display="http://dev.dashboard.evolvesolar.com/my-commissions.php?user_id=85&amp;payweek=2014-10-24"/>
    <hyperlink ref="A1102" r:id="rId1831" display="http://dev.dashboard.evolvesolar.com/my-commissions.php?user_id=133&amp;payweek=2014-10-24"/>
    <hyperlink ref="C1102" r:id="rId1832" display="http://dev.dashboard.evolvesolar.com/my-commissions.php?user_id=133&amp;payweek=2014-10-24"/>
    <hyperlink ref="A1103" r:id="rId1833" display="http://dev.dashboard.evolvesolar.com/my-commissions.php?user_id=175&amp;payweek=2014-10-24"/>
    <hyperlink ref="C1103" r:id="rId1834" display="http://dev.dashboard.evolvesolar.com/my-commissions.php?user_id=175&amp;payweek=2014-10-24"/>
    <hyperlink ref="A1104" r:id="rId1835" display="http://dev.dashboard.evolvesolar.com/my-commissions.php?user_id=203&amp;payweek=2014-10-24"/>
    <hyperlink ref="C1104" r:id="rId1836" display="http://dev.dashboard.evolvesolar.com/my-commissions.php?user_id=203&amp;payweek=2014-10-24"/>
    <hyperlink ref="A1105" r:id="rId1837" display="http://dev.dashboard.evolvesolar.com/my-commissions.php?user_id=211&amp;payweek=2014-10-24"/>
    <hyperlink ref="C1105" r:id="rId1838" display="http://dev.dashboard.evolvesolar.com/my-commissions.php?user_id=211&amp;payweek=2014-10-24"/>
    <hyperlink ref="A1106" r:id="rId1839" display="http://dev.dashboard.evolvesolar.com/my-commissions.php?user_id=248&amp;payweek=2014-10-24"/>
    <hyperlink ref="C1106" r:id="rId1840" display="http://dev.dashboard.evolvesolar.com/my-commissions.php?user_id=248&amp;payweek=2014-10-24"/>
    <hyperlink ref="A1107" r:id="rId1841" display="http://dev.dashboard.evolvesolar.com/my-commissions.php?user_id=261&amp;payweek=2014-10-24"/>
    <hyperlink ref="C1107" r:id="rId1842" display="http://dev.dashboard.evolvesolar.com/my-commissions.php?user_id=261&amp;payweek=2014-10-24"/>
    <hyperlink ref="A1108" r:id="rId1843" display="http://dev.dashboard.evolvesolar.com/my-commissions.php?user_id=268&amp;payweek=2014-10-24"/>
    <hyperlink ref="C1108" r:id="rId1844" display="http://dev.dashboard.evolvesolar.com/my-commissions.php?user_id=268&amp;payweek=2014-10-24"/>
    <hyperlink ref="A1109" r:id="rId1845" display="http://dev.dashboard.evolvesolar.com/my-commissions.php?user_id=269&amp;payweek=2014-10-24"/>
    <hyperlink ref="C1109" r:id="rId1846" display="http://dev.dashboard.evolvesolar.com/my-commissions.php?user_id=269&amp;payweek=2014-10-24"/>
    <hyperlink ref="A1110" r:id="rId1847" display="http://dev.dashboard.evolvesolar.com/my-commissions.php?user_id=295&amp;payweek=2014-10-24"/>
    <hyperlink ref="C1110" r:id="rId1848" display="http://dev.dashboard.evolvesolar.com/my-commissions.php?user_id=295&amp;payweek=2014-10-24"/>
    <hyperlink ref="A1111" r:id="rId1849" display="http://dev.dashboard.evolvesolar.com/my-commissions.php?user_id=343&amp;payweek=2014-10-24"/>
    <hyperlink ref="C1111" r:id="rId1850" display="http://dev.dashboard.evolvesolar.com/my-commissions.php?user_id=343&amp;payweek=2014-10-24"/>
    <hyperlink ref="A1112" r:id="rId1851" display="http://dev.dashboard.evolvesolar.com/my-commissions.php?user_id=355&amp;payweek=2014-10-24"/>
    <hyperlink ref="C1112" r:id="rId1852" display="http://dev.dashboard.evolvesolar.com/my-commissions.php?user_id=355&amp;payweek=2014-10-24"/>
    <hyperlink ref="A1113" r:id="rId1853" display="http://dev.dashboard.evolvesolar.com/my-commissions.php?user_id=365&amp;payweek=2014-10-24"/>
    <hyperlink ref="C1113" r:id="rId1854" display="http://dev.dashboard.evolvesolar.com/my-commissions.php?user_id=365&amp;payweek=2014-10-24"/>
    <hyperlink ref="A1114" r:id="rId1855" display="http://dev.dashboard.evolvesolar.com/my-commissions.php?user_id=382&amp;payweek=2014-10-24"/>
    <hyperlink ref="C1114" r:id="rId1856" display="http://dev.dashboard.evolvesolar.com/my-commissions.php?user_id=382&amp;payweek=2014-10-24"/>
    <hyperlink ref="A1115" r:id="rId1857" display="http://dev.dashboard.evolvesolar.com/my-commissions.php?user_id=383&amp;payweek=2014-10-24"/>
    <hyperlink ref="C1115" r:id="rId1858" display="http://dev.dashboard.evolvesolar.com/my-commissions.php?user_id=383&amp;payweek=2014-10-24"/>
    <hyperlink ref="A1116" r:id="rId1859" display="http://dev.dashboard.evolvesolar.com/my-commissions.php?user_id=389&amp;payweek=2014-10-24"/>
    <hyperlink ref="C1116" r:id="rId1860" display="http://dev.dashboard.evolvesolar.com/my-commissions.php?user_id=389&amp;payweek=2014-10-24"/>
    <hyperlink ref="A1117" r:id="rId1861" display="http://dev.dashboard.evolvesolar.com/my-commissions.php?user_id=397&amp;payweek=2014-10-24"/>
    <hyperlink ref="C1117" r:id="rId1862" display="http://dev.dashboard.evolvesolar.com/my-commissions.php?user_id=397&amp;payweek=2014-10-24"/>
    <hyperlink ref="A1118" r:id="rId1863" display="http://dev.dashboard.evolvesolar.com/my-commissions.php?user_id=401&amp;payweek=2014-10-24"/>
    <hyperlink ref="C1118" r:id="rId1864" display="http://dev.dashboard.evolvesolar.com/my-commissions.php?user_id=401&amp;payweek=2014-10-24"/>
    <hyperlink ref="A1119" r:id="rId1865" display="http://dev.dashboard.evolvesolar.com/my-commissions.php?user_id=472&amp;payweek=2014-10-24"/>
    <hyperlink ref="C1119" r:id="rId1866" display="http://dev.dashboard.evolvesolar.com/my-commissions.php?user_id=472&amp;payweek=2014-10-24"/>
    <hyperlink ref="A1120" r:id="rId1867" display="http://dev.dashboard.evolvesolar.com/my-commissions.php?user_id=489&amp;payweek=2014-10-24"/>
    <hyperlink ref="C1120" r:id="rId1868" display="http://dev.dashboard.evolvesolar.com/my-commissions.php?user_id=489&amp;payweek=2014-10-24"/>
    <hyperlink ref="A1121" r:id="rId1869" display="http://dev.dashboard.evolvesolar.com/my-commissions.php?user_id=539&amp;payweek=2014-10-24"/>
    <hyperlink ref="C1121" r:id="rId1870" display="http://dev.dashboard.evolvesolar.com/my-commissions.php?user_id=539&amp;payweek=2014-10-24"/>
    <hyperlink ref="A1122" r:id="rId1871" display="http://dev.dashboard.evolvesolar.com/my-commissions.php?user_id=551&amp;payweek=2014-10-24"/>
    <hyperlink ref="C1122" r:id="rId1872" display="http://dev.dashboard.evolvesolar.com/my-commissions.php?user_id=551&amp;payweek=2014-10-24"/>
    <hyperlink ref="A1123" r:id="rId1873" display="http://dev.dashboard.evolvesolar.com/my-commissions.php?user_id=576&amp;payweek=2014-10-24"/>
    <hyperlink ref="C1123" r:id="rId1874" display="http://dev.dashboard.evolvesolar.com/my-commissions.php?user_id=576&amp;payweek=2014-10-24"/>
    <hyperlink ref="A1124" r:id="rId1875" display="http://dev.dashboard.evolvesolar.com/my-commissions.php?user_id=580&amp;payweek=2014-10-24"/>
    <hyperlink ref="C1124" r:id="rId1876" display="http://dev.dashboard.evolvesolar.com/my-commissions.php?user_id=580&amp;payweek=2014-10-24"/>
    <hyperlink ref="A1125" r:id="rId1877" display="http://dev.dashboard.evolvesolar.com/my-commissions.php?user_id=582&amp;payweek=2014-10-24"/>
    <hyperlink ref="C1125" r:id="rId1878" display="http://dev.dashboard.evolvesolar.com/my-commissions.php?user_id=582&amp;payweek=2014-10-24"/>
    <hyperlink ref="A1126" r:id="rId1879" display="http://dev.dashboard.evolvesolar.com/my-commissions.php?user_id=583&amp;payweek=2014-10-24"/>
    <hyperlink ref="C1126" r:id="rId1880" display="http://dev.dashboard.evolvesolar.com/my-commissions.php?user_id=583&amp;payweek=2014-10-24"/>
    <hyperlink ref="A1127" r:id="rId1881" display="http://dev.dashboard.evolvesolar.com/my-commissions.php?user_id=586&amp;payweek=2014-10-24"/>
    <hyperlink ref="C1127" r:id="rId1882" display="http://dev.dashboard.evolvesolar.com/my-commissions.php?user_id=586&amp;payweek=2014-10-24"/>
    <hyperlink ref="A1128" r:id="rId1883" display="http://dev.dashboard.evolvesolar.com/my-commissions.php?user_id=593&amp;payweek=2014-10-24"/>
    <hyperlink ref="C1128" r:id="rId1884" display="http://dev.dashboard.evolvesolar.com/my-commissions.php?user_id=593&amp;payweek=2014-10-24"/>
    <hyperlink ref="A1129" r:id="rId1885" display="http://dev.dashboard.evolvesolar.com/my-commissions.php?user_id=594&amp;payweek=2014-10-24"/>
    <hyperlink ref="C1129" r:id="rId1886" display="http://dev.dashboard.evolvesolar.com/my-commissions.php?user_id=594&amp;payweek=2014-10-24"/>
    <hyperlink ref="A1130" r:id="rId1887" display="http://dev.dashboard.evolvesolar.com/my-commissions.php?user_id=601&amp;payweek=2014-10-24"/>
    <hyperlink ref="C1130" r:id="rId1888" display="http://dev.dashboard.evolvesolar.com/my-commissions.php?user_id=601&amp;payweek=2014-10-24"/>
    <hyperlink ref="A1131" r:id="rId1889" display="http://dev.dashboard.evolvesolar.com/my-commissions.php?user_id=606&amp;payweek=2014-10-24"/>
    <hyperlink ref="C1131" r:id="rId1890" display="http://dev.dashboard.evolvesolar.com/my-commissions.php?user_id=606&amp;payweek=2014-10-24"/>
    <hyperlink ref="A1132" r:id="rId1891" display="http://dev.dashboard.evolvesolar.com/my-commissions.php?user_id=612&amp;payweek=2014-10-24"/>
    <hyperlink ref="C1132" r:id="rId1892" display="http://dev.dashboard.evolvesolar.com/my-commissions.php?user_id=612&amp;payweek=2014-10-24"/>
    <hyperlink ref="A1133" r:id="rId1893" display="http://dev.dashboard.evolvesolar.com/my-commissions.php?user_id=614&amp;payweek=2014-10-24"/>
    <hyperlink ref="C1133" r:id="rId1894" display="http://dev.dashboard.evolvesolar.com/my-commissions.php?user_id=614&amp;payweek=2014-10-24"/>
    <hyperlink ref="A1134" r:id="rId1895" display="http://dev.dashboard.evolvesolar.com/my-commissions.php?user_id=615&amp;payweek=2014-10-24"/>
    <hyperlink ref="C1134" r:id="rId1896" display="http://dev.dashboard.evolvesolar.com/my-commissions.php?user_id=615&amp;payweek=2014-10-24"/>
    <hyperlink ref="A1135" r:id="rId1897" display="http://dev.dashboard.evolvesolar.com/my-commissions.php?user_id=632&amp;payweek=2014-10-24"/>
    <hyperlink ref="C1135" r:id="rId1898" display="http://dev.dashboard.evolvesolar.com/my-commissions.php?user_id=632&amp;payweek=2014-10-24"/>
    <hyperlink ref="A1136" r:id="rId1899" display="http://dev.dashboard.evolvesolar.com/my-commissions.php?user_id=635&amp;payweek=2014-10-24"/>
    <hyperlink ref="C1136" r:id="rId1900" display="http://dev.dashboard.evolvesolar.com/my-commissions.php?user_id=635&amp;payweek=2014-10-24"/>
    <hyperlink ref="A1137" r:id="rId1901" display="http://dev.dashboard.evolvesolar.com/my-commissions.php?user_id=638&amp;payweek=2014-10-24"/>
    <hyperlink ref="C1137" r:id="rId1902" display="http://dev.dashboard.evolvesolar.com/my-commissions.php?user_id=638&amp;payweek=2014-10-24"/>
    <hyperlink ref="A1138" r:id="rId1903" display="http://dev.dashboard.evolvesolar.com/my-commissions.php?user_id=648&amp;payweek=2014-10-24"/>
    <hyperlink ref="C1138" r:id="rId1904" display="http://dev.dashboard.evolvesolar.com/my-commissions.php?user_id=648&amp;payweek=2014-10-24"/>
    <hyperlink ref="A1139" r:id="rId1905" display="http://dev.dashboard.evolvesolar.com/my-commissions.php?user_id=661&amp;payweek=2014-10-24"/>
    <hyperlink ref="C1139" r:id="rId1906" display="http://dev.dashboard.evolvesolar.com/my-commissions.php?user_id=661&amp;payweek=2014-10-24"/>
    <hyperlink ref="A1140" r:id="rId1907" display="http://dev.dashboard.evolvesolar.com/my-commissions.php?user_id=664&amp;payweek=2014-10-24"/>
    <hyperlink ref="C1140" r:id="rId1908" display="http://dev.dashboard.evolvesolar.com/my-commissions.php?user_id=664&amp;payweek=2014-10-24"/>
    <hyperlink ref="A1141" r:id="rId1909" display="http://dev.dashboard.evolvesolar.com/my-commissions.php?user_id=672&amp;payweek=2014-10-24"/>
    <hyperlink ref="C1141" r:id="rId1910" display="http://dev.dashboard.evolvesolar.com/my-commissions.php?user_id=672&amp;payweek=2014-10-24"/>
    <hyperlink ref="A1142" r:id="rId1911" display="http://dev.dashboard.evolvesolar.com/my-commissions.php?user_id=675&amp;payweek=2014-10-24"/>
    <hyperlink ref="C1142" r:id="rId1912" display="http://dev.dashboard.evolvesolar.com/my-commissions.php?user_id=675&amp;payweek=2014-10-24"/>
    <hyperlink ref="A1143" r:id="rId1913" display="http://dev.dashboard.evolvesolar.com/my-commissions.php?user_id=676&amp;payweek=2014-10-24"/>
    <hyperlink ref="C1143" r:id="rId1914" display="http://dev.dashboard.evolvesolar.com/my-commissions.php?user_id=676&amp;payweek=2014-10-24"/>
    <hyperlink ref="A1144" r:id="rId1915" display="http://dev.dashboard.evolvesolar.com/my-commissions.php?user_id=683&amp;payweek=2014-10-24"/>
    <hyperlink ref="C1144" r:id="rId1916" display="http://dev.dashboard.evolvesolar.com/my-commissions.php?user_id=683&amp;payweek=2014-10-24"/>
    <hyperlink ref="A1145" r:id="rId1917" display="http://dev.dashboard.evolvesolar.com/my-commissions.php?user_id=705&amp;payweek=2014-10-24"/>
    <hyperlink ref="C1145" r:id="rId1918" display="http://dev.dashboard.evolvesolar.com/my-commissions.php?user_id=705&amp;payweek=2014-10-24"/>
    <hyperlink ref="A1097" r:id="rId1919" display="http://dev.dashboard.evolvesolar.com/my-commissions.php?user_id=185&amp;payweek=2014-10-22"/>
    <hyperlink ref="C1097" r:id="rId1920" display="http://dev.dashboard.evolvesolar.com/my-commissions.php?user_id=185&amp;payweek=2014-10-22"/>
    <hyperlink ref="A1098" r:id="rId1921" display="http://dev.dashboard.evolvesolar.com/my-commissions.php?user_id=638&amp;payweek=2014-10-22"/>
    <hyperlink ref="C1098" r:id="rId1922" display="http://dev.dashboard.evolvesolar.com/my-commissions.php?user_id=638&amp;payweek=2014-10-22"/>
    <hyperlink ref="A1095" r:id="rId1923" display="http://dev.dashboard.evolvesolar.com/my-commissions.php?user_id=403&amp;payweek=2014-10-21"/>
    <hyperlink ref="C1095" r:id="rId1924" display="http://dev.dashboard.evolvesolar.com/my-commissions.php?user_id=403&amp;payweek=2014-10-21"/>
    <hyperlink ref="A1096" r:id="rId1925" display="http://dev.dashboard.evolvesolar.com/my-commissions.php?user_id=699&amp;payweek=2014-10-21"/>
    <hyperlink ref="C1096" r:id="rId1926" display="http://dev.dashboard.evolvesolar.com/my-commissions.php?user_id=699&amp;payweek=2014-10-21"/>
    <hyperlink ref="A1084" r:id="rId1927" display="http://dev.dashboard.evolvesolar.com/my-commissions.php?user_id=203&amp;payweek=2014-10-20"/>
    <hyperlink ref="C1084" r:id="rId1928" display="http://dev.dashboard.evolvesolar.com/my-commissions.php?user_id=203&amp;payweek=2014-10-20"/>
    <hyperlink ref="A1085" r:id="rId1929" display="http://dev.dashboard.evolvesolar.com/my-commissions.php?user_id=407&amp;payweek=2014-10-20"/>
    <hyperlink ref="C1085" r:id="rId1930" display="http://dev.dashboard.evolvesolar.com/my-commissions.php?user_id=407&amp;payweek=2014-10-20"/>
    <hyperlink ref="A1086" r:id="rId1931" display="http://dev.dashboard.evolvesolar.com/my-commissions.php?user_id=489&amp;payweek=2014-10-20"/>
    <hyperlink ref="C1086" r:id="rId1932" display="http://dev.dashboard.evolvesolar.com/my-commissions.php?user_id=489&amp;payweek=2014-10-20"/>
    <hyperlink ref="A1087" r:id="rId1933" display="http://dev.dashboard.evolvesolar.com/my-commissions.php?user_id=512&amp;payweek=2014-10-20"/>
    <hyperlink ref="C1087" r:id="rId1934" display="http://dev.dashboard.evolvesolar.com/my-commissions.php?user_id=512&amp;payweek=2014-10-20"/>
    <hyperlink ref="A1088" r:id="rId1935" display="http://dev.dashboard.evolvesolar.com/my-commissions.php?user_id=656&amp;payweek=2014-10-20"/>
    <hyperlink ref="C1088" r:id="rId1936" display="http://dev.dashboard.evolvesolar.com/my-commissions.php?user_id=656&amp;payweek=2014-10-20"/>
    <hyperlink ref="A1089" r:id="rId1937" display="http://dev.dashboard.evolvesolar.com/my-commissions.php?user_id=664&amp;payweek=2014-10-20"/>
    <hyperlink ref="C1089" r:id="rId1938" display="http://dev.dashboard.evolvesolar.com/my-commissions.php?user_id=664&amp;payweek=2014-10-20"/>
    <hyperlink ref="A1090" r:id="rId1939" display="http://dev.dashboard.evolvesolar.com/my-commissions.php?user_id=675&amp;payweek=2014-10-20"/>
    <hyperlink ref="C1090" r:id="rId1940" display="http://dev.dashboard.evolvesolar.com/my-commissions.php?user_id=675&amp;payweek=2014-10-20"/>
    <hyperlink ref="A1091" r:id="rId1941" display="http://dev.dashboard.evolvesolar.com/my-commissions.php?user_id=679&amp;payweek=2014-10-20"/>
    <hyperlink ref="C1091" r:id="rId1942" display="http://dev.dashboard.evolvesolar.com/my-commissions.php?user_id=679&amp;payweek=2014-10-20"/>
    <hyperlink ref="A1092" r:id="rId1943" display="http://dev.dashboard.evolvesolar.com/my-commissions.php?user_id=685&amp;payweek=2014-10-20"/>
    <hyperlink ref="C1092" r:id="rId1944" display="http://dev.dashboard.evolvesolar.com/my-commissions.php?user_id=685&amp;payweek=2014-10-20"/>
    <hyperlink ref="A1093" r:id="rId1945" display="http://dev.dashboard.evolvesolar.com/my-commissions.php?user_id=691&amp;payweek=2014-10-20"/>
    <hyperlink ref="C1093" r:id="rId1946" display="http://dev.dashboard.evolvesolar.com/my-commissions.php?user_id=691&amp;payweek=2014-10-20"/>
    <hyperlink ref="A1094" r:id="rId1947" display="http://dev.dashboard.evolvesolar.com/my-commissions.php?user_id=719&amp;payweek=2014-10-20"/>
    <hyperlink ref="C1094" r:id="rId1948" display="http://dev.dashboard.evolvesolar.com/my-commissions.php?user_id=719&amp;payweek=2014-10-20"/>
    <hyperlink ref="A1037" r:id="rId1949" display="http://dev.dashboard.evolvesolar.com/my-commissions.php?user_id=27&amp;payweek=2014-10-17"/>
    <hyperlink ref="C1037" r:id="rId1950" display="http://dev.dashboard.evolvesolar.com/my-commissions.php?user_id=27&amp;payweek=2014-10-17"/>
    <hyperlink ref="A1038" r:id="rId1951" display="http://dev.dashboard.evolvesolar.com/my-commissions.php?user_id=28&amp;payweek=2014-10-17"/>
    <hyperlink ref="C1038" r:id="rId1952" display="http://dev.dashboard.evolvesolar.com/my-commissions.php?user_id=28&amp;payweek=2014-10-17"/>
    <hyperlink ref="A1039" r:id="rId1953" display="http://dev.dashboard.evolvesolar.com/my-commissions.php?user_id=37&amp;payweek=2014-10-17"/>
    <hyperlink ref="C1039" r:id="rId1954" display="http://dev.dashboard.evolvesolar.com/my-commissions.php?user_id=37&amp;payweek=2014-10-17"/>
    <hyperlink ref="A1040" r:id="rId1955" display="http://dev.dashboard.evolvesolar.com/my-commissions.php?user_id=41&amp;payweek=2014-10-17"/>
    <hyperlink ref="C1040" r:id="rId1956" display="http://dev.dashboard.evolvesolar.com/my-commissions.php?user_id=41&amp;payweek=2014-10-17"/>
    <hyperlink ref="A1041" r:id="rId1957" display="http://dev.dashboard.evolvesolar.com/my-commissions.php?user_id=77&amp;payweek=2014-10-17"/>
    <hyperlink ref="C1041" r:id="rId1958" display="http://dev.dashboard.evolvesolar.com/my-commissions.php?user_id=77&amp;payweek=2014-10-17"/>
    <hyperlink ref="A1042" r:id="rId1959" display="http://dev.dashboard.evolvesolar.com/my-commissions.php?user_id=82&amp;payweek=2014-10-17"/>
    <hyperlink ref="C1042" r:id="rId1960" display="http://dev.dashboard.evolvesolar.com/my-commissions.php?user_id=82&amp;payweek=2014-10-17"/>
    <hyperlink ref="A1043" r:id="rId1961" display="http://dev.dashboard.evolvesolar.com/my-commissions.php?user_id=85&amp;payweek=2014-10-17"/>
    <hyperlink ref="C1043" r:id="rId1962" display="http://dev.dashboard.evolvesolar.com/my-commissions.php?user_id=85&amp;payweek=2014-10-17"/>
    <hyperlink ref="A1044" r:id="rId1963" display="http://dev.dashboard.evolvesolar.com/my-commissions.php?user_id=99&amp;payweek=2014-10-17"/>
    <hyperlink ref="C1044" r:id="rId1964" display="http://dev.dashboard.evolvesolar.com/my-commissions.php?user_id=99&amp;payweek=2014-10-17"/>
    <hyperlink ref="A1045" r:id="rId1965" display="http://dev.dashboard.evolvesolar.com/my-commissions.php?user_id=105&amp;payweek=2014-10-17"/>
    <hyperlink ref="C1045" r:id="rId1966" display="http://dev.dashboard.evolvesolar.com/my-commissions.php?user_id=105&amp;payweek=2014-10-17"/>
    <hyperlink ref="A1046" r:id="rId1967" display="http://dev.dashboard.evolvesolar.com/my-commissions.php?user_id=114&amp;payweek=2014-10-17"/>
    <hyperlink ref="C1046" r:id="rId1968" display="http://dev.dashboard.evolvesolar.com/my-commissions.php?user_id=114&amp;payweek=2014-10-17"/>
    <hyperlink ref="A1047" r:id="rId1969" display="http://dev.dashboard.evolvesolar.com/my-commissions.php?user_id=117&amp;payweek=2014-10-17"/>
    <hyperlink ref="C1047" r:id="rId1970" display="http://dev.dashboard.evolvesolar.com/my-commissions.php?user_id=117&amp;payweek=2014-10-17"/>
    <hyperlink ref="A1048" r:id="rId1971" display="http://dev.dashboard.evolvesolar.com/my-commissions.php?user_id=134&amp;payweek=2014-10-17"/>
    <hyperlink ref="C1048" r:id="rId1972" display="http://dev.dashboard.evolvesolar.com/my-commissions.php?user_id=134&amp;payweek=2014-10-17"/>
    <hyperlink ref="A1049" r:id="rId1973" display="http://dev.dashboard.evolvesolar.com/my-commissions.php?user_id=202&amp;payweek=2014-10-17"/>
    <hyperlink ref="C1049" r:id="rId1974" display="http://dev.dashboard.evolvesolar.com/my-commissions.php?user_id=202&amp;payweek=2014-10-17"/>
    <hyperlink ref="A1050" r:id="rId1975" display="http://dev.dashboard.evolvesolar.com/my-commissions.php?user_id=203&amp;payweek=2014-10-17"/>
    <hyperlink ref="C1050" r:id="rId1976" display="http://dev.dashboard.evolvesolar.com/my-commissions.php?user_id=203&amp;payweek=2014-10-17"/>
    <hyperlink ref="A1051" r:id="rId1977" display="http://dev.dashboard.evolvesolar.com/my-commissions.php?user_id=212&amp;payweek=2014-10-17"/>
    <hyperlink ref="C1051" r:id="rId1978" display="http://dev.dashboard.evolvesolar.com/my-commissions.php?user_id=212&amp;payweek=2014-10-17"/>
    <hyperlink ref="A1052" r:id="rId1979" display="http://dev.dashboard.evolvesolar.com/my-commissions.php?user_id=217&amp;payweek=2014-10-17"/>
    <hyperlink ref="C1052" r:id="rId1980" display="http://dev.dashboard.evolvesolar.com/my-commissions.php?user_id=217&amp;payweek=2014-10-17"/>
    <hyperlink ref="A1053" r:id="rId1981" display="http://dev.dashboard.evolvesolar.com/my-commissions.php?user_id=248&amp;payweek=2014-10-17"/>
    <hyperlink ref="C1053" r:id="rId1982" display="http://dev.dashboard.evolvesolar.com/my-commissions.php?user_id=248&amp;payweek=2014-10-17"/>
    <hyperlink ref="A1054" r:id="rId1983" display="http://dev.dashboard.evolvesolar.com/my-commissions.php?user_id=250&amp;payweek=2014-10-17"/>
    <hyperlink ref="C1054" r:id="rId1984" display="http://dev.dashboard.evolvesolar.com/my-commissions.php?user_id=250&amp;payweek=2014-10-17"/>
    <hyperlink ref="A1055" r:id="rId1985" display="http://dev.dashboard.evolvesolar.com/my-commissions.php?user_id=261&amp;payweek=2014-10-17"/>
    <hyperlink ref="C1055" r:id="rId1986" display="http://dev.dashboard.evolvesolar.com/my-commissions.php?user_id=261&amp;payweek=2014-10-17"/>
    <hyperlink ref="A1056" r:id="rId1987" display="http://dev.dashboard.evolvesolar.com/my-commissions.php?user_id=269&amp;payweek=2014-10-17"/>
    <hyperlink ref="C1056" r:id="rId1988" display="http://dev.dashboard.evolvesolar.com/my-commissions.php?user_id=269&amp;payweek=2014-10-17"/>
    <hyperlink ref="A1057" r:id="rId1989" display="http://dev.dashboard.evolvesolar.com/my-commissions.php?user_id=282&amp;payweek=2014-10-17"/>
    <hyperlink ref="C1057" r:id="rId1990" display="http://dev.dashboard.evolvesolar.com/my-commissions.php?user_id=282&amp;payweek=2014-10-17"/>
    <hyperlink ref="A1058" r:id="rId1991" display="http://dev.dashboard.evolvesolar.com/my-commissions.php?user_id=329&amp;payweek=2014-10-17"/>
    <hyperlink ref="C1058" r:id="rId1992" display="http://dev.dashboard.evolvesolar.com/my-commissions.php?user_id=329&amp;payweek=2014-10-17"/>
    <hyperlink ref="A1059" r:id="rId1993" display="http://dev.dashboard.evolvesolar.com/my-commissions.php?user_id=332&amp;payweek=2014-10-17"/>
    <hyperlink ref="C1059" r:id="rId1994" display="http://dev.dashboard.evolvesolar.com/my-commissions.php?user_id=332&amp;payweek=2014-10-17"/>
    <hyperlink ref="A1060" r:id="rId1995" display="http://dev.dashboard.evolvesolar.com/my-commissions.php?user_id=343&amp;payweek=2014-10-17"/>
    <hyperlink ref="C1060" r:id="rId1996" display="http://dev.dashboard.evolvesolar.com/my-commissions.php?user_id=343&amp;payweek=2014-10-17"/>
    <hyperlink ref="A1061" r:id="rId1997" display="http://dev.dashboard.evolvesolar.com/my-commissions.php?user_id=355&amp;payweek=2014-10-17"/>
    <hyperlink ref="C1061" r:id="rId1998" display="http://dev.dashboard.evolvesolar.com/my-commissions.php?user_id=355&amp;payweek=2014-10-17"/>
    <hyperlink ref="A1062" r:id="rId1999" display="http://dev.dashboard.evolvesolar.com/my-commissions.php?user_id=365&amp;payweek=2014-10-17"/>
    <hyperlink ref="C1062" r:id="rId2000" display="http://dev.dashboard.evolvesolar.com/my-commissions.php?user_id=365&amp;payweek=2014-10-17"/>
    <hyperlink ref="A1063" r:id="rId2001" display="http://dev.dashboard.evolvesolar.com/my-commissions.php?user_id=387&amp;payweek=2014-10-17"/>
    <hyperlink ref="C1063" r:id="rId2002" display="http://dev.dashboard.evolvesolar.com/my-commissions.php?user_id=387&amp;payweek=2014-10-17"/>
    <hyperlink ref="A1064" r:id="rId2003" display="http://dev.dashboard.evolvesolar.com/my-commissions.php?user_id=389&amp;payweek=2014-10-17"/>
    <hyperlink ref="C1064" r:id="rId2004" display="http://dev.dashboard.evolvesolar.com/my-commissions.php?user_id=389&amp;payweek=2014-10-17"/>
    <hyperlink ref="A1065" r:id="rId2005" display="http://dev.dashboard.evolvesolar.com/my-commissions.php?user_id=401&amp;payweek=2014-10-17"/>
    <hyperlink ref="C1065" r:id="rId2006" display="http://dev.dashboard.evolvesolar.com/my-commissions.php?user_id=401&amp;payweek=2014-10-17"/>
    <hyperlink ref="A1066" r:id="rId2007" display="http://dev.dashboard.evolvesolar.com/my-commissions.php?user_id=410&amp;payweek=2014-10-17"/>
    <hyperlink ref="C1066" r:id="rId2008" display="http://dev.dashboard.evolvesolar.com/my-commissions.php?user_id=410&amp;payweek=2014-10-17"/>
    <hyperlink ref="A1067" r:id="rId2009" display="http://dev.dashboard.evolvesolar.com/my-commissions.php?user_id=422&amp;payweek=2014-10-17"/>
    <hyperlink ref="C1067" r:id="rId2010" display="http://dev.dashboard.evolvesolar.com/my-commissions.php?user_id=422&amp;payweek=2014-10-17"/>
    <hyperlink ref="A1068" r:id="rId2011" display="http://dev.dashboard.evolvesolar.com/my-commissions.php?user_id=458&amp;payweek=2014-10-17"/>
    <hyperlink ref="C1068" r:id="rId2012" display="http://dev.dashboard.evolvesolar.com/my-commissions.php?user_id=458&amp;payweek=2014-10-17"/>
    <hyperlink ref="A1069" r:id="rId2013" display="http://dev.dashboard.evolvesolar.com/my-commissions.php?user_id=464&amp;payweek=2014-10-17"/>
    <hyperlink ref="C1069" r:id="rId2014" display="http://dev.dashboard.evolvesolar.com/my-commissions.php?user_id=464&amp;payweek=2014-10-17"/>
    <hyperlink ref="A1070" r:id="rId2015" display="http://dev.dashboard.evolvesolar.com/my-commissions.php?user_id=472&amp;payweek=2014-10-17"/>
    <hyperlink ref="C1070" r:id="rId2016" display="http://dev.dashboard.evolvesolar.com/my-commissions.php?user_id=472&amp;payweek=2014-10-17"/>
    <hyperlink ref="A1071" r:id="rId2017" display="http://dev.dashboard.evolvesolar.com/my-commissions.php?user_id=474&amp;payweek=2014-10-17"/>
    <hyperlink ref="C1071" r:id="rId2018" display="http://dev.dashboard.evolvesolar.com/my-commissions.php?user_id=474&amp;payweek=2014-10-17"/>
    <hyperlink ref="A1072" r:id="rId2019" display="http://dev.dashboard.evolvesolar.com/my-commissions.php?user_id=499&amp;payweek=2014-10-17"/>
    <hyperlink ref="C1072" r:id="rId2020" display="http://dev.dashboard.evolvesolar.com/my-commissions.php?user_id=499&amp;payweek=2014-10-17"/>
    <hyperlink ref="A1073" r:id="rId2021" display="http://dev.dashboard.evolvesolar.com/my-commissions.php?user_id=539&amp;payweek=2014-10-17"/>
    <hyperlink ref="C1073" r:id="rId2022" display="http://dev.dashboard.evolvesolar.com/my-commissions.php?user_id=539&amp;payweek=2014-10-17"/>
    <hyperlink ref="A1074" r:id="rId2023" display="http://dev.dashboard.evolvesolar.com/my-commissions.php?user_id=576&amp;payweek=2014-10-17"/>
    <hyperlink ref="C1074" r:id="rId2024" display="http://dev.dashboard.evolvesolar.com/my-commissions.php?user_id=576&amp;payweek=2014-10-17"/>
    <hyperlink ref="A1075" r:id="rId2025" display="http://dev.dashboard.evolvesolar.com/my-commissions.php?user_id=580&amp;payweek=2014-10-17"/>
    <hyperlink ref="C1075" r:id="rId2026" display="http://dev.dashboard.evolvesolar.com/my-commissions.php?user_id=580&amp;payweek=2014-10-17"/>
    <hyperlink ref="A1076" r:id="rId2027" display="http://dev.dashboard.evolvesolar.com/my-commissions.php?user_id=582&amp;payweek=2014-10-17"/>
    <hyperlink ref="C1076" r:id="rId2028" display="http://dev.dashboard.evolvesolar.com/my-commissions.php?user_id=582&amp;payweek=2014-10-17"/>
    <hyperlink ref="A1077" r:id="rId2029" display="http://dev.dashboard.evolvesolar.com/my-commissions.php?user_id=593&amp;payweek=2014-10-17"/>
    <hyperlink ref="C1077" r:id="rId2030" display="http://dev.dashboard.evolvesolar.com/my-commissions.php?user_id=593&amp;payweek=2014-10-17"/>
    <hyperlink ref="A1078" r:id="rId2031" display="http://dev.dashboard.evolvesolar.com/my-commissions.php?user_id=599&amp;payweek=2014-10-17"/>
    <hyperlink ref="C1078" r:id="rId2032" display="http://dev.dashboard.evolvesolar.com/my-commissions.php?user_id=599&amp;payweek=2014-10-17"/>
    <hyperlink ref="A1079" r:id="rId2033" display="http://dev.dashboard.evolvesolar.com/my-commissions.php?user_id=648&amp;payweek=2014-10-17"/>
    <hyperlink ref="C1079" r:id="rId2034" display="http://dev.dashboard.evolvesolar.com/my-commissions.php?user_id=648&amp;payweek=2014-10-17"/>
    <hyperlink ref="A1080" r:id="rId2035" display="http://dev.dashboard.evolvesolar.com/my-commissions.php?user_id=650&amp;payweek=2014-10-17"/>
    <hyperlink ref="C1080" r:id="rId2036" display="http://dev.dashboard.evolvesolar.com/my-commissions.php?user_id=650&amp;payweek=2014-10-17"/>
    <hyperlink ref="A1081" r:id="rId2037" display="http://dev.dashboard.evolvesolar.com/my-commissions.php?user_id=653&amp;payweek=2014-10-17"/>
    <hyperlink ref="C1081" r:id="rId2038" display="http://dev.dashboard.evolvesolar.com/my-commissions.php?user_id=653&amp;payweek=2014-10-17"/>
    <hyperlink ref="A1082" r:id="rId2039" display="http://dev.dashboard.evolvesolar.com/my-commissions.php?user_id=676&amp;payweek=2014-10-17"/>
    <hyperlink ref="C1082" r:id="rId2040" display="http://dev.dashboard.evolvesolar.com/my-commissions.php?user_id=676&amp;payweek=2014-10-17"/>
    <hyperlink ref="A1083" r:id="rId2041" display="http://dev.dashboard.evolvesolar.com/my-commissions.php?user_id=680&amp;payweek=2014-10-17"/>
    <hyperlink ref="C1083" r:id="rId2042" display="http://dev.dashboard.evolvesolar.com/my-commissions.php?user_id=680&amp;payweek=2014-10-17"/>
    <hyperlink ref="A1026" r:id="rId2043" display="http://dev.dashboard.evolvesolar.com/my-commissions.php?user_id=37&amp;payweek=2014-10-14"/>
    <hyperlink ref="C1026" r:id="rId2044" display="http://dev.dashboard.evolvesolar.com/my-commissions.php?user_id=37&amp;payweek=2014-10-14"/>
    <hyperlink ref="A1027" r:id="rId2045" display="http://dev.dashboard.evolvesolar.com/my-commissions.php?user_id=212&amp;payweek=2014-10-14"/>
    <hyperlink ref="C1027" r:id="rId2046" display="http://dev.dashboard.evolvesolar.com/my-commissions.php?user_id=212&amp;payweek=2014-10-14"/>
    <hyperlink ref="A1028" r:id="rId2047" display="http://dev.dashboard.evolvesolar.com/my-commissions.php?user_id=383&amp;payweek=2014-10-14"/>
    <hyperlink ref="C1028" r:id="rId2048" display="http://dev.dashboard.evolvesolar.com/my-commissions.php?user_id=383&amp;payweek=2014-10-14"/>
    <hyperlink ref="A1029" r:id="rId2049" display="http://dev.dashboard.evolvesolar.com/my-commissions.php?user_id=387&amp;payweek=2014-10-14"/>
    <hyperlink ref="C1029" r:id="rId2050" display="http://dev.dashboard.evolvesolar.com/my-commissions.php?user_id=387&amp;payweek=2014-10-14"/>
    <hyperlink ref="A1030" r:id="rId2051" display="http://dev.dashboard.evolvesolar.com/my-commissions.php?user_id=401&amp;payweek=2014-10-14"/>
    <hyperlink ref="C1030" r:id="rId2052" display="http://dev.dashboard.evolvesolar.com/my-commissions.php?user_id=401&amp;payweek=2014-10-14"/>
    <hyperlink ref="A1031" r:id="rId2053" display="http://dev.dashboard.evolvesolar.com/my-commissions.php?user_id=474&amp;payweek=2014-10-14"/>
    <hyperlink ref="C1031" r:id="rId2054" display="http://dev.dashboard.evolvesolar.com/my-commissions.php?user_id=474&amp;payweek=2014-10-14"/>
    <hyperlink ref="A1032" r:id="rId2055" display="http://dev.dashboard.evolvesolar.com/my-commissions.php?user_id=649&amp;payweek=2014-10-14"/>
    <hyperlink ref="C1032" r:id="rId2056" display="http://dev.dashboard.evolvesolar.com/my-commissions.php?user_id=649&amp;payweek=2014-10-14"/>
    <hyperlink ref="A1033" r:id="rId2057" display="http://dev.dashboard.evolvesolar.com/my-commissions.php?user_id=653&amp;payweek=2014-10-14"/>
    <hyperlink ref="C1033" r:id="rId2058" display="http://dev.dashboard.evolvesolar.com/my-commissions.php?user_id=653&amp;payweek=2014-10-14"/>
    <hyperlink ref="A1034" r:id="rId2059" display="http://dev.dashboard.evolvesolar.com/my-commissions.php?user_id=660&amp;payweek=2014-10-14"/>
    <hyperlink ref="C1034" r:id="rId2060" display="http://dev.dashboard.evolvesolar.com/my-commissions.php?user_id=660&amp;payweek=2014-10-14"/>
    <hyperlink ref="A1035" r:id="rId2061" display="http://dev.dashboard.evolvesolar.com/my-commissions.php?user_id=661&amp;payweek=2014-10-14"/>
    <hyperlink ref="C1035" r:id="rId2062" display="http://dev.dashboard.evolvesolar.com/my-commissions.php?user_id=661&amp;payweek=2014-10-14"/>
    <hyperlink ref="A1036" r:id="rId2063" display="http://dev.dashboard.evolvesolar.com/my-commissions.php?user_id=680&amp;payweek=2014-10-14"/>
    <hyperlink ref="C1036" r:id="rId2064" display="http://dev.dashboard.evolvesolar.com/my-commissions.php?user_id=680&amp;payweek=2014-10-14"/>
    <hyperlink ref="A982" r:id="rId2065" display="http://dev.dashboard.evolvesolar.com/my-commissions.php?user_id=27&amp;payweek=2014-10-10"/>
    <hyperlink ref="C982" r:id="rId2066" display="http://dev.dashboard.evolvesolar.com/my-commissions.php?user_id=27&amp;payweek=2014-10-10"/>
    <hyperlink ref="A983" r:id="rId2067" display="http://dev.dashboard.evolvesolar.com/my-commissions.php?user_id=28&amp;payweek=2014-10-10"/>
    <hyperlink ref="C983" r:id="rId2068" display="http://dev.dashboard.evolvesolar.com/my-commissions.php?user_id=28&amp;payweek=2014-10-10"/>
    <hyperlink ref="A984" r:id="rId2069" display="http://dev.dashboard.evolvesolar.com/my-commissions.php?user_id=63&amp;payweek=2014-10-10"/>
    <hyperlink ref="C984" r:id="rId2070" display="http://dev.dashboard.evolvesolar.com/my-commissions.php?user_id=63&amp;payweek=2014-10-10"/>
    <hyperlink ref="A985" r:id="rId2071" display="http://dev.dashboard.evolvesolar.com/my-commissions.php?user_id=77&amp;payweek=2014-10-10"/>
    <hyperlink ref="C985" r:id="rId2072" display="http://dev.dashboard.evolvesolar.com/my-commissions.php?user_id=77&amp;payweek=2014-10-10"/>
    <hyperlink ref="A986" r:id="rId2073" display="http://dev.dashboard.evolvesolar.com/my-commissions.php?user_id=217&amp;payweek=2014-10-10"/>
    <hyperlink ref="C986" r:id="rId2074" display="http://dev.dashboard.evolvesolar.com/my-commissions.php?user_id=217&amp;payweek=2014-10-10"/>
    <hyperlink ref="A987" r:id="rId2075" display="http://dev.dashboard.evolvesolar.com/my-commissions.php?user_id=233&amp;payweek=2014-10-10"/>
    <hyperlink ref="C987" r:id="rId2076" display="http://dev.dashboard.evolvesolar.com/my-commissions.php?user_id=233&amp;payweek=2014-10-10"/>
    <hyperlink ref="A988" r:id="rId2077" display="http://dev.dashboard.evolvesolar.com/my-commissions.php?user_id=255&amp;payweek=2014-10-10"/>
    <hyperlink ref="C988" r:id="rId2078" display="http://dev.dashboard.evolvesolar.com/my-commissions.php?user_id=255&amp;payweek=2014-10-10"/>
    <hyperlink ref="A989" r:id="rId2079" display="http://dev.dashboard.evolvesolar.com/my-commissions.php?user_id=261&amp;payweek=2014-10-10"/>
    <hyperlink ref="C989" r:id="rId2080" display="http://dev.dashboard.evolvesolar.com/my-commissions.php?user_id=261&amp;payweek=2014-10-10"/>
    <hyperlink ref="A990" r:id="rId2081" display="http://dev.dashboard.evolvesolar.com/my-commissions.php?user_id=268&amp;payweek=2014-10-10"/>
    <hyperlink ref="C990" r:id="rId2082" display="http://dev.dashboard.evolvesolar.com/my-commissions.php?user_id=268&amp;payweek=2014-10-10"/>
    <hyperlink ref="A991" r:id="rId2083" display="http://dev.dashboard.evolvesolar.com/my-commissions.php?user_id=269&amp;payweek=2014-10-10"/>
    <hyperlink ref="C991" r:id="rId2084" display="http://dev.dashboard.evolvesolar.com/my-commissions.php?user_id=269&amp;payweek=2014-10-10"/>
    <hyperlink ref="A992" r:id="rId2085" display="http://dev.dashboard.evolvesolar.com/my-commissions.php?user_id=285&amp;payweek=2014-10-10"/>
    <hyperlink ref="C992" r:id="rId2086" display="http://dev.dashboard.evolvesolar.com/my-commissions.php?user_id=285&amp;payweek=2014-10-10"/>
    <hyperlink ref="A993" r:id="rId2087" display="http://dev.dashboard.evolvesolar.com/my-commissions.php?user_id=295&amp;payweek=2014-10-10"/>
    <hyperlink ref="C993" r:id="rId2088" display="http://dev.dashboard.evolvesolar.com/my-commissions.php?user_id=295&amp;payweek=2014-10-10"/>
    <hyperlink ref="A994" r:id="rId2089" display="http://dev.dashboard.evolvesolar.com/my-commissions.php?user_id=304&amp;payweek=2014-10-10"/>
    <hyperlink ref="C994" r:id="rId2090" display="http://dev.dashboard.evolvesolar.com/my-commissions.php?user_id=304&amp;payweek=2014-10-10"/>
    <hyperlink ref="A995" r:id="rId2091" display="http://dev.dashboard.evolvesolar.com/my-commissions.php?user_id=329&amp;payweek=2014-10-10"/>
    <hyperlink ref="C995" r:id="rId2092" display="http://dev.dashboard.evolvesolar.com/my-commissions.php?user_id=329&amp;payweek=2014-10-10"/>
    <hyperlink ref="A996" r:id="rId2093" display="http://dev.dashboard.evolvesolar.com/my-commissions.php?user_id=343&amp;payweek=2014-10-10"/>
    <hyperlink ref="C996" r:id="rId2094" display="http://dev.dashboard.evolvesolar.com/my-commissions.php?user_id=343&amp;payweek=2014-10-10"/>
    <hyperlink ref="A997" r:id="rId2095" display="http://dev.dashboard.evolvesolar.com/my-commissions.php?user_id=352&amp;payweek=2014-10-10"/>
    <hyperlink ref="C997" r:id="rId2096" display="http://dev.dashboard.evolvesolar.com/my-commissions.php?user_id=352&amp;payweek=2014-10-10"/>
    <hyperlink ref="A998" r:id="rId2097" display="http://dev.dashboard.evolvesolar.com/my-commissions.php?user_id=355&amp;payweek=2014-10-10"/>
    <hyperlink ref="C998" r:id="rId2098" display="http://dev.dashboard.evolvesolar.com/my-commissions.php?user_id=355&amp;payweek=2014-10-10"/>
    <hyperlink ref="A999" r:id="rId2099" display="http://dev.dashboard.evolvesolar.com/my-commissions.php?user_id=365&amp;payweek=2014-10-10"/>
    <hyperlink ref="C999" r:id="rId2100" display="http://dev.dashboard.evolvesolar.com/my-commissions.php?user_id=365&amp;payweek=2014-10-10"/>
    <hyperlink ref="A1000" r:id="rId2101" display="http://dev.dashboard.evolvesolar.com/my-commissions.php?user_id=392&amp;payweek=2014-10-10"/>
    <hyperlink ref="C1000" r:id="rId2102" display="http://dev.dashboard.evolvesolar.com/my-commissions.php?user_id=392&amp;payweek=2014-10-10"/>
    <hyperlink ref="A1001" r:id="rId2103" display="http://dev.dashboard.evolvesolar.com/my-commissions.php?user_id=397&amp;payweek=2014-10-10"/>
    <hyperlink ref="C1001" r:id="rId2104" display="http://dev.dashboard.evolvesolar.com/my-commissions.php?user_id=397&amp;payweek=2014-10-10"/>
    <hyperlink ref="A1002" r:id="rId2105" display="http://dev.dashboard.evolvesolar.com/my-commissions.php?user_id=401&amp;payweek=2014-10-10"/>
    <hyperlink ref="C1002" r:id="rId2106" display="http://dev.dashboard.evolvesolar.com/my-commissions.php?user_id=401&amp;payweek=2014-10-10"/>
    <hyperlink ref="A1003" r:id="rId2107" display="http://dev.dashboard.evolvesolar.com/my-commissions.php?user_id=405&amp;payweek=2014-10-10"/>
    <hyperlink ref="C1003" r:id="rId2108" display="http://dev.dashboard.evolvesolar.com/my-commissions.php?user_id=405&amp;payweek=2014-10-10"/>
    <hyperlink ref="A1004" r:id="rId2109" display="http://dev.dashboard.evolvesolar.com/my-commissions.php?user_id=410&amp;payweek=2014-10-10"/>
    <hyperlink ref="C1004" r:id="rId2110" display="http://dev.dashboard.evolvesolar.com/my-commissions.php?user_id=410&amp;payweek=2014-10-10"/>
    <hyperlink ref="A1005" r:id="rId2111" display="http://dev.dashboard.evolvesolar.com/my-commissions.php?user_id=429&amp;payweek=2014-10-10"/>
    <hyperlink ref="C1005" r:id="rId2112" display="http://dev.dashboard.evolvesolar.com/my-commissions.php?user_id=429&amp;payweek=2014-10-10"/>
    <hyperlink ref="A1006" r:id="rId2113" display="http://dev.dashboard.evolvesolar.com/my-commissions.php?user_id=430&amp;payweek=2014-10-10"/>
    <hyperlink ref="C1006" r:id="rId2114" display="http://dev.dashboard.evolvesolar.com/my-commissions.php?user_id=430&amp;payweek=2014-10-10"/>
    <hyperlink ref="A1007" r:id="rId2115" display="http://dev.dashboard.evolvesolar.com/my-commissions.php?user_id=438&amp;payweek=2014-10-10"/>
    <hyperlink ref="C1007" r:id="rId2116" display="http://dev.dashboard.evolvesolar.com/my-commissions.php?user_id=438&amp;payweek=2014-10-10"/>
    <hyperlink ref="A1008" r:id="rId2117" display="http://dev.dashboard.evolvesolar.com/my-commissions.php?user_id=472&amp;payweek=2014-10-10"/>
    <hyperlink ref="C1008" r:id="rId2118" display="http://dev.dashboard.evolvesolar.com/my-commissions.php?user_id=472&amp;payweek=2014-10-10"/>
    <hyperlink ref="A1009" r:id="rId2119" display="http://dev.dashboard.evolvesolar.com/my-commissions.php?user_id=549&amp;payweek=2014-10-10"/>
    <hyperlink ref="C1009" r:id="rId2120" display="http://dev.dashboard.evolvesolar.com/my-commissions.php?user_id=549&amp;payweek=2014-10-10"/>
    <hyperlink ref="A1010" r:id="rId2121" display="http://dev.dashboard.evolvesolar.com/my-commissions.php?user_id=550&amp;payweek=2014-10-10"/>
    <hyperlink ref="C1010" r:id="rId2122" display="http://dev.dashboard.evolvesolar.com/my-commissions.php?user_id=550&amp;payweek=2014-10-10"/>
    <hyperlink ref="A1011" r:id="rId2123" display="http://dev.dashboard.evolvesolar.com/my-commissions.php?user_id=574&amp;payweek=2014-10-10"/>
    <hyperlink ref="C1011" r:id="rId2124" display="http://dev.dashboard.evolvesolar.com/my-commissions.php?user_id=574&amp;payweek=2014-10-10"/>
    <hyperlink ref="A1012" r:id="rId2125" display="http://dev.dashboard.evolvesolar.com/my-commissions.php?user_id=580&amp;payweek=2014-10-10"/>
    <hyperlink ref="C1012" r:id="rId2126" display="http://dev.dashboard.evolvesolar.com/my-commissions.php?user_id=580&amp;payweek=2014-10-10"/>
    <hyperlink ref="A1013" r:id="rId2127" display="http://dev.dashboard.evolvesolar.com/my-commissions.php?user_id=582&amp;payweek=2014-10-10"/>
    <hyperlink ref="C1013" r:id="rId2128" display="http://dev.dashboard.evolvesolar.com/my-commissions.php?user_id=582&amp;payweek=2014-10-10"/>
    <hyperlink ref="A1014" r:id="rId2129" display="http://dev.dashboard.evolvesolar.com/my-commissions.php?user_id=590&amp;payweek=2014-10-10"/>
    <hyperlink ref="C1014" r:id="rId2130" display="http://dev.dashboard.evolvesolar.com/my-commissions.php?user_id=590&amp;payweek=2014-10-10"/>
    <hyperlink ref="A1015" r:id="rId2131" display="http://dev.dashboard.evolvesolar.com/my-commissions.php?user_id=598&amp;payweek=2014-10-10"/>
    <hyperlink ref="C1015" r:id="rId2132" display="http://dev.dashboard.evolvesolar.com/my-commissions.php?user_id=598&amp;payweek=2014-10-10"/>
    <hyperlink ref="A1016" r:id="rId2133" display="http://dev.dashboard.evolvesolar.com/my-commissions.php?user_id=600&amp;payweek=2014-10-10"/>
    <hyperlink ref="C1016" r:id="rId2134" display="http://dev.dashboard.evolvesolar.com/my-commissions.php?user_id=600&amp;payweek=2014-10-10"/>
    <hyperlink ref="A1017" r:id="rId2135" display="http://dev.dashboard.evolvesolar.com/my-commissions.php?user_id=601&amp;payweek=2014-10-10"/>
    <hyperlink ref="C1017" r:id="rId2136" display="http://dev.dashboard.evolvesolar.com/my-commissions.php?user_id=601&amp;payweek=2014-10-10"/>
    <hyperlink ref="A1018" r:id="rId2137" display="http://dev.dashboard.evolvesolar.com/my-commissions.php?user_id=612&amp;payweek=2014-10-10"/>
    <hyperlink ref="C1018" r:id="rId2138" display="http://dev.dashboard.evolvesolar.com/my-commissions.php?user_id=612&amp;payweek=2014-10-10"/>
    <hyperlink ref="A1019" r:id="rId2139" display="http://dev.dashboard.evolvesolar.com/my-commissions.php?user_id=614&amp;payweek=2014-10-10"/>
    <hyperlink ref="C1019" r:id="rId2140" display="http://dev.dashboard.evolvesolar.com/my-commissions.php?user_id=614&amp;payweek=2014-10-10"/>
    <hyperlink ref="A1020" r:id="rId2141" display="http://dev.dashboard.evolvesolar.com/my-commissions.php?user_id=616&amp;payweek=2014-10-10"/>
    <hyperlink ref="C1020" r:id="rId2142" display="http://dev.dashboard.evolvesolar.com/my-commissions.php?user_id=616&amp;payweek=2014-10-10"/>
    <hyperlink ref="A1021" r:id="rId2143" display="http://dev.dashboard.evolvesolar.com/my-commissions.php?user_id=626&amp;payweek=2014-10-10"/>
    <hyperlink ref="C1021" r:id="rId2144" display="http://dev.dashboard.evolvesolar.com/my-commissions.php?user_id=626&amp;payweek=2014-10-10"/>
    <hyperlink ref="A1022" r:id="rId2145" display="http://dev.dashboard.evolvesolar.com/my-commissions.php?user_id=646&amp;payweek=2014-10-10"/>
    <hyperlink ref="C1022" r:id="rId2146" display="http://dev.dashboard.evolvesolar.com/my-commissions.php?user_id=646&amp;payweek=2014-10-10"/>
    <hyperlink ref="A1023" r:id="rId2147" display="http://dev.dashboard.evolvesolar.com/my-commissions.php?user_id=648&amp;payweek=2014-10-10"/>
    <hyperlink ref="C1023" r:id="rId2148" display="http://dev.dashboard.evolvesolar.com/my-commissions.php?user_id=648&amp;payweek=2014-10-10"/>
    <hyperlink ref="A1024" r:id="rId2149" display="http://dev.dashboard.evolvesolar.com/my-commissions.php?user_id=650&amp;payweek=2014-10-10"/>
    <hyperlink ref="C1024" r:id="rId2150" display="http://dev.dashboard.evolvesolar.com/my-commissions.php?user_id=650&amp;payweek=2014-10-10"/>
    <hyperlink ref="A1025" r:id="rId2151" display="http://dev.dashboard.evolvesolar.com/my-commissions.php?user_id=652&amp;payweek=2014-10-10"/>
    <hyperlink ref="C1025" r:id="rId2152" display="http://dev.dashboard.evolvesolar.com/my-commissions.php?user_id=652&amp;payweek=2014-10-10"/>
    <hyperlink ref="A979" r:id="rId2153" display="http://dev.dashboard.evolvesolar.com/my-commissions.php?user_id=389&amp;payweek=2014-10-07"/>
    <hyperlink ref="C979" r:id="rId2154" display="http://dev.dashboard.evolvesolar.com/my-commissions.php?user_id=389&amp;payweek=2014-10-07"/>
    <hyperlink ref="A980" r:id="rId2155" display="http://dev.dashboard.evolvesolar.com/my-commissions.php?user_id=574&amp;payweek=2014-10-07"/>
    <hyperlink ref="C980" r:id="rId2156" display="http://dev.dashboard.evolvesolar.com/my-commissions.php?user_id=574&amp;payweek=2014-10-07"/>
    <hyperlink ref="A981" r:id="rId2157" display="http://dev.dashboard.evolvesolar.com/my-commissions.php?user_id=652&amp;payweek=2014-10-07"/>
    <hyperlink ref="C981" r:id="rId2158" display="http://dev.dashboard.evolvesolar.com/my-commissions.php?user_id=652&amp;payweek=2014-10-07"/>
    <hyperlink ref="A946" r:id="rId2159" display="http://dev.dashboard.evolvesolar.com/my-commissions.php?user_id=28&amp;payweek=2014-10-06"/>
    <hyperlink ref="C946" r:id="rId2160" display="http://dev.dashboard.evolvesolar.com/my-commissions.php?user_id=28&amp;payweek=2014-10-06"/>
    <hyperlink ref="A947" r:id="rId2161" display="http://dev.dashboard.evolvesolar.com/my-commissions.php?user_id=41&amp;payweek=2014-10-06"/>
    <hyperlink ref="C947" r:id="rId2162" display="http://dev.dashboard.evolvesolar.com/my-commissions.php?user_id=41&amp;payweek=2014-10-06"/>
    <hyperlink ref="A948" r:id="rId2163" display="http://dev.dashboard.evolvesolar.com/my-commissions.php?user_id=94&amp;payweek=2014-10-06"/>
    <hyperlink ref="C948" r:id="rId2164" display="http://dev.dashboard.evolvesolar.com/my-commissions.php?user_id=94&amp;payweek=2014-10-06"/>
    <hyperlink ref="A949" r:id="rId2165" display="http://dev.dashboard.evolvesolar.com/my-commissions.php?user_id=133&amp;payweek=2014-10-06"/>
    <hyperlink ref="C949" r:id="rId2166" display="http://dev.dashboard.evolvesolar.com/my-commissions.php?user_id=133&amp;payweek=2014-10-06"/>
    <hyperlink ref="A950" r:id="rId2167" display="http://dev.dashboard.evolvesolar.com/my-commissions.php?user_id=185&amp;payweek=2014-10-06"/>
    <hyperlink ref="C950" r:id="rId2168" display="http://dev.dashboard.evolvesolar.com/my-commissions.php?user_id=185&amp;payweek=2014-10-06"/>
    <hyperlink ref="A951" r:id="rId2169" display="http://dev.dashboard.evolvesolar.com/my-commissions.php?user_id=218&amp;payweek=2014-10-06"/>
    <hyperlink ref="C951" r:id="rId2170" display="http://dev.dashboard.evolvesolar.com/my-commissions.php?user_id=218&amp;payweek=2014-10-06"/>
    <hyperlink ref="A952" r:id="rId2171" display="http://dev.dashboard.evolvesolar.com/my-commissions.php?user_id=234&amp;payweek=2014-10-06"/>
    <hyperlink ref="C952" r:id="rId2172" display="http://dev.dashboard.evolvesolar.com/my-commissions.php?user_id=234&amp;payweek=2014-10-06"/>
    <hyperlink ref="A953" r:id="rId2173" display="http://dev.dashboard.evolvesolar.com/my-commissions.php?user_id=268&amp;payweek=2014-10-06"/>
    <hyperlink ref="C953" r:id="rId2174" display="http://dev.dashboard.evolvesolar.com/my-commissions.php?user_id=268&amp;payweek=2014-10-06"/>
    <hyperlink ref="A954" r:id="rId2175" display="http://dev.dashboard.evolvesolar.com/my-commissions.php?user_id=269&amp;payweek=2014-10-06"/>
    <hyperlink ref="C954" r:id="rId2176" display="http://dev.dashboard.evolvesolar.com/my-commissions.php?user_id=269&amp;payweek=2014-10-06"/>
    <hyperlink ref="A955" r:id="rId2177" display="http://dev.dashboard.evolvesolar.com/my-commissions.php?user_id=282&amp;payweek=2014-10-06"/>
    <hyperlink ref="C955" r:id="rId2178" display="http://dev.dashboard.evolvesolar.com/my-commissions.php?user_id=282&amp;payweek=2014-10-06"/>
    <hyperlink ref="A956" r:id="rId2179" display="http://dev.dashboard.evolvesolar.com/my-commissions.php?user_id=295&amp;payweek=2014-10-06"/>
    <hyperlink ref="C956" r:id="rId2180" display="http://dev.dashboard.evolvesolar.com/my-commissions.php?user_id=295&amp;payweek=2014-10-06"/>
    <hyperlink ref="A957" r:id="rId2181" display="http://dev.dashboard.evolvesolar.com/my-commissions.php?user_id=326&amp;payweek=2014-10-06"/>
    <hyperlink ref="C957" r:id="rId2182" display="http://dev.dashboard.evolvesolar.com/my-commissions.php?user_id=326&amp;payweek=2014-10-06"/>
    <hyperlink ref="A958" r:id="rId2183" display="http://dev.dashboard.evolvesolar.com/my-commissions.php?user_id=328&amp;payweek=2014-10-06"/>
    <hyperlink ref="C958" r:id="rId2184" display="http://dev.dashboard.evolvesolar.com/my-commissions.php?user_id=328&amp;payweek=2014-10-06"/>
    <hyperlink ref="A959" r:id="rId2185" display="http://dev.dashboard.evolvesolar.com/my-commissions.php?user_id=329&amp;payweek=2014-10-06"/>
    <hyperlink ref="C959" r:id="rId2186" display="http://dev.dashboard.evolvesolar.com/my-commissions.php?user_id=329&amp;payweek=2014-10-06"/>
    <hyperlink ref="A960" r:id="rId2187" display="http://dev.dashboard.evolvesolar.com/my-commissions.php?user_id=343&amp;payweek=2014-10-06"/>
    <hyperlink ref="C960" r:id="rId2188" display="http://dev.dashboard.evolvesolar.com/my-commissions.php?user_id=343&amp;payweek=2014-10-06"/>
    <hyperlink ref="A961" r:id="rId2189" display="http://dev.dashboard.evolvesolar.com/my-commissions.php?user_id=355&amp;payweek=2014-10-06"/>
    <hyperlink ref="C961" r:id="rId2190" display="http://dev.dashboard.evolvesolar.com/my-commissions.php?user_id=355&amp;payweek=2014-10-06"/>
    <hyperlink ref="A962" r:id="rId2191" display="http://dev.dashboard.evolvesolar.com/my-commissions.php?user_id=365&amp;payweek=2014-10-06"/>
    <hyperlink ref="C962" r:id="rId2192" display="http://dev.dashboard.evolvesolar.com/my-commissions.php?user_id=365&amp;payweek=2014-10-06"/>
    <hyperlink ref="A963" r:id="rId2193" display="http://dev.dashboard.evolvesolar.com/my-commissions.php?user_id=383&amp;payweek=2014-10-06"/>
    <hyperlink ref="C963" r:id="rId2194" display="http://dev.dashboard.evolvesolar.com/my-commissions.php?user_id=383&amp;payweek=2014-10-06"/>
    <hyperlink ref="A964" r:id="rId2195" display="http://dev.dashboard.evolvesolar.com/my-commissions.php?user_id=389&amp;payweek=2014-10-06"/>
    <hyperlink ref="C964" r:id="rId2196" display="http://dev.dashboard.evolvesolar.com/my-commissions.php?user_id=389&amp;payweek=2014-10-06"/>
    <hyperlink ref="A965" r:id="rId2197" display="http://dev.dashboard.evolvesolar.com/my-commissions.php?user_id=392&amp;payweek=2014-10-06"/>
    <hyperlink ref="C965" r:id="rId2198" display="http://dev.dashboard.evolvesolar.com/my-commissions.php?user_id=392&amp;payweek=2014-10-06"/>
    <hyperlink ref="A966" r:id="rId2199" display="http://dev.dashboard.evolvesolar.com/my-commissions.php?user_id=397&amp;payweek=2014-10-06"/>
    <hyperlink ref="C966" r:id="rId2200" display="http://dev.dashboard.evolvesolar.com/my-commissions.php?user_id=397&amp;payweek=2014-10-06"/>
    <hyperlink ref="A967" r:id="rId2201" display="http://dev.dashboard.evolvesolar.com/my-commissions.php?user_id=443&amp;payweek=2014-10-06"/>
    <hyperlink ref="C967" r:id="rId2202" display="http://dev.dashboard.evolvesolar.com/my-commissions.php?user_id=443&amp;payweek=2014-10-06"/>
    <hyperlink ref="A968" r:id="rId2203" display="http://dev.dashboard.evolvesolar.com/my-commissions.php?user_id=464&amp;payweek=2014-10-06"/>
    <hyperlink ref="C968" r:id="rId2204" display="http://dev.dashboard.evolvesolar.com/my-commissions.php?user_id=464&amp;payweek=2014-10-06"/>
    <hyperlink ref="A969" r:id="rId2205" display="http://dev.dashboard.evolvesolar.com/my-commissions.php?user_id=472&amp;payweek=2014-10-06"/>
    <hyperlink ref="C969" r:id="rId2206" display="http://dev.dashboard.evolvesolar.com/my-commissions.php?user_id=472&amp;payweek=2014-10-06"/>
    <hyperlink ref="A970" r:id="rId2207" display="http://dev.dashboard.evolvesolar.com/my-commissions.php?user_id=530&amp;payweek=2014-10-06"/>
    <hyperlink ref="C970" r:id="rId2208" display="http://dev.dashboard.evolvesolar.com/my-commissions.php?user_id=530&amp;payweek=2014-10-06"/>
    <hyperlink ref="A971" r:id="rId2209" display="http://dev.dashboard.evolvesolar.com/my-commissions.php?user_id=550&amp;payweek=2014-10-06"/>
    <hyperlink ref="C971" r:id="rId2210" display="http://dev.dashboard.evolvesolar.com/my-commissions.php?user_id=550&amp;payweek=2014-10-06"/>
    <hyperlink ref="A972" r:id="rId2211" display="http://dev.dashboard.evolvesolar.com/my-commissions.php?user_id=551&amp;payweek=2014-10-06"/>
    <hyperlink ref="C972" r:id="rId2212" display="http://dev.dashboard.evolvesolar.com/my-commissions.php?user_id=551&amp;payweek=2014-10-06"/>
    <hyperlink ref="A973" r:id="rId2213" display="http://dev.dashboard.evolvesolar.com/my-commissions.php?user_id=569&amp;payweek=2014-10-06"/>
    <hyperlink ref="C973" r:id="rId2214" display="http://dev.dashboard.evolvesolar.com/my-commissions.php?user_id=569&amp;payweek=2014-10-06"/>
    <hyperlink ref="A974" r:id="rId2215" display="http://dev.dashboard.evolvesolar.com/my-commissions.php?user_id=580&amp;payweek=2014-10-06"/>
    <hyperlink ref="C974" r:id="rId2216" display="http://dev.dashboard.evolvesolar.com/my-commissions.php?user_id=580&amp;payweek=2014-10-06"/>
    <hyperlink ref="A975" r:id="rId2217" display="http://dev.dashboard.evolvesolar.com/my-commissions.php?user_id=582&amp;payweek=2014-10-06"/>
    <hyperlink ref="C975" r:id="rId2218" display="http://dev.dashboard.evolvesolar.com/my-commissions.php?user_id=582&amp;payweek=2014-10-06"/>
    <hyperlink ref="A976" r:id="rId2219" display="http://dev.dashboard.evolvesolar.com/my-commissions.php?user_id=593&amp;payweek=2014-10-06"/>
    <hyperlink ref="C976" r:id="rId2220" display="http://dev.dashboard.evolvesolar.com/my-commissions.php?user_id=593&amp;payweek=2014-10-06"/>
    <hyperlink ref="A977" r:id="rId2221" display="http://dev.dashboard.evolvesolar.com/my-commissions.php?user_id=615&amp;payweek=2014-10-06"/>
    <hyperlink ref="C977" r:id="rId2222" display="http://dev.dashboard.evolvesolar.com/my-commissions.php?user_id=615&amp;payweek=2014-10-06"/>
    <hyperlink ref="A978" r:id="rId2223" display="http://dev.dashboard.evolvesolar.com/my-commissions.php?user_id=634&amp;payweek=2014-10-06"/>
    <hyperlink ref="C978" r:id="rId2224" display="http://dev.dashboard.evolvesolar.com/my-commissions.php?user_id=634&amp;payweek=2014-10-06"/>
    <hyperlink ref="A931" r:id="rId2225" display="http://dev.dashboard.evolvesolar.com/my-commissions.php?user_id=37&amp;payweek=2014-10-03"/>
    <hyperlink ref="C931" r:id="rId2226" display="http://dev.dashboard.evolvesolar.com/my-commissions.php?user_id=37&amp;payweek=2014-10-03"/>
    <hyperlink ref="A932" r:id="rId2227" display="http://dev.dashboard.evolvesolar.com/my-commissions.php?user_id=77&amp;payweek=2014-10-03"/>
    <hyperlink ref="C932" r:id="rId2228" display="http://dev.dashboard.evolvesolar.com/my-commissions.php?user_id=77&amp;payweek=2014-10-03"/>
    <hyperlink ref="A933" r:id="rId2229" display="http://dev.dashboard.evolvesolar.com/my-commissions.php?user_id=248&amp;payweek=2014-10-03"/>
    <hyperlink ref="C933" r:id="rId2230" display="http://dev.dashboard.evolvesolar.com/my-commissions.php?user_id=248&amp;payweek=2014-10-03"/>
    <hyperlink ref="A934" r:id="rId2231" display="http://dev.dashboard.evolvesolar.com/my-commissions.php?user_id=261&amp;payweek=2014-10-03"/>
    <hyperlink ref="C934" r:id="rId2232" display="http://dev.dashboard.evolvesolar.com/my-commissions.php?user_id=261&amp;payweek=2014-10-03"/>
    <hyperlink ref="A935" r:id="rId2233" display="http://dev.dashboard.evolvesolar.com/my-commissions.php?user_id=321&amp;payweek=2014-10-03"/>
    <hyperlink ref="C935" r:id="rId2234" display="http://dev.dashboard.evolvesolar.com/my-commissions.php?user_id=321&amp;payweek=2014-10-03"/>
    <hyperlink ref="A936" r:id="rId2235" display="http://dev.dashboard.evolvesolar.com/my-commissions.php?user_id=373&amp;payweek=2014-10-03"/>
    <hyperlink ref="C936" r:id="rId2236" display="http://dev.dashboard.evolvesolar.com/my-commissions.php?user_id=373&amp;payweek=2014-10-03"/>
    <hyperlink ref="A937" r:id="rId2237" display="http://dev.dashboard.evolvesolar.com/my-commissions.php?user_id=389&amp;payweek=2014-10-03"/>
    <hyperlink ref="C937" r:id="rId2238" display="http://dev.dashboard.evolvesolar.com/my-commissions.php?user_id=389&amp;payweek=2014-10-03"/>
    <hyperlink ref="A938" r:id="rId2239" display="http://dev.dashboard.evolvesolar.com/my-commissions.php?user_id=428&amp;payweek=2014-10-03"/>
    <hyperlink ref="C938" r:id="rId2240" display="http://dev.dashboard.evolvesolar.com/my-commissions.php?user_id=428&amp;payweek=2014-10-03"/>
    <hyperlink ref="A939" r:id="rId2241" display="http://dev.dashboard.evolvesolar.com/my-commissions.php?user_id=436&amp;payweek=2014-10-03"/>
    <hyperlink ref="C939" r:id="rId2242" display="http://dev.dashboard.evolvesolar.com/my-commissions.php?user_id=436&amp;payweek=2014-10-03"/>
    <hyperlink ref="A940" r:id="rId2243" display="http://dev.dashboard.evolvesolar.com/my-commissions.php?user_id=438&amp;payweek=2014-10-03"/>
    <hyperlink ref="C940" r:id="rId2244" display="http://dev.dashboard.evolvesolar.com/my-commissions.php?user_id=438&amp;payweek=2014-10-03"/>
    <hyperlink ref="A941" r:id="rId2245" display="http://dev.dashboard.evolvesolar.com/my-commissions.php?user_id=458&amp;payweek=2014-10-03"/>
    <hyperlink ref="C941" r:id="rId2246" display="http://dev.dashboard.evolvesolar.com/my-commissions.php?user_id=458&amp;payweek=2014-10-03"/>
    <hyperlink ref="A942" r:id="rId2247" display="http://dev.dashboard.evolvesolar.com/my-commissions.php?user_id=487&amp;payweek=2014-10-03"/>
    <hyperlink ref="C942" r:id="rId2248" display="http://dev.dashboard.evolvesolar.com/my-commissions.php?user_id=487&amp;payweek=2014-10-03"/>
    <hyperlink ref="A943" r:id="rId2249" display="http://dev.dashboard.evolvesolar.com/my-commissions.php?user_id=583&amp;payweek=2014-10-03"/>
    <hyperlink ref="C943" r:id="rId2250" display="http://dev.dashboard.evolvesolar.com/my-commissions.php?user_id=583&amp;payweek=2014-10-03"/>
    <hyperlink ref="A944" r:id="rId2251" display="http://dev.dashboard.evolvesolar.com/my-commissions.php?user_id=594&amp;payweek=2014-10-03"/>
    <hyperlink ref="C944" r:id="rId2252" display="http://dev.dashboard.evolvesolar.com/my-commissions.php?user_id=594&amp;payweek=2014-10-03"/>
    <hyperlink ref="A945" r:id="rId2253" display="http://dev.dashboard.evolvesolar.com/my-commissions.php?user_id=626&amp;payweek=2014-10-03"/>
    <hyperlink ref="C945" r:id="rId2254" display="http://dev.dashboard.evolvesolar.com/my-commissions.php?user_id=626&amp;payweek=2014-10-03"/>
    <hyperlink ref="A929" r:id="rId2255" display="http://dev.dashboard.evolvesolar.com/my-commissions.php?user_id=383&amp;payweek=2014-10-01"/>
    <hyperlink ref="C929" r:id="rId2256" display="http://dev.dashboard.evolvesolar.com/my-commissions.php?user_id=383&amp;payweek=2014-10-01"/>
    <hyperlink ref="A930" r:id="rId2257" display="http://dev.dashboard.evolvesolar.com/my-commissions.php?user_id=692&amp;payweek=2014-10-01"/>
    <hyperlink ref="C930" r:id="rId2258" display="http://dev.dashboard.evolvesolar.com/my-commissions.php?user_id=692&amp;payweek=2014-10-01"/>
    <hyperlink ref="A924" r:id="rId2259" display="http://dev.dashboard.evolvesolar.com/my-commissions.php?user_id=202&amp;payweek=2014-09-29"/>
    <hyperlink ref="C924" r:id="rId2260" display="http://dev.dashboard.evolvesolar.com/my-commissions.php?user_id=202&amp;payweek=2014-09-29"/>
    <hyperlink ref="A925" r:id="rId2261" display="http://dev.dashboard.evolvesolar.com/my-commissions.php?user_id=218&amp;payweek=2014-09-29"/>
    <hyperlink ref="C925" r:id="rId2262" display="http://dev.dashboard.evolvesolar.com/my-commissions.php?user_id=218&amp;payweek=2014-09-29"/>
    <hyperlink ref="A926" r:id="rId2263" display="http://dev.dashboard.evolvesolar.com/my-commissions.php?user_id=334&amp;payweek=2014-09-29"/>
    <hyperlink ref="C926" r:id="rId2264" display="http://dev.dashboard.evolvesolar.com/my-commissions.php?user_id=334&amp;payweek=2014-09-29"/>
    <hyperlink ref="A927" r:id="rId2265" display="http://dev.dashboard.evolvesolar.com/my-commissions.php?user_id=335&amp;payweek=2014-09-29"/>
    <hyperlink ref="C927" r:id="rId2266" display="http://dev.dashboard.evolvesolar.com/my-commissions.php?user_id=335&amp;payweek=2014-09-29"/>
    <hyperlink ref="A928" r:id="rId2267" display="http://dev.dashboard.evolvesolar.com/my-commissions.php?user_id=355&amp;payweek=2014-09-29"/>
    <hyperlink ref="C928" r:id="rId2268" display="http://dev.dashboard.evolvesolar.com/my-commissions.php?user_id=355&amp;payweek=2014-09-29"/>
    <hyperlink ref="A918" r:id="rId2269" display="http://dev.dashboard.evolvesolar.com/my-commissions.php?user_id=268&amp;payweek=2014-09-26"/>
    <hyperlink ref="C918" r:id="rId2270" display="http://dev.dashboard.evolvesolar.com/my-commissions.php?user_id=268&amp;payweek=2014-09-26"/>
    <hyperlink ref="A919" r:id="rId2271" display="http://dev.dashboard.evolvesolar.com/my-commissions.php?user_id=293&amp;payweek=2014-09-26"/>
    <hyperlink ref="C919" r:id="rId2272" display="http://dev.dashboard.evolvesolar.com/my-commissions.php?user_id=293&amp;payweek=2014-09-26"/>
    <hyperlink ref="A920" r:id="rId2273" display="http://dev.dashboard.evolvesolar.com/my-commissions.php?user_id=390&amp;payweek=2014-09-26"/>
    <hyperlink ref="C920" r:id="rId2274" display="http://dev.dashboard.evolvesolar.com/my-commissions.php?user_id=390&amp;payweek=2014-09-26"/>
    <hyperlink ref="A921" r:id="rId2275" display="http://dev.dashboard.evolvesolar.com/my-commissions.php?user_id=429&amp;payweek=2014-09-26"/>
    <hyperlink ref="C921" r:id="rId2276" display="http://dev.dashboard.evolvesolar.com/my-commissions.php?user_id=429&amp;payweek=2014-09-26"/>
    <hyperlink ref="A922" r:id="rId2277" display="http://dev.dashboard.evolvesolar.com/my-commissions.php?user_id=458&amp;payweek=2014-09-26"/>
    <hyperlink ref="C922" r:id="rId2278" display="http://dev.dashboard.evolvesolar.com/my-commissions.php?user_id=458&amp;payweek=2014-09-26"/>
    <hyperlink ref="A923" r:id="rId2279" display="http://dev.dashboard.evolvesolar.com/my-commissions.php?user_id=464&amp;payweek=2014-09-26"/>
    <hyperlink ref="C923" r:id="rId2280" display="http://dev.dashboard.evolvesolar.com/my-commissions.php?user_id=464&amp;payweek=2014-09-26"/>
    <hyperlink ref="A880" r:id="rId2281" display="http://dev.dashboard.evolvesolar.com/my-commissions.php?user_id=37&amp;payweek=2014-09-25"/>
    <hyperlink ref="C880" r:id="rId2282" display="http://dev.dashboard.evolvesolar.com/my-commissions.php?user_id=37&amp;payweek=2014-09-25"/>
    <hyperlink ref="A881" r:id="rId2283" display="http://dev.dashboard.evolvesolar.com/my-commissions.php?user_id=77&amp;payweek=2014-09-25"/>
    <hyperlink ref="C881" r:id="rId2284" display="http://dev.dashboard.evolvesolar.com/my-commissions.php?user_id=77&amp;payweek=2014-09-25"/>
    <hyperlink ref="A882" r:id="rId2285" display="http://dev.dashboard.evolvesolar.com/my-commissions.php?user_id=133&amp;payweek=2014-09-25"/>
    <hyperlink ref="C882" r:id="rId2286" display="http://dev.dashboard.evolvesolar.com/my-commissions.php?user_id=133&amp;payweek=2014-09-25"/>
    <hyperlink ref="A883" r:id="rId2287" display="http://dev.dashboard.evolvesolar.com/my-commissions.php?user_id=203&amp;payweek=2014-09-25"/>
    <hyperlink ref="C883" r:id="rId2288" display="http://dev.dashboard.evolvesolar.com/my-commissions.php?user_id=203&amp;payweek=2014-09-25"/>
    <hyperlink ref="A884" r:id="rId2289" display="http://dev.dashboard.evolvesolar.com/my-commissions.php?user_id=248&amp;payweek=2014-09-25"/>
    <hyperlink ref="C884" r:id="rId2290" display="http://dev.dashboard.evolvesolar.com/my-commissions.php?user_id=248&amp;payweek=2014-09-25"/>
    <hyperlink ref="A885" r:id="rId2291" display="http://dev.dashboard.evolvesolar.com/my-commissions.php?user_id=261&amp;payweek=2014-09-25"/>
    <hyperlink ref="C885" r:id="rId2292" display="http://dev.dashboard.evolvesolar.com/my-commissions.php?user_id=261&amp;payweek=2014-09-25"/>
    <hyperlink ref="A886" r:id="rId2293" display="http://dev.dashboard.evolvesolar.com/my-commissions.php?user_id=268&amp;payweek=2014-09-25"/>
    <hyperlink ref="C886" r:id="rId2294" display="http://dev.dashboard.evolvesolar.com/my-commissions.php?user_id=268&amp;payweek=2014-09-25"/>
    <hyperlink ref="A887" r:id="rId2295" display="http://dev.dashboard.evolvesolar.com/my-commissions.php?user_id=269&amp;payweek=2014-09-25"/>
    <hyperlink ref="C887" r:id="rId2296" display="http://dev.dashboard.evolvesolar.com/my-commissions.php?user_id=269&amp;payweek=2014-09-25"/>
    <hyperlink ref="A888" r:id="rId2297" display="http://dev.dashboard.evolvesolar.com/my-commissions.php?user_id=295&amp;payweek=2014-09-25"/>
    <hyperlink ref="C888" r:id="rId2298" display="http://dev.dashboard.evolvesolar.com/my-commissions.php?user_id=295&amp;payweek=2014-09-25"/>
    <hyperlink ref="A889" r:id="rId2299" display="http://dev.dashboard.evolvesolar.com/my-commissions.php?user_id=321&amp;payweek=2014-09-25"/>
    <hyperlink ref="C889" r:id="rId2300" display="http://dev.dashboard.evolvesolar.com/my-commissions.php?user_id=321&amp;payweek=2014-09-25"/>
    <hyperlink ref="A890" r:id="rId2301" display="http://dev.dashboard.evolvesolar.com/my-commissions.php?user_id=341&amp;payweek=2014-09-25"/>
    <hyperlink ref="C890" r:id="rId2302" display="http://dev.dashboard.evolvesolar.com/my-commissions.php?user_id=341&amp;payweek=2014-09-25"/>
    <hyperlink ref="A891" r:id="rId2303" display="http://dev.dashboard.evolvesolar.com/my-commissions.php?user_id=352&amp;payweek=2014-09-25"/>
    <hyperlink ref="C891" r:id="rId2304" display="http://dev.dashboard.evolvesolar.com/my-commissions.php?user_id=352&amp;payweek=2014-09-25"/>
    <hyperlink ref="A892" r:id="rId2305" display="http://dev.dashboard.evolvesolar.com/my-commissions.php?user_id=373&amp;payweek=2014-09-25"/>
    <hyperlink ref="C892" r:id="rId2306" display="http://dev.dashboard.evolvesolar.com/my-commissions.php?user_id=373&amp;payweek=2014-09-25"/>
    <hyperlink ref="A893" r:id="rId2307" display="http://dev.dashboard.evolvesolar.com/my-commissions.php?user_id=379&amp;payweek=2014-09-25"/>
    <hyperlink ref="C893" r:id="rId2308" display="http://dev.dashboard.evolvesolar.com/my-commissions.php?user_id=379&amp;payweek=2014-09-25"/>
    <hyperlink ref="A894" r:id="rId2309" display="http://dev.dashboard.evolvesolar.com/my-commissions.php?user_id=389&amp;payweek=2014-09-25"/>
    <hyperlink ref="C894" r:id="rId2310" display="http://dev.dashboard.evolvesolar.com/my-commissions.php?user_id=389&amp;payweek=2014-09-25"/>
    <hyperlink ref="A895" r:id="rId2311" display="http://dev.dashboard.evolvesolar.com/my-commissions.php?user_id=397&amp;payweek=2014-09-25"/>
    <hyperlink ref="C895" r:id="rId2312" display="http://dev.dashboard.evolvesolar.com/my-commissions.php?user_id=397&amp;payweek=2014-09-25"/>
    <hyperlink ref="A896" r:id="rId2313" display="http://dev.dashboard.evolvesolar.com/my-commissions.php?user_id=401&amp;payweek=2014-09-25"/>
    <hyperlink ref="C896" r:id="rId2314" display="http://dev.dashboard.evolvesolar.com/my-commissions.php?user_id=401&amp;payweek=2014-09-25"/>
    <hyperlink ref="A897" r:id="rId2315" display="http://dev.dashboard.evolvesolar.com/my-commissions.php?user_id=404&amp;payweek=2014-09-25"/>
    <hyperlink ref="C897" r:id="rId2316" display="http://dev.dashboard.evolvesolar.com/my-commissions.php?user_id=404&amp;payweek=2014-09-25"/>
    <hyperlink ref="A898" r:id="rId2317" display="http://dev.dashboard.evolvesolar.com/my-commissions.php?user_id=407&amp;payweek=2014-09-25"/>
    <hyperlink ref="C898" r:id="rId2318" display="http://dev.dashboard.evolvesolar.com/my-commissions.php?user_id=407&amp;payweek=2014-09-25"/>
    <hyperlink ref="A899" r:id="rId2319" display="http://dev.dashboard.evolvesolar.com/my-commissions.php?user_id=422&amp;payweek=2014-09-25"/>
    <hyperlink ref="C899" r:id="rId2320" display="http://dev.dashboard.evolvesolar.com/my-commissions.php?user_id=422&amp;payweek=2014-09-25"/>
    <hyperlink ref="A900" r:id="rId2321" display="http://dev.dashboard.evolvesolar.com/my-commissions.php?user_id=437&amp;payweek=2014-09-25"/>
    <hyperlink ref="C900" r:id="rId2322" display="http://dev.dashboard.evolvesolar.com/my-commissions.php?user_id=437&amp;payweek=2014-09-25"/>
    <hyperlink ref="A901" r:id="rId2323" display="http://dev.dashboard.evolvesolar.com/my-commissions.php?user_id=438&amp;payweek=2014-09-25"/>
    <hyperlink ref="C901" r:id="rId2324" display="http://dev.dashboard.evolvesolar.com/my-commissions.php?user_id=438&amp;payweek=2014-09-25"/>
    <hyperlink ref="A902" r:id="rId2325" display="http://dev.dashboard.evolvesolar.com/my-commissions.php?user_id=443&amp;payweek=2014-09-25"/>
    <hyperlink ref="C902" r:id="rId2326" display="http://dev.dashboard.evolvesolar.com/my-commissions.php?user_id=443&amp;payweek=2014-09-25"/>
    <hyperlink ref="A903" r:id="rId2327" display="http://dev.dashboard.evolvesolar.com/my-commissions.php?user_id=458&amp;payweek=2014-09-25"/>
    <hyperlink ref="C903" r:id="rId2328" display="http://dev.dashboard.evolvesolar.com/my-commissions.php?user_id=458&amp;payweek=2014-09-25"/>
    <hyperlink ref="A904" r:id="rId2329" display="http://dev.dashboard.evolvesolar.com/my-commissions.php?user_id=472&amp;payweek=2014-09-25"/>
    <hyperlink ref="C904" r:id="rId2330" display="http://dev.dashboard.evolvesolar.com/my-commissions.php?user_id=472&amp;payweek=2014-09-25"/>
    <hyperlink ref="A905" r:id="rId2331" display="http://dev.dashboard.evolvesolar.com/my-commissions.php?user_id=477&amp;payweek=2014-09-25"/>
    <hyperlink ref="C905" r:id="rId2332" display="http://dev.dashboard.evolvesolar.com/my-commissions.php?user_id=477&amp;payweek=2014-09-25"/>
    <hyperlink ref="A906" r:id="rId2333" display="http://dev.dashboard.evolvesolar.com/my-commissions.php?user_id=487&amp;payweek=2014-09-25"/>
    <hyperlink ref="C906" r:id="rId2334" display="http://dev.dashboard.evolvesolar.com/my-commissions.php?user_id=487&amp;payweek=2014-09-25"/>
    <hyperlink ref="A907" r:id="rId2335" display="http://dev.dashboard.evolvesolar.com/my-commissions.php?user_id=539&amp;payweek=2014-09-25"/>
    <hyperlink ref="C907" r:id="rId2336" display="http://dev.dashboard.evolvesolar.com/my-commissions.php?user_id=539&amp;payweek=2014-09-25"/>
    <hyperlink ref="A908" r:id="rId2337" display="http://dev.dashboard.evolvesolar.com/my-commissions.php?user_id=549&amp;payweek=2014-09-25"/>
    <hyperlink ref="C908" r:id="rId2338" display="http://dev.dashboard.evolvesolar.com/my-commissions.php?user_id=549&amp;payweek=2014-09-25"/>
    <hyperlink ref="A909" r:id="rId2339" display="http://dev.dashboard.evolvesolar.com/my-commissions.php?user_id=551&amp;payweek=2014-09-25"/>
    <hyperlink ref="C909" r:id="rId2340" display="http://dev.dashboard.evolvesolar.com/my-commissions.php?user_id=551&amp;payweek=2014-09-25"/>
    <hyperlink ref="A910" r:id="rId2341" display="http://dev.dashboard.evolvesolar.com/my-commissions.php?user_id=569&amp;payweek=2014-09-25"/>
    <hyperlink ref="C910" r:id="rId2342" display="http://dev.dashboard.evolvesolar.com/my-commissions.php?user_id=569&amp;payweek=2014-09-25"/>
    <hyperlink ref="A911" r:id="rId2343" display="http://dev.dashboard.evolvesolar.com/my-commissions.php?user_id=574&amp;payweek=2014-09-25"/>
    <hyperlink ref="C911" r:id="rId2344" display="http://dev.dashboard.evolvesolar.com/my-commissions.php?user_id=574&amp;payweek=2014-09-25"/>
    <hyperlink ref="A912" r:id="rId2345" display="http://dev.dashboard.evolvesolar.com/my-commissions.php?user_id=580&amp;payweek=2014-09-25"/>
    <hyperlink ref="C912" r:id="rId2346" display="http://dev.dashboard.evolvesolar.com/my-commissions.php?user_id=580&amp;payweek=2014-09-25"/>
    <hyperlink ref="A913" r:id="rId2347" display="http://dev.dashboard.evolvesolar.com/my-commissions.php?user_id=582&amp;payweek=2014-09-25"/>
    <hyperlink ref="C913" r:id="rId2348" display="http://dev.dashboard.evolvesolar.com/my-commissions.php?user_id=582&amp;payweek=2014-09-25"/>
    <hyperlink ref="A914" r:id="rId2349" display="http://dev.dashboard.evolvesolar.com/my-commissions.php?user_id=590&amp;payweek=2014-09-25"/>
    <hyperlink ref="C914" r:id="rId2350" display="http://dev.dashboard.evolvesolar.com/my-commissions.php?user_id=590&amp;payweek=2014-09-25"/>
    <hyperlink ref="A915" r:id="rId2351" display="http://dev.dashboard.evolvesolar.com/my-commissions.php?user_id=594&amp;payweek=2014-09-25"/>
    <hyperlink ref="C915" r:id="rId2352" display="http://dev.dashboard.evolvesolar.com/my-commissions.php?user_id=594&amp;payweek=2014-09-25"/>
    <hyperlink ref="A916" r:id="rId2353" display="http://dev.dashboard.evolvesolar.com/my-commissions.php?user_id=604&amp;payweek=2014-09-25"/>
    <hyperlink ref="C916" r:id="rId2354" display="http://dev.dashboard.evolvesolar.com/my-commissions.php?user_id=604&amp;payweek=2014-09-25"/>
    <hyperlink ref="A917" r:id="rId2355" display="http://dev.dashboard.evolvesolar.com/my-commissions.php?user_id=615&amp;payweek=2014-09-25"/>
    <hyperlink ref="C917" r:id="rId2356" display="http://dev.dashboard.evolvesolar.com/my-commissions.php?user_id=615&amp;payweek=2014-09-25"/>
    <hyperlink ref="A879" r:id="rId2357" display="http://dev.dashboard.evolvesolar.com/my-commissions.php?user_id=303&amp;payweek=2014-09-24"/>
    <hyperlink ref="C879" r:id="rId2358" display="http://dev.dashboard.evolvesolar.com/my-commissions.php?user_id=303&amp;payweek=2014-09-24"/>
    <hyperlink ref="A878" r:id="rId2359" display="http://dev.dashboard.evolvesolar.com/my-commissions.php?user_id=383&amp;payweek=2014-09-23"/>
    <hyperlink ref="C878" r:id="rId2360" display="http://dev.dashboard.evolvesolar.com/my-commissions.php?user_id=383&amp;payweek=2014-09-23"/>
    <hyperlink ref="A873" r:id="rId2361" display="http://dev.dashboard.evolvesolar.com/my-commissions.php?user_id=202&amp;payweek=2014-09-22"/>
    <hyperlink ref="C873" r:id="rId2362" display="http://dev.dashboard.evolvesolar.com/my-commissions.php?user_id=202&amp;payweek=2014-09-22"/>
    <hyperlink ref="A874" r:id="rId2363" display="http://dev.dashboard.evolvesolar.com/my-commissions.php?user_id=231&amp;payweek=2014-09-22"/>
    <hyperlink ref="C874" r:id="rId2364" display="http://dev.dashboard.evolvesolar.com/my-commissions.php?user_id=231&amp;payweek=2014-09-22"/>
    <hyperlink ref="A875" r:id="rId2365" display="http://dev.dashboard.evolvesolar.com/my-commissions.php?user_id=255&amp;payweek=2014-09-22"/>
    <hyperlink ref="C875" r:id="rId2366" display="http://dev.dashboard.evolvesolar.com/my-commissions.php?user_id=255&amp;payweek=2014-09-22"/>
    <hyperlink ref="A876" r:id="rId2367" display="http://dev.dashboard.evolvesolar.com/my-commissions.php?user_id=379&amp;payweek=2014-09-22"/>
    <hyperlink ref="C876" r:id="rId2368" display="http://dev.dashboard.evolvesolar.com/my-commissions.php?user_id=379&amp;payweek=2014-09-22"/>
    <hyperlink ref="A877" r:id="rId2369" display="http://dev.dashboard.evolvesolar.com/my-commissions.php?user_id=582&amp;payweek=2014-09-22"/>
    <hyperlink ref="C877" r:id="rId2370" display="http://dev.dashboard.evolvesolar.com/my-commissions.php?user_id=582&amp;payweek=2014-09-22"/>
    <hyperlink ref="A838" r:id="rId2371" display="http://dev.dashboard.evolvesolar.com/my-commissions.php?user_id=27&amp;payweek=2014-09-19"/>
    <hyperlink ref="C838" r:id="rId2372" display="http://dev.dashboard.evolvesolar.com/my-commissions.php?user_id=27&amp;payweek=2014-09-19"/>
    <hyperlink ref="A839" r:id="rId2373" display="http://dev.dashboard.evolvesolar.com/my-commissions.php?user_id=37&amp;payweek=2014-09-19"/>
    <hyperlink ref="C839" r:id="rId2374" display="http://dev.dashboard.evolvesolar.com/my-commissions.php?user_id=37&amp;payweek=2014-09-19"/>
    <hyperlink ref="A840" r:id="rId2375" display="http://dev.dashboard.evolvesolar.com/my-commissions.php?user_id=41&amp;payweek=2014-09-19"/>
    <hyperlink ref="C840" r:id="rId2376" display="http://dev.dashboard.evolvesolar.com/my-commissions.php?user_id=41&amp;payweek=2014-09-19"/>
    <hyperlink ref="A841" r:id="rId2377" display="http://dev.dashboard.evolvesolar.com/my-commissions.php?user_id=63&amp;payweek=2014-09-19"/>
    <hyperlink ref="C841" r:id="rId2378" display="http://dev.dashboard.evolvesolar.com/my-commissions.php?user_id=63&amp;payweek=2014-09-19"/>
    <hyperlink ref="A842" r:id="rId2379" display="http://dev.dashboard.evolvesolar.com/my-commissions.php?user_id=77&amp;payweek=2014-09-19"/>
    <hyperlink ref="C842" r:id="rId2380" display="http://dev.dashboard.evolvesolar.com/my-commissions.php?user_id=77&amp;payweek=2014-09-19"/>
    <hyperlink ref="A843" r:id="rId2381" display="http://dev.dashboard.evolvesolar.com/my-commissions.php?user_id=85&amp;payweek=2014-09-19"/>
    <hyperlink ref="C843" r:id="rId2382" display="http://dev.dashboard.evolvesolar.com/my-commissions.php?user_id=85&amp;payweek=2014-09-19"/>
    <hyperlink ref="A844" r:id="rId2383" display="http://dev.dashboard.evolvesolar.com/my-commissions.php?user_id=133&amp;payweek=2014-09-19"/>
    <hyperlink ref="C844" r:id="rId2384" display="http://dev.dashboard.evolvesolar.com/my-commissions.php?user_id=133&amp;payweek=2014-09-19"/>
    <hyperlink ref="A845" r:id="rId2385" display="http://dev.dashboard.evolvesolar.com/my-commissions.php?user_id=180&amp;payweek=2014-09-19"/>
    <hyperlink ref="C845" r:id="rId2386" display="http://dev.dashboard.evolvesolar.com/my-commissions.php?user_id=180&amp;payweek=2014-09-19"/>
    <hyperlink ref="A846" r:id="rId2387" display="http://dev.dashboard.evolvesolar.com/my-commissions.php?user_id=203&amp;payweek=2014-09-19"/>
    <hyperlink ref="C846" r:id="rId2388" display="http://dev.dashboard.evolvesolar.com/my-commissions.php?user_id=203&amp;payweek=2014-09-19"/>
    <hyperlink ref="A847" r:id="rId2389" display="http://dev.dashboard.evolvesolar.com/my-commissions.php?user_id=217&amp;payweek=2014-09-19"/>
    <hyperlink ref="C847" r:id="rId2390" display="http://dev.dashboard.evolvesolar.com/my-commissions.php?user_id=217&amp;payweek=2014-09-19"/>
    <hyperlink ref="A848" r:id="rId2391" display="http://dev.dashboard.evolvesolar.com/my-commissions.php?user_id=218&amp;payweek=2014-09-19"/>
    <hyperlink ref="C848" r:id="rId2392" display="http://dev.dashboard.evolvesolar.com/my-commissions.php?user_id=218&amp;payweek=2014-09-19"/>
    <hyperlink ref="A849" r:id="rId2393" display="http://dev.dashboard.evolvesolar.com/my-commissions.php?user_id=232&amp;payweek=2014-09-19"/>
    <hyperlink ref="C849" r:id="rId2394" display="http://dev.dashboard.evolvesolar.com/my-commissions.php?user_id=232&amp;payweek=2014-09-19"/>
    <hyperlink ref="A850" r:id="rId2395" display="http://dev.dashboard.evolvesolar.com/my-commissions.php?user_id=233&amp;payweek=2014-09-19"/>
    <hyperlink ref="C850" r:id="rId2396" display="http://dev.dashboard.evolvesolar.com/my-commissions.php?user_id=233&amp;payweek=2014-09-19"/>
    <hyperlink ref="A851" r:id="rId2397" display="http://dev.dashboard.evolvesolar.com/my-commissions.php?user_id=244&amp;payweek=2014-09-19"/>
    <hyperlink ref="C851" r:id="rId2398" display="http://dev.dashboard.evolvesolar.com/my-commissions.php?user_id=244&amp;payweek=2014-09-19"/>
    <hyperlink ref="A852" r:id="rId2399" display="http://dev.dashboard.evolvesolar.com/my-commissions.php?user_id=248&amp;payweek=2014-09-19"/>
    <hyperlink ref="C852" r:id="rId2400" display="http://dev.dashboard.evolvesolar.com/my-commissions.php?user_id=248&amp;payweek=2014-09-19"/>
    <hyperlink ref="A853" r:id="rId2401" display="http://dev.dashboard.evolvesolar.com/my-commissions.php?user_id=261&amp;payweek=2014-09-19"/>
    <hyperlink ref="C853" r:id="rId2402" display="http://dev.dashboard.evolvesolar.com/my-commissions.php?user_id=261&amp;payweek=2014-09-19"/>
    <hyperlink ref="A854" r:id="rId2403" display="http://dev.dashboard.evolvesolar.com/my-commissions.php?user_id=269&amp;payweek=2014-09-19"/>
    <hyperlink ref="C854" r:id="rId2404" display="http://dev.dashboard.evolvesolar.com/my-commissions.php?user_id=269&amp;payweek=2014-09-19"/>
    <hyperlink ref="A855" r:id="rId2405" display="http://dev.dashboard.evolvesolar.com/my-commissions.php?user_id=282&amp;payweek=2014-09-19"/>
    <hyperlink ref="C855" r:id="rId2406" display="http://dev.dashboard.evolvesolar.com/my-commissions.php?user_id=282&amp;payweek=2014-09-19"/>
    <hyperlink ref="A856" r:id="rId2407" display="http://dev.dashboard.evolvesolar.com/my-commissions.php?user_id=355&amp;payweek=2014-09-19"/>
    <hyperlink ref="C856" r:id="rId2408" display="http://dev.dashboard.evolvesolar.com/my-commissions.php?user_id=355&amp;payweek=2014-09-19"/>
    <hyperlink ref="A857" r:id="rId2409" display="http://dev.dashboard.evolvesolar.com/my-commissions.php?user_id=365&amp;payweek=2014-09-19"/>
    <hyperlink ref="C857" r:id="rId2410" display="http://dev.dashboard.evolvesolar.com/my-commissions.php?user_id=365&amp;payweek=2014-09-19"/>
    <hyperlink ref="A858" r:id="rId2411" display="http://dev.dashboard.evolvesolar.com/my-commissions.php?user_id=373&amp;payweek=2014-09-19"/>
    <hyperlink ref="C858" r:id="rId2412" display="http://dev.dashboard.evolvesolar.com/my-commissions.php?user_id=373&amp;payweek=2014-09-19"/>
    <hyperlink ref="A859" r:id="rId2413" display="http://dev.dashboard.evolvesolar.com/my-commissions.php?user_id=379&amp;payweek=2014-09-19"/>
    <hyperlink ref="C859" r:id="rId2414" display="http://dev.dashboard.evolvesolar.com/my-commissions.php?user_id=379&amp;payweek=2014-09-19"/>
    <hyperlink ref="A860" r:id="rId2415" display="http://dev.dashboard.evolvesolar.com/my-commissions.php?user_id=383&amp;payweek=2014-09-19"/>
    <hyperlink ref="C860" r:id="rId2416" display="http://dev.dashboard.evolvesolar.com/my-commissions.php?user_id=383&amp;payweek=2014-09-19"/>
    <hyperlink ref="A861" r:id="rId2417" display="http://dev.dashboard.evolvesolar.com/my-commissions.php?user_id=389&amp;payweek=2014-09-19"/>
    <hyperlink ref="C861" r:id="rId2418" display="http://dev.dashboard.evolvesolar.com/my-commissions.php?user_id=389&amp;payweek=2014-09-19"/>
    <hyperlink ref="A862" r:id="rId2419" display="http://dev.dashboard.evolvesolar.com/my-commissions.php?user_id=397&amp;payweek=2014-09-19"/>
    <hyperlink ref="C862" r:id="rId2420" display="http://dev.dashboard.evolvesolar.com/my-commissions.php?user_id=397&amp;payweek=2014-09-19"/>
    <hyperlink ref="A863" r:id="rId2421" display="http://dev.dashboard.evolvesolar.com/my-commissions.php?user_id=401&amp;payweek=2014-09-19"/>
    <hyperlink ref="C863" r:id="rId2422" display="http://dev.dashboard.evolvesolar.com/my-commissions.php?user_id=401&amp;payweek=2014-09-19"/>
    <hyperlink ref="A864" r:id="rId2423" display="http://dev.dashboard.evolvesolar.com/my-commissions.php?user_id=410&amp;payweek=2014-09-19"/>
    <hyperlink ref="C864" r:id="rId2424" display="http://dev.dashboard.evolvesolar.com/my-commissions.php?user_id=410&amp;payweek=2014-09-19"/>
    <hyperlink ref="A865" r:id="rId2425" display="http://dev.dashboard.evolvesolar.com/my-commissions.php?user_id=422&amp;payweek=2014-09-19"/>
    <hyperlink ref="C865" r:id="rId2426" display="http://dev.dashboard.evolvesolar.com/my-commissions.php?user_id=422&amp;payweek=2014-09-19"/>
    <hyperlink ref="A866" r:id="rId2427" display="http://dev.dashboard.evolvesolar.com/my-commissions.php?user_id=438&amp;payweek=2014-09-19"/>
    <hyperlink ref="C866" r:id="rId2428" display="http://dev.dashboard.evolvesolar.com/my-commissions.php?user_id=438&amp;payweek=2014-09-19"/>
    <hyperlink ref="A867" r:id="rId2429" display="http://dev.dashboard.evolvesolar.com/my-commissions.php?user_id=472&amp;payweek=2014-09-19"/>
    <hyperlink ref="C867" r:id="rId2430" display="http://dev.dashboard.evolvesolar.com/my-commissions.php?user_id=472&amp;payweek=2014-09-19"/>
    <hyperlink ref="A868" r:id="rId2431" display="http://dev.dashboard.evolvesolar.com/my-commissions.php?user_id=487&amp;payweek=2014-09-19"/>
    <hyperlink ref="C868" r:id="rId2432" display="http://dev.dashboard.evolvesolar.com/my-commissions.php?user_id=487&amp;payweek=2014-09-19"/>
    <hyperlink ref="A869" r:id="rId2433" display="http://dev.dashboard.evolvesolar.com/my-commissions.php?user_id=548&amp;payweek=2014-09-19"/>
    <hyperlink ref="C869" r:id="rId2434" display="http://dev.dashboard.evolvesolar.com/my-commissions.php?user_id=548&amp;payweek=2014-09-19"/>
    <hyperlink ref="A870" r:id="rId2435" display="http://dev.dashboard.evolvesolar.com/my-commissions.php?user_id=550&amp;payweek=2014-09-19"/>
    <hyperlink ref="C870" r:id="rId2436" display="http://dev.dashboard.evolvesolar.com/my-commissions.php?user_id=550&amp;payweek=2014-09-19"/>
    <hyperlink ref="A871" r:id="rId2437" display="http://dev.dashboard.evolvesolar.com/my-commissions.php?user_id=574&amp;payweek=2014-09-19"/>
    <hyperlink ref="C871" r:id="rId2438" display="http://dev.dashboard.evolvesolar.com/my-commissions.php?user_id=574&amp;payweek=2014-09-19"/>
    <hyperlink ref="A872" r:id="rId2439" display="http://dev.dashboard.evolvesolar.com/my-commissions.php?user_id=580&amp;payweek=2014-09-19"/>
    <hyperlink ref="C872" r:id="rId2440" display="http://dev.dashboard.evolvesolar.com/my-commissions.php?user_id=580&amp;payweek=2014-09-19"/>
    <hyperlink ref="A834" r:id="rId2441" display="http://dev.dashboard.evolvesolar.com/my-commissions.php?user_id=63&amp;payweek=2014-09-15"/>
    <hyperlink ref="C834" r:id="rId2442" display="http://dev.dashboard.evolvesolar.com/my-commissions.php?user_id=63&amp;payweek=2014-09-15"/>
    <hyperlink ref="A835" r:id="rId2443" display="http://dev.dashboard.evolvesolar.com/my-commissions.php?user_id=347&amp;payweek=2014-09-15"/>
    <hyperlink ref="C835" r:id="rId2444" display="http://dev.dashboard.evolvesolar.com/my-commissions.php?user_id=347&amp;payweek=2014-09-15"/>
    <hyperlink ref="A836" r:id="rId2445" display="http://dev.dashboard.evolvesolar.com/my-commissions.php?user_id=488&amp;payweek=2014-09-15"/>
    <hyperlink ref="C836" r:id="rId2446" display="http://dev.dashboard.evolvesolar.com/my-commissions.php?user_id=488&amp;payweek=2014-09-15"/>
    <hyperlink ref="A837" r:id="rId2447" display="http://dev.dashboard.evolvesolar.com/my-commissions.php?user_id=617&amp;payweek=2014-09-15"/>
    <hyperlink ref="C837" r:id="rId2448" display="http://dev.dashboard.evolvesolar.com/my-commissions.php?user_id=617&amp;payweek=2014-09-15"/>
    <hyperlink ref="A775" r:id="rId2449" display="http://dev.dashboard.evolvesolar.com/my-commissions.php?user_id=41&amp;payweek=2014-09-12"/>
    <hyperlink ref="C775" r:id="rId2450" display="http://dev.dashboard.evolvesolar.com/my-commissions.php?user_id=41&amp;payweek=2014-09-12"/>
    <hyperlink ref="A776" r:id="rId2451" display="http://dev.dashboard.evolvesolar.com/my-commissions.php?user_id=77&amp;payweek=2014-09-12"/>
    <hyperlink ref="C776" r:id="rId2452" display="http://dev.dashboard.evolvesolar.com/my-commissions.php?user_id=77&amp;payweek=2014-09-12"/>
    <hyperlink ref="A777" r:id="rId2453" display="http://dev.dashboard.evolvesolar.com/my-commissions.php?user_id=85&amp;payweek=2014-09-12"/>
    <hyperlink ref="C777" r:id="rId2454" display="http://dev.dashboard.evolvesolar.com/my-commissions.php?user_id=85&amp;payweek=2014-09-12"/>
    <hyperlink ref="A778" r:id="rId2455" display="http://dev.dashboard.evolvesolar.com/my-commissions.php?user_id=157&amp;payweek=2014-09-12"/>
    <hyperlink ref="C778" r:id="rId2456" display="http://dev.dashboard.evolvesolar.com/my-commissions.php?user_id=157&amp;payweek=2014-09-12"/>
    <hyperlink ref="A779" r:id="rId2457" display="http://dev.dashboard.evolvesolar.com/my-commissions.php?user_id=175&amp;payweek=2014-09-12"/>
    <hyperlink ref="C779" r:id="rId2458" display="http://dev.dashboard.evolvesolar.com/my-commissions.php?user_id=175&amp;payweek=2014-09-12"/>
    <hyperlink ref="A780" r:id="rId2459" display="http://dev.dashboard.evolvesolar.com/my-commissions.php?user_id=185&amp;payweek=2014-09-12"/>
    <hyperlink ref="C780" r:id="rId2460" display="http://dev.dashboard.evolvesolar.com/my-commissions.php?user_id=185&amp;payweek=2014-09-12"/>
    <hyperlink ref="A781" r:id="rId2461" display="http://dev.dashboard.evolvesolar.com/my-commissions.php?user_id=203&amp;payweek=2014-09-12"/>
    <hyperlink ref="C781" r:id="rId2462" display="http://dev.dashboard.evolvesolar.com/my-commissions.php?user_id=203&amp;payweek=2014-09-12"/>
    <hyperlink ref="A782" r:id="rId2463" display="http://dev.dashboard.evolvesolar.com/my-commissions.php?user_id=217&amp;payweek=2014-09-12"/>
    <hyperlink ref="C782" r:id="rId2464" display="http://dev.dashboard.evolvesolar.com/my-commissions.php?user_id=217&amp;payweek=2014-09-12"/>
    <hyperlink ref="A783" r:id="rId2465" display="http://dev.dashboard.evolvesolar.com/my-commissions.php?user_id=230&amp;payweek=2014-09-12"/>
    <hyperlink ref="C783" r:id="rId2466" display="http://dev.dashboard.evolvesolar.com/my-commissions.php?user_id=230&amp;payweek=2014-09-12"/>
    <hyperlink ref="A784" r:id="rId2467" display="http://dev.dashboard.evolvesolar.com/my-commissions.php?user_id=231&amp;payweek=2014-09-12"/>
    <hyperlink ref="C784" r:id="rId2468" display="http://dev.dashboard.evolvesolar.com/my-commissions.php?user_id=231&amp;payweek=2014-09-12"/>
    <hyperlink ref="A785" r:id="rId2469" display="http://dev.dashboard.evolvesolar.com/my-commissions.php?user_id=232&amp;payweek=2014-09-12"/>
    <hyperlink ref="C785" r:id="rId2470" display="http://dev.dashboard.evolvesolar.com/my-commissions.php?user_id=232&amp;payweek=2014-09-12"/>
    <hyperlink ref="A786" r:id="rId2471" display="http://dev.dashboard.evolvesolar.com/my-commissions.php?user_id=233&amp;payweek=2014-09-12"/>
    <hyperlink ref="C786" r:id="rId2472" display="http://dev.dashboard.evolvesolar.com/my-commissions.php?user_id=233&amp;payweek=2014-09-12"/>
    <hyperlink ref="A787" r:id="rId2473" display="http://dev.dashboard.evolvesolar.com/my-commissions.php?user_id=248&amp;payweek=2014-09-12"/>
    <hyperlink ref="C787" r:id="rId2474" display="http://dev.dashboard.evolvesolar.com/my-commissions.php?user_id=248&amp;payweek=2014-09-12"/>
    <hyperlink ref="A788" r:id="rId2475" display="http://dev.dashboard.evolvesolar.com/my-commissions.php?user_id=254&amp;payweek=2014-09-12"/>
    <hyperlink ref="C788" r:id="rId2476" display="http://dev.dashboard.evolvesolar.com/my-commissions.php?user_id=254&amp;payweek=2014-09-12"/>
    <hyperlink ref="A789" r:id="rId2477" display="http://dev.dashboard.evolvesolar.com/my-commissions.php?user_id=261&amp;payweek=2014-09-12"/>
    <hyperlink ref="C789" r:id="rId2478" display="http://dev.dashboard.evolvesolar.com/my-commissions.php?user_id=261&amp;payweek=2014-09-12"/>
    <hyperlink ref="A790" r:id="rId2479" display="http://dev.dashboard.evolvesolar.com/my-commissions.php?user_id=268&amp;payweek=2014-09-12"/>
    <hyperlink ref="C790" r:id="rId2480" display="http://dev.dashboard.evolvesolar.com/my-commissions.php?user_id=268&amp;payweek=2014-09-12"/>
    <hyperlink ref="A791" r:id="rId2481" display="http://dev.dashboard.evolvesolar.com/my-commissions.php?user_id=269&amp;payweek=2014-09-12"/>
    <hyperlink ref="C791" r:id="rId2482" display="http://dev.dashboard.evolvesolar.com/my-commissions.php?user_id=269&amp;payweek=2014-09-12"/>
    <hyperlink ref="A792" r:id="rId2483" display="http://dev.dashboard.evolvesolar.com/my-commissions.php?user_id=282&amp;payweek=2014-09-12"/>
    <hyperlink ref="C792" r:id="rId2484" display="http://dev.dashboard.evolvesolar.com/my-commissions.php?user_id=282&amp;payweek=2014-09-12"/>
    <hyperlink ref="A793" r:id="rId2485" display="http://dev.dashboard.evolvesolar.com/my-commissions.php?user_id=285&amp;payweek=2014-09-12"/>
    <hyperlink ref="C793" r:id="rId2486" display="http://dev.dashboard.evolvesolar.com/my-commissions.php?user_id=285&amp;payweek=2014-09-12"/>
    <hyperlink ref="A794" r:id="rId2487" display="http://dev.dashboard.evolvesolar.com/my-commissions.php?user_id=321&amp;payweek=2014-09-12"/>
    <hyperlink ref="C794" r:id="rId2488" display="http://dev.dashboard.evolvesolar.com/my-commissions.php?user_id=321&amp;payweek=2014-09-12"/>
    <hyperlink ref="A795" r:id="rId2489" display="http://dev.dashboard.evolvesolar.com/my-commissions.php?user_id=326&amp;payweek=2014-09-12"/>
    <hyperlink ref="C795" r:id="rId2490" display="http://dev.dashboard.evolvesolar.com/my-commissions.php?user_id=326&amp;payweek=2014-09-12"/>
    <hyperlink ref="A796" r:id="rId2491" display="http://dev.dashboard.evolvesolar.com/my-commissions.php?user_id=329&amp;payweek=2014-09-12"/>
    <hyperlink ref="C796" r:id="rId2492" display="http://dev.dashboard.evolvesolar.com/my-commissions.php?user_id=329&amp;payweek=2014-09-12"/>
    <hyperlink ref="A797" r:id="rId2493" display="http://dev.dashboard.evolvesolar.com/my-commissions.php?user_id=341&amp;payweek=2014-09-12"/>
    <hyperlink ref="C797" r:id="rId2494" display="http://dev.dashboard.evolvesolar.com/my-commissions.php?user_id=341&amp;payweek=2014-09-12"/>
    <hyperlink ref="A798" r:id="rId2495" display="http://dev.dashboard.evolvesolar.com/my-commissions.php?user_id=347&amp;payweek=2014-09-12"/>
    <hyperlink ref="C798" r:id="rId2496" display="http://dev.dashboard.evolvesolar.com/my-commissions.php?user_id=347&amp;payweek=2014-09-12"/>
    <hyperlink ref="A799" r:id="rId2497" display="http://dev.dashboard.evolvesolar.com/my-commissions.php?user_id=352&amp;payweek=2014-09-12"/>
    <hyperlink ref="C799" r:id="rId2498" display="http://dev.dashboard.evolvesolar.com/my-commissions.php?user_id=352&amp;payweek=2014-09-12"/>
    <hyperlink ref="A800" r:id="rId2499" display="http://dev.dashboard.evolvesolar.com/my-commissions.php?user_id=355&amp;payweek=2014-09-12"/>
    <hyperlink ref="C800" r:id="rId2500" display="http://dev.dashboard.evolvesolar.com/my-commissions.php?user_id=355&amp;payweek=2014-09-12"/>
    <hyperlink ref="A801" r:id="rId2501" display="http://dev.dashboard.evolvesolar.com/my-commissions.php?user_id=358&amp;payweek=2014-09-12"/>
    <hyperlink ref="C801" r:id="rId2502" display="http://dev.dashboard.evolvesolar.com/my-commissions.php?user_id=358&amp;payweek=2014-09-12"/>
    <hyperlink ref="A802" r:id="rId2503" display="http://dev.dashboard.evolvesolar.com/my-commissions.php?user_id=363&amp;payweek=2014-09-12"/>
    <hyperlink ref="C802" r:id="rId2504" display="http://dev.dashboard.evolvesolar.com/my-commissions.php?user_id=363&amp;payweek=2014-09-12"/>
    <hyperlink ref="A803" r:id="rId2505" display="http://dev.dashboard.evolvesolar.com/my-commissions.php?user_id=365&amp;payweek=2014-09-12"/>
    <hyperlink ref="C803" r:id="rId2506" display="http://dev.dashboard.evolvesolar.com/my-commissions.php?user_id=365&amp;payweek=2014-09-12"/>
    <hyperlink ref="A804" r:id="rId2507" display="http://dev.dashboard.evolvesolar.com/my-commissions.php?user_id=373&amp;payweek=2014-09-12"/>
    <hyperlink ref="C804" r:id="rId2508" display="http://dev.dashboard.evolvesolar.com/my-commissions.php?user_id=373&amp;payweek=2014-09-12"/>
    <hyperlink ref="A805" r:id="rId2509" display="http://dev.dashboard.evolvesolar.com/my-commissions.php?user_id=378&amp;payweek=2014-09-12"/>
    <hyperlink ref="C805" r:id="rId2510" display="http://dev.dashboard.evolvesolar.com/my-commissions.php?user_id=378&amp;payweek=2014-09-12"/>
    <hyperlink ref="A806" r:id="rId2511" display="http://dev.dashboard.evolvesolar.com/my-commissions.php?user_id=389&amp;payweek=2014-09-12"/>
    <hyperlink ref="C806" r:id="rId2512" display="http://dev.dashboard.evolvesolar.com/my-commissions.php?user_id=389&amp;payweek=2014-09-12"/>
    <hyperlink ref="A807" r:id="rId2513" display="http://dev.dashboard.evolvesolar.com/my-commissions.php?user_id=391&amp;payweek=2014-09-12"/>
    <hyperlink ref="C807" r:id="rId2514" display="http://dev.dashboard.evolvesolar.com/my-commissions.php?user_id=391&amp;payweek=2014-09-12"/>
    <hyperlink ref="A808" r:id="rId2515" display="http://dev.dashboard.evolvesolar.com/my-commissions.php?user_id=392&amp;payweek=2014-09-12"/>
    <hyperlink ref="C808" r:id="rId2516" display="http://dev.dashboard.evolvesolar.com/my-commissions.php?user_id=392&amp;payweek=2014-09-12"/>
    <hyperlink ref="A809" r:id="rId2517" display="http://dev.dashboard.evolvesolar.com/my-commissions.php?user_id=397&amp;payweek=2014-09-12"/>
    <hyperlink ref="C809" r:id="rId2518" display="http://dev.dashboard.evolvesolar.com/my-commissions.php?user_id=397&amp;payweek=2014-09-12"/>
    <hyperlink ref="A810" r:id="rId2519" display="http://dev.dashboard.evolvesolar.com/my-commissions.php?user_id=401&amp;payweek=2014-09-12"/>
    <hyperlink ref="C810" r:id="rId2520" display="http://dev.dashboard.evolvesolar.com/my-commissions.php?user_id=401&amp;payweek=2014-09-12"/>
    <hyperlink ref="A811" r:id="rId2521" display="http://dev.dashboard.evolvesolar.com/my-commissions.php?user_id=403&amp;payweek=2014-09-12"/>
    <hyperlink ref="C811" r:id="rId2522" display="http://dev.dashboard.evolvesolar.com/my-commissions.php?user_id=403&amp;payweek=2014-09-12"/>
    <hyperlink ref="A812" r:id="rId2523" display="http://dev.dashboard.evolvesolar.com/my-commissions.php?user_id=404&amp;payweek=2014-09-12"/>
    <hyperlink ref="C812" r:id="rId2524" display="http://dev.dashboard.evolvesolar.com/my-commissions.php?user_id=404&amp;payweek=2014-09-12"/>
    <hyperlink ref="A813" r:id="rId2525" display="http://dev.dashboard.evolvesolar.com/my-commissions.php?user_id=405&amp;payweek=2014-09-12"/>
    <hyperlink ref="C813" r:id="rId2526" display="http://dev.dashboard.evolvesolar.com/my-commissions.php?user_id=405&amp;payweek=2014-09-12"/>
    <hyperlink ref="A814" r:id="rId2527" display="http://dev.dashboard.evolvesolar.com/my-commissions.php?user_id=407&amp;payweek=2014-09-12"/>
    <hyperlink ref="C814" r:id="rId2528" display="http://dev.dashboard.evolvesolar.com/my-commissions.php?user_id=407&amp;payweek=2014-09-12"/>
    <hyperlink ref="A815" r:id="rId2529" display="http://dev.dashboard.evolvesolar.com/my-commissions.php?user_id=410&amp;payweek=2014-09-12"/>
    <hyperlink ref="C815" r:id="rId2530" display="http://dev.dashboard.evolvesolar.com/my-commissions.php?user_id=410&amp;payweek=2014-09-12"/>
    <hyperlink ref="A816" r:id="rId2531" display="http://dev.dashboard.evolvesolar.com/my-commissions.php?user_id=422&amp;payweek=2014-09-12"/>
    <hyperlink ref="C816" r:id="rId2532" display="http://dev.dashboard.evolvesolar.com/my-commissions.php?user_id=422&amp;payweek=2014-09-12"/>
    <hyperlink ref="A817" r:id="rId2533" display="http://dev.dashboard.evolvesolar.com/my-commissions.php?user_id=428&amp;payweek=2014-09-12"/>
    <hyperlink ref="C817" r:id="rId2534" display="http://dev.dashboard.evolvesolar.com/my-commissions.php?user_id=428&amp;payweek=2014-09-12"/>
    <hyperlink ref="A818" r:id="rId2535" display="http://dev.dashboard.evolvesolar.com/my-commissions.php?user_id=443&amp;payweek=2014-09-12"/>
    <hyperlink ref="C818" r:id="rId2536" display="http://dev.dashboard.evolvesolar.com/my-commissions.php?user_id=443&amp;payweek=2014-09-12"/>
    <hyperlink ref="A819" r:id="rId2537" display="http://dev.dashboard.evolvesolar.com/my-commissions.php?user_id=446&amp;payweek=2014-09-12"/>
    <hyperlink ref="C819" r:id="rId2538" display="http://dev.dashboard.evolvesolar.com/my-commissions.php?user_id=446&amp;payweek=2014-09-12"/>
    <hyperlink ref="A820" r:id="rId2539" display="http://dev.dashboard.evolvesolar.com/my-commissions.php?user_id=472&amp;payweek=2014-09-12"/>
    <hyperlink ref="C820" r:id="rId2540" display="http://dev.dashboard.evolvesolar.com/my-commissions.php?user_id=472&amp;payweek=2014-09-12"/>
    <hyperlink ref="A821" r:id="rId2541" display="http://dev.dashboard.evolvesolar.com/my-commissions.php?user_id=473&amp;payweek=2014-09-12"/>
    <hyperlink ref="C821" r:id="rId2542" display="http://dev.dashboard.evolvesolar.com/my-commissions.php?user_id=473&amp;payweek=2014-09-12"/>
    <hyperlink ref="A822" r:id="rId2543" display="http://dev.dashboard.evolvesolar.com/my-commissions.php?user_id=498&amp;payweek=2014-09-12"/>
    <hyperlink ref="C822" r:id="rId2544" display="http://dev.dashboard.evolvesolar.com/my-commissions.php?user_id=498&amp;payweek=2014-09-12"/>
    <hyperlink ref="A823" r:id="rId2545" display="http://dev.dashboard.evolvesolar.com/my-commissions.php?user_id=530&amp;payweek=2014-09-12"/>
    <hyperlink ref="C823" r:id="rId2546" display="http://dev.dashboard.evolvesolar.com/my-commissions.php?user_id=530&amp;payweek=2014-09-12"/>
    <hyperlink ref="A824" r:id="rId2547" display="http://dev.dashboard.evolvesolar.com/my-commissions.php?user_id=534&amp;payweek=2014-09-12"/>
    <hyperlink ref="C824" r:id="rId2548" display="http://dev.dashboard.evolvesolar.com/my-commissions.php?user_id=534&amp;payweek=2014-09-12"/>
    <hyperlink ref="A825" r:id="rId2549" display="http://dev.dashboard.evolvesolar.com/my-commissions.php?user_id=539&amp;payweek=2014-09-12"/>
    <hyperlink ref="C825" r:id="rId2550" display="http://dev.dashboard.evolvesolar.com/my-commissions.php?user_id=539&amp;payweek=2014-09-12"/>
    <hyperlink ref="A826" r:id="rId2551" display="http://dev.dashboard.evolvesolar.com/my-commissions.php?user_id=541&amp;payweek=2014-09-12"/>
    <hyperlink ref="C826" r:id="rId2552" display="http://dev.dashboard.evolvesolar.com/my-commissions.php?user_id=541&amp;payweek=2014-09-12"/>
    <hyperlink ref="A827" r:id="rId2553" display="http://dev.dashboard.evolvesolar.com/my-commissions.php?user_id=549&amp;payweek=2014-09-12"/>
    <hyperlink ref="C827" r:id="rId2554" display="http://dev.dashboard.evolvesolar.com/my-commissions.php?user_id=549&amp;payweek=2014-09-12"/>
    <hyperlink ref="A828" r:id="rId2555" display="http://dev.dashboard.evolvesolar.com/my-commissions.php?user_id=550&amp;payweek=2014-09-12"/>
    <hyperlink ref="C828" r:id="rId2556" display="http://dev.dashboard.evolvesolar.com/my-commissions.php?user_id=550&amp;payweek=2014-09-12"/>
    <hyperlink ref="A829" r:id="rId2557" display="http://dev.dashboard.evolvesolar.com/my-commissions.php?user_id=551&amp;payweek=2014-09-12"/>
    <hyperlink ref="C829" r:id="rId2558" display="http://dev.dashboard.evolvesolar.com/my-commissions.php?user_id=551&amp;payweek=2014-09-12"/>
    <hyperlink ref="A830" r:id="rId2559" display="http://dev.dashboard.evolvesolar.com/my-commissions.php?user_id=553&amp;payweek=2014-09-12"/>
    <hyperlink ref="C830" r:id="rId2560" display="http://dev.dashboard.evolvesolar.com/my-commissions.php?user_id=553&amp;payweek=2014-09-12"/>
    <hyperlink ref="A831" r:id="rId2561" display="http://dev.dashboard.evolvesolar.com/my-commissions.php?user_id=576&amp;payweek=2014-09-12"/>
    <hyperlink ref="C831" r:id="rId2562" display="http://dev.dashboard.evolvesolar.com/my-commissions.php?user_id=576&amp;payweek=2014-09-12"/>
    <hyperlink ref="A832" r:id="rId2563" display="http://dev.dashboard.evolvesolar.com/my-commissions.php?user_id=580&amp;payweek=2014-09-12"/>
    <hyperlink ref="C832" r:id="rId2564" display="http://dev.dashboard.evolvesolar.com/my-commissions.php?user_id=580&amp;payweek=2014-09-12"/>
    <hyperlink ref="A833" r:id="rId2565" display="http://dev.dashboard.evolvesolar.com/my-commissions.php?user_id=581&amp;payweek=2014-09-12"/>
    <hyperlink ref="C833" r:id="rId2566" display="http://dev.dashboard.evolvesolar.com/my-commissions.php?user_id=581&amp;payweek=2014-09-12"/>
    <hyperlink ref="A774" r:id="rId2567" display="http://dev.dashboard.evolvesolar.com/my-commissions.php?user_id=41&amp;payweek=2014-09-11"/>
    <hyperlink ref="C774" r:id="rId2568" display="http://dev.dashboard.evolvesolar.com/my-commissions.php?user_id=41&amp;payweek=2014-09-11"/>
    <hyperlink ref="A773" r:id="rId2569" display="http://dev.dashboard.evolvesolar.com/my-commissions.php?user_id=41&amp;payweek=2014-09-10"/>
    <hyperlink ref="C773" r:id="rId2570" display="http://dev.dashboard.evolvesolar.com/my-commissions.php?user_id=41&amp;payweek=2014-09-10"/>
    <hyperlink ref="A768" r:id="rId2571" display="http://dev.dashboard.evolvesolar.com/my-commissions.php?user_id=27&amp;payweek=2014-09-09"/>
    <hyperlink ref="C768" r:id="rId2572" display="http://dev.dashboard.evolvesolar.com/my-commissions.php?user_id=27&amp;payweek=2014-09-09"/>
    <hyperlink ref="A769" r:id="rId2573" display="http://dev.dashboard.evolvesolar.com/my-commissions.php?user_id=41&amp;payweek=2014-09-09"/>
    <hyperlink ref="C769" r:id="rId2574" display="http://dev.dashboard.evolvesolar.com/my-commissions.php?user_id=41&amp;payweek=2014-09-09"/>
    <hyperlink ref="A770" r:id="rId2575" display="http://dev.dashboard.evolvesolar.com/my-commissions.php?user_id=282&amp;payweek=2014-09-09"/>
    <hyperlink ref="C770" r:id="rId2576" display="http://dev.dashboard.evolvesolar.com/my-commissions.php?user_id=282&amp;payweek=2014-09-09"/>
    <hyperlink ref="A771" r:id="rId2577" display="http://dev.dashboard.evolvesolar.com/my-commissions.php?user_id=383&amp;payweek=2014-09-09"/>
    <hyperlink ref="C771" r:id="rId2578" display="http://dev.dashboard.evolvesolar.com/my-commissions.php?user_id=383&amp;payweek=2014-09-09"/>
    <hyperlink ref="A772" r:id="rId2579" display="http://dev.dashboard.evolvesolar.com/my-commissions.php?user_id=480&amp;payweek=2014-09-09"/>
    <hyperlink ref="C772" r:id="rId2580" display="http://dev.dashboard.evolvesolar.com/my-commissions.php?user_id=480&amp;payweek=2014-09-09"/>
    <hyperlink ref="A767" r:id="rId2581" display="http://dev.dashboard.evolvesolar.com/my-commissions.php?user_id=41&amp;payweek=2014-09-08"/>
    <hyperlink ref="C767" r:id="rId2582" display="http://dev.dashboard.evolvesolar.com/my-commissions.php?user_id=41&amp;payweek=2014-09-08"/>
    <hyperlink ref="A766" r:id="rId2583" display="http://dev.dashboard.evolvesolar.com/my-commissions.php?user_id=41&amp;payweek=2014-09-07"/>
    <hyperlink ref="C766" r:id="rId2584" display="http://dev.dashboard.evolvesolar.com/my-commissions.php?user_id=41&amp;payweek=2014-09-07"/>
    <hyperlink ref="A765" r:id="rId2585" display="http://dev.dashboard.evolvesolar.com/my-commissions.php?user_id=41&amp;payweek=2014-09-06"/>
    <hyperlink ref="C765" r:id="rId2586" display="http://dev.dashboard.evolvesolar.com/my-commissions.php?user_id=41&amp;payweek=2014-09-06"/>
    <hyperlink ref="A748" r:id="rId2587" display="http://dev.dashboard.evolvesolar.com/my-commissions.php?user_id=41&amp;payweek=2014-09-05"/>
    <hyperlink ref="C748" r:id="rId2588" display="http://dev.dashboard.evolvesolar.com/my-commissions.php?user_id=41&amp;payweek=2014-09-05"/>
    <hyperlink ref="A749" r:id="rId2589" display="http://dev.dashboard.evolvesolar.com/my-commissions.php?user_id=63&amp;payweek=2014-09-05"/>
    <hyperlink ref="C749" r:id="rId2590" display="http://dev.dashboard.evolvesolar.com/my-commissions.php?user_id=63&amp;payweek=2014-09-05"/>
    <hyperlink ref="A750" r:id="rId2591" display="http://dev.dashboard.evolvesolar.com/my-commissions.php?user_id=85&amp;payweek=2014-09-05"/>
    <hyperlink ref="C750" r:id="rId2592" display="http://dev.dashboard.evolvesolar.com/my-commissions.php?user_id=85&amp;payweek=2014-09-05"/>
    <hyperlink ref="A751" r:id="rId2593" display="http://dev.dashboard.evolvesolar.com/my-commissions.php?user_id=157&amp;payweek=2014-09-05"/>
    <hyperlink ref="C751" r:id="rId2594" display="http://dev.dashboard.evolvesolar.com/my-commissions.php?user_id=157&amp;payweek=2014-09-05"/>
    <hyperlink ref="A752" r:id="rId2595" display="http://dev.dashboard.evolvesolar.com/my-commissions.php?user_id=203&amp;payweek=2014-09-05"/>
    <hyperlink ref="C752" r:id="rId2596" display="http://dev.dashboard.evolvesolar.com/my-commissions.php?user_id=203&amp;payweek=2014-09-05"/>
    <hyperlink ref="A753" r:id="rId2597" display="http://dev.dashboard.evolvesolar.com/my-commissions.php?user_id=214&amp;payweek=2014-09-05"/>
    <hyperlink ref="C753" r:id="rId2598" display="http://dev.dashboard.evolvesolar.com/my-commissions.php?user_id=214&amp;payweek=2014-09-05"/>
    <hyperlink ref="A754" r:id="rId2599" display="http://dev.dashboard.evolvesolar.com/my-commissions.php?user_id=254&amp;payweek=2014-09-05"/>
    <hyperlink ref="C754" r:id="rId2600" display="http://dev.dashboard.evolvesolar.com/my-commissions.php?user_id=254&amp;payweek=2014-09-05"/>
    <hyperlink ref="A755" r:id="rId2601" display="http://dev.dashboard.evolvesolar.com/my-commissions.php?user_id=261&amp;payweek=2014-09-05"/>
    <hyperlink ref="C755" r:id="rId2602" display="http://dev.dashboard.evolvesolar.com/my-commissions.php?user_id=261&amp;payweek=2014-09-05"/>
    <hyperlink ref="A756" r:id="rId2603" display="http://dev.dashboard.evolvesolar.com/my-commissions.php?user_id=268&amp;payweek=2014-09-05"/>
    <hyperlink ref="C756" r:id="rId2604" display="http://dev.dashboard.evolvesolar.com/my-commissions.php?user_id=268&amp;payweek=2014-09-05"/>
    <hyperlink ref="A757" r:id="rId2605" display="http://dev.dashboard.evolvesolar.com/my-commissions.php?user_id=321&amp;payweek=2014-09-05"/>
    <hyperlink ref="C757" r:id="rId2606" display="http://dev.dashboard.evolvesolar.com/my-commissions.php?user_id=321&amp;payweek=2014-09-05"/>
    <hyperlink ref="A758" r:id="rId2607" display="http://dev.dashboard.evolvesolar.com/my-commissions.php?user_id=341&amp;payweek=2014-09-05"/>
    <hyperlink ref="C758" r:id="rId2608" display="http://dev.dashboard.evolvesolar.com/my-commissions.php?user_id=341&amp;payweek=2014-09-05"/>
    <hyperlink ref="A759" r:id="rId2609" display="http://dev.dashboard.evolvesolar.com/my-commissions.php?user_id=373&amp;payweek=2014-09-05"/>
    <hyperlink ref="C759" r:id="rId2610" display="http://dev.dashboard.evolvesolar.com/my-commissions.php?user_id=373&amp;payweek=2014-09-05"/>
    <hyperlink ref="A760" r:id="rId2611" display="http://dev.dashboard.evolvesolar.com/my-commissions.php?user_id=389&amp;payweek=2014-09-05"/>
    <hyperlink ref="C760" r:id="rId2612" display="http://dev.dashboard.evolvesolar.com/my-commissions.php?user_id=389&amp;payweek=2014-09-05"/>
    <hyperlink ref="A761" r:id="rId2613" display="http://dev.dashboard.evolvesolar.com/my-commissions.php?user_id=438&amp;payweek=2014-09-05"/>
    <hyperlink ref="C761" r:id="rId2614" display="http://dev.dashboard.evolvesolar.com/my-commissions.php?user_id=438&amp;payweek=2014-09-05"/>
    <hyperlink ref="A762" r:id="rId2615" display="http://dev.dashboard.evolvesolar.com/my-commissions.php?user_id=446&amp;payweek=2014-09-05"/>
    <hyperlink ref="C762" r:id="rId2616" display="http://dev.dashboard.evolvesolar.com/my-commissions.php?user_id=446&amp;payweek=2014-09-05"/>
    <hyperlink ref="A763" r:id="rId2617" display="http://dev.dashboard.evolvesolar.com/my-commissions.php?user_id=458&amp;payweek=2014-09-05"/>
    <hyperlink ref="C763" r:id="rId2618" display="http://dev.dashboard.evolvesolar.com/my-commissions.php?user_id=458&amp;payweek=2014-09-05"/>
    <hyperlink ref="A764" r:id="rId2619" display="http://dev.dashboard.evolvesolar.com/my-commissions.php?user_id=487&amp;payweek=2014-09-05"/>
    <hyperlink ref="C764" r:id="rId2620" display="http://dev.dashboard.evolvesolar.com/my-commissions.php?user_id=487&amp;payweek=2014-09-05"/>
    <hyperlink ref="A718" r:id="rId2621" display="http://dev.dashboard.evolvesolar.com/my-commissions.php?user_id=41&amp;payweek=2014-09-04"/>
    <hyperlink ref="C718" r:id="rId2622" display="http://dev.dashboard.evolvesolar.com/my-commissions.php?user_id=41&amp;payweek=2014-09-04"/>
    <hyperlink ref="A719" r:id="rId2623" display="http://dev.dashboard.evolvesolar.com/my-commissions.php?user_id=85&amp;payweek=2014-09-04"/>
    <hyperlink ref="C719" r:id="rId2624" display="http://dev.dashboard.evolvesolar.com/my-commissions.php?user_id=85&amp;payweek=2014-09-04"/>
    <hyperlink ref="A720" r:id="rId2625" display="http://dev.dashboard.evolvesolar.com/my-commissions.php?user_id=133&amp;payweek=2014-09-04"/>
    <hyperlink ref="C720" r:id="rId2626" display="http://dev.dashboard.evolvesolar.com/my-commissions.php?user_id=133&amp;payweek=2014-09-04"/>
    <hyperlink ref="A721" r:id="rId2627" display="http://dev.dashboard.evolvesolar.com/my-commissions.php?user_id=142&amp;payweek=2014-09-04"/>
    <hyperlink ref="C721" r:id="rId2628" display="http://dev.dashboard.evolvesolar.com/my-commissions.php?user_id=142&amp;payweek=2014-09-04"/>
    <hyperlink ref="A722" r:id="rId2629" display="http://dev.dashboard.evolvesolar.com/my-commissions.php?user_id=185&amp;payweek=2014-09-04"/>
    <hyperlink ref="C722" r:id="rId2630" display="http://dev.dashboard.evolvesolar.com/my-commissions.php?user_id=185&amp;payweek=2014-09-04"/>
    <hyperlink ref="A723" r:id="rId2631" display="http://dev.dashboard.evolvesolar.com/my-commissions.php?user_id=203&amp;payweek=2014-09-04"/>
    <hyperlink ref="C723" r:id="rId2632" display="http://dev.dashboard.evolvesolar.com/my-commissions.php?user_id=203&amp;payweek=2014-09-04"/>
    <hyperlink ref="A724" r:id="rId2633" display="http://dev.dashboard.evolvesolar.com/my-commissions.php?user_id=217&amp;payweek=2014-09-04"/>
    <hyperlink ref="C724" r:id="rId2634" display="http://dev.dashboard.evolvesolar.com/my-commissions.php?user_id=217&amp;payweek=2014-09-04"/>
    <hyperlink ref="A725" r:id="rId2635" display="http://dev.dashboard.evolvesolar.com/my-commissions.php?user_id=218&amp;payweek=2014-09-04"/>
    <hyperlink ref="C725" r:id="rId2636" display="http://dev.dashboard.evolvesolar.com/my-commissions.php?user_id=218&amp;payweek=2014-09-04"/>
    <hyperlink ref="A726" r:id="rId2637" display="http://dev.dashboard.evolvesolar.com/my-commissions.php?user_id=223&amp;payweek=2014-09-04"/>
    <hyperlink ref="C726" r:id="rId2638" display="http://dev.dashboard.evolvesolar.com/my-commissions.php?user_id=223&amp;payweek=2014-09-04"/>
    <hyperlink ref="A727" r:id="rId2639" display="http://dev.dashboard.evolvesolar.com/my-commissions.php?user_id=225&amp;payweek=2014-09-04"/>
    <hyperlink ref="C727" r:id="rId2640" display="http://dev.dashboard.evolvesolar.com/my-commissions.php?user_id=225&amp;payweek=2014-09-04"/>
    <hyperlink ref="A728" r:id="rId2641" display="http://dev.dashboard.evolvesolar.com/my-commissions.php?user_id=230&amp;payweek=2014-09-04"/>
    <hyperlink ref="C728" r:id="rId2642" display="http://dev.dashboard.evolvesolar.com/my-commissions.php?user_id=230&amp;payweek=2014-09-04"/>
    <hyperlink ref="A729" r:id="rId2643" display="http://dev.dashboard.evolvesolar.com/my-commissions.php?user_id=231&amp;payweek=2014-09-04"/>
    <hyperlink ref="C729" r:id="rId2644" display="http://dev.dashboard.evolvesolar.com/my-commissions.php?user_id=231&amp;payweek=2014-09-04"/>
    <hyperlink ref="A730" r:id="rId2645" display="http://dev.dashboard.evolvesolar.com/my-commissions.php?user_id=232&amp;payweek=2014-09-04"/>
    <hyperlink ref="C730" r:id="rId2646" display="http://dev.dashboard.evolvesolar.com/my-commissions.php?user_id=232&amp;payweek=2014-09-04"/>
    <hyperlink ref="A731" r:id="rId2647" display="http://dev.dashboard.evolvesolar.com/my-commissions.php?user_id=233&amp;payweek=2014-09-04"/>
    <hyperlink ref="C731" r:id="rId2648" display="http://dev.dashboard.evolvesolar.com/my-commissions.php?user_id=233&amp;payweek=2014-09-04"/>
    <hyperlink ref="A732" r:id="rId2649" display="http://dev.dashboard.evolvesolar.com/my-commissions.php?user_id=236&amp;payweek=2014-09-04"/>
    <hyperlink ref="C732" r:id="rId2650" display="http://dev.dashboard.evolvesolar.com/my-commissions.php?user_id=236&amp;payweek=2014-09-04"/>
    <hyperlink ref="A733" r:id="rId2651" display="http://dev.dashboard.evolvesolar.com/my-commissions.php?user_id=248&amp;payweek=2014-09-04"/>
    <hyperlink ref="C733" r:id="rId2652" display="http://dev.dashboard.evolvesolar.com/my-commissions.php?user_id=248&amp;payweek=2014-09-04"/>
    <hyperlink ref="A734" r:id="rId2653" display="http://dev.dashboard.evolvesolar.com/my-commissions.php?user_id=250&amp;payweek=2014-09-04"/>
    <hyperlink ref="C734" r:id="rId2654" display="http://dev.dashboard.evolvesolar.com/my-commissions.php?user_id=250&amp;payweek=2014-09-04"/>
    <hyperlink ref="A735" r:id="rId2655" display="http://dev.dashboard.evolvesolar.com/my-commissions.php?user_id=260&amp;payweek=2014-09-04"/>
    <hyperlink ref="C735" r:id="rId2656" display="http://dev.dashboard.evolvesolar.com/my-commissions.php?user_id=260&amp;payweek=2014-09-04"/>
    <hyperlink ref="A736" r:id="rId2657" display="http://dev.dashboard.evolvesolar.com/my-commissions.php?user_id=269&amp;payweek=2014-09-04"/>
    <hyperlink ref="C736" r:id="rId2658" display="http://dev.dashboard.evolvesolar.com/my-commissions.php?user_id=269&amp;payweek=2014-09-04"/>
    <hyperlink ref="A737" r:id="rId2659" display="http://dev.dashboard.evolvesolar.com/my-commissions.php?user_id=325&amp;payweek=2014-09-04"/>
    <hyperlink ref="C737" r:id="rId2660" display="http://dev.dashboard.evolvesolar.com/my-commissions.php?user_id=325&amp;payweek=2014-09-04"/>
    <hyperlink ref="A738" r:id="rId2661" display="http://dev.dashboard.evolvesolar.com/my-commissions.php?user_id=326&amp;payweek=2014-09-04"/>
    <hyperlink ref="C738" r:id="rId2662" display="http://dev.dashboard.evolvesolar.com/my-commissions.php?user_id=326&amp;payweek=2014-09-04"/>
    <hyperlink ref="A739" r:id="rId2663" display="http://dev.dashboard.evolvesolar.com/my-commissions.php?user_id=355&amp;payweek=2014-09-04"/>
    <hyperlink ref="C739" r:id="rId2664" display="http://dev.dashboard.evolvesolar.com/my-commissions.php?user_id=355&amp;payweek=2014-09-04"/>
    <hyperlink ref="A740" r:id="rId2665" display="http://dev.dashboard.evolvesolar.com/my-commissions.php?user_id=383&amp;payweek=2014-09-04"/>
    <hyperlink ref="C740" r:id="rId2666" display="http://dev.dashboard.evolvesolar.com/my-commissions.php?user_id=383&amp;payweek=2014-09-04"/>
    <hyperlink ref="A741" r:id="rId2667" display="http://dev.dashboard.evolvesolar.com/my-commissions.php?user_id=391&amp;payweek=2014-09-04"/>
    <hyperlink ref="C741" r:id="rId2668" display="http://dev.dashboard.evolvesolar.com/my-commissions.php?user_id=391&amp;payweek=2014-09-04"/>
    <hyperlink ref="A742" r:id="rId2669" display="http://dev.dashboard.evolvesolar.com/my-commissions.php?user_id=392&amp;payweek=2014-09-04"/>
    <hyperlink ref="C742" r:id="rId2670" display="http://dev.dashboard.evolvesolar.com/my-commissions.php?user_id=392&amp;payweek=2014-09-04"/>
    <hyperlink ref="A743" r:id="rId2671" display="http://dev.dashboard.evolvesolar.com/my-commissions.php?user_id=397&amp;payweek=2014-09-04"/>
    <hyperlink ref="C743" r:id="rId2672" display="http://dev.dashboard.evolvesolar.com/my-commissions.php?user_id=397&amp;payweek=2014-09-04"/>
    <hyperlink ref="A744" r:id="rId2673" display="http://dev.dashboard.evolvesolar.com/my-commissions.php?user_id=401&amp;payweek=2014-09-04"/>
    <hyperlink ref="C744" r:id="rId2674" display="http://dev.dashboard.evolvesolar.com/my-commissions.php?user_id=401&amp;payweek=2014-09-04"/>
    <hyperlink ref="A745" r:id="rId2675" display="http://dev.dashboard.evolvesolar.com/my-commissions.php?user_id=429&amp;payweek=2014-09-04"/>
    <hyperlink ref="C745" r:id="rId2676" display="http://dev.dashboard.evolvesolar.com/my-commissions.php?user_id=429&amp;payweek=2014-09-04"/>
    <hyperlink ref="A746" r:id="rId2677" display="http://dev.dashboard.evolvesolar.com/my-commissions.php?user_id=472&amp;payweek=2014-09-04"/>
    <hyperlink ref="C746" r:id="rId2678" display="http://dev.dashboard.evolvesolar.com/my-commissions.php?user_id=472&amp;payweek=2014-09-04"/>
    <hyperlink ref="A747" r:id="rId2679" display="http://dev.dashboard.evolvesolar.com/my-commissions.php?user_id=580&amp;payweek=2014-09-04"/>
    <hyperlink ref="C747" r:id="rId2680" display="http://dev.dashboard.evolvesolar.com/my-commissions.php?user_id=580&amp;payweek=2014-09-04"/>
    <hyperlink ref="A717" r:id="rId2681" display="http://dev.dashboard.evolvesolar.com/my-commissions.php?user_id=269&amp;payweek=2014-09-02"/>
    <hyperlink ref="C717" r:id="rId2682" display="http://dev.dashboard.evolvesolar.com/my-commissions.php?user_id=269&amp;payweek=2014-09-02"/>
    <hyperlink ref="A686" r:id="rId2683" display="http://dev.dashboard.evolvesolar.com/my-commissions.php?user_id=41&amp;payweek=2014-08-29"/>
    <hyperlink ref="C686" r:id="rId2684" display="http://dev.dashboard.evolvesolar.com/my-commissions.php?user_id=41&amp;payweek=2014-08-29"/>
    <hyperlink ref="A687" r:id="rId2685" display="http://dev.dashboard.evolvesolar.com/my-commissions.php?user_id=46&amp;payweek=2014-08-29"/>
    <hyperlink ref="C687" r:id="rId2686" display="http://dev.dashboard.evolvesolar.com/my-commissions.php?user_id=46&amp;payweek=2014-08-29"/>
    <hyperlink ref="A688" r:id="rId2687" display="http://dev.dashboard.evolvesolar.com/my-commissions.php?user_id=74&amp;payweek=2014-08-29"/>
    <hyperlink ref="C688" r:id="rId2688" display="http://dev.dashboard.evolvesolar.com/my-commissions.php?user_id=74&amp;payweek=2014-08-29"/>
    <hyperlink ref="A689" r:id="rId2689" display="http://dev.dashboard.evolvesolar.com/my-commissions.php?user_id=87&amp;payweek=2014-08-29"/>
    <hyperlink ref="C689" r:id="rId2690" display="http://dev.dashboard.evolvesolar.com/my-commissions.php?user_id=87&amp;payweek=2014-08-29"/>
    <hyperlink ref="A690" r:id="rId2691" display="http://dev.dashboard.evolvesolar.com/my-commissions.php?user_id=149&amp;payweek=2014-08-29"/>
    <hyperlink ref="C690" r:id="rId2692" display="http://dev.dashboard.evolvesolar.com/my-commissions.php?user_id=149&amp;payweek=2014-08-29"/>
    <hyperlink ref="A691" r:id="rId2693" display="http://dev.dashboard.evolvesolar.com/my-commissions.php?user_id=159&amp;payweek=2014-08-29"/>
    <hyperlink ref="C691" r:id="rId2694" display="http://dev.dashboard.evolvesolar.com/my-commissions.php?user_id=159&amp;payweek=2014-08-29"/>
    <hyperlink ref="A692" r:id="rId2695" display="http://dev.dashboard.evolvesolar.com/my-commissions.php?user_id=227&amp;payweek=2014-08-29"/>
    <hyperlink ref="C692" r:id="rId2696" display="http://dev.dashboard.evolvesolar.com/my-commissions.php?user_id=227&amp;payweek=2014-08-29"/>
    <hyperlink ref="A693" r:id="rId2697" display="http://dev.dashboard.evolvesolar.com/my-commissions.php?user_id=231&amp;payweek=2014-08-29"/>
    <hyperlink ref="C693" r:id="rId2698" display="http://dev.dashboard.evolvesolar.com/my-commissions.php?user_id=231&amp;payweek=2014-08-29"/>
    <hyperlink ref="A694" r:id="rId2699" display="http://dev.dashboard.evolvesolar.com/my-commissions.php?user_id=232&amp;payweek=2014-08-29"/>
    <hyperlink ref="C694" r:id="rId2700" display="http://dev.dashboard.evolvesolar.com/my-commissions.php?user_id=232&amp;payweek=2014-08-29"/>
    <hyperlink ref="A695" r:id="rId2701" display="http://dev.dashboard.evolvesolar.com/my-commissions.php?user_id=233&amp;payweek=2014-08-29"/>
    <hyperlink ref="C695" r:id="rId2702" display="http://dev.dashboard.evolvesolar.com/my-commissions.php?user_id=233&amp;payweek=2014-08-29"/>
    <hyperlink ref="A696" r:id="rId2703" display="http://dev.dashboard.evolvesolar.com/my-commissions.php?user_id=236&amp;payweek=2014-08-29"/>
    <hyperlink ref="C696" r:id="rId2704" display="http://dev.dashboard.evolvesolar.com/my-commissions.php?user_id=236&amp;payweek=2014-08-29"/>
    <hyperlink ref="A697" r:id="rId2705" display="http://dev.dashboard.evolvesolar.com/my-commissions.php?user_id=254&amp;payweek=2014-08-29"/>
    <hyperlink ref="C697" r:id="rId2706" display="http://dev.dashboard.evolvesolar.com/my-commissions.php?user_id=254&amp;payweek=2014-08-29"/>
    <hyperlink ref="A698" r:id="rId2707" display="http://dev.dashboard.evolvesolar.com/my-commissions.php?user_id=261&amp;payweek=2014-08-29"/>
    <hyperlink ref="C698" r:id="rId2708" display="http://dev.dashboard.evolvesolar.com/my-commissions.php?user_id=261&amp;payweek=2014-08-29"/>
    <hyperlink ref="A699" r:id="rId2709" display="http://dev.dashboard.evolvesolar.com/my-commissions.php?user_id=268&amp;payweek=2014-08-29"/>
    <hyperlink ref="C699" r:id="rId2710" display="http://dev.dashboard.evolvesolar.com/my-commissions.php?user_id=268&amp;payweek=2014-08-29"/>
    <hyperlink ref="A700" r:id="rId2711" display="http://dev.dashboard.evolvesolar.com/my-commissions.php?user_id=321&amp;payweek=2014-08-29"/>
    <hyperlink ref="C700" r:id="rId2712" display="http://dev.dashboard.evolvesolar.com/my-commissions.php?user_id=321&amp;payweek=2014-08-29"/>
    <hyperlink ref="A701" r:id="rId2713" display="http://dev.dashboard.evolvesolar.com/my-commissions.php?user_id=325&amp;payweek=2014-08-29"/>
    <hyperlink ref="C701" r:id="rId2714" display="http://dev.dashboard.evolvesolar.com/my-commissions.php?user_id=325&amp;payweek=2014-08-29"/>
    <hyperlink ref="A702" r:id="rId2715" display="http://dev.dashboard.evolvesolar.com/my-commissions.php?user_id=326&amp;payweek=2014-08-29"/>
    <hyperlink ref="C702" r:id="rId2716" display="http://dev.dashboard.evolvesolar.com/my-commissions.php?user_id=326&amp;payweek=2014-08-29"/>
    <hyperlink ref="A703" r:id="rId2717" display="http://dev.dashboard.evolvesolar.com/my-commissions.php?user_id=329&amp;payweek=2014-08-29"/>
    <hyperlink ref="C703" r:id="rId2718" display="http://dev.dashboard.evolvesolar.com/my-commissions.php?user_id=329&amp;payweek=2014-08-29"/>
    <hyperlink ref="A704" r:id="rId2719" display="http://dev.dashboard.evolvesolar.com/my-commissions.php?user_id=332&amp;payweek=2014-08-29"/>
    <hyperlink ref="C704" r:id="rId2720" display="http://dev.dashboard.evolvesolar.com/my-commissions.php?user_id=332&amp;payweek=2014-08-29"/>
    <hyperlink ref="A705" r:id="rId2721" display="http://dev.dashboard.evolvesolar.com/my-commissions.php?user_id=347&amp;payweek=2014-08-29"/>
    <hyperlink ref="C705" r:id="rId2722" display="http://dev.dashboard.evolvesolar.com/my-commissions.php?user_id=347&amp;payweek=2014-08-29"/>
    <hyperlink ref="A706" r:id="rId2723" display="http://dev.dashboard.evolvesolar.com/my-commissions.php?user_id=355&amp;payweek=2014-08-29"/>
    <hyperlink ref="C706" r:id="rId2724" display="http://dev.dashboard.evolvesolar.com/my-commissions.php?user_id=355&amp;payweek=2014-08-29"/>
    <hyperlink ref="A707" r:id="rId2725" display="http://dev.dashboard.evolvesolar.com/my-commissions.php?user_id=389&amp;payweek=2014-08-29"/>
    <hyperlink ref="C707" r:id="rId2726" display="http://dev.dashboard.evolvesolar.com/my-commissions.php?user_id=389&amp;payweek=2014-08-29"/>
    <hyperlink ref="A708" r:id="rId2727" display="http://dev.dashboard.evolvesolar.com/my-commissions.php?user_id=395&amp;payweek=2014-08-29"/>
    <hyperlink ref="C708" r:id="rId2728" display="http://dev.dashboard.evolvesolar.com/my-commissions.php?user_id=395&amp;payweek=2014-08-29"/>
    <hyperlink ref="A709" r:id="rId2729" display="http://dev.dashboard.evolvesolar.com/my-commissions.php?user_id=397&amp;payweek=2014-08-29"/>
    <hyperlink ref="C709" r:id="rId2730" display="http://dev.dashboard.evolvesolar.com/my-commissions.php?user_id=397&amp;payweek=2014-08-29"/>
    <hyperlink ref="A710" r:id="rId2731" display="http://dev.dashboard.evolvesolar.com/my-commissions.php?user_id=410&amp;payweek=2014-08-29"/>
    <hyperlink ref="C710" r:id="rId2732" display="http://dev.dashboard.evolvesolar.com/my-commissions.php?user_id=410&amp;payweek=2014-08-29"/>
    <hyperlink ref="A711" r:id="rId2733" display="http://dev.dashboard.evolvesolar.com/my-commissions.php?user_id=429&amp;payweek=2014-08-29"/>
    <hyperlink ref="C711" r:id="rId2734" display="http://dev.dashboard.evolvesolar.com/my-commissions.php?user_id=429&amp;payweek=2014-08-29"/>
    <hyperlink ref="A712" r:id="rId2735" display="http://dev.dashboard.evolvesolar.com/my-commissions.php?user_id=430&amp;payweek=2014-08-29"/>
    <hyperlink ref="C712" r:id="rId2736" display="http://dev.dashboard.evolvesolar.com/my-commissions.php?user_id=430&amp;payweek=2014-08-29"/>
    <hyperlink ref="A713" r:id="rId2737" display="http://dev.dashboard.evolvesolar.com/my-commissions.php?user_id=443&amp;payweek=2014-08-29"/>
    <hyperlink ref="C713" r:id="rId2738" display="http://dev.dashboard.evolvesolar.com/my-commissions.php?user_id=443&amp;payweek=2014-08-29"/>
    <hyperlink ref="A714" r:id="rId2739" display="http://dev.dashboard.evolvesolar.com/my-commissions.php?user_id=472&amp;payweek=2014-08-29"/>
    <hyperlink ref="C714" r:id="rId2740" display="http://dev.dashboard.evolvesolar.com/my-commissions.php?user_id=472&amp;payweek=2014-08-29"/>
    <hyperlink ref="A715" r:id="rId2741" display="http://dev.dashboard.evolvesolar.com/my-commissions.php?user_id=580&amp;payweek=2014-08-29"/>
    <hyperlink ref="C715" r:id="rId2742" display="http://dev.dashboard.evolvesolar.com/my-commissions.php?user_id=580&amp;payweek=2014-08-29"/>
    <hyperlink ref="A716" r:id="rId2743" display="http://dev.dashboard.evolvesolar.com/my-commissions.php?user_id=642&amp;payweek=2014-08-29"/>
    <hyperlink ref="C716" r:id="rId2744" display="http://dev.dashboard.evolvesolar.com/my-commissions.php?user_id=642&amp;payweek=2014-08-29"/>
    <hyperlink ref="A663" r:id="rId2745" display="http://dev.dashboard.evolvesolar.com/my-commissions.php?user_id=47&amp;payweek=2014-08-28"/>
    <hyperlink ref="C663" r:id="rId2746" display="http://dev.dashboard.evolvesolar.com/my-commissions.php?user_id=47&amp;payweek=2014-08-28"/>
    <hyperlink ref="A664" r:id="rId2747" display="http://dev.dashboard.evolvesolar.com/my-commissions.php?user_id=94&amp;payweek=2014-08-28"/>
    <hyperlink ref="C664" r:id="rId2748" display="http://dev.dashboard.evolvesolar.com/my-commissions.php?user_id=94&amp;payweek=2014-08-28"/>
    <hyperlink ref="A665" r:id="rId2749" display="http://dev.dashboard.evolvesolar.com/my-commissions.php?user_id=104&amp;payweek=2014-08-28"/>
    <hyperlink ref="C665" r:id="rId2750" display="http://dev.dashboard.evolvesolar.com/my-commissions.php?user_id=104&amp;payweek=2014-08-28"/>
    <hyperlink ref="A666" r:id="rId2751" display="http://dev.dashboard.evolvesolar.com/my-commissions.php?user_id=133&amp;payweek=2014-08-28"/>
    <hyperlink ref="C666" r:id="rId2752" display="http://dev.dashboard.evolvesolar.com/my-commissions.php?user_id=133&amp;payweek=2014-08-28"/>
    <hyperlink ref="A667" r:id="rId2753" display="http://dev.dashboard.evolvesolar.com/my-commissions.php?user_id=152&amp;payweek=2014-08-28"/>
    <hyperlink ref="C667" r:id="rId2754" display="http://dev.dashboard.evolvesolar.com/my-commissions.php?user_id=152&amp;payweek=2014-08-28"/>
    <hyperlink ref="A668" r:id="rId2755" display="http://dev.dashboard.evolvesolar.com/my-commissions.php?user_id=157&amp;payweek=2014-08-28"/>
    <hyperlink ref="C668" r:id="rId2756" display="http://dev.dashboard.evolvesolar.com/my-commissions.php?user_id=157&amp;payweek=2014-08-28"/>
    <hyperlink ref="A669" r:id="rId2757" display="http://dev.dashboard.evolvesolar.com/my-commissions.php?user_id=206&amp;payweek=2014-08-28"/>
    <hyperlink ref="C669" r:id="rId2758" display="http://dev.dashboard.evolvesolar.com/my-commissions.php?user_id=206&amp;payweek=2014-08-28"/>
    <hyperlink ref="A670" r:id="rId2759" display="http://dev.dashboard.evolvesolar.com/my-commissions.php?user_id=214&amp;payweek=2014-08-28"/>
    <hyperlink ref="C670" r:id="rId2760" display="http://dev.dashboard.evolvesolar.com/my-commissions.php?user_id=214&amp;payweek=2014-08-28"/>
    <hyperlink ref="A671" r:id="rId2761" display="http://dev.dashboard.evolvesolar.com/my-commissions.php?user_id=218&amp;payweek=2014-08-28"/>
    <hyperlink ref="C671" r:id="rId2762" display="http://dev.dashboard.evolvesolar.com/my-commissions.php?user_id=218&amp;payweek=2014-08-28"/>
    <hyperlink ref="A672" r:id="rId2763" display="http://dev.dashboard.evolvesolar.com/my-commissions.php?user_id=224&amp;payweek=2014-08-28"/>
    <hyperlink ref="C672" r:id="rId2764" display="http://dev.dashboard.evolvesolar.com/my-commissions.php?user_id=224&amp;payweek=2014-08-28"/>
    <hyperlink ref="A673" r:id="rId2765" display="http://dev.dashboard.evolvesolar.com/my-commissions.php?user_id=230&amp;payweek=2014-08-28"/>
    <hyperlink ref="C673" r:id="rId2766" display="http://dev.dashboard.evolvesolar.com/my-commissions.php?user_id=230&amp;payweek=2014-08-28"/>
    <hyperlink ref="A674" r:id="rId2767" display="http://dev.dashboard.evolvesolar.com/my-commissions.php?user_id=232&amp;payweek=2014-08-28"/>
    <hyperlink ref="C674" r:id="rId2768" display="http://dev.dashboard.evolvesolar.com/my-commissions.php?user_id=232&amp;payweek=2014-08-28"/>
    <hyperlink ref="A675" r:id="rId2769" display="http://dev.dashboard.evolvesolar.com/my-commissions.php?user_id=234&amp;payweek=2014-08-28"/>
    <hyperlink ref="C675" r:id="rId2770" display="http://dev.dashboard.evolvesolar.com/my-commissions.php?user_id=234&amp;payweek=2014-08-28"/>
    <hyperlink ref="A676" r:id="rId2771" display="http://dev.dashboard.evolvesolar.com/my-commissions.php?user_id=237&amp;payweek=2014-08-28"/>
    <hyperlink ref="C676" r:id="rId2772" display="http://dev.dashboard.evolvesolar.com/my-commissions.php?user_id=237&amp;payweek=2014-08-28"/>
    <hyperlink ref="A677" r:id="rId2773" display="http://dev.dashboard.evolvesolar.com/my-commissions.php?user_id=248&amp;payweek=2014-08-28"/>
    <hyperlink ref="C677" r:id="rId2774" display="http://dev.dashboard.evolvesolar.com/my-commissions.php?user_id=248&amp;payweek=2014-08-28"/>
    <hyperlink ref="A678" r:id="rId2775" display="http://dev.dashboard.evolvesolar.com/my-commissions.php?user_id=260&amp;payweek=2014-08-28"/>
    <hyperlink ref="C678" r:id="rId2776" display="http://dev.dashboard.evolvesolar.com/my-commissions.php?user_id=260&amp;payweek=2014-08-28"/>
    <hyperlink ref="A679" r:id="rId2777" display="http://dev.dashboard.evolvesolar.com/my-commissions.php?user_id=302&amp;payweek=2014-08-28"/>
    <hyperlink ref="C679" r:id="rId2778" display="http://dev.dashboard.evolvesolar.com/my-commissions.php?user_id=302&amp;payweek=2014-08-28"/>
    <hyperlink ref="A680" r:id="rId2779" display="http://dev.dashboard.evolvesolar.com/my-commissions.php?user_id=304&amp;payweek=2014-08-28"/>
    <hyperlink ref="C680" r:id="rId2780" display="http://dev.dashboard.evolvesolar.com/my-commissions.php?user_id=304&amp;payweek=2014-08-28"/>
    <hyperlink ref="A681" r:id="rId2781" display="http://dev.dashboard.evolvesolar.com/my-commissions.php?user_id=328&amp;payweek=2014-08-28"/>
    <hyperlink ref="C681" r:id="rId2782" display="http://dev.dashboard.evolvesolar.com/my-commissions.php?user_id=328&amp;payweek=2014-08-28"/>
    <hyperlink ref="A682" r:id="rId2783" display="http://dev.dashboard.evolvesolar.com/my-commissions.php?user_id=358&amp;payweek=2014-08-28"/>
    <hyperlink ref="C682" r:id="rId2784" display="http://dev.dashboard.evolvesolar.com/my-commissions.php?user_id=358&amp;payweek=2014-08-28"/>
    <hyperlink ref="A683" r:id="rId2785" display="http://dev.dashboard.evolvesolar.com/my-commissions.php?user_id=382&amp;payweek=2014-08-28"/>
    <hyperlink ref="C683" r:id="rId2786" display="http://dev.dashboard.evolvesolar.com/my-commissions.php?user_id=382&amp;payweek=2014-08-28"/>
    <hyperlink ref="A684" r:id="rId2787" display="http://dev.dashboard.evolvesolar.com/my-commissions.php?user_id=391&amp;payweek=2014-08-28"/>
    <hyperlink ref="C684" r:id="rId2788" display="http://dev.dashboard.evolvesolar.com/my-commissions.php?user_id=391&amp;payweek=2014-08-28"/>
    <hyperlink ref="A685" r:id="rId2789" display="http://dev.dashboard.evolvesolar.com/my-commissions.php?user_id=392&amp;payweek=2014-08-28"/>
    <hyperlink ref="C685" r:id="rId2790" display="http://dev.dashboard.evolvesolar.com/my-commissions.php?user_id=392&amp;payweek=2014-08-28"/>
    <hyperlink ref="A662" r:id="rId2791" display="http://dev.dashboard.evolvesolar.com/my-commissions.php?user_id=134&amp;payweek=2014-08-26"/>
    <hyperlink ref="C662" r:id="rId2792" display="http://dev.dashboard.evolvesolar.com/my-commissions.php?user_id=134&amp;payweek=2014-08-26"/>
    <hyperlink ref="A658" r:id="rId2793" display="http://dev.dashboard.evolvesolar.com/my-commissions.php?user_id=46&amp;payweek=2014-08-25"/>
    <hyperlink ref="C658" r:id="rId2794" display="http://dev.dashboard.evolvesolar.com/my-commissions.php?user_id=46&amp;payweek=2014-08-25"/>
    <hyperlink ref="A659" r:id="rId2795" display="http://dev.dashboard.evolvesolar.com/my-commissions.php?user_id=185&amp;payweek=2014-08-25"/>
    <hyperlink ref="C659" r:id="rId2796" display="http://dev.dashboard.evolvesolar.com/my-commissions.php?user_id=185&amp;payweek=2014-08-25"/>
    <hyperlink ref="A660" r:id="rId2797" display="http://dev.dashboard.evolvesolar.com/my-commissions.php?user_id=379&amp;payweek=2014-08-25"/>
    <hyperlink ref="C660" r:id="rId2798" display="http://dev.dashboard.evolvesolar.com/my-commissions.php?user_id=379&amp;payweek=2014-08-25"/>
    <hyperlink ref="A661" r:id="rId2799" display="http://dev.dashboard.evolvesolar.com/my-commissions.php?user_id=383&amp;payweek=2014-08-25"/>
    <hyperlink ref="C661" r:id="rId2800" display="http://dev.dashboard.evolvesolar.com/my-commissions.php?user_id=383&amp;payweek=2014-08-25"/>
    <hyperlink ref="A600" r:id="rId2801" display="http://dev.dashboard.evolvesolar.com/my-commissions.php?user_id=41&amp;payweek=2014-08-22"/>
    <hyperlink ref="C600" r:id="rId2802" display="http://dev.dashboard.evolvesolar.com/my-commissions.php?user_id=41&amp;payweek=2014-08-22"/>
    <hyperlink ref="A601" r:id="rId2803" display="http://dev.dashboard.evolvesolar.com/my-commissions.php?user_id=63&amp;payweek=2014-08-22"/>
    <hyperlink ref="C601" r:id="rId2804" display="http://dev.dashboard.evolvesolar.com/my-commissions.php?user_id=63&amp;payweek=2014-08-22"/>
    <hyperlink ref="A602" r:id="rId2805" display="http://dev.dashboard.evolvesolar.com/my-commissions.php?user_id=94&amp;payweek=2014-08-22"/>
    <hyperlink ref="C602" r:id="rId2806" display="http://dev.dashboard.evolvesolar.com/my-commissions.php?user_id=94&amp;payweek=2014-08-22"/>
    <hyperlink ref="A603" r:id="rId2807" display="http://dev.dashboard.evolvesolar.com/my-commissions.php?user_id=120&amp;payweek=2014-08-22"/>
    <hyperlink ref="C603" r:id="rId2808" display="http://dev.dashboard.evolvesolar.com/my-commissions.php?user_id=120&amp;payweek=2014-08-22"/>
    <hyperlink ref="A604" r:id="rId2809" display="http://dev.dashboard.evolvesolar.com/my-commissions.php?user_id=133&amp;payweek=2014-08-22"/>
    <hyperlink ref="C604" r:id="rId2810" display="http://dev.dashboard.evolvesolar.com/my-commissions.php?user_id=133&amp;payweek=2014-08-22"/>
    <hyperlink ref="A605" r:id="rId2811" display="http://dev.dashboard.evolvesolar.com/my-commissions.php?user_id=141&amp;payweek=2014-08-22"/>
    <hyperlink ref="C605" r:id="rId2812" display="http://dev.dashboard.evolvesolar.com/my-commissions.php?user_id=141&amp;payweek=2014-08-22"/>
    <hyperlink ref="A606" r:id="rId2813" display="http://dev.dashboard.evolvesolar.com/my-commissions.php?user_id=152&amp;payweek=2014-08-22"/>
    <hyperlink ref="C606" r:id="rId2814" display="http://dev.dashboard.evolvesolar.com/my-commissions.php?user_id=152&amp;payweek=2014-08-22"/>
    <hyperlink ref="A607" r:id="rId2815" display="http://dev.dashboard.evolvesolar.com/my-commissions.php?user_id=191&amp;payweek=2014-08-22"/>
    <hyperlink ref="C607" r:id="rId2816" display="http://dev.dashboard.evolvesolar.com/my-commissions.php?user_id=191&amp;payweek=2014-08-22"/>
    <hyperlink ref="A608" r:id="rId2817" display="http://dev.dashboard.evolvesolar.com/my-commissions.php?user_id=206&amp;payweek=2014-08-22"/>
    <hyperlink ref="C608" r:id="rId2818" display="http://dev.dashboard.evolvesolar.com/my-commissions.php?user_id=206&amp;payweek=2014-08-22"/>
    <hyperlink ref="A609" r:id="rId2819" display="http://dev.dashboard.evolvesolar.com/my-commissions.php?user_id=211&amp;payweek=2014-08-22"/>
    <hyperlink ref="C609" r:id="rId2820" display="http://dev.dashboard.evolvesolar.com/my-commissions.php?user_id=211&amp;payweek=2014-08-22"/>
    <hyperlink ref="A610" r:id="rId2821" display="http://dev.dashboard.evolvesolar.com/my-commissions.php?user_id=213&amp;payweek=2014-08-22"/>
    <hyperlink ref="C610" r:id="rId2822" display="http://dev.dashboard.evolvesolar.com/my-commissions.php?user_id=213&amp;payweek=2014-08-22"/>
    <hyperlink ref="A611" r:id="rId2823" display="http://dev.dashboard.evolvesolar.com/my-commissions.php?user_id=214&amp;payweek=2014-08-22"/>
    <hyperlink ref="C611" r:id="rId2824" display="http://dev.dashboard.evolvesolar.com/my-commissions.php?user_id=214&amp;payweek=2014-08-22"/>
    <hyperlink ref="A612" r:id="rId2825" display="http://dev.dashboard.evolvesolar.com/my-commissions.php?user_id=218&amp;payweek=2014-08-22"/>
    <hyperlink ref="C612" r:id="rId2826" display="http://dev.dashboard.evolvesolar.com/my-commissions.php?user_id=218&amp;payweek=2014-08-22"/>
    <hyperlink ref="A613" r:id="rId2827" display="http://dev.dashboard.evolvesolar.com/my-commissions.php?user_id=224&amp;payweek=2014-08-22"/>
    <hyperlink ref="C613" r:id="rId2828" display="http://dev.dashboard.evolvesolar.com/my-commissions.php?user_id=224&amp;payweek=2014-08-22"/>
    <hyperlink ref="A614" r:id="rId2829" display="http://dev.dashboard.evolvesolar.com/my-commissions.php?user_id=227&amp;payweek=2014-08-22"/>
    <hyperlink ref="C614" r:id="rId2830" display="http://dev.dashboard.evolvesolar.com/my-commissions.php?user_id=227&amp;payweek=2014-08-22"/>
    <hyperlink ref="A615" r:id="rId2831" display="http://dev.dashboard.evolvesolar.com/my-commissions.php?user_id=230&amp;payweek=2014-08-22"/>
    <hyperlink ref="C615" r:id="rId2832" display="http://dev.dashboard.evolvesolar.com/my-commissions.php?user_id=230&amp;payweek=2014-08-22"/>
    <hyperlink ref="A616" r:id="rId2833" display="http://dev.dashboard.evolvesolar.com/my-commissions.php?user_id=231&amp;payweek=2014-08-22"/>
    <hyperlink ref="C616" r:id="rId2834" display="http://dev.dashboard.evolvesolar.com/my-commissions.php?user_id=231&amp;payweek=2014-08-22"/>
    <hyperlink ref="A617" r:id="rId2835" display="http://dev.dashboard.evolvesolar.com/my-commissions.php?user_id=232&amp;payweek=2014-08-22"/>
    <hyperlink ref="C617" r:id="rId2836" display="http://dev.dashboard.evolvesolar.com/my-commissions.php?user_id=232&amp;payweek=2014-08-22"/>
    <hyperlink ref="A618" r:id="rId2837" display="http://dev.dashboard.evolvesolar.com/my-commissions.php?user_id=233&amp;payweek=2014-08-22"/>
    <hyperlink ref="C618" r:id="rId2838" display="http://dev.dashboard.evolvesolar.com/my-commissions.php?user_id=233&amp;payweek=2014-08-22"/>
    <hyperlink ref="A619" r:id="rId2839" display="http://dev.dashboard.evolvesolar.com/my-commissions.php?user_id=234&amp;payweek=2014-08-22"/>
    <hyperlink ref="C619" r:id="rId2840" display="http://dev.dashboard.evolvesolar.com/my-commissions.php?user_id=234&amp;payweek=2014-08-22"/>
    <hyperlink ref="A620" r:id="rId2841" display="http://dev.dashboard.evolvesolar.com/my-commissions.php?user_id=236&amp;payweek=2014-08-22"/>
    <hyperlink ref="C620" r:id="rId2842" display="http://dev.dashboard.evolvesolar.com/my-commissions.php?user_id=236&amp;payweek=2014-08-22"/>
    <hyperlink ref="A621" r:id="rId2843" display="http://dev.dashboard.evolvesolar.com/my-commissions.php?user_id=242&amp;payweek=2014-08-22"/>
    <hyperlink ref="C621" r:id="rId2844" display="http://dev.dashboard.evolvesolar.com/my-commissions.php?user_id=242&amp;payweek=2014-08-22"/>
    <hyperlink ref="A622" r:id="rId2845" display="http://dev.dashboard.evolvesolar.com/my-commissions.php?user_id=244&amp;payweek=2014-08-22"/>
    <hyperlink ref="C622" r:id="rId2846" display="http://dev.dashboard.evolvesolar.com/my-commissions.php?user_id=244&amp;payweek=2014-08-22"/>
    <hyperlink ref="A623" r:id="rId2847" display="http://dev.dashboard.evolvesolar.com/my-commissions.php?user_id=245&amp;payweek=2014-08-22"/>
    <hyperlink ref="C623" r:id="rId2848" display="http://dev.dashboard.evolvesolar.com/my-commissions.php?user_id=245&amp;payweek=2014-08-22"/>
    <hyperlink ref="A624" r:id="rId2849" display="http://dev.dashboard.evolvesolar.com/my-commissions.php?user_id=247&amp;payweek=2014-08-22"/>
    <hyperlink ref="C624" r:id="rId2850" display="http://dev.dashboard.evolvesolar.com/my-commissions.php?user_id=247&amp;payweek=2014-08-22"/>
    <hyperlink ref="A625" r:id="rId2851" display="http://dev.dashboard.evolvesolar.com/my-commissions.php?user_id=248&amp;payweek=2014-08-22"/>
    <hyperlink ref="C625" r:id="rId2852" display="http://dev.dashboard.evolvesolar.com/my-commissions.php?user_id=248&amp;payweek=2014-08-22"/>
    <hyperlink ref="A626" r:id="rId2853" display="http://dev.dashboard.evolvesolar.com/my-commissions.php?user_id=250&amp;payweek=2014-08-22"/>
    <hyperlink ref="C626" r:id="rId2854" display="http://dev.dashboard.evolvesolar.com/my-commissions.php?user_id=250&amp;payweek=2014-08-22"/>
    <hyperlink ref="A627" r:id="rId2855" display="http://dev.dashboard.evolvesolar.com/my-commissions.php?user_id=254&amp;payweek=2014-08-22"/>
    <hyperlink ref="C627" r:id="rId2856" display="http://dev.dashboard.evolvesolar.com/my-commissions.php?user_id=254&amp;payweek=2014-08-22"/>
    <hyperlink ref="A628" r:id="rId2857" display="http://dev.dashboard.evolvesolar.com/my-commissions.php?user_id=260&amp;payweek=2014-08-22"/>
    <hyperlink ref="C628" r:id="rId2858" display="http://dev.dashboard.evolvesolar.com/my-commissions.php?user_id=260&amp;payweek=2014-08-22"/>
    <hyperlink ref="A629" r:id="rId2859" display="http://dev.dashboard.evolvesolar.com/my-commissions.php?user_id=261&amp;payweek=2014-08-22"/>
    <hyperlink ref="C629" r:id="rId2860" display="http://dev.dashboard.evolvesolar.com/my-commissions.php?user_id=261&amp;payweek=2014-08-22"/>
    <hyperlink ref="A630" r:id="rId2861" display="http://dev.dashboard.evolvesolar.com/my-commissions.php?user_id=269&amp;payweek=2014-08-22"/>
    <hyperlink ref="C630" r:id="rId2862" display="http://dev.dashboard.evolvesolar.com/my-commissions.php?user_id=269&amp;payweek=2014-08-22"/>
    <hyperlink ref="A631" r:id="rId2863" display="http://dev.dashboard.evolvesolar.com/my-commissions.php?user_id=276&amp;payweek=2014-08-22"/>
    <hyperlink ref="C631" r:id="rId2864" display="http://dev.dashboard.evolvesolar.com/my-commissions.php?user_id=276&amp;payweek=2014-08-22"/>
    <hyperlink ref="A632" r:id="rId2865" display="http://dev.dashboard.evolvesolar.com/my-commissions.php?user_id=282&amp;payweek=2014-08-22"/>
    <hyperlink ref="C632" r:id="rId2866" display="http://dev.dashboard.evolvesolar.com/my-commissions.php?user_id=282&amp;payweek=2014-08-22"/>
    <hyperlink ref="A633" r:id="rId2867" display="http://dev.dashboard.evolvesolar.com/my-commissions.php?user_id=286&amp;payweek=2014-08-22"/>
    <hyperlink ref="C633" r:id="rId2868" display="http://dev.dashboard.evolvesolar.com/my-commissions.php?user_id=286&amp;payweek=2014-08-22"/>
    <hyperlink ref="A634" r:id="rId2869" display="http://dev.dashboard.evolvesolar.com/my-commissions.php?user_id=295&amp;payweek=2014-08-22"/>
    <hyperlink ref="C634" r:id="rId2870" display="http://dev.dashboard.evolvesolar.com/my-commissions.php?user_id=295&amp;payweek=2014-08-22"/>
    <hyperlink ref="A635" r:id="rId2871" display="http://dev.dashboard.evolvesolar.com/my-commissions.php?user_id=302&amp;payweek=2014-08-22"/>
    <hyperlink ref="C635" r:id="rId2872" display="http://dev.dashboard.evolvesolar.com/my-commissions.php?user_id=302&amp;payweek=2014-08-22"/>
    <hyperlink ref="A636" r:id="rId2873" display="http://dev.dashboard.evolvesolar.com/my-commissions.php?user_id=324&amp;payweek=2014-08-22"/>
    <hyperlink ref="C636" r:id="rId2874" display="http://dev.dashboard.evolvesolar.com/my-commissions.php?user_id=324&amp;payweek=2014-08-22"/>
    <hyperlink ref="A637" r:id="rId2875" display="http://dev.dashboard.evolvesolar.com/my-commissions.php?user_id=352&amp;payweek=2014-08-22"/>
    <hyperlink ref="C637" r:id="rId2876" display="http://dev.dashboard.evolvesolar.com/my-commissions.php?user_id=352&amp;payweek=2014-08-22"/>
    <hyperlink ref="A638" r:id="rId2877" display="http://dev.dashboard.evolvesolar.com/my-commissions.php?user_id=355&amp;payweek=2014-08-22"/>
    <hyperlink ref="C638" r:id="rId2878" display="http://dev.dashboard.evolvesolar.com/my-commissions.php?user_id=355&amp;payweek=2014-08-22"/>
    <hyperlink ref="A639" r:id="rId2879" display="http://dev.dashboard.evolvesolar.com/my-commissions.php?user_id=360&amp;payweek=2014-08-22"/>
    <hyperlink ref="C639" r:id="rId2880" display="http://dev.dashboard.evolvesolar.com/my-commissions.php?user_id=360&amp;payweek=2014-08-22"/>
    <hyperlink ref="A640" r:id="rId2881" display="http://dev.dashboard.evolvesolar.com/my-commissions.php?user_id=368&amp;payweek=2014-08-22"/>
    <hyperlink ref="C640" r:id="rId2882" display="http://dev.dashboard.evolvesolar.com/my-commissions.php?user_id=368&amp;payweek=2014-08-22"/>
    <hyperlink ref="A641" r:id="rId2883" display="http://dev.dashboard.evolvesolar.com/my-commissions.php?user_id=370&amp;payweek=2014-08-22"/>
    <hyperlink ref="C641" r:id="rId2884" display="http://dev.dashboard.evolvesolar.com/my-commissions.php?user_id=370&amp;payweek=2014-08-22"/>
    <hyperlink ref="A642" r:id="rId2885" display="http://dev.dashboard.evolvesolar.com/my-commissions.php?user_id=389&amp;payweek=2014-08-22"/>
    <hyperlink ref="C642" r:id="rId2886" display="http://dev.dashboard.evolvesolar.com/my-commissions.php?user_id=389&amp;payweek=2014-08-22"/>
    <hyperlink ref="A643" r:id="rId2887" display="http://dev.dashboard.evolvesolar.com/my-commissions.php?user_id=395&amp;payweek=2014-08-22"/>
    <hyperlink ref="C643" r:id="rId2888" display="http://dev.dashboard.evolvesolar.com/my-commissions.php?user_id=395&amp;payweek=2014-08-22"/>
    <hyperlink ref="A644" r:id="rId2889" display="http://dev.dashboard.evolvesolar.com/my-commissions.php?user_id=397&amp;payweek=2014-08-22"/>
    <hyperlink ref="C644" r:id="rId2890" display="http://dev.dashboard.evolvesolar.com/my-commissions.php?user_id=397&amp;payweek=2014-08-22"/>
    <hyperlink ref="A645" r:id="rId2891" display="http://dev.dashboard.evolvesolar.com/my-commissions.php?user_id=401&amp;payweek=2014-08-22"/>
    <hyperlink ref="C645" r:id="rId2892" display="http://dev.dashboard.evolvesolar.com/my-commissions.php?user_id=401&amp;payweek=2014-08-22"/>
    <hyperlink ref="A646" r:id="rId2893" display="http://dev.dashboard.evolvesolar.com/my-commissions.php?user_id=404&amp;payweek=2014-08-22"/>
    <hyperlink ref="C646" r:id="rId2894" display="http://dev.dashboard.evolvesolar.com/my-commissions.php?user_id=404&amp;payweek=2014-08-22"/>
    <hyperlink ref="A647" r:id="rId2895" display="http://dev.dashboard.evolvesolar.com/my-commissions.php?user_id=405&amp;payweek=2014-08-22"/>
    <hyperlink ref="C647" r:id="rId2896" display="http://dev.dashboard.evolvesolar.com/my-commissions.php?user_id=405&amp;payweek=2014-08-22"/>
    <hyperlink ref="A648" r:id="rId2897" display="http://dev.dashboard.evolvesolar.com/my-commissions.php?user_id=407&amp;payweek=2014-08-22"/>
    <hyperlink ref="C648" r:id="rId2898" display="http://dev.dashboard.evolvesolar.com/my-commissions.php?user_id=407&amp;payweek=2014-08-22"/>
    <hyperlink ref="A649" r:id="rId2899" display="http://dev.dashboard.evolvesolar.com/my-commissions.php?user_id=415&amp;payweek=2014-08-22"/>
    <hyperlink ref="C649" r:id="rId2900" display="http://dev.dashboard.evolvesolar.com/my-commissions.php?user_id=415&amp;payweek=2014-08-22"/>
    <hyperlink ref="A650" r:id="rId2901" display="http://dev.dashboard.evolvesolar.com/my-commissions.php?user_id=418&amp;payweek=2014-08-22"/>
    <hyperlink ref="C650" r:id="rId2902" display="http://dev.dashboard.evolvesolar.com/my-commissions.php?user_id=418&amp;payweek=2014-08-22"/>
    <hyperlink ref="A651" r:id="rId2903" display="http://dev.dashboard.evolvesolar.com/my-commissions.php?user_id=465&amp;payweek=2014-08-22"/>
    <hyperlink ref="C651" r:id="rId2904" display="http://dev.dashboard.evolvesolar.com/my-commissions.php?user_id=465&amp;payweek=2014-08-22"/>
    <hyperlink ref="A652" r:id="rId2905" display="http://dev.dashboard.evolvesolar.com/my-commissions.php?user_id=472&amp;payweek=2014-08-22"/>
    <hyperlink ref="C652" r:id="rId2906" display="http://dev.dashboard.evolvesolar.com/my-commissions.php?user_id=472&amp;payweek=2014-08-22"/>
    <hyperlink ref="A653" r:id="rId2907" display="http://dev.dashboard.evolvesolar.com/my-commissions.php?user_id=480&amp;payweek=2014-08-22"/>
    <hyperlink ref="C653" r:id="rId2908" display="http://dev.dashboard.evolvesolar.com/my-commissions.php?user_id=480&amp;payweek=2014-08-22"/>
    <hyperlink ref="A654" r:id="rId2909" display="http://dev.dashboard.evolvesolar.com/my-commissions.php?user_id=574&amp;payweek=2014-08-22"/>
    <hyperlink ref="C654" r:id="rId2910" display="http://dev.dashboard.evolvesolar.com/my-commissions.php?user_id=574&amp;payweek=2014-08-22"/>
    <hyperlink ref="A655" r:id="rId2911" display="http://dev.dashboard.evolvesolar.com/my-commissions.php?user_id=580&amp;payweek=2014-08-22"/>
    <hyperlink ref="C655" r:id="rId2912" display="http://dev.dashboard.evolvesolar.com/my-commissions.php?user_id=580&amp;payweek=2014-08-22"/>
    <hyperlink ref="A656" r:id="rId2913" display="http://dev.dashboard.evolvesolar.com/my-commissions.php?user_id=640&amp;payweek=2014-08-22"/>
    <hyperlink ref="C656" r:id="rId2914" display="http://dev.dashboard.evolvesolar.com/my-commissions.php?user_id=640&amp;payweek=2014-08-22"/>
    <hyperlink ref="A657" r:id="rId2915" display="http://dev.dashboard.evolvesolar.com/my-commissions.php?user_id=667&amp;payweek=2014-08-22"/>
    <hyperlink ref="C657" r:id="rId2916" display="http://dev.dashboard.evolvesolar.com/my-commissions.php?user_id=667&amp;payweek=2014-08-22"/>
    <hyperlink ref="A599" r:id="rId2917" display="http://dev.dashboard.evolvesolar.com/my-commissions.php?user_id=185&amp;payweek=2014-08-21"/>
    <hyperlink ref="C599" r:id="rId2918" display="http://dev.dashboard.evolvesolar.com/my-commissions.php?user_id=185&amp;payweek=2014-08-21"/>
    <hyperlink ref="A576" r:id="rId2919" display="http://dev.dashboard.evolvesolar.com/my-commissions.php?user_id=27&amp;payweek=2014-08-15"/>
    <hyperlink ref="C576" r:id="rId2920" display="http://dev.dashboard.evolvesolar.com/my-commissions.php?user_id=27&amp;payweek=2014-08-15"/>
    <hyperlink ref="A577" r:id="rId2921" display="http://dev.dashboard.evolvesolar.com/my-commissions.php?user_id=28&amp;payweek=2014-08-15"/>
    <hyperlink ref="C577" r:id="rId2922" display="http://dev.dashboard.evolvesolar.com/my-commissions.php?user_id=28&amp;payweek=2014-08-15"/>
    <hyperlink ref="A578" r:id="rId2923" display="http://dev.dashboard.evolvesolar.com/my-commissions.php?user_id=37&amp;payweek=2014-08-15"/>
    <hyperlink ref="C578" r:id="rId2924" display="http://dev.dashboard.evolvesolar.com/my-commissions.php?user_id=37&amp;payweek=2014-08-15"/>
    <hyperlink ref="A579" r:id="rId2925" display="http://dev.dashboard.evolvesolar.com/my-commissions.php?user_id=41&amp;payweek=2014-08-15"/>
    <hyperlink ref="C579" r:id="rId2926" display="http://dev.dashboard.evolvesolar.com/my-commissions.php?user_id=41&amp;payweek=2014-08-15"/>
    <hyperlink ref="A580" r:id="rId2927" display="http://dev.dashboard.evolvesolar.com/my-commissions.php?user_id=74&amp;payweek=2014-08-15"/>
    <hyperlink ref="C580" r:id="rId2928" display="http://dev.dashboard.evolvesolar.com/my-commissions.php?user_id=74&amp;payweek=2014-08-15"/>
    <hyperlink ref="A581" r:id="rId2929" display="http://dev.dashboard.evolvesolar.com/my-commissions.php?user_id=85&amp;payweek=2014-08-15"/>
    <hyperlink ref="C581" r:id="rId2930" display="http://dev.dashboard.evolvesolar.com/my-commissions.php?user_id=85&amp;payweek=2014-08-15"/>
    <hyperlink ref="A582" r:id="rId2931" display="http://dev.dashboard.evolvesolar.com/my-commissions.php?user_id=117&amp;payweek=2014-08-15"/>
    <hyperlink ref="C582" r:id="rId2932" display="http://dev.dashboard.evolvesolar.com/my-commissions.php?user_id=117&amp;payweek=2014-08-15"/>
    <hyperlink ref="A583" r:id="rId2933" display="http://dev.dashboard.evolvesolar.com/my-commissions.php?user_id=119&amp;payweek=2014-08-15"/>
    <hyperlink ref="C583" r:id="rId2934" display="http://dev.dashboard.evolvesolar.com/my-commissions.php?user_id=119&amp;payweek=2014-08-15"/>
    <hyperlink ref="A584" r:id="rId2935" display="http://dev.dashboard.evolvesolar.com/my-commissions.php?user_id=133&amp;payweek=2014-08-15"/>
    <hyperlink ref="C584" r:id="rId2936" display="http://dev.dashboard.evolvesolar.com/my-commissions.php?user_id=133&amp;payweek=2014-08-15"/>
    <hyperlink ref="A585" r:id="rId2937" display="http://dev.dashboard.evolvesolar.com/my-commissions.php?user_id=140&amp;payweek=2014-08-15"/>
    <hyperlink ref="C585" r:id="rId2938" display="http://dev.dashboard.evolvesolar.com/my-commissions.php?user_id=140&amp;payweek=2014-08-15"/>
    <hyperlink ref="A586" r:id="rId2939" display="http://dev.dashboard.evolvesolar.com/my-commissions.php?user_id=157&amp;payweek=2014-08-15"/>
    <hyperlink ref="C586" r:id="rId2940" display="http://dev.dashboard.evolvesolar.com/my-commissions.php?user_id=157&amp;payweek=2014-08-15"/>
    <hyperlink ref="A587" r:id="rId2941" display="http://dev.dashboard.evolvesolar.com/my-commissions.php?user_id=180&amp;payweek=2014-08-15"/>
    <hyperlink ref="C587" r:id="rId2942" display="http://dev.dashboard.evolvesolar.com/my-commissions.php?user_id=180&amp;payweek=2014-08-15"/>
    <hyperlink ref="A588" r:id="rId2943" display="http://dev.dashboard.evolvesolar.com/my-commissions.php?user_id=185&amp;payweek=2014-08-15"/>
    <hyperlink ref="C588" r:id="rId2944" display="http://dev.dashboard.evolvesolar.com/my-commissions.php?user_id=185&amp;payweek=2014-08-15"/>
    <hyperlink ref="A589" r:id="rId2945" display="http://dev.dashboard.evolvesolar.com/my-commissions.php?user_id=202&amp;payweek=2014-08-15"/>
    <hyperlink ref="C589" r:id="rId2946" display="http://dev.dashboard.evolvesolar.com/my-commissions.php?user_id=202&amp;payweek=2014-08-15"/>
    <hyperlink ref="A590" r:id="rId2947" display="http://dev.dashboard.evolvesolar.com/my-commissions.php?user_id=203&amp;payweek=2014-08-15"/>
    <hyperlink ref="C590" r:id="rId2948" display="http://dev.dashboard.evolvesolar.com/my-commissions.php?user_id=203&amp;payweek=2014-08-15"/>
    <hyperlink ref="A591" r:id="rId2949" display="http://dev.dashboard.evolvesolar.com/my-commissions.php?user_id=217&amp;payweek=2014-08-15"/>
    <hyperlink ref="C591" r:id="rId2950" display="http://dev.dashboard.evolvesolar.com/my-commissions.php?user_id=217&amp;payweek=2014-08-15"/>
    <hyperlink ref="A592" r:id="rId2951" display="http://dev.dashboard.evolvesolar.com/my-commissions.php?user_id=218&amp;payweek=2014-08-15"/>
    <hyperlink ref="C592" r:id="rId2952" display="http://dev.dashboard.evolvesolar.com/my-commissions.php?user_id=218&amp;payweek=2014-08-15"/>
    <hyperlink ref="A593" r:id="rId2953" display="http://dev.dashboard.evolvesolar.com/my-commissions.php?user_id=236&amp;payweek=2014-08-15"/>
    <hyperlink ref="C593" r:id="rId2954" display="http://dev.dashboard.evolvesolar.com/my-commissions.php?user_id=236&amp;payweek=2014-08-15"/>
    <hyperlink ref="A594" r:id="rId2955" display="http://dev.dashboard.evolvesolar.com/my-commissions.php?user_id=244&amp;payweek=2014-08-15"/>
    <hyperlink ref="C594" r:id="rId2956" display="http://dev.dashboard.evolvesolar.com/my-commissions.php?user_id=244&amp;payweek=2014-08-15"/>
    <hyperlink ref="A595" r:id="rId2957" display="http://dev.dashboard.evolvesolar.com/my-commissions.php?user_id=261&amp;payweek=2014-08-15"/>
    <hyperlink ref="C595" r:id="rId2958" display="http://dev.dashboard.evolvesolar.com/my-commissions.php?user_id=261&amp;payweek=2014-08-15"/>
    <hyperlink ref="A596" r:id="rId2959" display="http://dev.dashboard.evolvesolar.com/my-commissions.php?user_id=285&amp;payweek=2014-08-15"/>
    <hyperlink ref="C596" r:id="rId2960" display="http://dev.dashboard.evolvesolar.com/my-commissions.php?user_id=285&amp;payweek=2014-08-15"/>
    <hyperlink ref="A597" r:id="rId2961" display="http://dev.dashboard.evolvesolar.com/my-commissions.php?user_id=379&amp;payweek=2014-08-15"/>
    <hyperlink ref="C597" r:id="rId2962" display="http://dev.dashboard.evolvesolar.com/my-commissions.php?user_id=379&amp;payweek=2014-08-15"/>
    <hyperlink ref="A598" r:id="rId2963" display="http://dev.dashboard.evolvesolar.com/my-commissions.php?user_id=389&amp;payweek=2014-08-15"/>
    <hyperlink ref="C598" r:id="rId2964" display="http://dev.dashboard.evolvesolar.com/my-commissions.php?user_id=389&amp;payweek=2014-08-15"/>
    <hyperlink ref="A555" r:id="rId2965" display="http://dev.dashboard.evolvesolar.com/my-commissions.php?user_id=94&amp;payweek=2014-08-14"/>
    <hyperlink ref="C555" r:id="rId2966" display="http://dev.dashboard.evolvesolar.com/my-commissions.php?user_id=94&amp;payweek=2014-08-14"/>
    <hyperlink ref="A556" r:id="rId2967" display="http://dev.dashboard.evolvesolar.com/my-commissions.php?user_id=183&amp;payweek=2014-08-14"/>
    <hyperlink ref="C556" r:id="rId2968" display="http://dev.dashboard.evolvesolar.com/my-commissions.php?user_id=183&amp;payweek=2014-08-14"/>
    <hyperlink ref="A557" r:id="rId2969" display="http://dev.dashboard.evolvesolar.com/my-commissions.php?user_id=189&amp;payweek=2014-08-14"/>
    <hyperlink ref="C557" r:id="rId2970" display="http://dev.dashboard.evolvesolar.com/my-commissions.php?user_id=189&amp;payweek=2014-08-14"/>
    <hyperlink ref="A558" r:id="rId2971" display="http://dev.dashboard.evolvesolar.com/my-commissions.php?user_id=202&amp;payweek=2014-08-14"/>
    <hyperlink ref="C558" r:id="rId2972" display="http://dev.dashboard.evolvesolar.com/my-commissions.php?user_id=202&amp;payweek=2014-08-14"/>
    <hyperlink ref="A559" r:id="rId2973" display="http://dev.dashboard.evolvesolar.com/my-commissions.php?user_id=203&amp;payweek=2014-08-14"/>
    <hyperlink ref="C559" r:id="rId2974" display="http://dev.dashboard.evolvesolar.com/my-commissions.php?user_id=203&amp;payweek=2014-08-14"/>
    <hyperlink ref="A560" r:id="rId2975" display="http://dev.dashboard.evolvesolar.com/my-commissions.php?user_id=211&amp;payweek=2014-08-14"/>
    <hyperlink ref="C560" r:id="rId2976" display="http://dev.dashboard.evolvesolar.com/my-commissions.php?user_id=211&amp;payweek=2014-08-14"/>
    <hyperlink ref="A561" r:id="rId2977" display="http://dev.dashboard.evolvesolar.com/my-commissions.php?user_id=213&amp;payweek=2014-08-14"/>
    <hyperlink ref="C561" r:id="rId2978" display="http://dev.dashboard.evolvesolar.com/my-commissions.php?user_id=213&amp;payweek=2014-08-14"/>
    <hyperlink ref="A562" r:id="rId2979" display="http://dev.dashboard.evolvesolar.com/my-commissions.php?user_id=218&amp;payweek=2014-08-14"/>
    <hyperlink ref="C562" r:id="rId2980" display="http://dev.dashboard.evolvesolar.com/my-commissions.php?user_id=218&amp;payweek=2014-08-14"/>
    <hyperlink ref="A563" r:id="rId2981" display="http://dev.dashboard.evolvesolar.com/my-commissions.php?user_id=228&amp;payweek=2014-08-14"/>
    <hyperlink ref="C563" r:id="rId2982" display="http://dev.dashboard.evolvesolar.com/my-commissions.php?user_id=228&amp;payweek=2014-08-14"/>
    <hyperlink ref="A564" r:id="rId2983" display="http://dev.dashboard.evolvesolar.com/my-commissions.php?user_id=231&amp;payweek=2014-08-14"/>
    <hyperlink ref="C564" r:id="rId2984" display="http://dev.dashboard.evolvesolar.com/my-commissions.php?user_id=231&amp;payweek=2014-08-14"/>
    <hyperlink ref="A565" r:id="rId2985" display="http://dev.dashboard.evolvesolar.com/my-commissions.php?user_id=232&amp;payweek=2014-08-14"/>
    <hyperlink ref="C565" r:id="rId2986" display="http://dev.dashboard.evolvesolar.com/my-commissions.php?user_id=232&amp;payweek=2014-08-14"/>
    <hyperlink ref="A566" r:id="rId2987" display="http://dev.dashboard.evolvesolar.com/my-commissions.php?user_id=244&amp;payweek=2014-08-14"/>
    <hyperlink ref="C566" r:id="rId2988" display="http://dev.dashboard.evolvesolar.com/my-commissions.php?user_id=244&amp;payweek=2014-08-14"/>
    <hyperlink ref="A567" r:id="rId2989" display="http://dev.dashboard.evolvesolar.com/my-commissions.php?user_id=245&amp;payweek=2014-08-14"/>
    <hyperlink ref="C567" r:id="rId2990" display="http://dev.dashboard.evolvesolar.com/my-commissions.php?user_id=245&amp;payweek=2014-08-14"/>
    <hyperlink ref="A568" r:id="rId2991" display="http://dev.dashboard.evolvesolar.com/my-commissions.php?user_id=282&amp;payweek=2014-08-14"/>
    <hyperlink ref="C568" r:id="rId2992" display="http://dev.dashboard.evolvesolar.com/my-commissions.php?user_id=282&amp;payweek=2014-08-14"/>
    <hyperlink ref="A569" r:id="rId2993" display="http://dev.dashboard.evolvesolar.com/my-commissions.php?user_id=302&amp;payweek=2014-08-14"/>
    <hyperlink ref="C569" r:id="rId2994" display="http://dev.dashboard.evolvesolar.com/my-commissions.php?user_id=302&amp;payweek=2014-08-14"/>
    <hyperlink ref="A570" r:id="rId2995" display="http://dev.dashboard.evolvesolar.com/my-commissions.php?user_id=304&amp;payweek=2014-08-14"/>
    <hyperlink ref="C570" r:id="rId2996" display="http://dev.dashboard.evolvesolar.com/my-commissions.php?user_id=304&amp;payweek=2014-08-14"/>
    <hyperlink ref="A571" r:id="rId2997" display="http://dev.dashboard.evolvesolar.com/my-commissions.php?user_id=324&amp;payweek=2014-08-14"/>
    <hyperlink ref="C571" r:id="rId2998" display="http://dev.dashboard.evolvesolar.com/my-commissions.php?user_id=324&amp;payweek=2014-08-14"/>
    <hyperlink ref="A572" r:id="rId2999" display="http://dev.dashboard.evolvesolar.com/my-commissions.php?user_id=373&amp;payweek=2014-08-14"/>
    <hyperlink ref="C572" r:id="rId3000" display="http://dev.dashboard.evolvesolar.com/my-commissions.php?user_id=373&amp;payweek=2014-08-14"/>
    <hyperlink ref="A573" r:id="rId3001" display="http://dev.dashboard.evolvesolar.com/my-commissions.php?user_id=378&amp;payweek=2014-08-14"/>
    <hyperlink ref="C573" r:id="rId3002" display="http://dev.dashboard.evolvesolar.com/my-commissions.php?user_id=378&amp;payweek=2014-08-14"/>
    <hyperlink ref="A574" r:id="rId3003" display="http://dev.dashboard.evolvesolar.com/my-commissions.php?user_id=383&amp;payweek=2014-08-14"/>
    <hyperlink ref="C574" r:id="rId3004" display="http://dev.dashboard.evolvesolar.com/my-commissions.php?user_id=383&amp;payweek=2014-08-14"/>
    <hyperlink ref="A575" r:id="rId3005" display="http://dev.dashboard.evolvesolar.com/my-commissions.php?user_id=392&amp;payweek=2014-08-14"/>
    <hyperlink ref="C575" r:id="rId3006" display="http://dev.dashboard.evolvesolar.com/my-commissions.php?user_id=392&amp;payweek=2014-08-14"/>
    <hyperlink ref="A551" r:id="rId3007" display="http://dev.dashboard.evolvesolar.com/my-commissions.php?user_id=37&amp;payweek=2014-08-11"/>
    <hyperlink ref="C551" r:id="rId3008" display="http://dev.dashboard.evolvesolar.com/my-commissions.php?user_id=37&amp;payweek=2014-08-11"/>
    <hyperlink ref="A552" r:id="rId3009" display="http://dev.dashboard.evolvesolar.com/my-commissions.php?user_id=202&amp;payweek=2014-08-11"/>
    <hyperlink ref="C552" r:id="rId3010" display="http://dev.dashboard.evolvesolar.com/my-commissions.php?user_id=202&amp;payweek=2014-08-11"/>
    <hyperlink ref="A553" r:id="rId3011" display="http://dev.dashboard.evolvesolar.com/my-commissions.php?user_id=373&amp;payweek=2014-08-11"/>
    <hyperlink ref="C553" r:id="rId3012" display="http://dev.dashboard.evolvesolar.com/my-commissions.php?user_id=373&amp;payweek=2014-08-11"/>
    <hyperlink ref="A554" r:id="rId3013" display="http://dev.dashboard.evolvesolar.com/my-commissions.php?user_id=383&amp;payweek=2014-08-11"/>
    <hyperlink ref="C554" r:id="rId3014" display="http://dev.dashboard.evolvesolar.com/my-commissions.php?user_id=383&amp;payweek=2014-08-11"/>
    <hyperlink ref="A524" r:id="rId3015" display="http://dev.dashboard.evolvesolar.com/my-commissions.php?user_id=41&amp;payweek=2014-08-08"/>
    <hyperlink ref="C524" r:id="rId3016" display="http://dev.dashboard.evolvesolar.com/my-commissions.php?user_id=41&amp;payweek=2014-08-08"/>
    <hyperlink ref="A525" r:id="rId3017" display="http://dev.dashboard.evolvesolar.com/my-commissions.php?user_id=83&amp;payweek=2014-08-08"/>
    <hyperlink ref="C525" r:id="rId3018" display="http://dev.dashboard.evolvesolar.com/my-commissions.php?user_id=83&amp;payweek=2014-08-08"/>
    <hyperlink ref="A526" r:id="rId3019" display="http://dev.dashboard.evolvesolar.com/my-commissions.php?user_id=85&amp;payweek=2014-08-08"/>
    <hyperlink ref="C526" r:id="rId3020" display="http://dev.dashboard.evolvesolar.com/my-commissions.php?user_id=85&amp;payweek=2014-08-08"/>
    <hyperlink ref="A527" r:id="rId3021" display="http://dev.dashboard.evolvesolar.com/my-commissions.php?user_id=119&amp;payweek=2014-08-08"/>
    <hyperlink ref="C527" r:id="rId3022" display="http://dev.dashboard.evolvesolar.com/my-commissions.php?user_id=119&amp;payweek=2014-08-08"/>
    <hyperlink ref="A528" r:id="rId3023" display="http://dev.dashboard.evolvesolar.com/my-commissions.php?user_id=152&amp;payweek=2014-08-08"/>
    <hyperlink ref="C528" r:id="rId3024" display="http://dev.dashboard.evolvesolar.com/my-commissions.php?user_id=152&amp;payweek=2014-08-08"/>
    <hyperlink ref="A529" r:id="rId3025" display="http://dev.dashboard.evolvesolar.com/my-commissions.php?user_id=153&amp;payweek=2014-08-08"/>
    <hyperlink ref="C529" r:id="rId3026" display="http://dev.dashboard.evolvesolar.com/my-commissions.php?user_id=153&amp;payweek=2014-08-08"/>
    <hyperlink ref="A530" r:id="rId3027" display="http://dev.dashboard.evolvesolar.com/my-commissions.php?user_id=185&amp;payweek=2014-08-08"/>
    <hyperlink ref="C530" r:id="rId3028" display="http://dev.dashboard.evolvesolar.com/my-commissions.php?user_id=185&amp;payweek=2014-08-08"/>
    <hyperlink ref="A531" r:id="rId3029" display="http://dev.dashboard.evolvesolar.com/my-commissions.php?user_id=214&amp;payweek=2014-08-08"/>
    <hyperlink ref="C531" r:id="rId3030" display="http://dev.dashboard.evolvesolar.com/my-commissions.php?user_id=214&amp;payweek=2014-08-08"/>
    <hyperlink ref="A532" r:id="rId3031" display="http://dev.dashboard.evolvesolar.com/my-commissions.php?user_id=218&amp;payweek=2014-08-08"/>
    <hyperlink ref="C532" r:id="rId3032" display="http://dev.dashboard.evolvesolar.com/my-commissions.php?user_id=218&amp;payweek=2014-08-08"/>
    <hyperlink ref="A533" r:id="rId3033" display="http://dev.dashboard.evolvesolar.com/my-commissions.php?user_id=227&amp;payweek=2014-08-08"/>
    <hyperlink ref="C533" r:id="rId3034" display="http://dev.dashboard.evolvesolar.com/my-commissions.php?user_id=227&amp;payweek=2014-08-08"/>
    <hyperlink ref="A534" r:id="rId3035" display="http://dev.dashboard.evolvesolar.com/my-commissions.php?user_id=230&amp;payweek=2014-08-08"/>
    <hyperlink ref="C534" r:id="rId3036" display="http://dev.dashboard.evolvesolar.com/my-commissions.php?user_id=230&amp;payweek=2014-08-08"/>
    <hyperlink ref="A535" r:id="rId3037" display="http://dev.dashboard.evolvesolar.com/my-commissions.php?user_id=231&amp;payweek=2014-08-08"/>
    <hyperlink ref="C535" r:id="rId3038" display="http://dev.dashboard.evolvesolar.com/my-commissions.php?user_id=231&amp;payweek=2014-08-08"/>
    <hyperlink ref="A536" r:id="rId3039" display="http://dev.dashboard.evolvesolar.com/my-commissions.php?user_id=232&amp;payweek=2014-08-08"/>
    <hyperlink ref="C536" r:id="rId3040" display="http://dev.dashboard.evolvesolar.com/my-commissions.php?user_id=232&amp;payweek=2014-08-08"/>
    <hyperlink ref="A537" r:id="rId3041" display="http://dev.dashboard.evolvesolar.com/my-commissions.php?user_id=233&amp;payweek=2014-08-08"/>
    <hyperlink ref="C537" r:id="rId3042" display="http://dev.dashboard.evolvesolar.com/my-commissions.php?user_id=233&amp;payweek=2014-08-08"/>
    <hyperlink ref="A538" r:id="rId3043" display="http://dev.dashboard.evolvesolar.com/my-commissions.php?user_id=234&amp;payweek=2014-08-08"/>
    <hyperlink ref="C538" r:id="rId3044" display="http://dev.dashboard.evolvesolar.com/my-commissions.php?user_id=234&amp;payweek=2014-08-08"/>
    <hyperlink ref="A539" r:id="rId3045" display="http://dev.dashboard.evolvesolar.com/my-commissions.php?user_id=236&amp;payweek=2014-08-08"/>
    <hyperlink ref="C539" r:id="rId3046" display="http://dev.dashboard.evolvesolar.com/my-commissions.php?user_id=236&amp;payweek=2014-08-08"/>
    <hyperlink ref="A540" r:id="rId3047" display="http://dev.dashboard.evolvesolar.com/my-commissions.php?user_id=237&amp;payweek=2014-08-08"/>
    <hyperlink ref="C540" r:id="rId3048" display="http://dev.dashboard.evolvesolar.com/my-commissions.php?user_id=237&amp;payweek=2014-08-08"/>
    <hyperlink ref="A541" r:id="rId3049" display="http://dev.dashboard.evolvesolar.com/my-commissions.php?user_id=248&amp;payweek=2014-08-08"/>
    <hyperlink ref="C541" r:id="rId3050" display="http://dev.dashboard.evolvesolar.com/my-commissions.php?user_id=248&amp;payweek=2014-08-08"/>
    <hyperlink ref="A542" r:id="rId3051" display="http://dev.dashboard.evolvesolar.com/my-commissions.php?user_id=261&amp;payweek=2014-08-08"/>
    <hyperlink ref="C542" r:id="rId3052" display="http://dev.dashboard.evolvesolar.com/my-commissions.php?user_id=261&amp;payweek=2014-08-08"/>
    <hyperlink ref="A543" r:id="rId3053" display="http://dev.dashboard.evolvesolar.com/my-commissions.php?user_id=276&amp;payweek=2014-08-08"/>
    <hyperlink ref="C543" r:id="rId3054" display="http://dev.dashboard.evolvesolar.com/my-commissions.php?user_id=276&amp;payweek=2014-08-08"/>
    <hyperlink ref="A544" r:id="rId3055" display="http://dev.dashboard.evolvesolar.com/my-commissions.php?user_id=295&amp;payweek=2014-08-08"/>
    <hyperlink ref="C544" r:id="rId3056" display="http://dev.dashboard.evolvesolar.com/my-commissions.php?user_id=295&amp;payweek=2014-08-08"/>
    <hyperlink ref="A545" r:id="rId3057" display="http://dev.dashboard.evolvesolar.com/my-commissions.php?user_id=319&amp;payweek=2014-08-08"/>
    <hyperlink ref="C545" r:id="rId3058" display="http://dev.dashboard.evolvesolar.com/my-commissions.php?user_id=319&amp;payweek=2014-08-08"/>
    <hyperlink ref="A546" r:id="rId3059" display="http://dev.dashboard.evolvesolar.com/my-commissions.php?user_id=322&amp;payweek=2014-08-08"/>
    <hyperlink ref="C546" r:id="rId3060" display="http://dev.dashboard.evolvesolar.com/my-commissions.php?user_id=322&amp;payweek=2014-08-08"/>
    <hyperlink ref="A547" r:id="rId3061" display="http://dev.dashboard.evolvesolar.com/my-commissions.php?user_id=370&amp;payweek=2014-08-08"/>
    <hyperlink ref="C547" r:id="rId3062" display="http://dev.dashboard.evolvesolar.com/my-commissions.php?user_id=370&amp;payweek=2014-08-08"/>
    <hyperlink ref="A548" r:id="rId3063" display="http://dev.dashboard.evolvesolar.com/my-commissions.php?user_id=382&amp;payweek=2014-08-08"/>
    <hyperlink ref="C548" r:id="rId3064" display="http://dev.dashboard.evolvesolar.com/my-commissions.php?user_id=382&amp;payweek=2014-08-08"/>
    <hyperlink ref="A549" r:id="rId3065" display="http://dev.dashboard.evolvesolar.com/my-commissions.php?user_id=389&amp;payweek=2014-08-08"/>
    <hyperlink ref="C549" r:id="rId3066" display="http://dev.dashboard.evolvesolar.com/my-commissions.php?user_id=389&amp;payweek=2014-08-08"/>
    <hyperlink ref="A550" r:id="rId3067" display="http://dev.dashboard.evolvesolar.com/my-commissions.php?user_id=391&amp;payweek=2014-08-08"/>
    <hyperlink ref="C550" r:id="rId3068" display="http://dev.dashboard.evolvesolar.com/my-commissions.php?user_id=391&amp;payweek=2014-08-08"/>
    <hyperlink ref="A498" r:id="rId3069" display="http://dev.dashboard.evolvesolar.com/my-commissions.php?user_id=37&amp;payweek=2014-08-07"/>
    <hyperlink ref="C498" r:id="rId3070" display="http://dev.dashboard.evolvesolar.com/my-commissions.php?user_id=37&amp;payweek=2014-08-07"/>
    <hyperlink ref="A499" r:id="rId3071" display="http://dev.dashboard.evolvesolar.com/my-commissions.php?user_id=153&amp;payweek=2014-08-07"/>
    <hyperlink ref="C499" r:id="rId3072" display="http://dev.dashboard.evolvesolar.com/my-commissions.php?user_id=153&amp;payweek=2014-08-07"/>
    <hyperlink ref="A500" r:id="rId3073" display="http://dev.dashboard.evolvesolar.com/my-commissions.php?user_id=183&amp;payweek=2014-08-07"/>
    <hyperlink ref="C500" r:id="rId3074" display="http://dev.dashboard.evolvesolar.com/my-commissions.php?user_id=183&amp;payweek=2014-08-07"/>
    <hyperlink ref="A501" r:id="rId3075" display="http://dev.dashboard.evolvesolar.com/my-commissions.php?user_id=184&amp;payweek=2014-08-07"/>
    <hyperlink ref="C501" r:id="rId3076" display="http://dev.dashboard.evolvesolar.com/my-commissions.php?user_id=184&amp;payweek=2014-08-07"/>
    <hyperlink ref="A502" r:id="rId3077" display="http://dev.dashboard.evolvesolar.com/my-commissions.php?user_id=203&amp;payweek=2014-08-07"/>
    <hyperlink ref="C502" r:id="rId3078" display="http://dev.dashboard.evolvesolar.com/my-commissions.php?user_id=203&amp;payweek=2014-08-07"/>
    <hyperlink ref="A503" r:id="rId3079" display="http://dev.dashboard.evolvesolar.com/my-commissions.php?user_id=211&amp;payweek=2014-08-07"/>
    <hyperlink ref="C503" r:id="rId3080" display="http://dev.dashboard.evolvesolar.com/my-commissions.php?user_id=211&amp;payweek=2014-08-07"/>
    <hyperlink ref="A504" r:id="rId3081" display="http://dev.dashboard.evolvesolar.com/my-commissions.php?user_id=213&amp;payweek=2014-08-07"/>
    <hyperlink ref="C504" r:id="rId3082" display="http://dev.dashboard.evolvesolar.com/my-commissions.php?user_id=213&amp;payweek=2014-08-07"/>
    <hyperlink ref="A505" r:id="rId3083" display="http://dev.dashboard.evolvesolar.com/my-commissions.php?user_id=214&amp;payweek=2014-08-07"/>
    <hyperlink ref="C505" r:id="rId3084" display="http://dev.dashboard.evolvesolar.com/my-commissions.php?user_id=214&amp;payweek=2014-08-07"/>
    <hyperlink ref="A506" r:id="rId3085" display="http://dev.dashboard.evolvesolar.com/my-commissions.php?user_id=217&amp;payweek=2014-08-07"/>
    <hyperlink ref="C506" r:id="rId3086" display="http://dev.dashboard.evolvesolar.com/my-commissions.php?user_id=217&amp;payweek=2014-08-07"/>
    <hyperlink ref="A507" r:id="rId3087" display="http://dev.dashboard.evolvesolar.com/my-commissions.php?user_id=224&amp;payweek=2014-08-07"/>
    <hyperlink ref="C507" r:id="rId3088" display="http://dev.dashboard.evolvesolar.com/my-commissions.php?user_id=224&amp;payweek=2014-08-07"/>
    <hyperlink ref="A508" r:id="rId3089" display="http://dev.dashboard.evolvesolar.com/my-commissions.php?user_id=225&amp;payweek=2014-08-07"/>
    <hyperlink ref="C508" r:id="rId3090" display="http://dev.dashboard.evolvesolar.com/my-commissions.php?user_id=225&amp;payweek=2014-08-07"/>
    <hyperlink ref="A509" r:id="rId3091" display="http://dev.dashboard.evolvesolar.com/my-commissions.php?user_id=227&amp;payweek=2014-08-07"/>
    <hyperlink ref="C509" r:id="rId3092" display="http://dev.dashboard.evolvesolar.com/my-commissions.php?user_id=227&amp;payweek=2014-08-07"/>
    <hyperlink ref="A510" r:id="rId3093" display="http://dev.dashboard.evolvesolar.com/my-commissions.php?user_id=230&amp;payweek=2014-08-07"/>
    <hyperlink ref="C510" r:id="rId3094" display="http://dev.dashboard.evolvesolar.com/my-commissions.php?user_id=230&amp;payweek=2014-08-07"/>
    <hyperlink ref="A511" r:id="rId3095" display="http://dev.dashboard.evolvesolar.com/my-commissions.php?user_id=231&amp;payweek=2014-08-07"/>
    <hyperlink ref="C511" r:id="rId3096" display="http://dev.dashboard.evolvesolar.com/my-commissions.php?user_id=231&amp;payweek=2014-08-07"/>
    <hyperlink ref="A512" r:id="rId3097" display="http://dev.dashboard.evolvesolar.com/my-commissions.php?user_id=232&amp;payweek=2014-08-07"/>
    <hyperlink ref="C512" r:id="rId3098" display="http://dev.dashboard.evolvesolar.com/my-commissions.php?user_id=232&amp;payweek=2014-08-07"/>
    <hyperlink ref="A513" r:id="rId3099" display="http://dev.dashboard.evolvesolar.com/my-commissions.php?user_id=233&amp;payweek=2014-08-07"/>
    <hyperlink ref="C513" r:id="rId3100" display="http://dev.dashboard.evolvesolar.com/my-commissions.php?user_id=233&amp;payweek=2014-08-07"/>
    <hyperlink ref="A514" r:id="rId3101" display="http://dev.dashboard.evolvesolar.com/my-commissions.php?user_id=236&amp;payweek=2014-08-07"/>
    <hyperlink ref="C514" r:id="rId3102" display="http://dev.dashboard.evolvesolar.com/my-commissions.php?user_id=236&amp;payweek=2014-08-07"/>
    <hyperlink ref="A515" r:id="rId3103" display="http://dev.dashboard.evolvesolar.com/my-commissions.php?user_id=237&amp;payweek=2014-08-07"/>
    <hyperlink ref="C515" r:id="rId3104" display="http://dev.dashboard.evolvesolar.com/my-commissions.php?user_id=237&amp;payweek=2014-08-07"/>
    <hyperlink ref="A516" r:id="rId3105" display="http://dev.dashboard.evolvesolar.com/my-commissions.php?user_id=245&amp;payweek=2014-08-07"/>
    <hyperlink ref="C516" r:id="rId3106" display="http://dev.dashboard.evolvesolar.com/my-commissions.php?user_id=245&amp;payweek=2014-08-07"/>
    <hyperlink ref="A517" r:id="rId3107" display="http://dev.dashboard.evolvesolar.com/my-commissions.php?user_id=286&amp;payweek=2014-08-07"/>
    <hyperlink ref="C517" r:id="rId3108" display="http://dev.dashboard.evolvesolar.com/my-commissions.php?user_id=286&amp;payweek=2014-08-07"/>
    <hyperlink ref="A518" r:id="rId3109" display="http://dev.dashboard.evolvesolar.com/my-commissions.php?user_id=324&amp;payweek=2014-08-07"/>
    <hyperlink ref="C518" r:id="rId3110" display="http://dev.dashboard.evolvesolar.com/my-commissions.php?user_id=324&amp;payweek=2014-08-07"/>
    <hyperlink ref="A519" r:id="rId3111" display="http://dev.dashboard.evolvesolar.com/my-commissions.php?user_id=328&amp;payweek=2014-08-07"/>
    <hyperlink ref="C519" r:id="rId3112" display="http://dev.dashboard.evolvesolar.com/my-commissions.php?user_id=328&amp;payweek=2014-08-07"/>
    <hyperlink ref="A520" r:id="rId3113" display="http://dev.dashboard.evolvesolar.com/my-commissions.php?user_id=358&amp;payweek=2014-08-07"/>
    <hyperlink ref="C520" r:id="rId3114" display="http://dev.dashboard.evolvesolar.com/my-commissions.php?user_id=358&amp;payweek=2014-08-07"/>
    <hyperlink ref="A521" r:id="rId3115" display="http://dev.dashboard.evolvesolar.com/my-commissions.php?user_id=365&amp;payweek=2014-08-07"/>
    <hyperlink ref="C521" r:id="rId3116" display="http://dev.dashboard.evolvesolar.com/my-commissions.php?user_id=365&amp;payweek=2014-08-07"/>
    <hyperlink ref="A522" r:id="rId3117" display="http://dev.dashboard.evolvesolar.com/my-commissions.php?user_id=378&amp;payweek=2014-08-07"/>
    <hyperlink ref="C522" r:id="rId3118" display="http://dev.dashboard.evolvesolar.com/my-commissions.php?user_id=378&amp;payweek=2014-08-07"/>
    <hyperlink ref="A523" r:id="rId3119" display="http://dev.dashboard.evolvesolar.com/my-commissions.php?user_id=383&amp;payweek=2014-08-07"/>
    <hyperlink ref="C523" r:id="rId3120" display="http://dev.dashboard.evolvesolar.com/my-commissions.php?user_id=383&amp;payweek=2014-08-07"/>
    <hyperlink ref="A493" r:id="rId3121" display="http://dev.dashboard.evolvesolar.com/my-commissions.php?user_id=160&amp;payweek=2014-08-04"/>
    <hyperlink ref="C493" r:id="rId3122" display="http://dev.dashboard.evolvesolar.com/my-commissions.php?user_id=160&amp;payweek=2014-08-04"/>
    <hyperlink ref="A494" r:id="rId3123" display="http://dev.dashboard.evolvesolar.com/my-commissions.php?user_id=211&amp;payweek=2014-08-04"/>
    <hyperlink ref="C494" r:id="rId3124" display="http://dev.dashboard.evolvesolar.com/my-commissions.php?user_id=211&amp;payweek=2014-08-04"/>
    <hyperlink ref="A495" r:id="rId3125" display="http://dev.dashboard.evolvesolar.com/my-commissions.php?user_id=236&amp;payweek=2014-08-04"/>
    <hyperlink ref="C495" r:id="rId3126" display="http://dev.dashboard.evolvesolar.com/my-commissions.php?user_id=236&amp;payweek=2014-08-04"/>
    <hyperlink ref="A496" r:id="rId3127" display="http://dev.dashboard.evolvesolar.com/my-commissions.php?user_id=304&amp;payweek=2014-08-04"/>
    <hyperlink ref="C496" r:id="rId3128" display="http://dev.dashboard.evolvesolar.com/my-commissions.php?user_id=304&amp;payweek=2014-08-04"/>
    <hyperlink ref="A497" r:id="rId3129" display="http://dev.dashboard.evolvesolar.com/my-commissions.php?user_id=365&amp;payweek=2014-08-04"/>
    <hyperlink ref="C497" r:id="rId3130" display="http://dev.dashboard.evolvesolar.com/my-commissions.php?user_id=365&amp;payweek=2014-08-04"/>
    <hyperlink ref="A483" r:id="rId3131" display="http://dev.dashboard.evolvesolar.com/my-commissions.php?user_id=185&amp;payweek=2014-08-01"/>
    <hyperlink ref="C483" r:id="rId3132" display="http://dev.dashboard.evolvesolar.com/my-commissions.php?user_id=185&amp;payweek=2014-08-01"/>
    <hyperlink ref="A484" r:id="rId3133" display="http://dev.dashboard.evolvesolar.com/my-commissions.php?user_id=99&amp;payweek=2014-08-02"/>
    <hyperlink ref="C484" r:id="rId3134" display="http://dev.dashboard.evolvesolar.com/my-commissions.php?user_id=99&amp;payweek=2014-08-02"/>
    <hyperlink ref="A485" r:id="rId3135" display="http://dev.dashboard.evolvesolar.com/my-commissions.php?user_id=224&amp;payweek=2014-08-02"/>
    <hyperlink ref="C485" r:id="rId3136" display="http://dev.dashboard.evolvesolar.com/my-commissions.php?user_id=224&amp;payweek=2014-08-02"/>
    <hyperlink ref="A486" r:id="rId3137" display="http://dev.dashboard.evolvesolar.com/my-commissions.php?user_id=227&amp;payweek=2014-08-02"/>
    <hyperlink ref="C486" r:id="rId3138" display="http://dev.dashboard.evolvesolar.com/my-commissions.php?user_id=227&amp;payweek=2014-08-02"/>
    <hyperlink ref="A487" r:id="rId3139" display="http://dev.dashboard.evolvesolar.com/my-commissions.php?user_id=261&amp;payweek=2014-08-02"/>
    <hyperlink ref="C487" r:id="rId3140" display="http://dev.dashboard.evolvesolar.com/my-commissions.php?user_id=261&amp;payweek=2014-08-02"/>
    <hyperlink ref="A488" r:id="rId3141" display="http://dev.dashboard.evolvesolar.com/my-commissions.php?user_id=268&amp;payweek=2014-08-02"/>
    <hyperlink ref="C488" r:id="rId3142" display="http://dev.dashboard.evolvesolar.com/my-commissions.php?user_id=268&amp;payweek=2014-08-02"/>
    <hyperlink ref="A489" r:id="rId3143" display="http://dev.dashboard.evolvesolar.com/my-commissions.php?user_id=276&amp;payweek=2014-08-02"/>
    <hyperlink ref="C489" r:id="rId3144" display="http://dev.dashboard.evolvesolar.com/my-commissions.php?user_id=276&amp;payweek=2014-08-02"/>
    <hyperlink ref="A490" r:id="rId3145" display="http://dev.dashboard.evolvesolar.com/my-commissions.php?user_id=285&amp;payweek=2014-08-02"/>
    <hyperlink ref="C490" r:id="rId3146" display="http://dev.dashboard.evolvesolar.com/my-commissions.php?user_id=285&amp;payweek=2014-08-02"/>
    <hyperlink ref="A491" r:id="rId3147" display="http://dev.dashboard.evolvesolar.com/my-commissions.php?user_id=322&amp;payweek=2014-08-02"/>
    <hyperlink ref="C491" r:id="rId3148" display="http://dev.dashboard.evolvesolar.com/my-commissions.php?user_id=322&amp;payweek=2014-08-02"/>
    <hyperlink ref="A492" r:id="rId3149" display="http://dev.dashboard.evolvesolar.com/my-commissions.php?user_id=363&amp;payweek=2014-08-02"/>
    <hyperlink ref="C492" r:id="rId3150" display="http://dev.dashboard.evolvesolar.com/my-commissions.php?user_id=363&amp;payweek=2014-08-02"/>
    <hyperlink ref="A448" r:id="rId3151" display="http://dev.dashboard.evolvesolar.com/my-commissions.php?user_id=27&amp;payweek=2014-07-31"/>
    <hyperlink ref="C448" r:id="rId3152" display="http://dev.dashboard.evolvesolar.com/my-commissions.php?user_id=27&amp;payweek=2014-07-31"/>
    <hyperlink ref="A449" r:id="rId3153" display="http://dev.dashboard.evolvesolar.com/my-commissions.php?user_id=28&amp;payweek=2014-07-31"/>
    <hyperlink ref="C449" r:id="rId3154" display="http://dev.dashboard.evolvesolar.com/my-commissions.php?user_id=28&amp;payweek=2014-07-31"/>
    <hyperlink ref="A450" r:id="rId3155" display="http://dev.dashboard.evolvesolar.com/my-commissions.php?user_id=37&amp;payweek=2014-07-31"/>
    <hyperlink ref="C450" r:id="rId3156" display="http://dev.dashboard.evolvesolar.com/my-commissions.php?user_id=37&amp;payweek=2014-07-31"/>
    <hyperlink ref="A451" r:id="rId3157" display="http://dev.dashboard.evolvesolar.com/my-commissions.php?user_id=41&amp;payweek=2014-07-31"/>
    <hyperlink ref="C451" r:id="rId3158" display="http://dev.dashboard.evolvesolar.com/my-commissions.php?user_id=41&amp;payweek=2014-07-31"/>
    <hyperlink ref="A452" r:id="rId3159" display="http://dev.dashboard.evolvesolar.com/my-commissions.php?user_id=59&amp;payweek=2014-07-31"/>
    <hyperlink ref="C452" r:id="rId3160" display="http://dev.dashboard.evolvesolar.com/my-commissions.php?user_id=59&amp;payweek=2014-07-31"/>
    <hyperlink ref="A453" r:id="rId3161" display="http://dev.dashboard.evolvesolar.com/my-commissions.php?user_id=67&amp;payweek=2014-07-31"/>
    <hyperlink ref="C453" r:id="rId3162" display="http://dev.dashboard.evolvesolar.com/my-commissions.php?user_id=67&amp;payweek=2014-07-31"/>
    <hyperlink ref="A454" r:id="rId3163" display="http://dev.dashboard.evolvesolar.com/my-commissions.php?user_id=133&amp;payweek=2014-07-31"/>
    <hyperlink ref="C454" r:id="rId3164" display="http://dev.dashboard.evolvesolar.com/my-commissions.php?user_id=133&amp;payweek=2014-07-31"/>
    <hyperlink ref="A455" r:id="rId3165" display="http://dev.dashboard.evolvesolar.com/my-commissions.php?user_id=134&amp;payweek=2014-07-31"/>
    <hyperlink ref="C455" r:id="rId3166" display="http://dev.dashboard.evolvesolar.com/my-commissions.php?user_id=134&amp;payweek=2014-07-31"/>
    <hyperlink ref="A456" r:id="rId3167" display="http://dev.dashboard.evolvesolar.com/my-commissions.php?user_id=138&amp;payweek=2014-07-31"/>
    <hyperlink ref="C456" r:id="rId3168" display="http://dev.dashboard.evolvesolar.com/my-commissions.php?user_id=138&amp;payweek=2014-07-31"/>
    <hyperlink ref="A457" r:id="rId3169" display="http://dev.dashboard.evolvesolar.com/my-commissions.php?user_id=140&amp;payweek=2014-07-31"/>
    <hyperlink ref="C457" r:id="rId3170" display="http://dev.dashboard.evolvesolar.com/my-commissions.php?user_id=140&amp;payweek=2014-07-31"/>
    <hyperlink ref="A458" r:id="rId3171" display="http://dev.dashboard.evolvesolar.com/my-commissions.php?user_id=141&amp;payweek=2014-07-31"/>
    <hyperlink ref="C458" r:id="rId3172" display="http://dev.dashboard.evolvesolar.com/my-commissions.php?user_id=141&amp;payweek=2014-07-31"/>
    <hyperlink ref="A459" r:id="rId3173" display="http://dev.dashboard.evolvesolar.com/my-commissions.php?user_id=155&amp;payweek=2014-07-31"/>
    <hyperlink ref="C459" r:id="rId3174" display="http://dev.dashboard.evolvesolar.com/my-commissions.php?user_id=155&amp;payweek=2014-07-31"/>
    <hyperlink ref="A460" r:id="rId3175" display="http://dev.dashboard.evolvesolar.com/my-commissions.php?user_id=157&amp;payweek=2014-07-31"/>
    <hyperlink ref="C460" r:id="rId3176" display="http://dev.dashboard.evolvesolar.com/my-commissions.php?user_id=157&amp;payweek=2014-07-31"/>
    <hyperlink ref="A461" r:id="rId3177" display="http://dev.dashboard.evolvesolar.com/my-commissions.php?user_id=179&amp;payweek=2014-07-31"/>
    <hyperlink ref="C461" r:id="rId3178" display="http://dev.dashboard.evolvesolar.com/my-commissions.php?user_id=179&amp;payweek=2014-07-31"/>
    <hyperlink ref="A462" r:id="rId3179" display="http://dev.dashboard.evolvesolar.com/my-commissions.php?user_id=184&amp;payweek=2014-07-31"/>
    <hyperlink ref="C462" r:id="rId3180" display="http://dev.dashboard.evolvesolar.com/my-commissions.php?user_id=184&amp;payweek=2014-07-31"/>
    <hyperlink ref="A463" r:id="rId3181" display="http://dev.dashboard.evolvesolar.com/my-commissions.php?user_id=192&amp;payweek=2014-07-31"/>
    <hyperlink ref="C463" r:id="rId3182" display="http://dev.dashboard.evolvesolar.com/my-commissions.php?user_id=192&amp;payweek=2014-07-31"/>
    <hyperlink ref="A464" r:id="rId3183" display="http://dev.dashboard.evolvesolar.com/my-commissions.php?user_id=203&amp;payweek=2014-07-31"/>
    <hyperlink ref="C464" r:id="rId3184" display="http://dev.dashboard.evolvesolar.com/my-commissions.php?user_id=203&amp;payweek=2014-07-31"/>
    <hyperlink ref="A465" r:id="rId3185" display="http://dev.dashboard.evolvesolar.com/my-commissions.php?user_id=213&amp;payweek=2014-07-31"/>
    <hyperlink ref="C465" r:id="rId3186" display="http://dev.dashboard.evolvesolar.com/my-commissions.php?user_id=213&amp;payweek=2014-07-31"/>
    <hyperlink ref="A466" r:id="rId3187" display="http://dev.dashboard.evolvesolar.com/my-commissions.php?user_id=214&amp;payweek=2014-07-31"/>
    <hyperlink ref="C466" r:id="rId3188" display="http://dev.dashboard.evolvesolar.com/my-commissions.php?user_id=214&amp;payweek=2014-07-31"/>
    <hyperlink ref="A467" r:id="rId3189" display="http://dev.dashboard.evolvesolar.com/my-commissions.php?user_id=218&amp;payweek=2014-07-31"/>
    <hyperlink ref="C467" r:id="rId3190" display="http://dev.dashboard.evolvesolar.com/my-commissions.php?user_id=218&amp;payweek=2014-07-31"/>
    <hyperlink ref="A468" r:id="rId3191" display="http://dev.dashboard.evolvesolar.com/my-commissions.php?user_id=219&amp;payweek=2014-07-31"/>
    <hyperlink ref="C468" r:id="rId3192" display="http://dev.dashboard.evolvesolar.com/my-commissions.php?user_id=219&amp;payweek=2014-07-31"/>
    <hyperlink ref="A469" r:id="rId3193" display="http://dev.dashboard.evolvesolar.com/my-commissions.php?user_id=223&amp;payweek=2014-07-31"/>
    <hyperlink ref="C469" r:id="rId3194" display="http://dev.dashboard.evolvesolar.com/my-commissions.php?user_id=223&amp;payweek=2014-07-31"/>
    <hyperlink ref="A470" r:id="rId3195" display="http://dev.dashboard.evolvesolar.com/my-commissions.php?user_id=230&amp;payweek=2014-07-31"/>
    <hyperlink ref="C470" r:id="rId3196" display="http://dev.dashboard.evolvesolar.com/my-commissions.php?user_id=230&amp;payweek=2014-07-31"/>
    <hyperlink ref="A471" r:id="rId3197" display="http://dev.dashboard.evolvesolar.com/my-commissions.php?user_id=231&amp;payweek=2014-07-31"/>
    <hyperlink ref="C471" r:id="rId3198" display="http://dev.dashboard.evolvesolar.com/my-commissions.php?user_id=231&amp;payweek=2014-07-31"/>
    <hyperlink ref="A472" r:id="rId3199" display="http://dev.dashboard.evolvesolar.com/my-commissions.php?user_id=232&amp;payweek=2014-07-31"/>
    <hyperlink ref="C472" r:id="rId3200" display="http://dev.dashboard.evolvesolar.com/my-commissions.php?user_id=232&amp;payweek=2014-07-31"/>
    <hyperlink ref="A473" r:id="rId3201" display="http://dev.dashboard.evolvesolar.com/my-commissions.php?user_id=233&amp;payweek=2014-07-31"/>
    <hyperlink ref="C473" r:id="rId3202" display="http://dev.dashboard.evolvesolar.com/my-commissions.php?user_id=233&amp;payweek=2014-07-31"/>
    <hyperlink ref="A474" r:id="rId3203" display="http://dev.dashboard.evolvesolar.com/my-commissions.php?user_id=234&amp;payweek=2014-07-31"/>
    <hyperlink ref="C474" r:id="rId3204" display="http://dev.dashboard.evolvesolar.com/my-commissions.php?user_id=234&amp;payweek=2014-07-31"/>
    <hyperlink ref="A475" r:id="rId3205" display="http://dev.dashboard.evolvesolar.com/my-commissions.php?user_id=237&amp;payweek=2014-07-31"/>
    <hyperlink ref="C475" r:id="rId3206" display="http://dev.dashboard.evolvesolar.com/my-commissions.php?user_id=237&amp;payweek=2014-07-31"/>
    <hyperlink ref="A476" r:id="rId3207" display="http://dev.dashboard.evolvesolar.com/my-commissions.php?user_id=239&amp;payweek=2014-07-31"/>
    <hyperlink ref="C476" r:id="rId3208" display="http://dev.dashboard.evolvesolar.com/my-commissions.php?user_id=239&amp;payweek=2014-07-31"/>
    <hyperlink ref="A477" r:id="rId3209" display="http://dev.dashboard.evolvesolar.com/my-commissions.php?user_id=250&amp;payweek=2014-07-31"/>
    <hyperlink ref="C477" r:id="rId3210" display="http://dev.dashboard.evolvesolar.com/my-commissions.php?user_id=250&amp;payweek=2014-07-31"/>
    <hyperlink ref="A478" r:id="rId3211" display="http://dev.dashboard.evolvesolar.com/my-commissions.php?user_id=255&amp;payweek=2014-07-31"/>
    <hyperlink ref="C478" r:id="rId3212" display="http://dev.dashboard.evolvesolar.com/my-commissions.php?user_id=255&amp;payweek=2014-07-31"/>
    <hyperlink ref="A479" r:id="rId3213" display="http://dev.dashboard.evolvesolar.com/my-commissions.php?user_id=295&amp;payweek=2014-07-31"/>
    <hyperlink ref="C479" r:id="rId3214" display="http://dev.dashboard.evolvesolar.com/my-commissions.php?user_id=295&amp;payweek=2014-07-31"/>
    <hyperlink ref="A480" r:id="rId3215" display="http://dev.dashboard.evolvesolar.com/my-commissions.php?user_id=328&amp;payweek=2014-07-31"/>
    <hyperlink ref="C480" r:id="rId3216" display="http://dev.dashboard.evolvesolar.com/my-commissions.php?user_id=328&amp;payweek=2014-07-31"/>
    <hyperlink ref="A481" r:id="rId3217" display="http://dev.dashboard.evolvesolar.com/my-commissions.php?user_id=379&amp;payweek=2014-07-31"/>
    <hyperlink ref="C481" r:id="rId3218" display="http://dev.dashboard.evolvesolar.com/my-commissions.php?user_id=379&amp;payweek=2014-07-31"/>
    <hyperlink ref="A482" r:id="rId3219" display="http://dev.dashboard.evolvesolar.com/my-commissions.php?user_id=396&amp;payweek=2014-07-31"/>
    <hyperlink ref="C482" r:id="rId3220" display="http://dev.dashboard.evolvesolar.com/my-commissions.php?user_id=396&amp;payweek=2014-07-31"/>
    <hyperlink ref="A446" r:id="rId3221" display="http://dev.dashboard.evolvesolar.com/my-commissions.php?user_id=63&amp;payweek=2014-07-29"/>
    <hyperlink ref="C446" r:id="rId3222" display="http://dev.dashboard.evolvesolar.com/my-commissions.php?user_id=63&amp;payweek=2014-07-29"/>
    <hyperlink ref="A447" r:id="rId3223" display="http://dev.dashboard.evolvesolar.com/my-commissions.php?user_id=175&amp;payweek=2014-07-29"/>
    <hyperlink ref="C447" r:id="rId3224" display="http://dev.dashboard.evolvesolar.com/my-commissions.php?user_id=175&amp;payweek=2014-07-29"/>
    <hyperlink ref="A411" r:id="rId3225" display="http://dev.dashboard.evolvesolar.com/my-commissions.php?user_id=28&amp;payweek=2014-07-25"/>
    <hyperlink ref="C411" r:id="rId3226" display="http://dev.dashboard.evolvesolar.com/my-commissions.php?user_id=28&amp;payweek=2014-07-25"/>
    <hyperlink ref="A412" r:id="rId3227" display="http://dev.dashboard.evolvesolar.com/my-commissions.php?user_id=41&amp;payweek=2014-07-25"/>
    <hyperlink ref="C412" r:id="rId3228" display="http://dev.dashboard.evolvesolar.com/my-commissions.php?user_id=41&amp;payweek=2014-07-25"/>
    <hyperlink ref="A413" r:id="rId3229" display="http://dev.dashboard.evolvesolar.com/my-commissions.php?user_id=94&amp;payweek=2014-07-25"/>
    <hyperlink ref="C413" r:id="rId3230" display="http://dev.dashboard.evolvesolar.com/my-commissions.php?user_id=94&amp;payweek=2014-07-25"/>
    <hyperlink ref="A414" r:id="rId3231" display="http://dev.dashboard.evolvesolar.com/my-commissions.php?user_id=99&amp;payweek=2014-07-25"/>
    <hyperlink ref="C414" r:id="rId3232" display="http://dev.dashboard.evolvesolar.com/my-commissions.php?user_id=99&amp;payweek=2014-07-25"/>
    <hyperlink ref="A415" r:id="rId3233" display="http://dev.dashboard.evolvesolar.com/my-commissions.php?user_id=108&amp;payweek=2014-07-25"/>
    <hyperlink ref="C415" r:id="rId3234" display="http://dev.dashboard.evolvesolar.com/my-commissions.php?user_id=108&amp;payweek=2014-07-25"/>
    <hyperlink ref="A416" r:id="rId3235" display="http://dev.dashboard.evolvesolar.com/my-commissions.php?user_id=116&amp;payweek=2014-07-25"/>
    <hyperlink ref="C416" r:id="rId3236" display="http://dev.dashboard.evolvesolar.com/my-commissions.php?user_id=116&amp;payweek=2014-07-25"/>
    <hyperlink ref="A417" r:id="rId3237" display="http://dev.dashboard.evolvesolar.com/my-commissions.php?user_id=133&amp;payweek=2014-07-25"/>
    <hyperlink ref="C417" r:id="rId3238" display="http://dev.dashboard.evolvesolar.com/my-commissions.php?user_id=133&amp;payweek=2014-07-25"/>
    <hyperlink ref="A418" r:id="rId3239" display="http://dev.dashboard.evolvesolar.com/my-commissions.php?user_id=134&amp;payweek=2014-07-25"/>
    <hyperlink ref="C418" r:id="rId3240" display="http://dev.dashboard.evolvesolar.com/my-commissions.php?user_id=134&amp;payweek=2014-07-25"/>
    <hyperlink ref="A419" r:id="rId3241" display="http://dev.dashboard.evolvesolar.com/my-commissions.php?user_id=138&amp;payweek=2014-07-25"/>
    <hyperlink ref="C419" r:id="rId3242" display="http://dev.dashboard.evolvesolar.com/my-commissions.php?user_id=138&amp;payweek=2014-07-25"/>
    <hyperlink ref="A420" r:id="rId3243" display="http://dev.dashboard.evolvesolar.com/my-commissions.php?user_id=143&amp;payweek=2014-07-25"/>
    <hyperlink ref="C420" r:id="rId3244" display="http://dev.dashboard.evolvesolar.com/my-commissions.php?user_id=143&amp;payweek=2014-07-25"/>
    <hyperlink ref="A421" r:id="rId3245" display="http://dev.dashboard.evolvesolar.com/my-commissions.php?user_id=152&amp;payweek=2014-07-25"/>
    <hyperlink ref="C421" r:id="rId3246" display="http://dev.dashboard.evolvesolar.com/my-commissions.php?user_id=152&amp;payweek=2014-07-25"/>
    <hyperlink ref="A422" r:id="rId3247" display="http://dev.dashboard.evolvesolar.com/my-commissions.php?user_id=156&amp;payweek=2014-07-25"/>
    <hyperlink ref="C422" r:id="rId3248" display="http://dev.dashboard.evolvesolar.com/my-commissions.php?user_id=156&amp;payweek=2014-07-25"/>
    <hyperlink ref="A423" r:id="rId3249" display="http://dev.dashboard.evolvesolar.com/my-commissions.php?user_id=157&amp;payweek=2014-07-25"/>
    <hyperlink ref="C423" r:id="rId3250" display="http://dev.dashboard.evolvesolar.com/my-commissions.php?user_id=157&amp;payweek=2014-07-25"/>
    <hyperlink ref="A424" r:id="rId3251" display="http://dev.dashboard.evolvesolar.com/my-commissions.php?user_id=164&amp;payweek=2014-07-25"/>
    <hyperlink ref="C424" r:id="rId3252" display="http://dev.dashboard.evolvesolar.com/my-commissions.php?user_id=164&amp;payweek=2014-07-25"/>
    <hyperlink ref="A425" r:id="rId3253" display="http://dev.dashboard.evolvesolar.com/my-commissions.php?user_id=175&amp;payweek=2014-07-25"/>
    <hyperlink ref="C425" r:id="rId3254" display="http://dev.dashboard.evolvesolar.com/my-commissions.php?user_id=175&amp;payweek=2014-07-25"/>
    <hyperlink ref="A426" r:id="rId3255" display="http://dev.dashboard.evolvesolar.com/my-commissions.php?user_id=183&amp;payweek=2014-07-25"/>
    <hyperlink ref="C426" r:id="rId3256" display="http://dev.dashboard.evolvesolar.com/my-commissions.php?user_id=183&amp;payweek=2014-07-25"/>
    <hyperlink ref="A427" r:id="rId3257" display="http://dev.dashboard.evolvesolar.com/my-commissions.php?user_id=185&amp;payweek=2014-07-25"/>
    <hyperlink ref="C427" r:id="rId3258" display="http://dev.dashboard.evolvesolar.com/my-commissions.php?user_id=185&amp;payweek=2014-07-25"/>
    <hyperlink ref="A428" r:id="rId3259" display="http://dev.dashboard.evolvesolar.com/my-commissions.php?user_id=191&amp;payweek=2014-07-25"/>
    <hyperlink ref="C428" r:id="rId3260" display="http://dev.dashboard.evolvesolar.com/my-commissions.php?user_id=191&amp;payweek=2014-07-25"/>
    <hyperlink ref="A429" r:id="rId3261" display="http://dev.dashboard.evolvesolar.com/my-commissions.php?user_id=202&amp;payweek=2014-07-25"/>
    <hyperlink ref="C429" r:id="rId3262" display="http://dev.dashboard.evolvesolar.com/my-commissions.php?user_id=202&amp;payweek=2014-07-25"/>
    <hyperlink ref="A430" r:id="rId3263" display="http://dev.dashboard.evolvesolar.com/my-commissions.php?user_id=213&amp;payweek=2014-07-25"/>
    <hyperlink ref="C430" r:id="rId3264" display="http://dev.dashboard.evolvesolar.com/my-commissions.php?user_id=213&amp;payweek=2014-07-25"/>
    <hyperlink ref="A431" r:id="rId3265" display="http://dev.dashboard.evolvesolar.com/my-commissions.php?user_id=217&amp;payweek=2014-07-25"/>
    <hyperlink ref="C431" r:id="rId3266" display="http://dev.dashboard.evolvesolar.com/my-commissions.php?user_id=217&amp;payweek=2014-07-25"/>
    <hyperlink ref="A432" r:id="rId3267" display="http://dev.dashboard.evolvesolar.com/my-commissions.php?user_id=218&amp;payweek=2014-07-25"/>
    <hyperlink ref="C432" r:id="rId3268" display="http://dev.dashboard.evolvesolar.com/my-commissions.php?user_id=218&amp;payweek=2014-07-25"/>
    <hyperlink ref="A433" r:id="rId3269" display="http://dev.dashboard.evolvesolar.com/my-commissions.php?user_id=225&amp;payweek=2014-07-25"/>
    <hyperlink ref="C433" r:id="rId3270" display="http://dev.dashboard.evolvesolar.com/my-commissions.php?user_id=225&amp;payweek=2014-07-25"/>
    <hyperlink ref="A434" r:id="rId3271" display="http://dev.dashboard.evolvesolar.com/my-commissions.php?user_id=230&amp;payweek=2014-07-25"/>
    <hyperlink ref="C434" r:id="rId3272" display="http://dev.dashboard.evolvesolar.com/my-commissions.php?user_id=230&amp;payweek=2014-07-25"/>
    <hyperlink ref="A435" r:id="rId3273" display="http://dev.dashboard.evolvesolar.com/my-commissions.php?user_id=234&amp;payweek=2014-07-25"/>
    <hyperlink ref="C435" r:id="rId3274" display="http://dev.dashboard.evolvesolar.com/my-commissions.php?user_id=234&amp;payweek=2014-07-25"/>
    <hyperlink ref="A436" r:id="rId3275" display="http://dev.dashboard.evolvesolar.com/my-commissions.php?user_id=236&amp;payweek=2014-07-25"/>
    <hyperlink ref="C436" r:id="rId3276" display="http://dev.dashboard.evolvesolar.com/my-commissions.php?user_id=236&amp;payweek=2014-07-25"/>
    <hyperlink ref="A437" r:id="rId3277" display="http://dev.dashboard.evolvesolar.com/my-commissions.php?user_id=244&amp;payweek=2014-07-25"/>
    <hyperlink ref="C437" r:id="rId3278" display="http://dev.dashboard.evolvesolar.com/my-commissions.php?user_id=244&amp;payweek=2014-07-25"/>
    <hyperlink ref="A438" r:id="rId3279" display="http://dev.dashboard.evolvesolar.com/my-commissions.php?user_id=247&amp;payweek=2014-07-25"/>
    <hyperlink ref="C438" r:id="rId3280" display="http://dev.dashboard.evolvesolar.com/my-commissions.php?user_id=247&amp;payweek=2014-07-25"/>
    <hyperlink ref="A439" r:id="rId3281" display="http://dev.dashboard.evolvesolar.com/my-commissions.php?user_id=248&amp;payweek=2014-07-25"/>
    <hyperlink ref="C439" r:id="rId3282" display="http://dev.dashboard.evolvesolar.com/my-commissions.php?user_id=248&amp;payweek=2014-07-25"/>
    <hyperlink ref="A440" r:id="rId3283" display="http://dev.dashboard.evolvesolar.com/my-commissions.php?user_id=249&amp;payweek=2014-07-25"/>
    <hyperlink ref="C440" r:id="rId3284" display="http://dev.dashboard.evolvesolar.com/my-commissions.php?user_id=249&amp;payweek=2014-07-25"/>
    <hyperlink ref="A441" r:id="rId3285" display="http://dev.dashboard.evolvesolar.com/my-commissions.php?user_id=255&amp;payweek=2014-07-25"/>
    <hyperlink ref="C441" r:id="rId3286" display="http://dev.dashboard.evolvesolar.com/my-commissions.php?user_id=255&amp;payweek=2014-07-25"/>
    <hyperlink ref="A442" r:id="rId3287" display="http://dev.dashboard.evolvesolar.com/my-commissions.php?user_id=261&amp;payweek=2014-07-25"/>
    <hyperlink ref="C442" r:id="rId3288" display="http://dev.dashboard.evolvesolar.com/my-commissions.php?user_id=261&amp;payweek=2014-07-25"/>
    <hyperlink ref="A443" r:id="rId3289" display="http://dev.dashboard.evolvesolar.com/my-commissions.php?user_id=282&amp;payweek=2014-07-25"/>
    <hyperlink ref="C443" r:id="rId3290" display="http://dev.dashboard.evolvesolar.com/my-commissions.php?user_id=282&amp;payweek=2014-07-25"/>
    <hyperlink ref="A444" r:id="rId3291" display="http://dev.dashboard.evolvesolar.com/my-commissions.php?user_id=324&amp;payweek=2014-07-25"/>
    <hyperlink ref="C444" r:id="rId3292" display="http://dev.dashboard.evolvesolar.com/my-commissions.php?user_id=324&amp;payweek=2014-07-25"/>
    <hyperlink ref="A445" r:id="rId3293" display="http://dev.dashboard.evolvesolar.com/my-commissions.php?user_id=396&amp;payweek=2014-07-25"/>
    <hyperlink ref="C445" r:id="rId3294" display="http://dev.dashboard.evolvesolar.com/my-commissions.php?user_id=396&amp;payweek=2014-07-25"/>
    <hyperlink ref="A410" r:id="rId3295" display="http://dev.dashboard.evolvesolar.com/my-commissions.php?user_id=373&amp;payweek=2014-07-23"/>
    <hyperlink ref="C410" r:id="rId3296" display="http://dev.dashboard.evolvesolar.com/my-commissions.php?user_id=373&amp;payweek=2014-07-23"/>
    <hyperlink ref="A406" r:id="rId3297" display="http://dev.dashboard.evolvesolar.com/my-commissions.php?user_id=28&amp;payweek=2014-07-21"/>
    <hyperlink ref="C406" r:id="rId3298" display="http://dev.dashboard.evolvesolar.com/my-commissions.php?user_id=28&amp;payweek=2014-07-21"/>
    <hyperlink ref="A407" r:id="rId3299" display="http://dev.dashboard.evolvesolar.com/my-commissions.php?user_id=179&amp;payweek=2014-07-21"/>
    <hyperlink ref="C407" r:id="rId3300" display="http://dev.dashboard.evolvesolar.com/my-commissions.php?user_id=179&amp;payweek=2014-07-21"/>
    <hyperlink ref="A408" r:id="rId3301" display="http://dev.dashboard.evolvesolar.com/my-commissions.php?user_id=244&amp;payweek=2014-07-21"/>
    <hyperlink ref="C408" r:id="rId3302" display="http://dev.dashboard.evolvesolar.com/my-commissions.php?user_id=244&amp;payweek=2014-07-21"/>
    <hyperlink ref="A409" r:id="rId3303" display="http://dev.dashboard.evolvesolar.com/my-commissions.php?user_id=324&amp;payweek=2014-07-21"/>
    <hyperlink ref="C409" r:id="rId3304" display="http://dev.dashboard.evolvesolar.com/my-commissions.php?user_id=324&amp;payweek=2014-07-21"/>
    <hyperlink ref="A377" r:id="rId3305" display="http://dev.dashboard.evolvesolar.com/my-commissions.php?user_id=27&amp;payweek=2014-07-18"/>
    <hyperlink ref="C377" r:id="rId3306" display="http://dev.dashboard.evolvesolar.com/my-commissions.php?user_id=27&amp;payweek=2014-07-18"/>
    <hyperlink ref="A378" r:id="rId3307" display="http://dev.dashboard.evolvesolar.com/my-commissions.php?user_id=41&amp;payweek=2014-07-18"/>
    <hyperlink ref="C378" r:id="rId3308" display="http://dev.dashboard.evolvesolar.com/my-commissions.php?user_id=41&amp;payweek=2014-07-18"/>
    <hyperlink ref="A379" r:id="rId3309" display="http://dev.dashboard.evolvesolar.com/my-commissions.php?user_id=83&amp;payweek=2014-07-18"/>
    <hyperlink ref="C379" r:id="rId3310" display="http://dev.dashboard.evolvesolar.com/my-commissions.php?user_id=83&amp;payweek=2014-07-18"/>
    <hyperlink ref="A380" r:id="rId3311" display="http://dev.dashboard.evolvesolar.com/my-commissions.php?user_id=85&amp;payweek=2014-07-18"/>
    <hyperlink ref="C380" r:id="rId3312" display="http://dev.dashboard.evolvesolar.com/my-commissions.php?user_id=85&amp;payweek=2014-07-18"/>
    <hyperlink ref="A381" r:id="rId3313" display="http://dev.dashboard.evolvesolar.com/my-commissions.php?user_id=110&amp;payweek=2014-07-18"/>
    <hyperlink ref="C381" r:id="rId3314" display="http://dev.dashboard.evolvesolar.com/my-commissions.php?user_id=110&amp;payweek=2014-07-18"/>
    <hyperlink ref="A382" r:id="rId3315" display="http://dev.dashboard.evolvesolar.com/my-commissions.php?user_id=117&amp;payweek=2014-07-18"/>
    <hyperlink ref="C382" r:id="rId3316" display="http://dev.dashboard.evolvesolar.com/my-commissions.php?user_id=117&amp;payweek=2014-07-18"/>
    <hyperlink ref="A383" r:id="rId3317" display="http://dev.dashboard.evolvesolar.com/my-commissions.php?user_id=133&amp;payweek=2014-07-18"/>
    <hyperlink ref="C383" r:id="rId3318" display="http://dev.dashboard.evolvesolar.com/my-commissions.php?user_id=133&amp;payweek=2014-07-18"/>
    <hyperlink ref="A384" r:id="rId3319" display="http://dev.dashboard.evolvesolar.com/my-commissions.php?user_id=138&amp;payweek=2014-07-18"/>
    <hyperlink ref="C384" r:id="rId3320" display="http://dev.dashboard.evolvesolar.com/my-commissions.php?user_id=138&amp;payweek=2014-07-18"/>
    <hyperlink ref="A385" r:id="rId3321" display="http://dev.dashboard.evolvesolar.com/my-commissions.php?user_id=142&amp;payweek=2014-07-18"/>
    <hyperlink ref="C385" r:id="rId3322" display="http://dev.dashboard.evolvesolar.com/my-commissions.php?user_id=142&amp;payweek=2014-07-18"/>
    <hyperlink ref="A386" r:id="rId3323" display="http://dev.dashboard.evolvesolar.com/my-commissions.php?user_id=146&amp;payweek=2014-07-18"/>
    <hyperlink ref="C386" r:id="rId3324" display="http://dev.dashboard.evolvesolar.com/my-commissions.php?user_id=146&amp;payweek=2014-07-18"/>
    <hyperlink ref="A387" r:id="rId3325" display="http://dev.dashboard.evolvesolar.com/my-commissions.php?user_id=148&amp;payweek=2014-07-18"/>
    <hyperlink ref="C387" r:id="rId3326" display="http://dev.dashboard.evolvesolar.com/my-commissions.php?user_id=148&amp;payweek=2014-07-18"/>
    <hyperlink ref="A388" r:id="rId3327" display="http://dev.dashboard.evolvesolar.com/my-commissions.php?user_id=185&amp;payweek=2014-07-18"/>
    <hyperlink ref="C388" r:id="rId3328" display="http://dev.dashboard.evolvesolar.com/my-commissions.php?user_id=185&amp;payweek=2014-07-18"/>
    <hyperlink ref="A389" r:id="rId3329" display="http://dev.dashboard.evolvesolar.com/my-commissions.php?user_id=189&amp;payweek=2014-07-18"/>
    <hyperlink ref="C389" r:id="rId3330" display="http://dev.dashboard.evolvesolar.com/my-commissions.php?user_id=189&amp;payweek=2014-07-18"/>
    <hyperlink ref="A390" r:id="rId3331" display="http://dev.dashboard.evolvesolar.com/my-commissions.php?user_id=202&amp;payweek=2014-07-18"/>
    <hyperlink ref="C390" r:id="rId3332" display="http://dev.dashboard.evolvesolar.com/my-commissions.php?user_id=202&amp;payweek=2014-07-18"/>
    <hyperlink ref="A391" r:id="rId3333" display="http://dev.dashboard.evolvesolar.com/my-commissions.php?user_id=203&amp;payweek=2014-07-18"/>
    <hyperlink ref="C391" r:id="rId3334" display="http://dev.dashboard.evolvesolar.com/my-commissions.php?user_id=203&amp;payweek=2014-07-18"/>
    <hyperlink ref="A392" r:id="rId3335" display="http://dev.dashboard.evolvesolar.com/my-commissions.php?user_id=206&amp;payweek=2014-07-18"/>
    <hyperlink ref="C392" r:id="rId3336" display="http://dev.dashboard.evolvesolar.com/my-commissions.php?user_id=206&amp;payweek=2014-07-18"/>
    <hyperlink ref="A393" r:id="rId3337" display="http://dev.dashboard.evolvesolar.com/my-commissions.php?user_id=214&amp;payweek=2014-07-18"/>
    <hyperlink ref="C393" r:id="rId3338" display="http://dev.dashboard.evolvesolar.com/my-commissions.php?user_id=214&amp;payweek=2014-07-18"/>
    <hyperlink ref="A394" r:id="rId3339" display="http://dev.dashboard.evolvesolar.com/my-commissions.php?user_id=218&amp;payweek=2014-07-18"/>
    <hyperlink ref="C394" r:id="rId3340" display="http://dev.dashboard.evolvesolar.com/my-commissions.php?user_id=218&amp;payweek=2014-07-18"/>
    <hyperlink ref="A395" r:id="rId3341" display="http://dev.dashboard.evolvesolar.com/my-commissions.php?user_id=223&amp;payweek=2014-07-18"/>
    <hyperlink ref="C395" r:id="rId3342" display="http://dev.dashboard.evolvesolar.com/my-commissions.php?user_id=223&amp;payweek=2014-07-18"/>
    <hyperlink ref="A396" r:id="rId3343" display="http://dev.dashboard.evolvesolar.com/my-commissions.php?user_id=224&amp;payweek=2014-07-18"/>
    <hyperlink ref="C396" r:id="rId3344" display="http://dev.dashboard.evolvesolar.com/my-commissions.php?user_id=224&amp;payweek=2014-07-18"/>
    <hyperlink ref="A397" r:id="rId3345" display="http://dev.dashboard.evolvesolar.com/my-commissions.php?user_id=228&amp;payweek=2014-07-18"/>
    <hyperlink ref="C397" r:id="rId3346" display="http://dev.dashboard.evolvesolar.com/my-commissions.php?user_id=228&amp;payweek=2014-07-18"/>
    <hyperlink ref="A398" r:id="rId3347" display="http://dev.dashboard.evolvesolar.com/my-commissions.php?user_id=231&amp;payweek=2014-07-18"/>
    <hyperlink ref="C398" r:id="rId3348" display="http://dev.dashboard.evolvesolar.com/my-commissions.php?user_id=231&amp;payweek=2014-07-18"/>
    <hyperlink ref="A399" r:id="rId3349" display="http://dev.dashboard.evolvesolar.com/my-commissions.php?user_id=232&amp;payweek=2014-07-18"/>
    <hyperlink ref="C399" r:id="rId3350" display="http://dev.dashboard.evolvesolar.com/my-commissions.php?user_id=232&amp;payweek=2014-07-18"/>
    <hyperlink ref="A400" r:id="rId3351" display="http://dev.dashboard.evolvesolar.com/my-commissions.php?user_id=247&amp;payweek=2014-07-18"/>
    <hyperlink ref="C400" r:id="rId3352" display="http://dev.dashboard.evolvesolar.com/my-commissions.php?user_id=247&amp;payweek=2014-07-18"/>
    <hyperlink ref="A401" r:id="rId3353" display="http://dev.dashboard.evolvesolar.com/my-commissions.php?user_id=250&amp;payweek=2014-07-18"/>
    <hyperlink ref="C401" r:id="rId3354" display="http://dev.dashboard.evolvesolar.com/my-commissions.php?user_id=250&amp;payweek=2014-07-18"/>
    <hyperlink ref="A402" r:id="rId3355" display="http://dev.dashboard.evolvesolar.com/my-commissions.php?user_id=255&amp;payweek=2014-07-18"/>
    <hyperlink ref="C402" r:id="rId3356" display="http://dev.dashboard.evolvesolar.com/my-commissions.php?user_id=255&amp;payweek=2014-07-18"/>
    <hyperlink ref="A403" r:id="rId3357" display="http://dev.dashboard.evolvesolar.com/my-commissions.php?user_id=260&amp;payweek=2014-07-18"/>
    <hyperlink ref="C403" r:id="rId3358" display="http://dev.dashboard.evolvesolar.com/my-commissions.php?user_id=260&amp;payweek=2014-07-18"/>
    <hyperlink ref="A404" r:id="rId3359" display="http://dev.dashboard.evolvesolar.com/my-commissions.php?user_id=263&amp;payweek=2014-07-18"/>
    <hyperlink ref="C404" r:id="rId3360" display="http://dev.dashboard.evolvesolar.com/my-commissions.php?user_id=263&amp;payweek=2014-07-18"/>
    <hyperlink ref="A405" r:id="rId3361" display="http://dev.dashboard.evolvesolar.com/my-commissions.php?user_id=379&amp;payweek=2014-07-18"/>
    <hyperlink ref="C405" r:id="rId3362" display="http://dev.dashboard.evolvesolar.com/my-commissions.php?user_id=379&amp;payweek=2014-07-18"/>
    <hyperlink ref="A376" r:id="rId3363" display="http://dev.dashboard.evolvesolar.com/my-commissions.php?user_id=250&amp;payweek=2014-07-15"/>
    <hyperlink ref="C376" r:id="rId3364" display="http://dev.dashboard.evolvesolar.com/my-commissions.php?user_id=250&amp;payweek=2014-07-15"/>
    <hyperlink ref="A374" r:id="rId3365" display="http://dev.dashboard.evolvesolar.com/my-commissions.php?user_id=183&amp;payweek=2014-07-14"/>
    <hyperlink ref="C374" r:id="rId3366" display="http://dev.dashboard.evolvesolar.com/my-commissions.php?user_id=183&amp;payweek=2014-07-14"/>
    <hyperlink ref="A375" r:id="rId3367" display="http://dev.dashboard.evolvesolar.com/my-commissions.php?user_id=236&amp;payweek=2014-07-14"/>
    <hyperlink ref="C375" r:id="rId3368" display="http://dev.dashboard.evolvesolar.com/my-commissions.php?user_id=236&amp;payweek=2014-07-14"/>
    <hyperlink ref="A339" r:id="rId3369" display="http://dev.dashboard.evolvesolar.com/my-commissions.php?user_id=37&amp;payweek=2014-07-11"/>
    <hyperlink ref="C339" r:id="rId3370" display="http://dev.dashboard.evolvesolar.com/my-commissions.php?user_id=37&amp;payweek=2014-07-11"/>
    <hyperlink ref="A340" r:id="rId3371" display="http://dev.dashboard.evolvesolar.com/my-commissions.php?user_id=41&amp;payweek=2014-07-11"/>
    <hyperlink ref="C340" r:id="rId3372" display="http://dev.dashboard.evolvesolar.com/my-commissions.php?user_id=41&amp;payweek=2014-07-11"/>
    <hyperlink ref="A341" r:id="rId3373" display="http://dev.dashboard.evolvesolar.com/my-commissions.php?user_id=67&amp;payweek=2014-07-11"/>
    <hyperlink ref="C341" r:id="rId3374" display="http://dev.dashboard.evolvesolar.com/my-commissions.php?user_id=67&amp;payweek=2014-07-11"/>
    <hyperlink ref="A342" r:id="rId3375" display="http://dev.dashboard.evolvesolar.com/my-commissions.php?user_id=83&amp;payweek=2014-07-11"/>
    <hyperlink ref="C342" r:id="rId3376" display="http://dev.dashboard.evolvesolar.com/my-commissions.php?user_id=83&amp;payweek=2014-07-11"/>
    <hyperlink ref="A343" r:id="rId3377" display="http://dev.dashboard.evolvesolar.com/my-commissions.php?user_id=85&amp;payweek=2014-07-11"/>
    <hyperlink ref="C343" r:id="rId3378" display="http://dev.dashboard.evolvesolar.com/my-commissions.php?user_id=85&amp;payweek=2014-07-11"/>
    <hyperlink ref="A344" r:id="rId3379" display="http://dev.dashboard.evolvesolar.com/my-commissions.php?user_id=88&amp;payweek=2014-07-11"/>
    <hyperlink ref="C344" r:id="rId3380" display="http://dev.dashboard.evolvesolar.com/my-commissions.php?user_id=88&amp;payweek=2014-07-11"/>
    <hyperlink ref="A345" r:id="rId3381" display="http://dev.dashboard.evolvesolar.com/my-commissions.php?user_id=102&amp;payweek=2014-07-11"/>
    <hyperlink ref="C345" r:id="rId3382" display="http://dev.dashboard.evolvesolar.com/my-commissions.php?user_id=102&amp;payweek=2014-07-11"/>
    <hyperlink ref="A346" r:id="rId3383" display="http://dev.dashboard.evolvesolar.com/my-commissions.php?user_id=104&amp;payweek=2014-07-11"/>
    <hyperlink ref="C346" r:id="rId3384" display="http://dev.dashboard.evolvesolar.com/my-commissions.php?user_id=104&amp;payweek=2014-07-11"/>
    <hyperlink ref="A347" r:id="rId3385" display="http://dev.dashboard.evolvesolar.com/my-commissions.php?user_id=108&amp;payweek=2014-07-11"/>
    <hyperlink ref="C347" r:id="rId3386" display="http://dev.dashboard.evolvesolar.com/my-commissions.php?user_id=108&amp;payweek=2014-07-11"/>
    <hyperlink ref="A348" r:id="rId3387" display="http://dev.dashboard.evolvesolar.com/my-commissions.php?user_id=110&amp;payweek=2014-07-11"/>
    <hyperlink ref="C348" r:id="rId3388" display="http://dev.dashboard.evolvesolar.com/my-commissions.php?user_id=110&amp;payweek=2014-07-11"/>
    <hyperlink ref="A349" r:id="rId3389" display="http://dev.dashboard.evolvesolar.com/my-commissions.php?user_id=117&amp;payweek=2014-07-11"/>
    <hyperlink ref="C349" r:id="rId3390" display="http://dev.dashboard.evolvesolar.com/my-commissions.php?user_id=117&amp;payweek=2014-07-11"/>
    <hyperlink ref="A350" r:id="rId3391" display="http://dev.dashboard.evolvesolar.com/my-commissions.php?user_id=119&amp;payweek=2014-07-11"/>
    <hyperlink ref="C350" r:id="rId3392" display="http://dev.dashboard.evolvesolar.com/my-commissions.php?user_id=119&amp;payweek=2014-07-11"/>
    <hyperlink ref="A351" r:id="rId3393" display="http://dev.dashboard.evolvesolar.com/my-commissions.php?user_id=130&amp;payweek=2014-07-11"/>
    <hyperlink ref="C351" r:id="rId3394" display="http://dev.dashboard.evolvesolar.com/my-commissions.php?user_id=130&amp;payweek=2014-07-11"/>
    <hyperlink ref="A352" r:id="rId3395" display="http://dev.dashboard.evolvesolar.com/my-commissions.php?user_id=133&amp;payweek=2014-07-11"/>
    <hyperlink ref="C352" r:id="rId3396" display="http://dev.dashboard.evolvesolar.com/my-commissions.php?user_id=133&amp;payweek=2014-07-11"/>
    <hyperlink ref="A353" r:id="rId3397" display="http://dev.dashboard.evolvesolar.com/my-commissions.php?user_id=138&amp;payweek=2014-07-11"/>
    <hyperlink ref="C353" r:id="rId3398" display="http://dev.dashboard.evolvesolar.com/my-commissions.php?user_id=138&amp;payweek=2014-07-11"/>
    <hyperlink ref="A354" r:id="rId3399" display="http://dev.dashboard.evolvesolar.com/my-commissions.php?user_id=140&amp;payweek=2014-07-11"/>
    <hyperlink ref="C354" r:id="rId3400" display="http://dev.dashboard.evolvesolar.com/my-commissions.php?user_id=140&amp;payweek=2014-07-11"/>
    <hyperlink ref="A355" r:id="rId3401" display="http://dev.dashboard.evolvesolar.com/my-commissions.php?user_id=142&amp;payweek=2014-07-11"/>
    <hyperlink ref="C355" r:id="rId3402" display="http://dev.dashboard.evolvesolar.com/my-commissions.php?user_id=142&amp;payweek=2014-07-11"/>
    <hyperlink ref="A356" r:id="rId3403" display="http://dev.dashboard.evolvesolar.com/my-commissions.php?user_id=175&amp;payweek=2014-07-11"/>
    <hyperlink ref="C356" r:id="rId3404" display="http://dev.dashboard.evolvesolar.com/my-commissions.php?user_id=175&amp;payweek=2014-07-11"/>
    <hyperlink ref="A357" r:id="rId3405" display="http://dev.dashboard.evolvesolar.com/my-commissions.php?user_id=184&amp;payweek=2014-07-11"/>
    <hyperlink ref="C357" r:id="rId3406" display="http://dev.dashboard.evolvesolar.com/my-commissions.php?user_id=184&amp;payweek=2014-07-11"/>
    <hyperlink ref="A358" r:id="rId3407" display="http://dev.dashboard.evolvesolar.com/my-commissions.php?user_id=185&amp;payweek=2014-07-11"/>
    <hyperlink ref="C358" r:id="rId3408" display="http://dev.dashboard.evolvesolar.com/my-commissions.php?user_id=185&amp;payweek=2014-07-11"/>
    <hyperlink ref="A359" r:id="rId3409" display="http://dev.dashboard.evolvesolar.com/my-commissions.php?user_id=202&amp;payweek=2014-07-11"/>
    <hyperlink ref="C359" r:id="rId3410" display="http://dev.dashboard.evolvesolar.com/my-commissions.php?user_id=202&amp;payweek=2014-07-11"/>
    <hyperlink ref="A360" r:id="rId3411" display="http://dev.dashboard.evolvesolar.com/my-commissions.php?user_id=203&amp;payweek=2014-07-11"/>
    <hyperlink ref="C360" r:id="rId3412" display="http://dev.dashboard.evolvesolar.com/my-commissions.php?user_id=203&amp;payweek=2014-07-11"/>
    <hyperlink ref="A361" r:id="rId3413" display="http://dev.dashboard.evolvesolar.com/my-commissions.php?user_id=204&amp;payweek=2014-07-11"/>
    <hyperlink ref="C361" r:id="rId3414" display="http://dev.dashboard.evolvesolar.com/my-commissions.php?user_id=204&amp;payweek=2014-07-11"/>
    <hyperlink ref="A362" r:id="rId3415" display="http://dev.dashboard.evolvesolar.com/my-commissions.php?user_id=206&amp;payweek=2014-07-11"/>
    <hyperlink ref="C362" r:id="rId3416" display="http://dev.dashboard.evolvesolar.com/my-commissions.php?user_id=206&amp;payweek=2014-07-11"/>
    <hyperlink ref="A363" r:id="rId3417" display="http://dev.dashboard.evolvesolar.com/my-commissions.php?user_id=214&amp;payweek=2014-07-11"/>
    <hyperlink ref="C363" r:id="rId3418" display="http://dev.dashboard.evolvesolar.com/my-commissions.php?user_id=214&amp;payweek=2014-07-11"/>
    <hyperlink ref="A364" r:id="rId3419" display="http://dev.dashboard.evolvesolar.com/my-commissions.php?user_id=218&amp;payweek=2014-07-11"/>
    <hyperlink ref="C364" r:id="rId3420" display="http://dev.dashboard.evolvesolar.com/my-commissions.php?user_id=218&amp;payweek=2014-07-11"/>
    <hyperlink ref="A365" r:id="rId3421" display="http://dev.dashboard.evolvesolar.com/my-commissions.php?user_id=223&amp;payweek=2014-07-11"/>
    <hyperlink ref="C365" r:id="rId3422" display="http://dev.dashboard.evolvesolar.com/my-commissions.php?user_id=223&amp;payweek=2014-07-11"/>
    <hyperlink ref="A366" r:id="rId3423" display="http://dev.dashboard.evolvesolar.com/my-commissions.php?user_id=232&amp;payweek=2014-07-11"/>
    <hyperlink ref="C366" r:id="rId3424" display="http://dev.dashboard.evolvesolar.com/my-commissions.php?user_id=232&amp;payweek=2014-07-11"/>
    <hyperlink ref="A367" r:id="rId3425" display="http://dev.dashboard.evolvesolar.com/my-commissions.php?user_id=236&amp;payweek=2014-07-11"/>
    <hyperlink ref="C367" r:id="rId3426" display="http://dev.dashboard.evolvesolar.com/my-commissions.php?user_id=236&amp;payweek=2014-07-11"/>
    <hyperlink ref="A368" r:id="rId3427" display="http://dev.dashboard.evolvesolar.com/my-commissions.php?user_id=242&amp;payweek=2014-07-11"/>
    <hyperlink ref="C368" r:id="rId3428" display="http://dev.dashboard.evolvesolar.com/my-commissions.php?user_id=242&amp;payweek=2014-07-11"/>
    <hyperlink ref="A369" r:id="rId3429" display="http://dev.dashboard.evolvesolar.com/my-commissions.php?user_id=245&amp;payweek=2014-07-11"/>
    <hyperlink ref="C369" r:id="rId3430" display="http://dev.dashboard.evolvesolar.com/my-commissions.php?user_id=245&amp;payweek=2014-07-11"/>
    <hyperlink ref="A370" r:id="rId3431" display="http://dev.dashboard.evolvesolar.com/my-commissions.php?user_id=268&amp;payweek=2014-07-11"/>
    <hyperlink ref="C370" r:id="rId3432" display="http://dev.dashboard.evolvesolar.com/my-commissions.php?user_id=268&amp;payweek=2014-07-11"/>
    <hyperlink ref="A371" r:id="rId3433" display="http://dev.dashboard.evolvesolar.com/my-commissions.php?user_id=269&amp;payweek=2014-07-11"/>
    <hyperlink ref="C371" r:id="rId3434" display="http://dev.dashboard.evolvesolar.com/my-commissions.php?user_id=269&amp;payweek=2014-07-11"/>
    <hyperlink ref="A372" r:id="rId3435" display="http://dev.dashboard.evolvesolar.com/my-commissions.php?user_id=276&amp;payweek=2014-07-11"/>
    <hyperlink ref="C372" r:id="rId3436" display="http://dev.dashboard.evolvesolar.com/my-commissions.php?user_id=276&amp;payweek=2014-07-11"/>
    <hyperlink ref="A373" r:id="rId3437" display="http://dev.dashboard.evolvesolar.com/my-commissions.php?user_id=396&amp;payweek=2014-07-11"/>
    <hyperlink ref="C373" r:id="rId3438" display="http://dev.dashboard.evolvesolar.com/my-commissions.php?user_id=396&amp;payweek=2014-07-11"/>
    <hyperlink ref="A338" r:id="rId3439" display="http://dev.dashboard.evolvesolar.com/my-commissions.php?user_id=175&amp;payweek=2014-07-08"/>
    <hyperlink ref="C338" r:id="rId3440" display="http://dev.dashboard.evolvesolar.com/my-commissions.php?user_id=175&amp;payweek=2014-07-08"/>
    <hyperlink ref="A330" r:id="rId3441" display="http://dev.dashboard.evolvesolar.com/my-commissions.php?user_id=41&amp;payweek=2014-07-04"/>
    <hyperlink ref="C330" r:id="rId3442" display="http://dev.dashboard.evolvesolar.com/my-commissions.php?user_id=41&amp;payweek=2014-07-04"/>
    <hyperlink ref="A331" r:id="rId3443" display="http://dev.dashboard.evolvesolar.com/my-commissions.php?user_id=133&amp;payweek=2014-07-04"/>
    <hyperlink ref="C331" r:id="rId3444" display="http://dev.dashboard.evolvesolar.com/my-commissions.php?user_id=133&amp;payweek=2014-07-04"/>
    <hyperlink ref="A332" r:id="rId3445" display="http://dev.dashboard.evolvesolar.com/my-commissions.php?user_id=154&amp;payweek=2014-07-04"/>
    <hyperlink ref="C332" r:id="rId3446" display="http://dev.dashboard.evolvesolar.com/my-commissions.php?user_id=154&amp;payweek=2014-07-04"/>
    <hyperlink ref="A333" r:id="rId3447" display="http://dev.dashboard.evolvesolar.com/my-commissions.php?user_id=167&amp;payweek=2014-07-04"/>
    <hyperlink ref="C333" r:id="rId3448" display="http://dev.dashboard.evolvesolar.com/my-commissions.php?user_id=167&amp;payweek=2014-07-04"/>
    <hyperlink ref="A334" r:id="rId3449" display="http://dev.dashboard.evolvesolar.com/my-commissions.php?user_id=168&amp;payweek=2014-07-04"/>
    <hyperlink ref="C334" r:id="rId3450" display="http://dev.dashboard.evolvesolar.com/my-commissions.php?user_id=168&amp;payweek=2014-07-04"/>
    <hyperlink ref="A335" r:id="rId3451" display="http://dev.dashboard.evolvesolar.com/my-commissions.php?user_id=202&amp;payweek=2014-07-04"/>
    <hyperlink ref="C335" r:id="rId3452" display="http://dev.dashboard.evolvesolar.com/my-commissions.php?user_id=202&amp;payweek=2014-07-04"/>
    <hyperlink ref="A336" r:id="rId3453" display="http://dev.dashboard.evolvesolar.com/my-commissions.php?user_id=218&amp;payweek=2014-07-04"/>
    <hyperlink ref="C336" r:id="rId3454" display="http://dev.dashboard.evolvesolar.com/my-commissions.php?user_id=218&amp;payweek=2014-07-04"/>
    <hyperlink ref="A337" r:id="rId3455" display="http://dev.dashboard.evolvesolar.com/my-commissions.php?user_id=223&amp;payweek=2014-07-04"/>
    <hyperlink ref="C337" r:id="rId3456" display="http://dev.dashboard.evolvesolar.com/my-commissions.php?user_id=223&amp;payweek=2014-07-04"/>
    <hyperlink ref="A321" r:id="rId3457" display="http://dev.dashboard.evolvesolar.com/my-commissions.php?user_id=27&amp;payweek=2014-07-03"/>
    <hyperlink ref="C321" r:id="rId3458" display="http://dev.dashboard.evolvesolar.com/my-commissions.php?user_id=27&amp;payweek=2014-07-03"/>
    <hyperlink ref="A322" r:id="rId3459" display="http://dev.dashboard.evolvesolar.com/my-commissions.php?user_id=28&amp;payweek=2014-07-03"/>
    <hyperlink ref="C322" r:id="rId3460" display="http://dev.dashboard.evolvesolar.com/my-commissions.php?user_id=28&amp;payweek=2014-07-03"/>
    <hyperlink ref="A323" r:id="rId3461" display="http://dev.dashboard.evolvesolar.com/my-commissions.php?user_id=83&amp;payweek=2014-07-03"/>
    <hyperlink ref="C323" r:id="rId3462" display="http://dev.dashboard.evolvesolar.com/my-commissions.php?user_id=83&amp;payweek=2014-07-03"/>
    <hyperlink ref="A324" r:id="rId3463" display="http://dev.dashboard.evolvesolar.com/my-commissions.php?user_id=120&amp;payweek=2014-07-03"/>
    <hyperlink ref="C324" r:id="rId3464" display="http://dev.dashboard.evolvesolar.com/my-commissions.php?user_id=120&amp;payweek=2014-07-03"/>
    <hyperlink ref="A325" r:id="rId3465" display="http://dev.dashboard.evolvesolar.com/my-commissions.php?user_id=134&amp;payweek=2014-07-03"/>
    <hyperlink ref="C325" r:id="rId3466" display="http://dev.dashboard.evolvesolar.com/my-commissions.php?user_id=134&amp;payweek=2014-07-03"/>
    <hyperlink ref="A326" r:id="rId3467" display="http://dev.dashboard.evolvesolar.com/my-commissions.php?user_id=140&amp;payweek=2014-07-03"/>
    <hyperlink ref="C326" r:id="rId3468" display="http://dev.dashboard.evolvesolar.com/my-commissions.php?user_id=140&amp;payweek=2014-07-03"/>
    <hyperlink ref="A327" r:id="rId3469" display="http://dev.dashboard.evolvesolar.com/my-commissions.php?user_id=184&amp;payweek=2014-07-03"/>
    <hyperlink ref="C327" r:id="rId3470" display="http://dev.dashboard.evolvesolar.com/my-commissions.php?user_id=184&amp;payweek=2014-07-03"/>
    <hyperlink ref="A328" r:id="rId3471" display="http://dev.dashboard.evolvesolar.com/my-commissions.php?user_id=185&amp;payweek=2014-07-03"/>
    <hyperlink ref="C328" r:id="rId3472" display="http://dev.dashboard.evolvesolar.com/my-commissions.php?user_id=185&amp;payweek=2014-07-03"/>
    <hyperlink ref="A329" r:id="rId3473" display="http://dev.dashboard.evolvesolar.com/my-commissions.php?user_id=219&amp;payweek=2014-07-03"/>
    <hyperlink ref="C329" r:id="rId3474" display="http://dev.dashboard.evolvesolar.com/my-commissions.php?user_id=219&amp;payweek=2014-07-03"/>
    <hyperlink ref="A320" r:id="rId3475" display="http://dev.dashboard.evolvesolar.com/my-commissions.php?user_id=156&amp;payweek=2014-06-30"/>
    <hyperlink ref="C320" r:id="rId3476" display="http://dev.dashboard.evolvesolar.com/my-commissions.php?user_id=156&amp;payweek=2014-06-30"/>
    <hyperlink ref="A300" r:id="rId3477" display="http://dev.dashboard.evolvesolar.com/my-commissions.php?user_id=27&amp;payweek=2014-06-27"/>
    <hyperlink ref="C300" r:id="rId3478" display="http://dev.dashboard.evolvesolar.com/my-commissions.php?user_id=27&amp;payweek=2014-06-27"/>
    <hyperlink ref="A301" r:id="rId3479" display="http://dev.dashboard.evolvesolar.com/my-commissions.php?user_id=41&amp;payweek=2014-06-27"/>
    <hyperlink ref="C301" r:id="rId3480" display="http://dev.dashboard.evolvesolar.com/my-commissions.php?user_id=41&amp;payweek=2014-06-27"/>
    <hyperlink ref="A302" r:id="rId3481" display="http://dev.dashboard.evolvesolar.com/my-commissions.php?user_id=63&amp;payweek=2014-06-27"/>
    <hyperlink ref="C302" r:id="rId3482" display="http://dev.dashboard.evolvesolar.com/my-commissions.php?user_id=63&amp;payweek=2014-06-27"/>
    <hyperlink ref="A303" r:id="rId3483" display="http://dev.dashboard.evolvesolar.com/my-commissions.php?user_id=67&amp;payweek=2014-06-27"/>
    <hyperlink ref="C303" r:id="rId3484" display="http://dev.dashboard.evolvesolar.com/my-commissions.php?user_id=67&amp;payweek=2014-06-27"/>
    <hyperlink ref="A304" r:id="rId3485" display="http://dev.dashboard.evolvesolar.com/my-commissions.php?user_id=85&amp;payweek=2014-06-27"/>
    <hyperlink ref="C304" r:id="rId3486" display="http://dev.dashboard.evolvesolar.com/my-commissions.php?user_id=85&amp;payweek=2014-06-27"/>
    <hyperlink ref="A305" r:id="rId3487" display="http://dev.dashboard.evolvesolar.com/my-commissions.php?user_id=88&amp;payweek=2014-06-27"/>
    <hyperlink ref="C305" r:id="rId3488" display="http://dev.dashboard.evolvesolar.com/my-commissions.php?user_id=88&amp;payweek=2014-06-27"/>
    <hyperlink ref="A306" r:id="rId3489" display="http://dev.dashboard.evolvesolar.com/my-commissions.php?user_id=94&amp;payweek=2014-06-27"/>
    <hyperlink ref="C306" r:id="rId3490" display="http://dev.dashboard.evolvesolar.com/my-commissions.php?user_id=94&amp;payweek=2014-06-27"/>
    <hyperlink ref="A307" r:id="rId3491" display="http://dev.dashboard.evolvesolar.com/my-commissions.php?user_id=99&amp;payweek=2014-06-27"/>
    <hyperlink ref="C307" r:id="rId3492" display="http://dev.dashboard.evolvesolar.com/my-commissions.php?user_id=99&amp;payweek=2014-06-27"/>
    <hyperlink ref="A308" r:id="rId3493" display="http://dev.dashboard.evolvesolar.com/my-commissions.php?user_id=112&amp;payweek=2014-06-27"/>
    <hyperlink ref="C308" r:id="rId3494" display="http://dev.dashboard.evolvesolar.com/my-commissions.php?user_id=112&amp;payweek=2014-06-27"/>
    <hyperlink ref="A309" r:id="rId3495" display="http://dev.dashboard.evolvesolar.com/my-commissions.php?user_id=120&amp;payweek=2014-06-27"/>
    <hyperlink ref="C309" r:id="rId3496" display="http://dev.dashboard.evolvesolar.com/my-commissions.php?user_id=120&amp;payweek=2014-06-27"/>
    <hyperlink ref="A310" r:id="rId3497" display="http://dev.dashboard.evolvesolar.com/my-commissions.php?user_id=125&amp;payweek=2014-06-27"/>
    <hyperlink ref="C310" r:id="rId3498" display="http://dev.dashboard.evolvesolar.com/my-commissions.php?user_id=125&amp;payweek=2014-06-27"/>
    <hyperlink ref="A311" r:id="rId3499" display="http://dev.dashboard.evolvesolar.com/my-commissions.php?user_id=133&amp;payweek=2014-06-27"/>
    <hyperlink ref="C311" r:id="rId3500" display="http://dev.dashboard.evolvesolar.com/my-commissions.php?user_id=133&amp;payweek=2014-06-27"/>
    <hyperlink ref="A312" r:id="rId3501" display="http://dev.dashboard.evolvesolar.com/my-commissions.php?user_id=143&amp;payweek=2014-06-27"/>
    <hyperlink ref="C312" r:id="rId3502" display="http://dev.dashboard.evolvesolar.com/my-commissions.php?user_id=143&amp;payweek=2014-06-27"/>
    <hyperlink ref="A313" r:id="rId3503" display="http://dev.dashboard.evolvesolar.com/my-commissions.php?user_id=148&amp;payweek=2014-06-27"/>
    <hyperlink ref="C313" r:id="rId3504" display="http://dev.dashboard.evolvesolar.com/my-commissions.php?user_id=148&amp;payweek=2014-06-27"/>
    <hyperlink ref="A314" r:id="rId3505" display="http://dev.dashboard.evolvesolar.com/my-commissions.php?user_id=155&amp;payweek=2014-06-27"/>
    <hyperlink ref="C314" r:id="rId3506" display="http://dev.dashboard.evolvesolar.com/my-commissions.php?user_id=155&amp;payweek=2014-06-27"/>
    <hyperlink ref="A315" r:id="rId3507" display="http://dev.dashboard.evolvesolar.com/my-commissions.php?user_id=175&amp;payweek=2014-06-27"/>
    <hyperlink ref="C315" r:id="rId3508" display="http://dev.dashboard.evolvesolar.com/my-commissions.php?user_id=175&amp;payweek=2014-06-27"/>
    <hyperlink ref="A316" r:id="rId3509" display="http://dev.dashboard.evolvesolar.com/my-commissions.php?user_id=185&amp;payweek=2014-06-27"/>
    <hyperlink ref="C316" r:id="rId3510" display="http://dev.dashboard.evolvesolar.com/my-commissions.php?user_id=185&amp;payweek=2014-06-27"/>
    <hyperlink ref="A317" r:id="rId3511" display="http://dev.dashboard.evolvesolar.com/my-commissions.php?user_id=214&amp;payweek=2014-06-27"/>
    <hyperlink ref="C317" r:id="rId3512" display="http://dev.dashboard.evolvesolar.com/my-commissions.php?user_id=214&amp;payweek=2014-06-27"/>
    <hyperlink ref="A318" r:id="rId3513" display="http://dev.dashboard.evolvesolar.com/my-commissions.php?user_id=217&amp;payweek=2014-06-27"/>
    <hyperlink ref="C318" r:id="rId3514" display="http://dev.dashboard.evolvesolar.com/my-commissions.php?user_id=217&amp;payweek=2014-06-27"/>
    <hyperlink ref="A319" r:id="rId3515" display="http://dev.dashboard.evolvesolar.com/my-commissions.php?user_id=236&amp;payweek=2014-06-27"/>
    <hyperlink ref="C319" r:id="rId3516" display="http://dev.dashboard.evolvesolar.com/my-commissions.php?user_id=236&amp;payweek=2014-06-27"/>
    <hyperlink ref="A298" r:id="rId3517" display="http://dev.dashboard.evolvesolar.com/my-commissions.php?user_id=79&amp;payweek=2014-06-23"/>
    <hyperlink ref="C298" r:id="rId3518" display="http://dev.dashboard.evolvesolar.com/my-commissions.php?user_id=79&amp;payweek=2014-06-23"/>
    <hyperlink ref="A299" r:id="rId3519" display="http://dev.dashboard.evolvesolar.com/my-commissions.php?user_id=142&amp;payweek=2014-06-23"/>
    <hyperlink ref="C299" r:id="rId3520" display="http://dev.dashboard.evolvesolar.com/my-commissions.php?user_id=142&amp;payweek=2014-06-23"/>
    <hyperlink ref="A253" r:id="rId3521" display="http://dev.dashboard.evolvesolar.com/my-commissions.php?user_id=27&amp;payweek=2014-06-20"/>
    <hyperlink ref="C253" r:id="rId3522" display="http://dev.dashboard.evolvesolar.com/my-commissions.php?user_id=27&amp;payweek=2014-06-20"/>
    <hyperlink ref="A254" r:id="rId3523" display="http://dev.dashboard.evolvesolar.com/my-commissions.php?user_id=37&amp;payweek=2014-06-20"/>
    <hyperlink ref="C254" r:id="rId3524" display="http://dev.dashboard.evolvesolar.com/my-commissions.php?user_id=37&amp;payweek=2014-06-20"/>
    <hyperlink ref="A255" r:id="rId3525" display="http://dev.dashboard.evolvesolar.com/my-commissions.php?user_id=41&amp;payweek=2014-06-20"/>
    <hyperlink ref="C255" r:id="rId3526" display="http://dev.dashboard.evolvesolar.com/my-commissions.php?user_id=41&amp;payweek=2014-06-20"/>
    <hyperlink ref="A256" r:id="rId3527" display="http://dev.dashboard.evolvesolar.com/my-commissions.php?user_id=50&amp;payweek=2014-06-20"/>
    <hyperlink ref="C256" r:id="rId3528" display="http://dev.dashboard.evolvesolar.com/my-commissions.php?user_id=50&amp;payweek=2014-06-20"/>
    <hyperlink ref="A257" r:id="rId3529" display="http://dev.dashboard.evolvesolar.com/my-commissions.php?user_id=59&amp;payweek=2014-06-20"/>
    <hyperlink ref="C257" r:id="rId3530" display="http://dev.dashboard.evolvesolar.com/my-commissions.php?user_id=59&amp;payweek=2014-06-20"/>
    <hyperlink ref="A258" r:id="rId3531" display="http://dev.dashboard.evolvesolar.com/my-commissions.php?user_id=63&amp;payweek=2014-06-20"/>
    <hyperlink ref="C258" r:id="rId3532" display="http://dev.dashboard.evolvesolar.com/my-commissions.php?user_id=63&amp;payweek=2014-06-20"/>
    <hyperlink ref="A259" r:id="rId3533" display="http://dev.dashboard.evolvesolar.com/my-commissions.php?user_id=71&amp;payweek=2014-06-20"/>
    <hyperlink ref="C259" r:id="rId3534" display="http://dev.dashboard.evolvesolar.com/my-commissions.php?user_id=71&amp;payweek=2014-06-20"/>
    <hyperlink ref="A260" r:id="rId3535" display="http://dev.dashboard.evolvesolar.com/my-commissions.php?user_id=83&amp;payweek=2014-06-20"/>
    <hyperlink ref="C260" r:id="rId3536" display="http://dev.dashboard.evolvesolar.com/my-commissions.php?user_id=83&amp;payweek=2014-06-20"/>
    <hyperlink ref="A261" r:id="rId3537" display="http://dev.dashboard.evolvesolar.com/my-commissions.php?user_id=85&amp;payweek=2014-06-20"/>
    <hyperlink ref="C261" r:id="rId3538" display="http://dev.dashboard.evolvesolar.com/my-commissions.php?user_id=85&amp;payweek=2014-06-20"/>
    <hyperlink ref="A262" r:id="rId3539" display="http://dev.dashboard.evolvesolar.com/my-commissions.php?user_id=94&amp;payweek=2014-06-20"/>
    <hyperlink ref="C262" r:id="rId3540" display="http://dev.dashboard.evolvesolar.com/my-commissions.php?user_id=94&amp;payweek=2014-06-20"/>
    <hyperlink ref="A263" r:id="rId3541" display="http://dev.dashboard.evolvesolar.com/my-commissions.php?user_id=96&amp;payweek=2014-06-20"/>
    <hyperlink ref="C263" r:id="rId3542" display="http://dev.dashboard.evolvesolar.com/my-commissions.php?user_id=96&amp;payweek=2014-06-20"/>
    <hyperlink ref="A264" r:id="rId3543" display="http://dev.dashboard.evolvesolar.com/my-commissions.php?user_id=99&amp;payweek=2014-06-20"/>
    <hyperlink ref="C264" r:id="rId3544" display="http://dev.dashboard.evolvesolar.com/my-commissions.php?user_id=99&amp;payweek=2014-06-20"/>
    <hyperlink ref="A265" r:id="rId3545" display="http://dev.dashboard.evolvesolar.com/my-commissions.php?user_id=100&amp;payweek=2014-06-20"/>
    <hyperlink ref="C265" r:id="rId3546" display="http://dev.dashboard.evolvesolar.com/my-commissions.php?user_id=100&amp;payweek=2014-06-20"/>
    <hyperlink ref="A266" r:id="rId3547" display="http://dev.dashboard.evolvesolar.com/my-commissions.php?user_id=108&amp;payweek=2014-06-20"/>
    <hyperlink ref="C266" r:id="rId3548" display="http://dev.dashboard.evolvesolar.com/my-commissions.php?user_id=108&amp;payweek=2014-06-20"/>
    <hyperlink ref="A267" r:id="rId3549" display="http://dev.dashboard.evolvesolar.com/my-commissions.php?user_id=112&amp;payweek=2014-06-20"/>
    <hyperlink ref="C267" r:id="rId3550" display="http://dev.dashboard.evolvesolar.com/my-commissions.php?user_id=112&amp;payweek=2014-06-20"/>
    <hyperlink ref="A268" r:id="rId3551" display="http://dev.dashboard.evolvesolar.com/my-commissions.php?user_id=114&amp;payweek=2014-06-20"/>
    <hyperlink ref="C268" r:id="rId3552" display="http://dev.dashboard.evolvesolar.com/my-commissions.php?user_id=114&amp;payweek=2014-06-20"/>
    <hyperlink ref="A269" r:id="rId3553" display="http://dev.dashboard.evolvesolar.com/my-commissions.php?user_id=125&amp;payweek=2014-06-20"/>
    <hyperlink ref="C269" r:id="rId3554" display="http://dev.dashboard.evolvesolar.com/my-commissions.php?user_id=125&amp;payweek=2014-06-20"/>
    <hyperlink ref="A270" r:id="rId3555" display="http://dev.dashboard.evolvesolar.com/my-commissions.php?user_id=133&amp;payweek=2014-06-20"/>
    <hyperlink ref="C270" r:id="rId3556" display="http://dev.dashboard.evolvesolar.com/my-commissions.php?user_id=133&amp;payweek=2014-06-20"/>
    <hyperlink ref="A271" r:id="rId3557" display="http://dev.dashboard.evolvesolar.com/my-commissions.php?user_id=137&amp;payweek=2014-06-20"/>
    <hyperlink ref="C271" r:id="rId3558" display="http://dev.dashboard.evolvesolar.com/my-commissions.php?user_id=137&amp;payweek=2014-06-20"/>
    <hyperlink ref="A272" r:id="rId3559" display="http://dev.dashboard.evolvesolar.com/my-commissions.php?user_id=138&amp;payweek=2014-06-20"/>
    <hyperlink ref="C272" r:id="rId3560" display="http://dev.dashboard.evolvesolar.com/my-commissions.php?user_id=138&amp;payweek=2014-06-20"/>
    <hyperlink ref="A273" r:id="rId3561" display="http://dev.dashboard.evolvesolar.com/my-commissions.php?user_id=139&amp;payweek=2014-06-20"/>
    <hyperlink ref="C273" r:id="rId3562" display="http://dev.dashboard.evolvesolar.com/my-commissions.php?user_id=139&amp;payweek=2014-06-20"/>
    <hyperlink ref="A274" r:id="rId3563" display="http://dev.dashboard.evolvesolar.com/my-commissions.php?user_id=140&amp;payweek=2014-06-20"/>
    <hyperlink ref="C274" r:id="rId3564" display="http://dev.dashboard.evolvesolar.com/my-commissions.php?user_id=140&amp;payweek=2014-06-20"/>
    <hyperlink ref="A275" r:id="rId3565" display="http://dev.dashboard.evolvesolar.com/my-commissions.php?user_id=141&amp;payweek=2014-06-20"/>
    <hyperlink ref="C275" r:id="rId3566" display="http://dev.dashboard.evolvesolar.com/my-commissions.php?user_id=141&amp;payweek=2014-06-20"/>
    <hyperlink ref="A276" r:id="rId3567" display="http://dev.dashboard.evolvesolar.com/my-commissions.php?user_id=143&amp;payweek=2014-06-20"/>
    <hyperlink ref="C276" r:id="rId3568" display="http://dev.dashboard.evolvesolar.com/my-commissions.php?user_id=143&amp;payweek=2014-06-20"/>
    <hyperlink ref="A277" r:id="rId3569" display="http://dev.dashboard.evolvesolar.com/my-commissions.php?user_id=146&amp;payweek=2014-06-20"/>
    <hyperlink ref="C277" r:id="rId3570" display="http://dev.dashboard.evolvesolar.com/my-commissions.php?user_id=146&amp;payweek=2014-06-20"/>
    <hyperlink ref="A278" r:id="rId3571" display="http://dev.dashboard.evolvesolar.com/my-commissions.php?user_id=149&amp;payweek=2014-06-20"/>
    <hyperlink ref="C278" r:id="rId3572" display="http://dev.dashboard.evolvesolar.com/my-commissions.php?user_id=149&amp;payweek=2014-06-20"/>
    <hyperlink ref="A279" r:id="rId3573" display="http://dev.dashboard.evolvesolar.com/my-commissions.php?user_id=151&amp;payweek=2014-06-20"/>
    <hyperlink ref="C279" r:id="rId3574" display="http://dev.dashboard.evolvesolar.com/my-commissions.php?user_id=151&amp;payweek=2014-06-20"/>
    <hyperlink ref="A280" r:id="rId3575" display="http://dev.dashboard.evolvesolar.com/my-commissions.php?user_id=152&amp;payweek=2014-06-20"/>
    <hyperlink ref="C280" r:id="rId3576" display="http://dev.dashboard.evolvesolar.com/my-commissions.php?user_id=152&amp;payweek=2014-06-20"/>
    <hyperlink ref="A281" r:id="rId3577" display="http://dev.dashboard.evolvesolar.com/my-commissions.php?user_id=154&amp;payweek=2014-06-20"/>
    <hyperlink ref="C281" r:id="rId3578" display="http://dev.dashboard.evolvesolar.com/my-commissions.php?user_id=154&amp;payweek=2014-06-20"/>
    <hyperlink ref="A282" r:id="rId3579" display="http://dev.dashboard.evolvesolar.com/my-commissions.php?user_id=156&amp;payweek=2014-06-20"/>
    <hyperlink ref="C282" r:id="rId3580" display="http://dev.dashboard.evolvesolar.com/my-commissions.php?user_id=156&amp;payweek=2014-06-20"/>
    <hyperlink ref="A283" r:id="rId3581" display="http://dev.dashboard.evolvesolar.com/my-commissions.php?user_id=157&amp;payweek=2014-06-20"/>
    <hyperlink ref="C283" r:id="rId3582" display="http://dev.dashboard.evolvesolar.com/my-commissions.php?user_id=157&amp;payweek=2014-06-20"/>
    <hyperlink ref="A284" r:id="rId3583" display="http://dev.dashboard.evolvesolar.com/my-commissions.php?user_id=159&amp;payweek=2014-06-20"/>
    <hyperlink ref="C284" r:id="rId3584" display="http://dev.dashboard.evolvesolar.com/my-commissions.php?user_id=159&amp;payweek=2014-06-20"/>
    <hyperlink ref="A285" r:id="rId3585" display="http://dev.dashboard.evolvesolar.com/my-commissions.php?user_id=160&amp;payweek=2014-06-20"/>
    <hyperlink ref="C285" r:id="rId3586" display="http://dev.dashboard.evolvesolar.com/my-commissions.php?user_id=160&amp;payweek=2014-06-20"/>
    <hyperlink ref="A286" r:id="rId3587" display="http://dev.dashboard.evolvesolar.com/my-commissions.php?user_id=161&amp;payweek=2014-06-20"/>
    <hyperlink ref="C286" r:id="rId3588" display="http://dev.dashboard.evolvesolar.com/my-commissions.php?user_id=161&amp;payweek=2014-06-20"/>
    <hyperlink ref="A287" r:id="rId3589" display="http://dev.dashboard.evolvesolar.com/my-commissions.php?user_id=163&amp;payweek=2014-06-20"/>
    <hyperlink ref="C287" r:id="rId3590" display="http://dev.dashboard.evolvesolar.com/my-commissions.php?user_id=163&amp;payweek=2014-06-20"/>
    <hyperlink ref="A288" r:id="rId3591" display="http://dev.dashboard.evolvesolar.com/my-commissions.php?user_id=164&amp;payweek=2014-06-20"/>
    <hyperlink ref="C288" r:id="rId3592" display="http://dev.dashboard.evolvesolar.com/my-commissions.php?user_id=164&amp;payweek=2014-06-20"/>
    <hyperlink ref="A289" r:id="rId3593" display="http://dev.dashboard.evolvesolar.com/my-commissions.php?user_id=184&amp;payweek=2014-06-20"/>
    <hyperlink ref="C289" r:id="rId3594" display="http://dev.dashboard.evolvesolar.com/my-commissions.php?user_id=184&amp;payweek=2014-06-20"/>
    <hyperlink ref="A290" r:id="rId3595" display="http://dev.dashboard.evolvesolar.com/my-commissions.php?user_id=185&amp;payweek=2014-06-20"/>
    <hyperlink ref="C290" r:id="rId3596" display="http://dev.dashboard.evolvesolar.com/my-commissions.php?user_id=185&amp;payweek=2014-06-20"/>
    <hyperlink ref="A291" r:id="rId3597" display="http://dev.dashboard.evolvesolar.com/my-commissions.php?user_id=192&amp;payweek=2014-06-20"/>
    <hyperlink ref="C291" r:id="rId3598" display="http://dev.dashboard.evolvesolar.com/my-commissions.php?user_id=192&amp;payweek=2014-06-20"/>
    <hyperlink ref="A292" r:id="rId3599" display="http://dev.dashboard.evolvesolar.com/my-commissions.php?user_id=204&amp;payweek=2014-06-20"/>
    <hyperlink ref="C292" r:id="rId3600" display="http://dev.dashboard.evolvesolar.com/my-commissions.php?user_id=204&amp;payweek=2014-06-20"/>
    <hyperlink ref="A293" r:id="rId3601" display="http://dev.dashboard.evolvesolar.com/my-commissions.php?user_id=218&amp;payweek=2014-06-20"/>
    <hyperlink ref="C293" r:id="rId3602" display="http://dev.dashboard.evolvesolar.com/my-commissions.php?user_id=218&amp;payweek=2014-06-20"/>
    <hyperlink ref="A294" r:id="rId3603" display="http://dev.dashboard.evolvesolar.com/my-commissions.php?user_id=223&amp;payweek=2014-06-20"/>
    <hyperlink ref="C294" r:id="rId3604" display="http://dev.dashboard.evolvesolar.com/my-commissions.php?user_id=223&amp;payweek=2014-06-20"/>
    <hyperlink ref="A295" r:id="rId3605" display="http://dev.dashboard.evolvesolar.com/my-commissions.php?user_id=225&amp;payweek=2014-06-20"/>
    <hyperlink ref="C295" r:id="rId3606" display="http://dev.dashboard.evolvesolar.com/my-commissions.php?user_id=225&amp;payweek=2014-06-20"/>
    <hyperlink ref="A296" r:id="rId3607" display="http://dev.dashboard.evolvesolar.com/my-commissions.php?user_id=227&amp;payweek=2014-06-20"/>
    <hyperlink ref="C296" r:id="rId3608" display="http://dev.dashboard.evolvesolar.com/my-commissions.php?user_id=227&amp;payweek=2014-06-20"/>
    <hyperlink ref="A297" r:id="rId3609" display="http://dev.dashboard.evolvesolar.com/my-commissions.php?user_id=230&amp;payweek=2014-06-20"/>
    <hyperlink ref="C297" r:id="rId3610" display="http://dev.dashboard.evolvesolar.com/my-commissions.php?user_id=230&amp;payweek=2014-06-20"/>
    <hyperlink ref="A250" r:id="rId3611" display="http://dev.dashboard.evolvesolar.com/my-commissions.php?user_id=138&amp;payweek=2014-06-16"/>
    <hyperlink ref="C250" r:id="rId3612" display="http://dev.dashboard.evolvesolar.com/my-commissions.php?user_id=138&amp;payweek=2014-06-16"/>
    <hyperlink ref="A251" r:id="rId3613" display="http://dev.dashboard.evolvesolar.com/my-commissions.php?user_id=164&amp;payweek=2014-06-16"/>
    <hyperlink ref="C251" r:id="rId3614" display="http://dev.dashboard.evolvesolar.com/my-commissions.php?user_id=164&amp;payweek=2014-06-16"/>
    <hyperlink ref="A252" r:id="rId3615" display="http://dev.dashboard.evolvesolar.com/my-commissions.php?user_id=187&amp;payweek=2014-06-16"/>
    <hyperlink ref="C252" r:id="rId3616" display="http://dev.dashboard.evolvesolar.com/my-commissions.php?user_id=187&amp;payweek=2014-06-16"/>
    <hyperlink ref="A209" r:id="rId3617" display="http://dev.dashboard.evolvesolar.com/my-commissions.php?user_id=27&amp;payweek=2014-06-13"/>
    <hyperlink ref="C209" r:id="rId3618" display="http://dev.dashboard.evolvesolar.com/my-commissions.php?user_id=27&amp;payweek=2014-06-13"/>
    <hyperlink ref="A210" r:id="rId3619" display="http://dev.dashboard.evolvesolar.com/my-commissions.php?user_id=28&amp;payweek=2014-06-13"/>
    <hyperlink ref="C210" r:id="rId3620" display="http://dev.dashboard.evolvesolar.com/my-commissions.php?user_id=28&amp;payweek=2014-06-13"/>
    <hyperlink ref="A211" r:id="rId3621" display="http://dev.dashboard.evolvesolar.com/my-commissions.php?user_id=37&amp;payweek=2014-06-13"/>
    <hyperlink ref="C211" r:id="rId3622" display="http://dev.dashboard.evolvesolar.com/my-commissions.php?user_id=37&amp;payweek=2014-06-13"/>
    <hyperlink ref="A212" r:id="rId3623" display="http://dev.dashboard.evolvesolar.com/my-commissions.php?user_id=38&amp;payweek=2014-06-13"/>
    <hyperlink ref="C212" r:id="rId3624" display="http://dev.dashboard.evolvesolar.com/my-commissions.php?user_id=38&amp;payweek=2014-06-13"/>
    <hyperlink ref="A213" r:id="rId3625" display="http://dev.dashboard.evolvesolar.com/my-commissions.php?user_id=45&amp;payweek=2014-06-13"/>
    <hyperlink ref="C213" r:id="rId3626" display="http://dev.dashboard.evolvesolar.com/my-commissions.php?user_id=45&amp;payweek=2014-06-13"/>
    <hyperlink ref="A214" r:id="rId3627" display="http://dev.dashboard.evolvesolar.com/my-commissions.php?user_id=50&amp;payweek=2014-06-13"/>
    <hyperlink ref="C214" r:id="rId3628" display="http://dev.dashboard.evolvesolar.com/my-commissions.php?user_id=50&amp;payweek=2014-06-13"/>
    <hyperlink ref="A215" r:id="rId3629" display="http://dev.dashboard.evolvesolar.com/my-commissions.php?user_id=52&amp;payweek=2014-06-13"/>
    <hyperlink ref="C215" r:id="rId3630" display="http://dev.dashboard.evolvesolar.com/my-commissions.php?user_id=52&amp;payweek=2014-06-13"/>
    <hyperlink ref="A216" r:id="rId3631" display="http://dev.dashboard.evolvesolar.com/my-commissions.php?user_id=53&amp;payweek=2014-06-13"/>
    <hyperlink ref="C216" r:id="rId3632" display="http://dev.dashboard.evolvesolar.com/my-commissions.php?user_id=53&amp;payweek=2014-06-13"/>
    <hyperlink ref="A217" r:id="rId3633" display="http://dev.dashboard.evolvesolar.com/my-commissions.php?user_id=54&amp;payweek=2014-06-13"/>
    <hyperlink ref="C217" r:id="rId3634" display="http://dev.dashboard.evolvesolar.com/my-commissions.php?user_id=54&amp;payweek=2014-06-13"/>
    <hyperlink ref="A218" r:id="rId3635" display="http://dev.dashboard.evolvesolar.com/my-commissions.php?user_id=55&amp;payweek=2014-06-13"/>
    <hyperlink ref="C218" r:id="rId3636" display="http://dev.dashboard.evolvesolar.com/my-commissions.php?user_id=55&amp;payweek=2014-06-13"/>
    <hyperlink ref="A219" r:id="rId3637" display="http://dev.dashboard.evolvesolar.com/my-commissions.php?user_id=63&amp;payweek=2014-06-13"/>
    <hyperlink ref="C219" r:id="rId3638" display="http://dev.dashboard.evolvesolar.com/my-commissions.php?user_id=63&amp;payweek=2014-06-13"/>
    <hyperlink ref="A220" r:id="rId3639" display="http://dev.dashboard.evolvesolar.com/my-commissions.php?user_id=71&amp;payweek=2014-06-13"/>
    <hyperlink ref="C220" r:id="rId3640" display="http://dev.dashboard.evolvesolar.com/my-commissions.php?user_id=71&amp;payweek=2014-06-13"/>
    <hyperlink ref="A221" r:id="rId3641" display="http://dev.dashboard.evolvesolar.com/my-commissions.php?user_id=79&amp;payweek=2014-06-13"/>
    <hyperlink ref="C221" r:id="rId3642" display="http://dev.dashboard.evolvesolar.com/my-commissions.php?user_id=79&amp;payweek=2014-06-13"/>
    <hyperlink ref="A222" r:id="rId3643" display="http://dev.dashboard.evolvesolar.com/my-commissions.php?user_id=83&amp;payweek=2014-06-13"/>
    <hyperlink ref="C222" r:id="rId3644" display="http://dev.dashboard.evolvesolar.com/my-commissions.php?user_id=83&amp;payweek=2014-06-13"/>
    <hyperlink ref="A223" r:id="rId3645" display="http://dev.dashboard.evolvesolar.com/my-commissions.php?user_id=94&amp;payweek=2014-06-13"/>
    <hyperlink ref="C223" r:id="rId3646" display="http://dev.dashboard.evolvesolar.com/my-commissions.php?user_id=94&amp;payweek=2014-06-13"/>
    <hyperlink ref="A224" r:id="rId3647" display="http://dev.dashboard.evolvesolar.com/my-commissions.php?user_id=99&amp;payweek=2014-06-13"/>
    <hyperlink ref="C224" r:id="rId3648" display="http://dev.dashboard.evolvesolar.com/my-commissions.php?user_id=99&amp;payweek=2014-06-13"/>
    <hyperlink ref="A225" r:id="rId3649" display="http://dev.dashboard.evolvesolar.com/my-commissions.php?user_id=102&amp;payweek=2014-06-13"/>
    <hyperlink ref="C225" r:id="rId3650" display="http://dev.dashboard.evolvesolar.com/my-commissions.php?user_id=102&amp;payweek=2014-06-13"/>
    <hyperlink ref="A226" r:id="rId3651" display="http://dev.dashboard.evolvesolar.com/my-commissions.php?user_id=104&amp;payweek=2014-06-13"/>
    <hyperlink ref="C226" r:id="rId3652" display="http://dev.dashboard.evolvesolar.com/my-commissions.php?user_id=104&amp;payweek=2014-06-13"/>
    <hyperlink ref="A227" r:id="rId3653" display="http://dev.dashboard.evolvesolar.com/my-commissions.php?user_id=108&amp;payweek=2014-06-13"/>
    <hyperlink ref="C227" r:id="rId3654" display="http://dev.dashboard.evolvesolar.com/my-commissions.php?user_id=108&amp;payweek=2014-06-13"/>
    <hyperlink ref="A228" r:id="rId3655" display="http://dev.dashboard.evolvesolar.com/my-commissions.php?user_id=109&amp;payweek=2014-06-13"/>
    <hyperlink ref="C228" r:id="rId3656" display="http://dev.dashboard.evolvesolar.com/my-commissions.php?user_id=109&amp;payweek=2014-06-13"/>
    <hyperlink ref="A229" r:id="rId3657" display="http://dev.dashboard.evolvesolar.com/my-commissions.php?user_id=113&amp;payweek=2014-06-13"/>
    <hyperlink ref="C229" r:id="rId3658" display="http://dev.dashboard.evolvesolar.com/my-commissions.php?user_id=113&amp;payweek=2014-06-13"/>
    <hyperlink ref="A230" r:id="rId3659" display="http://dev.dashboard.evolvesolar.com/my-commissions.php?user_id=114&amp;payweek=2014-06-13"/>
    <hyperlink ref="C230" r:id="rId3660" display="http://dev.dashboard.evolvesolar.com/my-commissions.php?user_id=114&amp;payweek=2014-06-13"/>
    <hyperlink ref="A231" r:id="rId3661" display="http://dev.dashboard.evolvesolar.com/my-commissions.php?user_id=116&amp;payweek=2014-06-13"/>
    <hyperlink ref="C231" r:id="rId3662" display="http://dev.dashboard.evolvesolar.com/my-commissions.php?user_id=116&amp;payweek=2014-06-13"/>
    <hyperlink ref="A232" r:id="rId3663" display="http://dev.dashboard.evolvesolar.com/my-commissions.php?user_id=119&amp;payweek=2014-06-13"/>
    <hyperlink ref="C232" r:id="rId3664" display="http://dev.dashboard.evolvesolar.com/my-commissions.php?user_id=119&amp;payweek=2014-06-13"/>
    <hyperlink ref="A233" r:id="rId3665" display="http://dev.dashboard.evolvesolar.com/my-commissions.php?user_id=123&amp;payweek=2014-06-13"/>
    <hyperlink ref="C233" r:id="rId3666" display="http://dev.dashboard.evolvesolar.com/my-commissions.php?user_id=123&amp;payweek=2014-06-13"/>
    <hyperlink ref="A234" r:id="rId3667" display="http://dev.dashboard.evolvesolar.com/my-commissions.php?user_id=130&amp;payweek=2014-06-13"/>
    <hyperlink ref="C234" r:id="rId3668" display="http://dev.dashboard.evolvesolar.com/my-commissions.php?user_id=130&amp;payweek=2014-06-13"/>
    <hyperlink ref="A235" r:id="rId3669" display="http://dev.dashboard.evolvesolar.com/my-commissions.php?user_id=133&amp;payweek=2014-06-13"/>
    <hyperlink ref="C235" r:id="rId3670" display="http://dev.dashboard.evolvesolar.com/my-commissions.php?user_id=133&amp;payweek=2014-06-13"/>
    <hyperlink ref="A236" r:id="rId3671" display="http://dev.dashboard.evolvesolar.com/my-commissions.php?user_id=134&amp;payweek=2014-06-13"/>
    <hyperlink ref="C236" r:id="rId3672" display="http://dev.dashboard.evolvesolar.com/my-commissions.php?user_id=134&amp;payweek=2014-06-13"/>
    <hyperlink ref="A237" r:id="rId3673" display="http://dev.dashboard.evolvesolar.com/my-commissions.php?user_id=137&amp;payweek=2014-06-13"/>
    <hyperlink ref="C237" r:id="rId3674" display="http://dev.dashboard.evolvesolar.com/my-commissions.php?user_id=137&amp;payweek=2014-06-13"/>
    <hyperlink ref="A238" r:id="rId3675" display="http://dev.dashboard.evolvesolar.com/my-commissions.php?user_id=139&amp;payweek=2014-06-13"/>
    <hyperlink ref="C238" r:id="rId3676" display="http://dev.dashboard.evolvesolar.com/my-commissions.php?user_id=139&amp;payweek=2014-06-13"/>
    <hyperlink ref="A239" r:id="rId3677" display="http://dev.dashboard.evolvesolar.com/my-commissions.php?user_id=140&amp;payweek=2014-06-13"/>
    <hyperlink ref="C239" r:id="rId3678" display="http://dev.dashboard.evolvesolar.com/my-commissions.php?user_id=140&amp;payweek=2014-06-13"/>
    <hyperlink ref="A240" r:id="rId3679" display="http://dev.dashboard.evolvesolar.com/my-commissions.php?user_id=141&amp;payweek=2014-06-13"/>
    <hyperlink ref="C240" r:id="rId3680" display="http://dev.dashboard.evolvesolar.com/my-commissions.php?user_id=141&amp;payweek=2014-06-13"/>
    <hyperlink ref="A241" r:id="rId3681" display="http://dev.dashboard.evolvesolar.com/my-commissions.php?user_id=143&amp;payweek=2014-06-13"/>
    <hyperlink ref="C241" r:id="rId3682" display="http://dev.dashboard.evolvesolar.com/my-commissions.php?user_id=143&amp;payweek=2014-06-13"/>
    <hyperlink ref="A242" r:id="rId3683" display="http://dev.dashboard.evolvesolar.com/my-commissions.php?user_id=146&amp;payweek=2014-06-13"/>
    <hyperlink ref="C242" r:id="rId3684" display="http://dev.dashboard.evolvesolar.com/my-commissions.php?user_id=146&amp;payweek=2014-06-13"/>
    <hyperlink ref="A243" r:id="rId3685" display="http://dev.dashboard.evolvesolar.com/my-commissions.php?user_id=147&amp;payweek=2014-06-13"/>
    <hyperlink ref="C243" r:id="rId3686" display="http://dev.dashboard.evolvesolar.com/my-commissions.php?user_id=147&amp;payweek=2014-06-13"/>
    <hyperlink ref="A244" r:id="rId3687" display="http://dev.dashboard.evolvesolar.com/my-commissions.php?user_id=149&amp;payweek=2014-06-13"/>
    <hyperlink ref="C244" r:id="rId3688" display="http://dev.dashboard.evolvesolar.com/my-commissions.php?user_id=149&amp;payweek=2014-06-13"/>
    <hyperlink ref="A245" r:id="rId3689" display="http://dev.dashboard.evolvesolar.com/my-commissions.php?user_id=150&amp;payweek=2014-06-13"/>
    <hyperlink ref="C245" r:id="rId3690" display="http://dev.dashboard.evolvesolar.com/my-commissions.php?user_id=150&amp;payweek=2014-06-13"/>
    <hyperlink ref="A246" r:id="rId3691" display="http://dev.dashboard.evolvesolar.com/my-commissions.php?user_id=151&amp;payweek=2014-06-13"/>
    <hyperlink ref="C246" r:id="rId3692" display="http://dev.dashboard.evolvesolar.com/my-commissions.php?user_id=151&amp;payweek=2014-06-13"/>
    <hyperlink ref="A247" r:id="rId3693" display="http://dev.dashboard.evolvesolar.com/my-commissions.php?user_id=160&amp;payweek=2014-06-13"/>
    <hyperlink ref="C247" r:id="rId3694" display="http://dev.dashboard.evolvesolar.com/my-commissions.php?user_id=160&amp;payweek=2014-06-13"/>
    <hyperlink ref="A248" r:id="rId3695" display="http://dev.dashboard.evolvesolar.com/my-commissions.php?user_id=163&amp;payweek=2014-06-13"/>
    <hyperlink ref="C248" r:id="rId3696" display="http://dev.dashboard.evolvesolar.com/my-commissions.php?user_id=163&amp;payweek=2014-06-13"/>
    <hyperlink ref="A249" r:id="rId3697" display="http://dev.dashboard.evolvesolar.com/my-commissions.php?user_id=185&amp;payweek=2014-06-13"/>
    <hyperlink ref="C249" r:id="rId3698" display="http://dev.dashboard.evolvesolar.com/my-commissions.php?user_id=185&amp;payweek=2014-06-13"/>
    <hyperlink ref="A169" r:id="rId3699" display="http://dev.dashboard.evolvesolar.com/my-commissions.php?user_id=27&amp;payweek=2014-06-06"/>
    <hyperlink ref="C169" r:id="rId3700" display="http://dev.dashboard.evolvesolar.com/my-commissions.php?user_id=27&amp;payweek=2014-06-06"/>
    <hyperlink ref="A170" r:id="rId3701" display="http://dev.dashboard.evolvesolar.com/my-commissions.php?user_id=28&amp;payweek=2014-06-06"/>
    <hyperlink ref="C170" r:id="rId3702" display="http://dev.dashboard.evolvesolar.com/my-commissions.php?user_id=28&amp;payweek=2014-06-06"/>
    <hyperlink ref="A171" r:id="rId3703" display="http://dev.dashboard.evolvesolar.com/my-commissions.php?user_id=38&amp;payweek=2014-06-06"/>
    <hyperlink ref="C171" r:id="rId3704" display="http://dev.dashboard.evolvesolar.com/my-commissions.php?user_id=38&amp;payweek=2014-06-06"/>
    <hyperlink ref="A172" r:id="rId3705" display="http://dev.dashboard.evolvesolar.com/my-commissions.php?user_id=41&amp;payweek=2014-06-06"/>
    <hyperlink ref="C172" r:id="rId3706" display="http://dev.dashboard.evolvesolar.com/my-commissions.php?user_id=41&amp;payweek=2014-06-06"/>
    <hyperlink ref="A173" r:id="rId3707" display="http://dev.dashboard.evolvesolar.com/my-commissions.php?user_id=45&amp;payweek=2014-06-06"/>
    <hyperlink ref="C173" r:id="rId3708" display="http://dev.dashboard.evolvesolar.com/my-commissions.php?user_id=45&amp;payweek=2014-06-06"/>
    <hyperlink ref="A174" r:id="rId3709" display="http://dev.dashboard.evolvesolar.com/my-commissions.php?user_id=50&amp;payweek=2014-06-06"/>
    <hyperlink ref="C174" r:id="rId3710" display="http://dev.dashboard.evolvesolar.com/my-commissions.php?user_id=50&amp;payweek=2014-06-06"/>
    <hyperlink ref="A175" r:id="rId3711" display="http://dev.dashboard.evolvesolar.com/my-commissions.php?user_id=52&amp;payweek=2014-06-06"/>
    <hyperlink ref="C175" r:id="rId3712" display="http://dev.dashboard.evolvesolar.com/my-commissions.php?user_id=52&amp;payweek=2014-06-06"/>
    <hyperlink ref="A176" r:id="rId3713" display="http://dev.dashboard.evolvesolar.com/my-commissions.php?user_id=53&amp;payweek=2014-06-06"/>
    <hyperlink ref="C176" r:id="rId3714" display="http://dev.dashboard.evolvesolar.com/my-commissions.php?user_id=53&amp;payweek=2014-06-06"/>
    <hyperlink ref="A177" r:id="rId3715" display="http://dev.dashboard.evolvesolar.com/my-commissions.php?user_id=54&amp;payweek=2014-06-06"/>
    <hyperlink ref="C177" r:id="rId3716" display="http://dev.dashboard.evolvesolar.com/my-commissions.php?user_id=54&amp;payweek=2014-06-06"/>
    <hyperlink ref="A178" r:id="rId3717" display="http://dev.dashboard.evolvesolar.com/my-commissions.php?user_id=63&amp;payweek=2014-06-06"/>
    <hyperlink ref="C178" r:id="rId3718" display="http://dev.dashboard.evolvesolar.com/my-commissions.php?user_id=63&amp;payweek=2014-06-06"/>
    <hyperlink ref="A179" r:id="rId3719" display="http://dev.dashboard.evolvesolar.com/my-commissions.php?user_id=71&amp;payweek=2014-06-06"/>
    <hyperlink ref="C179" r:id="rId3720" display="http://dev.dashboard.evolvesolar.com/my-commissions.php?user_id=71&amp;payweek=2014-06-06"/>
    <hyperlink ref="A180" r:id="rId3721" display="http://dev.dashboard.evolvesolar.com/my-commissions.php?user_id=79&amp;payweek=2014-06-06"/>
    <hyperlink ref="C180" r:id="rId3722" display="http://dev.dashboard.evolvesolar.com/my-commissions.php?user_id=79&amp;payweek=2014-06-06"/>
    <hyperlink ref="A181" r:id="rId3723" display="http://dev.dashboard.evolvesolar.com/my-commissions.php?user_id=83&amp;payweek=2014-06-06"/>
    <hyperlink ref="C181" r:id="rId3724" display="http://dev.dashboard.evolvesolar.com/my-commissions.php?user_id=83&amp;payweek=2014-06-06"/>
    <hyperlink ref="A182" r:id="rId3725" display="http://dev.dashboard.evolvesolar.com/my-commissions.php?user_id=85&amp;payweek=2014-06-06"/>
    <hyperlink ref="C182" r:id="rId3726" display="http://dev.dashboard.evolvesolar.com/my-commissions.php?user_id=85&amp;payweek=2014-06-06"/>
    <hyperlink ref="A183" r:id="rId3727" display="http://dev.dashboard.evolvesolar.com/my-commissions.php?user_id=88&amp;payweek=2014-06-06"/>
    <hyperlink ref="C183" r:id="rId3728" display="http://dev.dashboard.evolvesolar.com/my-commissions.php?user_id=88&amp;payweek=2014-06-06"/>
    <hyperlink ref="A184" r:id="rId3729" display="http://dev.dashboard.evolvesolar.com/my-commissions.php?user_id=96&amp;payweek=2014-06-06"/>
    <hyperlink ref="C184" r:id="rId3730" display="http://dev.dashboard.evolvesolar.com/my-commissions.php?user_id=96&amp;payweek=2014-06-06"/>
    <hyperlink ref="A185" r:id="rId3731" display="http://dev.dashboard.evolvesolar.com/my-commissions.php?user_id=99&amp;payweek=2014-06-06"/>
    <hyperlink ref="C185" r:id="rId3732" display="http://dev.dashboard.evolvesolar.com/my-commissions.php?user_id=99&amp;payweek=2014-06-06"/>
    <hyperlink ref="A186" r:id="rId3733" display="http://dev.dashboard.evolvesolar.com/my-commissions.php?user_id=100&amp;payweek=2014-06-06"/>
    <hyperlink ref="C186" r:id="rId3734" display="http://dev.dashboard.evolvesolar.com/my-commissions.php?user_id=100&amp;payweek=2014-06-06"/>
    <hyperlink ref="A187" r:id="rId3735" display="http://dev.dashboard.evolvesolar.com/my-commissions.php?user_id=101&amp;payweek=2014-06-06"/>
    <hyperlink ref="C187" r:id="rId3736" display="http://dev.dashboard.evolvesolar.com/my-commissions.php?user_id=101&amp;payweek=2014-06-06"/>
    <hyperlink ref="A188" r:id="rId3737" display="http://dev.dashboard.evolvesolar.com/my-commissions.php?user_id=104&amp;payweek=2014-06-06"/>
    <hyperlink ref="C188" r:id="rId3738" display="http://dev.dashboard.evolvesolar.com/my-commissions.php?user_id=104&amp;payweek=2014-06-06"/>
    <hyperlink ref="A189" r:id="rId3739" display="http://dev.dashboard.evolvesolar.com/my-commissions.php?user_id=108&amp;payweek=2014-06-06"/>
    <hyperlink ref="C189" r:id="rId3740" display="http://dev.dashboard.evolvesolar.com/my-commissions.php?user_id=108&amp;payweek=2014-06-06"/>
    <hyperlink ref="A190" r:id="rId3741" display="http://dev.dashboard.evolvesolar.com/my-commissions.php?user_id=109&amp;payweek=2014-06-06"/>
    <hyperlink ref="C190" r:id="rId3742" display="http://dev.dashboard.evolvesolar.com/my-commissions.php?user_id=109&amp;payweek=2014-06-06"/>
    <hyperlink ref="A191" r:id="rId3743" display="http://dev.dashboard.evolvesolar.com/my-commissions.php?user_id=111&amp;payweek=2014-06-06"/>
    <hyperlink ref="C191" r:id="rId3744" display="http://dev.dashboard.evolvesolar.com/my-commissions.php?user_id=111&amp;payweek=2014-06-06"/>
    <hyperlink ref="A192" r:id="rId3745" display="http://dev.dashboard.evolvesolar.com/my-commissions.php?user_id=113&amp;payweek=2014-06-06"/>
    <hyperlink ref="C192" r:id="rId3746" display="http://dev.dashboard.evolvesolar.com/my-commissions.php?user_id=113&amp;payweek=2014-06-06"/>
    <hyperlink ref="A193" r:id="rId3747" display="http://dev.dashboard.evolvesolar.com/my-commissions.php?user_id=114&amp;payweek=2014-06-06"/>
    <hyperlink ref="C193" r:id="rId3748" display="http://dev.dashboard.evolvesolar.com/my-commissions.php?user_id=114&amp;payweek=2014-06-06"/>
    <hyperlink ref="A194" r:id="rId3749" display="http://dev.dashboard.evolvesolar.com/my-commissions.php?user_id=116&amp;payweek=2014-06-06"/>
    <hyperlink ref="C194" r:id="rId3750" display="http://dev.dashboard.evolvesolar.com/my-commissions.php?user_id=116&amp;payweek=2014-06-06"/>
    <hyperlink ref="A195" r:id="rId3751" display="http://dev.dashboard.evolvesolar.com/my-commissions.php?user_id=118&amp;payweek=2014-06-06"/>
    <hyperlink ref="C195" r:id="rId3752" display="http://dev.dashboard.evolvesolar.com/my-commissions.php?user_id=118&amp;payweek=2014-06-06"/>
    <hyperlink ref="A196" r:id="rId3753" display="http://dev.dashboard.evolvesolar.com/my-commissions.php?user_id=119&amp;payweek=2014-06-06"/>
    <hyperlink ref="C196" r:id="rId3754" display="http://dev.dashboard.evolvesolar.com/my-commissions.php?user_id=119&amp;payweek=2014-06-06"/>
    <hyperlink ref="A197" r:id="rId3755" display="http://dev.dashboard.evolvesolar.com/my-commissions.php?user_id=120&amp;payweek=2014-06-06"/>
    <hyperlink ref="C197" r:id="rId3756" display="http://dev.dashboard.evolvesolar.com/my-commissions.php?user_id=120&amp;payweek=2014-06-06"/>
    <hyperlink ref="A198" r:id="rId3757" display="http://dev.dashboard.evolvesolar.com/my-commissions.php?user_id=125&amp;payweek=2014-06-06"/>
    <hyperlink ref="C198" r:id="rId3758" display="http://dev.dashboard.evolvesolar.com/my-commissions.php?user_id=125&amp;payweek=2014-06-06"/>
    <hyperlink ref="A199" r:id="rId3759" display="http://dev.dashboard.evolvesolar.com/my-commissions.php?user_id=130&amp;payweek=2014-06-06"/>
    <hyperlink ref="C199" r:id="rId3760" display="http://dev.dashboard.evolvesolar.com/my-commissions.php?user_id=130&amp;payweek=2014-06-06"/>
    <hyperlink ref="A200" r:id="rId3761" display="http://dev.dashboard.evolvesolar.com/my-commissions.php?user_id=137&amp;payweek=2014-06-06"/>
    <hyperlink ref="C200" r:id="rId3762" display="http://dev.dashboard.evolvesolar.com/my-commissions.php?user_id=137&amp;payweek=2014-06-06"/>
    <hyperlink ref="A201" r:id="rId3763" display="http://dev.dashboard.evolvesolar.com/my-commissions.php?user_id=138&amp;payweek=2014-06-06"/>
    <hyperlink ref="C201" r:id="rId3764" display="http://dev.dashboard.evolvesolar.com/my-commissions.php?user_id=138&amp;payweek=2014-06-06"/>
    <hyperlink ref="A202" r:id="rId3765" display="http://dev.dashboard.evolvesolar.com/my-commissions.php?user_id=139&amp;payweek=2014-06-06"/>
    <hyperlink ref="C202" r:id="rId3766" display="http://dev.dashboard.evolvesolar.com/my-commissions.php?user_id=139&amp;payweek=2014-06-06"/>
    <hyperlink ref="A203" r:id="rId3767" display="http://dev.dashboard.evolvesolar.com/my-commissions.php?user_id=140&amp;payweek=2014-06-06"/>
    <hyperlink ref="C203" r:id="rId3768" display="http://dev.dashboard.evolvesolar.com/my-commissions.php?user_id=140&amp;payweek=2014-06-06"/>
    <hyperlink ref="A204" r:id="rId3769" display="http://dev.dashboard.evolvesolar.com/my-commissions.php?user_id=142&amp;payweek=2014-06-06"/>
    <hyperlink ref="C204" r:id="rId3770" display="http://dev.dashboard.evolvesolar.com/my-commissions.php?user_id=142&amp;payweek=2014-06-06"/>
    <hyperlink ref="A205" r:id="rId3771" display="http://dev.dashboard.evolvesolar.com/my-commissions.php?user_id=143&amp;payweek=2014-06-06"/>
    <hyperlink ref="C205" r:id="rId3772" display="http://dev.dashboard.evolvesolar.com/my-commissions.php?user_id=143&amp;payweek=2014-06-06"/>
    <hyperlink ref="A206" r:id="rId3773" display="http://dev.dashboard.evolvesolar.com/my-commissions.php?user_id=147&amp;payweek=2014-06-06"/>
    <hyperlink ref="C206" r:id="rId3774" display="http://dev.dashboard.evolvesolar.com/my-commissions.php?user_id=147&amp;payweek=2014-06-06"/>
    <hyperlink ref="A207" r:id="rId3775" display="http://dev.dashboard.evolvesolar.com/my-commissions.php?user_id=152&amp;payweek=2014-06-06"/>
    <hyperlink ref="C207" r:id="rId3776" display="http://dev.dashboard.evolvesolar.com/my-commissions.php?user_id=152&amp;payweek=2014-06-06"/>
    <hyperlink ref="A208" r:id="rId3777" display="http://dev.dashboard.evolvesolar.com/my-commissions.php?user_id=175&amp;payweek=2014-06-06"/>
    <hyperlink ref="C208" r:id="rId3778" display="http://dev.dashboard.evolvesolar.com/my-commissions.php?user_id=175&amp;payweek=2014-06-06"/>
    <hyperlink ref="A143" r:id="rId3779" display="http://dev.dashboard.evolvesolar.com/my-commissions.php?user_id=27&amp;payweek=2014-05-30"/>
    <hyperlink ref="C143" r:id="rId3780" display="http://dev.dashboard.evolvesolar.com/my-commissions.php?user_id=27&amp;payweek=2014-05-30"/>
    <hyperlink ref="A144" r:id="rId3781" display="http://dev.dashboard.evolvesolar.com/my-commissions.php?user_id=28&amp;payweek=2014-05-30"/>
    <hyperlink ref="C144" r:id="rId3782" display="http://dev.dashboard.evolvesolar.com/my-commissions.php?user_id=28&amp;payweek=2014-05-30"/>
    <hyperlink ref="A145" r:id="rId3783" display="http://dev.dashboard.evolvesolar.com/my-commissions.php?user_id=41&amp;payweek=2014-05-30"/>
    <hyperlink ref="C145" r:id="rId3784" display="http://dev.dashboard.evolvesolar.com/my-commissions.php?user_id=41&amp;payweek=2014-05-30"/>
    <hyperlink ref="A146" r:id="rId3785" display="http://dev.dashboard.evolvesolar.com/my-commissions.php?user_id=54&amp;payweek=2014-05-30"/>
    <hyperlink ref="C146" r:id="rId3786" display="http://dev.dashboard.evolvesolar.com/my-commissions.php?user_id=54&amp;payweek=2014-05-30"/>
    <hyperlink ref="A147" r:id="rId3787" display="http://dev.dashboard.evolvesolar.com/my-commissions.php?user_id=55&amp;payweek=2014-05-30"/>
    <hyperlink ref="C147" r:id="rId3788" display="http://dev.dashboard.evolvesolar.com/my-commissions.php?user_id=55&amp;payweek=2014-05-30"/>
    <hyperlink ref="A148" r:id="rId3789" display="http://dev.dashboard.evolvesolar.com/my-commissions.php?user_id=63&amp;payweek=2014-05-30"/>
    <hyperlink ref="C148" r:id="rId3790" display="http://dev.dashboard.evolvesolar.com/my-commissions.php?user_id=63&amp;payweek=2014-05-30"/>
    <hyperlink ref="A149" r:id="rId3791" display="http://dev.dashboard.evolvesolar.com/my-commissions.php?user_id=79&amp;payweek=2014-05-30"/>
    <hyperlink ref="C149" r:id="rId3792" display="http://dev.dashboard.evolvesolar.com/my-commissions.php?user_id=79&amp;payweek=2014-05-30"/>
    <hyperlink ref="A150" r:id="rId3793" display="http://dev.dashboard.evolvesolar.com/my-commissions.php?user_id=83&amp;payweek=2014-05-30"/>
    <hyperlink ref="C150" r:id="rId3794" display="http://dev.dashboard.evolvesolar.com/my-commissions.php?user_id=83&amp;payweek=2014-05-30"/>
    <hyperlink ref="A151" r:id="rId3795" display="http://dev.dashboard.evolvesolar.com/my-commissions.php?user_id=85&amp;payweek=2014-05-30"/>
    <hyperlink ref="C151" r:id="rId3796" display="http://dev.dashboard.evolvesolar.com/my-commissions.php?user_id=85&amp;payweek=2014-05-30"/>
    <hyperlink ref="A152" r:id="rId3797" display="http://dev.dashboard.evolvesolar.com/my-commissions.php?user_id=88&amp;payweek=2014-05-30"/>
    <hyperlink ref="C152" r:id="rId3798" display="http://dev.dashboard.evolvesolar.com/my-commissions.php?user_id=88&amp;payweek=2014-05-30"/>
    <hyperlink ref="A153" r:id="rId3799" display="http://dev.dashboard.evolvesolar.com/my-commissions.php?user_id=96&amp;payweek=2014-05-30"/>
    <hyperlink ref="C153" r:id="rId3800" display="http://dev.dashboard.evolvesolar.com/my-commissions.php?user_id=96&amp;payweek=2014-05-30"/>
    <hyperlink ref="A154" r:id="rId3801" display="http://dev.dashboard.evolvesolar.com/my-commissions.php?user_id=100&amp;payweek=2014-05-30"/>
    <hyperlink ref="C154" r:id="rId3802" display="http://dev.dashboard.evolvesolar.com/my-commissions.php?user_id=100&amp;payweek=2014-05-30"/>
    <hyperlink ref="A155" r:id="rId3803" display="http://dev.dashboard.evolvesolar.com/my-commissions.php?user_id=104&amp;payweek=2014-05-30"/>
    <hyperlink ref="C155" r:id="rId3804" display="http://dev.dashboard.evolvesolar.com/my-commissions.php?user_id=104&amp;payweek=2014-05-30"/>
    <hyperlink ref="A156" r:id="rId3805" display="http://dev.dashboard.evolvesolar.com/my-commissions.php?user_id=108&amp;payweek=2014-05-30"/>
    <hyperlink ref="C156" r:id="rId3806" display="http://dev.dashboard.evolvesolar.com/my-commissions.php?user_id=108&amp;payweek=2014-05-30"/>
    <hyperlink ref="A157" r:id="rId3807" display="http://dev.dashboard.evolvesolar.com/my-commissions.php?user_id=109&amp;payweek=2014-05-30"/>
    <hyperlink ref="C157" r:id="rId3808" display="http://dev.dashboard.evolvesolar.com/my-commissions.php?user_id=109&amp;payweek=2014-05-30"/>
    <hyperlink ref="A158" r:id="rId3809" display="http://dev.dashboard.evolvesolar.com/my-commissions.php?user_id=111&amp;payweek=2014-05-30"/>
    <hyperlink ref="C158" r:id="rId3810" display="http://dev.dashboard.evolvesolar.com/my-commissions.php?user_id=111&amp;payweek=2014-05-30"/>
    <hyperlink ref="A159" r:id="rId3811" display="http://dev.dashboard.evolvesolar.com/my-commissions.php?user_id=113&amp;payweek=2014-05-30"/>
    <hyperlink ref="C159" r:id="rId3812" display="http://dev.dashboard.evolvesolar.com/my-commissions.php?user_id=113&amp;payweek=2014-05-30"/>
    <hyperlink ref="A160" r:id="rId3813" display="http://dev.dashboard.evolvesolar.com/my-commissions.php?user_id=114&amp;payweek=2014-05-30"/>
    <hyperlink ref="C160" r:id="rId3814" display="http://dev.dashboard.evolvesolar.com/my-commissions.php?user_id=114&amp;payweek=2014-05-30"/>
    <hyperlink ref="A161" r:id="rId3815" display="http://dev.dashboard.evolvesolar.com/my-commissions.php?user_id=118&amp;payweek=2014-05-30"/>
    <hyperlink ref="C161" r:id="rId3816" display="http://dev.dashboard.evolvesolar.com/my-commissions.php?user_id=118&amp;payweek=2014-05-30"/>
    <hyperlink ref="A162" r:id="rId3817" display="http://dev.dashboard.evolvesolar.com/my-commissions.php?user_id=119&amp;payweek=2014-05-30"/>
    <hyperlink ref="C162" r:id="rId3818" display="http://dev.dashboard.evolvesolar.com/my-commissions.php?user_id=119&amp;payweek=2014-05-30"/>
    <hyperlink ref="A163" r:id="rId3819" display="http://dev.dashboard.evolvesolar.com/my-commissions.php?user_id=120&amp;payweek=2014-05-30"/>
    <hyperlink ref="C163" r:id="rId3820" display="http://dev.dashboard.evolvesolar.com/my-commissions.php?user_id=120&amp;payweek=2014-05-30"/>
    <hyperlink ref="A164" r:id="rId3821" display="http://dev.dashboard.evolvesolar.com/my-commissions.php?user_id=130&amp;payweek=2014-05-30"/>
    <hyperlink ref="C164" r:id="rId3822" display="http://dev.dashboard.evolvesolar.com/my-commissions.php?user_id=130&amp;payweek=2014-05-30"/>
    <hyperlink ref="A165" r:id="rId3823" display="http://dev.dashboard.evolvesolar.com/my-commissions.php?user_id=140&amp;payweek=2014-05-30"/>
    <hyperlink ref="C165" r:id="rId3824" display="http://dev.dashboard.evolvesolar.com/my-commissions.php?user_id=140&amp;payweek=2014-05-30"/>
    <hyperlink ref="A166" r:id="rId3825" display="http://dev.dashboard.evolvesolar.com/my-commissions.php?user_id=142&amp;payweek=2014-05-30"/>
    <hyperlink ref="C166" r:id="rId3826" display="http://dev.dashboard.evolvesolar.com/my-commissions.php?user_id=142&amp;payweek=2014-05-30"/>
    <hyperlink ref="A167" r:id="rId3827" display="http://dev.dashboard.evolvesolar.com/my-commissions.php?user_id=175&amp;payweek=2014-05-30"/>
    <hyperlink ref="C167" r:id="rId3828" display="http://dev.dashboard.evolvesolar.com/my-commissions.php?user_id=175&amp;payweek=2014-05-30"/>
    <hyperlink ref="A168" r:id="rId3829" display="http://dev.dashboard.evolvesolar.com/my-commissions.php?user_id=180&amp;payweek=2014-05-30"/>
    <hyperlink ref="C168" r:id="rId3830" display="http://dev.dashboard.evolvesolar.com/my-commissions.php?user_id=180&amp;payweek=2014-05-30"/>
    <hyperlink ref="A119" r:id="rId3831" display="http://dev.dashboard.evolvesolar.com/my-commissions.php?user_id=28&amp;payweek=2014-05-23"/>
    <hyperlink ref="C119" r:id="rId3832" display="http://dev.dashboard.evolvesolar.com/my-commissions.php?user_id=28&amp;payweek=2014-05-23"/>
    <hyperlink ref="A120" r:id="rId3833" display="http://dev.dashboard.evolvesolar.com/my-commissions.php?user_id=37&amp;payweek=2014-05-23"/>
    <hyperlink ref="C120" r:id="rId3834" display="http://dev.dashboard.evolvesolar.com/my-commissions.php?user_id=37&amp;payweek=2014-05-23"/>
    <hyperlink ref="A121" r:id="rId3835" display="http://dev.dashboard.evolvesolar.com/my-commissions.php?user_id=38&amp;payweek=2014-05-23"/>
    <hyperlink ref="C121" r:id="rId3836" display="http://dev.dashboard.evolvesolar.com/my-commissions.php?user_id=38&amp;payweek=2014-05-23"/>
    <hyperlink ref="A122" r:id="rId3837" display="http://dev.dashboard.evolvesolar.com/my-commissions.php?user_id=41&amp;payweek=2014-05-23"/>
    <hyperlink ref="C122" r:id="rId3838" display="http://dev.dashboard.evolvesolar.com/my-commissions.php?user_id=41&amp;payweek=2014-05-23"/>
    <hyperlink ref="A123" r:id="rId3839" display="http://dev.dashboard.evolvesolar.com/my-commissions.php?user_id=55&amp;payweek=2014-05-23"/>
    <hyperlink ref="C123" r:id="rId3840" display="http://dev.dashboard.evolvesolar.com/my-commissions.php?user_id=55&amp;payweek=2014-05-23"/>
    <hyperlink ref="A124" r:id="rId3841" display="http://dev.dashboard.evolvesolar.com/my-commissions.php?user_id=71&amp;payweek=2014-05-23"/>
    <hyperlink ref="C124" r:id="rId3842" display="http://dev.dashboard.evolvesolar.com/my-commissions.php?user_id=71&amp;payweek=2014-05-23"/>
    <hyperlink ref="A125" r:id="rId3843" display="http://dev.dashboard.evolvesolar.com/my-commissions.php?user_id=79&amp;payweek=2014-05-23"/>
    <hyperlink ref="C125" r:id="rId3844" display="http://dev.dashboard.evolvesolar.com/my-commissions.php?user_id=79&amp;payweek=2014-05-23"/>
    <hyperlink ref="A126" r:id="rId3845" display="http://dev.dashboard.evolvesolar.com/my-commissions.php?user_id=84&amp;payweek=2014-05-23"/>
    <hyperlink ref="C126" r:id="rId3846" display="http://dev.dashboard.evolvesolar.com/my-commissions.php?user_id=84&amp;payweek=2014-05-23"/>
    <hyperlink ref="A127" r:id="rId3847" display="http://dev.dashboard.evolvesolar.com/my-commissions.php?user_id=85&amp;payweek=2014-05-23"/>
    <hyperlink ref="C127" r:id="rId3848" display="http://dev.dashboard.evolvesolar.com/my-commissions.php?user_id=85&amp;payweek=2014-05-23"/>
    <hyperlink ref="A128" r:id="rId3849" display="http://dev.dashboard.evolvesolar.com/my-commissions.php?user_id=87&amp;payweek=2014-05-23"/>
    <hyperlink ref="C128" r:id="rId3850" display="http://dev.dashboard.evolvesolar.com/my-commissions.php?user_id=87&amp;payweek=2014-05-23"/>
    <hyperlink ref="A129" r:id="rId3851" display="http://dev.dashboard.evolvesolar.com/my-commissions.php?user_id=88&amp;payweek=2014-05-23"/>
    <hyperlink ref="C129" r:id="rId3852" display="http://dev.dashboard.evolvesolar.com/my-commissions.php?user_id=88&amp;payweek=2014-05-23"/>
    <hyperlink ref="A130" r:id="rId3853" display="http://dev.dashboard.evolvesolar.com/my-commissions.php?user_id=94&amp;payweek=2014-05-23"/>
    <hyperlink ref="C130" r:id="rId3854" display="http://dev.dashboard.evolvesolar.com/my-commissions.php?user_id=94&amp;payweek=2014-05-23"/>
    <hyperlink ref="A131" r:id="rId3855" display="http://dev.dashboard.evolvesolar.com/my-commissions.php?user_id=102&amp;payweek=2014-05-23"/>
    <hyperlink ref="C131" r:id="rId3856" display="http://dev.dashboard.evolvesolar.com/my-commissions.php?user_id=102&amp;payweek=2014-05-23"/>
    <hyperlink ref="A132" r:id="rId3857" display="http://dev.dashboard.evolvesolar.com/my-commissions.php?user_id=104&amp;payweek=2014-05-23"/>
    <hyperlink ref="C132" r:id="rId3858" display="http://dev.dashboard.evolvesolar.com/my-commissions.php?user_id=104&amp;payweek=2014-05-23"/>
    <hyperlink ref="A133" r:id="rId3859" display="http://dev.dashboard.evolvesolar.com/my-commissions.php?user_id=108&amp;payweek=2014-05-23"/>
    <hyperlink ref="C133" r:id="rId3860" display="http://dev.dashboard.evolvesolar.com/my-commissions.php?user_id=108&amp;payweek=2014-05-23"/>
    <hyperlink ref="A134" r:id="rId3861" display="http://dev.dashboard.evolvesolar.com/my-commissions.php?user_id=109&amp;payweek=2014-05-23"/>
    <hyperlink ref="C134" r:id="rId3862" display="http://dev.dashboard.evolvesolar.com/my-commissions.php?user_id=109&amp;payweek=2014-05-23"/>
    <hyperlink ref="A135" r:id="rId3863" display="http://dev.dashboard.evolvesolar.com/my-commissions.php?user_id=114&amp;payweek=2014-05-23"/>
    <hyperlink ref="C135" r:id="rId3864" display="http://dev.dashboard.evolvesolar.com/my-commissions.php?user_id=114&amp;payweek=2014-05-23"/>
    <hyperlink ref="A136" r:id="rId3865" display="http://dev.dashboard.evolvesolar.com/my-commissions.php?user_id=116&amp;payweek=2014-05-23"/>
    <hyperlink ref="C136" r:id="rId3866" display="http://dev.dashboard.evolvesolar.com/my-commissions.php?user_id=116&amp;payweek=2014-05-23"/>
    <hyperlink ref="A137" r:id="rId3867" display="http://dev.dashboard.evolvesolar.com/my-commissions.php?user_id=125&amp;payweek=2014-05-23"/>
    <hyperlink ref="C137" r:id="rId3868" display="http://dev.dashboard.evolvesolar.com/my-commissions.php?user_id=125&amp;payweek=2014-05-23"/>
    <hyperlink ref="A138" r:id="rId3869" display="http://dev.dashboard.evolvesolar.com/my-commissions.php?user_id=133&amp;payweek=2014-05-23"/>
    <hyperlink ref="C138" r:id="rId3870" display="http://dev.dashboard.evolvesolar.com/my-commissions.php?user_id=133&amp;payweek=2014-05-23"/>
    <hyperlink ref="A139" r:id="rId3871" display="http://dev.dashboard.evolvesolar.com/my-commissions.php?user_id=139&amp;payweek=2014-05-23"/>
    <hyperlink ref="C139" r:id="rId3872" display="http://dev.dashboard.evolvesolar.com/my-commissions.php?user_id=139&amp;payweek=2014-05-23"/>
    <hyperlink ref="A140" r:id="rId3873" display="http://dev.dashboard.evolvesolar.com/my-commissions.php?user_id=142&amp;payweek=2014-05-23"/>
    <hyperlink ref="C140" r:id="rId3874" display="http://dev.dashboard.evolvesolar.com/my-commissions.php?user_id=142&amp;payweek=2014-05-23"/>
    <hyperlink ref="A141" r:id="rId3875" display="http://dev.dashboard.evolvesolar.com/my-commissions.php?user_id=143&amp;payweek=2014-05-23"/>
    <hyperlink ref="C141" r:id="rId3876" display="http://dev.dashboard.evolvesolar.com/my-commissions.php?user_id=143&amp;payweek=2014-05-23"/>
    <hyperlink ref="A142" r:id="rId3877" display="http://dev.dashboard.evolvesolar.com/my-commissions.php?user_id=146&amp;payweek=2014-05-23"/>
    <hyperlink ref="C142" r:id="rId3878" display="http://dev.dashboard.evolvesolar.com/my-commissions.php?user_id=146&amp;payweek=2014-05-23"/>
    <hyperlink ref="A104" r:id="rId3879" display="http://dev.dashboard.evolvesolar.com/my-commissions.php?user_id=28&amp;payweek=2014-05-16"/>
    <hyperlink ref="C104" r:id="rId3880" display="http://dev.dashboard.evolvesolar.com/my-commissions.php?user_id=28&amp;payweek=2014-05-16"/>
    <hyperlink ref="A105" r:id="rId3881" display="http://dev.dashboard.evolvesolar.com/my-commissions.php?user_id=37&amp;payweek=2014-05-16"/>
    <hyperlink ref="C105" r:id="rId3882" display="http://dev.dashboard.evolvesolar.com/my-commissions.php?user_id=37&amp;payweek=2014-05-16"/>
    <hyperlink ref="A106" r:id="rId3883" display="http://dev.dashboard.evolvesolar.com/my-commissions.php?user_id=41&amp;payweek=2014-05-16"/>
    <hyperlink ref="C106" r:id="rId3884" display="http://dev.dashboard.evolvesolar.com/my-commissions.php?user_id=41&amp;payweek=2014-05-16"/>
    <hyperlink ref="A107" r:id="rId3885" display="http://dev.dashboard.evolvesolar.com/my-commissions.php?user_id=71&amp;payweek=2014-05-16"/>
    <hyperlink ref="C107" r:id="rId3886" display="http://dev.dashboard.evolvesolar.com/my-commissions.php?user_id=71&amp;payweek=2014-05-16"/>
    <hyperlink ref="A108" r:id="rId3887" display="http://dev.dashboard.evolvesolar.com/my-commissions.php?user_id=79&amp;payweek=2014-05-16"/>
    <hyperlink ref="C108" r:id="rId3888" display="http://dev.dashboard.evolvesolar.com/my-commissions.php?user_id=79&amp;payweek=2014-05-16"/>
    <hyperlink ref="A109" r:id="rId3889" display="http://dev.dashboard.evolvesolar.com/my-commissions.php?user_id=88&amp;payweek=2014-05-16"/>
    <hyperlink ref="C109" r:id="rId3890" display="http://dev.dashboard.evolvesolar.com/my-commissions.php?user_id=88&amp;payweek=2014-05-16"/>
    <hyperlink ref="A110" r:id="rId3891" display="http://dev.dashboard.evolvesolar.com/my-commissions.php?user_id=102&amp;payweek=2014-05-16"/>
    <hyperlink ref="C110" r:id="rId3892" display="http://dev.dashboard.evolvesolar.com/my-commissions.php?user_id=102&amp;payweek=2014-05-16"/>
    <hyperlink ref="A111" r:id="rId3893" display="http://dev.dashboard.evolvesolar.com/my-commissions.php?user_id=108&amp;payweek=2014-05-16"/>
    <hyperlink ref="C111" r:id="rId3894" display="http://dev.dashboard.evolvesolar.com/my-commissions.php?user_id=108&amp;payweek=2014-05-16"/>
    <hyperlink ref="A112" r:id="rId3895" display="http://dev.dashboard.evolvesolar.com/my-commissions.php?user_id=109&amp;payweek=2014-05-16"/>
    <hyperlink ref="C112" r:id="rId3896" display="http://dev.dashboard.evolvesolar.com/my-commissions.php?user_id=109&amp;payweek=2014-05-16"/>
    <hyperlink ref="A113" r:id="rId3897" display="http://dev.dashboard.evolvesolar.com/my-commissions.php?user_id=112&amp;payweek=2014-05-16"/>
    <hyperlink ref="C113" r:id="rId3898" display="http://dev.dashboard.evolvesolar.com/my-commissions.php?user_id=112&amp;payweek=2014-05-16"/>
    <hyperlink ref="A114" r:id="rId3899" display="http://dev.dashboard.evolvesolar.com/my-commissions.php?user_id=113&amp;payweek=2014-05-16"/>
    <hyperlink ref="C114" r:id="rId3900" display="http://dev.dashboard.evolvesolar.com/my-commissions.php?user_id=113&amp;payweek=2014-05-16"/>
    <hyperlink ref="A115" r:id="rId3901" display="http://dev.dashboard.evolvesolar.com/my-commissions.php?user_id=114&amp;payweek=2014-05-16"/>
    <hyperlink ref="C115" r:id="rId3902" display="http://dev.dashboard.evolvesolar.com/my-commissions.php?user_id=114&amp;payweek=2014-05-16"/>
    <hyperlink ref="A116" r:id="rId3903" display="http://dev.dashboard.evolvesolar.com/my-commissions.php?user_id=116&amp;payweek=2014-05-16"/>
    <hyperlink ref="C116" r:id="rId3904" display="http://dev.dashboard.evolvesolar.com/my-commissions.php?user_id=116&amp;payweek=2014-05-16"/>
    <hyperlink ref="A117" r:id="rId3905" display="http://dev.dashboard.evolvesolar.com/my-commissions.php?user_id=117&amp;payweek=2014-05-16"/>
    <hyperlink ref="C117" r:id="rId3906" display="http://dev.dashboard.evolvesolar.com/my-commissions.php?user_id=117&amp;payweek=2014-05-16"/>
    <hyperlink ref="A118" r:id="rId3907" display="http://dev.dashboard.evolvesolar.com/my-commissions.php?user_id=139&amp;payweek=2014-05-16"/>
    <hyperlink ref="C118" r:id="rId3908" display="http://dev.dashboard.evolvesolar.com/my-commissions.php?user_id=139&amp;payweek=2014-05-16"/>
    <hyperlink ref="A103" r:id="rId3909" display="http://dev.dashboard.evolvesolar.com/my-commissions.php?user_id=54&amp;payweek=2014-05-12"/>
    <hyperlink ref="C103" r:id="rId3910" display="http://dev.dashboard.evolvesolar.com/my-commissions.php?user_id=54&amp;payweek=2014-05-12"/>
    <hyperlink ref="A89" r:id="rId3911" display="http://dev.dashboard.evolvesolar.com/my-commissions.php?user_id=27&amp;payweek=2014-05-09"/>
    <hyperlink ref="C89" r:id="rId3912" display="http://dev.dashboard.evolvesolar.com/my-commissions.php?user_id=27&amp;payweek=2014-05-09"/>
    <hyperlink ref="A90" r:id="rId3913" display="http://dev.dashboard.evolvesolar.com/my-commissions.php?user_id=37&amp;payweek=2014-05-09"/>
    <hyperlink ref="C90" r:id="rId3914" display="http://dev.dashboard.evolvesolar.com/my-commissions.php?user_id=37&amp;payweek=2014-05-09"/>
    <hyperlink ref="A91" r:id="rId3915" display="http://dev.dashboard.evolvesolar.com/my-commissions.php?user_id=38&amp;payweek=2014-05-09"/>
    <hyperlink ref="C91" r:id="rId3916" display="http://dev.dashboard.evolvesolar.com/my-commissions.php?user_id=38&amp;payweek=2014-05-09"/>
    <hyperlink ref="A92" r:id="rId3917" display="http://dev.dashboard.evolvesolar.com/my-commissions.php?user_id=41&amp;payweek=2014-05-09"/>
    <hyperlink ref="C92" r:id="rId3918" display="http://dev.dashboard.evolvesolar.com/my-commissions.php?user_id=41&amp;payweek=2014-05-09"/>
    <hyperlink ref="A93" r:id="rId3919" display="http://dev.dashboard.evolvesolar.com/my-commissions.php?user_id=71&amp;payweek=2014-05-09"/>
    <hyperlink ref="C93" r:id="rId3920" display="http://dev.dashboard.evolvesolar.com/my-commissions.php?user_id=71&amp;payweek=2014-05-09"/>
    <hyperlink ref="A94" r:id="rId3921" display="http://dev.dashboard.evolvesolar.com/my-commissions.php?user_id=74&amp;payweek=2014-05-09"/>
    <hyperlink ref="C94" r:id="rId3922" display="http://dev.dashboard.evolvesolar.com/my-commissions.php?user_id=74&amp;payweek=2014-05-09"/>
    <hyperlink ref="A95" r:id="rId3923" display="http://dev.dashboard.evolvesolar.com/my-commissions.php?user_id=84&amp;payweek=2014-05-09"/>
    <hyperlink ref="C95" r:id="rId3924" display="http://dev.dashboard.evolvesolar.com/my-commissions.php?user_id=84&amp;payweek=2014-05-09"/>
    <hyperlink ref="A96" r:id="rId3925" display="http://dev.dashboard.evolvesolar.com/my-commissions.php?user_id=85&amp;payweek=2014-05-09"/>
    <hyperlink ref="C96" r:id="rId3926" display="http://dev.dashboard.evolvesolar.com/my-commissions.php?user_id=85&amp;payweek=2014-05-09"/>
    <hyperlink ref="A97" r:id="rId3927" display="http://dev.dashboard.evolvesolar.com/my-commissions.php?user_id=88&amp;payweek=2014-05-09"/>
    <hyperlink ref="C97" r:id="rId3928" display="http://dev.dashboard.evolvesolar.com/my-commissions.php?user_id=88&amp;payweek=2014-05-09"/>
    <hyperlink ref="A98" r:id="rId3929" display="http://dev.dashboard.evolvesolar.com/my-commissions.php?user_id=89&amp;payweek=2014-05-09"/>
    <hyperlink ref="C98" r:id="rId3930" display="http://dev.dashboard.evolvesolar.com/my-commissions.php?user_id=89&amp;payweek=2014-05-09"/>
    <hyperlink ref="A99" r:id="rId3931" display="http://dev.dashboard.evolvesolar.com/my-commissions.php?user_id=112&amp;payweek=2014-05-09"/>
    <hyperlink ref="C99" r:id="rId3932" display="http://dev.dashboard.evolvesolar.com/my-commissions.php?user_id=112&amp;payweek=2014-05-09"/>
    <hyperlink ref="A100" r:id="rId3933" display="http://dev.dashboard.evolvesolar.com/my-commissions.php?user_id=113&amp;payweek=2014-05-09"/>
    <hyperlink ref="C100" r:id="rId3934" display="http://dev.dashboard.evolvesolar.com/my-commissions.php?user_id=113&amp;payweek=2014-05-09"/>
    <hyperlink ref="A101" r:id="rId3935" display="http://dev.dashboard.evolvesolar.com/my-commissions.php?user_id=114&amp;payweek=2014-05-09"/>
    <hyperlink ref="C101" r:id="rId3936" display="http://dev.dashboard.evolvesolar.com/my-commissions.php?user_id=114&amp;payweek=2014-05-09"/>
    <hyperlink ref="A102" r:id="rId3937" display="http://dev.dashboard.evolvesolar.com/my-commissions.php?user_id=191&amp;payweek=2014-05-09"/>
    <hyperlink ref="C102" r:id="rId3938" display="http://dev.dashboard.evolvesolar.com/my-commissions.php?user_id=191&amp;payweek=2014-05-09"/>
    <hyperlink ref="A84" r:id="rId3939" display="http://dev.dashboard.evolvesolar.com/my-commissions.php?user_id=38&amp;payweek=2014-05-03"/>
    <hyperlink ref="C84" r:id="rId3940" display="http://dev.dashboard.evolvesolar.com/my-commissions.php?user_id=38&amp;payweek=2014-05-03"/>
    <hyperlink ref="A85" r:id="rId3941" display="http://dev.dashboard.evolvesolar.com/my-commissions.php?user_id=41&amp;payweek=2014-05-03"/>
    <hyperlink ref="C85" r:id="rId3942" display="http://dev.dashboard.evolvesolar.com/my-commissions.php?user_id=41&amp;payweek=2014-05-03"/>
    <hyperlink ref="A86" r:id="rId3943" display="http://dev.dashboard.evolvesolar.com/my-commissions.php?user_id=79&amp;payweek=2014-05-03"/>
    <hyperlink ref="C86" r:id="rId3944" display="http://dev.dashboard.evolvesolar.com/my-commissions.php?user_id=79&amp;payweek=2014-05-03"/>
    <hyperlink ref="A87" r:id="rId3945" display="http://dev.dashboard.evolvesolar.com/my-commissions.php?user_id=101&amp;payweek=2014-05-03"/>
    <hyperlink ref="C87" r:id="rId3946" display="http://dev.dashboard.evolvesolar.com/my-commissions.php?user_id=101&amp;payweek=2014-05-03"/>
    <hyperlink ref="A88" r:id="rId3947" display="http://dev.dashboard.evolvesolar.com/my-commissions.php?user_id=113&amp;payweek=2014-05-03"/>
    <hyperlink ref="C88" r:id="rId3948" display="http://dev.dashboard.evolvesolar.com/my-commissions.php?user_id=113&amp;payweek=2014-05-03"/>
    <hyperlink ref="A74" r:id="rId3949" display="http://dev.dashboard.evolvesolar.com/my-commissions.php?user_id=27&amp;payweek=2014-05-02"/>
    <hyperlink ref="C74" r:id="rId3950" display="http://dev.dashboard.evolvesolar.com/my-commissions.php?user_id=27&amp;payweek=2014-05-02"/>
    <hyperlink ref="A75" r:id="rId3951" display="http://dev.dashboard.evolvesolar.com/my-commissions.php?user_id=58&amp;payweek=2014-05-02"/>
    <hyperlink ref="C75" r:id="rId3952" display="http://dev.dashboard.evolvesolar.com/my-commissions.php?user_id=58&amp;payweek=2014-05-02"/>
    <hyperlink ref="A76" r:id="rId3953" display="http://dev.dashboard.evolvesolar.com/my-commissions.php?user_id=82&amp;payweek=2014-05-02"/>
    <hyperlink ref="C76" r:id="rId3954" display="http://dev.dashboard.evolvesolar.com/my-commissions.php?user_id=82&amp;payweek=2014-05-02"/>
    <hyperlink ref="A77" r:id="rId3955" display="http://dev.dashboard.evolvesolar.com/my-commissions.php?user_id=87&amp;payweek=2014-05-02"/>
    <hyperlink ref="C77" r:id="rId3956" display="http://dev.dashboard.evolvesolar.com/my-commissions.php?user_id=87&amp;payweek=2014-05-02"/>
    <hyperlink ref="A78" r:id="rId3957" display="http://dev.dashboard.evolvesolar.com/my-commissions.php?user_id=88&amp;payweek=2014-05-02"/>
    <hyperlink ref="C78" r:id="rId3958" display="http://dev.dashboard.evolvesolar.com/my-commissions.php?user_id=88&amp;payweek=2014-05-02"/>
    <hyperlink ref="A79" r:id="rId3959" display="http://dev.dashboard.evolvesolar.com/my-commissions.php?user_id=89&amp;payweek=2014-05-02"/>
    <hyperlink ref="C79" r:id="rId3960" display="http://dev.dashboard.evolvesolar.com/my-commissions.php?user_id=89&amp;payweek=2014-05-02"/>
    <hyperlink ref="A80" r:id="rId3961" display="http://dev.dashboard.evolvesolar.com/my-commissions.php?user_id=95&amp;payweek=2014-05-02"/>
    <hyperlink ref="C80" r:id="rId3962" display="http://dev.dashboard.evolvesolar.com/my-commissions.php?user_id=95&amp;payweek=2014-05-02"/>
    <hyperlink ref="A81" r:id="rId3963" display="http://dev.dashboard.evolvesolar.com/my-commissions.php?user_id=110&amp;payweek=2014-05-02"/>
    <hyperlink ref="C81" r:id="rId3964" display="http://dev.dashboard.evolvesolar.com/my-commissions.php?user_id=110&amp;payweek=2014-05-02"/>
    <hyperlink ref="A82" r:id="rId3965" display="http://dev.dashboard.evolvesolar.com/my-commissions.php?user_id=111&amp;payweek=2014-05-02"/>
    <hyperlink ref="C82" r:id="rId3966" display="http://dev.dashboard.evolvesolar.com/my-commissions.php?user_id=111&amp;payweek=2014-05-02"/>
    <hyperlink ref="A83" r:id="rId3967" display="http://dev.dashboard.evolvesolar.com/my-commissions.php?user_id=114&amp;payweek=2014-05-02"/>
    <hyperlink ref="C83" r:id="rId3968" display="http://dev.dashboard.evolvesolar.com/my-commissions.php?user_id=114&amp;payweek=2014-05-02"/>
    <hyperlink ref="A71" r:id="rId3969" display="http://dev.dashboard.evolvesolar.com/my-commissions.php?user_id=79&amp;payweek=2014-04-25"/>
    <hyperlink ref="C71" r:id="rId3970" display="http://dev.dashboard.evolvesolar.com/my-commissions.php?user_id=79&amp;payweek=2014-04-25"/>
    <hyperlink ref="A72" r:id="rId3971" display="http://dev.dashboard.evolvesolar.com/my-commissions.php?user_id=104&amp;payweek=2014-04-25"/>
    <hyperlink ref="C72" r:id="rId3972" display="http://dev.dashboard.evolvesolar.com/my-commissions.php?user_id=104&amp;payweek=2014-04-25"/>
    <hyperlink ref="A73" r:id="rId3973" display="http://dev.dashboard.evolvesolar.com/my-commissions.php?user_id=113&amp;payweek=2014-04-25"/>
    <hyperlink ref="C73" r:id="rId3974" display="http://dev.dashboard.evolvesolar.com/my-commissions.php?user_id=113&amp;payweek=2014-04-25"/>
    <hyperlink ref="A60" r:id="rId3975" display="http://dev.dashboard.evolvesolar.com/my-commissions.php?user_id=27&amp;payweek=2014-04-24"/>
    <hyperlink ref="C60" r:id="rId3976" display="http://dev.dashboard.evolvesolar.com/my-commissions.php?user_id=27&amp;payweek=2014-04-24"/>
    <hyperlink ref="A61" r:id="rId3977" display="http://dev.dashboard.evolvesolar.com/my-commissions.php?user_id=38&amp;payweek=2014-04-24"/>
    <hyperlink ref="C61" r:id="rId3978" display="http://dev.dashboard.evolvesolar.com/my-commissions.php?user_id=38&amp;payweek=2014-04-24"/>
    <hyperlink ref="A62" r:id="rId3979" display="http://dev.dashboard.evolvesolar.com/my-commissions.php?user_id=41&amp;payweek=2014-04-24"/>
    <hyperlink ref="C62" r:id="rId3980" display="http://dev.dashboard.evolvesolar.com/my-commissions.php?user_id=41&amp;payweek=2014-04-24"/>
    <hyperlink ref="A63" r:id="rId3981" display="http://dev.dashboard.evolvesolar.com/my-commissions.php?user_id=71&amp;payweek=2014-04-24"/>
    <hyperlink ref="C63" r:id="rId3982" display="http://dev.dashboard.evolvesolar.com/my-commissions.php?user_id=71&amp;payweek=2014-04-24"/>
    <hyperlink ref="A64" r:id="rId3983" display="http://dev.dashboard.evolvesolar.com/my-commissions.php?user_id=82&amp;payweek=2014-04-24"/>
    <hyperlink ref="C64" r:id="rId3984" display="http://dev.dashboard.evolvesolar.com/my-commissions.php?user_id=82&amp;payweek=2014-04-24"/>
    <hyperlink ref="A65" r:id="rId3985" display="http://dev.dashboard.evolvesolar.com/my-commissions.php?user_id=85&amp;payweek=2014-04-24"/>
    <hyperlink ref="C65" r:id="rId3986" display="http://dev.dashboard.evolvesolar.com/my-commissions.php?user_id=85&amp;payweek=2014-04-24"/>
    <hyperlink ref="A66" r:id="rId3987" display="http://dev.dashboard.evolvesolar.com/my-commissions.php?user_id=88&amp;payweek=2014-04-24"/>
    <hyperlink ref="C66" r:id="rId3988" display="http://dev.dashboard.evolvesolar.com/my-commissions.php?user_id=88&amp;payweek=2014-04-24"/>
    <hyperlink ref="A67" r:id="rId3989" display="http://dev.dashboard.evolvesolar.com/my-commissions.php?user_id=100&amp;payweek=2014-04-24"/>
    <hyperlink ref="C67" r:id="rId3990" display="http://dev.dashboard.evolvesolar.com/my-commissions.php?user_id=100&amp;payweek=2014-04-24"/>
    <hyperlink ref="A68" r:id="rId3991" display="http://dev.dashboard.evolvesolar.com/my-commissions.php?user_id=110&amp;payweek=2014-04-24"/>
    <hyperlink ref="C68" r:id="rId3992" display="http://dev.dashboard.evolvesolar.com/my-commissions.php?user_id=110&amp;payweek=2014-04-24"/>
    <hyperlink ref="A69" r:id="rId3993" display="http://dev.dashboard.evolvesolar.com/my-commissions.php?user_id=111&amp;payweek=2014-04-24"/>
    <hyperlink ref="C69" r:id="rId3994" display="http://dev.dashboard.evolvesolar.com/my-commissions.php?user_id=111&amp;payweek=2014-04-24"/>
    <hyperlink ref="A70" r:id="rId3995" display="http://dev.dashboard.evolvesolar.com/my-commissions.php?user_id=114&amp;payweek=2014-04-24"/>
    <hyperlink ref="C70" r:id="rId3996" display="http://dev.dashboard.evolvesolar.com/my-commissions.php?user_id=114&amp;payweek=2014-04-24"/>
    <hyperlink ref="A56" r:id="rId3997" display="http://dev.dashboard.evolvesolar.com/my-commissions.php?user_id=71&amp;payweek=2014-04-18"/>
    <hyperlink ref="C56" r:id="rId3998" display="http://dev.dashboard.evolvesolar.com/my-commissions.php?user_id=71&amp;payweek=2014-04-18"/>
    <hyperlink ref="A57" r:id="rId3999" display="http://dev.dashboard.evolvesolar.com/my-commissions.php?user_id=79&amp;payweek=2014-04-18"/>
    <hyperlink ref="C57" r:id="rId4000" display="http://dev.dashboard.evolvesolar.com/my-commissions.php?user_id=79&amp;payweek=2014-04-18"/>
    <hyperlink ref="A58" r:id="rId4001" display="http://dev.dashboard.evolvesolar.com/my-commissions.php?user_id=87&amp;payweek=2014-04-18"/>
    <hyperlink ref="C58" r:id="rId4002" display="http://dev.dashboard.evolvesolar.com/my-commissions.php?user_id=87&amp;payweek=2014-04-18"/>
    <hyperlink ref="A59" r:id="rId4003" display="http://dev.dashboard.evolvesolar.com/my-commissions.php?user_id=110&amp;payweek=2014-04-18"/>
    <hyperlink ref="C59" r:id="rId4004" display="http://dev.dashboard.evolvesolar.com/my-commissions.php?user_id=110&amp;payweek=2014-04-18"/>
    <hyperlink ref="A48" r:id="rId4005" display="http://dev.dashboard.evolvesolar.com/my-commissions.php?user_id=38&amp;payweek=2014-04-17"/>
    <hyperlink ref="C48" r:id="rId4006" display="http://dev.dashboard.evolvesolar.com/my-commissions.php?user_id=38&amp;payweek=2014-04-17"/>
    <hyperlink ref="A49" r:id="rId4007" display="http://dev.dashboard.evolvesolar.com/my-commissions.php?user_id=82&amp;payweek=2014-04-17"/>
    <hyperlink ref="C49" r:id="rId4008" display="http://dev.dashboard.evolvesolar.com/my-commissions.php?user_id=82&amp;payweek=2014-04-17"/>
    <hyperlink ref="A50" r:id="rId4009" display="http://dev.dashboard.evolvesolar.com/my-commissions.php?user_id=85&amp;payweek=2014-04-17"/>
    <hyperlink ref="C50" r:id="rId4010" display="http://dev.dashboard.evolvesolar.com/my-commissions.php?user_id=85&amp;payweek=2014-04-17"/>
    <hyperlink ref="A51" r:id="rId4011" display="http://dev.dashboard.evolvesolar.com/my-commissions.php?user_id=88&amp;payweek=2014-04-17"/>
    <hyperlink ref="C51" r:id="rId4012" display="http://dev.dashboard.evolvesolar.com/my-commissions.php?user_id=88&amp;payweek=2014-04-17"/>
    <hyperlink ref="A52" r:id="rId4013" display="http://dev.dashboard.evolvesolar.com/my-commissions.php?user_id=101&amp;payweek=2014-04-17"/>
    <hyperlink ref="C52" r:id="rId4014" display="http://dev.dashboard.evolvesolar.com/my-commissions.php?user_id=101&amp;payweek=2014-04-17"/>
    <hyperlink ref="A53" r:id="rId4015" display="http://dev.dashboard.evolvesolar.com/my-commissions.php?user_id=112&amp;payweek=2014-04-17"/>
    <hyperlink ref="C53" r:id="rId4016" display="http://dev.dashboard.evolvesolar.com/my-commissions.php?user_id=112&amp;payweek=2014-04-17"/>
    <hyperlink ref="A54" r:id="rId4017" display="http://dev.dashboard.evolvesolar.com/my-commissions.php?user_id=114&amp;payweek=2014-04-17"/>
    <hyperlink ref="C54" r:id="rId4018" display="http://dev.dashboard.evolvesolar.com/my-commissions.php?user_id=114&amp;payweek=2014-04-17"/>
    <hyperlink ref="A55" r:id="rId4019" display="http://dev.dashboard.evolvesolar.com/my-commissions.php?user_id=257&amp;payweek=2014-04-17"/>
    <hyperlink ref="C55" r:id="rId4020" display="http://dev.dashboard.evolvesolar.com/my-commissions.php?user_id=257&amp;payweek=2014-04-17"/>
    <hyperlink ref="A37" r:id="rId4021" display="http://dev.dashboard.evolvesolar.com/my-commissions.php?user_id=79&amp;payweek=2014-04-11"/>
    <hyperlink ref="C37" r:id="rId4022" display="http://dev.dashboard.evolvesolar.com/my-commissions.php?user_id=79&amp;payweek=2014-04-11"/>
    <hyperlink ref="A38" r:id="rId4023" display="http://dev.dashboard.evolvesolar.com/my-commissions.php?user_id=82&amp;payweek=2014-04-11"/>
    <hyperlink ref="C38" r:id="rId4024" display="http://dev.dashboard.evolvesolar.com/my-commissions.php?user_id=82&amp;payweek=2014-04-11"/>
    <hyperlink ref="A39" r:id="rId4025" display="http://dev.dashboard.evolvesolar.com/my-commissions.php?user_id=87&amp;payweek=2014-04-11"/>
    <hyperlink ref="C39" r:id="rId4026" display="http://dev.dashboard.evolvesolar.com/my-commissions.php?user_id=87&amp;payweek=2014-04-11"/>
    <hyperlink ref="A40" r:id="rId4027" display="http://dev.dashboard.evolvesolar.com/my-commissions.php?user_id=89&amp;payweek=2014-04-11"/>
    <hyperlink ref="C40" r:id="rId4028" display="http://dev.dashboard.evolvesolar.com/my-commissions.php?user_id=89&amp;payweek=2014-04-11"/>
    <hyperlink ref="A41" r:id="rId4029" display="http://dev.dashboard.evolvesolar.com/my-commissions.php?user_id=100&amp;payweek=2014-04-11"/>
    <hyperlink ref="C41" r:id="rId4030" display="http://dev.dashboard.evolvesolar.com/my-commissions.php?user_id=100&amp;payweek=2014-04-11"/>
    <hyperlink ref="A42" r:id="rId4031" display="http://dev.dashboard.evolvesolar.com/my-commissions.php?user_id=101&amp;payweek=2014-04-11"/>
    <hyperlink ref="C42" r:id="rId4032" display="http://dev.dashboard.evolvesolar.com/my-commissions.php?user_id=101&amp;payweek=2014-04-11"/>
    <hyperlink ref="A43" r:id="rId4033" display="http://dev.dashboard.evolvesolar.com/my-commissions.php?user_id=104&amp;payweek=2014-04-11"/>
    <hyperlink ref="C43" r:id="rId4034" display="http://dev.dashboard.evolvesolar.com/my-commissions.php?user_id=104&amp;payweek=2014-04-11"/>
    <hyperlink ref="A44" r:id="rId4035" display="http://dev.dashboard.evolvesolar.com/my-commissions.php?user_id=105&amp;payweek=2014-04-11"/>
    <hyperlink ref="C44" r:id="rId4036" display="http://dev.dashboard.evolvesolar.com/my-commissions.php?user_id=105&amp;payweek=2014-04-11"/>
    <hyperlink ref="A45" r:id="rId4037" display="http://dev.dashboard.evolvesolar.com/my-commissions.php?user_id=110&amp;payweek=2014-04-11"/>
    <hyperlink ref="C45" r:id="rId4038" display="http://dev.dashboard.evolvesolar.com/my-commissions.php?user_id=110&amp;payweek=2014-04-11"/>
    <hyperlink ref="A46" r:id="rId4039" display="http://dev.dashboard.evolvesolar.com/my-commissions.php?user_id=111&amp;payweek=2014-04-11"/>
    <hyperlink ref="C46" r:id="rId4040" display="http://dev.dashboard.evolvesolar.com/my-commissions.php?user_id=111&amp;payweek=2014-04-11"/>
    <hyperlink ref="A47" r:id="rId4041" display="http://dev.dashboard.evolvesolar.com/my-commissions.php?user_id=257&amp;payweek=2014-04-11"/>
    <hyperlink ref="C47" r:id="rId4042" display="http://dev.dashboard.evolvesolar.com/my-commissions.php?user_id=257&amp;payweek=2014-04-11"/>
    <hyperlink ref="A36" r:id="rId4043" display="http://dev.dashboard.evolvesolar.com/my-commissions.php?user_id=100&amp;payweek=2014-04-07"/>
    <hyperlink ref="C36" r:id="rId4044" display="http://dev.dashboard.evolvesolar.com/my-commissions.php?user_id=100&amp;payweek=2014-04-07"/>
    <hyperlink ref="A30" r:id="rId4045" display="http://dev.dashboard.evolvesolar.com/my-commissions.php?user_id=74&amp;payweek=2014-04-04"/>
    <hyperlink ref="C30" r:id="rId4046" display="http://dev.dashboard.evolvesolar.com/my-commissions.php?user_id=74&amp;payweek=2014-04-04"/>
    <hyperlink ref="A31" r:id="rId4047" display="http://dev.dashboard.evolvesolar.com/my-commissions.php?user_id=79&amp;payweek=2014-04-04"/>
    <hyperlink ref="C31" r:id="rId4048" display="http://dev.dashboard.evolvesolar.com/my-commissions.php?user_id=79&amp;payweek=2014-04-04"/>
    <hyperlink ref="A32" r:id="rId4049" display="http://dev.dashboard.evolvesolar.com/my-commissions.php?user_id=104&amp;payweek=2014-04-04"/>
    <hyperlink ref="C32" r:id="rId4050" display="http://dev.dashboard.evolvesolar.com/my-commissions.php?user_id=104&amp;payweek=2014-04-04"/>
    <hyperlink ref="A33" r:id="rId4051" display="http://dev.dashboard.evolvesolar.com/my-commissions.php?user_id=110&amp;payweek=2014-04-04"/>
    <hyperlink ref="C33" r:id="rId4052" display="http://dev.dashboard.evolvesolar.com/my-commissions.php?user_id=110&amp;payweek=2014-04-04"/>
    <hyperlink ref="A34" r:id="rId4053" display="http://dev.dashboard.evolvesolar.com/my-commissions.php?user_id=112&amp;payweek=2014-04-04"/>
    <hyperlink ref="C34" r:id="rId4054" display="http://dev.dashboard.evolvesolar.com/my-commissions.php?user_id=112&amp;payweek=2014-04-04"/>
    <hyperlink ref="A35" r:id="rId4055" display="http://dev.dashboard.evolvesolar.com/my-commissions.php?user_id=373&amp;payweek=2014-04-04"/>
    <hyperlink ref="C35" r:id="rId4056" display="http://dev.dashboard.evolvesolar.com/my-commissions.php?user_id=373&amp;payweek=2014-04-04"/>
    <hyperlink ref="A27" r:id="rId4057" display="http://dev.dashboard.evolvesolar.com/my-commissions.php?user_id=33&amp;payweek=2014-04-03"/>
    <hyperlink ref="C27" r:id="rId4058" display="http://dev.dashboard.evolvesolar.com/my-commissions.php?user_id=33&amp;payweek=2014-04-03"/>
    <hyperlink ref="A28" r:id="rId4059" display="http://dev.dashboard.evolvesolar.com/my-commissions.php?user_id=89&amp;payweek=2014-04-03"/>
    <hyperlink ref="C28" r:id="rId4060" display="http://dev.dashboard.evolvesolar.com/my-commissions.php?user_id=89&amp;payweek=2014-04-03"/>
    <hyperlink ref="A29" r:id="rId4061" display="http://dev.dashboard.evolvesolar.com/my-commissions.php?user_id=257&amp;payweek=2014-04-03"/>
    <hyperlink ref="C29" r:id="rId4062" display="http://dev.dashboard.evolvesolar.com/my-commissions.php?user_id=257&amp;payweek=2014-04-03"/>
    <hyperlink ref="A23" r:id="rId4063" display="http://dev.dashboard.evolvesolar.com/my-commissions.php?user_id=79&amp;payweek=2014-03-28"/>
    <hyperlink ref="C23" r:id="rId4064" display="http://dev.dashboard.evolvesolar.com/my-commissions.php?user_id=79&amp;payweek=2014-03-28"/>
    <hyperlink ref="A24" r:id="rId4065" display="http://dev.dashboard.evolvesolar.com/my-commissions.php?user_id=110&amp;payweek=2014-03-28"/>
    <hyperlink ref="C24" r:id="rId4066" display="http://dev.dashboard.evolvesolar.com/my-commissions.php?user_id=110&amp;payweek=2014-03-28"/>
    <hyperlink ref="A25" r:id="rId4067" display="http://dev.dashboard.evolvesolar.com/my-commissions.php?user_id=130&amp;payweek=2014-03-28"/>
    <hyperlink ref="C25" r:id="rId4068" display="http://dev.dashboard.evolvesolar.com/my-commissions.php?user_id=130&amp;payweek=2014-03-28"/>
    <hyperlink ref="A26" r:id="rId4069" display="http://dev.dashboard.evolvesolar.com/my-commissions.php?user_id=257&amp;payweek=2014-03-28"/>
    <hyperlink ref="C26" r:id="rId4070" display="http://dev.dashboard.evolvesolar.com/my-commissions.php?user_id=257&amp;payweek=2014-03-28"/>
    <hyperlink ref="A22" r:id="rId4071" display="http://dev.dashboard.evolvesolar.com/my-commissions.php?user_id=110&amp;payweek=2014-03-21"/>
    <hyperlink ref="C22" r:id="rId4072" display="http://dev.dashboard.evolvesolar.com/my-commissions.php?user_id=110&amp;payweek=2014-03-21"/>
    <hyperlink ref="C21" r:id="rId4073" display="http://dev.dashboard.evolvesolar.com/my-commissions.php?user_id=105&amp;payweek=2014-03-21"/>
    <hyperlink ref="A21" r:id="rId4074" display="http://dev.dashboard.evolvesolar.com/my-commissions.php?user_id=105&amp;payweek=2014-03-21"/>
    <hyperlink ref="C20" r:id="rId4075" display="http://dev.dashboard.evolvesolar.com/my-commissions.php?user_id=79&amp;payweek=2014-03-21"/>
    <hyperlink ref="A20" r:id="rId4076" display="http://dev.dashboard.evolvesolar.com/my-commissions.php?user_id=79&amp;payweek=2014-03-21"/>
    <hyperlink ref="C19" r:id="rId4077" display="http://dev.dashboard.evolvesolar.com/my-commissions.php?user_id=41&amp;payweek=2014-03-21"/>
    <hyperlink ref="A19" r:id="rId4078" display="http://dev.dashboard.evolvesolar.com/my-commissions.php?user_id=41&amp;payweek=2014-03-21"/>
    <hyperlink ref="A14" r:id="rId4079" display="http://dev.dashboard.evolvesolar.com/my-commissions.php?user_id=41&amp;payweek=2014-03-14"/>
    <hyperlink ref="C14" r:id="rId4080" display="http://dev.dashboard.evolvesolar.com/my-commissions.php?user_id=41&amp;payweek=2014-03-14"/>
    <hyperlink ref="A15" r:id="rId4081" display="http://dev.dashboard.evolvesolar.com/my-commissions.php?user_id=79&amp;payweek=2014-03-14"/>
    <hyperlink ref="C15" r:id="rId4082" display="http://dev.dashboard.evolvesolar.com/my-commissions.php?user_id=79&amp;payweek=2014-03-14"/>
    <hyperlink ref="A16" r:id="rId4083" display="http://dev.dashboard.evolvesolar.com/my-commissions.php?user_id=89&amp;payweek=2014-03-14"/>
    <hyperlink ref="C16" r:id="rId4084" display="http://dev.dashboard.evolvesolar.com/my-commissions.php?user_id=89&amp;payweek=2014-03-14"/>
    <hyperlink ref="A17" r:id="rId4085" display="http://dev.dashboard.evolvesolar.com/my-commissions.php?user_id=110&amp;payweek=2014-03-14"/>
    <hyperlink ref="C17" r:id="rId4086" display="http://dev.dashboard.evolvesolar.com/my-commissions.php?user_id=110&amp;payweek=2014-03-14"/>
    <hyperlink ref="A18" r:id="rId4087" display="http://dev.dashboard.evolvesolar.com/my-commissions.php?user_id=130&amp;payweek=2014-03-14"/>
    <hyperlink ref="C18" r:id="rId4088" display="http://dev.dashboard.evolvesolar.com/my-commissions.php?user_id=130&amp;payweek=2014-03-14"/>
    <hyperlink ref="A11" r:id="rId4089" display="http://dev.dashboard.evolvesolar.com/my-commissions.php?user_id=79&amp;payweek=2014-03-07"/>
    <hyperlink ref="C11" r:id="rId4090" display="http://dev.dashboard.evolvesolar.com/my-commissions.php?user_id=79&amp;payweek=2014-03-07"/>
    <hyperlink ref="A12" r:id="rId4091" display="http://dev.dashboard.evolvesolar.com/my-commissions.php?user_id=110&amp;payweek=2014-03-07"/>
    <hyperlink ref="C12" r:id="rId4092" display="http://dev.dashboard.evolvesolar.com/my-commissions.php?user_id=110&amp;payweek=2014-03-07"/>
    <hyperlink ref="A13" r:id="rId4093" display="http://dev.dashboard.evolvesolar.com/my-commissions.php?user_id=373&amp;payweek=2014-03-07"/>
    <hyperlink ref="C13" r:id="rId4094" display="http://dev.dashboard.evolvesolar.com/my-commissions.php?user_id=373&amp;payweek=2014-03-07"/>
    <hyperlink ref="A8" r:id="rId4095" display="http://dev.dashboard.evolvesolar.com/my-commissions.php?user_id=79&amp;payweek=2014-02-21"/>
    <hyperlink ref="C8" r:id="rId4096" display="http://dev.dashboard.evolvesolar.com/my-commissions.php?user_id=79&amp;payweek=2014-02-21"/>
    <hyperlink ref="A9" r:id="rId4097" display="http://dev.dashboard.evolvesolar.com/my-commissions.php?user_id=89&amp;payweek=2014-02-21"/>
    <hyperlink ref="C9" r:id="rId4098" display="http://dev.dashboard.evolvesolar.com/my-commissions.php?user_id=89&amp;payweek=2014-02-21"/>
    <hyperlink ref="A10" r:id="rId4099" display="http://dev.dashboard.evolvesolar.com/my-commissions.php?user_id=79&amp;payweek=2014-02-28"/>
    <hyperlink ref="C10" r:id="rId4100" display="http://dev.dashboard.evolvesolar.com/my-commissions.php?user_id=79&amp;payweek=2014-02-28"/>
    <hyperlink ref="A7" r:id="rId4101" display="http://dev.dashboard.evolvesolar.com/my-commissions.php?user_id=191&amp;payweek=2014-01-31"/>
    <hyperlink ref="C7" r:id="rId4102" display="http://dev.dashboard.evolvesolar.com/my-commissions.php?user_id=191&amp;payweek=2014-01-31"/>
    <hyperlink ref="A6" r:id="rId4103" display="http://dev.dashboard.evolvesolar.com/my-commissions.php?user_id=699&amp;payweek=2014-01-13"/>
    <hyperlink ref="C6" r:id="rId4104" display="http://dev.dashboard.evolvesolar.com/my-commissions.php?user_id=699&amp;payweek=2014-01-13"/>
    <hyperlink ref="A5" r:id="rId4105" display="http://dev.dashboard.evolvesolar.com/my-commissions.php?user_id=831&amp;payweek=2014-01-12"/>
    <hyperlink ref="C5" r:id="rId4106" display="http://dev.dashboard.evolvesolar.com/my-commissions.php?user_id=831&amp;payweek=2014-01-12"/>
    <hyperlink ref="A4" r:id="rId4107" display="http://dev.dashboard.evolvesolar.com/my-commissions.php?user_id=212&amp;payweek=2014-01-06"/>
    <hyperlink ref="C4" r:id="rId4108" display="http://dev.dashboard.evolvesolar.com/my-commissions.php?user_id=212&amp;payweek=2014-01-06"/>
    <hyperlink ref="A3" r:id="rId4109" display="http://dev.dashboard.evolvesolar.com/my-commissions.php?user_id=692&amp;payweek=2014-01-03"/>
    <hyperlink ref="C3" r:id="rId4110" display="http://dev.dashboard.evolvesolar.com/my-commissions.php?user_id=692&amp;payweek=2014-01-03"/>
    <hyperlink ref="A2" r:id="rId4111" display="http://dev.dashboard.evolvesolar.com/my-commissions.php?user_id=692&amp;payweek=2013-12-23"/>
    <hyperlink ref="C2" r:id="rId4112" display="http://dev.dashboard.evolvesolar.com/my-commissions.php?user_id=692&amp;payweek=2013-12-23"/>
  </hyperlinks>
  <pageMargins left="0.7" right="0.7" top="0.75" bottom="0.75" header="0.3" footer="0.3"/>
  <pageSetup orientation="portrait" r:id="rId4113"/>
  <tableParts count="1">
    <tablePart r:id="rId41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6213"/>
  <sheetViews>
    <sheetView workbookViewId="0">
      <selection activeCell="D7" sqref="D7"/>
    </sheetView>
  </sheetViews>
  <sheetFormatPr defaultRowHeight="15" x14ac:dyDescent="0.25"/>
  <cols>
    <col min="1" max="1" width="28.5703125" bestFit="1" customWidth="1"/>
    <col min="2" max="2" width="6.7109375" customWidth="1"/>
    <col min="3" max="3" width="14.42578125" customWidth="1"/>
    <col min="4" max="4" width="35.42578125" bestFit="1" customWidth="1"/>
    <col min="5" max="5" width="20.140625" customWidth="1"/>
    <col min="6" max="6" width="19.140625" bestFit="1" customWidth="1"/>
    <col min="7" max="7" width="15.85546875" bestFit="1" customWidth="1"/>
    <col min="8" max="8" width="17.85546875" bestFit="1" customWidth="1"/>
    <col min="9" max="9" width="16.7109375" style="3" bestFit="1" customWidth="1"/>
    <col min="10" max="10" width="20.5703125" style="4" bestFit="1" customWidth="1"/>
    <col min="11" max="11" width="14.85546875" customWidth="1"/>
    <col min="12" max="12" width="15" style="18" customWidth="1"/>
    <col min="13" max="13" width="16" style="18" customWidth="1"/>
    <col min="14" max="14" width="15.5703125" customWidth="1"/>
    <col min="15" max="15" width="15.42578125" style="18" customWidth="1"/>
    <col min="16" max="16" width="13.7109375" style="18" customWidth="1"/>
    <col min="17" max="17" width="18.42578125" customWidth="1"/>
    <col min="18" max="18" width="18.42578125" style="18" customWidth="1"/>
    <col min="19" max="19" width="17" style="18" customWidth="1"/>
    <col min="20" max="20" width="14" customWidth="1"/>
    <col min="21" max="21" width="17.85546875" bestFit="1" customWidth="1"/>
    <col min="22" max="22" width="25.85546875" bestFit="1" customWidth="1"/>
    <col min="23" max="23" width="27.140625" customWidth="1"/>
    <col min="24" max="24" width="15.140625" customWidth="1"/>
    <col min="25" max="25" width="25.85546875" bestFit="1" customWidth="1"/>
    <col min="27" max="27" width="17.85546875" bestFit="1" customWidth="1"/>
    <col min="31" max="31" width="25.85546875" bestFit="1" customWidth="1"/>
    <col min="34" max="34" width="25.85546875" bestFit="1" customWidth="1"/>
  </cols>
  <sheetData>
    <row r="1" spans="1:32" x14ac:dyDescent="0.25">
      <c r="A1" s="26" t="s">
        <v>396</v>
      </c>
      <c r="B1" s="27" t="s">
        <v>397</v>
      </c>
      <c r="C1" s="27" t="s">
        <v>400</v>
      </c>
      <c r="D1" s="28" t="s">
        <v>870</v>
      </c>
      <c r="E1" s="29" t="s">
        <v>871</v>
      </c>
      <c r="F1" s="27" t="s">
        <v>872</v>
      </c>
      <c r="G1" s="27" t="s">
        <v>873</v>
      </c>
      <c r="H1" s="29" t="s">
        <v>874</v>
      </c>
      <c r="I1" s="26" t="s">
        <v>875</v>
      </c>
      <c r="J1" s="29" t="s">
        <v>876</v>
      </c>
      <c r="K1" s="26" t="s">
        <v>877</v>
      </c>
      <c r="L1" s="29" t="s">
        <v>878</v>
      </c>
      <c r="M1" s="26" t="s">
        <v>879</v>
      </c>
      <c r="N1" s="27" t="s">
        <v>880</v>
      </c>
      <c r="O1" s="27" t="s">
        <v>881</v>
      </c>
      <c r="P1" s="30" t="s">
        <v>882</v>
      </c>
      <c r="Q1" s="31" t="s">
        <v>883</v>
      </c>
      <c r="R1" s="30" t="s">
        <v>884</v>
      </c>
      <c r="S1" s="31" t="s">
        <v>885</v>
      </c>
      <c r="T1" s="30" t="s">
        <v>886</v>
      </c>
      <c r="U1" s="27" t="s">
        <v>887</v>
      </c>
    </row>
    <row r="2" spans="1:32" x14ac:dyDescent="0.25">
      <c r="A2" s="32">
        <v>42034</v>
      </c>
      <c r="B2" s="33">
        <v>19</v>
      </c>
      <c r="C2" s="33" t="s">
        <v>888</v>
      </c>
      <c r="D2" s="34"/>
      <c r="E2" s="35">
        <v>10000</v>
      </c>
      <c r="F2" s="33" t="s">
        <v>889</v>
      </c>
      <c r="G2" s="33"/>
      <c r="H2" s="18"/>
      <c r="J2"/>
      <c r="L2"/>
      <c r="M2"/>
      <c r="N2" s="20" t="s">
        <v>401</v>
      </c>
      <c r="O2"/>
      <c r="P2" s="20"/>
      <c r="Q2" s="20"/>
      <c r="R2" s="20"/>
      <c r="S2" s="20"/>
      <c r="T2" s="20"/>
    </row>
    <row r="3" spans="1:32" x14ac:dyDescent="0.25">
      <c r="A3" s="3">
        <v>42041</v>
      </c>
      <c r="B3">
        <v>23</v>
      </c>
      <c r="C3" t="s">
        <v>504</v>
      </c>
      <c r="D3">
        <v>3.57</v>
      </c>
      <c r="E3" s="18">
        <v>250</v>
      </c>
      <c r="F3" t="s">
        <v>889</v>
      </c>
      <c r="G3" t="s">
        <v>505</v>
      </c>
      <c r="I3"/>
      <c r="J3"/>
      <c r="L3"/>
      <c r="M3"/>
      <c r="O3"/>
      <c r="P3" s="20"/>
      <c r="Q3" s="20"/>
      <c r="R3" s="20"/>
      <c r="S3" s="20"/>
      <c r="T3" s="20"/>
      <c r="W3" s="24"/>
      <c r="X3" s="25"/>
      <c r="AA3" s="24"/>
      <c r="AB3" s="25"/>
      <c r="AE3" s="24"/>
      <c r="AF3" s="25"/>
    </row>
    <row r="4" spans="1:32" x14ac:dyDescent="0.25">
      <c r="A4" s="32">
        <v>42034</v>
      </c>
      <c r="B4" s="33">
        <v>24</v>
      </c>
      <c r="C4" s="33" t="s">
        <v>890</v>
      </c>
      <c r="D4" s="34"/>
      <c r="E4" s="35">
        <v>17.989999999999998</v>
      </c>
      <c r="F4" s="33" t="s">
        <v>891</v>
      </c>
      <c r="G4" s="33"/>
      <c r="H4" s="18"/>
      <c r="J4"/>
      <c r="L4"/>
      <c r="M4"/>
      <c r="N4" s="20"/>
      <c r="O4"/>
      <c r="P4" s="20" t="s">
        <v>401</v>
      </c>
      <c r="Q4" s="20"/>
      <c r="R4" s="20"/>
      <c r="S4" s="20"/>
      <c r="T4" s="20"/>
      <c r="W4" s="24"/>
      <c r="X4" s="25"/>
      <c r="AA4" s="24"/>
      <c r="AB4" s="25"/>
      <c r="AE4" s="24"/>
      <c r="AF4" s="25"/>
    </row>
    <row r="5" spans="1:32" x14ac:dyDescent="0.25">
      <c r="A5" s="3">
        <v>41753</v>
      </c>
      <c r="B5" s="36">
        <v>27</v>
      </c>
      <c r="C5" t="s">
        <v>892</v>
      </c>
      <c r="D5">
        <v>6</v>
      </c>
      <c r="E5" s="18">
        <v>600</v>
      </c>
      <c r="F5" t="s">
        <v>889</v>
      </c>
      <c r="G5" t="s">
        <v>893</v>
      </c>
      <c r="H5" s="18">
        <v>600</v>
      </c>
      <c r="I5" s="3">
        <v>41753</v>
      </c>
      <c r="J5"/>
      <c r="L5"/>
      <c r="M5"/>
      <c r="N5" s="20"/>
      <c r="O5"/>
      <c r="P5" s="20"/>
      <c r="Q5" s="20"/>
      <c r="R5" s="20"/>
      <c r="S5" s="20"/>
      <c r="T5" s="20"/>
      <c r="W5" s="24"/>
      <c r="X5" s="25"/>
      <c r="AA5" s="24"/>
      <c r="AB5" s="25"/>
      <c r="AE5" s="24"/>
      <c r="AF5" s="25"/>
    </row>
    <row r="6" spans="1:32" x14ac:dyDescent="0.25">
      <c r="A6" s="3">
        <v>41761</v>
      </c>
      <c r="B6" s="36">
        <v>27</v>
      </c>
      <c r="C6" t="s">
        <v>894</v>
      </c>
      <c r="D6">
        <v>5.0999999999999996</v>
      </c>
      <c r="E6" s="18">
        <v>509.99999999999994</v>
      </c>
      <c r="F6" t="s">
        <v>889</v>
      </c>
      <c r="G6" t="s">
        <v>895</v>
      </c>
      <c r="H6" s="18">
        <v>509.99999999999994</v>
      </c>
      <c r="I6" s="3">
        <v>41761</v>
      </c>
      <c r="J6"/>
      <c r="L6"/>
      <c r="M6"/>
      <c r="N6" s="20"/>
      <c r="O6"/>
      <c r="P6" s="20"/>
      <c r="Q6" s="20"/>
      <c r="R6" s="20"/>
      <c r="S6" s="20"/>
      <c r="T6" s="20"/>
      <c r="W6" s="24"/>
      <c r="X6" s="25"/>
      <c r="AA6" s="24"/>
      <c r="AB6" s="25"/>
      <c r="AE6" s="24"/>
      <c r="AF6" s="25"/>
    </row>
    <row r="7" spans="1:32" x14ac:dyDescent="0.25">
      <c r="A7" s="3">
        <v>41768</v>
      </c>
      <c r="B7" s="36">
        <v>27</v>
      </c>
      <c r="C7" t="s">
        <v>894</v>
      </c>
      <c r="E7" s="18">
        <v>277.5</v>
      </c>
      <c r="F7" t="s">
        <v>889</v>
      </c>
      <c r="G7" t="s">
        <v>895</v>
      </c>
      <c r="H7" s="18">
        <v>277.5</v>
      </c>
      <c r="I7" s="3">
        <v>41768</v>
      </c>
      <c r="J7"/>
      <c r="L7"/>
      <c r="M7"/>
      <c r="N7" s="20"/>
      <c r="O7" t="s">
        <v>896</v>
      </c>
      <c r="P7" s="20"/>
      <c r="Q7" s="20"/>
      <c r="R7" s="20"/>
      <c r="S7" s="20"/>
      <c r="T7" s="20"/>
      <c r="W7" s="24"/>
      <c r="X7" s="25"/>
      <c r="AA7" s="24"/>
      <c r="AB7" s="25"/>
      <c r="AE7" s="24"/>
      <c r="AF7" s="25"/>
    </row>
    <row r="8" spans="1:32" x14ac:dyDescent="0.25">
      <c r="A8" s="3">
        <v>41768</v>
      </c>
      <c r="B8" s="36">
        <v>27</v>
      </c>
      <c r="C8" t="s">
        <v>897</v>
      </c>
      <c r="D8">
        <v>6.63</v>
      </c>
      <c r="E8" s="18">
        <v>828.75</v>
      </c>
      <c r="F8" t="s">
        <v>889</v>
      </c>
      <c r="G8" t="s">
        <v>898</v>
      </c>
      <c r="H8" s="18">
        <v>828.75</v>
      </c>
      <c r="I8" s="3">
        <v>41768</v>
      </c>
      <c r="J8"/>
      <c r="L8"/>
      <c r="M8"/>
      <c r="N8" s="20"/>
      <c r="O8"/>
      <c r="P8" s="20"/>
      <c r="Q8" s="20"/>
      <c r="R8" s="20"/>
      <c r="S8" s="20"/>
      <c r="T8" s="20"/>
      <c r="W8" s="24"/>
      <c r="X8" s="25"/>
      <c r="AA8" s="24"/>
      <c r="AB8" s="25"/>
      <c r="AE8" s="24"/>
      <c r="AF8" s="25"/>
    </row>
    <row r="9" spans="1:32" x14ac:dyDescent="0.25">
      <c r="A9" s="3">
        <v>41768</v>
      </c>
      <c r="B9" s="36">
        <v>27</v>
      </c>
      <c r="C9" t="s">
        <v>899</v>
      </c>
      <c r="D9">
        <v>4.08</v>
      </c>
      <c r="E9" s="18">
        <v>510</v>
      </c>
      <c r="F9" t="s">
        <v>889</v>
      </c>
      <c r="G9" t="s">
        <v>900</v>
      </c>
      <c r="H9" s="18">
        <v>510</v>
      </c>
      <c r="I9" s="3">
        <v>41768</v>
      </c>
      <c r="J9"/>
      <c r="L9"/>
      <c r="M9"/>
      <c r="N9" s="20"/>
      <c r="O9"/>
      <c r="P9" s="20"/>
      <c r="Q9" s="20"/>
      <c r="R9" s="20"/>
      <c r="S9" s="20"/>
      <c r="T9" s="20"/>
      <c r="W9" s="24"/>
      <c r="X9" s="25"/>
      <c r="AA9" s="24"/>
      <c r="AB9" s="25"/>
      <c r="AE9" s="24"/>
      <c r="AF9" s="25"/>
    </row>
    <row r="10" spans="1:32" x14ac:dyDescent="0.25">
      <c r="A10" s="37">
        <v>41789</v>
      </c>
      <c r="B10" s="36">
        <v>27</v>
      </c>
      <c r="C10" s="38" t="s">
        <v>901</v>
      </c>
      <c r="D10" s="38">
        <v>5.61</v>
      </c>
      <c r="E10" s="39">
        <v>701.25</v>
      </c>
      <c r="F10" s="38" t="s">
        <v>889</v>
      </c>
      <c r="G10" t="s">
        <v>902</v>
      </c>
      <c r="H10" s="18">
        <v>701.25</v>
      </c>
      <c r="I10" s="3">
        <v>41789</v>
      </c>
      <c r="J10"/>
      <c r="L10"/>
      <c r="M10"/>
      <c r="N10" s="40"/>
      <c r="O10" s="38"/>
      <c r="P10" s="20"/>
      <c r="Q10" s="20"/>
      <c r="R10" s="20"/>
      <c r="S10" s="20"/>
      <c r="T10" s="20"/>
      <c r="W10" s="24"/>
      <c r="X10" s="25"/>
      <c r="AA10" s="24"/>
      <c r="AB10" s="25"/>
      <c r="AE10" s="24"/>
      <c r="AF10" s="25"/>
    </row>
    <row r="11" spans="1:32" x14ac:dyDescent="0.25">
      <c r="A11" s="3">
        <v>41796</v>
      </c>
      <c r="B11" s="36">
        <v>27</v>
      </c>
      <c r="C11" t="s">
        <v>903</v>
      </c>
      <c r="D11">
        <v>5.0999999999999996</v>
      </c>
      <c r="E11" s="18">
        <v>637.5</v>
      </c>
      <c r="F11" t="s">
        <v>889</v>
      </c>
      <c r="G11" t="s">
        <v>904</v>
      </c>
      <c r="H11" s="18">
        <v>637.5</v>
      </c>
      <c r="I11" s="3">
        <v>41796</v>
      </c>
      <c r="J11"/>
      <c r="L11"/>
      <c r="M11"/>
      <c r="N11" s="20"/>
      <c r="O11" t="s">
        <v>905</v>
      </c>
      <c r="P11" s="20"/>
      <c r="Q11" s="20"/>
      <c r="R11" s="20"/>
      <c r="S11" s="20"/>
      <c r="T11" s="20"/>
      <c r="W11" s="24"/>
      <c r="X11" s="25"/>
      <c r="AA11" s="24"/>
      <c r="AB11" s="25"/>
      <c r="AE11" s="24"/>
      <c r="AF11" s="25"/>
    </row>
    <row r="12" spans="1:32" x14ac:dyDescent="0.25">
      <c r="A12" s="37">
        <v>41796</v>
      </c>
      <c r="B12" s="36">
        <v>27</v>
      </c>
      <c r="C12" s="38" t="s">
        <v>906</v>
      </c>
      <c r="D12" s="38">
        <v>6.12</v>
      </c>
      <c r="E12" s="39">
        <v>765</v>
      </c>
      <c r="F12" s="38" t="s">
        <v>889</v>
      </c>
      <c r="G12" t="s">
        <v>907</v>
      </c>
      <c r="H12" s="18">
        <v>765</v>
      </c>
      <c r="I12" s="3">
        <v>41796</v>
      </c>
      <c r="J12"/>
      <c r="L12"/>
      <c r="M12"/>
      <c r="N12" s="40"/>
      <c r="O12" s="38" t="s">
        <v>905</v>
      </c>
      <c r="P12" s="20"/>
      <c r="Q12" s="20"/>
      <c r="R12" s="20"/>
      <c r="S12" s="20"/>
      <c r="T12" s="20"/>
      <c r="W12" s="24"/>
      <c r="X12" s="25"/>
      <c r="AA12" s="24"/>
      <c r="AB12" s="25"/>
      <c r="AE12" s="24"/>
      <c r="AF12" s="25"/>
    </row>
    <row r="13" spans="1:32" x14ac:dyDescent="0.25">
      <c r="A13" s="3">
        <v>41796</v>
      </c>
      <c r="B13" s="36">
        <v>27</v>
      </c>
      <c r="C13" t="s">
        <v>908</v>
      </c>
      <c r="D13">
        <v>9.4350000000000005</v>
      </c>
      <c r="E13" s="18">
        <v>1179.375</v>
      </c>
      <c r="F13" t="s">
        <v>889</v>
      </c>
      <c r="G13" t="s">
        <v>909</v>
      </c>
      <c r="H13" s="18">
        <v>1179.375</v>
      </c>
      <c r="I13" s="3">
        <v>41796</v>
      </c>
      <c r="J13"/>
      <c r="L13"/>
      <c r="M13"/>
      <c r="N13" s="20"/>
      <c r="O13" t="s">
        <v>905</v>
      </c>
      <c r="P13" s="20"/>
      <c r="Q13" s="20"/>
      <c r="R13" s="20"/>
      <c r="S13" s="20"/>
      <c r="T13" s="20"/>
      <c r="W13" s="24"/>
      <c r="X13" s="25"/>
      <c r="AA13" s="24"/>
      <c r="AB13" s="25"/>
      <c r="AE13" s="24"/>
      <c r="AF13" s="25"/>
    </row>
    <row r="14" spans="1:32" x14ac:dyDescent="0.25">
      <c r="A14" s="3">
        <v>41803</v>
      </c>
      <c r="B14" s="36">
        <v>27</v>
      </c>
      <c r="C14" t="s">
        <v>894</v>
      </c>
      <c r="D14">
        <v>5.0999999999999996</v>
      </c>
      <c r="E14" s="18">
        <v>-637.5</v>
      </c>
      <c r="F14" t="s">
        <v>889</v>
      </c>
      <c r="G14" t="s">
        <v>895</v>
      </c>
      <c r="H14" s="18" t="s">
        <v>442</v>
      </c>
      <c r="I14" s="3" t="s">
        <v>442</v>
      </c>
      <c r="J14"/>
      <c r="L14"/>
      <c r="M14"/>
      <c r="N14" s="20"/>
      <c r="O14" t="s">
        <v>910</v>
      </c>
      <c r="P14" s="20"/>
      <c r="Q14" s="20"/>
      <c r="R14" s="20"/>
      <c r="S14" s="20"/>
      <c r="T14" s="20"/>
      <c r="W14" s="24"/>
      <c r="X14" s="25"/>
      <c r="AA14" s="24"/>
      <c r="AB14" s="25"/>
      <c r="AE14" s="24"/>
      <c r="AF14" s="25"/>
    </row>
    <row r="15" spans="1:32" x14ac:dyDescent="0.25">
      <c r="A15" s="3">
        <v>41803</v>
      </c>
      <c r="B15" s="36">
        <v>27</v>
      </c>
      <c r="C15" t="s">
        <v>911</v>
      </c>
      <c r="D15">
        <v>5.8650000000000002</v>
      </c>
      <c r="E15" s="18">
        <v>733.125</v>
      </c>
      <c r="F15" t="s">
        <v>889</v>
      </c>
      <c r="G15" t="s">
        <v>912</v>
      </c>
      <c r="H15" s="18">
        <v>733.125</v>
      </c>
      <c r="I15" s="3">
        <v>41803</v>
      </c>
      <c r="J15"/>
      <c r="L15"/>
      <c r="M15"/>
      <c r="N15" s="20"/>
      <c r="O15" t="s">
        <v>905</v>
      </c>
      <c r="P15" s="20"/>
      <c r="Q15" s="20"/>
      <c r="R15" s="20"/>
      <c r="S15" s="20"/>
      <c r="T15" s="20"/>
      <c r="W15" s="24"/>
      <c r="X15" s="25"/>
      <c r="AA15" s="24"/>
      <c r="AB15" s="25"/>
      <c r="AE15" s="24"/>
      <c r="AF15" s="25"/>
    </row>
    <row r="16" spans="1:32" x14ac:dyDescent="0.25">
      <c r="A16" s="3">
        <v>41803</v>
      </c>
      <c r="B16" s="36">
        <v>27</v>
      </c>
      <c r="C16" t="s">
        <v>913</v>
      </c>
      <c r="D16">
        <v>2.2949999999999999</v>
      </c>
      <c r="E16" s="18">
        <v>286.875</v>
      </c>
      <c r="F16" t="s">
        <v>889</v>
      </c>
      <c r="G16" t="s">
        <v>914</v>
      </c>
      <c r="H16" s="18">
        <v>286.875</v>
      </c>
      <c r="I16" s="3">
        <v>41803</v>
      </c>
      <c r="J16"/>
      <c r="L16"/>
      <c r="M16"/>
      <c r="N16" s="20"/>
      <c r="O16" t="s">
        <v>905</v>
      </c>
      <c r="P16" s="20"/>
      <c r="Q16" s="20"/>
      <c r="R16" s="20"/>
      <c r="S16" s="20"/>
      <c r="T16" s="20"/>
      <c r="W16" s="24"/>
      <c r="X16" s="25"/>
      <c r="AA16" s="24"/>
      <c r="AB16" s="25"/>
      <c r="AE16" s="24"/>
      <c r="AF16" s="25"/>
    </row>
    <row r="17" spans="1:32" x14ac:dyDescent="0.25">
      <c r="A17" s="3">
        <v>41810</v>
      </c>
      <c r="B17" s="36">
        <v>27</v>
      </c>
      <c r="C17" t="s">
        <v>915</v>
      </c>
      <c r="D17">
        <v>6.12</v>
      </c>
      <c r="E17" s="18">
        <v>765</v>
      </c>
      <c r="F17" t="s">
        <v>889</v>
      </c>
      <c r="G17" t="s">
        <v>916</v>
      </c>
      <c r="H17" s="18">
        <v>765</v>
      </c>
      <c r="I17" s="3">
        <v>41810</v>
      </c>
      <c r="J17"/>
      <c r="L17"/>
      <c r="M17"/>
      <c r="N17" s="20"/>
      <c r="O17" t="s">
        <v>917</v>
      </c>
      <c r="P17" s="20"/>
      <c r="Q17" s="20"/>
      <c r="R17" s="20"/>
      <c r="S17" s="20"/>
      <c r="T17" s="20"/>
      <c r="W17" s="24"/>
      <c r="X17" s="25"/>
      <c r="AE17" s="24"/>
      <c r="AF17" s="25"/>
    </row>
    <row r="18" spans="1:32" x14ac:dyDescent="0.25">
      <c r="A18" s="3">
        <v>41810</v>
      </c>
      <c r="B18" s="36">
        <v>27</v>
      </c>
      <c r="C18" t="s">
        <v>918</v>
      </c>
      <c r="D18">
        <v>5.61</v>
      </c>
      <c r="E18" s="18">
        <v>701.25</v>
      </c>
      <c r="F18" t="s">
        <v>889</v>
      </c>
      <c r="G18" t="s">
        <v>919</v>
      </c>
      <c r="H18" s="18">
        <v>701.25</v>
      </c>
      <c r="I18" s="3">
        <v>41810</v>
      </c>
      <c r="J18"/>
      <c r="L18"/>
      <c r="M18"/>
      <c r="N18" s="20"/>
      <c r="O18" t="s">
        <v>917</v>
      </c>
      <c r="P18" s="20"/>
      <c r="Q18" s="20"/>
      <c r="R18" s="20"/>
      <c r="S18" s="20"/>
      <c r="T18" s="20"/>
      <c r="W18" s="24"/>
      <c r="X18" s="25"/>
      <c r="AE18" s="24"/>
      <c r="AF18" s="25"/>
    </row>
    <row r="19" spans="1:32" x14ac:dyDescent="0.25">
      <c r="A19" s="3">
        <v>41810</v>
      </c>
      <c r="B19" s="36">
        <v>27</v>
      </c>
      <c r="C19" t="s">
        <v>920</v>
      </c>
      <c r="D19">
        <v>3.06</v>
      </c>
      <c r="E19" s="18">
        <v>382.5</v>
      </c>
      <c r="F19" t="s">
        <v>889</v>
      </c>
      <c r="G19" t="s">
        <v>921</v>
      </c>
      <c r="H19" s="18">
        <v>382.5</v>
      </c>
      <c r="I19" s="3">
        <v>41810</v>
      </c>
      <c r="J19"/>
      <c r="L19"/>
      <c r="M19"/>
      <c r="N19" s="20"/>
      <c r="O19" t="s">
        <v>917</v>
      </c>
      <c r="P19" s="20"/>
      <c r="Q19" s="20"/>
      <c r="R19" s="20"/>
      <c r="S19" s="20"/>
      <c r="T19" s="20"/>
      <c r="W19" s="24"/>
      <c r="X19" s="25"/>
      <c r="AE19" s="24"/>
      <c r="AF19" s="25"/>
    </row>
    <row r="20" spans="1:32" x14ac:dyDescent="0.25">
      <c r="A20" s="37">
        <v>41810</v>
      </c>
      <c r="B20" s="36">
        <v>27</v>
      </c>
      <c r="C20" s="38" t="s">
        <v>922</v>
      </c>
      <c r="D20" s="38">
        <v>4.8449999999999998</v>
      </c>
      <c r="E20" s="39">
        <v>605.625</v>
      </c>
      <c r="F20" s="38" t="s">
        <v>889</v>
      </c>
      <c r="G20" t="s">
        <v>923</v>
      </c>
      <c r="H20" s="18">
        <v>605.625</v>
      </c>
      <c r="I20" s="3">
        <v>41810</v>
      </c>
      <c r="J20"/>
      <c r="L20"/>
      <c r="M20"/>
      <c r="N20" s="40"/>
      <c r="O20" s="38" t="s">
        <v>917</v>
      </c>
      <c r="P20" s="20"/>
      <c r="Q20" s="20"/>
      <c r="R20" s="20"/>
      <c r="S20" s="20"/>
      <c r="T20" s="20"/>
      <c r="W20" s="24"/>
      <c r="X20" s="25"/>
      <c r="AE20" s="24"/>
      <c r="AF20" s="25"/>
    </row>
    <row r="21" spans="1:32" x14ac:dyDescent="0.25">
      <c r="A21" s="37">
        <v>41810</v>
      </c>
      <c r="B21" s="36">
        <v>27</v>
      </c>
      <c r="C21" s="38" t="s">
        <v>924</v>
      </c>
      <c r="D21" s="38">
        <v>4.8449999999999998</v>
      </c>
      <c r="E21" s="39">
        <v>605.625</v>
      </c>
      <c r="F21" s="38" t="s">
        <v>889</v>
      </c>
      <c r="G21" t="s">
        <v>925</v>
      </c>
      <c r="H21" s="18">
        <v>605.625</v>
      </c>
      <c r="I21" s="3">
        <v>41810</v>
      </c>
      <c r="J21"/>
      <c r="L21"/>
      <c r="M21"/>
      <c r="N21" s="40"/>
      <c r="O21" s="38" t="s">
        <v>917</v>
      </c>
      <c r="P21" s="20"/>
      <c r="Q21" s="20"/>
      <c r="R21" s="20"/>
      <c r="S21" s="20"/>
      <c r="T21" s="20"/>
      <c r="W21" s="24"/>
      <c r="X21" s="25"/>
      <c r="AE21" s="24"/>
      <c r="AF21" s="25"/>
    </row>
    <row r="22" spans="1:32" x14ac:dyDescent="0.25">
      <c r="A22" s="3">
        <v>41810</v>
      </c>
      <c r="B22" s="36">
        <v>27</v>
      </c>
      <c r="C22" t="s">
        <v>926</v>
      </c>
      <c r="E22" s="18">
        <v>1035.3</v>
      </c>
      <c r="F22" t="s">
        <v>889</v>
      </c>
      <c r="G22" t="s">
        <v>442</v>
      </c>
      <c r="H22" s="18" t="s">
        <v>442</v>
      </c>
      <c r="I22" s="3" t="s">
        <v>442</v>
      </c>
      <c r="J22"/>
      <c r="L22"/>
      <c r="M22"/>
      <c r="N22" s="40" t="s">
        <v>401</v>
      </c>
      <c r="O22"/>
      <c r="P22" s="20"/>
      <c r="Q22" s="20"/>
      <c r="R22" s="20"/>
      <c r="S22" s="20"/>
      <c r="T22" s="20"/>
      <c r="W22" s="24"/>
      <c r="X22" s="25"/>
      <c r="AE22" s="24"/>
      <c r="AF22" s="25"/>
    </row>
    <row r="23" spans="1:32" x14ac:dyDescent="0.25">
      <c r="A23" s="3">
        <v>41810</v>
      </c>
      <c r="B23" s="36">
        <v>27</v>
      </c>
      <c r="C23" t="s">
        <v>927</v>
      </c>
      <c r="D23">
        <v>8.4149999999999991</v>
      </c>
      <c r="E23" s="18">
        <v>1051.875</v>
      </c>
      <c r="F23" t="s">
        <v>889</v>
      </c>
      <c r="G23" t="s">
        <v>928</v>
      </c>
      <c r="H23" s="18">
        <v>1051.875</v>
      </c>
      <c r="I23" s="3">
        <v>41810</v>
      </c>
      <c r="J23"/>
      <c r="L23"/>
      <c r="M23"/>
      <c r="N23" s="20"/>
      <c r="O23" t="s">
        <v>917</v>
      </c>
      <c r="P23" s="20"/>
      <c r="Q23" s="20"/>
      <c r="R23" s="20"/>
      <c r="S23" s="20"/>
      <c r="T23" s="20"/>
      <c r="W23" s="24"/>
      <c r="X23" s="25"/>
      <c r="AE23" s="24"/>
      <c r="AF23" s="25"/>
    </row>
    <row r="24" spans="1:32" x14ac:dyDescent="0.25">
      <c r="A24" s="3">
        <v>41817</v>
      </c>
      <c r="B24" s="36">
        <v>27</v>
      </c>
      <c r="C24" t="s">
        <v>929</v>
      </c>
      <c r="D24">
        <v>9.9250000000000007</v>
      </c>
      <c r="E24" s="18">
        <v>992.50000000000011</v>
      </c>
      <c r="F24" t="s">
        <v>889</v>
      </c>
      <c r="G24" t="s">
        <v>930</v>
      </c>
      <c r="H24" s="18">
        <v>992.50000000000011</v>
      </c>
      <c r="I24" s="3">
        <v>41817</v>
      </c>
      <c r="J24"/>
      <c r="L24"/>
      <c r="M24"/>
      <c r="N24" s="20"/>
      <c r="O24" t="s">
        <v>931</v>
      </c>
      <c r="P24" s="20"/>
      <c r="Q24" s="20"/>
      <c r="R24" s="20"/>
      <c r="S24" s="20"/>
      <c r="T24" s="20"/>
      <c r="W24" s="24"/>
      <c r="X24" s="25"/>
      <c r="AE24" s="24"/>
      <c r="AF24" s="25"/>
    </row>
    <row r="25" spans="1:32" x14ac:dyDescent="0.25">
      <c r="A25" s="3">
        <v>41817</v>
      </c>
      <c r="B25" s="36">
        <v>27</v>
      </c>
      <c r="C25" t="s">
        <v>932</v>
      </c>
      <c r="E25" s="18">
        <v>258.83</v>
      </c>
      <c r="F25" t="s">
        <v>889</v>
      </c>
      <c r="H25" s="18" t="s">
        <v>442</v>
      </c>
      <c r="I25" s="3" t="s">
        <v>442</v>
      </c>
      <c r="J25"/>
      <c r="L25"/>
      <c r="M25"/>
      <c r="N25" s="20" t="s">
        <v>401</v>
      </c>
      <c r="O25"/>
      <c r="P25" s="20"/>
      <c r="Q25" s="20"/>
      <c r="R25" s="20"/>
      <c r="S25" s="20"/>
      <c r="T25" s="20"/>
      <c r="W25" s="24"/>
      <c r="X25" s="25"/>
      <c r="AE25" s="24"/>
      <c r="AF25" s="25"/>
    </row>
    <row r="26" spans="1:32" x14ac:dyDescent="0.25">
      <c r="A26" s="3">
        <v>41817</v>
      </c>
      <c r="B26" s="36">
        <v>27</v>
      </c>
      <c r="C26" t="s">
        <v>927</v>
      </c>
      <c r="D26">
        <v>8.4149999999999991</v>
      </c>
      <c r="E26" s="18">
        <v>-1051.875</v>
      </c>
      <c r="F26" t="s">
        <v>889</v>
      </c>
      <c r="G26" t="s">
        <v>928</v>
      </c>
      <c r="H26" s="18" t="s">
        <v>442</v>
      </c>
      <c r="I26" s="3" t="s">
        <v>442</v>
      </c>
      <c r="J26"/>
      <c r="L26"/>
      <c r="M26"/>
      <c r="N26" s="20"/>
      <c r="O26" t="s">
        <v>933</v>
      </c>
      <c r="P26" s="20"/>
      <c r="Q26" s="20"/>
      <c r="R26" s="20"/>
      <c r="S26" s="20"/>
      <c r="T26" s="20"/>
      <c r="W26" s="24"/>
      <c r="X26" s="25"/>
      <c r="AE26" s="24"/>
      <c r="AF26" s="25"/>
    </row>
    <row r="27" spans="1:32" x14ac:dyDescent="0.25">
      <c r="A27" s="3">
        <v>41823</v>
      </c>
      <c r="B27" s="36">
        <v>27</v>
      </c>
      <c r="C27" t="s">
        <v>934</v>
      </c>
      <c r="D27">
        <v>3.3149999999999999</v>
      </c>
      <c r="E27" s="18">
        <v>331.5</v>
      </c>
      <c r="F27" t="s">
        <v>889</v>
      </c>
      <c r="G27" t="s">
        <v>935</v>
      </c>
      <c r="H27" s="18">
        <v>331.5</v>
      </c>
      <c r="I27" s="3">
        <v>41823</v>
      </c>
      <c r="J27"/>
      <c r="L27"/>
      <c r="M27"/>
      <c r="N27" s="20"/>
      <c r="O27" t="s">
        <v>931</v>
      </c>
      <c r="P27" s="20"/>
      <c r="Q27" s="20"/>
      <c r="R27" s="20"/>
      <c r="S27" s="20"/>
      <c r="T27" s="20"/>
      <c r="W27" s="24"/>
      <c r="X27" s="25"/>
      <c r="AE27" s="24"/>
      <c r="AF27" s="25"/>
    </row>
    <row r="28" spans="1:32" x14ac:dyDescent="0.25">
      <c r="A28" s="3">
        <v>41823</v>
      </c>
      <c r="B28" s="36">
        <v>27</v>
      </c>
      <c r="C28" t="s">
        <v>936</v>
      </c>
      <c r="D28">
        <v>6.12</v>
      </c>
      <c r="E28" s="18">
        <v>612</v>
      </c>
      <c r="F28" t="s">
        <v>889</v>
      </c>
      <c r="G28" t="s">
        <v>937</v>
      </c>
      <c r="H28" s="18">
        <v>612</v>
      </c>
      <c r="I28" s="3">
        <v>41823</v>
      </c>
      <c r="J28"/>
      <c r="L28"/>
      <c r="M28"/>
      <c r="N28" s="20"/>
      <c r="O28" t="s">
        <v>931</v>
      </c>
      <c r="P28" s="20"/>
      <c r="Q28" s="20"/>
      <c r="R28" s="20"/>
      <c r="S28" s="20"/>
      <c r="T28" s="20"/>
      <c r="W28" s="24"/>
      <c r="X28" s="25"/>
      <c r="AE28" s="24"/>
      <c r="AF28" s="25"/>
    </row>
    <row r="29" spans="1:32" x14ac:dyDescent="0.25">
      <c r="A29" s="37">
        <v>41823</v>
      </c>
      <c r="B29" s="36">
        <v>27</v>
      </c>
      <c r="C29" s="38" t="s">
        <v>938</v>
      </c>
      <c r="D29" s="38">
        <v>8.67</v>
      </c>
      <c r="E29" s="39">
        <v>867</v>
      </c>
      <c r="F29" s="38" t="s">
        <v>889</v>
      </c>
      <c r="G29" t="s">
        <v>939</v>
      </c>
      <c r="H29" s="18">
        <v>867</v>
      </c>
      <c r="I29" s="3">
        <v>41823</v>
      </c>
      <c r="J29"/>
      <c r="L29"/>
      <c r="M29"/>
      <c r="N29" s="40"/>
      <c r="O29" s="38" t="s">
        <v>931</v>
      </c>
      <c r="P29" s="20"/>
      <c r="Q29" s="20"/>
      <c r="R29" s="20"/>
      <c r="S29" s="20"/>
      <c r="T29" s="20"/>
      <c r="W29" s="24"/>
      <c r="X29" s="25"/>
      <c r="AE29" s="24"/>
      <c r="AF29" s="25"/>
    </row>
    <row r="30" spans="1:32" x14ac:dyDescent="0.25">
      <c r="A30" s="3">
        <v>41838</v>
      </c>
      <c r="B30" s="36">
        <v>27</v>
      </c>
      <c r="C30" t="s">
        <v>940</v>
      </c>
      <c r="E30" s="18">
        <v>100</v>
      </c>
      <c r="F30" t="s">
        <v>889</v>
      </c>
      <c r="G30" t="s">
        <v>442</v>
      </c>
      <c r="H30" s="18" t="s">
        <v>442</v>
      </c>
      <c r="I30" s="3" t="s">
        <v>442</v>
      </c>
      <c r="J30"/>
      <c r="L30"/>
      <c r="M30"/>
      <c r="N30" s="20"/>
      <c r="O30" t="s">
        <v>941</v>
      </c>
      <c r="P30" s="20"/>
      <c r="Q30" s="20"/>
      <c r="R30" s="20"/>
      <c r="S30" s="20"/>
      <c r="T30" s="20" t="s">
        <v>401</v>
      </c>
      <c r="W30" s="24"/>
      <c r="X30" s="25"/>
      <c r="AE30" s="24"/>
      <c r="AF30" s="25"/>
    </row>
    <row r="31" spans="1:32" x14ac:dyDescent="0.25">
      <c r="A31" s="3">
        <v>41838</v>
      </c>
      <c r="B31" s="36">
        <v>27</v>
      </c>
      <c r="C31" t="s">
        <v>942</v>
      </c>
      <c r="D31">
        <v>14.025</v>
      </c>
      <c r="E31" s="18">
        <v>1402.5</v>
      </c>
      <c r="F31" t="s">
        <v>889</v>
      </c>
      <c r="G31" t="s">
        <v>943</v>
      </c>
      <c r="H31" s="18">
        <v>1402.5</v>
      </c>
      <c r="I31" s="3">
        <v>41838</v>
      </c>
      <c r="J31"/>
      <c r="L31"/>
      <c r="M31"/>
      <c r="N31" s="20"/>
      <c r="O31" t="s">
        <v>931</v>
      </c>
      <c r="P31" s="20"/>
      <c r="Q31" s="20"/>
      <c r="R31" s="20"/>
      <c r="S31" s="20"/>
      <c r="T31" s="20"/>
      <c r="W31" s="24"/>
      <c r="X31" s="25"/>
      <c r="AE31" s="24"/>
      <c r="AF31" s="25"/>
    </row>
    <row r="32" spans="1:32" x14ac:dyDescent="0.25">
      <c r="A32" s="3">
        <v>41838</v>
      </c>
      <c r="B32" s="36">
        <v>27</v>
      </c>
      <c r="C32" t="s">
        <v>944</v>
      </c>
      <c r="D32">
        <v>5.5</v>
      </c>
      <c r="E32" s="18">
        <v>550</v>
      </c>
      <c r="F32" t="s">
        <v>889</v>
      </c>
      <c r="G32" t="s">
        <v>945</v>
      </c>
      <c r="H32" s="18">
        <v>550</v>
      </c>
      <c r="I32" s="3">
        <v>41838</v>
      </c>
      <c r="J32"/>
      <c r="L32"/>
      <c r="M32"/>
      <c r="N32" s="20"/>
      <c r="O32" t="s">
        <v>931</v>
      </c>
      <c r="P32" s="20"/>
      <c r="Q32" s="20"/>
      <c r="R32" s="20"/>
      <c r="S32" s="20"/>
      <c r="T32" s="20"/>
      <c r="W32" s="24"/>
      <c r="X32" s="25"/>
      <c r="AE32" s="24"/>
      <c r="AF32" s="25"/>
    </row>
    <row r="33" spans="1:32" x14ac:dyDescent="0.25">
      <c r="A33" s="3">
        <v>41838</v>
      </c>
      <c r="B33" s="36">
        <v>27</v>
      </c>
      <c r="C33" t="s">
        <v>946</v>
      </c>
      <c r="E33" s="18">
        <v>387.5</v>
      </c>
      <c r="F33" t="s">
        <v>889</v>
      </c>
      <c r="G33" t="s">
        <v>442</v>
      </c>
      <c r="H33" s="18" t="s">
        <v>442</v>
      </c>
      <c r="I33" s="3" t="s">
        <v>442</v>
      </c>
      <c r="J33"/>
      <c r="L33"/>
      <c r="M33"/>
      <c r="N33" s="20" t="s">
        <v>401</v>
      </c>
      <c r="O33"/>
      <c r="P33" s="20"/>
      <c r="Q33" s="20"/>
      <c r="R33" s="20"/>
      <c r="S33" s="20"/>
      <c r="T33" s="20"/>
      <c r="W33" s="24"/>
      <c r="X33" s="25"/>
      <c r="AE33" s="24"/>
      <c r="AF33" s="25"/>
    </row>
    <row r="34" spans="1:32" x14ac:dyDescent="0.25">
      <c r="A34" s="37">
        <v>41838</v>
      </c>
      <c r="B34" s="36">
        <v>27</v>
      </c>
      <c r="C34" s="38" t="s">
        <v>922</v>
      </c>
      <c r="D34" s="38">
        <v>4.8449999999999998</v>
      </c>
      <c r="E34" s="39">
        <v>-605.625</v>
      </c>
      <c r="F34" s="38" t="s">
        <v>889</v>
      </c>
      <c r="G34" t="s">
        <v>923</v>
      </c>
      <c r="H34" s="18" t="s">
        <v>442</v>
      </c>
      <c r="I34" s="3" t="s">
        <v>442</v>
      </c>
      <c r="J34"/>
      <c r="L34"/>
      <c r="M34"/>
      <c r="N34" s="40"/>
      <c r="O34" s="38" t="s">
        <v>947</v>
      </c>
      <c r="P34" s="20"/>
      <c r="Q34" s="20"/>
      <c r="R34" s="20"/>
      <c r="S34" s="20"/>
      <c r="T34" s="20"/>
      <c r="W34" s="24"/>
      <c r="X34" s="25"/>
      <c r="AE34" s="24"/>
      <c r="AF34" s="25"/>
    </row>
    <row r="35" spans="1:32" x14ac:dyDescent="0.25">
      <c r="A35" s="3">
        <v>41851</v>
      </c>
      <c r="B35" s="36">
        <v>27</v>
      </c>
      <c r="C35" t="s">
        <v>929</v>
      </c>
      <c r="D35">
        <v>8.9250000000000007</v>
      </c>
      <c r="E35" s="18">
        <v>-992.5</v>
      </c>
      <c r="F35" t="s">
        <v>889</v>
      </c>
      <c r="G35" t="s">
        <v>930</v>
      </c>
      <c r="H35" s="18" t="s">
        <v>442</v>
      </c>
      <c r="I35" s="3" t="s">
        <v>442</v>
      </c>
      <c r="J35"/>
      <c r="L35"/>
      <c r="M35"/>
      <c r="N35" s="20"/>
      <c r="O35" t="s">
        <v>948</v>
      </c>
      <c r="P35" s="20"/>
      <c r="Q35" s="20"/>
      <c r="R35" s="20"/>
      <c r="S35" s="20"/>
      <c r="T35" s="20"/>
      <c r="W35" s="24"/>
      <c r="X35" s="25"/>
      <c r="AE35" s="24"/>
      <c r="AF35" s="25"/>
    </row>
    <row r="36" spans="1:32" x14ac:dyDescent="0.25">
      <c r="A36" s="3">
        <v>41851</v>
      </c>
      <c r="B36" s="36">
        <v>27</v>
      </c>
      <c r="C36" t="s">
        <v>929</v>
      </c>
      <c r="D36">
        <v>8.9250000000000007</v>
      </c>
      <c r="E36" s="18">
        <v>-992.5</v>
      </c>
      <c r="F36" t="s">
        <v>889</v>
      </c>
      <c r="G36" t="s">
        <v>930</v>
      </c>
      <c r="H36" s="18" t="s">
        <v>442</v>
      </c>
      <c r="I36" s="3" t="s">
        <v>442</v>
      </c>
      <c r="J36"/>
      <c r="L36"/>
      <c r="M36"/>
      <c r="N36" s="20"/>
      <c r="O36" t="s">
        <v>949</v>
      </c>
      <c r="P36" s="20"/>
      <c r="Q36" s="20"/>
      <c r="R36" s="20"/>
      <c r="S36" s="20"/>
      <c r="T36" s="20"/>
      <c r="W36" s="24"/>
      <c r="X36" s="25"/>
      <c r="AE36" s="24"/>
      <c r="AF36" s="25"/>
    </row>
    <row r="37" spans="1:32" x14ac:dyDescent="0.25">
      <c r="A37" s="3">
        <v>41851</v>
      </c>
      <c r="B37" s="36">
        <v>27</v>
      </c>
      <c r="C37" t="s">
        <v>929</v>
      </c>
      <c r="D37">
        <v>8.9250000000000007</v>
      </c>
      <c r="E37" s="18">
        <v>992.5</v>
      </c>
      <c r="F37" t="s">
        <v>889</v>
      </c>
      <c r="G37" t="s">
        <v>930</v>
      </c>
      <c r="H37" s="18">
        <v>992.5</v>
      </c>
      <c r="I37" s="3">
        <v>41851</v>
      </c>
      <c r="J37"/>
      <c r="L37"/>
      <c r="M37"/>
      <c r="N37" s="20"/>
      <c r="O37" t="s">
        <v>950</v>
      </c>
      <c r="P37" s="20"/>
      <c r="Q37" s="20"/>
      <c r="R37" s="20"/>
      <c r="S37" s="20"/>
      <c r="T37" s="20"/>
      <c r="W37" s="24"/>
      <c r="X37" s="25"/>
      <c r="AE37" s="24"/>
      <c r="AF37" s="25"/>
    </row>
    <row r="38" spans="1:32" x14ac:dyDescent="0.25">
      <c r="A38" s="41">
        <v>41851</v>
      </c>
      <c r="B38" s="42">
        <v>27</v>
      </c>
      <c r="C38" s="43" t="s">
        <v>951</v>
      </c>
      <c r="D38" s="43">
        <v>12</v>
      </c>
      <c r="E38" s="44">
        <v>1200</v>
      </c>
      <c r="F38" s="43" t="s">
        <v>889</v>
      </c>
      <c r="G38" s="45" t="s">
        <v>952</v>
      </c>
      <c r="H38" s="18">
        <v>1200</v>
      </c>
      <c r="I38" s="3">
        <v>41851</v>
      </c>
      <c r="J38" s="45"/>
      <c r="K38" s="45"/>
      <c r="L38" s="45"/>
      <c r="M38" s="45"/>
      <c r="N38" s="43"/>
      <c r="O38" s="43" t="s">
        <v>931</v>
      </c>
      <c r="P38" s="20"/>
      <c r="Q38" s="20"/>
      <c r="R38" s="20"/>
      <c r="S38" s="20"/>
      <c r="T38" s="20"/>
      <c r="W38" s="24"/>
      <c r="X38" s="25"/>
      <c r="AE38" s="24"/>
      <c r="AF38" s="25"/>
    </row>
    <row r="39" spans="1:32" x14ac:dyDescent="0.25">
      <c r="A39" s="3">
        <v>41851</v>
      </c>
      <c r="B39" s="36">
        <v>27</v>
      </c>
      <c r="C39" t="s">
        <v>953</v>
      </c>
      <c r="E39" s="18">
        <v>155.94999999999999</v>
      </c>
      <c r="F39" t="s">
        <v>891</v>
      </c>
      <c r="H39" s="18" t="s">
        <v>442</v>
      </c>
      <c r="I39" s="3" t="s">
        <v>442</v>
      </c>
      <c r="J39"/>
      <c r="L39"/>
      <c r="M39"/>
      <c r="N39" s="20"/>
      <c r="O39" t="s">
        <v>953</v>
      </c>
      <c r="P39" s="20" t="s">
        <v>401</v>
      </c>
      <c r="Q39" s="20"/>
      <c r="R39" s="20"/>
      <c r="S39" s="20"/>
      <c r="T39" s="20"/>
      <c r="W39" s="24"/>
      <c r="X39" s="25"/>
      <c r="AE39" s="24"/>
      <c r="AF39" s="25"/>
    </row>
    <row r="40" spans="1:32" x14ac:dyDescent="0.25">
      <c r="A40" s="3">
        <v>41866</v>
      </c>
      <c r="B40" s="36">
        <v>27</v>
      </c>
      <c r="C40" t="s">
        <v>954</v>
      </c>
      <c r="E40" s="18">
        <v>2119.88</v>
      </c>
      <c r="F40" t="s">
        <v>889</v>
      </c>
      <c r="G40" t="s">
        <v>442</v>
      </c>
      <c r="H40" s="18" t="s">
        <v>442</v>
      </c>
      <c r="I40" s="3" t="s">
        <v>442</v>
      </c>
      <c r="J40"/>
      <c r="L40"/>
      <c r="M40"/>
      <c r="N40" s="20" t="s">
        <v>401</v>
      </c>
      <c r="O40"/>
      <c r="P40" s="20"/>
      <c r="Q40" s="20"/>
      <c r="R40" s="20"/>
      <c r="S40" s="20"/>
      <c r="T40" s="20"/>
      <c r="W40" s="24"/>
      <c r="X40" s="25"/>
      <c r="AE40" s="24"/>
      <c r="AF40" s="25"/>
    </row>
    <row r="41" spans="1:32" x14ac:dyDescent="0.25">
      <c r="A41" s="3">
        <v>41891</v>
      </c>
      <c r="B41" s="36">
        <v>27</v>
      </c>
      <c r="C41" t="s">
        <v>955</v>
      </c>
      <c r="E41" s="18">
        <v>500</v>
      </c>
      <c r="F41" t="s">
        <v>889</v>
      </c>
      <c r="G41" t="s">
        <v>442</v>
      </c>
      <c r="H41" s="18" t="s">
        <v>442</v>
      </c>
      <c r="I41" s="3" t="s">
        <v>442</v>
      </c>
      <c r="J41"/>
      <c r="L41"/>
      <c r="M41"/>
      <c r="N41" s="20"/>
      <c r="O41"/>
      <c r="P41" s="20"/>
      <c r="Q41" s="20"/>
      <c r="R41" s="20"/>
      <c r="S41" s="20"/>
      <c r="T41" s="20" t="s">
        <v>401</v>
      </c>
      <c r="W41" s="24"/>
      <c r="X41" s="25"/>
      <c r="AE41" s="24"/>
      <c r="AF41" s="25"/>
    </row>
    <row r="42" spans="1:32" x14ac:dyDescent="0.25">
      <c r="A42" s="3">
        <v>41901</v>
      </c>
      <c r="B42" s="36">
        <v>27</v>
      </c>
      <c r="C42" t="s">
        <v>956</v>
      </c>
      <c r="E42" s="18">
        <v>4916.375</v>
      </c>
      <c r="F42" t="s">
        <v>889</v>
      </c>
      <c r="H42" s="18" t="s">
        <v>442</v>
      </c>
      <c r="I42" s="3" t="s">
        <v>442</v>
      </c>
      <c r="J42"/>
      <c r="L42"/>
      <c r="M42"/>
      <c r="N42" s="20" t="s">
        <v>401</v>
      </c>
      <c r="O42"/>
      <c r="P42" s="20"/>
      <c r="Q42" s="20"/>
      <c r="R42" s="20"/>
      <c r="S42" s="20"/>
      <c r="T42" s="20"/>
      <c r="W42" s="24"/>
      <c r="X42" s="25"/>
      <c r="AE42" s="24"/>
      <c r="AF42" s="25"/>
    </row>
    <row r="43" spans="1:32" x14ac:dyDescent="0.25">
      <c r="A43" s="46">
        <v>41922</v>
      </c>
      <c r="B43" s="36">
        <v>27</v>
      </c>
      <c r="C43" s="47" t="s">
        <v>957</v>
      </c>
      <c r="D43" s="47"/>
      <c r="E43" s="48">
        <v>1699.35</v>
      </c>
      <c r="F43" s="47" t="s">
        <v>889</v>
      </c>
      <c r="G43" s="20"/>
      <c r="H43" s="18" t="s">
        <v>442</v>
      </c>
      <c r="I43" s="3" t="s">
        <v>442</v>
      </c>
      <c r="J43" s="20"/>
      <c r="K43" s="20"/>
      <c r="L43" s="20"/>
      <c r="M43" s="20"/>
      <c r="N43" s="20"/>
      <c r="O43" s="47" t="s">
        <v>958</v>
      </c>
      <c r="P43" s="20"/>
      <c r="Q43" s="20"/>
      <c r="R43" s="20"/>
      <c r="S43" s="20"/>
      <c r="T43" s="20" t="s">
        <v>401</v>
      </c>
      <c r="W43" s="24"/>
      <c r="X43" s="25"/>
      <c r="AE43" s="24"/>
      <c r="AF43" s="25"/>
    </row>
    <row r="44" spans="1:32" x14ac:dyDescent="0.25">
      <c r="A44" s="46">
        <v>41929</v>
      </c>
      <c r="B44" s="36">
        <v>27</v>
      </c>
      <c r="C44" s="47" t="s">
        <v>957</v>
      </c>
      <c r="D44" s="47"/>
      <c r="E44" s="48">
        <v>1699.35</v>
      </c>
      <c r="F44" s="47" t="s">
        <v>889</v>
      </c>
      <c r="G44" s="20"/>
      <c r="H44" s="18" t="s">
        <v>442</v>
      </c>
      <c r="I44" s="3" t="s">
        <v>442</v>
      </c>
      <c r="J44" s="20"/>
      <c r="K44" s="20"/>
      <c r="L44" s="20"/>
      <c r="M44" s="20"/>
      <c r="N44" s="20"/>
      <c r="O44" s="47" t="s">
        <v>958</v>
      </c>
      <c r="P44" s="20"/>
      <c r="Q44" s="20"/>
      <c r="R44" s="20"/>
      <c r="S44" s="20"/>
      <c r="T44" s="20" t="s">
        <v>401</v>
      </c>
      <c r="W44" s="24"/>
      <c r="X44" s="25"/>
      <c r="AE44" s="24"/>
      <c r="AF44" s="25"/>
    </row>
    <row r="45" spans="1:32" x14ac:dyDescent="0.25">
      <c r="A45" s="3">
        <v>41929</v>
      </c>
      <c r="B45" s="36">
        <v>27</v>
      </c>
      <c r="C45" t="s">
        <v>892</v>
      </c>
      <c r="E45" s="18">
        <v>780</v>
      </c>
      <c r="F45" t="s">
        <v>889</v>
      </c>
      <c r="G45" t="s">
        <v>893</v>
      </c>
      <c r="H45" s="18">
        <v>780</v>
      </c>
      <c r="I45" s="3">
        <v>41929</v>
      </c>
      <c r="J45"/>
      <c r="L45"/>
      <c r="M45"/>
      <c r="N45" s="20"/>
      <c r="O45" t="s">
        <v>959</v>
      </c>
      <c r="P45" s="20"/>
      <c r="Q45" s="20"/>
      <c r="R45" s="20"/>
      <c r="S45" s="20"/>
      <c r="T45" s="20"/>
      <c r="W45" s="24"/>
      <c r="X45" s="25"/>
      <c r="AE45" s="24"/>
      <c r="AF45" s="25"/>
    </row>
    <row r="46" spans="1:32" x14ac:dyDescent="0.25">
      <c r="A46" s="3">
        <v>41929</v>
      </c>
      <c r="B46" s="36">
        <v>27</v>
      </c>
      <c r="C46" t="s">
        <v>960</v>
      </c>
      <c r="E46" s="18">
        <v>5212.1499999999996</v>
      </c>
      <c r="F46" t="s">
        <v>889</v>
      </c>
      <c r="G46" t="s">
        <v>442</v>
      </c>
      <c r="H46" s="18" t="s">
        <v>442</v>
      </c>
      <c r="I46" s="3" t="s">
        <v>442</v>
      </c>
      <c r="J46"/>
      <c r="L46"/>
      <c r="M46"/>
      <c r="N46" s="20" t="s">
        <v>401</v>
      </c>
      <c r="O46"/>
      <c r="P46" s="20"/>
      <c r="Q46" s="20"/>
      <c r="R46" s="20"/>
      <c r="S46" s="20"/>
      <c r="T46" s="20"/>
      <c r="W46" s="24"/>
      <c r="X46" s="25"/>
      <c r="AE46" s="24"/>
      <c r="AF46" s="25"/>
    </row>
    <row r="47" spans="1:32" x14ac:dyDescent="0.25">
      <c r="A47" s="3">
        <v>41950</v>
      </c>
      <c r="B47" s="36">
        <v>27</v>
      </c>
      <c r="C47" t="s">
        <v>961</v>
      </c>
      <c r="E47" s="18">
        <v>2084.86</v>
      </c>
      <c r="F47" t="s">
        <v>889</v>
      </c>
      <c r="G47" t="s">
        <v>442</v>
      </c>
      <c r="H47" s="18" t="s">
        <v>442</v>
      </c>
      <c r="I47" s="3" t="s">
        <v>442</v>
      </c>
      <c r="J47"/>
      <c r="L47"/>
      <c r="M47"/>
      <c r="N47" s="20"/>
      <c r="O47"/>
      <c r="P47" s="20"/>
      <c r="Q47" s="20"/>
      <c r="R47" s="20"/>
      <c r="S47" s="20"/>
      <c r="T47" s="20" t="s">
        <v>401</v>
      </c>
      <c r="W47" s="24"/>
      <c r="X47" s="25"/>
      <c r="AE47" s="24"/>
      <c r="AF47" s="25"/>
    </row>
    <row r="48" spans="1:32" x14ac:dyDescent="0.25">
      <c r="A48" s="3">
        <v>41957</v>
      </c>
      <c r="B48" s="36">
        <v>27</v>
      </c>
      <c r="C48" t="s">
        <v>962</v>
      </c>
      <c r="E48" s="18">
        <v>252</v>
      </c>
      <c r="F48" t="s">
        <v>891</v>
      </c>
      <c r="H48" s="18" t="s">
        <v>442</v>
      </c>
      <c r="I48" s="3" t="s">
        <v>442</v>
      </c>
      <c r="J48"/>
      <c r="L48"/>
      <c r="M48"/>
      <c r="N48" s="20"/>
      <c r="O48"/>
      <c r="P48" s="20" t="s">
        <v>401</v>
      </c>
      <c r="Q48" s="20"/>
      <c r="R48" s="20"/>
      <c r="S48" s="20"/>
      <c r="T48" s="20"/>
      <c r="W48" s="24"/>
      <c r="X48" s="25"/>
      <c r="AE48" s="24"/>
      <c r="AF48" s="25"/>
    </row>
    <row r="49" spans="1:32" x14ac:dyDescent="0.25">
      <c r="A49" s="49">
        <v>41964</v>
      </c>
      <c r="B49" s="36">
        <v>27</v>
      </c>
      <c r="C49" s="50" t="s">
        <v>961</v>
      </c>
      <c r="D49" s="50"/>
      <c r="E49" s="51">
        <v>-2084.86</v>
      </c>
      <c r="F49" s="50" t="s">
        <v>889</v>
      </c>
      <c r="G49" t="s">
        <v>442</v>
      </c>
      <c r="H49" s="18" t="s">
        <v>442</v>
      </c>
      <c r="I49" s="3" t="s">
        <v>442</v>
      </c>
      <c r="J49"/>
      <c r="L49"/>
      <c r="M49"/>
      <c r="N49" s="52"/>
      <c r="O49" s="50"/>
      <c r="P49" s="20"/>
      <c r="Q49" s="20"/>
      <c r="R49" s="20"/>
      <c r="S49" s="20"/>
      <c r="T49" s="20" t="s">
        <v>401</v>
      </c>
      <c r="W49" s="24"/>
      <c r="X49" s="25"/>
      <c r="AE49" s="24"/>
      <c r="AF49" s="25"/>
    </row>
    <row r="50" spans="1:32" x14ac:dyDescent="0.25">
      <c r="A50" s="49">
        <v>41964</v>
      </c>
      <c r="B50" s="36">
        <v>27</v>
      </c>
      <c r="C50" s="50" t="s">
        <v>963</v>
      </c>
      <c r="D50" s="50"/>
      <c r="E50" s="51">
        <v>8021.8974999999982</v>
      </c>
      <c r="F50" s="50" t="s">
        <v>889</v>
      </c>
      <c r="G50" t="s">
        <v>442</v>
      </c>
      <c r="H50" s="18" t="s">
        <v>442</v>
      </c>
      <c r="I50" s="3" t="s">
        <v>442</v>
      </c>
      <c r="J50"/>
      <c r="L50"/>
      <c r="M50"/>
      <c r="N50" s="52" t="s">
        <v>401</v>
      </c>
      <c r="O50" s="50"/>
      <c r="P50" s="20"/>
      <c r="Q50" s="20"/>
      <c r="R50" s="20"/>
      <c r="S50" s="20"/>
      <c r="T50" s="20"/>
      <c r="W50" s="24"/>
      <c r="X50" s="25"/>
      <c r="AE50" s="24"/>
      <c r="AF50" s="25"/>
    </row>
    <row r="51" spans="1:32" x14ac:dyDescent="0.25">
      <c r="A51" s="49">
        <v>41964</v>
      </c>
      <c r="B51" s="36">
        <v>27</v>
      </c>
      <c r="C51" s="50" t="s">
        <v>964</v>
      </c>
      <c r="D51" s="50"/>
      <c r="E51" s="51">
        <v>-1096.43</v>
      </c>
      <c r="F51" s="50" t="s">
        <v>889</v>
      </c>
      <c r="G51" t="s">
        <v>442</v>
      </c>
      <c r="H51" s="18" t="s">
        <v>442</v>
      </c>
      <c r="I51" s="3" t="s">
        <v>442</v>
      </c>
      <c r="J51"/>
      <c r="L51"/>
      <c r="M51"/>
      <c r="N51" s="52" t="s">
        <v>401</v>
      </c>
      <c r="O51" s="50"/>
      <c r="P51" s="20"/>
      <c r="Q51" s="20"/>
      <c r="R51" s="20"/>
      <c r="S51" s="20"/>
      <c r="T51" s="20"/>
      <c r="W51" s="24"/>
      <c r="X51" s="25"/>
      <c r="AE51" s="24"/>
      <c r="AF51" s="25"/>
    </row>
    <row r="52" spans="1:32" x14ac:dyDescent="0.25">
      <c r="A52" s="49">
        <v>41964</v>
      </c>
      <c r="B52" s="36">
        <v>27</v>
      </c>
      <c r="C52" s="50" t="s">
        <v>965</v>
      </c>
      <c r="D52" s="50"/>
      <c r="E52" s="51">
        <v>-1000</v>
      </c>
      <c r="F52" s="50" t="s">
        <v>889</v>
      </c>
      <c r="G52" t="s">
        <v>442</v>
      </c>
      <c r="H52" s="18" t="s">
        <v>442</v>
      </c>
      <c r="I52" s="3" t="s">
        <v>442</v>
      </c>
      <c r="J52"/>
      <c r="L52"/>
      <c r="M52"/>
      <c r="N52" s="52" t="s">
        <v>401</v>
      </c>
      <c r="O52" s="50"/>
      <c r="P52" s="20"/>
      <c r="Q52" s="20"/>
      <c r="R52" s="20"/>
      <c r="S52" s="20"/>
      <c r="T52" s="20"/>
      <c r="W52" s="24"/>
      <c r="X52" s="25"/>
      <c r="AE52" s="24"/>
      <c r="AF52" s="25"/>
    </row>
    <row r="53" spans="1:32" x14ac:dyDescent="0.25">
      <c r="A53" s="49">
        <v>41978</v>
      </c>
      <c r="B53" s="36">
        <v>27</v>
      </c>
      <c r="C53" s="50" t="s">
        <v>966</v>
      </c>
      <c r="D53" s="50"/>
      <c r="E53" s="51">
        <v>2000</v>
      </c>
      <c r="F53" s="50" t="s">
        <v>889</v>
      </c>
      <c r="G53" t="s">
        <v>442</v>
      </c>
      <c r="H53" s="18" t="s">
        <v>442</v>
      </c>
      <c r="I53" s="3" t="s">
        <v>442</v>
      </c>
      <c r="J53"/>
      <c r="L53"/>
      <c r="M53"/>
      <c r="N53" s="52"/>
      <c r="O53" s="50"/>
      <c r="P53" s="20"/>
      <c r="Q53" s="20"/>
      <c r="R53" s="20"/>
      <c r="S53" s="20"/>
      <c r="T53" s="20" t="s">
        <v>401</v>
      </c>
      <c r="W53" s="24"/>
      <c r="X53" s="25"/>
      <c r="AE53" s="24"/>
      <c r="AF53" s="25"/>
    </row>
    <row r="54" spans="1:32" x14ac:dyDescent="0.25">
      <c r="A54" s="49">
        <v>41992</v>
      </c>
      <c r="B54" s="36">
        <v>27</v>
      </c>
      <c r="C54" s="50" t="s">
        <v>967</v>
      </c>
      <c r="D54" s="50"/>
      <c r="E54" s="51">
        <v>9196.9425000000065</v>
      </c>
      <c r="F54" s="50" t="s">
        <v>889</v>
      </c>
      <c r="G54" t="s">
        <v>442</v>
      </c>
      <c r="H54" s="18" t="s">
        <v>442</v>
      </c>
      <c r="I54" s="3" t="s">
        <v>442</v>
      </c>
      <c r="J54"/>
      <c r="L54"/>
      <c r="M54"/>
      <c r="N54" s="52" t="s">
        <v>401</v>
      </c>
      <c r="O54" s="50"/>
      <c r="P54" s="20"/>
      <c r="Q54" s="20"/>
      <c r="R54" s="20"/>
      <c r="S54" s="20"/>
      <c r="T54" s="20"/>
      <c r="W54" s="24"/>
      <c r="X54" s="25"/>
      <c r="AE54" s="24"/>
      <c r="AF54" s="25"/>
    </row>
    <row r="55" spans="1:32" x14ac:dyDescent="0.25">
      <c r="A55" s="49">
        <v>41992</v>
      </c>
      <c r="B55" s="36">
        <v>27</v>
      </c>
      <c r="C55" s="50" t="s">
        <v>968</v>
      </c>
      <c r="D55" s="50"/>
      <c r="E55" s="51">
        <v>0</v>
      </c>
      <c r="F55" s="50" t="s">
        <v>889</v>
      </c>
      <c r="G55" t="s">
        <v>442</v>
      </c>
      <c r="H55" s="18" t="s">
        <v>442</v>
      </c>
      <c r="I55" s="3" t="s">
        <v>442</v>
      </c>
      <c r="J55"/>
      <c r="L55"/>
      <c r="M55"/>
      <c r="N55" s="52" t="s">
        <v>401</v>
      </c>
      <c r="O55" s="50"/>
      <c r="P55" s="20"/>
      <c r="Q55" s="20"/>
      <c r="R55" s="20"/>
      <c r="S55" s="20"/>
      <c r="T55" s="20"/>
      <c r="W55" s="24"/>
      <c r="X55" s="25"/>
      <c r="AE55" s="24"/>
      <c r="AF55" s="25"/>
    </row>
    <row r="56" spans="1:32" x14ac:dyDescent="0.25">
      <c r="A56" s="49">
        <v>42019</v>
      </c>
      <c r="B56" s="36">
        <v>27</v>
      </c>
      <c r="C56" s="50" t="s">
        <v>969</v>
      </c>
      <c r="D56" s="53"/>
      <c r="E56" s="51">
        <v>5199.0200000000004</v>
      </c>
      <c r="F56" s="50"/>
      <c r="H56" s="18" t="s">
        <v>442</v>
      </c>
      <c r="I56" s="3" t="s">
        <v>442</v>
      </c>
      <c r="J56"/>
      <c r="L56"/>
      <c r="M56"/>
      <c r="N56" s="52" t="s">
        <v>401</v>
      </c>
      <c r="O56" s="50"/>
      <c r="P56" s="20"/>
      <c r="Q56" s="20"/>
      <c r="R56" s="20"/>
      <c r="S56" s="20"/>
      <c r="T56" s="20"/>
      <c r="W56" s="24"/>
      <c r="X56" s="25"/>
      <c r="AE56" s="24"/>
      <c r="AF56" s="25"/>
    </row>
    <row r="57" spans="1:32" x14ac:dyDescent="0.25">
      <c r="A57" s="49">
        <v>42019</v>
      </c>
      <c r="B57" s="36">
        <v>27</v>
      </c>
      <c r="C57" s="50" t="s">
        <v>575</v>
      </c>
      <c r="D57" s="53">
        <v>8.9250000000000007</v>
      </c>
      <c r="E57" s="51">
        <v>250</v>
      </c>
      <c r="F57" s="50" t="s">
        <v>889</v>
      </c>
      <c r="G57" t="s">
        <v>828</v>
      </c>
      <c r="H57" s="18">
        <v>250</v>
      </c>
      <c r="I57" s="3">
        <v>42019</v>
      </c>
      <c r="J57"/>
      <c r="L57"/>
      <c r="M57"/>
      <c r="N57" s="52"/>
      <c r="O57" s="50"/>
      <c r="P57" s="20"/>
      <c r="Q57" s="20"/>
      <c r="R57" s="20"/>
      <c r="S57" s="20"/>
      <c r="T57" s="20"/>
      <c r="W57" s="24"/>
      <c r="X57" s="25"/>
      <c r="AE57" s="24"/>
      <c r="AF57" s="25"/>
    </row>
    <row r="58" spans="1:32" x14ac:dyDescent="0.25">
      <c r="A58" s="49">
        <v>42027</v>
      </c>
      <c r="B58" s="36">
        <v>27</v>
      </c>
      <c r="C58" s="50" t="s">
        <v>575</v>
      </c>
      <c r="D58" s="53">
        <v>8.9250000000000007</v>
      </c>
      <c r="E58" s="51">
        <v>446.25000000000006</v>
      </c>
      <c r="F58" s="50" t="s">
        <v>889</v>
      </c>
      <c r="G58" t="s">
        <v>828</v>
      </c>
      <c r="H58" s="18">
        <v>446.25000000000006</v>
      </c>
      <c r="I58" s="3">
        <v>42027</v>
      </c>
      <c r="J58"/>
      <c r="L58"/>
      <c r="M58"/>
      <c r="N58" s="52"/>
      <c r="O58" s="50"/>
      <c r="P58" s="20"/>
      <c r="Q58" s="20"/>
      <c r="R58" s="20"/>
      <c r="S58" s="20"/>
      <c r="T58" s="20"/>
      <c r="W58" s="24"/>
      <c r="X58" s="25"/>
      <c r="AE58" s="24"/>
      <c r="AF58" s="25"/>
    </row>
    <row r="59" spans="1:32" x14ac:dyDescent="0.25">
      <c r="A59" s="49">
        <v>42027</v>
      </c>
      <c r="B59" s="36">
        <v>27</v>
      </c>
      <c r="C59" s="50" t="s">
        <v>575</v>
      </c>
      <c r="D59" s="53">
        <v>11.984999999999999</v>
      </c>
      <c r="E59" s="51">
        <v>599.25</v>
      </c>
      <c r="F59" s="50" t="s">
        <v>889</v>
      </c>
      <c r="G59" t="s">
        <v>665</v>
      </c>
      <c r="H59" s="18">
        <v>599.25</v>
      </c>
      <c r="I59" s="3">
        <v>42027</v>
      </c>
      <c r="J59"/>
      <c r="L59"/>
      <c r="M59"/>
      <c r="N59" s="52"/>
      <c r="O59" s="50"/>
      <c r="P59" s="20"/>
      <c r="Q59" s="20"/>
      <c r="R59" s="20"/>
      <c r="S59" s="20"/>
      <c r="T59" s="20"/>
      <c r="W59" s="24"/>
      <c r="X59" s="25"/>
      <c r="AE59" s="24"/>
      <c r="AF59" s="25"/>
    </row>
    <row r="60" spans="1:32" x14ac:dyDescent="0.25">
      <c r="A60" s="49">
        <v>42027</v>
      </c>
      <c r="B60" s="36">
        <v>27</v>
      </c>
      <c r="C60" s="50" t="s">
        <v>646</v>
      </c>
      <c r="D60" s="53">
        <v>13.78</v>
      </c>
      <c r="E60" s="51">
        <v>939</v>
      </c>
      <c r="F60" s="50" t="s">
        <v>889</v>
      </c>
      <c r="G60" t="s">
        <v>647</v>
      </c>
      <c r="H60" s="18">
        <v>939</v>
      </c>
      <c r="I60" s="3">
        <v>42027</v>
      </c>
      <c r="J60"/>
      <c r="L60"/>
      <c r="M60"/>
      <c r="N60" s="52"/>
      <c r="O60" s="50"/>
      <c r="P60" s="20"/>
      <c r="Q60" s="20"/>
      <c r="R60" s="20"/>
      <c r="S60" s="20"/>
      <c r="T60" s="20"/>
      <c r="W60" s="24"/>
      <c r="X60" s="25"/>
      <c r="AE60" s="24"/>
      <c r="AF60" s="25"/>
    </row>
    <row r="61" spans="1:32" x14ac:dyDescent="0.25">
      <c r="A61" s="37">
        <v>42027</v>
      </c>
      <c r="B61" s="36">
        <v>27</v>
      </c>
      <c r="C61" s="38" t="s">
        <v>970</v>
      </c>
      <c r="D61" s="38"/>
      <c r="E61" s="39">
        <v>4935.13</v>
      </c>
      <c r="F61" s="38"/>
      <c r="H61" s="18" t="s">
        <v>442</v>
      </c>
      <c r="I61" s="3" t="s">
        <v>442</v>
      </c>
      <c r="J61"/>
      <c r="L61"/>
      <c r="M61"/>
      <c r="N61" s="20" t="s">
        <v>401</v>
      </c>
      <c r="O61" s="38"/>
      <c r="P61" s="20"/>
      <c r="Q61" s="20"/>
      <c r="R61" s="20"/>
      <c r="S61" s="20"/>
      <c r="T61" s="20"/>
      <c r="W61" s="24"/>
      <c r="X61" s="25"/>
      <c r="AE61" s="24"/>
      <c r="AF61" s="25"/>
    </row>
    <row r="62" spans="1:32" x14ac:dyDescent="0.25">
      <c r="A62" s="37">
        <v>42027</v>
      </c>
      <c r="B62" s="36">
        <v>27</v>
      </c>
      <c r="C62" s="38" t="s">
        <v>640</v>
      </c>
      <c r="D62" s="54">
        <v>6.375</v>
      </c>
      <c r="E62" s="39">
        <v>568.75</v>
      </c>
      <c r="F62" s="38" t="s">
        <v>889</v>
      </c>
      <c r="G62" t="s">
        <v>641</v>
      </c>
      <c r="H62" s="18">
        <v>568.75</v>
      </c>
      <c r="I62" s="3">
        <v>42027</v>
      </c>
      <c r="J62"/>
      <c r="L62"/>
      <c r="M62"/>
      <c r="N62" s="40"/>
      <c r="O62" s="38"/>
      <c r="P62" s="20"/>
      <c r="Q62" s="20"/>
      <c r="R62" s="20"/>
      <c r="S62" s="20"/>
      <c r="T62" s="20"/>
      <c r="W62" s="24"/>
      <c r="X62" s="25"/>
      <c r="AE62" s="24"/>
      <c r="AF62" s="25"/>
    </row>
    <row r="63" spans="1:32" x14ac:dyDescent="0.25">
      <c r="A63" s="37">
        <v>42027</v>
      </c>
      <c r="B63" s="36">
        <v>27</v>
      </c>
      <c r="C63" s="38" t="s">
        <v>640</v>
      </c>
      <c r="D63" s="54">
        <v>6.375</v>
      </c>
      <c r="E63" s="39">
        <v>568.75</v>
      </c>
      <c r="F63" s="38" t="s">
        <v>889</v>
      </c>
      <c r="G63" t="s">
        <v>641</v>
      </c>
      <c r="H63" s="18">
        <v>568.75</v>
      </c>
      <c r="I63" s="3">
        <v>42027</v>
      </c>
      <c r="J63"/>
      <c r="L63"/>
      <c r="M63"/>
      <c r="N63" s="40"/>
      <c r="O63" s="38"/>
      <c r="P63" s="20"/>
      <c r="Q63" s="20"/>
      <c r="R63" s="20"/>
      <c r="S63" s="20"/>
      <c r="T63" s="20"/>
      <c r="W63" s="24"/>
      <c r="X63" s="25"/>
      <c r="AE63" s="24"/>
      <c r="AF63" s="25"/>
    </row>
    <row r="64" spans="1:32" x14ac:dyDescent="0.25">
      <c r="A64" s="3">
        <v>42034</v>
      </c>
      <c r="B64">
        <v>27</v>
      </c>
      <c r="C64" t="s">
        <v>575</v>
      </c>
      <c r="D64" s="19">
        <v>11.22</v>
      </c>
      <c r="E64" s="18">
        <v>250</v>
      </c>
      <c r="F64" s="23" t="s">
        <v>889</v>
      </c>
      <c r="G64" t="s">
        <v>576</v>
      </c>
      <c r="H64" s="18"/>
      <c r="J64"/>
      <c r="L64"/>
      <c r="M64"/>
      <c r="N64" s="20"/>
      <c r="O64"/>
      <c r="P64" s="20"/>
      <c r="Q64" s="20"/>
      <c r="R64" s="20"/>
      <c r="S64" s="20"/>
      <c r="T64" s="20"/>
      <c r="W64" s="24"/>
      <c r="X64" s="25"/>
      <c r="AE64" s="24"/>
      <c r="AF64" s="25"/>
    </row>
    <row r="65" spans="1:32" x14ac:dyDescent="0.25">
      <c r="B65">
        <v>27</v>
      </c>
      <c r="C65" t="s">
        <v>940</v>
      </c>
      <c r="E65" s="18">
        <v>-100</v>
      </c>
      <c r="F65" t="s">
        <v>971</v>
      </c>
      <c r="G65" t="s">
        <v>442</v>
      </c>
      <c r="I65"/>
      <c r="J65"/>
      <c r="L65"/>
      <c r="M65"/>
      <c r="O65"/>
      <c r="P65" s="20"/>
      <c r="Q65" s="20"/>
      <c r="R65" s="20"/>
      <c r="S65" s="20"/>
      <c r="T65" s="20"/>
      <c r="U65" t="s">
        <v>401</v>
      </c>
      <c r="W65" s="24"/>
      <c r="X65" s="25"/>
      <c r="AE65" s="24"/>
      <c r="AF65" s="25"/>
    </row>
    <row r="66" spans="1:32" x14ac:dyDescent="0.25">
      <c r="B66">
        <v>27</v>
      </c>
      <c r="C66" t="s">
        <v>955</v>
      </c>
      <c r="E66" s="18">
        <v>-500</v>
      </c>
      <c r="F66" t="s">
        <v>971</v>
      </c>
      <c r="G66" t="s">
        <v>442</v>
      </c>
      <c r="I66"/>
      <c r="J66"/>
      <c r="L66"/>
      <c r="M66"/>
      <c r="O66"/>
      <c r="P66" s="20"/>
      <c r="Q66" s="20"/>
      <c r="R66" s="20"/>
      <c r="S66" s="20"/>
      <c r="T66" s="20"/>
      <c r="U66" t="s">
        <v>401</v>
      </c>
      <c r="W66" s="24"/>
      <c r="X66" s="25"/>
      <c r="AE66" s="24"/>
      <c r="AF66" s="25"/>
    </row>
    <row r="67" spans="1:32" x14ac:dyDescent="0.25">
      <c r="B67">
        <v>27</v>
      </c>
      <c r="C67" t="s">
        <v>966</v>
      </c>
      <c r="E67" s="18">
        <v>-2000</v>
      </c>
      <c r="F67" t="s">
        <v>889</v>
      </c>
      <c r="G67" t="s">
        <v>442</v>
      </c>
      <c r="I67"/>
      <c r="J67"/>
      <c r="L67"/>
      <c r="M67"/>
      <c r="O67"/>
      <c r="P67" s="20"/>
      <c r="Q67" s="20"/>
      <c r="R67" s="20"/>
      <c r="S67" s="20"/>
      <c r="T67" s="20"/>
      <c r="U67" t="s">
        <v>401</v>
      </c>
      <c r="W67" s="24"/>
      <c r="X67" s="25"/>
      <c r="AE67" s="24"/>
      <c r="AF67" s="25"/>
    </row>
    <row r="68" spans="1:32" x14ac:dyDescent="0.25">
      <c r="B68">
        <v>27</v>
      </c>
      <c r="C68" t="s">
        <v>969</v>
      </c>
      <c r="E68" s="18">
        <v>1054.1100000000001</v>
      </c>
      <c r="I68"/>
      <c r="J68"/>
      <c r="L68"/>
      <c r="M68"/>
      <c r="O68"/>
      <c r="P68" s="20"/>
      <c r="Q68" s="20"/>
      <c r="R68" s="20"/>
      <c r="S68" s="20"/>
      <c r="T68" s="20"/>
      <c r="U68" t="s">
        <v>401</v>
      </c>
      <c r="W68" s="24"/>
      <c r="X68" s="25"/>
      <c r="AE68" s="24"/>
      <c r="AF68" s="25"/>
    </row>
    <row r="69" spans="1:32" x14ac:dyDescent="0.25">
      <c r="B69">
        <v>27</v>
      </c>
      <c r="C69" t="s">
        <v>894</v>
      </c>
      <c r="D69">
        <v>5.0999999999999996</v>
      </c>
      <c r="E69" s="18">
        <v>127.5</v>
      </c>
      <c r="G69" t="s">
        <v>895</v>
      </c>
      <c r="I69"/>
      <c r="J69"/>
      <c r="L69"/>
      <c r="M69"/>
      <c r="O69"/>
      <c r="P69" s="20"/>
      <c r="Q69" s="20"/>
      <c r="R69" s="20"/>
      <c r="S69" s="20"/>
      <c r="T69" s="20"/>
      <c r="U69" t="s">
        <v>401</v>
      </c>
      <c r="W69" s="24"/>
      <c r="X69" s="25"/>
      <c r="AE69" s="24"/>
      <c r="AF69" s="25"/>
    </row>
    <row r="70" spans="1:32" x14ac:dyDescent="0.25">
      <c r="B70">
        <v>27</v>
      </c>
      <c r="C70" t="s">
        <v>918</v>
      </c>
      <c r="D70">
        <v>5.61</v>
      </c>
      <c r="E70" s="18">
        <v>-701.25</v>
      </c>
      <c r="F70" t="s">
        <v>889</v>
      </c>
      <c r="G70" t="s">
        <v>919</v>
      </c>
      <c r="I70"/>
      <c r="J70"/>
      <c r="L70"/>
      <c r="M70"/>
      <c r="O70"/>
      <c r="P70" s="20"/>
      <c r="Q70" s="20"/>
      <c r="R70" s="20"/>
      <c r="S70" s="20"/>
      <c r="T70" s="20"/>
      <c r="U70" t="s">
        <v>401</v>
      </c>
      <c r="W70" s="24"/>
      <c r="X70" s="25"/>
      <c r="AE70" s="24"/>
      <c r="AF70" s="25"/>
    </row>
    <row r="71" spans="1:32" x14ac:dyDescent="0.25">
      <c r="B71">
        <v>27</v>
      </c>
      <c r="C71" t="s">
        <v>936</v>
      </c>
      <c r="D71">
        <v>6.12</v>
      </c>
      <c r="E71" s="18">
        <v>-612</v>
      </c>
      <c r="F71" t="s">
        <v>889</v>
      </c>
      <c r="G71" t="s">
        <v>937</v>
      </c>
      <c r="I71"/>
      <c r="J71"/>
      <c r="L71"/>
      <c r="M71"/>
      <c r="O71"/>
      <c r="P71" s="20"/>
      <c r="Q71" s="20"/>
      <c r="R71" s="20"/>
      <c r="S71" s="20"/>
      <c r="T71" s="20"/>
      <c r="U71" t="s">
        <v>401</v>
      </c>
      <c r="W71" s="24"/>
      <c r="X71" s="25"/>
      <c r="AE71" s="24"/>
      <c r="AF71" s="25"/>
    </row>
    <row r="72" spans="1:32" x14ac:dyDescent="0.25">
      <c r="B72">
        <v>27</v>
      </c>
      <c r="C72" t="s">
        <v>944</v>
      </c>
      <c r="D72">
        <v>5.5</v>
      </c>
      <c r="E72" s="18">
        <v>-550</v>
      </c>
      <c r="F72" t="s">
        <v>889</v>
      </c>
      <c r="G72" t="s">
        <v>945</v>
      </c>
      <c r="I72"/>
      <c r="J72"/>
      <c r="L72"/>
      <c r="M72"/>
      <c r="O72"/>
      <c r="P72" s="20"/>
      <c r="Q72" s="20"/>
      <c r="R72" s="20"/>
      <c r="S72" s="20"/>
      <c r="T72" s="20"/>
      <c r="U72" t="s">
        <v>401</v>
      </c>
      <c r="W72" s="24"/>
      <c r="X72" s="25"/>
      <c r="AE72" s="24"/>
      <c r="AF72" s="25"/>
    </row>
    <row r="73" spans="1:32" x14ac:dyDescent="0.25">
      <c r="B73">
        <v>27</v>
      </c>
      <c r="C73" t="s">
        <v>903</v>
      </c>
      <c r="D73">
        <v>5.0999999999999996</v>
      </c>
      <c r="E73" s="18">
        <v>-637</v>
      </c>
      <c r="F73" t="s">
        <v>889</v>
      </c>
      <c r="G73" t="s">
        <v>904</v>
      </c>
      <c r="I73"/>
      <c r="J73"/>
      <c r="L73"/>
      <c r="M73"/>
      <c r="O73"/>
      <c r="P73" s="20"/>
      <c r="Q73" s="20"/>
      <c r="R73" s="20"/>
      <c r="S73" s="20"/>
      <c r="T73" s="20"/>
      <c r="U73" t="s">
        <v>401</v>
      </c>
      <c r="W73" s="24"/>
      <c r="X73" s="25"/>
      <c r="AE73" s="24"/>
      <c r="AF73" s="25"/>
    </row>
    <row r="74" spans="1:32" x14ac:dyDescent="0.25">
      <c r="B74">
        <v>27</v>
      </c>
      <c r="C74" t="s">
        <v>897</v>
      </c>
      <c r="D74">
        <v>6.63</v>
      </c>
      <c r="E74" s="18">
        <v>-828.75</v>
      </c>
      <c r="F74" t="s">
        <v>889</v>
      </c>
      <c r="G74" t="s">
        <v>898</v>
      </c>
      <c r="I74"/>
      <c r="J74"/>
      <c r="L74"/>
      <c r="M74"/>
      <c r="O74"/>
      <c r="P74" s="20"/>
      <c r="Q74" s="20"/>
      <c r="R74" s="20"/>
      <c r="S74" s="20"/>
      <c r="T74" s="20"/>
      <c r="U74" t="s">
        <v>401</v>
      </c>
      <c r="W74" s="24"/>
      <c r="X74" s="25"/>
      <c r="AE74" s="24"/>
      <c r="AF74" s="25"/>
    </row>
    <row r="75" spans="1:32" x14ac:dyDescent="0.25">
      <c r="B75">
        <v>27</v>
      </c>
      <c r="C75" t="s">
        <v>920</v>
      </c>
      <c r="D75">
        <v>3.06</v>
      </c>
      <c r="E75" s="18">
        <v>-382.5</v>
      </c>
      <c r="F75" t="s">
        <v>889</v>
      </c>
      <c r="G75" t="s">
        <v>921</v>
      </c>
      <c r="I75"/>
      <c r="J75"/>
      <c r="L75"/>
      <c r="M75"/>
      <c r="O75"/>
      <c r="P75" s="20"/>
      <c r="Q75" s="20"/>
      <c r="R75" s="20"/>
      <c r="S75" s="20"/>
      <c r="T75" s="20"/>
      <c r="U75" t="s">
        <v>401</v>
      </c>
      <c r="W75" s="24"/>
      <c r="X75" s="25"/>
      <c r="AE75" s="24"/>
      <c r="AF75" s="25"/>
    </row>
    <row r="76" spans="1:32" x14ac:dyDescent="0.25">
      <c r="A76" s="38"/>
      <c r="B76">
        <v>27</v>
      </c>
      <c r="C76" s="38" t="s">
        <v>951</v>
      </c>
      <c r="D76" s="38">
        <v>12</v>
      </c>
      <c r="E76" s="39">
        <v>-1200</v>
      </c>
      <c r="F76" s="38" t="s">
        <v>889</v>
      </c>
      <c r="G76" t="s">
        <v>952</v>
      </c>
      <c r="I76"/>
      <c r="J76"/>
      <c r="L76"/>
      <c r="M76"/>
      <c r="N76" s="38"/>
      <c r="O76" s="38"/>
      <c r="P76" s="20"/>
      <c r="Q76" s="20"/>
      <c r="R76" s="20"/>
      <c r="S76" s="20"/>
      <c r="T76" s="20"/>
      <c r="U76" t="s">
        <v>401</v>
      </c>
      <c r="W76" s="24"/>
      <c r="X76" s="25"/>
      <c r="AE76" s="24"/>
      <c r="AF76" s="25"/>
    </row>
    <row r="77" spans="1:32" x14ac:dyDescent="0.25">
      <c r="A77" s="38"/>
      <c r="B77">
        <v>27</v>
      </c>
      <c r="C77" s="38" t="s">
        <v>906</v>
      </c>
      <c r="D77" s="38">
        <v>6.12</v>
      </c>
      <c r="E77" s="39">
        <v>-765</v>
      </c>
      <c r="F77" s="38" t="s">
        <v>889</v>
      </c>
      <c r="G77" t="s">
        <v>907</v>
      </c>
      <c r="I77"/>
      <c r="J77"/>
      <c r="L77"/>
      <c r="M77"/>
      <c r="N77" s="38"/>
      <c r="O77" s="38"/>
      <c r="P77" s="20"/>
      <c r="Q77" s="20"/>
      <c r="R77" s="20"/>
      <c r="S77" s="20"/>
      <c r="T77" s="20"/>
      <c r="U77" t="s">
        <v>401</v>
      </c>
      <c r="W77" s="24"/>
      <c r="X77" s="25"/>
      <c r="AE77" s="24"/>
      <c r="AF77" s="25"/>
    </row>
    <row r="78" spans="1:32" x14ac:dyDescent="0.25">
      <c r="A78" s="38"/>
      <c r="B78">
        <v>27</v>
      </c>
      <c r="C78" s="38" t="s">
        <v>938</v>
      </c>
      <c r="D78" s="38">
        <v>8.67</v>
      </c>
      <c r="E78" s="39">
        <v>-867</v>
      </c>
      <c r="F78" s="38" t="s">
        <v>889</v>
      </c>
      <c r="G78" t="s">
        <v>939</v>
      </c>
      <c r="I78"/>
      <c r="J78"/>
      <c r="L78"/>
      <c r="M78"/>
      <c r="N78" s="38"/>
      <c r="O78" s="38"/>
      <c r="P78" s="20"/>
      <c r="Q78" s="20"/>
      <c r="R78" s="20"/>
      <c r="S78" s="20"/>
      <c r="T78" s="20"/>
      <c r="U78" t="s">
        <v>401</v>
      </c>
      <c r="W78" s="24"/>
      <c r="X78" s="25"/>
      <c r="AE78" s="24"/>
      <c r="AF78" s="25"/>
    </row>
    <row r="79" spans="1:32" x14ac:dyDescent="0.25">
      <c r="A79" s="38"/>
      <c r="B79">
        <v>27</v>
      </c>
      <c r="C79" s="38" t="s">
        <v>901</v>
      </c>
      <c r="D79" s="38">
        <v>5.61</v>
      </c>
      <c r="E79" s="39">
        <v>-701.25</v>
      </c>
      <c r="F79" s="38" t="s">
        <v>889</v>
      </c>
      <c r="G79" t="s">
        <v>902</v>
      </c>
      <c r="I79"/>
      <c r="J79"/>
      <c r="L79"/>
      <c r="M79"/>
      <c r="N79" s="38"/>
      <c r="O79" s="38"/>
      <c r="P79" s="20"/>
      <c r="Q79" s="20"/>
      <c r="R79" s="20"/>
      <c r="S79" s="20"/>
      <c r="T79" s="20"/>
      <c r="U79" t="s">
        <v>401</v>
      </c>
      <c r="W79" s="24"/>
      <c r="X79" s="25"/>
      <c r="AE79" s="24"/>
      <c r="AF79" s="25"/>
    </row>
    <row r="80" spans="1:32" x14ac:dyDescent="0.25">
      <c r="B80">
        <v>27</v>
      </c>
      <c r="C80" t="s">
        <v>924</v>
      </c>
      <c r="D80">
        <v>4.8449999999999998</v>
      </c>
      <c r="E80" s="18">
        <v>-605.63</v>
      </c>
      <c r="F80" t="s">
        <v>889</v>
      </c>
      <c r="G80" t="s">
        <v>925</v>
      </c>
      <c r="I80"/>
      <c r="J80"/>
      <c r="L80"/>
      <c r="M80"/>
      <c r="O80"/>
      <c r="P80" s="20"/>
      <c r="Q80" s="20"/>
      <c r="R80" s="20"/>
      <c r="S80" s="20"/>
      <c r="T80" s="20"/>
      <c r="U80" t="s">
        <v>401</v>
      </c>
      <c r="W80" s="24"/>
      <c r="X80" s="25"/>
      <c r="AE80" s="24"/>
      <c r="AF80" s="25"/>
    </row>
    <row r="81" spans="1:32" x14ac:dyDescent="0.25">
      <c r="B81">
        <v>27</v>
      </c>
      <c r="C81" t="s">
        <v>972</v>
      </c>
      <c r="E81" s="18">
        <v>1096.43</v>
      </c>
      <c r="G81" t="s">
        <v>442</v>
      </c>
      <c r="I81"/>
      <c r="J81"/>
      <c r="L81"/>
      <c r="M81"/>
      <c r="O81"/>
      <c r="P81" s="20"/>
      <c r="Q81" s="20"/>
      <c r="R81" s="20"/>
      <c r="S81" s="20"/>
      <c r="T81" s="20"/>
      <c r="U81" t="s">
        <v>401</v>
      </c>
      <c r="W81" s="24"/>
      <c r="X81" s="25"/>
      <c r="AE81" s="24"/>
      <c r="AF81" s="25"/>
    </row>
    <row r="82" spans="1:32" x14ac:dyDescent="0.25">
      <c r="B82">
        <v>27</v>
      </c>
      <c r="C82" t="s">
        <v>973</v>
      </c>
      <c r="E82" s="18">
        <v>1000</v>
      </c>
      <c r="G82" t="s">
        <v>442</v>
      </c>
      <c r="I82"/>
      <c r="J82"/>
      <c r="L82"/>
      <c r="M82"/>
      <c r="O82"/>
      <c r="P82" s="20"/>
      <c r="Q82" s="20"/>
      <c r="R82" s="20"/>
      <c r="S82" s="20"/>
      <c r="T82" s="20"/>
      <c r="U82" t="s">
        <v>401</v>
      </c>
      <c r="W82" s="24"/>
      <c r="X82" s="25"/>
      <c r="AE82" s="24"/>
      <c r="AF82" s="25"/>
    </row>
    <row r="83" spans="1:32" x14ac:dyDescent="0.25">
      <c r="B83">
        <v>27</v>
      </c>
      <c r="C83" t="s">
        <v>974</v>
      </c>
      <c r="E83" s="18">
        <v>132.08333333333334</v>
      </c>
      <c r="I83"/>
      <c r="J83"/>
      <c r="L83"/>
      <c r="M83"/>
      <c r="O83"/>
      <c r="P83" s="20"/>
      <c r="Q83" s="20"/>
      <c r="R83" s="20"/>
      <c r="S83" s="20"/>
      <c r="T83" s="20"/>
      <c r="U83" t="s">
        <v>401</v>
      </c>
      <c r="W83" s="24"/>
      <c r="X83" s="25"/>
      <c r="AE83" s="24"/>
      <c r="AF83" s="25"/>
    </row>
    <row r="84" spans="1:32" x14ac:dyDescent="0.25">
      <c r="B84">
        <v>27</v>
      </c>
      <c r="C84" t="s">
        <v>899</v>
      </c>
      <c r="D84">
        <v>4.08</v>
      </c>
      <c r="E84" s="18">
        <v>-510</v>
      </c>
      <c r="F84" t="s">
        <v>889</v>
      </c>
      <c r="G84" t="s">
        <v>900</v>
      </c>
      <c r="I84"/>
      <c r="J84"/>
      <c r="L84"/>
      <c r="M84"/>
      <c r="O84"/>
      <c r="P84" s="20"/>
      <c r="Q84" s="20"/>
      <c r="R84" s="20"/>
      <c r="S84" s="20"/>
      <c r="T84" s="20"/>
      <c r="U84" t="s">
        <v>401</v>
      </c>
      <c r="W84" s="24"/>
      <c r="X84" s="25"/>
      <c r="AE84" s="24"/>
      <c r="AF84" s="25"/>
    </row>
    <row r="85" spans="1:32" x14ac:dyDescent="0.25">
      <c r="B85">
        <v>27</v>
      </c>
      <c r="C85" t="s">
        <v>913</v>
      </c>
      <c r="D85">
        <v>2.2949999999999999</v>
      </c>
      <c r="E85" s="18">
        <v>114.745</v>
      </c>
      <c r="F85" t="s">
        <v>889</v>
      </c>
      <c r="G85" t="s">
        <v>914</v>
      </c>
      <c r="I85"/>
      <c r="J85"/>
      <c r="L85"/>
      <c r="M85"/>
      <c r="O85"/>
      <c r="P85" s="20"/>
      <c r="Q85" s="20"/>
      <c r="R85" s="20"/>
      <c r="S85" s="20"/>
      <c r="T85" s="20"/>
      <c r="U85" t="s">
        <v>401</v>
      </c>
      <c r="W85" s="24"/>
      <c r="X85" s="25"/>
      <c r="AE85" s="24"/>
      <c r="AF85" s="25"/>
    </row>
    <row r="86" spans="1:32" x14ac:dyDescent="0.25">
      <c r="A86" s="3">
        <v>41775</v>
      </c>
      <c r="B86" s="36">
        <v>28</v>
      </c>
      <c r="C86" t="s">
        <v>975</v>
      </c>
      <c r="D86">
        <v>9.9450000000000003</v>
      </c>
      <c r="E86" s="18">
        <v>994.5</v>
      </c>
      <c r="G86" t="s">
        <v>976</v>
      </c>
      <c r="H86" s="18">
        <v>994.5</v>
      </c>
      <c r="I86" s="3">
        <v>41775</v>
      </c>
      <c r="J86"/>
      <c r="L86"/>
      <c r="M86"/>
      <c r="N86" s="20"/>
      <c r="O86"/>
      <c r="P86" s="20"/>
      <c r="Q86" s="20"/>
      <c r="R86" s="20"/>
      <c r="S86" s="20"/>
      <c r="T86" s="20"/>
      <c r="W86" s="24"/>
      <c r="X86" s="25"/>
      <c r="AE86" s="24"/>
      <c r="AF86" s="25"/>
    </row>
    <row r="87" spans="1:32" x14ac:dyDescent="0.25">
      <c r="A87" s="3">
        <v>41775</v>
      </c>
      <c r="B87" s="36">
        <v>28</v>
      </c>
      <c r="C87" t="s">
        <v>977</v>
      </c>
      <c r="D87">
        <v>10.71</v>
      </c>
      <c r="E87" s="18">
        <v>1071</v>
      </c>
      <c r="G87" t="s">
        <v>978</v>
      </c>
      <c r="H87" s="18">
        <v>1071</v>
      </c>
      <c r="I87" s="3">
        <v>41775</v>
      </c>
      <c r="J87"/>
      <c r="L87"/>
      <c r="M87"/>
      <c r="N87" s="20"/>
      <c r="O87"/>
      <c r="P87" s="20"/>
      <c r="Q87" s="20"/>
      <c r="R87" s="20"/>
      <c r="S87" s="20"/>
      <c r="T87" s="20"/>
      <c r="W87" s="24"/>
      <c r="X87" s="25"/>
      <c r="AE87" s="24"/>
      <c r="AF87" s="25"/>
    </row>
    <row r="88" spans="1:32" x14ac:dyDescent="0.25">
      <c r="A88" s="3">
        <v>41775</v>
      </c>
      <c r="B88" s="36">
        <v>28</v>
      </c>
      <c r="C88" t="s">
        <v>979</v>
      </c>
      <c r="D88">
        <v>2.5499999999999998</v>
      </c>
      <c r="E88" s="18">
        <v>254.99999999999997</v>
      </c>
      <c r="G88" t="s">
        <v>980</v>
      </c>
      <c r="H88" s="18">
        <v>254.99999999999997</v>
      </c>
      <c r="I88" s="3">
        <v>41775</v>
      </c>
      <c r="J88"/>
      <c r="L88"/>
      <c r="M88"/>
      <c r="N88" s="20"/>
      <c r="O88"/>
      <c r="P88" s="20"/>
      <c r="Q88" s="20"/>
      <c r="R88" s="20"/>
      <c r="S88" s="20"/>
      <c r="T88" s="20"/>
      <c r="W88" s="24"/>
      <c r="X88" s="25"/>
      <c r="AE88" s="24"/>
      <c r="AF88" s="25"/>
    </row>
    <row r="89" spans="1:32" x14ac:dyDescent="0.25">
      <c r="A89" s="3">
        <v>41775</v>
      </c>
      <c r="B89" s="36">
        <v>28</v>
      </c>
      <c r="C89" t="s">
        <v>981</v>
      </c>
      <c r="D89">
        <v>6.63</v>
      </c>
      <c r="E89" s="18">
        <v>663</v>
      </c>
      <c r="G89" t="s">
        <v>982</v>
      </c>
      <c r="H89" s="18">
        <v>663</v>
      </c>
      <c r="I89" s="3">
        <v>41775</v>
      </c>
      <c r="J89"/>
      <c r="L89"/>
      <c r="M89"/>
      <c r="N89" s="20"/>
      <c r="O89"/>
      <c r="P89" s="20"/>
      <c r="Q89" s="20"/>
      <c r="R89" s="20"/>
      <c r="S89" s="20"/>
      <c r="T89" s="20"/>
      <c r="W89" s="24"/>
      <c r="X89" s="25"/>
      <c r="AE89" s="24"/>
      <c r="AF89" s="25"/>
    </row>
    <row r="90" spans="1:32" x14ac:dyDescent="0.25">
      <c r="A90" s="3">
        <v>41782</v>
      </c>
      <c r="B90" s="36">
        <v>28</v>
      </c>
      <c r="C90" t="s">
        <v>983</v>
      </c>
      <c r="D90">
        <v>3.3149999999999999</v>
      </c>
      <c r="E90" s="18">
        <v>331.5</v>
      </c>
      <c r="G90" t="s">
        <v>984</v>
      </c>
      <c r="H90" s="18">
        <v>331.5</v>
      </c>
      <c r="I90" s="3">
        <v>41782</v>
      </c>
      <c r="J90"/>
      <c r="L90"/>
      <c r="M90"/>
      <c r="N90" s="20"/>
      <c r="O90"/>
      <c r="P90" s="20"/>
      <c r="Q90" s="20"/>
      <c r="R90" s="20"/>
      <c r="S90" s="20"/>
      <c r="T90" s="20"/>
      <c r="W90" s="24"/>
      <c r="X90" s="25"/>
      <c r="AE90" s="24"/>
      <c r="AF90" s="25"/>
    </row>
    <row r="91" spans="1:32" x14ac:dyDescent="0.25">
      <c r="A91" s="3">
        <v>41789</v>
      </c>
      <c r="B91" s="36">
        <v>28</v>
      </c>
      <c r="C91" t="s">
        <v>985</v>
      </c>
      <c r="D91">
        <v>5.0999999999999996</v>
      </c>
      <c r="E91" s="18">
        <v>509.99999999999994</v>
      </c>
      <c r="G91" t="s">
        <v>986</v>
      </c>
      <c r="H91" s="18">
        <v>509.99999999999994</v>
      </c>
      <c r="I91" s="3">
        <v>41789</v>
      </c>
      <c r="J91"/>
      <c r="L91"/>
      <c r="M91"/>
      <c r="N91" s="20"/>
      <c r="O91"/>
      <c r="P91" s="20"/>
      <c r="Q91" s="20"/>
      <c r="R91" s="20"/>
      <c r="S91" s="20"/>
      <c r="T91" s="20"/>
      <c r="W91" s="24"/>
      <c r="X91" s="25"/>
      <c r="AE91" s="24"/>
      <c r="AF91" s="25"/>
    </row>
    <row r="92" spans="1:32" x14ac:dyDescent="0.25">
      <c r="A92" s="3">
        <v>41796</v>
      </c>
      <c r="B92" s="36">
        <v>28</v>
      </c>
      <c r="C92" t="s">
        <v>987</v>
      </c>
      <c r="D92">
        <v>2.8050000000000002</v>
      </c>
      <c r="E92" s="18">
        <v>280.5</v>
      </c>
      <c r="G92" t="s">
        <v>988</v>
      </c>
      <c r="H92" s="18">
        <v>280.5</v>
      </c>
      <c r="I92" s="3">
        <v>41796</v>
      </c>
      <c r="J92"/>
      <c r="L92"/>
      <c r="M92"/>
      <c r="N92" s="20"/>
      <c r="O92" t="s">
        <v>905</v>
      </c>
      <c r="P92" s="20"/>
      <c r="Q92" s="20"/>
      <c r="R92" s="20"/>
      <c r="S92" s="20"/>
      <c r="T92" s="20"/>
      <c r="W92" s="24"/>
      <c r="X92" s="25"/>
      <c r="AE92" s="24"/>
      <c r="AF92" s="25"/>
    </row>
    <row r="93" spans="1:32" x14ac:dyDescent="0.25">
      <c r="A93" s="3">
        <v>41796</v>
      </c>
      <c r="B93" s="36">
        <v>28</v>
      </c>
      <c r="C93" t="s">
        <v>989</v>
      </c>
      <c r="D93">
        <v>3.8250000000000002</v>
      </c>
      <c r="E93" s="18">
        <v>382.5</v>
      </c>
      <c r="G93" t="s">
        <v>990</v>
      </c>
      <c r="H93" s="18">
        <v>382.5</v>
      </c>
      <c r="I93" s="3">
        <v>41796</v>
      </c>
      <c r="J93"/>
      <c r="L93"/>
      <c r="M93"/>
      <c r="N93" s="20"/>
      <c r="O93" t="s">
        <v>905</v>
      </c>
      <c r="P93" s="20"/>
      <c r="Q93" s="20"/>
      <c r="R93" s="20"/>
      <c r="S93" s="20"/>
      <c r="T93" s="20"/>
      <c r="W93" s="24"/>
      <c r="X93" s="25"/>
      <c r="AE93" s="24"/>
      <c r="AF93" s="25"/>
    </row>
    <row r="94" spans="1:32" x14ac:dyDescent="0.25">
      <c r="A94" s="3">
        <v>41803</v>
      </c>
      <c r="B94" s="36">
        <v>28</v>
      </c>
      <c r="C94" t="s">
        <v>991</v>
      </c>
      <c r="D94">
        <v>6.8849999999999998</v>
      </c>
      <c r="E94" s="18">
        <v>688.5</v>
      </c>
      <c r="G94" t="s">
        <v>992</v>
      </c>
      <c r="H94" s="18">
        <v>688.5</v>
      </c>
      <c r="I94" s="3">
        <v>41803</v>
      </c>
      <c r="J94"/>
      <c r="L94"/>
      <c r="M94"/>
      <c r="N94" s="20"/>
      <c r="O94" t="s">
        <v>931</v>
      </c>
      <c r="P94" s="20"/>
      <c r="Q94" s="20"/>
      <c r="R94" s="20"/>
      <c r="S94" s="20"/>
      <c r="T94" s="20"/>
      <c r="W94" s="24"/>
      <c r="X94" s="25"/>
      <c r="AE94" s="24"/>
      <c r="AF94" s="25"/>
    </row>
    <row r="95" spans="1:32" x14ac:dyDescent="0.25">
      <c r="A95" s="3">
        <v>41823</v>
      </c>
      <c r="B95" s="36">
        <v>28</v>
      </c>
      <c r="C95" t="s">
        <v>993</v>
      </c>
      <c r="D95">
        <v>3.3149999999999999</v>
      </c>
      <c r="E95" s="18">
        <v>331.5</v>
      </c>
      <c r="G95" t="s">
        <v>994</v>
      </c>
      <c r="H95" s="18">
        <v>331.5</v>
      </c>
      <c r="I95" s="3">
        <v>41823</v>
      </c>
      <c r="J95"/>
      <c r="L95"/>
      <c r="M95"/>
      <c r="N95" s="20"/>
      <c r="O95" t="s">
        <v>905</v>
      </c>
      <c r="P95" s="20"/>
      <c r="Q95" s="20"/>
      <c r="R95" s="20"/>
      <c r="S95" s="20"/>
      <c r="T95" s="20"/>
      <c r="W95" s="24"/>
      <c r="X95" s="25"/>
      <c r="AE95" s="24"/>
      <c r="AF95" s="25"/>
    </row>
    <row r="96" spans="1:32" x14ac:dyDescent="0.25">
      <c r="A96" s="3">
        <v>41823</v>
      </c>
      <c r="B96" s="36">
        <v>28</v>
      </c>
      <c r="C96" t="s">
        <v>975</v>
      </c>
      <c r="D96">
        <v>9.9450000000000003</v>
      </c>
      <c r="E96" s="18">
        <v>-994.5</v>
      </c>
      <c r="G96" t="s">
        <v>976</v>
      </c>
      <c r="H96" s="18" t="s">
        <v>442</v>
      </c>
      <c r="I96" s="3" t="s">
        <v>442</v>
      </c>
      <c r="J96"/>
      <c r="L96"/>
      <c r="M96"/>
      <c r="N96" s="20"/>
      <c r="O96" t="s">
        <v>995</v>
      </c>
      <c r="P96" s="20"/>
      <c r="Q96" s="20"/>
      <c r="R96" s="20"/>
      <c r="S96" s="20"/>
      <c r="T96" s="20"/>
      <c r="W96" s="24"/>
      <c r="X96" s="25"/>
      <c r="AE96" s="24"/>
      <c r="AF96" s="25"/>
    </row>
    <row r="97" spans="1:32" x14ac:dyDescent="0.25">
      <c r="A97" s="3">
        <v>41823</v>
      </c>
      <c r="B97" s="36">
        <v>28</v>
      </c>
      <c r="C97" t="s">
        <v>996</v>
      </c>
      <c r="D97">
        <v>10.965</v>
      </c>
      <c r="E97" s="18">
        <v>1096.5</v>
      </c>
      <c r="G97" t="s">
        <v>997</v>
      </c>
      <c r="H97" s="18">
        <v>1096.5</v>
      </c>
      <c r="I97" s="3">
        <v>41823</v>
      </c>
      <c r="J97"/>
      <c r="L97"/>
      <c r="M97"/>
      <c r="N97" s="20"/>
      <c r="O97" t="s">
        <v>931</v>
      </c>
      <c r="P97" s="20"/>
      <c r="Q97" s="20"/>
      <c r="R97" s="20"/>
      <c r="S97" s="20"/>
      <c r="T97" s="20"/>
      <c r="W97" s="24"/>
      <c r="X97" s="25"/>
      <c r="AE97" s="24"/>
      <c r="AF97" s="25"/>
    </row>
    <row r="98" spans="1:32" x14ac:dyDescent="0.25">
      <c r="A98" s="3">
        <v>41841</v>
      </c>
      <c r="B98" s="36">
        <v>28</v>
      </c>
      <c r="C98" t="s">
        <v>998</v>
      </c>
      <c r="D98">
        <v>8.4149999999999991</v>
      </c>
      <c r="E98" s="18">
        <v>841.49999999999989</v>
      </c>
      <c r="G98" t="s">
        <v>999</v>
      </c>
      <c r="H98" s="18">
        <v>841.49999999999989</v>
      </c>
      <c r="I98" s="3">
        <v>41841</v>
      </c>
      <c r="J98"/>
      <c r="L98"/>
      <c r="M98"/>
      <c r="N98" s="20"/>
      <c r="O98" t="s">
        <v>931</v>
      </c>
      <c r="P98" s="20"/>
      <c r="Q98" s="20"/>
      <c r="R98" s="20"/>
      <c r="S98" s="20"/>
      <c r="T98" s="20"/>
      <c r="W98" s="24"/>
      <c r="X98" s="25"/>
      <c r="AE98" s="24"/>
      <c r="AF98" s="25"/>
    </row>
    <row r="99" spans="1:32" x14ac:dyDescent="0.25">
      <c r="A99" s="3">
        <v>41841</v>
      </c>
      <c r="B99" s="36">
        <v>28</v>
      </c>
      <c r="C99" t="s">
        <v>1000</v>
      </c>
      <c r="D99">
        <v>2.75</v>
      </c>
      <c r="E99" s="18">
        <v>275</v>
      </c>
      <c r="G99" t="s">
        <v>1001</v>
      </c>
      <c r="H99" s="18">
        <v>275</v>
      </c>
      <c r="I99" s="3">
        <v>41841</v>
      </c>
      <c r="J99"/>
      <c r="L99"/>
      <c r="M99"/>
      <c r="N99" s="20"/>
      <c r="O99" t="s">
        <v>931</v>
      </c>
      <c r="P99" s="20"/>
      <c r="Q99" s="20"/>
      <c r="R99" s="20"/>
      <c r="S99" s="20"/>
      <c r="T99" s="20"/>
      <c r="W99" s="24"/>
      <c r="X99" s="25"/>
      <c r="AE99" s="24"/>
      <c r="AF99" s="25"/>
    </row>
    <row r="100" spans="1:32" x14ac:dyDescent="0.25">
      <c r="A100" s="3">
        <v>41845</v>
      </c>
      <c r="B100" s="36">
        <v>28</v>
      </c>
      <c r="C100" t="s">
        <v>1002</v>
      </c>
      <c r="D100">
        <v>8</v>
      </c>
      <c r="E100" s="18">
        <v>800</v>
      </c>
      <c r="G100" t="s">
        <v>1003</v>
      </c>
      <c r="H100" s="18">
        <v>800</v>
      </c>
      <c r="I100" s="3">
        <v>41845</v>
      </c>
      <c r="J100"/>
      <c r="L100"/>
      <c r="M100"/>
      <c r="N100" s="20"/>
      <c r="O100" t="s">
        <v>1004</v>
      </c>
      <c r="P100" s="20"/>
      <c r="Q100" s="20"/>
      <c r="R100" s="20"/>
      <c r="S100" s="20"/>
      <c r="T100" s="20"/>
      <c r="W100" s="24"/>
      <c r="X100" s="25"/>
      <c r="AE100" s="24"/>
      <c r="AF100" s="25"/>
    </row>
    <row r="101" spans="1:32" x14ac:dyDescent="0.25">
      <c r="A101" s="3">
        <v>41845</v>
      </c>
      <c r="B101" s="36">
        <v>28</v>
      </c>
      <c r="C101" t="s">
        <v>1005</v>
      </c>
      <c r="D101">
        <v>3.75</v>
      </c>
      <c r="E101" s="18">
        <v>375</v>
      </c>
      <c r="G101" t="s">
        <v>1006</v>
      </c>
      <c r="H101" s="18">
        <v>375</v>
      </c>
      <c r="I101" s="3">
        <v>41845</v>
      </c>
      <c r="J101"/>
      <c r="L101"/>
      <c r="M101"/>
      <c r="N101" s="20"/>
      <c r="O101" t="s">
        <v>1004</v>
      </c>
      <c r="P101" s="20"/>
      <c r="Q101" s="20"/>
      <c r="R101" s="20"/>
      <c r="S101" s="20"/>
      <c r="T101" s="20"/>
      <c r="W101" s="24"/>
      <c r="X101" s="25"/>
      <c r="AE101" s="24"/>
      <c r="AF101" s="25"/>
    </row>
    <row r="102" spans="1:32" x14ac:dyDescent="0.25">
      <c r="A102" s="3">
        <v>41851</v>
      </c>
      <c r="B102" s="36">
        <v>28</v>
      </c>
      <c r="C102" t="s">
        <v>1007</v>
      </c>
      <c r="D102">
        <v>6.75</v>
      </c>
      <c r="E102" s="18">
        <v>675</v>
      </c>
      <c r="F102" t="s">
        <v>889</v>
      </c>
      <c r="G102" t="s">
        <v>1008</v>
      </c>
      <c r="H102" s="18">
        <v>675</v>
      </c>
      <c r="I102" s="3">
        <v>41851</v>
      </c>
      <c r="J102"/>
      <c r="L102"/>
      <c r="M102"/>
      <c r="N102" s="20"/>
      <c r="O102" t="s">
        <v>1009</v>
      </c>
      <c r="P102" s="20"/>
      <c r="Q102" s="20"/>
      <c r="R102" s="20"/>
      <c r="S102" s="20"/>
      <c r="T102" s="20"/>
      <c r="W102" s="24"/>
      <c r="X102" s="25"/>
      <c r="AE102" s="24"/>
      <c r="AF102" s="25"/>
    </row>
    <row r="103" spans="1:32" x14ac:dyDescent="0.25">
      <c r="A103" s="3">
        <v>41866</v>
      </c>
      <c r="B103" s="36">
        <v>28</v>
      </c>
      <c r="C103" t="s">
        <v>1010</v>
      </c>
      <c r="E103" s="18">
        <v>500</v>
      </c>
      <c r="G103" t="s">
        <v>442</v>
      </c>
      <c r="H103" s="18" t="s">
        <v>442</v>
      </c>
      <c r="I103" s="3" t="s">
        <v>442</v>
      </c>
      <c r="J103"/>
      <c r="L103"/>
      <c r="M103"/>
      <c r="N103" s="20"/>
      <c r="O103"/>
      <c r="P103" s="20"/>
      <c r="Q103" s="20"/>
      <c r="R103" s="20"/>
      <c r="S103" s="20"/>
      <c r="T103" s="20" t="s">
        <v>401</v>
      </c>
      <c r="W103" s="24"/>
      <c r="X103" s="25"/>
      <c r="AE103" s="24"/>
      <c r="AF103" s="25"/>
    </row>
    <row r="104" spans="1:32" x14ac:dyDescent="0.25">
      <c r="A104" s="37">
        <v>41873</v>
      </c>
      <c r="B104" s="36">
        <v>28</v>
      </c>
      <c r="C104" s="38" t="s">
        <v>1011</v>
      </c>
      <c r="D104" s="38">
        <v>12.25</v>
      </c>
      <c r="E104" s="39">
        <v>1225</v>
      </c>
      <c r="F104" s="38" t="s">
        <v>889</v>
      </c>
      <c r="G104" t="s">
        <v>1012</v>
      </c>
      <c r="H104" s="18">
        <v>1225</v>
      </c>
      <c r="I104" s="3">
        <v>41873</v>
      </c>
      <c r="J104"/>
      <c r="L104"/>
      <c r="M104"/>
      <c r="N104" s="40"/>
      <c r="O104" s="38"/>
      <c r="P104" s="20"/>
      <c r="Q104" s="20"/>
      <c r="R104" s="20"/>
      <c r="S104" s="20"/>
      <c r="T104" s="20"/>
      <c r="W104" s="24"/>
      <c r="X104" s="25"/>
      <c r="AE104" s="24"/>
      <c r="AF104" s="25"/>
    </row>
    <row r="105" spans="1:32" x14ac:dyDescent="0.25">
      <c r="A105" s="3">
        <v>41873</v>
      </c>
      <c r="B105" s="36">
        <v>28</v>
      </c>
      <c r="C105" t="s">
        <v>1010</v>
      </c>
      <c r="E105" s="18">
        <v>-500</v>
      </c>
      <c r="F105" t="s">
        <v>889</v>
      </c>
      <c r="G105" t="s">
        <v>442</v>
      </c>
      <c r="H105" s="18" t="s">
        <v>442</v>
      </c>
      <c r="I105" s="3" t="s">
        <v>442</v>
      </c>
      <c r="J105"/>
      <c r="L105"/>
      <c r="M105"/>
      <c r="N105" s="20"/>
      <c r="O105"/>
      <c r="P105" s="20"/>
      <c r="Q105" s="20"/>
      <c r="R105" s="20"/>
      <c r="S105" s="20"/>
      <c r="T105" s="20" t="s">
        <v>401</v>
      </c>
      <c r="W105" s="24"/>
      <c r="X105" s="25"/>
      <c r="AE105" s="24"/>
      <c r="AF105" s="25"/>
    </row>
    <row r="106" spans="1:32" x14ac:dyDescent="0.25">
      <c r="A106" s="3">
        <v>41873</v>
      </c>
      <c r="B106" s="36">
        <v>28</v>
      </c>
      <c r="C106" t="s">
        <v>1013</v>
      </c>
      <c r="D106">
        <v>6</v>
      </c>
      <c r="E106" s="18">
        <v>600</v>
      </c>
      <c r="F106" t="s">
        <v>889</v>
      </c>
      <c r="G106" t="s">
        <v>1014</v>
      </c>
      <c r="H106" s="18">
        <v>600</v>
      </c>
      <c r="I106" s="3">
        <v>41873</v>
      </c>
      <c r="J106"/>
      <c r="L106"/>
      <c r="M106"/>
      <c r="N106" s="20"/>
      <c r="O106"/>
      <c r="P106" s="20"/>
      <c r="Q106" s="20"/>
      <c r="R106" s="20"/>
      <c r="S106" s="20"/>
      <c r="T106" s="20"/>
      <c r="W106" s="24"/>
      <c r="X106" s="25"/>
      <c r="AE106" s="24"/>
      <c r="AF106" s="25"/>
    </row>
    <row r="107" spans="1:32" x14ac:dyDescent="0.25">
      <c r="A107" s="3">
        <v>41873</v>
      </c>
      <c r="B107" s="36">
        <v>28</v>
      </c>
      <c r="C107" t="s">
        <v>977</v>
      </c>
      <c r="E107" s="18">
        <v>692.99999999999989</v>
      </c>
      <c r="F107" t="s">
        <v>889</v>
      </c>
      <c r="G107" t="s">
        <v>978</v>
      </c>
      <c r="H107" s="18">
        <v>692.99999999999989</v>
      </c>
      <c r="I107" s="3">
        <v>41873</v>
      </c>
      <c r="J107"/>
      <c r="L107"/>
      <c r="M107"/>
      <c r="N107" s="20"/>
      <c r="O107" t="s">
        <v>1015</v>
      </c>
      <c r="P107" s="20"/>
      <c r="Q107" s="20"/>
      <c r="R107" s="20"/>
      <c r="S107" s="20"/>
      <c r="T107" s="20"/>
      <c r="W107" s="24"/>
      <c r="X107" s="25"/>
    </row>
    <row r="108" spans="1:32" x14ac:dyDescent="0.25">
      <c r="A108" s="3">
        <v>41873</v>
      </c>
      <c r="B108" s="36">
        <v>28</v>
      </c>
      <c r="C108" t="s">
        <v>1016</v>
      </c>
      <c r="D108">
        <v>4.25</v>
      </c>
      <c r="E108" s="18">
        <v>425</v>
      </c>
      <c r="F108" t="s">
        <v>889</v>
      </c>
      <c r="G108" t="s">
        <v>1017</v>
      </c>
      <c r="H108" s="18">
        <v>425</v>
      </c>
      <c r="I108" s="3">
        <v>41873</v>
      </c>
      <c r="J108"/>
      <c r="L108"/>
      <c r="M108"/>
      <c r="N108" s="20"/>
      <c r="O108"/>
      <c r="P108" s="20"/>
      <c r="Q108" s="20"/>
      <c r="R108" s="20"/>
      <c r="S108" s="20"/>
      <c r="T108" s="20"/>
      <c r="W108" s="24"/>
      <c r="X108" s="25"/>
    </row>
    <row r="109" spans="1:32" x14ac:dyDescent="0.25">
      <c r="A109" s="3">
        <v>41873</v>
      </c>
      <c r="B109" s="36">
        <v>28</v>
      </c>
      <c r="C109" t="s">
        <v>981</v>
      </c>
      <c r="E109" s="18">
        <v>428.99999999999994</v>
      </c>
      <c r="F109" t="s">
        <v>889</v>
      </c>
      <c r="G109" t="s">
        <v>982</v>
      </c>
      <c r="H109" s="18">
        <v>428.99999999999994</v>
      </c>
      <c r="I109" s="3">
        <v>41873</v>
      </c>
      <c r="J109"/>
      <c r="L109"/>
      <c r="M109"/>
      <c r="N109" s="20"/>
      <c r="O109" t="s">
        <v>1015</v>
      </c>
      <c r="P109" s="20"/>
      <c r="Q109" s="20"/>
      <c r="R109" s="20"/>
      <c r="S109" s="20"/>
      <c r="T109" s="20"/>
      <c r="W109" s="24"/>
      <c r="X109" s="25"/>
    </row>
    <row r="110" spans="1:32" x14ac:dyDescent="0.25">
      <c r="A110" s="3">
        <v>41918</v>
      </c>
      <c r="B110" s="36">
        <v>28</v>
      </c>
      <c r="C110" t="s">
        <v>1018</v>
      </c>
      <c r="D110">
        <v>7.75</v>
      </c>
      <c r="E110" s="18">
        <v>775</v>
      </c>
      <c r="F110" t="s">
        <v>889</v>
      </c>
      <c r="G110" t="s">
        <v>1019</v>
      </c>
      <c r="H110" s="18">
        <v>775</v>
      </c>
      <c r="I110" s="3">
        <v>41918</v>
      </c>
      <c r="J110"/>
      <c r="L110"/>
      <c r="M110"/>
      <c r="N110" s="20"/>
      <c r="O110"/>
      <c r="P110" s="20"/>
      <c r="Q110" s="20"/>
      <c r="R110" s="20"/>
      <c r="S110" s="20"/>
      <c r="T110" s="20"/>
      <c r="W110" s="24"/>
      <c r="X110" s="25"/>
    </row>
    <row r="111" spans="1:32" x14ac:dyDescent="0.25">
      <c r="A111" s="3">
        <v>41918</v>
      </c>
      <c r="B111" s="36">
        <v>28</v>
      </c>
      <c r="C111" t="s">
        <v>1020</v>
      </c>
      <c r="D111">
        <v>10.5</v>
      </c>
      <c r="E111" s="18">
        <v>1050</v>
      </c>
      <c r="F111" t="s">
        <v>889</v>
      </c>
      <c r="G111" t="s">
        <v>1021</v>
      </c>
      <c r="H111" s="18">
        <v>1050</v>
      </c>
      <c r="I111" s="3">
        <v>41918</v>
      </c>
      <c r="J111"/>
      <c r="L111"/>
      <c r="M111"/>
      <c r="N111" s="20"/>
      <c r="O111"/>
      <c r="P111" s="20"/>
      <c r="Q111" s="20"/>
      <c r="R111" s="20"/>
      <c r="S111" s="20"/>
      <c r="T111" s="20"/>
      <c r="W111" s="24"/>
      <c r="X111" s="25"/>
    </row>
    <row r="112" spans="1:32" x14ac:dyDescent="0.25">
      <c r="A112" s="3">
        <v>41922</v>
      </c>
      <c r="B112" s="36">
        <v>28</v>
      </c>
      <c r="C112" t="s">
        <v>1022</v>
      </c>
      <c r="E112" s="18">
        <v>1000</v>
      </c>
      <c r="F112" t="s">
        <v>889</v>
      </c>
      <c r="G112" t="s">
        <v>442</v>
      </c>
      <c r="H112" s="18" t="s">
        <v>442</v>
      </c>
      <c r="I112" s="3" t="s">
        <v>442</v>
      </c>
      <c r="J112"/>
      <c r="L112"/>
      <c r="M112"/>
      <c r="N112" s="20"/>
      <c r="O112"/>
      <c r="P112" s="20"/>
      <c r="Q112" s="20"/>
      <c r="R112" s="20"/>
      <c r="S112" s="20"/>
      <c r="T112" s="20" t="s">
        <v>401</v>
      </c>
      <c r="W112" s="24"/>
      <c r="X112" s="25"/>
    </row>
    <row r="113" spans="1:24" x14ac:dyDescent="0.25">
      <c r="A113" s="3">
        <v>41929</v>
      </c>
      <c r="B113" s="36">
        <v>28</v>
      </c>
      <c r="C113" t="s">
        <v>1023</v>
      </c>
      <c r="D113">
        <v>4</v>
      </c>
      <c r="E113" s="18">
        <v>375</v>
      </c>
      <c r="F113" t="s">
        <v>889</v>
      </c>
      <c r="G113" t="s">
        <v>1024</v>
      </c>
      <c r="H113" s="18">
        <v>375</v>
      </c>
      <c r="I113" s="3">
        <v>41929</v>
      </c>
      <c r="J113"/>
      <c r="L113"/>
      <c r="M113"/>
      <c r="N113" s="20"/>
      <c r="O113"/>
      <c r="P113" s="20"/>
      <c r="Q113" s="20"/>
      <c r="R113" s="20"/>
      <c r="S113" s="20"/>
      <c r="T113" s="20"/>
      <c r="W113" s="24"/>
      <c r="X113" s="25"/>
    </row>
    <row r="114" spans="1:24" x14ac:dyDescent="0.25">
      <c r="A114" s="3">
        <v>41929</v>
      </c>
      <c r="B114" s="36">
        <v>28</v>
      </c>
      <c r="C114" t="s">
        <v>1016</v>
      </c>
      <c r="D114">
        <v>4.25</v>
      </c>
      <c r="E114" s="18">
        <v>-425</v>
      </c>
      <c r="F114" t="s">
        <v>889</v>
      </c>
      <c r="G114" t="s">
        <v>1017</v>
      </c>
      <c r="H114" s="18" t="s">
        <v>442</v>
      </c>
      <c r="I114" s="3" t="s">
        <v>442</v>
      </c>
      <c r="J114"/>
      <c r="L114"/>
      <c r="M114"/>
      <c r="N114" s="20"/>
      <c r="O114"/>
      <c r="P114" s="20"/>
      <c r="Q114" s="20"/>
      <c r="R114" s="20"/>
      <c r="S114" s="20"/>
      <c r="T114" s="20"/>
      <c r="W114" s="24"/>
      <c r="X114" s="25"/>
    </row>
    <row r="115" spans="1:24" x14ac:dyDescent="0.25">
      <c r="A115" s="3">
        <v>41929</v>
      </c>
      <c r="B115" s="36">
        <v>28</v>
      </c>
      <c r="C115" t="s">
        <v>981</v>
      </c>
      <c r="E115" s="18">
        <v>663</v>
      </c>
      <c r="F115" t="s">
        <v>889</v>
      </c>
      <c r="G115" t="s">
        <v>982</v>
      </c>
      <c r="H115" s="18">
        <v>663</v>
      </c>
      <c r="I115" s="3">
        <v>41929</v>
      </c>
      <c r="J115"/>
      <c r="L115"/>
      <c r="M115"/>
      <c r="N115" s="20"/>
      <c r="O115" t="s">
        <v>959</v>
      </c>
      <c r="P115" s="20"/>
      <c r="Q115" s="20"/>
      <c r="R115" s="20"/>
      <c r="S115" s="20"/>
      <c r="T115" s="20"/>
      <c r="W115" s="24"/>
      <c r="X115" s="25"/>
    </row>
    <row r="116" spans="1:24" x14ac:dyDescent="0.25">
      <c r="A116" s="3">
        <v>41943</v>
      </c>
      <c r="B116" s="36">
        <v>28</v>
      </c>
      <c r="C116" t="s">
        <v>1025</v>
      </c>
      <c r="D116">
        <v>3.57</v>
      </c>
      <c r="E116" s="18">
        <v>357</v>
      </c>
      <c r="F116" t="s">
        <v>889</v>
      </c>
      <c r="G116" t="s">
        <v>1026</v>
      </c>
      <c r="H116" s="18">
        <v>357</v>
      </c>
      <c r="I116" s="3">
        <v>41943</v>
      </c>
      <c r="J116"/>
      <c r="L116"/>
      <c r="M116"/>
      <c r="N116" s="20"/>
      <c r="O116"/>
      <c r="P116" s="20"/>
      <c r="Q116" s="20"/>
      <c r="R116" s="20"/>
      <c r="S116" s="20"/>
      <c r="T116" s="20"/>
      <c r="W116" s="24"/>
      <c r="X116" s="25"/>
    </row>
    <row r="117" spans="1:24" x14ac:dyDescent="0.25">
      <c r="A117" s="3">
        <v>41943</v>
      </c>
      <c r="B117" s="36">
        <v>28</v>
      </c>
      <c r="C117" t="s">
        <v>1000</v>
      </c>
      <c r="D117">
        <v>2.75</v>
      </c>
      <c r="E117" s="18">
        <v>-275</v>
      </c>
      <c r="F117" t="s">
        <v>889</v>
      </c>
      <c r="G117" t="s">
        <v>1001</v>
      </c>
      <c r="H117" s="18" t="s">
        <v>442</v>
      </c>
      <c r="I117" s="3" t="s">
        <v>442</v>
      </c>
      <c r="J117"/>
      <c r="L117"/>
      <c r="M117"/>
      <c r="N117" s="20"/>
      <c r="O117"/>
      <c r="P117" s="20"/>
      <c r="Q117" s="20"/>
      <c r="R117" s="20"/>
      <c r="S117" s="20"/>
      <c r="T117" s="20"/>
      <c r="W117" s="24"/>
      <c r="X117" s="25"/>
    </row>
    <row r="118" spans="1:24" x14ac:dyDescent="0.25">
      <c r="A118" s="3">
        <v>41943</v>
      </c>
      <c r="B118" s="36">
        <v>28</v>
      </c>
      <c r="C118" t="s">
        <v>1027</v>
      </c>
      <c r="D118">
        <v>8.4149999999999991</v>
      </c>
      <c r="E118" s="18">
        <v>841.49999999999989</v>
      </c>
      <c r="F118" t="s">
        <v>889</v>
      </c>
      <c r="G118" t="s">
        <v>1028</v>
      </c>
      <c r="H118" s="18">
        <v>841.49999999999989</v>
      </c>
      <c r="I118" s="3">
        <v>41943</v>
      </c>
      <c r="J118"/>
      <c r="L118"/>
      <c r="M118"/>
      <c r="N118" s="20"/>
      <c r="O118"/>
      <c r="P118" s="20"/>
      <c r="Q118" s="20"/>
      <c r="R118" s="20"/>
      <c r="S118" s="20"/>
      <c r="T118" s="20"/>
      <c r="W118" s="24"/>
      <c r="X118" s="25"/>
    </row>
    <row r="119" spans="1:24" x14ac:dyDescent="0.25">
      <c r="A119" s="3">
        <v>41957</v>
      </c>
      <c r="B119" s="36">
        <v>28</v>
      </c>
      <c r="C119" t="s">
        <v>1029</v>
      </c>
      <c r="D119">
        <v>4</v>
      </c>
      <c r="E119" s="18">
        <v>-400</v>
      </c>
      <c r="F119" t="s">
        <v>889</v>
      </c>
      <c r="G119" t="s">
        <v>1030</v>
      </c>
      <c r="H119" s="18" t="s">
        <v>442</v>
      </c>
      <c r="I119" s="3" t="s">
        <v>442</v>
      </c>
      <c r="J119"/>
      <c r="L119"/>
      <c r="M119"/>
      <c r="N119" s="20"/>
      <c r="O119"/>
      <c r="P119" s="20"/>
      <c r="Q119" s="20"/>
      <c r="R119" s="20"/>
      <c r="S119" s="20"/>
      <c r="T119" s="20"/>
      <c r="W119" s="24"/>
      <c r="X119" s="25"/>
    </row>
    <row r="120" spans="1:24" x14ac:dyDescent="0.25">
      <c r="A120" s="3">
        <v>41957</v>
      </c>
      <c r="B120" s="36">
        <v>28</v>
      </c>
      <c r="C120" t="s">
        <v>1031</v>
      </c>
      <c r="D120">
        <v>10.965</v>
      </c>
      <c r="E120" s="18">
        <v>-945.5</v>
      </c>
      <c r="F120" t="s">
        <v>889</v>
      </c>
      <c r="G120" t="s">
        <v>997</v>
      </c>
      <c r="H120" s="18" t="s">
        <v>442</v>
      </c>
      <c r="I120" s="3" t="s">
        <v>442</v>
      </c>
      <c r="J120"/>
      <c r="L120"/>
      <c r="M120"/>
      <c r="N120" s="20"/>
      <c r="O120"/>
      <c r="P120" s="20"/>
      <c r="Q120" s="20"/>
      <c r="R120" s="20"/>
      <c r="S120" s="20"/>
      <c r="T120" s="20"/>
      <c r="W120" s="24"/>
      <c r="X120" s="25"/>
    </row>
    <row r="121" spans="1:24" x14ac:dyDescent="0.25">
      <c r="A121" s="3">
        <v>41957</v>
      </c>
      <c r="B121" s="36">
        <v>28</v>
      </c>
      <c r="C121" t="s">
        <v>1032</v>
      </c>
      <c r="D121">
        <v>24.225000000000001</v>
      </c>
      <c r="E121" s="18">
        <v>2422.5</v>
      </c>
      <c r="F121" t="s">
        <v>889</v>
      </c>
      <c r="G121" t="s">
        <v>1033</v>
      </c>
      <c r="H121" s="18">
        <v>2422.5</v>
      </c>
      <c r="I121" s="3">
        <v>41957</v>
      </c>
      <c r="J121"/>
      <c r="L121"/>
      <c r="M121"/>
      <c r="N121" s="20"/>
      <c r="O121" t="s">
        <v>1034</v>
      </c>
      <c r="P121" s="20"/>
      <c r="Q121" s="20"/>
      <c r="R121" s="20"/>
      <c r="S121" s="20"/>
      <c r="T121" s="20"/>
      <c r="W121" s="24"/>
      <c r="X121" s="25"/>
    </row>
    <row r="122" spans="1:24" x14ac:dyDescent="0.25">
      <c r="A122" s="3">
        <v>41964</v>
      </c>
      <c r="B122" s="36">
        <v>28</v>
      </c>
      <c r="C122" t="s">
        <v>1018</v>
      </c>
      <c r="D122">
        <v>7.75</v>
      </c>
      <c r="E122" s="18">
        <v>-775</v>
      </c>
      <c r="F122" t="s">
        <v>889</v>
      </c>
      <c r="G122" t="s">
        <v>1019</v>
      </c>
      <c r="H122" s="18" t="s">
        <v>442</v>
      </c>
      <c r="I122" s="3" t="s">
        <v>442</v>
      </c>
      <c r="J122"/>
      <c r="L122"/>
      <c r="M122"/>
      <c r="N122" s="20"/>
      <c r="O122"/>
      <c r="P122" s="20"/>
      <c r="Q122" s="20"/>
      <c r="R122" s="20"/>
      <c r="S122" s="20"/>
      <c r="T122" s="20"/>
      <c r="W122" s="24"/>
      <c r="X122" s="25"/>
    </row>
    <row r="123" spans="1:24" x14ac:dyDescent="0.25">
      <c r="A123" s="3">
        <v>41964</v>
      </c>
      <c r="B123" s="36">
        <v>28</v>
      </c>
      <c r="C123" t="s">
        <v>1035</v>
      </c>
      <c r="D123">
        <v>11.22</v>
      </c>
      <c r="E123" s="18">
        <v>1122</v>
      </c>
      <c r="F123" t="s">
        <v>889</v>
      </c>
      <c r="G123" t="s">
        <v>1036</v>
      </c>
      <c r="H123" s="18">
        <v>1122</v>
      </c>
      <c r="I123" s="3">
        <v>41964</v>
      </c>
      <c r="J123"/>
      <c r="L123"/>
      <c r="M123"/>
      <c r="N123" s="20"/>
      <c r="O123"/>
      <c r="P123" s="20"/>
      <c r="Q123" s="20"/>
      <c r="R123" s="20"/>
      <c r="S123" s="20"/>
      <c r="T123" s="20"/>
      <c r="W123" s="24"/>
      <c r="X123" s="25"/>
    </row>
    <row r="124" spans="1:24" x14ac:dyDescent="0.25">
      <c r="A124" s="3">
        <v>41964</v>
      </c>
      <c r="B124" s="36">
        <v>28</v>
      </c>
      <c r="C124" t="s">
        <v>1037</v>
      </c>
      <c r="D124">
        <v>2.8050000000000002</v>
      </c>
      <c r="E124" s="18">
        <v>280.5</v>
      </c>
      <c r="F124" t="s">
        <v>889</v>
      </c>
      <c r="G124" t="s">
        <v>1038</v>
      </c>
      <c r="H124" s="18">
        <v>280.5</v>
      </c>
      <c r="I124" s="3">
        <v>41964</v>
      </c>
      <c r="J124"/>
      <c r="L124"/>
      <c r="M124"/>
      <c r="N124" s="20"/>
      <c r="O124"/>
      <c r="P124" s="20"/>
      <c r="Q124" s="20"/>
      <c r="R124" s="20"/>
      <c r="S124" s="20"/>
      <c r="T124" s="20"/>
      <c r="W124" s="24"/>
      <c r="X124" s="25"/>
    </row>
    <row r="125" spans="1:24" x14ac:dyDescent="0.25">
      <c r="A125" s="3">
        <v>41964</v>
      </c>
      <c r="B125" s="36">
        <v>28</v>
      </c>
      <c r="C125" t="s">
        <v>1039</v>
      </c>
      <c r="D125">
        <v>5.3550000000000004</v>
      </c>
      <c r="E125" s="18">
        <v>535.5</v>
      </c>
      <c r="F125" t="s">
        <v>889</v>
      </c>
      <c r="G125" t="s">
        <v>1040</v>
      </c>
      <c r="H125" s="18">
        <v>535.5</v>
      </c>
      <c r="I125" s="3">
        <v>41964</v>
      </c>
      <c r="J125"/>
      <c r="L125"/>
      <c r="M125"/>
      <c r="N125" s="20"/>
      <c r="O125" t="s">
        <v>1041</v>
      </c>
      <c r="P125" s="20"/>
      <c r="Q125" s="20"/>
      <c r="R125" s="20"/>
      <c r="S125" s="20"/>
      <c r="T125" s="20"/>
      <c r="W125" s="24"/>
      <c r="X125" s="25"/>
    </row>
    <row r="126" spans="1:24" x14ac:dyDescent="0.25">
      <c r="A126" s="3">
        <v>41978</v>
      </c>
      <c r="B126" s="36">
        <v>28</v>
      </c>
      <c r="C126" t="s">
        <v>1042</v>
      </c>
      <c r="D126">
        <v>9.18</v>
      </c>
      <c r="E126" s="18">
        <v>400</v>
      </c>
      <c r="F126" t="s">
        <v>889</v>
      </c>
      <c r="G126" t="s">
        <v>1043</v>
      </c>
      <c r="H126" s="18">
        <v>400</v>
      </c>
      <c r="I126" s="3">
        <v>41978</v>
      </c>
      <c r="J126"/>
      <c r="L126"/>
      <c r="M126"/>
      <c r="N126" s="20"/>
      <c r="O126"/>
      <c r="P126" s="20"/>
      <c r="Q126" s="20"/>
      <c r="R126" s="20"/>
      <c r="S126" s="20"/>
      <c r="T126" s="20"/>
      <c r="W126" s="24"/>
      <c r="X126" s="25"/>
    </row>
    <row r="127" spans="1:24" x14ac:dyDescent="0.25">
      <c r="A127" s="3">
        <v>41995</v>
      </c>
      <c r="B127" s="36">
        <v>28</v>
      </c>
      <c r="C127" t="s">
        <v>1044</v>
      </c>
      <c r="E127" s="18">
        <v>1000</v>
      </c>
      <c r="F127" t="s">
        <v>889</v>
      </c>
      <c r="G127" t="s">
        <v>442</v>
      </c>
      <c r="H127" s="18" t="s">
        <v>442</v>
      </c>
      <c r="I127" s="3" t="s">
        <v>442</v>
      </c>
      <c r="J127"/>
      <c r="L127"/>
      <c r="M127"/>
      <c r="N127" s="20"/>
      <c r="O127"/>
      <c r="P127" s="20"/>
      <c r="Q127" s="20"/>
      <c r="R127" s="20"/>
      <c r="S127" s="20"/>
      <c r="T127" s="20" t="s">
        <v>401</v>
      </c>
      <c r="W127" s="24"/>
      <c r="X127" s="25"/>
    </row>
    <row r="128" spans="1:24" x14ac:dyDescent="0.25">
      <c r="A128" s="3">
        <v>42019</v>
      </c>
      <c r="B128" s="36">
        <v>28</v>
      </c>
      <c r="C128" t="s">
        <v>1045</v>
      </c>
      <c r="D128" s="55">
        <v>7.54</v>
      </c>
      <c r="E128" s="18">
        <v>250</v>
      </c>
      <c r="F128" t="s">
        <v>889</v>
      </c>
      <c r="G128" t="s">
        <v>511</v>
      </c>
      <c r="H128" s="18">
        <v>250</v>
      </c>
      <c r="I128" s="3">
        <v>42019</v>
      </c>
      <c r="J128"/>
      <c r="L128"/>
      <c r="M128"/>
      <c r="N128" s="20"/>
      <c r="O128"/>
      <c r="P128" s="20"/>
      <c r="Q128" s="20"/>
      <c r="R128" s="20"/>
      <c r="S128" s="20"/>
      <c r="T128" s="20"/>
      <c r="W128" s="24"/>
      <c r="X128" s="25"/>
    </row>
    <row r="129" spans="1:24" x14ac:dyDescent="0.25">
      <c r="A129" s="3">
        <v>42027</v>
      </c>
      <c r="B129" s="36">
        <v>28</v>
      </c>
      <c r="C129" t="s">
        <v>798</v>
      </c>
      <c r="D129" s="19">
        <v>8.4149999999999991</v>
      </c>
      <c r="E129" s="18">
        <v>670.75</v>
      </c>
      <c r="G129" t="s">
        <v>799</v>
      </c>
      <c r="H129" s="18">
        <v>670.75</v>
      </c>
      <c r="I129" s="3">
        <v>42027</v>
      </c>
      <c r="J129"/>
      <c r="L129"/>
      <c r="M129"/>
      <c r="N129" s="20"/>
      <c r="O129"/>
      <c r="P129" s="20"/>
      <c r="Q129" s="20"/>
      <c r="R129" s="20"/>
      <c r="S129" s="20"/>
      <c r="T129" s="20"/>
      <c r="W129" s="24"/>
      <c r="X129" s="25"/>
    </row>
    <row r="130" spans="1:24" x14ac:dyDescent="0.25">
      <c r="A130" s="3">
        <v>42027</v>
      </c>
      <c r="B130" s="36">
        <v>28</v>
      </c>
      <c r="C130" t="s">
        <v>542</v>
      </c>
      <c r="D130" s="55">
        <v>4.75</v>
      </c>
      <c r="E130" s="18">
        <v>250</v>
      </c>
      <c r="F130" t="s">
        <v>889</v>
      </c>
      <c r="G130" t="s">
        <v>543</v>
      </c>
      <c r="H130" s="18">
        <v>250</v>
      </c>
      <c r="I130" s="3">
        <v>42027</v>
      </c>
      <c r="J130"/>
      <c r="L130"/>
      <c r="M130"/>
      <c r="N130" s="20"/>
      <c r="O130"/>
      <c r="P130" s="20"/>
      <c r="Q130" s="20"/>
      <c r="R130" s="20"/>
      <c r="S130" s="20"/>
      <c r="T130" s="20"/>
      <c r="W130" s="24"/>
      <c r="X130" s="25"/>
    </row>
    <row r="131" spans="1:24" x14ac:dyDescent="0.25">
      <c r="A131" s="3">
        <v>42034</v>
      </c>
      <c r="B131">
        <v>28</v>
      </c>
      <c r="C131" t="s">
        <v>474</v>
      </c>
      <c r="D131" s="19">
        <v>4.42</v>
      </c>
      <c r="E131" s="18">
        <v>221</v>
      </c>
      <c r="F131" s="23" t="s">
        <v>889</v>
      </c>
      <c r="G131" t="s">
        <v>475</v>
      </c>
      <c r="H131" s="18"/>
      <c r="J131"/>
      <c r="L131"/>
      <c r="M131"/>
      <c r="N131" s="20"/>
      <c r="O131"/>
      <c r="P131" s="20"/>
      <c r="Q131" s="20"/>
      <c r="R131" s="20"/>
      <c r="S131" s="20"/>
      <c r="T131" s="20"/>
      <c r="W131" s="24"/>
      <c r="X131" s="25"/>
    </row>
    <row r="132" spans="1:24" x14ac:dyDescent="0.25">
      <c r="A132" s="3">
        <v>42034</v>
      </c>
      <c r="B132">
        <v>28</v>
      </c>
      <c r="C132" t="s">
        <v>510</v>
      </c>
      <c r="D132" s="19">
        <v>7.28</v>
      </c>
      <c r="E132" s="18">
        <v>364</v>
      </c>
      <c r="F132" s="23" t="s">
        <v>889</v>
      </c>
      <c r="G132" t="s">
        <v>511</v>
      </c>
      <c r="H132" s="18"/>
      <c r="J132"/>
      <c r="L132"/>
      <c r="M132"/>
      <c r="N132" s="20"/>
      <c r="O132"/>
      <c r="P132" s="20"/>
      <c r="Q132" s="20"/>
      <c r="R132" s="20"/>
      <c r="S132" s="20"/>
      <c r="T132" s="20"/>
      <c r="W132" s="24"/>
      <c r="X132" s="25"/>
    </row>
    <row r="133" spans="1:24" x14ac:dyDescent="0.25">
      <c r="A133" s="3">
        <v>42034</v>
      </c>
      <c r="B133">
        <v>28</v>
      </c>
      <c r="C133" t="s">
        <v>484</v>
      </c>
      <c r="D133" s="19">
        <v>3.64</v>
      </c>
      <c r="E133" s="18">
        <v>250</v>
      </c>
      <c r="F133" s="23" t="s">
        <v>889</v>
      </c>
      <c r="G133" t="s">
        <v>485</v>
      </c>
      <c r="H133" s="18"/>
      <c r="J133"/>
      <c r="L133"/>
      <c r="M133"/>
      <c r="N133" s="20"/>
      <c r="O133"/>
      <c r="P133" s="20"/>
      <c r="Q133" s="20"/>
      <c r="R133" s="20"/>
      <c r="S133" s="20"/>
      <c r="T133" s="20"/>
      <c r="W133" s="24"/>
      <c r="X133" s="25"/>
    </row>
    <row r="134" spans="1:24" x14ac:dyDescent="0.25">
      <c r="B134">
        <v>28</v>
      </c>
      <c r="C134" t="s">
        <v>1022</v>
      </c>
      <c r="E134" s="18">
        <v>-1000</v>
      </c>
      <c r="F134" t="s">
        <v>889</v>
      </c>
      <c r="G134" t="s">
        <v>442</v>
      </c>
      <c r="I134"/>
      <c r="J134"/>
      <c r="L134"/>
      <c r="M134"/>
      <c r="O134"/>
      <c r="P134" s="20"/>
      <c r="Q134" s="20"/>
      <c r="R134" s="20"/>
      <c r="S134" s="20"/>
      <c r="T134" s="20"/>
      <c r="U134" t="s">
        <v>401</v>
      </c>
      <c r="W134" s="24"/>
      <c r="X134" s="25"/>
    </row>
    <row r="135" spans="1:24" x14ac:dyDescent="0.25">
      <c r="B135">
        <v>28</v>
      </c>
      <c r="C135" t="s">
        <v>1002</v>
      </c>
      <c r="D135">
        <v>8</v>
      </c>
      <c r="E135" s="18">
        <v>-800</v>
      </c>
      <c r="F135" t="s">
        <v>889</v>
      </c>
      <c r="G135" t="s">
        <v>1003</v>
      </c>
      <c r="I135"/>
      <c r="J135"/>
      <c r="L135"/>
      <c r="M135"/>
      <c r="O135"/>
      <c r="P135" s="20"/>
      <c r="Q135" s="20"/>
      <c r="R135" s="20"/>
      <c r="S135" s="20"/>
      <c r="T135" s="20"/>
      <c r="U135" t="s">
        <v>401</v>
      </c>
      <c r="W135" s="24"/>
      <c r="X135" s="25"/>
    </row>
    <row r="136" spans="1:24" x14ac:dyDescent="0.25">
      <c r="B136">
        <v>28</v>
      </c>
      <c r="C136" t="s">
        <v>1029</v>
      </c>
      <c r="D136">
        <v>4</v>
      </c>
      <c r="E136" s="18">
        <v>400</v>
      </c>
      <c r="F136" t="s">
        <v>889</v>
      </c>
      <c r="G136" t="s">
        <v>1030</v>
      </c>
      <c r="I136"/>
      <c r="J136"/>
      <c r="L136"/>
      <c r="M136"/>
      <c r="O136"/>
      <c r="P136" s="20"/>
      <c r="Q136" s="20"/>
      <c r="R136" s="20"/>
      <c r="S136" s="20"/>
      <c r="T136" s="20"/>
      <c r="U136" t="s">
        <v>401</v>
      </c>
      <c r="W136" s="24"/>
      <c r="X136" s="25"/>
    </row>
    <row r="137" spans="1:24" x14ac:dyDescent="0.25">
      <c r="B137">
        <v>28</v>
      </c>
      <c r="C137" t="s">
        <v>993</v>
      </c>
      <c r="D137">
        <v>2.75</v>
      </c>
      <c r="E137" s="18">
        <v>-331.5</v>
      </c>
      <c r="F137" t="s">
        <v>889</v>
      </c>
      <c r="G137" t="s">
        <v>994</v>
      </c>
      <c r="I137"/>
      <c r="J137"/>
      <c r="L137"/>
      <c r="M137"/>
      <c r="O137"/>
      <c r="P137" s="20"/>
      <c r="Q137" s="20"/>
      <c r="R137" s="20"/>
      <c r="S137" s="20"/>
      <c r="T137" s="20"/>
      <c r="U137" t="s">
        <v>401</v>
      </c>
      <c r="W137" s="24"/>
      <c r="X137" s="25"/>
    </row>
    <row r="138" spans="1:24" x14ac:dyDescent="0.25">
      <c r="B138">
        <v>28</v>
      </c>
      <c r="C138" t="s">
        <v>1046</v>
      </c>
      <c r="D138">
        <v>10.71</v>
      </c>
      <c r="E138" s="18">
        <v>1071</v>
      </c>
      <c r="F138" t="s">
        <v>889</v>
      </c>
      <c r="G138" t="s">
        <v>1047</v>
      </c>
      <c r="I138"/>
      <c r="J138"/>
      <c r="L138"/>
      <c r="M138"/>
      <c r="O138"/>
      <c r="P138" s="20"/>
      <c r="Q138" s="20"/>
      <c r="R138" s="20"/>
      <c r="S138" s="20"/>
      <c r="T138" s="20"/>
      <c r="U138" t="s">
        <v>401</v>
      </c>
      <c r="W138" s="24"/>
      <c r="X138" s="25"/>
    </row>
    <row r="139" spans="1:24" x14ac:dyDescent="0.25">
      <c r="B139">
        <v>28</v>
      </c>
      <c r="C139" t="s">
        <v>983</v>
      </c>
      <c r="D139">
        <v>3.3149999999999999</v>
      </c>
      <c r="E139" s="18">
        <v>-331.5</v>
      </c>
      <c r="F139" t="s">
        <v>889</v>
      </c>
      <c r="G139" t="s">
        <v>984</v>
      </c>
      <c r="I139"/>
      <c r="J139"/>
      <c r="L139"/>
      <c r="M139"/>
      <c r="O139"/>
      <c r="P139" s="20"/>
      <c r="Q139" s="20"/>
      <c r="R139" s="20"/>
      <c r="S139" s="20"/>
      <c r="T139" s="20"/>
      <c r="U139" t="s">
        <v>401</v>
      </c>
      <c r="W139" s="24"/>
      <c r="X139" s="25"/>
    </row>
    <row r="140" spans="1:24" x14ac:dyDescent="0.25">
      <c r="B140">
        <v>28</v>
      </c>
      <c r="C140" t="s">
        <v>1018</v>
      </c>
      <c r="D140">
        <v>7.75</v>
      </c>
      <c r="E140" s="18">
        <v>775</v>
      </c>
      <c r="F140" t="s">
        <v>889</v>
      </c>
      <c r="G140" t="s">
        <v>1019</v>
      </c>
      <c r="I140"/>
      <c r="J140"/>
      <c r="L140"/>
      <c r="M140"/>
      <c r="O140"/>
      <c r="P140" s="20"/>
      <c r="Q140" s="20"/>
      <c r="R140" s="20"/>
      <c r="S140" s="20"/>
      <c r="T140" s="20"/>
      <c r="U140" t="s">
        <v>401</v>
      </c>
      <c r="W140" s="24"/>
      <c r="X140" s="25"/>
    </row>
    <row r="141" spans="1:24" x14ac:dyDescent="0.25">
      <c r="B141">
        <v>28</v>
      </c>
      <c r="C141" t="s">
        <v>998</v>
      </c>
      <c r="D141">
        <v>8.4149999999999991</v>
      </c>
      <c r="E141" s="18">
        <v>112.19999999999989</v>
      </c>
      <c r="F141" t="s">
        <v>889</v>
      </c>
      <c r="G141" t="s">
        <v>999</v>
      </c>
      <c r="I141"/>
      <c r="J141"/>
      <c r="L141"/>
      <c r="M141"/>
      <c r="O141"/>
      <c r="P141" s="20"/>
      <c r="Q141" s="20"/>
      <c r="R141" s="20"/>
      <c r="S141" s="20"/>
      <c r="T141" s="20"/>
      <c r="U141" t="s">
        <v>401</v>
      </c>
      <c r="W141" s="24"/>
      <c r="X141" s="25"/>
    </row>
    <row r="142" spans="1:24" x14ac:dyDescent="0.25">
      <c r="B142">
        <v>28</v>
      </c>
      <c r="C142" t="s">
        <v>998</v>
      </c>
      <c r="E142" s="18">
        <v>112.19999999999989</v>
      </c>
      <c r="G142" t="s">
        <v>999</v>
      </c>
      <c r="I142"/>
      <c r="J142"/>
      <c r="L142"/>
      <c r="M142"/>
      <c r="O142"/>
      <c r="P142" s="20"/>
      <c r="Q142" s="20"/>
      <c r="R142" s="20"/>
      <c r="S142" s="20"/>
      <c r="T142" s="20"/>
      <c r="U142" t="s">
        <v>401</v>
      </c>
      <c r="W142" s="24"/>
      <c r="X142" s="25"/>
    </row>
    <row r="143" spans="1:24" x14ac:dyDescent="0.25">
      <c r="B143">
        <v>28</v>
      </c>
      <c r="C143" t="s">
        <v>1048</v>
      </c>
      <c r="D143">
        <v>8.16</v>
      </c>
      <c r="E143" s="18">
        <v>816</v>
      </c>
      <c r="F143" t="s">
        <v>889</v>
      </c>
      <c r="G143" t="s">
        <v>1049</v>
      </c>
      <c r="I143"/>
      <c r="J143"/>
      <c r="L143"/>
      <c r="M143"/>
      <c r="O143"/>
      <c r="P143" s="20"/>
      <c r="Q143" s="20"/>
      <c r="R143" s="20"/>
      <c r="S143" s="20"/>
      <c r="T143" s="20"/>
      <c r="U143" t="s">
        <v>401</v>
      </c>
      <c r="W143" s="24"/>
      <c r="X143" s="25"/>
    </row>
    <row r="144" spans="1:24" x14ac:dyDescent="0.25">
      <c r="B144">
        <v>28</v>
      </c>
      <c r="C144" t="s">
        <v>1025</v>
      </c>
      <c r="D144">
        <v>3.57</v>
      </c>
      <c r="E144" s="18">
        <v>-357</v>
      </c>
      <c r="F144" t="s">
        <v>889</v>
      </c>
      <c r="G144" t="s">
        <v>1026</v>
      </c>
      <c r="I144"/>
      <c r="J144"/>
      <c r="L144"/>
      <c r="M144"/>
      <c r="O144"/>
      <c r="P144" s="20"/>
      <c r="Q144" s="20"/>
      <c r="R144" s="20"/>
      <c r="S144" s="20"/>
      <c r="T144" s="20"/>
      <c r="U144" t="s">
        <v>401</v>
      </c>
      <c r="W144" s="24"/>
      <c r="X144" s="25"/>
    </row>
    <row r="145" spans="2:24" x14ac:dyDescent="0.25">
      <c r="B145">
        <v>28</v>
      </c>
      <c r="C145" t="s">
        <v>542</v>
      </c>
      <c r="D145">
        <v>4.75</v>
      </c>
      <c r="E145" s="18">
        <v>237.5</v>
      </c>
      <c r="F145" t="s">
        <v>889</v>
      </c>
      <c r="G145" t="s">
        <v>543</v>
      </c>
      <c r="I145"/>
      <c r="J145"/>
      <c r="L145"/>
      <c r="M145"/>
      <c r="O145"/>
      <c r="P145" s="20"/>
      <c r="Q145" s="20"/>
      <c r="R145" s="20"/>
      <c r="S145" s="20"/>
      <c r="T145" s="20"/>
      <c r="U145" t="s">
        <v>401</v>
      </c>
      <c r="W145" s="24"/>
      <c r="X145" s="25"/>
    </row>
    <row r="146" spans="2:24" x14ac:dyDescent="0.25">
      <c r="B146">
        <v>28</v>
      </c>
      <c r="C146" t="s">
        <v>1050</v>
      </c>
      <c r="D146">
        <v>5.75</v>
      </c>
      <c r="E146" s="18">
        <v>600</v>
      </c>
      <c r="F146" t="s">
        <v>889</v>
      </c>
      <c r="G146" t="s">
        <v>1051</v>
      </c>
      <c r="I146"/>
      <c r="J146"/>
      <c r="L146"/>
      <c r="M146"/>
      <c r="O146"/>
      <c r="P146" s="20"/>
      <c r="Q146" s="20"/>
      <c r="R146" s="20"/>
      <c r="S146" s="20"/>
      <c r="T146" s="20"/>
      <c r="U146" t="s">
        <v>401</v>
      </c>
      <c r="W146" s="24"/>
      <c r="X146" s="25"/>
    </row>
    <row r="147" spans="2:24" x14ac:dyDescent="0.25">
      <c r="B147">
        <v>28</v>
      </c>
      <c r="C147" t="s">
        <v>1050</v>
      </c>
      <c r="D147">
        <v>6</v>
      </c>
      <c r="E147" s="18">
        <v>-600</v>
      </c>
      <c r="F147" t="s">
        <v>889</v>
      </c>
      <c r="G147" t="s">
        <v>1051</v>
      </c>
      <c r="I147"/>
      <c r="J147"/>
      <c r="L147"/>
      <c r="M147"/>
      <c r="O147"/>
      <c r="P147" s="20"/>
      <c r="Q147" s="20"/>
      <c r="R147" s="20"/>
      <c r="S147" s="20"/>
      <c r="T147" s="20"/>
      <c r="U147" t="s">
        <v>401</v>
      </c>
      <c r="W147" s="24"/>
      <c r="X147" s="25"/>
    </row>
    <row r="148" spans="2:24" x14ac:dyDescent="0.25">
      <c r="B148">
        <v>28</v>
      </c>
      <c r="C148" t="s">
        <v>987</v>
      </c>
      <c r="D148">
        <v>2.8050000000000002</v>
      </c>
      <c r="E148" s="18">
        <v>-280.5</v>
      </c>
      <c r="F148" t="s">
        <v>889</v>
      </c>
      <c r="G148" t="s">
        <v>988</v>
      </c>
      <c r="I148"/>
      <c r="J148"/>
      <c r="L148"/>
      <c r="M148"/>
      <c r="O148"/>
      <c r="P148" s="20"/>
      <c r="Q148" s="20"/>
      <c r="R148" s="20"/>
      <c r="S148" s="20"/>
      <c r="T148" s="20"/>
      <c r="U148" t="s">
        <v>401</v>
      </c>
      <c r="W148" s="24"/>
      <c r="X148" s="25"/>
    </row>
    <row r="149" spans="2:24" x14ac:dyDescent="0.25">
      <c r="B149">
        <v>28</v>
      </c>
      <c r="C149" t="s">
        <v>1052</v>
      </c>
      <c r="D149">
        <v>3.57</v>
      </c>
      <c r="E149" s="18">
        <v>357</v>
      </c>
      <c r="F149" t="s">
        <v>889</v>
      </c>
      <c r="G149" t="s">
        <v>1053</v>
      </c>
      <c r="I149"/>
      <c r="J149"/>
      <c r="L149"/>
      <c r="M149"/>
      <c r="O149"/>
      <c r="P149" s="20"/>
      <c r="Q149" s="20"/>
      <c r="R149" s="20"/>
      <c r="S149" s="20"/>
      <c r="T149" s="20"/>
      <c r="U149" t="s">
        <v>401</v>
      </c>
      <c r="W149" s="24"/>
      <c r="X149" s="25"/>
    </row>
    <row r="150" spans="2:24" x14ac:dyDescent="0.25">
      <c r="B150">
        <v>28</v>
      </c>
      <c r="C150" t="s">
        <v>1013</v>
      </c>
      <c r="D150">
        <v>6</v>
      </c>
      <c r="E150" s="18">
        <v>-600</v>
      </c>
      <c r="F150" t="s">
        <v>889</v>
      </c>
      <c r="G150" t="s">
        <v>1014</v>
      </c>
      <c r="I150"/>
      <c r="J150"/>
      <c r="L150"/>
      <c r="M150"/>
      <c r="O150"/>
      <c r="P150" s="20"/>
      <c r="Q150" s="20"/>
      <c r="R150" s="20"/>
      <c r="S150" s="20"/>
      <c r="T150" s="20"/>
      <c r="U150" t="s">
        <v>401</v>
      </c>
      <c r="W150" s="24"/>
      <c r="X150" s="25"/>
    </row>
    <row r="151" spans="2:24" x14ac:dyDescent="0.25">
      <c r="B151">
        <v>28</v>
      </c>
      <c r="C151" t="s">
        <v>1054</v>
      </c>
      <c r="D151">
        <v>9.18</v>
      </c>
      <c r="E151" s="18">
        <v>518</v>
      </c>
      <c r="F151" t="s">
        <v>889</v>
      </c>
      <c r="G151" t="s">
        <v>1043</v>
      </c>
      <c r="I151"/>
      <c r="J151"/>
      <c r="L151"/>
      <c r="M151"/>
      <c r="O151"/>
      <c r="P151" s="20"/>
      <c r="Q151" s="20"/>
      <c r="R151" s="20"/>
      <c r="S151" s="20"/>
      <c r="T151" s="20"/>
      <c r="U151" t="s">
        <v>401</v>
      </c>
      <c r="W151" s="24"/>
      <c r="X151" s="25"/>
    </row>
    <row r="152" spans="2:24" x14ac:dyDescent="0.25">
      <c r="B152">
        <v>28</v>
      </c>
      <c r="C152" t="s">
        <v>1055</v>
      </c>
      <c r="E152" s="18">
        <v>-1000</v>
      </c>
      <c r="F152" t="s">
        <v>889</v>
      </c>
      <c r="G152" t="s">
        <v>442</v>
      </c>
      <c r="I152"/>
      <c r="J152"/>
      <c r="L152"/>
      <c r="M152"/>
      <c r="O152"/>
      <c r="P152" s="20"/>
      <c r="Q152" s="20"/>
      <c r="R152" s="20"/>
      <c r="S152" s="20"/>
      <c r="T152" s="20"/>
      <c r="U152" t="s">
        <v>401</v>
      </c>
      <c r="W152" s="24"/>
      <c r="X152" s="25"/>
    </row>
    <row r="153" spans="2:24" x14ac:dyDescent="0.25">
      <c r="B153">
        <v>28</v>
      </c>
      <c r="C153" t="s">
        <v>1056</v>
      </c>
      <c r="D153">
        <v>10.965</v>
      </c>
      <c r="E153" s="18">
        <v>-151</v>
      </c>
      <c r="F153" t="s">
        <v>889</v>
      </c>
      <c r="G153" t="s">
        <v>997</v>
      </c>
      <c r="I153"/>
      <c r="J153"/>
      <c r="L153"/>
      <c r="M153"/>
      <c r="O153"/>
      <c r="P153" s="20"/>
      <c r="Q153" s="20"/>
      <c r="R153" s="20"/>
      <c r="S153" s="20"/>
      <c r="T153" s="20"/>
      <c r="U153" t="s">
        <v>401</v>
      </c>
      <c r="W153" s="24"/>
      <c r="X153" s="25"/>
    </row>
    <row r="154" spans="2:24" x14ac:dyDescent="0.25">
      <c r="B154">
        <v>28</v>
      </c>
      <c r="C154" t="s">
        <v>1057</v>
      </c>
      <c r="D154">
        <v>2.75</v>
      </c>
      <c r="E154" s="18">
        <v>275</v>
      </c>
      <c r="F154" t="s">
        <v>889</v>
      </c>
      <c r="G154" t="s">
        <v>1058</v>
      </c>
      <c r="I154"/>
      <c r="J154"/>
      <c r="L154"/>
      <c r="M154"/>
      <c r="O154"/>
      <c r="P154" s="20"/>
      <c r="Q154" s="20"/>
      <c r="R154" s="20"/>
      <c r="S154" s="20"/>
      <c r="T154" s="20"/>
      <c r="U154" t="s">
        <v>401</v>
      </c>
      <c r="W154" s="24"/>
      <c r="X154" s="25"/>
    </row>
    <row r="155" spans="2:24" x14ac:dyDescent="0.25">
      <c r="B155">
        <v>28</v>
      </c>
      <c r="C155" t="s">
        <v>1032</v>
      </c>
      <c r="D155">
        <v>24.225000000000001</v>
      </c>
      <c r="E155" s="18">
        <v>-2422.5</v>
      </c>
      <c r="F155" t="s">
        <v>889</v>
      </c>
      <c r="G155" t="s">
        <v>1033</v>
      </c>
      <c r="I155"/>
      <c r="J155"/>
      <c r="L155"/>
      <c r="M155"/>
      <c r="O155"/>
      <c r="P155" s="20"/>
      <c r="Q155" s="20"/>
      <c r="R155" s="20"/>
      <c r="S155" s="20"/>
      <c r="T155" s="20"/>
      <c r="U155" t="s">
        <v>401</v>
      </c>
      <c r="W155" s="24"/>
      <c r="X155" s="25"/>
    </row>
    <row r="156" spans="2:24" x14ac:dyDescent="0.25">
      <c r="B156">
        <v>28</v>
      </c>
      <c r="C156" t="s">
        <v>991</v>
      </c>
      <c r="D156">
        <v>3.3149999999999999</v>
      </c>
      <c r="E156" s="18">
        <v>-74.800000000000011</v>
      </c>
      <c r="F156" t="s">
        <v>889</v>
      </c>
      <c r="G156" t="s">
        <v>992</v>
      </c>
      <c r="I156"/>
      <c r="J156"/>
      <c r="L156"/>
      <c r="M156"/>
      <c r="O156"/>
      <c r="P156" s="20"/>
      <c r="Q156" s="20"/>
      <c r="R156" s="20"/>
      <c r="S156" s="20"/>
      <c r="T156" s="20"/>
      <c r="U156" t="s">
        <v>401</v>
      </c>
      <c r="W156" s="24"/>
      <c r="X156" s="25"/>
    </row>
    <row r="157" spans="2:24" x14ac:dyDescent="0.25">
      <c r="B157">
        <v>28</v>
      </c>
      <c r="C157" t="s">
        <v>991</v>
      </c>
      <c r="E157" s="18">
        <v>-74.800000000000011</v>
      </c>
      <c r="G157" t="s">
        <v>992</v>
      </c>
      <c r="I157"/>
      <c r="J157"/>
      <c r="L157"/>
      <c r="M157"/>
      <c r="O157"/>
      <c r="P157" s="20"/>
      <c r="Q157" s="20"/>
      <c r="R157" s="20"/>
      <c r="S157" s="20"/>
      <c r="T157" s="20"/>
      <c r="U157" t="s">
        <v>401</v>
      </c>
      <c r="W157" s="24"/>
      <c r="X157" s="25"/>
    </row>
    <row r="158" spans="2:24" x14ac:dyDescent="0.25">
      <c r="B158">
        <v>28</v>
      </c>
      <c r="C158" t="s">
        <v>989</v>
      </c>
      <c r="D158">
        <v>3.8250000000000002</v>
      </c>
      <c r="E158" s="18">
        <v>-382.5</v>
      </c>
      <c r="F158" t="s">
        <v>889</v>
      </c>
      <c r="G158" t="s">
        <v>990</v>
      </c>
      <c r="I158"/>
      <c r="J158"/>
      <c r="L158"/>
      <c r="M158"/>
      <c r="O158"/>
      <c r="P158" s="20"/>
      <c r="Q158" s="20"/>
      <c r="R158" s="20"/>
      <c r="S158" s="20"/>
      <c r="T158" s="20"/>
      <c r="U158" t="s">
        <v>401</v>
      </c>
      <c r="W158" s="24"/>
      <c r="X158" s="25"/>
    </row>
    <row r="159" spans="2:24" x14ac:dyDescent="0.25">
      <c r="B159">
        <v>28</v>
      </c>
      <c r="C159" t="s">
        <v>979</v>
      </c>
      <c r="D159">
        <v>2.5</v>
      </c>
      <c r="E159" s="18">
        <v>31.666666666666668</v>
      </c>
      <c r="F159" t="s">
        <v>889</v>
      </c>
      <c r="G159" t="s">
        <v>980</v>
      </c>
      <c r="I159"/>
      <c r="J159"/>
      <c r="L159"/>
      <c r="M159"/>
      <c r="O159"/>
      <c r="P159" s="20"/>
      <c r="Q159" s="20"/>
      <c r="R159" s="20"/>
      <c r="S159" s="20"/>
      <c r="T159" s="20"/>
      <c r="U159" t="s">
        <v>401</v>
      </c>
      <c r="W159" s="24"/>
      <c r="X159" s="25"/>
    </row>
    <row r="160" spans="2:24" x14ac:dyDescent="0.25">
      <c r="B160">
        <v>28</v>
      </c>
      <c r="C160" t="s">
        <v>979</v>
      </c>
      <c r="E160" s="18">
        <v>31.666666666666668</v>
      </c>
      <c r="G160" t="s">
        <v>980</v>
      </c>
      <c r="I160"/>
      <c r="J160"/>
      <c r="L160"/>
      <c r="M160"/>
      <c r="O160"/>
      <c r="P160" s="20"/>
      <c r="Q160" s="20"/>
      <c r="R160" s="20"/>
      <c r="S160" s="20"/>
      <c r="T160" s="20"/>
      <c r="U160" t="s">
        <v>401</v>
      </c>
      <c r="W160" s="24"/>
      <c r="X160" s="25"/>
    </row>
    <row r="161" spans="1:24" x14ac:dyDescent="0.25">
      <c r="B161">
        <v>28</v>
      </c>
      <c r="C161" t="s">
        <v>1027</v>
      </c>
      <c r="D161">
        <v>8.4149999999999991</v>
      </c>
      <c r="E161" s="18">
        <v>-841.49999999999989</v>
      </c>
      <c r="F161" t="s">
        <v>889</v>
      </c>
      <c r="G161" t="s">
        <v>1028</v>
      </c>
      <c r="I161"/>
      <c r="J161"/>
      <c r="L161"/>
      <c r="M161"/>
      <c r="O161"/>
      <c r="P161" s="20"/>
      <c r="Q161" s="20"/>
      <c r="R161" s="20"/>
      <c r="S161" s="20"/>
      <c r="T161" s="20"/>
      <c r="U161" t="s">
        <v>401</v>
      </c>
      <c r="W161" s="24"/>
      <c r="X161" s="25"/>
    </row>
    <row r="162" spans="1:24" x14ac:dyDescent="0.25">
      <c r="B162">
        <v>28</v>
      </c>
      <c r="C162" t="s">
        <v>1059</v>
      </c>
      <c r="D162">
        <v>6</v>
      </c>
      <c r="E162" s="18">
        <v>600</v>
      </c>
      <c r="F162" t="s">
        <v>889</v>
      </c>
      <c r="G162" t="s">
        <v>1060</v>
      </c>
      <c r="I162"/>
      <c r="J162"/>
      <c r="L162"/>
      <c r="M162"/>
      <c r="O162"/>
      <c r="P162" s="20"/>
      <c r="Q162" s="20"/>
      <c r="R162" s="20"/>
      <c r="S162" s="20"/>
      <c r="T162" s="20"/>
      <c r="U162" t="s">
        <v>401</v>
      </c>
      <c r="W162" s="24"/>
      <c r="X162" s="25"/>
    </row>
    <row r="163" spans="1:24" x14ac:dyDescent="0.25">
      <c r="B163">
        <v>28</v>
      </c>
      <c r="C163" t="s">
        <v>1059</v>
      </c>
      <c r="D163">
        <v>6</v>
      </c>
      <c r="E163" s="18">
        <v>600</v>
      </c>
      <c r="F163" t="s">
        <v>889</v>
      </c>
      <c r="G163" t="s">
        <v>1060</v>
      </c>
      <c r="I163"/>
      <c r="J163"/>
      <c r="L163"/>
      <c r="M163"/>
      <c r="O163"/>
      <c r="P163" s="20"/>
      <c r="Q163" s="20"/>
      <c r="R163" s="20"/>
      <c r="S163" s="20"/>
      <c r="T163" s="20"/>
      <c r="U163" t="s">
        <v>401</v>
      </c>
      <c r="W163" s="24"/>
      <c r="X163" s="25"/>
    </row>
    <row r="164" spans="1:24" x14ac:dyDescent="0.25">
      <c r="A164" s="32">
        <v>42034</v>
      </c>
      <c r="B164" s="56">
        <v>32</v>
      </c>
      <c r="C164" s="20" t="s">
        <v>974</v>
      </c>
      <c r="D164" s="20"/>
      <c r="E164" s="18">
        <v>960.31000000000006</v>
      </c>
      <c r="F164" s="33" t="s">
        <v>889</v>
      </c>
      <c r="G164" s="33"/>
      <c r="H164" s="18"/>
      <c r="J164"/>
      <c r="L164"/>
      <c r="M164"/>
      <c r="N164" s="20" t="s">
        <v>401</v>
      </c>
      <c r="O164"/>
      <c r="P164" s="20"/>
      <c r="Q164" s="20"/>
      <c r="R164" s="20"/>
      <c r="S164" s="20"/>
      <c r="T164" s="20"/>
      <c r="W164" s="24"/>
      <c r="X164" s="25"/>
    </row>
    <row r="165" spans="1:24" x14ac:dyDescent="0.25">
      <c r="A165" s="3">
        <v>42041</v>
      </c>
      <c r="B165">
        <v>32</v>
      </c>
      <c r="C165" t="s">
        <v>1061</v>
      </c>
      <c r="E165" s="18">
        <v>83.333333333333329</v>
      </c>
      <c r="F165" t="s">
        <v>889</v>
      </c>
      <c r="G165" t="s">
        <v>1062</v>
      </c>
      <c r="I165"/>
      <c r="J165"/>
      <c r="L165"/>
      <c r="M165"/>
      <c r="O165"/>
      <c r="P165" s="20"/>
      <c r="Q165" s="20"/>
      <c r="R165" s="20"/>
      <c r="S165" s="20"/>
      <c r="T165" s="20"/>
      <c r="W165" s="24"/>
      <c r="X165" s="25"/>
    </row>
    <row r="166" spans="1:24" x14ac:dyDescent="0.25">
      <c r="A166" s="3">
        <v>41732</v>
      </c>
      <c r="B166" s="36">
        <v>33</v>
      </c>
      <c r="C166" t="s">
        <v>1063</v>
      </c>
      <c r="D166">
        <v>4.75</v>
      </c>
      <c r="E166" s="18">
        <v>593.75</v>
      </c>
      <c r="G166" t="s">
        <v>1064</v>
      </c>
      <c r="H166" s="18">
        <v>593.75</v>
      </c>
      <c r="I166" s="3">
        <v>41732</v>
      </c>
      <c r="J166"/>
      <c r="L166"/>
      <c r="M166"/>
      <c r="N166" s="20"/>
      <c r="O166"/>
      <c r="P166" s="20"/>
      <c r="Q166" s="20"/>
      <c r="R166" s="20"/>
      <c r="S166" s="20"/>
      <c r="T166" s="20"/>
      <c r="W166" s="24"/>
      <c r="X166" s="25"/>
    </row>
    <row r="167" spans="1:24" x14ac:dyDescent="0.25">
      <c r="A167" s="3">
        <v>42041</v>
      </c>
      <c r="B167">
        <v>34</v>
      </c>
      <c r="C167" t="s">
        <v>1065</v>
      </c>
      <c r="E167" s="18">
        <v>274.07578947368421</v>
      </c>
      <c r="F167" t="s">
        <v>889</v>
      </c>
      <c r="G167" t="s">
        <v>1066</v>
      </c>
      <c r="I167"/>
      <c r="J167"/>
      <c r="L167"/>
      <c r="M167"/>
      <c r="O167"/>
      <c r="P167" s="20"/>
      <c r="Q167" s="20"/>
      <c r="R167" s="20"/>
      <c r="S167" s="20"/>
      <c r="T167" s="20"/>
      <c r="W167" s="24"/>
      <c r="X167" s="25"/>
    </row>
    <row r="168" spans="1:24" x14ac:dyDescent="0.25">
      <c r="A168" s="3">
        <v>42041</v>
      </c>
      <c r="B168">
        <v>34</v>
      </c>
      <c r="C168" t="s">
        <v>1067</v>
      </c>
      <c r="E168" s="18">
        <v>321.3</v>
      </c>
      <c r="F168" t="s">
        <v>889</v>
      </c>
      <c r="G168" t="s">
        <v>1068</v>
      </c>
      <c r="I168"/>
      <c r="J168"/>
      <c r="L168"/>
      <c r="M168"/>
      <c r="O168"/>
      <c r="P168" s="20"/>
      <c r="Q168" s="20"/>
      <c r="R168" s="20"/>
      <c r="S168" s="20"/>
      <c r="T168" s="20"/>
      <c r="W168" s="24"/>
      <c r="X168" s="25"/>
    </row>
    <row r="169" spans="1:24" x14ac:dyDescent="0.25">
      <c r="A169" s="3">
        <v>42041</v>
      </c>
      <c r="B169">
        <v>34</v>
      </c>
      <c r="C169" t="s">
        <v>1069</v>
      </c>
      <c r="E169" s="18">
        <v>581.4</v>
      </c>
      <c r="F169" t="s">
        <v>889</v>
      </c>
      <c r="G169" t="s">
        <v>1070</v>
      </c>
      <c r="I169"/>
      <c r="J169"/>
      <c r="L169"/>
      <c r="M169"/>
      <c r="O169"/>
      <c r="P169" s="20"/>
      <c r="Q169" s="20"/>
      <c r="R169" s="20"/>
      <c r="S169" s="20"/>
      <c r="T169" s="20"/>
      <c r="W169" s="24"/>
      <c r="X169" s="25"/>
    </row>
    <row r="170" spans="1:24" x14ac:dyDescent="0.25">
      <c r="B170">
        <v>36</v>
      </c>
      <c r="C170" t="s">
        <v>1071</v>
      </c>
      <c r="E170" s="18">
        <v>-150</v>
      </c>
      <c r="G170" t="s">
        <v>442</v>
      </c>
      <c r="I170"/>
      <c r="J170"/>
      <c r="L170"/>
      <c r="M170"/>
      <c r="O170"/>
      <c r="P170" s="20"/>
      <c r="Q170" s="20"/>
      <c r="R170" s="20"/>
      <c r="S170" s="20"/>
      <c r="T170" s="20"/>
      <c r="U170" t="s">
        <v>401</v>
      </c>
      <c r="W170" s="24"/>
      <c r="X170" s="25"/>
    </row>
    <row r="171" spans="1:24" x14ac:dyDescent="0.25">
      <c r="B171">
        <v>36</v>
      </c>
      <c r="C171" t="s">
        <v>1072</v>
      </c>
      <c r="E171" s="18">
        <v>-571.50666666666666</v>
      </c>
      <c r="G171" t="s">
        <v>442</v>
      </c>
      <c r="I171"/>
      <c r="J171"/>
      <c r="L171"/>
      <c r="M171"/>
      <c r="O171"/>
      <c r="P171" s="20"/>
      <c r="Q171" s="20"/>
      <c r="R171" s="20"/>
      <c r="S171" s="20"/>
      <c r="T171" s="20"/>
      <c r="U171" t="s">
        <v>401</v>
      </c>
      <c r="W171" s="24"/>
      <c r="X171" s="25"/>
    </row>
    <row r="172" spans="1:24" x14ac:dyDescent="0.25">
      <c r="A172" s="3">
        <v>41768</v>
      </c>
      <c r="B172" s="36">
        <v>37</v>
      </c>
      <c r="C172" t="s">
        <v>1073</v>
      </c>
      <c r="E172" s="18">
        <v>784.09</v>
      </c>
      <c r="H172" s="18" t="s">
        <v>442</v>
      </c>
      <c r="I172" s="3" t="s">
        <v>442</v>
      </c>
      <c r="J172"/>
      <c r="L172"/>
      <c r="M172"/>
      <c r="N172" s="20"/>
      <c r="O172"/>
      <c r="P172" s="20" t="s">
        <v>401</v>
      </c>
      <c r="Q172" s="20"/>
      <c r="R172" s="20"/>
      <c r="S172" s="20"/>
      <c r="T172" s="20"/>
      <c r="W172" s="24"/>
      <c r="X172" s="25"/>
    </row>
    <row r="173" spans="1:24" x14ac:dyDescent="0.25">
      <c r="A173" s="3">
        <v>41775</v>
      </c>
      <c r="B173" s="36">
        <v>37</v>
      </c>
      <c r="C173" t="s">
        <v>1074</v>
      </c>
      <c r="D173">
        <v>17.75</v>
      </c>
      <c r="E173" s="18">
        <v>2218.75</v>
      </c>
      <c r="G173" t="s">
        <v>1075</v>
      </c>
      <c r="H173" s="18">
        <v>2218.75</v>
      </c>
      <c r="I173" s="3">
        <v>41775</v>
      </c>
      <c r="J173"/>
      <c r="L173"/>
      <c r="M173"/>
      <c r="N173" s="20"/>
      <c r="O173"/>
      <c r="P173" s="20"/>
      <c r="Q173" s="20"/>
      <c r="R173" s="20"/>
      <c r="S173" s="20"/>
      <c r="T173" s="20"/>
      <c r="W173" s="24"/>
      <c r="X173" s="25"/>
    </row>
    <row r="174" spans="1:24" x14ac:dyDescent="0.25">
      <c r="A174" s="3">
        <v>41782</v>
      </c>
      <c r="B174" s="36">
        <v>37</v>
      </c>
      <c r="C174" t="s">
        <v>1076</v>
      </c>
      <c r="D174">
        <v>4</v>
      </c>
      <c r="E174" s="18">
        <v>500</v>
      </c>
      <c r="G174" t="s">
        <v>1077</v>
      </c>
      <c r="H174" s="18">
        <v>500</v>
      </c>
      <c r="I174" s="3">
        <v>41782</v>
      </c>
      <c r="J174"/>
      <c r="L174"/>
      <c r="M174"/>
      <c r="N174" s="20"/>
      <c r="O174"/>
      <c r="P174" s="20"/>
      <c r="Q174" s="20"/>
      <c r="R174" s="20"/>
      <c r="S174" s="20"/>
      <c r="T174" s="20"/>
      <c r="W174" s="24"/>
      <c r="X174" s="25"/>
    </row>
    <row r="175" spans="1:24" x14ac:dyDescent="0.25">
      <c r="A175" s="3">
        <v>41803</v>
      </c>
      <c r="B175" s="36">
        <v>37</v>
      </c>
      <c r="C175" t="s">
        <v>1078</v>
      </c>
      <c r="E175" s="18">
        <v>1783.95</v>
      </c>
      <c r="H175" s="18" t="s">
        <v>442</v>
      </c>
      <c r="I175" s="3" t="s">
        <v>442</v>
      </c>
      <c r="J175"/>
      <c r="L175"/>
      <c r="M175"/>
      <c r="N175" s="20"/>
      <c r="O175"/>
      <c r="P175" s="20"/>
      <c r="Q175" s="20" t="s">
        <v>401</v>
      </c>
      <c r="R175" s="20"/>
      <c r="S175" s="20"/>
      <c r="T175" s="20"/>
      <c r="W175" s="24"/>
      <c r="X175" s="25"/>
    </row>
    <row r="176" spans="1:24" x14ac:dyDescent="0.25">
      <c r="A176" s="3">
        <v>41803</v>
      </c>
      <c r="B176" s="36">
        <v>37</v>
      </c>
      <c r="C176" t="s">
        <v>1078</v>
      </c>
      <c r="E176" s="18">
        <v>1408.95</v>
      </c>
      <c r="H176" s="18" t="s">
        <v>442</v>
      </c>
      <c r="I176" s="3" t="s">
        <v>442</v>
      </c>
      <c r="J176"/>
      <c r="L176"/>
      <c r="M176"/>
      <c r="N176" s="20"/>
      <c r="O176"/>
      <c r="P176" s="20"/>
      <c r="Q176" s="20" t="s">
        <v>401</v>
      </c>
      <c r="R176" s="20"/>
      <c r="S176" s="20"/>
      <c r="T176" s="20"/>
      <c r="W176" s="24"/>
      <c r="X176" s="25"/>
    </row>
    <row r="177" spans="1:24" x14ac:dyDescent="0.25">
      <c r="A177" s="3">
        <v>41803</v>
      </c>
      <c r="B177" s="36">
        <v>37</v>
      </c>
      <c r="C177" t="s">
        <v>1079</v>
      </c>
      <c r="E177" s="18">
        <v>470</v>
      </c>
      <c r="H177" s="18" t="s">
        <v>442</v>
      </c>
      <c r="I177" s="3" t="s">
        <v>442</v>
      </c>
      <c r="J177"/>
      <c r="L177"/>
      <c r="M177"/>
      <c r="N177" s="20"/>
      <c r="O177"/>
      <c r="P177" s="20"/>
      <c r="Q177" s="20" t="s">
        <v>401</v>
      </c>
      <c r="R177" s="20"/>
      <c r="S177" s="20"/>
      <c r="T177" s="20"/>
      <c r="W177" s="24"/>
      <c r="X177" s="25"/>
    </row>
    <row r="178" spans="1:24" x14ac:dyDescent="0.25">
      <c r="A178" s="3">
        <v>41803</v>
      </c>
      <c r="B178" s="36">
        <v>37</v>
      </c>
      <c r="C178" t="s">
        <v>1080</v>
      </c>
      <c r="E178" s="18">
        <v>3000</v>
      </c>
      <c r="G178" t="s">
        <v>442</v>
      </c>
      <c r="H178" s="18" t="s">
        <v>442</v>
      </c>
      <c r="I178" s="3" t="s">
        <v>442</v>
      </c>
      <c r="J178"/>
      <c r="L178"/>
      <c r="M178"/>
      <c r="N178" s="20"/>
      <c r="O178"/>
      <c r="P178" s="20"/>
      <c r="Q178" s="20"/>
      <c r="R178" s="20"/>
      <c r="S178" s="20" t="s">
        <v>401</v>
      </c>
      <c r="T178" s="20"/>
      <c r="W178" s="24"/>
      <c r="X178" s="25"/>
    </row>
    <row r="179" spans="1:24" x14ac:dyDescent="0.25">
      <c r="A179" s="3">
        <v>41803</v>
      </c>
      <c r="B179" s="36">
        <v>37</v>
      </c>
      <c r="C179" t="s">
        <v>1081</v>
      </c>
      <c r="E179" s="18">
        <v>985.95</v>
      </c>
      <c r="H179" s="18" t="s">
        <v>442</v>
      </c>
      <c r="I179" s="3" t="s">
        <v>442</v>
      </c>
      <c r="J179"/>
      <c r="L179"/>
      <c r="M179"/>
      <c r="N179" s="20"/>
      <c r="O179"/>
      <c r="P179" s="20" t="s">
        <v>401</v>
      </c>
      <c r="Q179" s="20"/>
      <c r="R179" s="20"/>
      <c r="S179" s="20"/>
      <c r="T179" s="20"/>
      <c r="W179" s="24"/>
      <c r="X179" s="25"/>
    </row>
    <row r="180" spans="1:24" x14ac:dyDescent="0.25">
      <c r="A180" s="3">
        <v>41810</v>
      </c>
      <c r="B180" s="36">
        <v>37</v>
      </c>
      <c r="C180" t="s">
        <v>926</v>
      </c>
      <c r="E180" s="18">
        <v>4277.5</v>
      </c>
      <c r="G180" t="s">
        <v>442</v>
      </c>
      <c r="H180" s="18" t="s">
        <v>442</v>
      </c>
      <c r="I180" s="3" t="s">
        <v>442</v>
      </c>
      <c r="J180"/>
      <c r="L180"/>
      <c r="M180"/>
      <c r="N180" s="40" t="s">
        <v>401</v>
      </c>
      <c r="O180"/>
      <c r="P180" s="20"/>
      <c r="Q180" s="20"/>
      <c r="R180" s="20"/>
      <c r="S180" s="20"/>
      <c r="T180" s="20"/>
      <c r="W180" s="24"/>
      <c r="X180" s="25"/>
    </row>
    <row r="181" spans="1:24" x14ac:dyDescent="0.25">
      <c r="A181" s="3">
        <v>41831</v>
      </c>
      <c r="B181" s="36">
        <v>37</v>
      </c>
      <c r="C181" t="s">
        <v>1082</v>
      </c>
      <c r="E181" s="18">
        <v>-6</v>
      </c>
      <c r="H181" s="18" t="s">
        <v>442</v>
      </c>
      <c r="I181" s="3" t="s">
        <v>442</v>
      </c>
      <c r="J181"/>
      <c r="L181"/>
      <c r="M181"/>
      <c r="N181" s="20"/>
      <c r="O181" t="s">
        <v>1083</v>
      </c>
      <c r="P181" s="20"/>
      <c r="Q181" s="20" t="s">
        <v>401</v>
      </c>
      <c r="R181" s="20"/>
      <c r="S181" s="20"/>
      <c r="T181" s="20"/>
      <c r="W181" s="24"/>
      <c r="X181" s="25"/>
    </row>
    <row r="182" spans="1:24" x14ac:dyDescent="0.25">
      <c r="A182" s="3">
        <v>41831</v>
      </c>
      <c r="B182" s="36">
        <v>37</v>
      </c>
      <c r="C182" t="s">
        <v>1082</v>
      </c>
      <c r="E182" s="18">
        <v>-3.375</v>
      </c>
      <c r="H182" s="18" t="s">
        <v>442</v>
      </c>
      <c r="I182" s="3" t="s">
        <v>442</v>
      </c>
      <c r="J182" s="20"/>
      <c r="K182" s="20"/>
      <c r="L182" s="20"/>
      <c r="M182" s="20"/>
      <c r="N182" s="20"/>
      <c r="O182" t="s">
        <v>1084</v>
      </c>
      <c r="P182" s="20"/>
      <c r="Q182" s="20" t="s">
        <v>401</v>
      </c>
      <c r="R182" s="20"/>
      <c r="S182" s="20"/>
      <c r="T182" s="20"/>
      <c r="W182" s="24"/>
      <c r="X182" s="25"/>
    </row>
    <row r="183" spans="1:24" x14ac:dyDescent="0.25">
      <c r="A183" s="3">
        <v>41831</v>
      </c>
      <c r="B183" s="36">
        <v>37</v>
      </c>
      <c r="C183" t="s">
        <v>1085</v>
      </c>
      <c r="D183">
        <v>9</v>
      </c>
      <c r="E183" s="18">
        <v>900</v>
      </c>
      <c r="G183" s="20" t="s">
        <v>1086</v>
      </c>
      <c r="H183" s="18">
        <v>900</v>
      </c>
      <c r="I183" s="3">
        <v>41831</v>
      </c>
      <c r="J183" s="20"/>
      <c r="K183" s="20"/>
      <c r="L183" s="20"/>
      <c r="M183" s="20"/>
      <c r="N183" s="20"/>
      <c r="O183" t="s">
        <v>1087</v>
      </c>
      <c r="P183" s="20"/>
      <c r="Q183" s="20"/>
      <c r="R183" s="20"/>
      <c r="S183" s="20"/>
      <c r="T183" s="20"/>
      <c r="W183" s="24"/>
      <c r="X183" s="25"/>
    </row>
    <row r="184" spans="1:24" x14ac:dyDescent="0.25">
      <c r="A184" s="3">
        <v>41831</v>
      </c>
      <c r="B184" s="36">
        <v>37</v>
      </c>
      <c r="C184" t="s">
        <v>1088</v>
      </c>
      <c r="D184">
        <v>20</v>
      </c>
      <c r="E184" s="18">
        <v>2000</v>
      </c>
      <c r="G184" s="20" t="s">
        <v>1086</v>
      </c>
      <c r="H184" s="18">
        <v>2000</v>
      </c>
      <c r="I184" s="3">
        <v>41831</v>
      </c>
      <c r="J184" s="20"/>
      <c r="K184" s="20"/>
      <c r="L184" s="20"/>
      <c r="M184" s="20"/>
      <c r="N184" s="20"/>
      <c r="O184" t="s">
        <v>1087</v>
      </c>
      <c r="P184" s="20"/>
      <c r="Q184" s="20"/>
      <c r="R184" s="20"/>
      <c r="S184" s="20"/>
      <c r="T184" s="20"/>
      <c r="W184" s="24"/>
      <c r="X184" s="25"/>
    </row>
    <row r="185" spans="1:24" x14ac:dyDescent="0.25">
      <c r="A185" s="3">
        <v>41831</v>
      </c>
      <c r="B185" s="36">
        <v>37</v>
      </c>
      <c r="C185" t="s">
        <v>1089</v>
      </c>
      <c r="E185" s="18">
        <v>-3.266</v>
      </c>
      <c r="H185" s="18" t="s">
        <v>442</v>
      </c>
      <c r="I185" s="3" t="s">
        <v>442</v>
      </c>
      <c r="J185" s="20"/>
      <c r="K185" s="20"/>
      <c r="L185" s="20"/>
      <c r="M185" s="20"/>
      <c r="N185" s="20"/>
      <c r="O185" t="s">
        <v>1090</v>
      </c>
      <c r="P185" s="20"/>
      <c r="Q185" s="20" t="s">
        <v>401</v>
      </c>
      <c r="R185" s="20"/>
      <c r="S185" s="20"/>
      <c r="T185" s="20"/>
      <c r="W185" s="24"/>
      <c r="X185" s="25"/>
    </row>
    <row r="186" spans="1:24" x14ac:dyDescent="0.25">
      <c r="A186" s="3">
        <v>41831</v>
      </c>
      <c r="B186" s="36">
        <v>37</v>
      </c>
      <c r="C186" t="s">
        <v>1091</v>
      </c>
      <c r="D186">
        <v>10.75</v>
      </c>
      <c r="E186" s="18">
        <v>1075</v>
      </c>
      <c r="G186" s="20" t="s">
        <v>1086</v>
      </c>
      <c r="H186" s="18">
        <v>1075</v>
      </c>
      <c r="I186" s="3">
        <v>41831</v>
      </c>
      <c r="J186" s="20"/>
      <c r="K186" s="20"/>
      <c r="L186" s="20"/>
      <c r="M186" s="20"/>
      <c r="N186" s="20"/>
      <c r="O186" t="s">
        <v>1087</v>
      </c>
      <c r="P186" s="20"/>
      <c r="Q186" s="20"/>
      <c r="R186" s="20"/>
      <c r="S186" s="20"/>
      <c r="T186" s="20"/>
      <c r="W186" s="24"/>
      <c r="X186" s="25"/>
    </row>
    <row r="187" spans="1:24" x14ac:dyDescent="0.25">
      <c r="A187" s="3">
        <v>41851</v>
      </c>
      <c r="B187" s="36">
        <v>37</v>
      </c>
      <c r="C187" t="s">
        <v>1092</v>
      </c>
      <c r="D187">
        <v>10.75</v>
      </c>
      <c r="E187" s="18">
        <v>215</v>
      </c>
      <c r="F187" t="s">
        <v>889</v>
      </c>
      <c r="G187" s="20" t="s">
        <v>1086</v>
      </c>
      <c r="H187" s="18">
        <v>215</v>
      </c>
      <c r="I187" s="3">
        <v>41851</v>
      </c>
      <c r="J187" s="20"/>
      <c r="K187" s="20"/>
      <c r="L187" s="20"/>
      <c r="M187" s="20"/>
      <c r="N187" s="20"/>
      <c r="O187"/>
      <c r="P187" s="20"/>
      <c r="Q187" s="20"/>
      <c r="R187" s="20"/>
      <c r="S187" s="20"/>
      <c r="T187" s="20"/>
    </row>
    <row r="188" spans="1:24" x14ac:dyDescent="0.25">
      <c r="A188" s="3">
        <v>41851</v>
      </c>
      <c r="B188" s="36">
        <v>37</v>
      </c>
      <c r="C188" t="s">
        <v>1093</v>
      </c>
      <c r="D188">
        <v>13.25</v>
      </c>
      <c r="E188" s="18">
        <v>265</v>
      </c>
      <c r="F188" t="s">
        <v>889</v>
      </c>
      <c r="G188" s="20" t="s">
        <v>1086</v>
      </c>
      <c r="H188" s="18">
        <v>265</v>
      </c>
      <c r="I188" s="3">
        <v>41851</v>
      </c>
      <c r="J188" s="20"/>
      <c r="K188" s="20"/>
      <c r="L188" s="20"/>
      <c r="M188" s="20"/>
      <c r="N188" s="20"/>
      <c r="O188"/>
      <c r="P188" s="20"/>
      <c r="Q188" s="20"/>
      <c r="R188" s="20"/>
      <c r="S188" s="20"/>
      <c r="T188" s="20"/>
    </row>
    <row r="189" spans="1:24" x14ac:dyDescent="0.25">
      <c r="A189" s="3">
        <v>41851</v>
      </c>
      <c r="B189" s="36">
        <v>37</v>
      </c>
      <c r="C189" t="s">
        <v>1094</v>
      </c>
      <c r="D189">
        <v>9</v>
      </c>
      <c r="E189" s="18">
        <v>180</v>
      </c>
      <c r="F189" t="s">
        <v>889</v>
      </c>
      <c r="G189" s="20" t="s">
        <v>1086</v>
      </c>
      <c r="H189" s="18">
        <v>180</v>
      </c>
      <c r="I189" s="3">
        <v>41851</v>
      </c>
      <c r="J189" s="20"/>
      <c r="K189" s="20"/>
      <c r="L189" s="20"/>
      <c r="M189" s="20"/>
      <c r="N189" s="20"/>
      <c r="O189"/>
      <c r="P189" s="20"/>
      <c r="Q189" s="20"/>
      <c r="R189" s="20"/>
      <c r="S189" s="20"/>
      <c r="T189" s="20"/>
    </row>
    <row r="190" spans="1:24" x14ac:dyDescent="0.25">
      <c r="A190" s="3">
        <v>41851</v>
      </c>
      <c r="B190" s="36">
        <v>37</v>
      </c>
      <c r="C190" t="s">
        <v>1095</v>
      </c>
      <c r="D190">
        <v>9.5</v>
      </c>
      <c r="E190" s="18">
        <v>190</v>
      </c>
      <c r="F190" t="s">
        <v>889</v>
      </c>
      <c r="G190" s="20" t="s">
        <v>1086</v>
      </c>
      <c r="H190" s="18">
        <v>190</v>
      </c>
      <c r="I190" s="3">
        <v>41851</v>
      </c>
      <c r="J190" s="20"/>
      <c r="K190" s="20"/>
      <c r="L190" s="20"/>
      <c r="M190" s="20"/>
      <c r="N190" s="20"/>
      <c r="O190"/>
      <c r="P190" s="20"/>
      <c r="Q190" s="20"/>
      <c r="R190" s="20"/>
      <c r="S190" s="20"/>
      <c r="T190" s="20"/>
    </row>
    <row r="191" spans="1:24" x14ac:dyDescent="0.25">
      <c r="A191" s="3">
        <v>41851</v>
      </c>
      <c r="B191" s="36">
        <v>37</v>
      </c>
      <c r="C191" t="s">
        <v>1096</v>
      </c>
      <c r="D191">
        <v>9.75</v>
      </c>
      <c r="E191" s="18">
        <v>195</v>
      </c>
      <c r="F191" t="s">
        <v>889</v>
      </c>
      <c r="G191" s="20" t="s">
        <v>1086</v>
      </c>
      <c r="H191" s="18">
        <v>195</v>
      </c>
      <c r="I191" s="3">
        <v>41851</v>
      </c>
      <c r="J191" s="20"/>
      <c r="K191" s="20"/>
      <c r="L191" s="20"/>
      <c r="M191" s="20"/>
      <c r="N191" s="20"/>
      <c r="O191"/>
      <c r="P191" s="20"/>
      <c r="Q191" s="20"/>
      <c r="R191" s="20"/>
      <c r="S191" s="20"/>
      <c r="T191" s="20"/>
    </row>
    <row r="192" spans="1:24" x14ac:dyDescent="0.25">
      <c r="A192" s="3">
        <v>41858</v>
      </c>
      <c r="B192" s="36">
        <v>37</v>
      </c>
      <c r="C192" t="s">
        <v>1094</v>
      </c>
      <c r="D192">
        <v>9</v>
      </c>
      <c r="E192" s="18">
        <v>900</v>
      </c>
      <c r="F192" t="s">
        <v>889</v>
      </c>
      <c r="G192" s="20" t="s">
        <v>1086</v>
      </c>
      <c r="H192" s="18">
        <v>900</v>
      </c>
      <c r="I192" s="3">
        <v>41858</v>
      </c>
      <c r="J192" s="20"/>
      <c r="K192" s="20"/>
      <c r="L192" s="20"/>
      <c r="M192" s="20"/>
      <c r="N192" s="20"/>
      <c r="O192"/>
      <c r="P192" s="20"/>
      <c r="Q192" s="20"/>
      <c r="R192" s="20"/>
      <c r="S192" s="20"/>
      <c r="T192" s="20"/>
    </row>
    <row r="193" spans="1:20" x14ac:dyDescent="0.25">
      <c r="A193" s="3">
        <v>41862</v>
      </c>
      <c r="B193" s="36">
        <v>37</v>
      </c>
      <c r="C193" t="s">
        <v>1097</v>
      </c>
      <c r="E193" s="18">
        <v>5000</v>
      </c>
      <c r="G193" t="s">
        <v>442</v>
      </c>
      <c r="H193" s="18" t="s">
        <v>442</v>
      </c>
      <c r="I193" s="3" t="s">
        <v>442</v>
      </c>
      <c r="J193"/>
      <c r="L193"/>
      <c r="M193"/>
      <c r="N193" s="20"/>
      <c r="O193"/>
      <c r="P193" s="20"/>
      <c r="Q193" s="20"/>
      <c r="R193" s="20"/>
      <c r="S193" s="20"/>
      <c r="T193" s="20" t="s">
        <v>401</v>
      </c>
    </row>
    <row r="194" spans="1:20" x14ac:dyDescent="0.25">
      <c r="A194" s="3">
        <v>41866</v>
      </c>
      <c r="B194" s="36">
        <v>37</v>
      </c>
      <c r="C194" t="s">
        <v>954</v>
      </c>
      <c r="E194" s="18">
        <v>2971.6</v>
      </c>
      <c r="G194" t="s">
        <v>442</v>
      </c>
      <c r="H194" s="18" t="s">
        <v>442</v>
      </c>
      <c r="I194" s="3" t="s">
        <v>442</v>
      </c>
      <c r="J194"/>
      <c r="L194"/>
      <c r="M194"/>
      <c r="N194" s="20" t="s">
        <v>401</v>
      </c>
      <c r="O194"/>
      <c r="P194" s="20"/>
      <c r="Q194" s="20"/>
      <c r="R194" s="20"/>
      <c r="S194" s="20"/>
      <c r="T194" s="20"/>
    </row>
    <row r="195" spans="1:20" x14ac:dyDescent="0.25">
      <c r="A195" s="3">
        <v>41901</v>
      </c>
      <c r="B195" s="36">
        <v>37</v>
      </c>
      <c r="C195" t="s">
        <v>1098</v>
      </c>
      <c r="E195" s="18">
        <v>2086.1750000000002</v>
      </c>
      <c r="F195" t="s">
        <v>889</v>
      </c>
      <c r="G195" t="s">
        <v>442</v>
      </c>
      <c r="H195" s="18" t="s">
        <v>442</v>
      </c>
      <c r="I195" s="3" t="s">
        <v>442</v>
      </c>
      <c r="J195"/>
      <c r="L195"/>
      <c r="M195"/>
      <c r="N195" s="20" t="s">
        <v>401</v>
      </c>
      <c r="O195"/>
      <c r="P195" s="20"/>
      <c r="Q195" s="20"/>
      <c r="R195" s="20"/>
      <c r="S195" s="20"/>
      <c r="T195" s="20"/>
    </row>
    <row r="196" spans="1:20" x14ac:dyDescent="0.25">
      <c r="A196" s="3">
        <v>41901</v>
      </c>
      <c r="B196" s="36">
        <v>37</v>
      </c>
      <c r="C196" t="s">
        <v>1099</v>
      </c>
      <c r="D196">
        <v>11</v>
      </c>
      <c r="E196" s="18">
        <v>1100</v>
      </c>
      <c r="F196" t="s">
        <v>889</v>
      </c>
      <c r="G196" t="s">
        <v>1100</v>
      </c>
      <c r="H196" s="18">
        <v>1100</v>
      </c>
      <c r="I196" s="3">
        <v>41901</v>
      </c>
      <c r="J196"/>
      <c r="L196"/>
      <c r="M196"/>
      <c r="N196" s="20"/>
      <c r="O196"/>
      <c r="P196" s="20"/>
      <c r="Q196" s="20"/>
      <c r="R196" s="20"/>
      <c r="S196" s="20"/>
      <c r="T196" s="20"/>
    </row>
    <row r="197" spans="1:20" x14ac:dyDescent="0.25">
      <c r="A197" s="3">
        <v>41901</v>
      </c>
      <c r="B197" s="36">
        <v>37</v>
      </c>
      <c r="C197" t="s">
        <v>1101</v>
      </c>
      <c r="E197" s="18">
        <v>-5.4</v>
      </c>
      <c r="F197" t="s">
        <v>889</v>
      </c>
      <c r="H197" s="18" t="s">
        <v>442</v>
      </c>
      <c r="I197" s="3" t="s">
        <v>442</v>
      </c>
      <c r="J197"/>
      <c r="L197"/>
      <c r="M197"/>
      <c r="N197" s="20"/>
      <c r="O197"/>
      <c r="P197" s="20"/>
      <c r="Q197" s="20" t="s">
        <v>401</v>
      </c>
      <c r="R197" s="20"/>
      <c r="S197" s="20"/>
      <c r="T197" s="20"/>
    </row>
    <row r="198" spans="1:20" x14ac:dyDescent="0.25">
      <c r="A198" s="3">
        <v>41901</v>
      </c>
      <c r="B198" s="36">
        <v>37</v>
      </c>
      <c r="C198" t="s">
        <v>1076</v>
      </c>
      <c r="D198">
        <v>7.5</v>
      </c>
      <c r="E198" s="18">
        <v>805.37974683544326</v>
      </c>
      <c r="F198" t="s">
        <v>889</v>
      </c>
      <c r="G198" t="s">
        <v>1077</v>
      </c>
      <c r="H198" s="18">
        <v>805.37974683544326</v>
      </c>
      <c r="I198" s="3">
        <v>41901</v>
      </c>
      <c r="J198"/>
      <c r="L198"/>
      <c r="M198"/>
      <c r="N198" s="20"/>
      <c r="O198" t="s">
        <v>1102</v>
      </c>
      <c r="P198" s="20"/>
      <c r="Q198" s="20"/>
      <c r="R198" s="20"/>
      <c r="S198" s="20"/>
      <c r="T198" s="20"/>
    </row>
    <row r="199" spans="1:20" x14ac:dyDescent="0.25">
      <c r="A199" s="3">
        <v>41901</v>
      </c>
      <c r="B199" s="36">
        <v>37</v>
      </c>
      <c r="C199" t="s">
        <v>1103</v>
      </c>
      <c r="D199">
        <v>9.5</v>
      </c>
      <c r="E199" s="18">
        <v>950</v>
      </c>
      <c r="F199" t="s">
        <v>889</v>
      </c>
      <c r="G199" s="20" t="s">
        <v>1086</v>
      </c>
      <c r="H199" s="18">
        <v>950</v>
      </c>
      <c r="I199" s="3">
        <v>41901</v>
      </c>
      <c r="J199" s="20"/>
      <c r="K199" s="20"/>
      <c r="L199" s="20"/>
      <c r="M199" s="20"/>
      <c r="N199" s="20"/>
      <c r="O199"/>
      <c r="P199" s="20"/>
      <c r="Q199" s="20"/>
      <c r="R199" s="20"/>
      <c r="S199" s="20"/>
      <c r="T199" s="20"/>
    </row>
    <row r="200" spans="1:20" x14ac:dyDescent="0.25">
      <c r="A200" s="3">
        <v>41901</v>
      </c>
      <c r="B200" s="36">
        <v>37</v>
      </c>
      <c r="C200" t="s">
        <v>1097</v>
      </c>
      <c r="E200" s="18">
        <v>-5000</v>
      </c>
      <c r="F200" t="s">
        <v>889</v>
      </c>
      <c r="G200" t="s">
        <v>442</v>
      </c>
      <c r="H200" s="18" t="s">
        <v>442</v>
      </c>
      <c r="I200" s="3" t="s">
        <v>442</v>
      </c>
      <c r="J200"/>
      <c r="L200"/>
      <c r="M200"/>
      <c r="N200" s="20"/>
      <c r="O200"/>
      <c r="P200" s="20"/>
      <c r="Q200" s="20"/>
      <c r="R200" s="20"/>
      <c r="S200" s="20"/>
      <c r="T200" s="20" t="s">
        <v>401</v>
      </c>
    </row>
    <row r="201" spans="1:20" x14ac:dyDescent="0.25">
      <c r="A201" s="3">
        <v>41901</v>
      </c>
      <c r="B201" s="36">
        <v>37</v>
      </c>
      <c r="C201" t="s">
        <v>1104</v>
      </c>
      <c r="E201" s="18">
        <v>-2.5403225809999999</v>
      </c>
      <c r="F201" t="s">
        <v>889</v>
      </c>
      <c r="G201" t="s">
        <v>442</v>
      </c>
      <c r="H201" s="18" t="s">
        <v>442</v>
      </c>
      <c r="I201" s="3" t="s">
        <v>442</v>
      </c>
      <c r="J201"/>
      <c r="L201"/>
      <c r="M201"/>
      <c r="N201" s="20"/>
      <c r="O201" t="s">
        <v>1105</v>
      </c>
      <c r="P201" s="20"/>
      <c r="Q201" s="20" t="s">
        <v>401</v>
      </c>
      <c r="R201" s="20"/>
      <c r="S201" s="20"/>
      <c r="T201" s="20"/>
    </row>
    <row r="202" spans="1:20" x14ac:dyDescent="0.25">
      <c r="A202" s="3">
        <v>41901</v>
      </c>
      <c r="B202" s="36">
        <v>37</v>
      </c>
      <c r="C202" t="s">
        <v>1106</v>
      </c>
      <c r="E202" s="18">
        <v>-2.5403225809999999</v>
      </c>
      <c r="F202" t="s">
        <v>889</v>
      </c>
      <c r="G202" t="s">
        <v>442</v>
      </c>
      <c r="H202" s="18" t="s">
        <v>442</v>
      </c>
      <c r="I202" s="3" t="s">
        <v>442</v>
      </c>
      <c r="J202"/>
      <c r="L202"/>
      <c r="M202"/>
      <c r="N202" s="20"/>
      <c r="O202" t="s">
        <v>1107</v>
      </c>
      <c r="P202" s="20"/>
      <c r="Q202" s="20" t="s">
        <v>401</v>
      </c>
      <c r="R202" s="20"/>
      <c r="S202" s="20"/>
      <c r="T202" s="20"/>
    </row>
    <row r="203" spans="1:20" x14ac:dyDescent="0.25">
      <c r="A203" s="3">
        <v>41901</v>
      </c>
      <c r="B203" s="36">
        <v>37</v>
      </c>
      <c r="C203" t="s">
        <v>1108</v>
      </c>
      <c r="E203" s="18">
        <v>-2.5403225809999999</v>
      </c>
      <c r="F203" t="s">
        <v>889</v>
      </c>
      <c r="G203" t="s">
        <v>442</v>
      </c>
      <c r="H203" s="18" t="s">
        <v>442</v>
      </c>
      <c r="I203" s="3" t="s">
        <v>442</v>
      </c>
      <c r="J203"/>
      <c r="L203"/>
      <c r="M203"/>
      <c r="N203" s="20"/>
      <c r="O203" t="s">
        <v>1109</v>
      </c>
      <c r="P203" s="20"/>
      <c r="Q203" s="20" t="s">
        <v>401</v>
      </c>
      <c r="R203" s="20"/>
      <c r="S203" s="20"/>
      <c r="T203" s="20"/>
    </row>
    <row r="204" spans="1:20" x14ac:dyDescent="0.25">
      <c r="A204" s="3">
        <v>41901</v>
      </c>
      <c r="B204" s="36">
        <v>37</v>
      </c>
      <c r="C204" t="s">
        <v>1110</v>
      </c>
      <c r="E204" s="18">
        <v>-2.625</v>
      </c>
      <c r="F204" t="s">
        <v>889</v>
      </c>
      <c r="G204" t="s">
        <v>442</v>
      </c>
      <c r="H204" s="18" t="s">
        <v>442</v>
      </c>
      <c r="I204" s="3" t="s">
        <v>442</v>
      </c>
      <c r="J204"/>
      <c r="L204"/>
      <c r="M204"/>
      <c r="N204" s="20"/>
      <c r="O204"/>
      <c r="P204" s="20"/>
      <c r="Q204" s="20" t="s">
        <v>401</v>
      </c>
      <c r="R204" s="20"/>
      <c r="S204" s="20"/>
      <c r="T204" s="20"/>
    </row>
    <row r="205" spans="1:20" x14ac:dyDescent="0.25">
      <c r="A205" s="3">
        <v>41901</v>
      </c>
      <c r="B205" s="36">
        <v>37</v>
      </c>
      <c r="C205" t="s">
        <v>1111</v>
      </c>
      <c r="E205" s="18">
        <v>-2.625</v>
      </c>
      <c r="F205" t="s">
        <v>891</v>
      </c>
      <c r="G205" t="s">
        <v>442</v>
      </c>
      <c r="H205" s="18" t="s">
        <v>442</v>
      </c>
      <c r="I205" s="3" t="s">
        <v>442</v>
      </c>
      <c r="J205"/>
      <c r="L205"/>
      <c r="M205"/>
      <c r="N205" s="20"/>
      <c r="O205"/>
      <c r="P205" s="20"/>
      <c r="Q205" s="20" t="s">
        <v>401</v>
      </c>
      <c r="R205" s="20"/>
      <c r="S205" s="20"/>
      <c r="T205" s="20"/>
    </row>
    <row r="206" spans="1:20" x14ac:dyDescent="0.25">
      <c r="A206" s="3">
        <v>41901</v>
      </c>
      <c r="B206" s="36">
        <v>37</v>
      </c>
      <c r="C206" t="s">
        <v>1112</v>
      </c>
      <c r="D206">
        <v>8.25</v>
      </c>
      <c r="E206" s="18">
        <v>825</v>
      </c>
      <c r="F206" t="s">
        <v>889</v>
      </c>
      <c r="G206" t="s">
        <v>1113</v>
      </c>
      <c r="H206" s="18">
        <v>825</v>
      </c>
      <c r="I206" s="3">
        <v>41901</v>
      </c>
      <c r="J206"/>
      <c r="L206"/>
      <c r="M206"/>
      <c r="N206" s="20"/>
      <c r="O206"/>
      <c r="P206" s="20"/>
      <c r="Q206" s="20"/>
      <c r="R206" s="20"/>
      <c r="S206" s="20"/>
      <c r="T206" s="20"/>
    </row>
    <row r="207" spans="1:20" x14ac:dyDescent="0.25">
      <c r="A207" s="3">
        <v>41907</v>
      </c>
      <c r="B207" s="36">
        <v>37</v>
      </c>
      <c r="C207" t="s">
        <v>1098</v>
      </c>
      <c r="E207" s="18">
        <v>2545.65</v>
      </c>
      <c r="F207" t="s">
        <v>889</v>
      </c>
      <c r="G207" t="s">
        <v>442</v>
      </c>
      <c r="H207" s="18" t="s">
        <v>442</v>
      </c>
      <c r="I207" s="3" t="s">
        <v>442</v>
      </c>
      <c r="J207"/>
      <c r="L207"/>
      <c r="M207"/>
      <c r="N207" s="20" t="s">
        <v>401</v>
      </c>
      <c r="O207"/>
      <c r="P207" s="20"/>
      <c r="Q207" s="20"/>
      <c r="R207" s="20"/>
      <c r="S207" s="20"/>
      <c r="T207" s="20"/>
    </row>
    <row r="208" spans="1:20" x14ac:dyDescent="0.25">
      <c r="A208" s="3">
        <v>41907</v>
      </c>
      <c r="B208" s="36">
        <v>37</v>
      </c>
      <c r="C208" t="s">
        <v>1114</v>
      </c>
      <c r="D208">
        <v>5.5</v>
      </c>
      <c r="E208" s="18">
        <v>550</v>
      </c>
      <c r="F208" t="s">
        <v>889</v>
      </c>
      <c r="G208" t="s">
        <v>1115</v>
      </c>
      <c r="H208" s="18">
        <v>550</v>
      </c>
      <c r="I208" s="3">
        <v>41907</v>
      </c>
      <c r="J208"/>
      <c r="L208"/>
      <c r="M208"/>
      <c r="N208" s="20"/>
      <c r="O208"/>
      <c r="P208" s="20"/>
      <c r="Q208" s="20"/>
      <c r="R208" s="20"/>
      <c r="S208" s="20"/>
      <c r="T208" s="20"/>
    </row>
    <row r="209" spans="1:20" x14ac:dyDescent="0.25">
      <c r="A209" s="3">
        <v>41907</v>
      </c>
      <c r="B209" s="36">
        <v>37</v>
      </c>
      <c r="C209" t="s">
        <v>1116</v>
      </c>
      <c r="E209" s="18">
        <v>0.01</v>
      </c>
      <c r="F209" t="s">
        <v>889</v>
      </c>
      <c r="G209" t="s">
        <v>442</v>
      </c>
      <c r="H209" s="18" t="s">
        <v>442</v>
      </c>
      <c r="I209" s="3" t="s">
        <v>442</v>
      </c>
      <c r="J209"/>
      <c r="L209"/>
      <c r="M209"/>
      <c r="N209" s="20"/>
      <c r="O209"/>
      <c r="P209" s="20"/>
      <c r="Q209" s="20"/>
      <c r="R209" s="20"/>
      <c r="S209" s="20" t="s">
        <v>401</v>
      </c>
      <c r="T209" s="20"/>
    </row>
    <row r="210" spans="1:20" x14ac:dyDescent="0.25">
      <c r="A210" s="3">
        <v>41907</v>
      </c>
      <c r="B210" s="36">
        <v>37</v>
      </c>
      <c r="C210" t="s">
        <v>1117</v>
      </c>
      <c r="E210" s="18">
        <v>-2.625</v>
      </c>
      <c r="F210" t="s">
        <v>891</v>
      </c>
      <c r="G210" t="s">
        <v>442</v>
      </c>
      <c r="H210" s="18" t="s">
        <v>442</v>
      </c>
      <c r="I210" s="3" t="s">
        <v>442</v>
      </c>
      <c r="J210"/>
      <c r="L210"/>
      <c r="M210"/>
      <c r="N210" s="20"/>
      <c r="O210"/>
      <c r="P210" s="20"/>
      <c r="Q210" s="20" t="s">
        <v>401</v>
      </c>
      <c r="R210" s="20"/>
      <c r="S210" s="20"/>
      <c r="T210" s="20"/>
    </row>
    <row r="211" spans="1:20" x14ac:dyDescent="0.25">
      <c r="A211" s="3">
        <v>41915</v>
      </c>
      <c r="B211" s="36">
        <v>37</v>
      </c>
      <c r="C211" t="s">
        <v>1118</v>
      </c>
      <c r="E211" s="18">
        <v>27.54</v>
      </c>
      <c r="F211" t="s">
        <v>891</v>
      </c>
      <c r="H211" s="18" t="s">
        <v>442</v>
      </c>
      <c r="I211" s="3" t="s">
        <v>442</v>
      </c>
      <c r="J211"/>
      <c r="L211"/>
      <c r="M211"/>
      <c r="N211" s="20"/>
      <c r="O211"/>
      <c r="P211" s="20"/>
      <c r="Q211" s="20" t="s">
        <v>401</v>
      </c>
      <c r="R211" s="20"/>
      <c r="S211" s="20"/>
      <c r="T211" s="20"/>
    </row>
    <row r="212" spans="1:20" x14ac:dyDescent="0.25">
      <c r="A212" s="3">
        <v>41915</v>
      </c>
      <c r="B212" s="36">
        <v>37</v>
      </c>
      <c r="C212" t="s">
        <v>1119</v>
      </c>
      <c r="D212">
        <v>6</v>
      </c>
      <c r="E212" s="18">
        <v>600</v>
      </c>
      <c r="F212" t="s">
        <v>889</v>
      </c>
      <c r="G212" t="s">
        <v>1120</v>
      </c>
      <c r="H212" s="18">
        <v>600</v>
      </c>
      <c r="I212" s="3">
        <v>41915</v>
      </c>
      <c r="J212"/>
      <c r="L212"/>
      <c r="M212"/>
      <c r="N212" s="20"/>
      <c r="O212"/>
      <c r="P212" s="20"/>
      <c r="Q212" s="20"/>
      <c r="R212" s="20"/>
      <c r="S212" s="20"/>
      <c r="T212" s="20"/>
    </row>
    <row r="213" spans="1:20" x14ac:dyDescent="0.25">
      <c r="A213" s="3">
        <v>41915</v>
      </c>
      <c r="B213" s="36">
        <v>37</v>
      </c>
      <c r="C213" t="s">
        <v>1121</v>
      </c>
      <c r="E213" s="18">
        <v>2140.6459677429998</v>
      </c>
      <c r="H213" s="18" t="s">
        <v>442</v>
      </c>
      <c r="I213" s="3" t="s">
        <v>442</v>
      </c>
      <c r="J213"/>
      <c r="L213"/>
      <c r="M213"/>
      <c r="N213" s="20"/>
      <c r="O213"/>
      <c r="P213" s="20"/>
      <c r="Q213" s="20"/>
      <c r="R213" s="20"/>
      <c r="S213" s="20" t="s">
        <v>401</v>
      </c>
      <c r="T213" s="20"/>
    </row>
    <row r="214" spans="1:20" x14ac:dyDescent="0.25">
      <c r="A214" s="3">
        <v>41926</v>
      </c>
      <c r="B214" s="36">
        <v>37</v>
      </c>
      <c r="C214" t="s">
        <v>1122</v>
      </c>
      <c r="D214">
        <v>9.75</v>
      </c>
      <c r="E214" s="18">
        <v>975</v>
      </c>
      <c r="F214" t="s">
        <v>889</v>
      </c>
      <c r="G214" t="s">
        <v>1123</v>
      </c>
      <c r="H214" s="18">
        <v>975</v>
      </c>
      <c r="I214" s="3">
        <v>41926</v>
      </c>
      <c r="J214"/>
      <c r="L214"/>
      <c r="M214"/>
      <c r="N214" s="20"/>
      <c r="O214"/>
      <c r="P214" s="20"/>
      <c r="Q214" s="20"/>
      <c r="R214" s="20"/>
      <c r="S214" s="20"/>
      <c r="T214" s="20"/>
    </row>
    <row r="215" spans="1:20" x14ac:dyDescent="0.25">
      <c r="A215" s="3">
        <v>41926</v>
      </c>
      <c r="B215" s="36">
        <v>37</v>
      </c>
      <c r="C215" t="s">
        <v>1112</v>
      </c>
      <c r="D215">
        <v>8.25</v>
      </c>
      <c r="E215" s="18">
        <v>-825</v>
      </c>
      <c r="F215" t="s">
        <v>889</v>
      </c>
      <c r="G215" t="s">
        <v>1113</v>
      </c>
      <c r="H215" s="18" t="s">
        <v>442</v>
      </c>
      <c r="I215" s="3" t="s">
        <v>442</v>
      </c>
      <c r="J215"/>
      <c r="L215"/>
      <c r="M215"/>
      <c r="N215" s="20"/>
      <c r="O215"/>
      <c r="P215" s="20"/>
      <c r="Q215" s="20"/>
      <c r="R215" s="20"/>
      <c r="S215" s="20"/>
      <c r="T215" s="20"/>
    </row>
    <row r="216" spans="1:20" x14ac:dyDescent="0.25">
      <c r="A216" s="3">
        <v>41929</v>
      </c>
      <c r="B216" s="36">
        <v>37</v>
      </c>
      <c r="C216" t="s">
        <v>1124</v>
      </c>
      <c r="D216">
        <v>4.75</v>
      </c>
      <c r="E216" s="18">
        <v>475</v>
      </c>
      <c r="F216" t="s">
        <v>889</v>
      </c>
      <c r="G216" t="s">
        <v>1125</v>
      </c>
      <c r="H216" s="18">
        <v>475</v>
      </c>
      <c r="I216" s="3">
        <v>41929</v>
      </c>
      <c r="J216"/>
      <c r="L216"/>
      <c r="M216"/>
      <c r="N216" s="20"/>
      <c r="O216"/>
      <c r="P216" s="20"/>
      <c r="Q216" s="20"/>
      <c r="R216" s="20"/>
      <c r="S216" s="20"/>
      <c r="T216" s="20"/>
    </row>
    <row r="217" spans="1:20" x14ac:dyDescent="0.25">
      <c r="A217" s="3">
        <v>41929</v>
      </c>
      <c r="B217" s="36">
        <v>37</v>
      </c>
      <c r="C217" t="s">
        <v>960</v>
      </c>
      <c r="E217" s="18">
        <v>6183.9</v>
      </c>
      <c r="G217" t="s">
        <v>442</v>
      </c>
      <c r="H217" s="18" t="s">
        <v>442</v>
      </c>
      <c r="I217" s="3" t="s">
        <v>442</v>
      </c>
      <c r="J217"/>
      <c r="L217"/>
      <c r="M217"/>
      <c r="N217" s="20" t="s">
        <v>401</v>
      </c>
      <c r="O217"/>
      <c r="P217" s="20"/>
      <c r="Q217" s="20"/>
      <c r="R217" s="20"/>
      <c r="S217" s="20"/>
      <c r="T217" s="20"/>
    </row>
    <row r="218" spans="1:20" x14ac:dyDescent="0.25">
      <c r="A218" s="3">
        <v>41957</v>
      </c>
      <c r="B218" s="36">
        <v>37</v>
      </c>
      <c r="C218" t="s">
        <v>1122</v>
      </c>
      <c r="D218">
        <v>9.75</v>
      </c>
      <c r="E218" s="18">
        <v>-975</v>
      </c>
      <c r="F218" t="s">
        <v>889</v>
      </c>
      <c r="G218" t="s">
        <v>1123</v>
      </c>
      <c r="H218" s="18" t="s">
        <v>442</v>
      </c>
      <c r="I218" s="3" t="s">
        <v>442</v>
      </c>
      <c r="J218"/>
      <c r="L218"/>
      <c r="M218"/>
      <c r="N218" s="20"/>
      <c r="O218"/>
      <c r="P218" s="20"/>
      <c r="Q218" s="20"/>
      <c r="R218" s="20"/>
      <c r="S218" s="20"/>
      <c r="T218" s="20"/>
    </row>
    <row r="219" spans="1:20" x14ac:dyDescent="0.25">
      <c r="A219" s="3">
        <v>41957</v>
      </c>
      <c r="B219" s="36">
        <v>37</v>
      </c>
      <c r="C219" t="s">
        <v>1099</v>
      </c>
      <c r="D219">
        <v>10.75</v>
      </c>
      <c r="E219" s="18">
        <v>-1100</v>
      </c>
      <c r="F219" t="s">
        <v>889</v>
      </c>
      <c r="G219" t="s">
        <v>1100</v>
      </c>
      <c r="H219" s="18" t="s">
        <v>442</v>
      </c>
      <c r="I219" s="3" t="s">
        <v>442</v>
      </c>
      <c r="J219"/>
      <c r="L219"/>
      <c r="M219"/>
      <c r="N219" s="20"/>
      <c r="O219"/>
      <c r="P219" s="20"/>
      <c r="Q219" s="20"/>
      <c r="R219" s="20"/>
      <c r="S219" s="20"/>
      <c r="T219" s="20"/>
    </row>
    <row r="220" spans="1:20" x14ac:dyDescent="0.25">
      <c r="A220" s="3">
        <v>41957</v>
      </c>
      <c r="B220" s="36">
        <v>37</v>
      </c>
      <c r="C220" t="s">
        <v>1126</v>
      </c>
      <c r="D220">
        <v>8</v>
      </c>
      <c r="E220" s="18">
        <v>800</v>
      </c>
      <c r="F220" t="s">
        <v>889</v>
      </c>
      <c r="G220" t="s">
        <v>1127</v>
      </c>
      <c r="H220" s="18">
        <v>800</v>
      </c>
      <c r="I220" s="3">
        <v>41957</v>
      </c>
      <c r="J220"/>
      <c r="L220"/>
      <c r="M220"/>
      <c r="N220" s="20"/>
      <c r="O220"/>
      <c r="P220" s="20"/>
      <c r="Q220" s="20"/>
      <c r="R220" s="20"/>
      <c r="S220" s="20"/>
      <c r="T220" s="20"/>
    </row>
    <row r="221" spans="1:20" x14ac:dyDescent="0.25">
      <c r="A221" s="57">
        <v>41957</v>
      </c>
      <c r="B221" s="42">
        <v>37</v>
      </c>
      <c r="C221" s="45" t="s">
        <v>1128</v>
      </c>
      <c r="D221" s="45">
        <v>5.25</v>
      </c>
      <c r="E221" s="58">
        <v>525</v>
      </c>
      <c r="F221" s="45" t="s">
        <v>889</v>
      </c>
      <c r="G221" s="45" t="s">
        <v>1129</v>
      </c>
      <c r="H221" s="18">
        <v>525</v>
      </c>
      <c r="I221" s="3">
        <v>41957</v>
      </c>
      <c r="J221" s="45"/>
      <c r="K221" s="45"/>
      <c r="L221" s="45"/>
      <c r="M221" s="45"/>
      <c r="N221" s="45"/>
      <c r="O221" s="45"/>
      <c r="P221" s="20"/>
      <c r="Q221" s="20"/>
      <c r="R221" s="20"/>
      <c r="S221" s="20"/>
      <c r="T221" s="20"/>
    </row>
    <row r="222" spans="1:20" x14ac:dyDescent="0.25">
      <c r="A222" s="57">
        <v>41957</v>
      </c>
      <c r="B222" s="42">
        <v>37</v>
      </c>
      <c r="C222" s="45" t="s">
        <v>1130</v>
      </c>
      <c r="D222" s="45">
        <v>8.75</v>
      </c>
      <c r="E222" s="58">
        <v>900</v>
      </c>
      <c r="F222" s="45" t="s">
        <v>889</v>
      </c>
      <c r="G222" s="45" t="s">
        <v>1131</v>
      </c>
      <c r="H222" s="18">
        <v>900</v>
      </c>
      <c r="I222" s="3">
        <v>41957</v>
      </c>
      <c r="J222" s="45"/>
      <c r="K222" s="45"/>
      <c r="L222" s="45"/>
      <c r="M222" s="45"/>
      <c r="N222" s="45"/>
      <c r="O222" s="45"/>
      <c r="P222" s="20"/>
      <c r="Q222" s="20"/>
      <c r="R222" s="20"/>
      <c r="S222" s="20"/>
      <c r="T222" s="20"/>
    </row>
    <row r="223" spans="1:20" x14ac:dyDescent="0.25">
      <c r="A223" s="3">
        <v>41964</v>
      </c>
      <c r="B223" s="36">
        <v>37</v>
      </c>
      <c r="C223" t="s">
        <v>963</v>
      </c>
      <c r="E223" s="18">
        <v>9485.1574999999921</v>
      </c>
      <c r="F223" t="s">
        <v>889</v>
      </c>
      <c r="G223" t="s">
        <v>442</v>
      </c>
      <c r="H223" s="18" t="s">
        <v>442</v>
      </c>
      <c r="I223" s="3" t="s">
        <v>442</v>
      </c>
      <c r="J223"/>
      <c r="L223"/>
      <c r="M223"/>
      <c r="N223" s="40" t="s">
        <v>401</v>
      </c>
      <c r="O223"/>
      <c r="P223" s="20"/>
      <c r="Q223" s="20"/>
      <c r="R223" s="20"/>
      <c r="S223" s="20"/>
      <c r="T223" s="20"/>
    </row>
    <row r="224" spans="1:20" x14ac:dyDescent="0.25">
      <c r="A224" s="3">
        <v>41964</v>
      </c>
      <c r="B224" s="36">
        <v>37</v>
      </c>
      <c r="C224" t="s">
        <v>1132</v>
      </c>
      <c r="E224" s="18">
        <v>-1197.95</v>
      </c>
      <c r="F224" t="s">
        <v>889</v>
      </c>
      <c r="G224" t="s">
        <v>442</v>
      </c>
      <c r="H224" s="18" t="s">
        <v>442</v>
      </c>
      <c r="I224" s="3" t="s">
        <v>442</v>
      </c>
      <c r="J224"/>
      <c r="L224"/>
      <c r="M224"/>
      <c r="N224" s="20" t="s">
        <v>401</v>
      </c>
      <c r="O224" t="s">
        <v>1133</v>
      </c>
      <c r="P224" s="20"/>
      <c r="Q224" s="20"/>
      <c r="R224" s="20"/>
      <c r="S224" s="20"/>
      <c r="T224" s="20"/>
    </row>
    <row r="225" spans="1:20" x14ac:dyDescent="0.25">
      <c r="A225" s="3">
        <v>41968</v>
      </c>
      <c r="B225" s="36">
        <v>37</v>
      </c>
      <c r="C225" t="s">
        <v>1134</v>
      </c>
      <c r="D225">
        <v>3.75</v>
      </c>
      <c r="E225" s="18">
        <v>375</v>
      </c>
      <c r="F225" t="s">
        <v>889</v>
      </c>
      <c r="G225" t="s">
        <v>1135</v>
      </c>
      <c r="H225" s="18">
        <v>375</v>
      </c>
      <c r="I225" s="3">
        <v>41968</v>
      </c>
      <c r="J225"/>
      <c r="L225"/>
      <c r="M225"/>
      <c r="N225" s="20"/>
      <c r="O225"/>
      <c r="P225" s="20"/>
      <c r="Q225" s="20"/>
      <c r="R225" s="20"/>
      <c r="S225" s="20"/>
      <c r="T225" s="20"/>
    </row>
    <row r="226" spans="1:20" x14ac:dyDescent="0.25">
      <c r="A226" s="57">
        <v>41985</v>
      </c>
      <c r="B226" s="42">
        <v>37</v>
      </c>
      <c r="C226" s="45" t="s">
        <v>1136</v>
      </c>
      <c r="D226" s="45">
        <v>5.25</v>
      </c>
      <c r="E226" s="58">
        <v>-525</v>
      </c>
      <c r="F226" s="45" t="s">
        <v>889</v>
      </c>
      <c r="G226" s="45" t="s">
        <v>1129</v>
      </c>
      <c r="H226" s="18" t="s">
        <v>442</v>
      </c>
      <c r="I226" s="3" t="s">
        <v>442</v>
      </c>
      <c r="J226" s="45"/>
      <c r="K226" s="45"/>
      <c r="L226" s="45"/>
      <c r="M226" s="45"/>
      <c r="N226" s="45"/>
      <c r="O226" s="45"/>
      <c r="P226" s="20"/>
      <c r="Q226" s="20"/>
      <c r="R226" s="20"/>
      <c r="S226" s="20"/>
      <c r="T226" s="20"/>
    </row>
    <row r="227" spans="1:20" x14ac:dyDescent="0.25">
      <c r="A227" s="3">
        <v>41985</v>
      </c>
      <c r="B227" s="36">
        <v>37</v>
      </c>
      <c r="C227" t="s">
        <v>1137</v>
      </c>
      <c r="D227">
        <v>5.75</v>
      </c>
      <c r="E227" s="18">
        <v>575</v>
      </c>
      <c r="F227" t="s">
        <v>889</v>
      </c>
      <c r="G227" t="s">
        <v>1138</v>
      </c>
      <c r="H227" s="18">
        <v>575</v>
      </c>
      <c r="I227" s="3">
        <v>41985</v>
      </c>
      <c r="J227"/>
      <c r="L227"/>
      <c r="M227"/>
      <c r="N227" s="20"/>
      <c r="O227"/>
      <c r="P227" s="20"/>
      <c r="Q227" s="20"/>
      <c r="R227" s="20"/>
      <c r="S227" s="20"/>
      <c r="T227" s="20"/>
    </row>
    <row r="228" spans="1:20" x14ac:dyDescent="0.25">
      <c r="A228" s="3">
        <v>41995</v>
      </c>
      <c r="B228" s="36">
        <v>37</v>
      </c>
      <c r="C228" t="s">
        <v>967</v>
      </c>
      <c r="E228" s="18">
        <v>6819.7425000000021</v>
      </c>
      <c r="F228" t="s">
        <v>889</v>
      </c>
      <c r="G228" t="s">
        <v>442</v>
      </c>
      <c r="H228" s="18" t="s">
        <v>442</v>
      </c>
      <c r="I228" s="3" t="s">
        <v>442</v>
      </c>
      <c r="J228"/>
      <c r="L228"/>
      <c r="M228"/>
      <c r="N228" s="40" t="s">
        <v>401</v>
      </c>
      <c r="O228"/>
      <c r="P228" s="20"/>
      <c r="Q228" s="20"/>
      <c r="R228" s="20"/>
      <c r="S228" s="20"/>
      <c r="T228" s="20"/>
    </row>
    <row r="229" spans="1:20" x14ac:dyDescent="0.25">
      <c r="A229" s="57">
        <v>41999</v>
      </c>
      <c r="B229" s="42">
        <v>37</v>
      </c>
      <c r="C229" s="45" t="s">
        <v>1128</v>
      </c>
      <c r="D229" s="45">
        <v>8.25</v>
      </c>
      <c r="E229" s="58">
        <v>1125</v>
      </c>
      <c r="F229" s="45" t="s">
        <v>889</v>
      </c>
      <c r="G229" s="45" t="s">
        <v>1129</v>
      </c>
      <c r="H229" s="18">
        <v>1125</v>
      </c>
      <c r="I229" s="3">
        <v>41999</v>
      </c>
      <c r="J229" s="45"/>
      <c r="K229" s="45"/>
      <c r="L229" s="45"/>
      <c r="M229" s="45"/>
      <c r="N229" s="45"/>
      <c r="O229" s="45" t="s">
        <v>959</v>
      </c>
      <c r="P229" s="20"/>
      <c r="Q229" s="20"/>
      <c r="R229" s="20"/>
      <c r="S229" s="20"/>
      <c r="T229" s="20"/>
    </row>
    <row r="230" spans="1:20" x14ac:dyDescent="0.25">
      <c r="A230" s="3">
        <v>41999</v>
      </c>
      <c r="B230" s="36">
        <v>37</v>
      </c>
      <c r="C230" t="s">
        <v>1139</v>
      </c>
      <c r="E230" s="18">
        <v>1400</v>
      </c>
      <c r="F230" t="s">
        <v>889</v>
      </c>
      <c r="G230" t="s">
        <v>442</v>
      </c>
      <c r="H230" s="18" t="s">
        <v>442</v>
      </c>
      <c r="I230" s="3" t="s">
        <v>442</v>
      </c>
      <c r="J230"/>
      <c r="L230"/>
      <c r="M230"/>
      <c r="N230" s="40" t="s">
        <v>401</v>
      </c>
      <c r="O230"/>
      <c r="P230" s="20"/>
      <c r="Q230" s="20"/>
      <c r="R230" s="20"/>
      <c r="S230" s="20"/>
      <c r="T230" s="20"/>
    </row>
    <row r="231" spans="1:20" x14ac:dyDescent="0.25">
      <c r="A231" s="3">
        <v>42010</v>
      </c>
      <c r="B231" s="36">
        <v>37</v>
      </c>
      <c r="C231" t="s">
        <v>1126</v>
      </c>
      <c r="D231">
        <v>8</v>
      </c>
      <c r="E231" s="18">
        <v>400</v>
      </c>
      <c r="F231" t="s">
        <v>889</v>
      </c>
      <c r="G231" t="s">
        <v>1127</v>
      </c>
      <c r="H231" s="18">
        <v>400</v>
      </c>
      <c r="I231" s="3">
        <v>42010</v>
      </c>
      <c r="J231"/>
      <c r="L231"/>
      <c r="M231"/>
      <c r="N231" s="20"/>
      <c r="O231"/>
      <c r="P231" s="20"/>
      <c r="Q231" s="20"/>
      <c r="R231" s="20"/>
      <c r="S231" s="20"/>
      <c r="T231" s="20"/>
    </row>
    <row r="232" spans="1:20" x14ac:dyDescent="0.25">
      <c r="A232" s="3">
        <v>42010</v>
      </c>
      <c r="B232" s="36">
        <v>37</v>
      </c>
      <c r="C232" t="s">
        <v>1114</v>
      </c>
      <c r="D232">
        <v>5.5</v>
      </c>
      <c r="E232" s="18">
        <v>275</v>
      </c>
      <c r="F232" t="s">
        <v>889</v>
      </c>
      <c r="G232" t="s">
        <v>1115</v>
      </c>
      <c r="H232" s="18">
        <v>275</v>
      </c>
      <c r="I232" s="3">
        <v>42010</v>
      </c>
      <c r="J232"/>
      <c r="L232"/>
      <c r="M232"/>
      <c r="N232" s="20"/>
      <c r="O232"/>
      <c r="P232" s="20"/>
      <c r="Q232" s="20"/>
      <c r="R232" s="20"/>
      <c r="S232" s="20"/>
      <c r="T232" s="20"/>
    </row>
    <row r="233" spans="1:20" x14ac:dyDescent="0.25">
      <c r="A233" s="57">
        <v>42010</v>
      </c>
      <c r="B233" s="42">
        <v>37</v>
      </c>
      <c r="C233" s="45" t="s">
        <v>1128</v>
      </c>
      <c r="D233" s="45">
        <v>5.25</v>
      </c>
      <c r="E233" s="58">
        <v>-337.5</v>
      </c>
      <c r="F233" s="45" t="s">
        <v>889</v>
      </c>
      <c r="G233" s="45" t="s">
        <v>1129</v>
      </c>
      <c r="H233" s="18" t="s">
        <v>442</v>
      </c>
      <c r="I233" s="3" t="s">
        <v>442</v>
      </c>
      <c r="J233" s="45"/>
      <c r="K233" s="45"/>
      <c r="L233" s="45"/>
      <c r="M233" s="45"/>
      <c r="N233" s="45"/>
      <c r="O233" s="45" t="s">
        <v>1140</v>
      </c>
      <c r="P233" s="20"/>
      <c r="Q233" s="20"/>
      <c r="R233" s="20"/>
      <c r="S233" s="20"/>
      <c r="T233" s="20"/>
    </row>
    <row r="234" spans="1:20" x14ac:dyDescent="0.25">
      <c r="A234" s="3">
        <v>42019</v>
      </c>
      <c r="B234" s="36">
        <v>37</v>
      </c>
      <c r="C234" t="s">
        <v>969</v>
      </c>
      <c r="D234" s="55"/>
      <c r="E234" s="18">
        <v>4949.0200000000004</v>
      </c>
      <c r="F234" t="s">
        <v>889</v>
      </c>
      <c r="H234" s="18" t="s">
        <v>442</v>
      </c>
      <c r="I234" s="3" t="s">
        <v>442</v>
      </c>
      <c r="J234"/>
      <c r="L234"/>
      <c r="M234"/>
      <c r="N234" s="40" t="s">
        <v>401</v>
      </c>
      <c r="O234"/>
      <c r="P234" s="20"/>
      <c r="Q234" s="20"/>
      <c r="R234" s="20"/>
      <c r="S234" s="20"/>
      <c r="T234" s="20"/>
    </row>
    <row r="235" spans="1:20" x14ac:dyDescent="0.25">
      <c r="A235" s="3">
        <v>42019</v>
      </c>
      <c r="B235" s="36">
        <v>37</v>
      </c>
      <c r="C235" t="s">
        <v>831</v>
      </c>
      <c r="D235" s="55">
        <v>8.5</v>
      </c>
      <c r="E235" s="18">
        <v>675</v>
      </c>
      <c r="F235" t="s">
        <v>889</v>
      </c>
      <c r="G235" t="s">
        <v>832</v>
      </c>
      <c r="H235" s="18">
        <v>675</v>
      </c>
      <c r="I235" s="3">
        <v>42019</v>
      </c>
      <c r="J235"/>
      <c r="L235"/>
      <c r="M235"/>
      <c r="N235" s="20"/>
      <c r="O235"/>
      <c r="P235" s="20"/>
      <c r="Q235" s="20"/>
      <c r="R235" s="20"/>
      <c r="S235" s="20"/>
      <c r="T235" s="20"/>
    </row>
    <row r="236" spans="1:20" x14ac:dyDescent="0.25">
      <c r="A236" s="3">
        <v>42034</v>
      </c>
      <c r="B236">
        <v>37</v>
      </c>
      <c r="C236" s="20" t="s">
        <v>1141</v>
      </c>
      <c r="D236" s="20">
        <v>4.75</v>
      </c>
      <c r="E236" s="59">
        <v>712.5</v>
      </c>
      <c r="F236" s="20" t="s">
        <v>889</v>
      </c>
      <c r="G236" t="s">
        <v>1125</v>
      </c>
      <c r="H236" s="18"/>
      <c r="J236"/>
      <c r="L236"/>
      <c r="M236"/>
      <c r="N236" s="20"/>
      <c r="O236"/>
      <c r="P236" s="20"/>
      <c r="Q236" s="20"/>
      <c r="R236" s="20"/>
      <c r="S236" s="20"/>
      <c r="T236" s="20"/>
    </row>
    <row r="237" spans="1:20" x14ac:dyDescent="0.25">
      <c r="A237" s="32">
        <v>42034</v>
      </c>
      <c r="B237" s="56">
        <v>37</v>
      </c>
      <c r="C237" s="20" t="s">
        <v>974</v>
      </c>
      <c r="D237" s="20"/>
      <c r="E237" s="18">
        <v>2633.1133333333332</v>
      </c>
      <c r="F237" s="33" t="s">
        <v>889</v>
      </c>
      <c r="G237" s="33"/>
      <c r="H237" s="18"/>
      <c r="J237"/>
      <c r="L237"/>
      <c r="M237"/>
      <c r="N237" s="20" t="s">
        <v>401</v>
      </c>
      <c r="O237"/>
      <c r="P237" s="20"/>
      <c r="Q237" s="20"/>
      <c r="R237" s="20"/>
      <c r="S237" s="20"/>
      <c r="T237" s="20"/>
    </row>
    <row r="238" spans="1:20" x14ac:dyDescent="0.25">
      <c r="A238" s="3">
        <v>42041</v>
      </c>
      <c r="B238">
        <v>37</v>
      </c>
      <c r="C238" t="s">
        <v>1126</v>
      </c>
      <c r="E238" s="18">
        <v>400</v>
      </c>
      <c r="F238" t="s">
        <v>889</v>
      </c>
      <c r="G238" t="s">
        <v>1127</v>
      </c>
      <c r="I238"/>
      <c r="J238"/>
      <c r="L238"/>
      <c r="M238"/>
      <c r="O238"/>
      <c r="P238" s="20"/>
      <c r="Q238" s="20"/>
      <c r="R238" s="20"/>
      <c r="S238" s="20"/>
      <c r="T238" s="20"/>
    </row>
    <row r="239" spans="1:20" x14ac:dyDescent="0.25">
      <c r="A239" s="3">
        <v>42041</v>
      </c>
      <c r="B239">
        <v>37</v>
      </c>
      <c r="C239" t="s">
        <v>1114</v>
      </c>
      <c r="E239" s="18">
        <v>275</v>
      </c>
      <c r="F239" t="s">
        <v>889</v>
      </c>
      <c r="G239" t="s">
        <v>1115</v>
      </c>
      <c r="I239"/>
      <c r="J239"/>
      <c r="L239"/>
      <c r="M239"/>
      <c r="O239"/>
      <c r="P239" s="20"/>
      <c r="Q239" s="20"/>
      <c r="R239" s="20"/>
      <c r="S239" s="20"/>
      <c r="T239" s="20"/>
    </row>
    <row r="240" spans="1:20" x14ac:dyDescent="0.25">
      <c r="A240" s="3">
        <v>42041</v>
      </c>
      <c r="B240">
        <v>37</v>
      </c>
      <c r="C240" t="s">
        <v>1142</v>
      </c>
      <c r="E240" s="18">
        <v>124.06</v>
      </c>
      <c r="F240" t="s">
        <v>891</v>
      </c>
      <c r="I240"/>
      <c r="J240"/>
      <c r="L240"/>
      <c r="M240"/>
      <c r="O240"/>
      <c r="P240" s="20" t="s">
        <v>401</v>
      </c>
      <c r="Q240" s="20"/>
      <c r="R240" s="20"/>
      <c r="S240" s="20"/>
      <c r="T240" s="20"/>
    </row>
    <row r="241" spans="1:21" x14ac:dyDescent="0.25">
      <c r="A241" s="3">
        <v>42041</v>
      </c>
      <c r="B241">
        <v>37</v>
      </c>
      <c r="C241" t="s">
        <v>953</v>
      </c>
      <c r="E241" s="18">
        <v>236.18</v>
      </c>
      <c r="F241" t="s">
        <v>891</v>
      </c>
      <c r="I241"/>
      <c r="J241"/>
      <c r="L241"/>
      <c r="M241"/>
      <c r="O241"/>
      <c r="P241" s="20" t="s">
        <v>401</v>
      </c>
      <c r="Q241" s="20"/>
      <c r="R241" s="20"/>
      <c r="S241" s="20"/>
      <c r="T241" s="20"/>
    </row>
    <row r="242" spans="1:21" x14ac:dyDescent="0.25">
      <c r="B242">
        <v>37</v>
      </c>
      <c r="C242" t="s">
        <v>1089</v>
      </c>
      <c r="E242" s="18">
        <v>-2.5403225809999999</v>
      </c>
      <c r="I242"/>
      <c r="J242"/>
      <c r="L242"/>
      <c r="M242"/>
      <c r="O242"/>
      <c r="P242" s="20"/>
      <c r="Q242" s="20"/>
      <c r="R242" s="20"/>
      <c r="S242" s="20"/>
      <c r="T242" s="20"/>
      <c r="U242" t="s">
        <v>401</v>
      </c>
    </row>
    <row r="243" spans="1:21" x14ac:dyDescent="0.25">
      <c r="B243">
        <v>37</v>
      </c>
      <c r="C243" t="s">
        <v>1143</v>
      </c>
      <c r="E243" s="18">
        <v>-319.8</v>
      </c>
      <c r="G243" t="s">
        <v>442</v>
      </c>
      <c r="I243"/>
      <c r="J243"/>
      <c r="L243"/>
      <c r="M243"/>
      <c r="O243"/>
      <c r="P243" s="20"/>
      <c r="Q243" s="20"/>
      <c r="R243" s="20"/>
      <c r="S243" s="20"/>
      <c r="T243" s="20"/>
      <c r="U243" t="s">
        <v>401</v>
      </c>
    </row>
    <row r="244" spans="1:21" x14ac:dyDescent="0.25">
      <c r="A244" s="3">
        <v>41746</v>
      </c>
      <c r="B244" s="36">
        <v>38</v>
      </c>
      <c r="C244" t="s">
        <v>1144</v>
      </c>
      <c r="D244">
        <v>10</v>
      </c>
      <c r="E244" s="18">
        <v>1000</v>
      </c>
      <c r="G244" t="s">
        <v>1145</v>
      </c>
      <c r="H244" s="18">
        <v>1000</v>
      </c>
      <c r="I244" s="3">
        <v>41746</v>
      </c>
      <c r="J244"/>
      <c r="L244"/>
      <c r="M244"/>
      <c r="N244" s="20"/>
      <c r="O244"/>
      <c r="P244" s="20"/>
      <c r="Q244" s="20"/>
      <c r="R244" s="20"/>
      <c r="S244" s="20"/>
      <c r="T244" s="20"/>
    </row>
    <row r="245" spans="1:21" x14ac:dyDescent="0.25">
      <c r="A245" s="3">
        <v>41746</v>
      </c>
      <c r="B245" s="36">
        <v>38</v>
      </c>
      <c r="C245" t="s">
        <v>1146</v>
      </c>
      <c r="D245">
        <v>3.75</v>
      </c>
      <c r="E245" s="18">
        <v>375</v>
      </c>
      <c r="G245" t="s">
        <v>1147</v>
      </c>
      <c r="H245" s="18">
        <v>375</v>
      </c>
      <c r="I245" s="3">
        <v>41746</v>
      </c>
      <c r="J245"/>
      <c r="L245"/>
      <c r="M245"/>
      <c r="N245" s="20"/>
      <c r="O245"/>
      <c r="P245" s="20"/>
      <c r="Q245" s="20"/>
      <c r="R245" s="20"/>
      <c r="S245" s="20"/>
      <c r="T245" s="20"/>
    </row>
    <row r="246" spans="1:21" x14ac:dyDescent="0.25">
      <c r="A246" s="3">
        <v>41753</v>
      </c>
      <c r="B246" s="36">
        <v>38</v>
      </c>
      <c r="C246" t="s">
        <v>1148</v>
      </c>
      <c r="D246">
        <v>3.5</v>
      </c>
      <c r="E246" s="18">
        <v>350</v>
      </c>
      <c r="G246" t="s">
        <v>1149</v>
      </c>
      <c r="H246" s="18">
        <v>350</v>
      </c>
      <c r="I246" s="3">
        <v>41753</v>
      </c>
      <c r="J246"/>
      <c r="L246"/>
      <c r="M246"/>
      <c r="N246" s="20"/>
      <c r="O246"/>
      <c r="P246" s="20"/>
      <c r="Q246" s="20"/>
      <c r="R246" s="20"/>
      <c r="S246" s="20"/>
      <c r="T246" s="20"/>
    </row>
    <row r="247" spans="1:21" x14ac:dyDescent="0.25">
      <c r="A247" s="3">
        <v>41762</v>
      </c>
      <c r="B247" s="36">
        <v>38</v>
      </c>
      <c r="C247" t="s">
        <v>1146</v>
      </c>
      <c r="D247">
        <v>3.75</v>
      </c>
      <c r="E247" s="18">
        <v>-375</v>
      </c>
      <c r="G247" t="s">
        <v>1147</v>
      </c>
      <c r="H247" s="18" t="s">
        <v>442</v>
      </c>
      <c r="I247" s="3" t="s">
        <v>442</v>
      </c>
      <c r="J247"/>
      <c r="L247"/>
      <c r="M247"/>
      <c r="N247" s="20"/>
      <c r="O247" t="s">
        <v>949</v>
      </c>
      <c r="P247" s="20"/>
      <c r="Q247" s="20"/>
      <c r="R247" s="20"/>
      <c r="S247" s="20"/>
      <c r="T247" s="20"/>
    </row>
    <row r="248" spans="1:21" x14ac:dyDescent="0.25">
      <c r="A248" s="3">
        <v>41768</v>
      </c>
      <c r="B248" s="36">
        <v>38</v>
      </c>
      <c r="C248" t="s">
        <v>1150</v>
      </c>
      <c r="D248">
        <v>7.5</v>
      </c>
      <c r="E248" s="18">
        <v>750</v>
      </c>
      <c r="G248" t="s">
        <v>1151</v>
      </c>
      <c r="H248" s="18">
        <v>750</v>
      </c>
      <c r="I248" s="3">
        <v>41768</v>
      </c>
      <c r="J248"/>
      <c r="L248"/>
      <c r="M248"/>
      <c r="N248" s="20"/>
      <c r="O248"/>
      <c r="P248" s="20"/>
      <c r="Q248" s="20"/>
      <c r="R248" s="20"/>
      <c r="S248" s="20"/>
      <c r="T248" s="20"/>
    </row>
    <row r="249" spans="1:21" x14ac:dyDescent="0.25">
      <c r="A249" s="3">
        <v>41768</v>
      </c>
      <c r="B249" s="36">
        <v>38</v>
      </c>
      <c r="C249" t="s">
        <v>1152</v>
      </c>
      <c r="D249">
        <v>8</v>
      </c>
      <c r="E249" s="18">
        <v>800</v>
      </c>
      <c r="G249" t="s">
        <v>1153</v>
      </c>
      <c r="H249" s="18">
        <v>800</v>
      </c>
      <c r="I249" s="3">
        <v>41768</v>
      </c>
      <c r="J249"/>
      <c r="L249"/>
      <c r="M249"/>
      <c r="N249" s="20"/>
      <c r="O249"/>
      <c r="P249" s="20"/>
      <c r="Q249" s="20"/>
      <c r="R249" s="20"/>
      <c r="S249" s="20"/>
      <c r="T249" s="20"/>
    </row>
    <row r="250" spans="1:21" x14ac:dyDescent="0.25">
      <c r="A250" s="3">
        <v>41768</v>
      </c>
      <c r="B250" s="36">
        <v>38</v>
      </c>
      <c r="C250" t="s">
        <v>1154</v>
      </c>
      <c r="D250">
        <v>2.75</v>
      </c>
      <c r="E250" s="18">
        <v>275</v>
      </c>
      <c r="G250" t="s">
        <v>1155</v>
      </c>
      <c r="H250" s="18">
        <v>275</v>
      </c>
      <c r="I250" s="3">
        <v>41768</v>
      </c>
      <c r="J250"/>
      <c r="L250"/>
      <c r="M250"/>
      <c r="N250" s="20"/>
      <c r="O250"/>
      <c r="P250" s="20"/>
      <c r="Q250" s="20"/>
      <c r="R250" s="20"/>
      <c r="S250" s="20"/>
      <c r="T250" s="20"/>
    </row>
    <row r="251" spans="1:21" x14ac:dyDescent="0.25">
      <c r="A251" s="57">
        <v>41782</v>
      </c>
      <c r="B251" s="42">
        <v>38</v>
      </c>
      <c r="C251" s="45" t="s">
        <v>1156</v>
      </c>
      <c r="D251" s="45">
        <v>7.5</v>
      </c>
      <c r="E251" s="58">
        <v>750</v>
      </c>
      <c r="F251" s="45"/>
      <c r="G251" s="45" t="s">
        <v>1157</v>
      </c>
      <c r="H251" s="18">
        <v>750</v>
      </c>
      <c r="I251" s="3">
        <v>41782</v>
      </c>
      <c r="J251" s="45"/>
      <c r="K251" s="45"/>
      <c r="L251" s="45"/>
      <c r="M251" s="45"/>
      <c r="N251" s="45"/>
      <c r="O251" s="45" t="s">
        <v>1158</v>
      </c>
      <c r="P251" s="20"/>
      <c r="Q251" s="20"/>
      <c r="R251" s="20"/>
      <c r="S251" s="20"/>
      <c r="T251" s="20"/>
    </row>
    <row r="252" spans="1:21" x14ac:dyDescent="0.25">
      <c r="A252" s="3">
        <v>41782</v>
      </c>
      <c r="B252" s="36">
        <v>38</v>
      </c>
      <c r="C252" t="s">
        <v>1159</v>
      </c>
      <c r="D252">
        <v>8</v>
      </c>
      <c r="E252" s="18">
        <v>800</v>
      </c>
      <c r="G252" t="s">
        <v>1160</v>
      </c>
      <c r="H252" s="18">
        <v>800</v>
      </c>
      <c r="I252" s="3">
        <v>41782</v>
      </c>
      <c r="J252"/>
      <c r="L252"/>
      <c r="M252"/>
      <c r="N252" s="20"/>
      <c r="O252" t="s">
        <v>1158</v>
      </c>
      <c r="P252" s="20"/>
      <c r="Q252" s="20"/>
      <c r="R252" s="20"/>
      <c r="S252" s="20"/>
      <c r="T252" s="20"/>
    </row>
    <row r="253" spans="1:21" x14ac:dyDescent="0.25">
      <c r="A253" s="3">
        <v>41796</v>
      </c>
      <c r="B253" s="36">
        <v>38</v>
      </c>
      <c r="C253" t="s">
        <v>1161</v>
      </c>
      <c r="D253">
        <v>3</v>
      </c>
      <c r="E253" s="18">
        <v>300</v>
      </c>
      <c r="G253" t="s">
        <v>1162</v>
      </c>
      <c r="H253" s="18">
        <v>300</v>
      </c>
      <c r="I253" s="3">
        <v>41796</v>
      </c>
      <c r="J253"/>
      <c r="L253"/>
      <c r="M253"/>
      <c r="N253" s="20"/>
      <c r="O253"/>
      <c r="P253" s="20"/>
      <c r="Q253" s="20"/>
      <c r="R253" s="20"/>
      <c r="S253" s="20"/>
      <c r="T253" s="20"/>
    </row>
    <row r="254" spans="1:21" x14ac:dyDescent="0.25">
      <c r="A254" s="3">
        <v>41796</v>
      </c>
      <c r="B254" s="36">
        <v>38</v>
      </c>
      <c r="C254" t="s">
        <v>1163</v>
      </c>
      <c r="D254">
        <v>5.5354999999999999</v>
      </c>
      <c r="E254" s="18">
        <v>553.54999999999995</v>
      </c>
      <c r="G254" t="s">
        <v>1164</v>
      </c>
      <c r="H254" s="18">
        <v>553.54999999999995</v>
      </c>
      <c r="I254" s="3">
        <v>41796</v>
      </c>
      <c r="J254"/>
      <c r="L254"/>
      <c r="M254"/>
      <c r="N254" s="20"/>
      <c r="O254" t="s">
        <v>931</v>
      </c>
      <c r="P254" s="20"/>
      <c r="Q254" s="20"/>
      <c r="R254" s="20"/>
      <c r="S254" s="20"/>
      <c r="T254" s="20"/>
    </row>
    <row r="255" spans="1:21" x14ac:dyDescent="0.25">
      <c r="A255" s="3">
        <v>41796</v>
      </c>
      <c r="B255" s="36">
        <v>38</v>
      </c>
      <c r="C255" t="s">
        <v>1165</v>
      </c>
      <c r="D255">
        <v>2.5</v>
      </c>
      <c r="E255" s="18">
        <v>250</v>
      </c>
      <c r="G255" t="s">
        <v>1166</v>
      </c>
      <c r="H255" s="18">
        <v>250</v>
      </c>
      <c r="I255" s="3">
        <v>41796</v>
      </c>
      <c r="J255"/>
      <c r="L255"/>
      <c r="M255"/>
      <c r="N255" s="20"/>
      <c r="O255"/>
      <c r="P255" s="20"/>
      <c r="Q255" s="20"/>
      <c r="R255" s="20"/>
      <c r="S255" s="20"/>
      <c r="T255" s="20"/>
    </row>
    <row r="256" spans="1:21" x14ac:dyDescent="0.25">
      <c r="A256" s="3">
        <v>41803</v>
      </c>
      <c r="B256" s="36">
        <v>38</v>
      </c>
      <c r="C256" t="s">
        <v>1161</v>
      </c>
      <c r="D256">
        <v>2.8050000000000002</v>
      </c>
      <c r="E256" s="18">
        <v>280.5</v>
      </c>
      <c r="G256" t="s">
        <v>1162</v>
      </c>
      <c r="H256" s="18">
        <v>280.5</v>
      </c>
      <c r="I256" s="3">
        <v>41803</v>
      </c>
      <c r="J256"/>
      <c r="L256"/>
      <c r="M256"/>
      <c r="N256" s="20"/>
      <c r="O256" t="s">
        <v>931</v>
      </c>
      <c r="P256" s="20"/>
      <c r="Q256" s="20"/>
      <c r="R256" s="20"/>
      <c r="S256" s="20"/>
      <c r="T256" s="20"/>
    </row>
    <row r="257" spans="1:21" x14ac:dyDescent="0.25">
      <c r="A257" s="3">
        <v>41803</v>
      </c>
      <c r="B257" s="36">
        <v>38</v>
      </c>
      <c r="C257" t="s">
        <v>1167</v>
      </c>
      <c r="D257">
        <v>3.25</v>
      </c>
      <c r="E257" s="18">
        <v>325</v>
      </c>
      <c r="G257" t="s">
        <v>1168</v>
      </c>
      <c r="H257" s="18">
        <v>325</v>
      </c>
      <c r="I257" s="3">
        <v>41803</v>
      </c>
      <c r="J257"/>
      <c r="L257"/>
      <c r="M257"/>
      <c r="N257" s="20"/>
      <c r="O257" t="s">
        <v>1169</v>
      </c>
      <c r="P257" s="20"/>
      <c r="Q257" s="20"/>
      <c r="R257" s="20"/>
      <c r="S257" s="20"/>
      <c r="T257" s="20"/>
    </row>
    <row r="258" spans="1:21" x14ac:dyDescent="0.25">
      <c r="A258" s="3">
        <v>41803</v>
      </c>
      <c r="B258" s="36">
        <v>38</v>
      </c>
      <c r="C258" t="s">
        <v>1170</v>
      </c>
      <c r="D258">
        <v>5.25</v>
      </c>
      <c r="E258" s="18">
        <v>525</v>
      </c>
      <c r="G258" t="s">
        <v>1171</v>
      </c>
      <c r="H258" s="18">
        <v>525</v>
      </c>
      <c r="I258" s="3">
        <v>41803</v>
      </c>
      <c r="J258"/>
      <c r="L258"/>
      <c r="M258"/>
      <c r="N258" s="20"/>
      <c r="O258" t="s">
        <v>1169</v>
      </c>
      <c r="P258" s="20"/>
      <c r="Q258" s="20"/>
      <c r="R258" s="20"/>
      <c r="S258" s="20"/>
      <c r="T258" s="20"/>
    </row>
    <row r="259" spans="1:21" x14ac:dyDescent="0.25">
      <c r="B259">
        <v>38</v>
      </c>
      <c r="C259" t="s">
        <v>1161</v>
      </c>
      <c r="D259">
        <v>2.8050000000000002</v>
      </c>
      <c r="E259" s="18">
        <v>-280.5</v>
      </c>
      <c r="G259" t="s">
        <v>1162</v>
      </c>
      <c r="I259"/>
      <c r="J259"/>
      <c r="L259"/>
      <c r="M259"/>
      <c r="O259"/>
      <c r="P259" s="20"/>
      <c r="Q259" s="20"/>
      <c r="R259" s="20"/>
      <c r="S259" s="20"/>
      <c r="T259" s="20"/>
      <c r="U259" t="s">
        <v>401</v>
      </c>
    </row>
    <row r="260" spans="1:21" x14ac:dyDescent="0.25">
      <c r="B260">
        <v>38</v>
      </c>
      <c r="C260" t="s">
        <v>1161</v>
      </c>
      <c r="D260">
        <v>2.8050000000000002</v>
      </c>
      <c r="E260" s="18">
        <v>261</v>
      </c>
      <c r="F260" t="s">
        <v>889</v>
      </c>
      <c r="G260" t="s">
        <v>1162</v>
      </c>
      <c r="I260"/>
      <c r="J260"/>
      <c r="L260"/>
      <c r="M260"/>
      <c r="O260"/>
      <c r="P260" s="20"/>
      <c r="Q260" s="20"/>
      <c r="R260" s="20"/>
      <c r="S260" s="20"/>
      <c r="T260" s="20"/>
      <c r="U260" t="s">
        <v>401</v>
      </c>
    </row>
    <row r="261" spans="1:21" x14ac:dyDescent="0.25">
      <c r="B261">
        <v>38</v>
      </c>
      <c r="C261" t="s">
        <v>1163</v>
      </c>
      <c r="D261">
        <v>5.3550000000000004</v>
      </c>
      <c r="E261" s="18">
        <v>-553.54999999999995</v>
      </c>
      <c r="F261" t="s">
        <v>889</v>
      </c>
      <c r="G261" t="s">
        <v>1164</v>
      </c>
      <c r="I261"/>
      <c r="J261"/>
      <c r="L261"/>
      <c r="M261"/>
      <c r="O261"/>
      <c r="P261" s="20"/>
      <c r="Q261" s="20"/>
      <c r="R261" s="20"/>
      <c r="S261" s="20"/>
      <c r="T261" s="20"/>
      <c r="U261" t="s">
        <v>401</v>
      </c>
    </row>
    <row r="262" spans="1:21" x14ac:dyDescent="0.25">
      <c r="B262">
        <v>38</v>
      </c>
      <c r="C262" t="s">
        <v>1144</v>
      </c>
      <c r="D262">
        <v>10</v>
      </c>
      <c r="E262" s="18">
        <v>-1000</v>
      </c>
      <c r="F262" t="s">
        <v>889</v>
      </c>
      <c r="G262" t="s">
        <v>1145</v>
      </c>
      <c r="I262"/>
      <c r="J262"/>
      <c r="L262"/>
      <c r="M262"/>
      <c r="O262"/>
      <c r="P262" s="20"/>
      <c r="Q262" s="20"/>
      <c r="R262" s="20"/>
      <c r="S262" s="20"/>
      <c r="T262" s="20"/>
      <c r="U262" t="s">
        <v>401</v>
      </c>
    </row>
    <row r="263" spans="1:21" x14ac:dyDescent="0.25">
      <c r="B263">
        <v>38</v>
      </c>
      <c r="C263" t="s">
        <v>1167</v>
      </c>
      <c r="D263">
        <v>3.25</v>
      </c>
      <c r="E263" s="18">
        <v>-325</v>
      </c>
      <c r="G263" t="s">
        <v>1168</v>
      </c>
      <c r="I263"/>
      <c r="J263"/>
      <c r="L263"/>
      <c r="M263"/>
      <c r="O263"/>
      <c r="P263" s="20"/>
      <c r="Q263" s="20"/>
      <c r="R263" s="20"/>
      <c r="S263" s="20"/>
      <c r="T263" s="20"/>
      <c r="U263" t="s">
        <v>401</v>
      </c>
    </row>
    <row r="264" spans="1:21" x14ac:dyDescent="0.25">
      <c r="B264">
        <v>38</v>
      </c>
      <c r="C264" t="s">
        <v>1172</v>
      </c>
      <c r="D264">
        <v>9.18</v>
      </c>
      <c r="E264" s="18">
        <v>918</v>
      </c>
      <c r="G264" t="s">
        <v>1173</v>
      </c>
      <c r="I264"/>
      <c r="J264"/>
      <c r="L264"/>
      <c r="M264"/>
      <c r="O264"/>
      <c r="P264" s="20"/>
      <c r="Q264" s="20"/>
      <c r="R264" s="20"/>
      <c r="S264" s="20"/>
      <c r="T264" s="20"/>
      <c r="U264" t="s">
        <v>401</v>
      </c>
    </row>
    <row r="265" spans="1:21" x14ac:dyDescent="0.25">
      <c r="B265">
        <v>38</v>
      </c>
      <c r="C265" t="s">
        <v>1172</v>
      </c>
      <c r="D265">
        <v>9.18</v>
      </c>
      <c r="E265" s="18">
        <v>-918</v>
      </c>
      <c r="G265" t="s">
        <v>1173</v>
      </c>
      <c r="I265"/>
      <c r="J265"/>
      <c r="L265"/>
      <c r="M265"/>
      <c r="O265"/>
      <c r="P265" s="20"/>
      <c r="Q265" s="20"/>
      <c r="R265" s="20"/>
      <c r="S265" s="20"/>
      <c r="T265" s="20"/>
      <c r="U265" t="s">
        <v>401</v>
      </c>
    </row>
    <row r="266" spans="1:21" x14ac:dyDescent="0.25">
      <c r="B266">
        <v>38</v>
      </c>
      <c r="C266" t="s">
        <v>1165</v>
      </c>
      <c r="D266">
        <v>3.06</v>
      </c>
      <c r="E266" s="18">
        <v>-250</v>
      </c>
      <c r="F266" t="s">
        <v>889</v>
      </c>
      <c r="G266" t="s">
        <v>1166</v>
      </c>
      <c r="I266"/>
      <c r="J266"/>
      <c r="L266"/>
      <c r="M266"/>
      <c r="O266"/>
      <c r="P266" s="20"/>
      <c r="Q266" s="20"/>
      <c r="R266" s="20"/>
      <c r="S266" s="20"/>
      <c r="T266" s="20"/>
      <c r="U266" t="s">
        <v>401</v>
      </c>
    </row>
    <row r="267" spans="1:21" x14ac:dyDescent="0.25">
      <c r="B267">
        <v>38</v>
      </c>
      <c r="C267" t="s">
        <v>1159</v>
      </c>
      <c r="D267">
        <v>8</v>
      </c>
      <c r="E267" s="18">
        <v>-800</v>
      </c>
      <c r="G267" t="s">
        <v>1160</v>
      </c>
      <c r="I267"/>
      <c r="J267"/>
      <c r="L267"/>
      <c r="M267"/>
      <c r="O267"/>
      <c r="P267" s="20"/>
      <c r="Q267" s="20"/>
      <c r="R267" s="20"/>
      <c r="S267" s="20"/>
      <c r="T267" s="20"/>
      <c r="U267" t="s">
        <v>401</v>
      </c>
    </row>
    <row r="268" spans="1:21" x14ac:dyDescent="0.25">
      <c r="B268">
        <v>38</v>
      </c>
      <c r="C268" t="s">
        <v>1170</v>
      </c>
      <c r="D268">
        <v>5.0999999999999996</v>
      </c>
      <c r="E268" s="18">
        <v>494.99999999999989</v>
      </c>
      <c r="F268" t="s">
        <v>889</v>
      </c>
      <c r="G268" t="s">
        <v>1171</v>
      </c>
      <c r="I268"/>
      <c r="J268"/>
      <c r="L268"/>
      <c r="M268"/>
      <c r="O268"/>
      <c r="P268" s="20"/>
      <c r="Q268" s="20"/>
      <c r="R268" s="20"/>
      <c r="S268" s="20"/>
      <c r="T268" s="20"/>
      <c r="U268" t="s">
        <v>401</v>
      </c>
    </row>
    <row r="269" spans="1:21" x14ac:dyDescent="0.25">
      <c r="A269" s="60">
        <v>41712</v>
      </c>
      <c r="B269" s="36">
        <v>41</v>
      </c>
      <c r="C269" s="56" t="s">
        <v>1174</v>
      </c>
      <c r="D269" s="56"/>
      <c r="E269" s="22">
        <v>911.25</v>
      </c>
      <c r="F269" s="22" t="s">
        <v>889</v>
      </c>
      <c r="G269" s="20" t="s">
        <v>1175</v>
      </c>
      <c r="H269" s="18">
        <v>911.25</v>
      </c>
      <c r="I269" s="3">
        <v>41712</v>
      </c>
      <c r="J269" s="20"/>
      <c r="K269" s="20"/>
      <c r="L269" s="20"/>
      <c r="M269" s="20"/>
      <c r="N269" s="22"/>
      <c r="O269" s="56"/>
      <c r="P269" s="20"/>
      <c r="Q269" s="20"/>
      <c r="R269" s="20"/>
      <c r="S269" s="20"/>
      <c r="T269" s="20"/>
    </row>
    <row r="270" spans="1:21" x14ac:dyDescent="0.25">
      <c r="A270" s="60">
        <v>41712</v>
      </c>
      <c r="B270" s="36">
        <v>41</v>
      </c>
      <c r="C270" s="56" t="s">
        <v>1176</v>
      </c>
      <c r="D270" s="56"/>
      <c r="E270" s="22">
        <v>843.75</v>
      </c>
      <c r="F270" s="22" t="s">
        <v>889</v>
      </c>
      <c r="G270" s="20" t="s">
        <v>1177</v>
      </c>
      <c r="H270" s="18">
        <v>843.75</v>
      </c>
      <c r="I270" s="3">
        <v>41712</v>
      </c>
      <c r="J270" s="20"/>
      <c r="K270" s="20"/>
      <c r="L270" s="20"/>
      <c r="M270" s="20"/>
      <c r="N270" s="22"/>
      <c r="O270" s="56"/>
      <c r="P270" s="20"/>
      <c r="Q270" s="20"/>
      <c r="R270" s="20"/>
      <c r="S270" s="20"/>
      <c r="T270" s="20"/>
    </row>
    <row r="271" spans="1:21" x14ac:dyDescent="0.25">
      <c r="A271" s="60">
        <v>41719</v>
      </c>
      <c r="B271" s="36">
        <v>41</v>
      </c>
      <c r="C271" s="56" t="s">
        <v>1178</v>
      </c>
      <c r="D271" s="56"/>
      <c r="E271" s="22">
        <v>675</v>
      </c>
      <c r="F271" s="22" t="s">
        <v>889</v>
      </c>
      <c r="G271" s="20" t="s">
        <v>1179</v>
      </c>
      <c r="H271" s="18">
        <v>675</v>
      </c>
      <c r="I271" s="3">
        <v>41719</v>
      </c>
      <c r="J271" s="20"/>
      <c r="K271" s="20"/>
      <c r="L271" s="20"/>
      <c r="M271" s="20"/>
      <c r="N271" s="22"/>
      <c r="O271" s="56"/>
      <c r="P271" s="20"/>
      <c r="Q271" s="20"/>
      <c r="R271" s="20"/>
      <c r="S271" s="20"/>
      <c r="T271" s="20"/>
    </row>
    <row r="272" spans="1:21" x14ac:dyDescent="0.25">
      <c r="A272" s="60">
        <v>41753</v>
      </c>
      <c r="B272" s="36">
        <v>41</v>
      </c>
      <c r="C272" s="56" t="s">
        <v>1180</v>
      </c>
      <c r="D272" s="56">
        <v>3.25</v>
      </c>
      <c r="E272" s="22">
        <v>438.75</v>
      </c>
      <c r="F272" s="22" t="s">
        <v>889</v>
      </c>
      <c r="G272" s="20" t="s">
        <v>1181</v>
      </c>
      <c r="H272" s="18">
        <v>438.75</v>
      </c>
      <c r="I272" s="3">
        <v>41753</v>
      </c>
      <c r="J272" s="20"/>
      <c r="K272" s="20"/>
      <c r="L272" s="20"/>
      <c r="M272" s="20"/>
      <c r="N272" s="22"/>
      <c r="O272" s="56"/>
      <c r="P272" s="20"/>
      <c r="Q272" s="20"/>
      <c r="R272" s="20"/>
      <c r="S272" s="20"/>
      <c r="T272" s="20"/>
    </row>
    <row r="273" spans="1:20" x14ac:dyDescent="0.25">
      <c r="A273" s="60">
        <v>41753</v>
      </c>
      <c r="B273" s="36">
        <v>41</v>
      </c>
      <c r="C273" s="56" t="s">
        <v>1182</v>
      </c>
      <c r="D273" s="56">
        <v>4.75</v>
      </c>
      <c r="E273" s="22">
        <v>641.25</v>
      </c>
      <c r="F273" s="22" t="s">
        <v>889</v>
      </c>
      <c r="G273" s="20" t="s">
        <v>1183</v>
      </c>
      <c r="H273" s="18">
        <v>641.25</v>
      </c>
      <c r="I273" s="3">
        <v>41753</v>
      </c>
      <c r="J273" s="20"/>
      <c r="K273" s="20"/>
      <c r="L273" s="20"/>
      <c r="M273" s="20"/>
      <c r="N273" s="22"/>
      <c r="O273" s="56"/>
      <c r="P273" s="20"/>
      <c r="Q273" s="20"/>
      <c r="R273" s="20"/>
      <c r="S273" s="20"/>
      <c r="T273" s="20"/>
    </row>
    <row r="274" spans="1:20" x14ac:dyDescent="0.25">
      <c r="A274" s="60">
        <v>41762</v>
      </c>
      <c r="B274" s="36">
        <v>41</v>
      </c>
      <c r="C274" s="56" t="s">
        <v>1184</v>
      </c>
      <c r="D274" s="56">
        <v>6.86</v>
      </c>
      <c r="E274" s="22">
        <v>926.1</v>
      </c>
      <c r="F274" s="22" t="s">
        <v>889</v>
      </c>
      <c r="G274" s="20" t="s">
        <v>1185</v>
      </c>
      <c r="H274" s="18">
        <v>926.1</v>
      </c>
      <c r="I274" s="3">
        <v>41762</v>
      </c>
      <c r="J274" s="20"/>
      <c r="K274" s="20"/>
      <c r="L274" s="20"/>
      <c r="M274" s="20"/>
      <c r="N274" s="22"/>
      <c r="O274" s="56"/>
      <c r="P274" s="20"/>
      <c r="Q274" s="20"/>
      <c r="R274" s="20"/>
      <c r="S274" s="20"/>
      <c r="T274" s="20"/>
    </row>
    <row r="275" spans="1:20" x14ac:dyDescent="0.25">
      <c r="A275" s="60">
        <v>41768</v>
      </c>
      <c r="B275" s="36">
        <v>41</v>
      </c>
      <c r="C275" s="56" t="s">
        <v>1186</v>
      </c>
      <c r="D275" s="56">
        <v>6.63</v>
      </c>
      <c r="E275" s="22">
        <v>895.05</v>
      </c>
      <c r="F275" s="22" t="s">
        <v>889</v>
      </c>
      <c r="G275" s="20" t="s">
        <v>1187</v>
      </c>
      <c r="H275" s="18">
        <v>895.05</v>
      </c>
      <c r="I275" s="3">
        <v>41768</v>
      </c>
      <c r="J275" s="20"/>
      <c r="K275" s="20"/>
      <c r="L275" s="20"/>
      <c r="M275" s="20"/>
      <c r="N275" s="22"/>
      <c r="O275" s="56"/>
      <c r="P275" s="20"/>
      <c r="Q275" s="20"/>
      <c r="R275" s="20"/>
      <c r="S275" s="20"/>
      <c r="T275" s="20"/>
    </row>
    <row r="276" spans="1:20" x14ac:dyDescent="0.25">
      <c r="A276" s="60">
        <v>41768</v>
      </c>
      <c r="B276" s="36">
        <v>41</v>
      </c>
      <c r="C276" t="s">
        <v>1188</v>
      </c>
      <c r="D276" s="56">
        <v>8.9250000000000007</v>
      </c>
      <c r="E276" s="22">
        <v>1204.875</v>
      </c>
      <c r="F276" s="22" t="s">
        <v>889</v>
      </c>
      <c r="G276" s="20" t="s">
        <v>1189</v>
      </c>
      <c r="H276" s="18">
        <v>1204.875</v>
      </c>
      <c r="I276" s="3">
        <v>41768</v>
      </c>
      <c r="J276" s="20"/>
      <c r="K276" s="20"/>
      <c r="L276" s="20"/>
      <c r="M276" s="20"/>
      <c r="N276" s="22"/>
      <c r="O276" s="56"/>
      <c r="P276" s="20"/>
      <c r="Q276" s="20"/>
      <c r="R276" s="20"/>
      <c r="S276" s="20"/>
      <c r="T276" s="20"/>
    </row>
    <row r="277" spans="1:20" x14ac:dyDescent="0.25">
      <c r="A277" s="60">
        <v>41775</v>
      </c>
      <c r="B277" s="36">
        <v>41</v>
      </c>
      <c r="C277" s="56" t="s">
        <v>1190</v>
      </c>
      <c r="D277" s="56">
        <v>7.3949999999999996</v>
      </c>
      <c r="E277" s="22">
        <v>998.32499999999993</v>
      </c>
      <c r="F277" s="22" t="s">
        <v>889</v>
      </c>
      <c r="G277" s="20" t="s">
        <v>1191</v>
      </c>
      <c r="H277" s="18">
        <v>998.32499999999993</v>
      </c>
      <c r="I277" s="3">
        <v>41775</v>
      </c>
      <c r="J277" s="20"/>
      <c r="K277" s="20"/>
      <c r="L277" s="20"/>
      <c r="M277" s="20"/>
      <c r="N277" s="22"/>
      <c r="O277" s="56"/>
      <c r="P277" s="20"/>
      <c r="Q277" s="20"/>
      <c r="R277" s="20"/>
      <c r="S277" s="20"/>
      <c r="T277" s="20"/>
    </row>
    <row r="278" spans="1:20" x14ac:dyDescent="0.25">
      <c r="A278" s="60">
        <v>41782</v>
      </c>
      <c r="B278" s="36">
        <v>41</v>
      </c>
      <c r="C278" s="56" t="s">
        <v>1192</v>
      </c>
      <c r="D278" s="56">
        <v>2.75</v>
      </c>
      <c r="E278" s="22">
        <v>371.25</v>
      </c>
      <c r="F278" s="22" t="s">
        <v>889</v>
      </c>
      <c r="G278" s="20" t="s">
        <v>1193</v>
      </c>
      <c r="H278" s="18">
        <v>371.25</v>
      </c>
      <c r="I278" s="3">
        <v>41782</v>
      </c>
      <c r="J278" s="20"/>
      <c r="K278" s="20"/>
      <c r="L278" s="20"/>
      <c r="M278" s="20"/>
      <c r="N278" s="22"/>
      <c r="O278" s="56"/>
      <c r="P278" s="20"/>
      <c r="Q278" s="20"/>
      <c r="R278" s="20"/>
      <c r="S278" s="20"/>
      <c r="T278" s="20"/>
    </row>
    <row r="279" spans="1:20" x14ac:dyDescent="0.25">
      <c r="A279" s="60">
        <v>41782</v>
      </c>
      <c r="B279" s="36">
        <v>41</v>
      </c>
      <c r="C279" s="56" t="s">
        <v>1194</v>
      </c>
      <c r="D279" s="56">
        <v>3.5</v>
      </c>
      <c r="E279" s="22">
        <v>472.5</v>
      </c>
      <c r="F279" s="22" t="s">
        <v>889</v>
      </c>
      <c r="G279" s="20" t="s">
        <v>1195</v>
      </c>
      <c r="H279" s="18">
        <v>472.5</v>
      </c>
      <c r="I279" s="3">
        <v>41782</v>
      </c>
      <c r="J279" s="20"/>
      <c r="K279" s="20"/>
      <c r="L279" s="20"/>
      <c r="M279" s="20"/>
      <c r="N279" s="22"/>
      <c r="O279" s="56"/>
      <c r="P279" s="20"/>
      <c r="Q279" s="20"/>
      <c r="R279" s="20"/>
      <c r="S279" s="20"/>
      <c r="T279" s="20"/>
    </row>
    <row r="280" spans="1:20" x14ac:dyDescent="0.25">
      <c r="A280" s="60">
        <v>41782</v>
      </c>
      <c r="B280" s="36">
        <v>41</v>
      </c>
      <c r="C280" s="56" t="s">
        <v>1196</v>
      </c>
      <c r="D280" s="56">
        <v>4.25</v>
      </c>
      <c r="E280" s="22">
        <v>573.75</v>
      </c>
      <c r="F280" s="22" t="s">
        <v>889</v>
      </c>
      <c r="G280" s="20" t="s">
        <v>1197</v>
      </c>
      <c r="H280" s="18">
        <v>573.75</v>
      </c>
      <c r="I280" s="3">
        <v>41782</v>
      </c>
      <c r="J280" s="20"/>
      <c r="K280" s="20"/>
      <c r="L280" s="20"/>
      <c r="M280" s="20"/>
      <c r="N280" s="22"/>
      <c r="O280" s="56"/>
      <c r="P280" s="20"/>
      <c r="Q280" s="20"/>
      <c r="R280" s="20"/>
      <c r="S280" s="20"/>
      <c r="T280" s="20"/>
    </row>
    <row r="281" spans="1:20" x14ac:dyDescent="0.25">
      <c r="A281" s="60">
        <v>41789</v>
      </c>
      <c r="B281" s="36">
        <v>41</v>
      </c>
      <c r="C281" s="56" t="s">
        <v>1198</v>
      </c>
      <c r="D281" s="56">
        <v>6.25</v>
      </c>
      <c r="E281" s="22">
        <v>843.75</v>
      </c>
      <c r="F281" s="22" t="s">
        <v>889</v>
      </c>
      <c r="G281" s="20" t="s">
        <v>1199</v>
      </c>
      <c r="H281" s="18">
        <v>843.75</v>
      </c>
      <c r="I281" s="3">
        <v>41789</v>
      </c>
      <c r="J281" s="20"/>
      <c r="K281" s="20"/>
      <c r="L281" s="20"/>
      <c r="M281" s="20"/>
      <c r="N281" s="22"/>
      <c r="O281" s="56"/>
      <c r="P281" s="20"/>
      <c r="Q281" s="20"/>
      <c r="R281" s="20"/>
      <c r="S281" s="20"/>
      <c r="T281" s="20"/>
    </row>
    <row r="282" spans="1:20" x14ac:dyDescent="0.25">
      <c r="A282" s="60">
        <v>41796</v>
      </c>
      <c r="B282" s="36">
        <v>41</v>
      </c>
      <c r="C282" s="56" t="s">
        <v>1200</v>
      </c>
      <c r="D282" s="56">
        <v>11.75</v>
      </c>
      <c r="E282" s="22">
        <v>1586.25</v>
      </c>
      <c r="F282" s="22" t="s">
        <v>889</v>
      </c>
      <c r="G282" s="20" t="s">
        <v>1201</v>
      </c>
      <c r="H282" s="18">
        <v>1586.25</v>
      </c>
      <c r="I282" s="3">
        <v>41796</v>
      </c>
      <c r="J282" s="20"/>
      <c r="K282" s="20"/>
      <c r="L282" s="20"/>
      <c r="M282" s="20"/>
      <c r="N282" s="22"/>
      <c r="O282" s="56" t="s">
        <v>905</v>
      </c>
      <c r="P282" s="20"/>
      <c r="Q282" s="20"/>
      <c r="R282" s="20"/>
      <c r="S282" s="20"/>
      <c r="T282" s="20"/>
    </row>
    <row r="283" spans="1:20" x14ac:dyDescent="0.25">
      <c r="A283" s="60">
        <v>41810</v>
      </c>
      <c r="B283" s="36">
        <v>41</v>
      </c>
      <c r="C283" s="56" t="s">
        <v>1196</v>
      </c>
      <c r="D283" s="56">
        <v>4.25</v>
      </c>
      <c r="E283" s="22">
        <v>-573.75</v>
      </c>
      <c r="F283" s="22" t="s">
        <v>889</v>
      </c>
      <c r="G283" s="20" t="s">
        <v>1197</v>
      </c>
      <c r="H283" s="18" t="s">
        <v>442</v>
      </c>
      <c r="I283" s="3" t="s">
        <v>442</v>
      </c>
      <c r="J283" s="20"/>
      <c r="K283" s="20"/>
      <c r="L283" s="20"/>
      <c r="M283" s="20"/>
      <c r="N283" s="22"/>
      <c r="O283" s="56" t="s">
        <v>1202</v>
      </c>
      <c r="P283" s="20"/>
      <c r="Q283" s="20"/>
      <c r="R283" s="20"/>
      <c r="S283" s="20"/>
      <c r="T283" s="20"/>
    </row>
    <row r="284" spans="1:20" x14ac:dyDescent="0.25">
      <c r="A284" s="60">
        <v>41810</v>
      </c>
      <c r="B284" s="36">
        <v>41</v>
      </c>
      <c r="C284" s="56" t="s">
        <v>1203</v>
      </c>
      <c r="D284" s="56">
        <v>6.12</v>
      </c>
      <c r="E284" s="22">
        <v>765</v>
      </c>
      <c r="F284" s="22" t="s">
        <v>889</v>
      </c>
      <c r="G284" s="20" t="s">
        <v>1204</v>
      </c>
      <c r="H284" s="18">
        <v>765</v>
      </c>
      <c r="I284" s="3">
        <v>41810</v>
      </c>
      <c r="J284" s="20"/>
      <c r="K284" s="20"/>
      <c r="L284" s="20"/>
      <c r="M284" s="20"/>
      <c r="N284" s="22"/>
      <c r="O284" s="56" t="s">
        <v>931</v>
      </c>
      <c r="P284" s="20"/>
      <c r="Q284" s="20"/>
      <c r="R284" s="20"/>
      <c r="S284" s="20"/>
      <c r="T284" s="20"/>
    </row>
    <row r="285" spans="1:20" x14ac:dyDescent="0.25">
      <c r="A285" s="60">
        <v>41810</v>
      </c>
      <c r="B285" s="36">
        <v>41</v>
      </c>
      <c r="C285" s="56" t="s">
        <v>1205</v>
      </c>
      <c r="D285" s="56"/>
      <c r="E285" s="22">
        <v>406.16</v>
      </c>
      <c r="F285" s="22" t="s">
        <v>889</v>
      </c>
      <c r="G285" s="20"/>
      <c r="H285" s="18" t="s">
        <v>442</v>
      </c>
      <c r="I285" s="3" t="s">
        <v>442</v>
      </c>
      <c r="J285" s="20"/>
      <c r="K285" s="20"/>
      <c r="L285" s="20"/>
      <c r="M285" s="20"/>
      <c r="N285" s="22"/>
      <c r="O285" s="56"/>
      <c r="P285" s="20" t="s">
        <v>401</v>
      </c>
      <c r="Q285" s="20"/>
      <c r="R285" s="20"/>
      <c r="S285" s="20"/>
      <c r="T285" s="20"/>
    </row>
    <row r="286" spans="1:20" x14ac:dyDescent="0.25">
      <c r="A286" s="60">
        <v>41817</v>
      </c>
      <c r="B286" s="36">
        <v>41</v>
      </c>
      <c r="C286" s="56" t="s">
        <v>1206</v>
      </c>
      <c r="D286" s="56"/>
      <c r="E286" s="22">
        <v>266.625</v>
      </c>
      <c r="F286" s="22" t="s">
        <v>889</v>
      </c>
      <c r="G286" s="20"/>
      <c r="H286" s="18" t="s">
        <v>442</v>
      </c>
      <c r="I286" s="3" t="s">
        <v>442</v>
      </c>
      <c r="J286" s="20"/>
      <c r="K286" s="20"/>
      <c r="L286" s="20"/>
      <c r="M286" s="20"/>
      <c r="N286" s="22"/>
      <c r="O286" s="56" t="s">
        <v>1207</v>
      </c>
      <c r="P286" s="20"/>
      <c r="Q286" s="20" t="s">
        <v>401</v>
      </c>
      <c r="R286" s="20"/>
      <c r="S286" s="20"/>
      <c r="T286" s="20"/>
    </row>
    <row r="287" spans="1:20" x14ac:dyDescent="0.25">
      <c r="A287" s="60">
        <v>41824</v>
      </c>
      <c r="B287" s="36">
        <v>41</v>
      </c>
      <c r="C287" s="56" t="s">
        <v>1174</v>
      </c>
      <c r="D287" s="56">
        <v>6.75</v>
      </c>
      <c r="E287" s="22">
        <v>911.25</v>
      </c>
      <c r="F287" s="22" t="s">
        <v>889</v>
      </c>
      <c r="G287" s="20" t="s">
        <v>1175</v>
      </c>
      <c r="H287" s="18">
        <v>911.25</v>
      </c>
      <c r="I287" s="3">
        <v>41824</v>
      </c>
      <c r="J287" s="20"/>
      <c r="K287" s="20"/>
      <c r="L287" s="20"/>
      <c r="M287" s="20"/>
      <c r="N287" s="22"/>
      <c r="O287" s="56" t="s">
        <v>959</v>
      </c>
      <c r="P287" s="20"/>
      <c r="Q287" s="20"/>
      <c r="R287" s="20"/>
      <c r="S287" s="20"/>
      <c r="T287" s="20"/>
    </row>
    <row r="288" spans="1:20" x14ac:dyDescent="0.25">
      <c r="A288" s="60">
        <v>41824</v>
      </c>
      <c r="B288" s="36">
        <v>41</v>
      </c>
      <c r="C288" s="56" t="s">
        <v>1208</v>
      </c>
      <c r="D288" s="56">
        <v>6.5</v>
      </c>
      <c r="E288" s="22">
        <v>650</v>
      </c>
      <c r="F288" s="22" t="s">
        <v>889</v>
      </c>
      <c r="G288" s="20" t="s">
        <v>1209</v>
      </c>
      <c r="H288" s="18">
        <v>650</v>
      </c>
      <c r="I288" s="3">
        <v>41824</v>
      </c>
      <c r="J288" s="20"/>
      <c r="K288" s="20"/>
      <c r="L288" s="20"/>
      <c r="M288" s="20"/>
      <c r="N288" s="22"/>
      <c r="O288" s="56" t="s">
        <v>905</v>
      </c>
      <c r="P288" s="20"/>
      <c r="Q288" s="20"/>
      <c r="R288" s="20"/>
      <c r="S288" s="20"/>
      <c r="T288" s="20"/>
    </row>
    <row r="289" spans="1:20" x14ac:dyDescent="0.25">
      <c r="A289" s="60">
        <v>41824</v>
      </c>
      <c r="B289" s="36">
        <v>41</v>
      </c>
      <c r="C289" s="56" t="s">
        <v>1206</v>
      </c>
      <c r="D289" s="56"/>
      <c r="E289" s="22">
        <v>-88.875</v>
      </c>
      <c r="F289" s="22" t="s">
        <v>889</v>
      </c>
      <c r="G289" s="20"/>
      <c r="H289" s="18" t="s">
        <v>442</v>
      </c>
      <c r="I289" s="3" t="s">
        <v>442</v>
      </c>
      <c r="J289" s="20"/>
      <c r="K289" s="20"/>
      <c r="L289" s="20"/>
      <c r="M289" s="20"/>
      <c r="N289" s="22"/>
      <c r="O289" s="56" t="s">
        <v>1210</v>
      </c>
      <c r="P289" s="20"/>
      <c r="Q289" s="20" t="s">
        <v>401</v>
      </c>
      <c r="R289" s="20"/>
      <c r="S289" s="20"/>
      <c r="T289" s="20"/>
    </row>
    <row r="290" spans="1:20" x14ac:dyDescent="0.25">
      <c r="A290" s="60">
        <v>41824</v>
      </c>
      <c r="B290" s="36">
        <v>41</v>
      </c>
      <c r="C290" s="56" t="s">
        <v>1206</v>
      </c>
      <c r="D290" s="56"/>
      <c r="E290" s="22">
        <v>-533.25</v>
      </c>
      <c r="F290" s="22" t="s">
        <v>889</v>
      </c>
      <c r="G290" s="20"/>
      <c r="H290" s="18" t="s">
        <v>442</v>
      </c>
      <c r="I290" s="3" t="s">
        <v>442</v>
      </c>
      <c r="J290" s="20"/>
      <c r="K290" s="20"/>
      <c r="L290" s="20"/>
      <c r="M290" s="20"/>
      <c r="N290" s="22"/>
      <c r="O290" s="56" t="s">
        <v>1211</v>
      </c>
      <c r="P290" s="20"/>
      <c r="Q290" s="20" t="s">
        <v>401</v>
      </c>
      <c r="R290" s="20"/>
      <c r="S290" s="20"/>
      <c r="T290" s="20"/>
    </row>
    <row r="291" spans="1:20" x14ac:dyDescent="0.25">
      <c r="A291" s="60">
        <v>41831</v>
      </c>
      <c r="B291" s="36">
        <v>41</v>
      </c>
      <c r="C291" s="56" t="s">
        <v>1212</v>
      </c>
      <c r="D291" s="56"/>
      <c r="E291" s="22">
        <v>-33.447580649999999</v>
      </c>
      <c r="F291" s="22" t="s">
        <v>889</v>
      </c>
      <c r="G291" s="20"/>
      <c r="H291" s="18" t="s">
        <v>442</v>
      </c>
      <c r="I291" s="3" t="s">
        <v>442</v>
      </c>
      <c r="J291" s="20"/>
      <c r="K291" s="20"/>
      <c r="L291" s="20"/>
      <c r="M291" s="20"/>
      <c r="N291" s="22"/>
      <c r="O291" s="56" t="s">
        <v>1090</v>
      </c>
      <c r="P291" s="20"/>
      <c r="Q291" s="20" t="s">
        <v>401</v>
      </c>
      <c r="R291" s="20"/>
      <c r="S291" s="20"/>
      <c r="T291" s="20"/>
    </row>
    <row r="292" spans="1:20" x14ac:dyDescent="0.25">
      <c r="A292" s="60">
        <v>41831</v>
      </c>
      <c r="B292" s="36">
        <v>41</v>
      </c>
      <c r="C292" s="56" t="s">
        <v>1213</v>
      </c>
      <c r="D292" s="56"/>
      <c r="E292" s="22">
        <v>128.38</v>
      </c>
      <c r="F292" s="22" t="s">
        <v>889</v>
      </c>
      <c r="G292" s="20"/>
      <c r="H292" s="18" t="s">
        <v>442</v>
      </c>
      <c r="I292" s="3" t="s">
        <v>442</v>
      </c>
      <c r="J292" s="20"/>
      <c r="K292" s="20"/>
      <c r="L292" s="20"/>
      <c r="M292" s="20"/>
      <c r="N292" s="22"/>
      <c r="O292" s="56"/>
      <c r="P292" s="20"/>
      <c r="Q292" s="20" t="s">
        <v>401</v>
      </c>
      <c r="R292" s="20"/>
      <c r="S292" s="20"/>
      <c r="T292" s="20"/>
    </row>
    <row r="293" spans="1:20" x14ac:dyDescent="0.25">
      <c r="A293" s="60">
        <v>41831</v>
      </c>
      <c r="B293" s="36">
        <v>41</v>
      </c>
      <c r="C293" s="56" t="s">
        <v>1214</v>
      </c>
      <c r="D293" s="56">
        <v>4.08</v>
      </c>
      <c r="E293" s="22">
        <v>510</v>
      </c>
      <c r="F293" s="22" t="s">
        <v>889</v>
      </c>
      <c r="G293" s="20" t="s">
        <v>1215</v>
      </c>
      <c r="H293" s="18">
        <v>510</v>
      </c>
      <c r="I293" s="3">
        <v>41831</v>
      </c>
      <c r="J293" s="20"/>
      <c r="K293" s="20"/>
      <c r="L293" s="20"/>
      <c r="M293" s="20"/>
      <c r="N293" s="22"/>
      <c r="O293" s="56" t="s">
        <v>931</v>
      </c>
      <c r="P293" s="20"/>
      <c r="Q293" s="20"/>
      <c r="R293" s="20"/>
      <c r="S293" s="20"/>
      <c r="T293" s="20"/>
    </row>
    <row r="294" spans="1:20" x14ac:dyDescent="0.25">
      <c r="A294" s="60">
        <v>41838</v>
      </c>
      <c r="B294" s="36">
        <v>41</v>
      </c>
      <c r="C294" s="56" t="s">
        <v>1216</v>
      </c>
      <c r="D294" s="56">
        <v>9.18</v>
      </c>
      <c r="E294" s="22">
        <v>1285.2</v>
      </c>
      <c r="F294" s="22" t="s">
        <v>889</v>
      </c>
      <c r="G294" s="20" t="s">
        <v>1217</v>
      </c>
      <c r="H294" s="18">
        <v>1285.2</v>
      </c>
      <c r="I294" s="3">
        <v>41838</v>
      </c>
      <c r="J294" s="20"/>
      <c r="K294" s="20"/>
      <c r="L294" s="20"/>
      <c r="M294" s="20"/>
      <c r="N294" s="22"/>
      <c r="O294" s="56" t="s">
        <v>931</v>
      </c>
      <c r="P294" s="20"/>
      <c r="Q294" s="20"/>
      <c r="R294" s="20"/>
      <c r="S294" s="20"/>
      <c r="T294" s="20"/>
    </row>
    <row r="295" spans="1:20" x14ac:dyDescent="0.25">
      <c r="A295" s="60">
        <v>41838</v>
      </c>
      <c r="B295" s="36">
        <v>41</v>
      </c>
      <c r="C295" s="56" t="s">
        <v>1218</v>
      </c>
      <c r="D295" s="56"/>
      <c r="E295" s="22">
        <v>-33.447580649999999</v>
      </c>
      <c r="F295" s="22" t="s">
        <v>889</v>
      </c>
      <c r="G295" s="20"/>
      <c r="H295" s="18" t="s">
        <v>442</v>
      </c>
      <c r="I295" s="3" t="s">
        <v>442</v>
      </c>
      <c r="J295" s="20"/>
      <c r="K295" s="20"/>
      <c r="L295" s="20"/>
      <c r="M295" s="20"/>
      <c r="N295" s="22"/>
      <c r="O295" s="56" t="s">
        <v>1219</v>
      </c>
      <c r="P295" s="20"/>
      <c r="Q295" s="20" t="s">
        <v>401</v>
      </c>
      <c r="R295" s="20"/>
      <c r="S295" s="20"/>
      <c r="T295" s="20"/>
    </row>
    <row r="296" spans="1:20" x14ac:dyDescent="0.25">
      <c r="A296" s="60">
        <v>41838</v>
      </c>
      <c r="B296" s="36">
        <v>41</v>
      </c>
      <c r="C296" s="56" t="s">
        <v>946</v>
      </c>
      <c r="D296" s="56"/>
      <c r="E296" s="22">
        <v>265.38</v>
      </c>
      <c r="F296" s="22" t="s">
        <v>889</v>
      </c>
      <c r="G296" s="20"/>
      <c r="H296" s="18" t="s">
        <v>442</v>
      </c>
      <c r="I296" s="3" t="s">
        <v>442</v>
      </c>
      <c r="J296" s="20"/>
      <c r="K296" s="20"/>
      <c r="L296" s="20"/>
      <c r="M296" s="20"/>
      <c r="N296" s="22" t="s">
        <v>401</v>
      </c>
      <c r="O296" s="56"/>
      <c r="P296" s="20"/>
      <c r="Q296" s="20"/>
      <c r="R296" s="20"/>
      <c r="S296" s="20"/>
      <c r="T296" s="20"/>
    </row>
    <row r="297" spans="1:20" x14ac:dyDescent="0.25">
      <c r="A297" s="60">
        <v>41838</v>
      </c>
      <c r="B297" s="36">
        <v>41</v>
      </c>
      <c r="C297" s="56" t="s">
        <v>1220</v>
      </c>
      <c r="D297" s="56">
        <v>8.67</v>
      </c>
      <c r="E297" s="22">
        <v>1213.8</v>
      </c>
      <c r="F297" s="22" t="s">
        <v>889</v>
      </c>
      <c r="G297" s="20" t="s">
        <v>1221</v>
      </c>
      <c r="H297" s="18">
        <v>1213.8</v>
      </c>
      <c r="I297" s="3">
        <v>41838</v>
      </c>
      <c r="J297" s="20"/>
      <c r="K297" s="20"/>
      <c r="L297" s="20"/>
      <c r="M297" s="20"/>
      <c r="N297" s="22"/>
      <c r="O297" s="56" t="s">
        <v>931</v>
      </c>
      <c r="P297" s="20"/>
      <c r="Q297" s="20"/>
      <c r="R297" s="20"/>
      <c r="S297" s="20"/>
      <c r="T297" s="20"/>
    </row>
    <row r="298" spans="1:20" x14ac:dyDescent="0.25">
      <c r="A298" s="60">
        <v>41838</v>
      </c>
      <c r="B298" s="36">
        <v>41</v>
      </c>
      <c r="C298" s="56" t="s">
        <v>1222</v>
      </c>
      <c r="D298" s="56">
        <v>8.67</v>
      </c>
      <c r="E298" s="22">
        <v>1213.8</v>
      </c>
      <c r="F298" s="22" t="s">
        <v>889</v>
      </c>
      <c r="G298" s="20" t="s">
        <v>1223</v>
      </c>
      <c r="H298" s="18">
        <v>1213.8</v>
      </c>
      <c r="I298" s="3">
        <v>41838</v>
      </c>
      <c r="J298" s="20"/>
      <c r="K298" s="20"/>
      <c r="L298" s="20"/>
      <c r="M298" s="20"/>
      <c r="N298" s="22"/>
      <c r="O298" s="56" t="s">
        <v>931</v>
      </c>
      <c r="P298" s="20"/>
      <c r="Q298" s="20"/>
      <c r="R298" s="20"/>
      <c r="S298" s="20"/>
      <c r="T298" s="20"/>
    </row>
    <row r="299" spans="1:20" x14ac:dyDescent="0.25">
      <c r="A299" s="60">
        <v>41838</v>
      </c>
      <c r="B299" s="36">
        <v>41</v>
      </c>
      <c r="C299" s="56" t="s">
        <v>1224</v>
      </c>
      <c r="D299" s="56">
        <v>6.63</v>
      </c>
      <c r="E299" s="22">
        <v>928.19999999999993</v>
      </c>
      <c r="F299" s="22" t="s">
        <v>889</v>
      </c>
      <c r="G299" s="20" t="s">
        <v>1225</v>
      </c>
      <c r="H299" s="18">
        <v>928.19999999999993</v>
      </c>
      <c r="I299" s="3">
        <v>41838</v>
      </c>
      <c r="J299" s="20"/>
      <c r="K299" s="20"/>
      <c r="L299" s="20"/>
      <c r="M299" s="20"/>
      <c r="N299" s="22"/>
      <c r="O299" s="56" t="s">
        <v>931</v>
      </c>
      <c r="P299" s="20"/>
      <c r="Q299" s="20"/>
      <c r="R299" s="20"/>
      <c r="S299" s="20"/>
      <c r="T299" s="20"/>
    </row>
    <row r="300" spans="1:20" x14ac:dyDescent="0.25">
      <c r="A300" s="60">
        <v>41838</v>
      </c>
      <c r="B300" s="36">
        <v>41</v>
      </c>
      <c r="C300" s="56" t="s">
        <v>1226</v>
      </c>
      <c r="D300" s="56">
        <v>7.14</v>
      </c>
      <c r="E300" s="22">
        <v>999.59999999999991</v>
      </c>
      <c r="F300" s="22" t="s">
        <v>889</v>
      </c>
      <c r="G300" s="20" t="s">
        <v>1227</v>
      </c>
      <c r="H300" s="18">
        <v>999.59999999999991</v>
      </c>
      <c r="I300" s="3">
        <v>41838</v>
      </c>
      <c r="J300" s="20"/>
      <c r="K300" s="20"/>
      <c r="L300" s="20"/>
      <c r="M300" s="20"/>
      <c r="N300" s="22"/>
      <c r="O300" s="56" t="s">
        <v>931</v>
      </c>
      <c r="P300" s="20"/>
      <c r="Q300" s="20"/>
      <c r="R300" s="20"/>
      <c r="S300" s="20"/>
      <c r="T300" s="20"/>
    </row>
    <row r="301" spans="1:20" x14ac:dyDescent="0.25">
      <c r="A301" s="60">
        <v>41845</v>
      </c>
      <c r="B301" s="36">
        <v>41</v>
      </c>
      <c r="C301" s="56" t="s">
        <v>1218</v>
      </c>
      <c r="D301" s="56"/>
      <c r="E301" s="22">
        <v>-33.447580649999999</v>
      </c>
      <c r="F301" s="22" t="s">
        <v>889</v>
      </c>
      <c r="G301" s="20"/>
      <c r="H301" s="18" t="s">
        <v>442</v>
      </c>
      <c r="I301" s="3" t="s">
        <v>442</v>
      </c>
      <c r="J301" s="20"/>
      <c r="K301" s="20"/>
      <c r="L301" s="20"/>
      <c r="M301" s="20"/>
      <c r="N301" s="22"/>
      <c r="O301" s="56" t="s">
        <v>1228</v>
      </c>
      <c r="P301" s="20"/>
      <c r="Q301" s="20" t="s">
        <v>401</v>
      </c>
      <c r="R301" s="20"/>
      <c r="S301" s="20"/>
      <c r="T301" s="20"/>
    </row>
    <row r="302" spans="1:20" x14ac:dyDescent="0.25">
      <c r="A302" s="60">
        <v>41845</v>
      </c>
      <c r="B302" s="36">
        <v>41</v>
      </c>
      <c r="C302" s="56" t="s">
        <v>1229</v>
      </c>
      <c r="D302" s="56">
        <v>7.75</v>
      </c>
      <c r="E302" s="22">
        <v>1085</v>
      </c>
      <c r="F302" s="22" t="s">
        <v>889</v>
      </c>
      <c r="G302" s="20" t="s">
        <v>1230</v>
      </c>
      <c r="H302" s="18">
        <v>1085</v>
      </c>
      <c r="I302" s="3">
        <v>41845</v>
      </c>
      <c r="J302" s="20"/>
      <c r="K302" s="20"/>
      <c r="L302" s="20"/>
      <c r="M302" s="20"/>
      <c r="N302" s="22"/>
      <c r="O302" s="56"/>
      <c r="P302" s="20"/>
      <c r="Q302" s="20"/>
      <c r="R302" s="20"/>
      <c r="S302" s="20"/>
      <c r="T302" s="20"/>
    </row>
    <row r="303" spans="1:20" x14ac:dyDescent="0.25">
      <c r="A303" s="60">
        <v>41845</v>
      </c>
      <c r="B303" s="36">
        <v>41</v>
      </c>
      <c r="C303" s="56" t="s">
        <v>1231</v>
      </c>
      <c r="D303" s="56">
        <v>3.75</v>
      </c>
      <c r="E303" s="22">
        <v>525</v>
      </c>
      <c r="F303" s="22" t="s">
        <v>889</v>
      </c>
      <c r="G303" s="20" t="s">
        <v>1232</v>
      </c>
      <c r="H303" s="18">
        <v>525</v>
      </c>
      <c r="I303" s="3">
        <v>41845</v>
      </c>
      <c r="J303" s="20"/>
      <c r="K303" s="20"/>
      <c r="L303" s="20"/>
      <c r="M303" s="20"/>
      <c r="N303" s="22"/>
      <c r="O303" s="56"/>
      <c r="P303" s="20"/>
      <c r="Q303" s="20"/>
      <c r="R303" s="20"/>
      <c r="S303" s="20"/>
      <c r="T303" s="20"/>
    </row>
    <row r="304" spans="1:20" x14ac:dyDescent="0.25">
      <c r="A304" s="60">
        <v>41845</v>
      </c>
      <c r="B304" s="36">
        <v>41</v>
      </c>
      <c r="C304" s="56" t="s">
        <v>1233</v>
      </c>
      <c r="D304" s="56">
        <v>5.3550000000000004</v>
      </c>
      <c r="E304" s="22">
        <v>749.7</v>
      </c>
      <c r="F304" s="22" t="s">
        <v>889</v>
      </c>
      <c r="G304" s="20" t="s">
        <v>1234</v>
      </c>
      <c r="H304" s="18">
        <v>749.7</v>
      </c>
      <c r="I304" s="3">
        <v>41845</v>
      </c>
      <c r="J304" s="20"/>
      <c r="K304" s="20"/>
      <c r="L304" s="20"/>
      <c r="M304" s="20"/>
      <c r="N304" s="22"/>
      <c r="O304" s="56" t="s">
        <v>931</v>
      </c>
      <c r="P304" s="20"/>
      <c r="Q304" s="20"/>
      <c r="R304" s="20"/>
      <c r="S304" s="20"/>
      <c r="T304" s="20"/>
    </row>
    <row r="305" spans="1:20" x14ac:dyDescent="0.25">
      <c r="A305" s="60">
        <v>41851</v>
      </c>
      <c r="B305" s="36">
        <v>41</v>
      </c>
      <c r="C305" s="56" t="s">
        <v>1235</v>
      </c>
      <c r="D305" s="56">
        <v>7.65</v>
      </c>
      <c r="E305" s="22">
        <v>1071</v>
      </c>
      <c r="F305" s="22" t="s">
        <v>889</v>
      </c>
      <c r="G305" s="20" t="s">
        <v>1236</v>
      </c>
      <c r="H305" s="18">
        <v>1071</v>
      </c>
      <c r="I305" s="3">
        <v>41851</v>
      </c>
      <c r="J305" s="20"/>
      <c r="K305" s="20"/>
      <c r="L305" s="20"/>
      <c r="M305" s="20"/>
      <c r="N305" s="22"/>
      <c r="O305" s="56" t="s">
        <v>931</v>
      </c>
      <c r="P305" s="20"/>
      <c r="Q305" s="20"/>
      <c r="R305" s="20"/>
      <c r="S305" s="20"/>
      <c r="T305" s="20"/>
    </row>
    <row r="306" spans="1:20" x14ac:dyDescent="0.25">
      <c r="A306" s="60">
        <v>41851</v>
      </c>
      <c r="B306" s="36">
        <v>41</v>
      </c>
      <c r="C306" s="56" t="s">
        <v>1237</v>
      </c>
      <c r="D306" s="56"/>
      <c r="E306" s="22">
        <v>-33.447580649999999</v>
      </c>
      <c r="F306" s="22" t="s">
        <v>891</v>
      </c>
      <c r="G306" s="20"/>
      <c r="H306" s="18" t="s">
        <v>442</v>
      </c>
      <c r="I306" s="3" t="s">
        <v>442</v>
      </c>
      <c r="J306" s="20"/>
      <c r="K306" s="20"/>
      <c r="L306" s="20"/>
      <c r="M306" s="20"/>
      <c r="N306" s="22"/>
      <c r="O306" s="56" t="s">
        <v>1238</v>
      </c>
      <c r="P306" s="20"/>
      <c r="Q306" s="20" t="s">
        <v>401</v>
      </c>
      <c r="R306" s="20"/>
      <c r="S306" s="20"/>
      <c r="T306" s="20"/>
    </row>
    <row r="307" spans="1:20" x14ac:dyDescent="0.25">
      <c r="A307" s="60">
        <v>41859</v>
      </c>
      <c r="B307" s="36">
        <v>41</v>
      </c>
      <c r="C307" s="56" t="s">
        <v>1239</v>
      </c>
      <c r="D307" s="56">
        <v>6.8849999999999998</v>
      </c>
      <c r="E307" s="22">
        <v>963.9</v>
      </c>
      <c r="F307" s="22" t="s">
        <v>889</v>
      </c>
      <c r="G307" s="20" t="s">
        <v>1240</v>
      </c>
      <c r="H307" s="18">
        <v>963.9</v>
      </c>
      <c r="I307" s="3">
        <v>41859</v>
      </c>
      <c r="J307" s="20"/>
      <c r="K307" s="20"/>
      <c r="L307" s="20"/>
      <c r="M307" s="20"/>
      <c r="N307" s="22"/>
      <c r="O307" s="56" t="s">
        <v>931</v>
      </c>
      <c r="P307" s="20"/>
      <c r="Q307" s="20"/>
      <c r="R307" s="20"/>
      <c r="S307" s="20"/>
      <c r="T307" s="20"/>
    </row>
    <row r="308" spans="1:20" x14ac:dyDescent="0.25">
      <c r="A308" s="60">
        <v>41859</v>
      </c>
      <c r="B308" s="36">
        <v>41</v>
      </c>
      <c r="C308" s="56" t="s">
        <v>1198</v>
      </c>
      <c r="D308" s="56">
        <v>6.25</v>
      </c>
      <c r="E308" s="22">
        <v>-843.75</v>
      </c>
      <c r="F308" s="22" t="s">
        <v>889</v>
      </c>
      <c r="G308" s="20" t="s">
        <v>1199</v>
      </c>
      <c r="H308" s="18" t="s">
        <v>442</v>
      </c>
      <c r="I308" s="3" t="s">
        <v>442</v>
      </c>
      <c r="J308" s="20"/>
      <c r="K308" s="20"/>
      <c r="L308" s="20"/>
      <c r="M308" s="20"/>
      <c r="N308" s="22"/>
      <c r="O308" s="56" t="s">
        <v>1241</v>
      </c>
      <c r="P308" s="20"/>
      <c r="Q308" s="20"/>
      <c r="R308" s="20"/>
      <c r="S308" s="20"/>
      <c r="T308" s="20"/>
    </row>
    <row r="309" spans="1:20" x14ac:dyDescent="0.25">
      <c r="A309" s="60">
        <v>41859</v>
      </c>
      <c r="B309" s="36">
        <v>41</v>
      </c>
      <c r="C309" s="56" t="s">
        <v>941</v>
      </c>
      <c r="D309" s="56"/>
      <c r="E309" s="22">
        <v>166.24</v>
      </c>
      <c r="F309" s="22" t="s">
        <v>889</v>
      </c>
      <c r="G309" s="20"/>
      <c r="H309" s="18" t="s">
        <v>442</v>
      </c>
      <c r="I309" s="3" t="s">
        <v>442</v>
      </c>
      <c r="J309" s="20"/>
      <c r="K309" s="20"/>
      <c r="L309" s="20"/>
      <c r="M309" s="20"/>
      <c r="N309" s="22"/>
      <c r="O309" s="56"/>
      <c r="P309" s="20" t="s">
        <v>401</v>
      </c>
      <c r="Q309" s="20"/>
      <c r="R309" s="20"/>
      <c r="S309" s="20"/>
      <c r="T309" s="20"/>
    </row>
    <row r="310" spans="1:20" x14ac:dyDescent="0.25">
      <c r="A310" s="60">
        <v>41859</v>
      </c>
      <c r="B310" s="36">
        <v>41</v>
      </c>
      <c r="C310" s="56" t="s">
        <v>1229</v>
      </c>
      <c r="D310" s="56">
        <v>7.75</v>
      </c>
      <c r="E310" s="22">
        <v>-1085</v>
      </c>
      <c r="F310" s="22" t="s">
        <v>889</v>
      </c>
      <c r="G310" s="20" t="s">
        <v>1230</v>
      </c>
      <c r="H310" s="18" t="s">
        <v>442</v>
      </c>
      <c r="I310" s="3" t="s">
        <v>442</v>
      </c>
      <c r="J310" s="20"/>
      <c r="K310" s="20"/>
      <c r="L310" s="20"/>
      <c r="M310" s="20"/>
      <c r="N310" s="22"/>
      <c r="O310" s="56" t="s">
        <v>1241</v>
      </c>
      <c r="P310" s="20"/>
      <c r="Q310" s="20"/>
      <c r="R310" s="20"/>
      <c r="S310" s="20"/>
      <c r="T310" s="20"/>
    </row>
    <row r="311" spans="1:20" x14ac:dyDescent="0.25">
      <c r="A311" s="60">
        <v>41859</v>
      </c>
      <c r="B311" s="36">
        <v>41</v>
      </c>
      <c r="C311" s="56" t="s">
        <v>1108</v>
      </c>
      <c r="D311" s="56"/>
      <c r="E311" s="22">
        <v>-66.895161290000004</v>
      </c>
      <c r="F311" s="22" t="s">
        <v>891</v>
      </c>
      <c r="G311" s="20"/>
      <c r="H311" s="18" t="s">
        <v>442</v>
      </c>
      <c r="I311" s="3" t="s">
        <v>442</v>
      </c>
      <c r="J311" s="20"/>
      <c r="K311" s="20"/>
      <c r="L311" s="20"/>
      <c r="M311" s="20"/>
      <c r="N311" s="22"/>
      <c r="O311" s="56" t="s">
        <v>1109</v>
      </c>
      <c r="P311" s="20"/>
      <c r="Q311" s="20" t="s">
        <v>401</v>
      </c>
      <c r="R311" s="20"/>
      <c r="S311" s="20"/>
      <c r="T311" s="20"/>
    </row>
    <row r="312" spans="1:20" x14ac:dyDescent="0.25">
      <c r="A312" s="60">
        <v>41866</v>
      </c>
      <c r="B312" s="36">
        <v>41</v>
      </c>
      <c r="C312" s="56" t="s">
        <v>1242</v>
      </c>
      <c r="D312" s="56"/>
      <c r="E312" s="22">
        <v>1327.28</v>
      </c>
      <c r="F312" s="22" t="s">
        <v>889</v>
      </c>
      <c r="G312" s="20"/>
      <c r="H312" s="18" t="s">
        <v>442</v>
      </c>
      <c r="I312" s="3" t="s">
        <v>442</v>
      </c>
      <c r="J312" s="20"/>
      <c r="K312" s="20"/>
      <c r="L312" s="20"/>
      <c r="M312" s="20"/>
      <c r="N312" s="22"/>
      <c r="O312" s="56"/>
      <c r="P312" s="20"/>
      <c r="Q312" s="20"/>
      <c r="R312" s="20"/>
      <c r="S312" s="20" t="s">
        <v>401</v>
      </c>
      <c r="T312" s="20"/>
    </row>
    <row r="313" spans="1:20" x14ac:dyDescent="0.25">
      <c r="A313" s="60">
        <v>41866</v>
      </c>
      <c r="B313" s="36">
        <v>41</v>
      </c>
      <c r="C313" s="56" t="s">
        <v>1104</v>
      </c>
      <c r="D313" s="56"/>
      <c r="E313" s="22">
        <v>-66.895161290000004</v>
      </c>
      <c r="F313" s="22" t="s">
        <v>889</v>
      </c>
      <c r="G313" s="20"/>
      <c r="H313" s="18" t="s">
        <v>442</v>
      </c>
      <c r="I313" s="3" t="s">
        <v>442</v>
      </c>
      <c r="J313" s="20"/>
      <c r="K313" s="20"/>
      <c r="L313" s="20"/>
      <c r="M313" s="20"/>
      <c r="N313" s="22"/>
      <c r="O313" s="56" t="s">
        <v>1243</v>
      </c>
      <c r="P313" s="20"/>
      <c r="Q313" s="20" t="s">
        <v>401</v>
      </c>
      <c r="R313" s="20"/>
      <c r="S313" s="20"/>
      <c r="T313" s="20"/>
    </row>
    <row r="314" spans="1:20" x14ac:dyDescent="0.25">
      <c r="A314" s="60">
        <v>41873</v>
      </c>
      <c r="B314" s="36">
        <v>41</v>
      </c>
      <c r="C314" s="56" t="s">
        <v>1244</v>
      </c>
      <c r="D314" s="56">
        <v>8.67</v>
      </c>
      <c r="E314" s="22">
        <v>1213.8</v>
      </c>
      <c r="F314" s="22" t="s">
        <v>889</v>
      </c>
      <c r="G314" s="20" t="s">
        <v>1245</v>
      </c>
      <c r="H314" s="18">
        <v>1213.8</v>
      </c>
      <c r="I314" s="3">
        <v>41873</v>
      </c>
      <c r="J314" s="20"/>
      <c r="K314" s="20"/>
      <c r="L314" s="20"/>
      <c r="M314" s="20"/>
      <c r="N314" s="22"/>
      <c r="O314" s="56"/>
      <c r="P314" s="20"/>
      <c r="Q314" s="20"/>
      <c r="R314" s="20"/>
      <c r="S314" s="20"/>
      <c r="T314" s="20"/>
    </row>
    <row r="315" spans="1:20" x14ac:dyDescent="0.25">
      <c r="A315" s="60">
        <v>41873</v>
      </c>
      <c r="B315" s="36">
        <v>41</v>
      </c>
      <c r="C315" s="56" t="s">
        <v>1246</v>
      </c>
      <c r="D315" s="56">
        <v>8</v>
      </c>
      <c r="E315" s="22">
        <v>-1080</v>
      </c>
      <c r="F315" s="22" t="s">
        <v>889</v>
      </c>
      <c r="G315" s="20" t="s">
        <v>1247</v>
      </c>
      <c r="H315" s="18" t="s">
        <v>442</v>
      </c>
      <c r="I315" s="3" t="s">
        <v>442</v>
      </c>
      <c r="J315" s="20"/>
      <c r="K315" s="20"/>
      <c r="L315" s="20"/>
      <c r="M315" s="20"/>
      <c r="N315" s="22"/>
      <c r="O315" s="56"/>
      <c r="P315" s="20"/>
      <c r="Q315" s="20"/>
      <c r="R315" s="20"/>
      <c r="S315" s="20"/>
      <c r="T315" s="20"/>
    </row>
    <row r="316" spans="1:20" x14ac:dyDescent="0.25">
      <c r="A316" s="60">
        <v>41873</v>
      </c>
      <c r="B316" s="36">
        <v>41</v>
      </c>
      <c r="C316" s="56" t="s">
        <v>1248</v>
      </c>
      <c r="D316" s="56">
        <v>5.0999999999999996</v>
      </c>
      <c r="E316" s="22">
        <v>714</v>
      </c>
      <c r="F316" s="22" t="s">
        <v>889</v>
      </c>
      <c r="G316" s="20" t="s">
        <v>1249</v>
      </c>
      <c r="H316" s="18">
        <v>714</v>
      </c>
      <c r="I316" s="3">
        <v>41873</v>
      </c>
      <c r="J316" s="20"/>
      <c r="K316" s="20"/>
      <c r="L316" s="20"/>
      <c r="M316" s="20"/>
      <c r="N316" s="22"/>
      <c r="O316" s="56"/>
      <c r="P316" s="20"/>
      <c r="Q316" s="20"/>
      <c r="R316" s="20"/>
      <c r="S316" s="20"/>
      <c r="T316" s="20"/>
    </row>
    <row r="317" spans="1:20" x14ac:dyDescent="0.25">
      <c r="A317" s="60">
        <v>41873</v>
      </c>
      <c r="B317" s="36">
        <v>41</v>
      </c>
      <c r="C317" s="56" t="s">
        <v>1250</v>
      </c>
      <c r="D317" s="56">
        <v>10.965</v>
      </c>
      <c r="E317" s="22">
        <v>1535.1</v>
      </c>
      <c r="F317" s="22" t="s">
        <v>889</v>
      </c>
      <c r="G317" s="20" t="s">
        <v>1251</v>
      </c>
      <c r="H317" s="18">
        <v>1535.1</v>
      </c>
      <c r="I317" s="3">
        <v>41873</v>
      </c>
      <c r="J317" s="20"/>
      <c r="K317" s="20"/>
      <c r="L317" s="20"/>
      <c r="M317" s="20"/>
      <c r="N317" s="22"/>
      <c r="O317" s="56"/>
      <c r="P317" s="20"/>
      <c r="Q317" s="20"/>
      <c r="R317" s="20"/>
      <c r="S317" s="20"/>
      <c r="T317" s="20"/>
    </row>
    <row r="318" spans="1:20" x14ac:dyDescent="0.25">
      <c r="A318" s="60">
        <v>41873</v>
      </c>
      <c r="B318" s="36">
        <v>41</v>
      </c>
      <c r="C318" s="56" t="s">
        <v>1106</v>
      </c>
      <c r="D318" s="56"/>
      <c r="E318" s="22">
        <v>-66.895161290000004</v>
      </c>
      <c r="F318" s="22" t="s">
        <v>889</v>
      </c>
      <c r="G318" s="20"/>
      <c r="H318" s="18" t="s">
        <v>442</v>
      </c>
      <c r="I318" s="3" t="s">
        <v>442</v>
      </c>
      <c r="J318" s="20"/>
      <c r="K318" s="20"/>
      <c r="L318" s="20"/>
      <c r="M318" s="20"/>
      <c r="N318" s="22"/>
      <c r="O318" s="56" t="s">
        <v>1107</v>
      </c>
      <c r="P318" s="20"/>
      <c r="Q318" s="20" t="s">
        <v>401</v>
      </c>
      <c r="R318" s="20"/>
      <c r="S318" s="20"/>
      <c r="T318" s="20"/>
    </row>
    <row r="319" spans="1:20" x14ac:dyDescent="0.25">
      <c r="A319" s="60">
        <v>41873</v>
      </c>
      <c r="B319" s="36">
        <v>41</v>
      </c>
      <c r="C319" s="56" t="s">
        <v>1233</v>
      </c>
      <c r="D319" s="56">
        <v>5.3550000000000004</v>
      </c>
      <c r="E319" s="22">
        <v>-749.7</v>
      </c>
      <c r="F319" s="22" t="s">
        <v>889</v>
      </c>
      <c r="G319" s="20" t="s">
        <v>1234</v>
      </c>
      <c r="H319" s="18" t="s">
        <v>442</v>
      </c>
      <c r="I319" s="3" t="s">
        <v>442</v>
      </c>
      <c r="J319" s="20"/>
      <c r="K319" s="20"/>
      <c r="L319" s="20"/>
      <c r="M319" s="20"/>
      <c r="N319" s="22"/>
      <c r="O319" s="56"/>
      <c r="P319" s="20"/>
      <c r="Q319" s="20"/>
      <c r="R319" s="20"/>
      <c r="S319" s="20"/>
      <c r="T319" s="20"/>
    </row>
    <row r="320" spans="1:20" x14ac:dyDescent="0.25">
      <c r="A320" s="60">
        <v>41880</v>
      </c>
      <c r="B320" s="36">
        <v>41</v>
      </c>
      <c r="C320" s="56" t="s">
        <v>1178</v>
      </c>
      <c r="D320" s="56"/>
      <c r="E320" s="22">
        <v>725</v>
      </c>
      <c r="F320" s="22" t="s">
        <v>889</v>
      </c>
      <c r="G320" s="20" t="s">
        <v>1179</v>
      </c>
      <c r="H320" s="18">
        <v>725</v>
      </c>
      <c r="I320" s="3">
        <v>41880</v>
      </c>
      <c r="J320" s="20"/>
      <c r="K320" s="20"/>
      <c r="L320" s="20"/>
      <c r="M320" s="20"/>
      <c r="N320" s="22"/>
      <c r="O320" s="56" t="s">
        <v>1102</v>
      </c>
      <c r="P320" s="20"/>
      <c r="Q320" s="20"/>
      <c r="R320" s="20"/>
      <c r="S320" s="20"/>
      <c r="T320" s="20"/>
    </row>
    <row r="321" spans="1:20" x14ac:dyDescent="0.25">
      <c r="A321" s="60">
        <v>41880</v>
      </c>
      <c r="B321" s="36">
        <v>41</v>
      </c>
      <c r="C321" s="56" t="s">
        <v>1252</v>
      </c>
      <c r="D321" s="56">
        <v>31.25</v>
      </c>
      <c r="E321" s="22">
        <v>2570.4</v>
      </c>
      <c r="F321" s="22" t="s">
        <v>889</v>
      </c>
      <c r="G321" s="20" t="s">
        <v>1253</v>
      </c>
      <c r="H321" s="18">
        <v>2570.4</v>
      </c>
      <c r="I321" s="3">
        <v>41880</v>
      </c>
      <c r="J321" s="20"/>
      <c r="K321" s="20"/>
      <c r="L321" s="20"/>
      <c r="M321" s="20"/>
      <c r="N321" s="22"/>
      <c r="O321" s="56"/>
      <c r="P321" s="20"/>
      <c r="Q321" s="20"/>
      <c r="R321" s="20"/>
      <c r="S321" s="20"/>
      <c r="T321" s="20"/>
    </row>
    <row r="322" spans="1:20" x14ac:dyDescent="0.25">
      <c r="A322" s="60">
        <v>41880</v>
      </c>
      <c r="B322" s="36">
        <v>41</v>
      </c>
      <c r="C322" s="56" t="s">
        <v>1254</v>
      </c>
      <c r="D322" s="56">
        <v>8.75</v>
      </c>
      <c r="E322" s="22">
        <v>1106.7</v>
      </c>
      <c r="F322" s="22" t="s">
        <v>889</v>
      </c>
      <c r="G322" s="20" t="s">
        <v>1255</v>
      </c>
      <c r="H322" s="18">
        <v>1106.7</v>
      </c>
      <c r="I322" s="3">
        <v>41880</v>
      </c>
      <c r="J322" s="20"/>
      <c r="K322" s="20"/>
      <c r="L322" s="20"/>
      <c r="M322" s="20"/>
      <c r="N322" s="22"/>
      <c r="O322" s="56"/>
      <c r="P322" s="20"/>
      <c r="Q322" s="20"/>
      <c r="R322" s="20"/>
      <c r="S322" s="20"/>
      <c r="T322" s="20"/>
    </row>
    <row r="323" spans="1:20" x14ac:dyDescent="0.25">
      <c r="A323" s="60">
        <v>41880</v>
      </c>
      <c r="B323" s="36">
        <v>41</v>
      </c>
      <c r="C323" s="56" t="s">
        <v>1214</v>
      </c>
      <c r="D323" s="56">
        <v>5.0999999999999996</v>
      </c>
      <c r="E323" s="22">
        <v>-510</v>
      </c>
      <c r="F323" s="22" t="s">
        <v>889</v>
      </c>
      <c r="G323" s="20" t="s">
        <v>1215</v>
      </c>
      <c r="H323" s="18" t="s">
        <v>442</v>
      </c>
      <c r="I323" s="3" t="s">
        <v>442</v>
      </c>
      <c r="J323" s="20"/>
      <c r="K323" s="20"/>
      <c r="L323" s="20"/>
      <c r="M323" s="20"/>
      <c r="N323" s="22"/>
      <c r="O323" s="56"/>
      <c r="P323" s="20"/>
      <c r="Q323" s="20"/>
      <c r="R323" s="20"/>
      <c r="S323" s="20"/>
      <c r="T323" s="20"/>
    </row>
    <row r="324" spans="1:20" x14ac:dyDescent="0.25">
      <c r="A324" s="60">
        <v>41880</v>
      </c>
      <c r="B324" s="36">
        <v>41</v>
      </c>
      <c r="C324" s="56" t="s">
        <v>1256</v>
      </c>
      <c r="D324" s="56"/>
      <c r="E324" s="22">
        <v>101</v>
      </c>
      <c r="F324" s="22" t="s">
        <v>889</v>
      </c>
      <c r="G324" s="20"/>
      <c r="H324" s="18" t="s">
        <v>442</v>
      </c>
      <c r="I324" s="3" t="s">
        <v>442</v>
      </c>
      <c r="J324" s="20"/>
      <c r="K324" s="20"/>
      <c r="L324" s="20"/>
      <c r="M324" s="20"/>
      <c r="N324" s="22"/>
      <c r="O324" s="56" t="s">
        <v>1256</v>
      </c>
      <c r="P324" s="20" t="s">
        <v>401</v>
      </c>
      <c r="Q324" s="20"/>
      <c r="R324" s="20"/>
      <c r="S324" s="20"/>
      <c r="T324" s="20"/>
    </row>
    <row r="325" spans="1:20" x14ac:dyDescent="0.25">
      <c r="A325" s="60">
        <v>41886</v>
      </c>
      <c r="B325" s="36">
        <v>41</v>
      </c>
      <c r="C325" s="56" t="s">
        <v>1257</v>
      </c>
      <c r="D325" s="56">
        <v>4</v>
      </c>
      <c r="E325" s="22">
        <v>560</v>
      </c>
      <c r="F325" s="22" t="s">
        <v>889</v>
      </c>
      <c r="G325" s="20" t="s">
        <v>1258</v>
      </c>
      <c r="H325" s="18">
        <v>560</v>
      </c>
      <c r="I325" s="3">
        <v>41886</v>
      </c>
      <c r="J325" s="20"/>
      <c r="K325" s="20"/>
      <c r="L325" s="20"/>
      <c r="M325" s="20"/>
      <c r="N325" s="22"/>
      <c r="O325" s="56"/>
      <c r="P325" s="20"/>
      <c r="Q325" s="20"/>
      <c r="R325" s="20"/>
      <c r="S325" s="20"/>
      <c r="T325" s="20"/>
    </row>
    <row r="326" spans="1:20" x14ac:dyDescent="0.25">
      <c r="A326" s="60">
        <v>41887</v>
      </c>
      <c r="B326" s="36">
        <v>41</v>
      </c>
      <c r="C326" s="56" t="s">
        <v>1259</v>
      </c>
      <c r="D326" s="56">
        <v>10.455</v>
      </c>
      <c r="E326" s="22">
        <v>1463.7</v>
      </c>
      <c r="F326" s="22" t="s">
        <v>889</v>
      </c>
      <c r="G326" s="20" t="s">
        <v>1260</v>
      </c>
      <c r="H326" s="18">
        <v>1463.7</v>
      </c>
      <c r="I326" s="3">
        <v>41887</v>
      </c>
      <c r="J326" s="20"/>
      <c r="K326" s="20"/>
      <c r="L326" s="20"/>
      <c r="M326" s="20"/>
      <c r="N326" s="22"/>
      <c r="O326" s="56"/>
      <c r="P326" s="20"/>
      <c r="Q326" s="20"/>
      <c r="R326" s="20"/>
      <c r="S326" s="20"/>
      <c r="T326" s="20"/>
    </row>
    <row r="327" spans="1:20" x14ac:dyDescent="0.25">
      <c r="A327" s="60">
        <v>41888</v>
      </c>
      <c r="B327" s="36">
        <v>41</v>
      </c>
      <c r="C327" s="56" t="s">
        <v>1261</v>
      </c>
      <c r="D327" s="56">
        <v>7.65</v>
      </c>
      <c r="E327" s="22">
        <v>1071</v>
      </c>
      <c r="F327" s="22" t="s">
        <v>889</v>
      </c>
      <c r="G327" s="20" t="s">
        <v>1262</v>
      </c>
      <c r="H327" s="18">
        <v>1071</v>
      </c>
      <c r="I327" s="3">
        <v>41888</v>
      </c>
      <c r="J327" s="20"/>
      <c r="K327" s="20"/>
      <c r="L327" s="20"/>
      <c r="M327" s="20"/>
      <c r="N327" s="22"/>
      <c r="O327" s="56"/>
      <c r="P327" s="20"/>
      <c r="Q327" s="20"/>
      <c r="R327" s="20"/>
      <c r="S327" s="20"/>
      <c r="T327" s="20"/>
    </row>
    <row r="328" spans="1:20" x14ac:dyDescent="0.25">
      <c r="A328" s="60">
        <v>41889</v>
      </c>
      <c r="B328" s="36">
        <v>41</v>
      </c>
      <c r="C328" s="56" t="s">
        <v>1263</v>
      </c>
      <c r="D328" s="56">
        <v>10.199999999999999</v>
      </c>
      <c r="E328" s="22">
        <v>1428</v>
      </c>
      <c r="F328" s="22" t="s">
        <v>889</v>
      </c>
      <c r="G328" s="20" t="s">
        <v>1264</v>
      </c>
      <c r="H328" s="18">
        <v>1428</v>
      </c>
      <c r="I328" s="3">
        <v>41889</v>
      </c>
      <c r="J328" s="20"/>
      <c r="K328" s="20"/>
      <c r="L328" s="20"/>
      <c r="M328" s="20"/>
      <c r="N328" s="22"/>
      <c r="O328" s="56"/>
      <c r="P328" s="20"/>
      <c r="Q328" s="20"/>
      <c r="R328" s="20"/>
      <c r="S328" s="20"/>
      <c r="T328" s="20"/>
    </row>
    <row r="329" spans="1:20" x14ac:dyDescent="0.25">
      <c r="A329" s="60">
        <v>41890</v>
      </c>
      <c r="B329" s="36">
        <v>41</v>
      </c>
      <c r="C329" s="56" t="s">
        <v>1265</v>
      </c>
      <c r="D329" s="56">
        <v>13.26</v>
      </c>
      <c r="E329" s="22">
        <v>1856.3999999999999</v>
      </c>
      <c r="F329" s="22" t="s">
        <v>889</v>
      </c>
      <c r="G329" s="20" t="s">
        <v>1266</v>
      </c>
      <c r="H329" s="18">
        <v>1856.3999999999999</v>
      </c>
      <c r="I329" s="3">
        <v>41890</v>
      </c>
      <c r="J329" s="20"/>
      <c r="K329" s="20"/>
      <c r="L329" s="20"/>
      <c r="M329" s="20"/>
      <c r="N329" s="22"/>
      <c r="O329" s="56"/>
      <c r="P329" s="20"/>
      <c r="Q329" s="20"/>
      <c r="R329" s="20"/>
      <c r="S329" s="20"/>
      <c r="T329" s="20"/>
    </row>
    <row r="330" spans="1:20" x14ac:dyDescent="0.25">
      <c r="A330" s="60">
        <v>41891</v>
      </c>
      <c r="B330" s="36">
        <v>41</v>
      </c>
      <c r="C330" s="56" t="s">
        <v>1267</v>
      </c>
      <c r="D330" s="56">
        <v>10.199999999999999</v>
      </c>
      <c r="E330" s="22">
        <v>1428</v>
      </c>
      <c r="F330" s="22" t="s">
        <v>889</v>
      </c>
      <c r="G330" s="20" t="s">
        <v>1268</v>
      </c>
      <c r="H330" s="18">
        <v>1428</v>
      </c>
      <c r="I330" s="3">
        <v>41891</v>
      </c>
      <c r="J330" s="20"/>
      <c r="K330" s="20"/>
      <c r="L330" s="20"/>
      <c r="M330" s="20"/>
      <c r="N330" s="22"/>
      <c r="O330" s="56"/>
      <c r="P330" s="20"/>
      <c r="Q330" s="20"/>
      <c r="R330" s="20"/>
      <c r="S330" s="20"/>
      <c r="T330" s="20"/>
    </row>
    <row r="331" spans="1:20" x14ac:dyDescent="0.25">
      <c r="A331" s="60">
        <v>41892</v>
      </c>
      <c r="B331" s="36">
        <v>41</v>
      </c>
      <c r="C331" s="56" t="s">
        <v>1214</v>
      </c>
      <c r="D331" s="56">
        <v>5.0999999999999996</v>
      </c>
      <c r="E331" s="22">
        <v>-510</v>
      </c>
      <c r="F331" s="22" t="s">
        <v>889</v>
      </c>
      <c r="G331" s="20" t="s">
        <v>1215</v>
      </c>
      <c r="H331" s="18" t="s">
        <v>442</v>
      </c>
      <c r="I331" s="3" t="s">
        <v>442</v>
      </c>
      <c r="J331" s="20"/>
      <c r="K331" s="20"/>
      <c r="L331" s="20"/>
      <c r="M331" s="20"/>
      <c r="N331" s="22"/>
      <c r="O331" s="56"/>
      <c r="P331" s="20"/>
      <c r="Q331" s="20"/>
      <c r="R331" s="20"/>
      <c r="S331" s="20"/>
      <c r="T331" s="20"/>
    </row>
    <row r="332" spans="1:20" x14ac:dyDescent="0.25">
      <c r="A332" s="60">
        <v>41893</v>
      </c>
      <c r="B332" s="36">
        <v>41</v>
      </c>
      <c r="C332" s="56" t="s">
        <v>1269</v>
      </c>
      <c r="D332" s="56"/>
      <c r="E332" s="22">
        <v>-135.69999999999999</v>
      </c>
      <c r="F332" s="22" t="s">
        <v>891</v>
      </c>
      <c r="G332" s="20"/>
      <c r="H332" s="18" t="s">
        <v>442</v>
      </c>
      <c r="I332" s="3" t="s">
        <v>442</v>
      </c>
      <c r="J332" s="20"/>
      <c r="K332" s="20"/>
      <c r="L332" s="20"/>
      <c r="M332" s="20"/>
      <c r="N332" s="22"/>
      <c r="O332" s="56"/>
      <c r="P332" s="20"/>
      <c r="Q332" s="20" t="s">
        <v>401</v>
      </c>
      <c r="R332" s="20"/>
      <c r="S332" s="20"/>
      <c r="T332" s="20"/>
    </row>
    <row r="333" spans="1:20" x14ac:dyDescent="0.25">
      <c r="A333" s="60">
        <v>41894</v>
      </c>
      <c r="B333" s="36">
        <v>41</v>
      </c>
      <c r="C333" s="56" t="s">
        <v>1270</v>
      </c>
      <c r="D333" s="56">
        <v>8.4149999999999991</v>
      </c>
      <c r="E333" s="22">
        <v>1178.0999999999999</v>
      </c>
      <c r="F333" s="22" t="s">
        <v>889</v>
      </c>
      <c r="G333" s="20" t="s">
        <v>1271</v>
      </c>
      <c r="H333" s="18">
        <v>1178.0999999999999</v>
      </c>
      <c r="I333" s="3">
        <v>41894</v>
      </c>
      <c r="J333" s="20"/>
      <c r="K333" s="20"/>
      <c r="L333" s="20"/>
      <c r="M333" s="20"/>
      <c r="N333" s="22"/>
      <c r="O333" s="56"/>
      <c r="P333" s="20"/>
      <c r="Q333" s="20"/>
      <c r="R333" s="20"/>
      <c r="S333" s="20"/>
      <c r="T333" s="20"/>
    </row>
    <row r="334" spans="1:20" x14ac:dyDescent="0.25">
      <c r="A334" s="60">
        <v>41894</v>
      </c>
      <c r="B334" s="36">
        <v>41</v>
      </c>
      <c r="C334" s="56" t="s">
        <v>1214</v>
      </c>
      <c r="D334" s="56">
        <v>5.0999999999999996</v>
      </c>
      <c r="E334" s="22">
        <v>510</v>
      </c>
      <c r="F334" s="22" t="s">
        <v>889</v>
      </c>
      <c r="G334" s="20" t="s">
        <v>1215</v>
      </c>
      <c r="H334" s="18">
        <v>510</v>
      </c>
      <c r="I334" s="3">
        <v>41894</v>
      </c>
      <c r="J334" s="20"/>
      <c r="K334" s="20"/>
      <c r="L334" s="20"/>
      <c r="M334" s="20"/>
      <c r="N334" s="22"/>
      <c r="O334" s="56" t="s">
        <v>1272</v>
      </c>
      <c r="P334" s="20"/>
      <c r="Q334" s="20"/>
      <c r="R334" s="20"/>
      <c r="S334" s="20"/>
      <c r="T334" s="20"/>
    </row>
    <row r="335" spans="1:20" x14ac:dyDescent="0.25">
      <c r="A335" s="60">
        <v>41894</v>
      </c>
      <c r="B335" s="36">
        <v>41</v>
      </c>
      <c r="C335" s="56" t="s">
        <v>1111</v>
      </c>
      <c r="D335" s="56"/>
      <c r="E335" s="22">
        <v>-69.125</v>
      </c>
      <c r="F335" s="22" t="s">
        <v>889</v>
      </c>
      <c r="G335" s="20"/>
      <c r="H335" s="18" t="s">
        <v>442</v>
      </c>
      <c r="I335" s="3" t="s">
        <v>442</v>
      </c>
      <c r="J335" s="20"/>
      <c r="K335" s="20"/>
      <c r="L335" s="20"/>
      <c r="M335" s="20"/>
      <c r="N335" s="22"/>
      <c r="O335" s="56"/>
      <c r="P335" s="20"/>
      <c r="Q335" s="20" t="s">
        <v>401</v>
      </c>
      <c r="R335" s="20"/>
      <c r="S335" s="20"/>
      <c r="T335" s="20"/>
    </row>
    <row r="336" spans="1:20" x14ac:dyDescent="0.25">
      <c r="A336" s="60">
        <v>41894</v>
      </c>
      <c r="B336" s="36">
        <v>41</v>
      </c>
      <c r="C336" s="56" t="s">
        <v>1226</v>
      </c>
      <c r="D336" s="56">
        <v>7.14</v>
      </c>
      <c r="E336" s="22">
        <v>-999.6</v>
      </c>
      <c r="F336" s="22" t="s">
        <v>889</v>
      </c>
      <c r="G336" s="20" t="s">
        <v>1227</v>
      </c>
      <c r="H336" s="18" t="s">
        <v>442</v>
      </c>
      <c r="I336" s="3" t="s">
        <v>442</v>
      </c>
      <c r="J336" s="20"/>
      <c r="K336" s="20"/>
      <c r="L336" s="20"/>
      <c r="M336" s="20"/>
      <c r="N336" s="22"/>
      <c r="O336" s="56"/>
      <c r="P336" s="20"/>
      <c r="Q336" s="20"/>
      <c r="R336" s="20"/>
      <c r="S336" s="20"/>
      <c r="T336" s="20"/>
    </row>
    <row r="337" spans="1:20" x14ac:dyDescent="0.25">
      <c r="A337" s="60">
        <v>41901</v>
      </c>
      <c r="B337" s="36">
        <v>41</v>
      </c>
      <c r="C337" s="56" t="s">
        <v>1273</v>
      </c>
      <c r="D337" s="56"/>
      <c r="E337" s="22">
        <v>2307.9749999999999</v>
      </c>
      <c r="F337" s="22" t="s">
        <v>889</v>
      </c>
      <c r="G337" s="20"/>
      <c r="H337" s="18" t="s">
        <v>442</v>
      </c>
      <c r="I337" s="3" t="s">
        <v>442</v>
      </c>
      <c r="J337" s="20"/>
      <c r="K337" s="20"/>
      <c r="L337" s="20"/>
      <c r="M337" s="20"/>
      <c r="N337" s="22" t="s">
        <v>401</v>
      </c>
      <c r="O337" s="56"/>
      <c r="P337" s="20"/>
      <c r="Q337" s="20"/>
      <c r="R337" s="20"/>
      <c r="S337" s="20"/>
      <c r="T337" s="20"/>
    </row>
    <row r="338" spans="1:20" x14ac:dyDescent="0.25">
      <c r="A338" s="60">
        <v>41901</v>
      </c>
      <c r="B338" s="36">
        <v>41</v>
      </c>
      <c r="C338" s="56" t="s">
        <v>1192</v>
      </c>
      <c r="D338" s="56">
        <v>2.75</v>
      </c>
      <c r="E338" s="22">
        <v>398.75</v>
      </c>
      <c r="F338" s="22" t="s">
        <v>889</v>
      </c>
      <c r="G338" s="20" t="s">
        <v>1193</v>
      </c>
      <c r="H338" s="18">
        <v>398.75</v>
      </c>
      <c r="I338" s="3">
        <v>41901</v>
      </c>
      <c r="J338" s="20"/>
      <c r="K338" s="20"/>
      <c r="L338" s="20"/>
      <c r="M338" s="20"/>
      <c r="N338" s="22"/>
      <c r="O338" s="56" t="s">
        <v>1102</v>
      </c>
      <c r="P338" s="20"/>
      <c r="Q338" s="20"/>
      <c r="R338" s="20"/>
      <c r="S338" s="20"/>
      <c r="T338" s="20"/>
    </row>
    <row r="339" spans="1:20" x14ac:dyDescent="0.25">
      <c r="A339" s="60">
        <v>41901</v>
      </c>
      <c r="B339" s="36">
        <v>41</v>
      </c>
      <c r="C339" s="56" t="s">
        <v>1176</v>
      </c>
      <c r="D339" s="56">
        <v>6.25</v>
      </c>
      <c r="E339" s="22">
        <v>906.25</v>
      </c>
      <c r="F339" s="22" t="s">
        <v>889</v>
      </c>
      <c r="G339" s="20" t="s">
        <v>1177</v>
      </c>
      <c r="H339" s="18">
        <v>906.25</v>
      </c>
      <c r="I339" s="3">
        <v>41901</v>
      </c>
      <c r="J339" s="20"/>
      <c r="K339" s="20"/>
      <c r="L339" s="20"/>
      <c r="M339" s="20"/>
      <c r="N339" s="22"/>
      <c r="O339" s="56" t="s">
        <v>1102</v>
      </c>
      <c r="P339" s="20"/>
      <c r="Q339" s="20"/>
      <c r="R339" s="20"/>
      <c r="S339" s="20"/>
      <c r="T339" s="20"/>
    </row>
    <row r="340" spans="1:20" x14ac:dyDescent="0.25">
      <c r="A340" s="60">
        <v>41918</v>
      </c>
      <c r="B340" s="36">
        <v>41</v>
      </c>
      <c r="C340" s="56" t="s">
        <v>1274</v>
      </c>
      <c r="D340" s="56"/>
      <c r="E340" s="22">
        <v>175</v>
      </c>
      <c r="F340" s="22" t="s">
        <v>891</v>
      </c>
      <c r="G340" s="20"/>
      <c r="H340" s="18" t="s">
        <v>442</v>
      </c>
      <c r="I340" s="3" t="s">
        <v>442</v>
      </c>
      <c r="J340" s="20"/>
      <c r="K340" s="20"/>
      <c r="L340" s="20"/>
      <c r="M340" s="20"/>
      <c r="N340" s="22"/>
      <c r="O340" s="56"/>
      <c r="P340" s="20" t="s">
        <v>401</v>
      </c>
      <c r="Q340" s="20"/>
      <c r="R340" s="20"/>
      <c r="S340" s="20"/>
      <c r="T340" s="20"/>
    </row>
    <row r="341" spans="1:20" x14ac:dyDescent="0.25">
      <c r="A341" s="60">
        <v>41929</v>
      </c>
      <c r="B341" s="36">
        <v>41</v>
      </c>
      <c r="C341" s="56" t="s">
        <v>1275</v>
      </c>
      <c r="D341" s="56">
        <v>10</v>
      </c>
      <c r="E341" s="22">
        <v>1428</v>
      </c>
      <c r="F341" s="22" t="s">
        <v>889</v>
      </c>
      <c r="G341" s="20" t="s">
        <v>1276</v>
      </c>
      <c r="H341" s="18">
        <v>1428</v>
      </c>
      <c r="I341" s="3">
        <v>41929</v>
      </c>
      <c r="J341" s="20"/>
      <c r="K341" s="20"/>
      <c r="L341" s="20"/>
      <c r="M341" s="20"/>
      <c r="N341" s="22"/>
      <c r="O341" s="56"/>
      <c r="P341" s="20"/>
      <c r="Q341" s="20"/>
      <c r="R341" s="20"/>
      <c r="S341" s="20"/>
      <c r="T341" s="20"/>
    </row>
    <row r="342" spans="1:20" x14ac:dyDescent="0.25">
      <c r="A342" s="60">
        <v>41929</v>
      </c>
      <c r="B342" s="36">
        <v>41</v>
      </c>
      <c r="C342" s="56" t="s">
        <v>1261</v>
      </c>
      <c r="D342" s="56">
        <v>7.65</v>
      </c>
      <c r="E342" s="22">
        <v>-1071</v>
      </c>
      <c r="F342" s="22" t="s">
        <v>889</v>
      </c>
      <c r="G342" s="20" t="s">
        <v>1262</v>
      </c>
      <c r="H342" s="18" t="s">
        <v>442</v>
      </c>
      <c r="I342" s="3" t="s">
        <v>442</v>
      </c>
      <c r="J342" s="20"/>
      <c r="K342" s="20"/>
      <c r="L342" s="20"/>
      <c r="M342" s="20"/>
      <c r="N342" s="22"/>
      <c r="O342" s="56"/>
      <c r="P342" s="20"/>
      <c r="Q342" s="20"/>
      <c r="R342" s="20"/>
      <c r="S342" s="20"/>
      <c r="T342" s="20"/>
    </row>
    <row r="343" spans="1:20" x14ac:dyDescent="0.25">
      <c r="A343" s="60">
        <v>41929</v>
      </c>
      <c r="B343" s="36">
        <v>41</v>
      </c>
      <c r="C343" s="56" t="s">
        <v>1239</v>
      </c>
      <c r="D343" s="56">
        <v>6.8849999999999998</v>
      </c>
      <c r="E343" s="22">
        <v>-963.9</v>
      </c>
      <c r="F343" s="22" t="s">
        <v>889</v>
      </c>
      <c r="G343" s="20" t="s">
        <v>1240</v>
      </c>
      <c r="H343" s="18" t="s">
        <v>442</v>
      </c>
      <c r="I343" s="3" t="s">
        <v>442</v>
      </c>
      <c r="J343" s="20"/>
      <c r="K343" s="20"/>
      <c r="L343" s="20"/>
      <c r="M343" s="20"/>
      <c r="N343" s="22"/>
      <c r="O343" s="56"/>
      <c r="P343" s="20"/>
      <c r="Q343" s="20"/>
      <c r="R343" s="20"/>
      <c r="S343" s="20"/>
      <c r="T343" s="20"/>
    </row>
    <row r="344" spans="1:20" x14ac:dyDescent="0.25">
      <c r="A344" s="60">
        <v>41929</v>
      </c>
      <c r="B344" s="36">
        <v>41</v>
      </c>
      <c r="C344" s="56" t="s">
        <v>1277</v>
      </c>
      <c r="D344" s="56">
        <v>6.5</v>
      </c>
      <c r="E344" s="22">
        <v>856.80000000000007</v>
      </c>
      <c r="F344" s="22" t="s">
        <v>889</v>
      </c>
      <c r="G344" s="20" t="s">
        <v>1278</v>
      </c>
      <c r="H344" s="18">
        <v>856.80000000000007</v>
      </c>
      <c r="I344" s="3">
        <v>41929</v>
      </c>
      <c r="J344" s="20"/>
      <c r="K344" s="20"/>
      <c r="L344" s="20"/>
      <c r="M344" s="20"/>
      <c r="N344" s="22"/>
      <c r="O344" s="56"/>
      <c r="P344" s="20"/>
      <c r="Q344" s="20"/>
      <c r="R344" s="20"/>
      <c r="S344" s="20"/>
      <c r="T344" s="20"/>
    </row>
    <row r="345" spans="1:20" x14ac:dyDescent="0.25">
      <c r="A345" s="60">
        <v>41929</v>
      </c>
      <c r="B345" s="36">
        <v>41</v>
      </c>
      <c r="C345" s="56" t="s">
        <v>1279</v>
      </c>
      <c r="D345" s="56"/>
      <c r="E345" s="22">
        <v>-69.125</v>
      </c>
      <c r="F345" s="22" t="s">
        <v>889</v>
      </c>
      <c r="G345" s="20"/>
      <c r="H345" s="18" t="s">
        <v>442</v>
      </c>
      <c r="I345" s="3" t="s">
        <v>442</v>
      </c>
      <c r="J345" s="20"/>
      <c r="K345" s="20"/>
      <c r="L345" s="20"/>
      <c r="M345" s="20"/>
      <c r="N345" s="22"/>
      <c r="O345" s="56"/>
      <c r="P345" s="20"/>
      <c r="Q345" s="20" t="s">
        <v>401</v>
      </c>
      <c r="R345" s="20"/>
      <c r="S345" s="20"/>
      <c r="T345" s="20"/>
    </row>
    <row r="346" spans="1:20" x14ac:dyDescent="0.25">
      <c r="A346" s="60">
        <v>41929</v>
      </c>
      <c r="B346" s="36">
        <v>41</v>
      </c>
      <c r="C346" s="56" t="s">
        <v>1280</v>
      </c>
      <c r="D346" s="56">
        <v>6.12</v>
      </c>
      <c r="E346" s="22">
        <v>856.80000000000007</v>
      </c>
      <c r="F346" s="22" t="s">
        <v>889</v>
      </c>
      <c r="G346" s="20" t="s">
        <v>1281</v>
      </c>
      <c r="H346" s="18">
        <v>856.80000000000007</v>
      </c>
      <c r="I346" s="3">
        <v>41929</v>
      </c>
      <c r="J346" s="20"/>
      <c r="K346" s="20"/>
      <c r="L346" s="20"/>
      <c r="M346" s="20"/>
      <c r="N346" s="22"/>
      <c r="O346" s="56"/>
      <c r="P346" s="20"/>
      <c r="Q346" s="20"/>
      <c r="R346" s="20"/>
      <c r="S346" s="20"/>
      <c r="T346" s="20"/>
    </row>
    <row r="347" spans="1:20" x14ac:dyDescent="0.25">
      <c r="A347" s="60">
        <v>41929</v>
      </c>
      <c r="B347" s="36">
        <v>41</v>
      </c>
      <c r="C347" s="56" t="s">
        <v>1282</v>
      </c>
      <c r="D347" s="56"/>
      <c r="E347" s="22">
        <v>-68.180000000000007</v>
      </c>
      <c r="F347" s="22" t="s">
        <v>889</v>
      </c>
      <c r="G347" s="20"/>
      <c r="H347" s="18" t="s">
        <v>442</v>
      </c>
      <c r="I347" s="3" t="s">
        <v>442</v>
      </c>
      <c r="J347" s="20"/>
      <c r="K347" s="20"/>
      <c r="L347" s="20"/>
      <c r="M347" s="20"/>
      <c r="N347" s="22"/>
      <c r="O347" s="56"/>
      <c r="P347" s="20"/>
      <c r="Q347" s="20" t="s">
        <v>401</v>
      </c>
      <c r="R347" s="20"/>
      <c r="S347" s="20"/>
      <c r="T347" s="20"/>
    </row>
    <row r="348" spans="1:20" x14ac:dyDescent="0.25">
      <c r="A348" s="60">
        <v>41929</v>
      </c>
      <c r="B348" s="36">
        <v>41</v>
      </c>
      <c r="C348" s="56" t="s">
        <v>1117</v>
      </c>
      <c r="D348" s="56"/>
      <c r="E348" s="22">
        <v>-69.125</v>
      </c>
      <c r="F348" s="22" t="s">
        <v>889</v>
      </c>
      <c r="G348" s="20"/>
      <c r="H348" s="18" t="s">
        <v>442</v>
      </c>
      <c r="I348" s="3" t="s">
        <v>442</v>
      </c>
      <c r="J348" s="20"/>
      <c r="K348" s="20"/>
      <c r="L348" s="20"/>
      <c r="M348" s="20"/>
      <c r="N348" s="22"/>
      <c r="O348" s="56"/>
      <c r="P348" s="20"/>
      <c r="Q348" s="20" t="s">
        <v>401</v>
      </c>
      <c r="R348" s="20"/>
      <c r="S348" s="20"/>
      <c r="T348" s="20"/>
    </row>
    <row r="349" spans="1:20" x14ac:dyDescent="0.25">
      <c r="A349" s="60">
        <v>41929</v>
      </c>
      <c r="B349" s="36">
        <v>41</v>
      </c>
      <c r="C349" s="56" t="s">
        <v>1283</v>
      </c>
      <c r="D349" s="56"/>
      <c r="E349" s="22">
        <v>-68.180000000000007</v>
      </c>
      <c r="F349" s="22" t="s">
        <v>889</v>
      </c>
      <c r="G349" s="20"/>
      <c r="H349" s="18" t="s">
        <v>442</v>
      </c>
      <c r="I349" s="3" t="s">
        <v>442</v>
      </c>
      <c r="J349" s="20"/>
      <c r="K349" s="20"/>
      <c r="L349" s="20"/>
      <c r="M349" s="20"/>
      <c r="N349" s="22"/>
      <c r="O349" s="56"/>
      <c r="P349" s="20"/>
      <c r="Q349" s="20" t="s">
        <v>401</v>
      </c>
      <c r="R349" s="20"/>
      <c r="S349" s="20"/>
      <c r="T349" s="20"/>
    </row>
    <row r="350" spans="1:20" x14ac:dyDescent="0.25">
      <c r="A350" s="60">
        <v>41929</v>
      </c>
      <c r="B350" s="36">
        <v>41</v>
      </c>
      <c r="C350" s="56" t="s">
        <v>1222</v>
      </c>
      <c r="D350" s="56">
        <v>8.67</v>
      </c>
      <c r="E350" s="22">
        <v>-1213.8</v>
      </c>
      <c r="F350" s="22" t="s">
        <v>889</v>
      </c>
      <c r="G350" s="20" t="s">
        <v>1223</v>
      </c>
      <c r="H350" s="18" t="s">
        <v>442</v>
      </c>
      <c r="I350" s="3" t="s">
        <v>442</v>
      </c>
      <c r="J350" s="20"/>
      <c r="K350" s="20"/>
      <c r="L350" s="20"/>
      <c r="M350" s="20"/>
      <c r="N350" s="22"/>
      <c r="O350" s="56"/>
      <c r="P350" s="20"/>
      <c r="Q350" s="20"/>
      <c r="R350" s="20"/>
      <c r="S350" s="20"/>
      <c r="T350" s="20"/>
    </row>
    <row r="351" spans="1:20" x14ac:dyDescent="0.25">
      <c r="A351" s="60">
        <v>41929</v>
      </c>
      <c r="B351" s="36">
        <v>41</v>
      </c>
      <c r="C351" s="56" t="s">
        <v>960</v>
      </c>
      <c r="D351" s="56"/>
      <c r="E351" s="22">
        <v>1345.13</v>
      </c>
      <c r="F351" s="22" t="s">
        <v>889</v>
      </c>
      <c r="G351" s="20"/>
      <c r="H351" s="18" t="s">
        <v>442</v>
      </c>
      <c r="I351" s="3" t="s">
        <v>442</v>
      </c>
      <c r="J351" s="20"/>
      <c r="K351" s="20"/>
      <c r="L351" s="20"/>
      <c r="M351" s="20"/>
      <c r="N351" s="20" t="s">
        <v>401</v>
      </c>
      <c r="O351" s="56"/>
      <c r="P351" s="20"/>
      <c r="Q351" s="20"/>
      <c r="R351" s="20"/>
      <c r="S351" s="20"/>
      <c r="T351" s="20"/>
    </row>
    <row r="352" spans="1:20" x14ac:dyDescent="0.25">
      <c r="A352" s="60">
        <v>41929</v>
      </c>
      <c r="B352" s="36">
        <v>41</v>
      </c>
      <c r="C352" s="56" t="s">
        <v>1224</v>
      </c>
      <c r="D352" s="56">
        <v>6.63</v>
      </c>
      <c r="E352" s="22">
        <v>-928.2</v>
      </c>
      <c r="F352" s="22" t="s">
        <v>889</v>
      </c>
      <c r="G352" s="20" t="s">
        <v>1225</v>
      </c>
      <c r="H352" s="18" t="s">
        <v>442</v>
      </c>
      <c r="I352" s="3" t="s">
        <v>442</v>
      </c>
      <c r="J352" s="20"/>
      <c r="K352" s="20"/>
      <c r="L352" s="20"/>
      <c r="M352" s="20"/>
      <c r="N352" s="22"/>
      <c r="O352" s="56"/>
      <c r="P352" s="20"/>
      <c r="Q352" s="20"/>
      <c r="R352" s="20"/>
      <c r="S352" s="20"/>
      <c r="T352" s="20"/>
    </row>
    <row r="353" spans="1:20" x14ac:dyDescent="0.25">
      <c r="A353" s="60">
        <v>41929</v>
      </c>
      <c r="B353" s="36">
        <v>41</v>
      </c>
      <c r="C353" s="56" t="s">
        <v>1284</v>
      </c>
      <c r="D353" s="56">
        <v>4.08</v>
      </c>
      <c r="E353" s="22">
        <v>571.20000000000005</v>
      </c>
      <c r="F353" s="22" t="s">
        <v>889</v>
      </c>
      <c r="G353" s="20" t="s">
        <v>1285</v>
      </c>
      <c r="H353" s="18">
        <v>571.20000000000005</v>
      </c>
      <c r="I353" s="3">
        <v>41929</v>
      </c>
      <c r="J353" s="20"/>
      <c r="K353" s="20"/>
      <c r="L353" s="20"/>
      <c r="M353" s="20"/>
      <c r="N353" s="22"/>
      <c r="O353" s="56"/>
      <c r="P353" s="20"/>
      <c r="Q353" s="20"/>
      <c r="R353" s="20"/>
      <c r="S353" s="20"/>
      <c r="T353" s="20"/>
    </row>
    <row r="354" spans="1:20" x14ac:dyDescent="0.25">
      <c r="A354" s="60">
        <v>41936</v>
      </c>
      <c r="B354" s="36">
        <v>41</v>
      </c>
      <c r="C354" s="56" t="s">
        <v>1286</v>
      </c>
      <c r="D354" s="56">
        <v>8</v>
      </c>
      <c r="E354" s="22">
        <v>1249.5</v>
      </c>
      <c r="F354" s="22" t="s">
        <v>889</v>
      </c>
      <c r="G354" s="20" t="s">
        <v>1287</v>
      </c>
      <c r="H354" s="18">
        <v>1249.5</v>
      </c>
      <c r="I354" s="3">
        <v>41936</v>
      </c>
      <c r="J354" s="20"/>
      <c r="K354" s="20"/>
      <c r="L354" s="20"/>
      <c r="M354" s="20"/>
      <c r="N354" s="22"/>
      <c r="O354" s="56"/>
      <c r="P354" s="20"/>
      <c r="Q354" s="20"/>
      <c r="R354" s="20"/>
      <c r="S354" s="20"/>
      <c r="T354" s="20"/>
    </row>
    <row r="355" spans="1:20" x14ac:dyDescent="0.25">
      <c r="A355" s="60">
        <v>41936</v>
      </c>
      <c r="B355" s="36">
        <v>41</v>
      </c>
      <c r="C355" s="56" t="s">
        <v>1288</v>
      </c>
      <c r="D355" s="56">
        <v>4.59</v>
      </c>
      <c r="E355" s="22">
        <v>642.6</v>
      </c>
      <c r="F355" s="22" t="s">
        <v>889</v>
      </c>
      <c r="G355" s="20" t="s">
        <v>1289</v>
      </c>
      <c r="H355" s="18">
        <v>642.6</v>
      </c>
      <c r="I355" s="3">
        <v>41936</v>
      </c>
      <c r="J355" s="20"/>
      <c r="K355" s="20"/>
      <c r="L355" s="20"/>
      <c r="M355" s="20"/>
      <c r="N355" s="22"/>
      <c r="O355" s="56"/>
      <c r="P355" s="20"/>
      <c r="Q355" s="20"/>
      <c r="R355" s="20"/>
      <c r="S355" s="20"/>
      <c r="T355" s="20"/>
    </row>
    <row r="356" spans="1:20" x14ac:dyDescent="0.25">
      <c r="A356" s="60">
        <v>41936</v>
      </c>
      <c r="B356" s="36">
        <v>41</v>
      </c>
      <c r="C356" s="56" t="s">
        <v>1290</v>
      </c>
      <c r="D356" s="56">
        <v>8.5</v>
      </c>
      <c r="E356" s="22">
        <v>1892.1000000000001</v>
      </c>
      <c r="F356" s="22" t="s">
        <v>889</v>
      </c>
      <c r="G356" s="20" t="s">
        <v>1291</v>
      </c>
      <c r="H356" s="18">
        <v>1892.1000000000001</v>
      </c>
      <c r="I356" s="3">
        <v>41936</v>
      </c>
      <c r="J356" s="20"/>
      <c r="K356" s="20"/>
      <c r="L356" s="20"/>
      <c r="M356" s="20"/>
      <c r="N356" s="22"/>
      <c r="O356" s="56"/>
      <c r="P356" s="20"/>
      <c r="Q356" s="20"/>
      <c r="R356" s="20"/>
      <c r="S356" s="20"/>
      <c r="T356" s="20"/>
    </row>
    <row r="357" spans="1:20" x14ac:dyDescent="0.25">
      <c r="A357" s="60">
        <v>41936</v>
      </c>
      <c r="B357" s="36">
        <v>41</v>
      </c>
      <c r="C357" s="56" t="s">
        <v>1292</v>
      </c>
      <c r="D357" s="56"/>
      <c r="E357" s="22">
        <v>-68.180000000000007</v>
      </c>
      <c r="F357" s="22" t="s">
        <v>891</v>
      </c>
      <c r="G357" s="20"/>
      <c r="H357" s="18" t="s">
        <v>442</v>
      </c>
      <c r="I357" s="3" t="s">
        <v>442</v>
      </c>
      <c r="J357" s="20"/>
      <c r="K357" s="20"/>
      <c r="L357" s="20"/>
      <c r="M357" s="20"/>
      <c r="N357" s="22"/>
      <c r="O357" s="56"/>
      <c r="P357" s="20"/>
      <c r="Q357" s="20" t="s">
        <v>401</v>
      </c>
      <c r="R357" s="20"/>
      <c r="S357" s="20"/>
      <c r="T357" s="20"/>
    </row>
    <row r="358" spans="1:20" x14ac:dyDescent="0.25">
      <c r="A358" s="60">
        <v>41950</v>
      </c>
      <c r="B358" s="36">
        <v>41</v>
      </c>
      <c r="C358" s="56" t="s">
        <v>1293</v>
      </c>
      <c r="D358" s="56">
        <v>7.3949999999999996</v>
      </c>
      <c r="E358" s="22">
        <v>1035.3</v>
      </c>
      <c r="F358" s="22" t="s">
        <v>889</v>
      </c>
      <c r="G358" s="20" t="s">
        <v>1294</v>
      </c>
      <c r="H358" s="18">
        <v>1035.3</v>
      </c>
      <c r="I358" s="3">
        <v>41950</v>
      </c>
      <c r="J358" s="20"/>
      <c r="K358" s="20"/>
      <c r="L358" s="20"/>
      <c r="M358" s="20"/>
      <c r="N358" s="22"/>
      <c r="O358" s="56"/>
      <c r="P358" s="20"/>
      <c r="Q358" s="20"/>
      <c r="R358" s="20"/>
      <c r="S358" s="20"/>
      <c r="T358" s="20"/>
    </row>
    <row r="359" spans="1:20" x14ac:dyDescent="0.25">
      <c r="A359" s="60">
        <v>41950</v>
      </c>
      <c r="B359" s="36">
        <v>41</v>
      </c>
      <c r="C359" s="56" t="s">
        <v>1286</v>
      </c>
      <c r="D359" s="56">
        <v>8.9250000000000007</v>
      </c>
      <c r="E359" s="22">
        <v>-1249.5</v>
      </c>
      <c r="F359" s="22" t="s">
        <v>889</v>
      </c>
      <c r="G359" s="20" t="s">
        <v>1287</v>
      </c>
      <c r="H359" s="18" t="s">
        <v>442</v>
      </c>
      <c r="I359" s="3" t="s">
        <v>442</v>
      </c>
      <c r="J359" s="20"/>
      <c r="K359" s="20"/>
      <c r="L359" s="20"/>
      <c r="M359" s="20"/>
      <c r="N359" s="22"/>
      <c r="O359" s="56"/>
      <c r="P359" s="20"/>
      <c r="Q359" s="20"/>
      <c r="R359" s="20"/>
      <c r="S359" s="20"/>
      <c r="T359" s="20"/>
    </row>
    <row r="360" spans="1:20" x14ac:dyDescent="0.25">
      <c r="A360" s="60">
        <v>41950</v>
      </c>
      <c r="B360" s="36">
        <v>41</v>
      </c>
      <c r="C360" s="56" t="s">
        <v>1263</v>
      </c>
      <c r="D360" s="56">
        <v>10.199999999999999</v>
      </c>
      <c r="E360" s="22">
        <v>-1428</v>
      </c>
      <c r="F360" s="22" t="s">
        <v>889</v>
      </c>
      <c r="G360" s="20" t="s">
        <v>1264</v>
      </c>
      <c r="H360" s="18" t="s">
        <v>442</v>
      </c>
      <c r="I360" s="3" t="s">
        <v>442</v>
      </c>
      <c r="J360" s="20"/>
      <c r="K360" s="20"/>
      <c r="L360" s="20"/>
      <c r="M360" s="20"/>
      <c r="N360" s="22"/>
      <c r="O360" s="56"/>
      <c r="P360" s="20"/>
      <c r="Q360" s="20"/>
      <c r="R360" s="20"/>
      <c r="S360" s="20"/>
      <c r="T360" s="20"/>
    </row>
    <row r="361" spans="1:20" x14ac:dyDescent="0.25">
      <c r="A361" s="60">
        <v>41950</v>
      </c>
      <c r="B361" s="36">
        <v>41</v>
      </c>
      <c r="C361" s="56" t="s">
        <v>1194</v>
      </c>
      <c r="D361" s="56">
        <v>3.3149999999999999</v>
      </c>
      <c r="E361" s="22">
        <v>-472.5</v>
      </c>
      <c r="F361" s="22" t="s">
        <v>889</v>
      </c>
      <c r="G361" s="20" t="s">
        <v>1195</v>
      </c>
      <c r="H361" s="18" t="s">
        <v>442</v>
      </c>
      <c r="I361" s="3" t="s">
        <v>442</v>
      </c>
      <c r="J361" s="20"/>
      <c r="K361" s="20"/>
      <c r="L361" s="20"/>
      <c r="M361" s="20"/>
      <c r="N361" s="22"/>
      <c r="O361" s="56"/>
      <c r="P361" s="20"/>
      <c r="Q361" s="20"/>
      <c r="R361" s="20"/>
      <c r="S361" s="20"/>
      <c r="T361" s="20"/>
    </row>
    <row r="362" spans="1:20" x14ac:dyDescent="0.25">
      <c r="A362" s="60">
        <v>41950</v>
      </c>
      <c r="B362" s="36">
        <v>41</v>
      </c>
      <c r="C362" s="56" t="s">
        <v>1248</v>
      </c>
      <c r="D362" s="56">
        <v>5.0999999999999996</v>
      </c>
      <c r="E362" s="22">
        <v>-714</v>
      </c>
      <c r="F362" s="22" t="s">
        <v>889</v>
      </c>
      <c r="G362" s="20" t="s">
        <v>1249</v>
      </c>
      <c r="H362" s="18" t="s">
        <v>442</v>
      </c>
      <c r="I362" s="3" t="s">
        <v>442</v>
      </c>
      <c r="J362" s="20"/>
      <c r="K362" s="20"/>
      <c r="L362" s="20"/>
      <c r="M362" s="20"/>
      <c r="N362" s="22"/>
      <c r="O362" s="56"/>
      <c r="P362" s="20"/>
      <c r="Q362" s="20"/>
      <c r="R362" s="20"/>
      <c r="S362" s="20"/>
      <c r="T362" s="20"/>
    </row>
    <row r="363" spans="1:20" x14ac:dyDescent="0.25">
      <c r="A363" s="60">
        <v>41950</v>
      </c>
      <c r="B363" s="36">
        <v>41</v>
      </c>
      <c r="C363" s="56" t="s">
        <v>1295</v>
      </c>
      <c r="D363" s="56">
        <v>7.9050000000000002</v>
      </c>
      <c r="E363" s="22">
        <v>1106.7</v>
      </c>
      <c r="F363" s="22" t="s">
        <v>889</v>
      </c>
      <c r="G363" s="20" t="s">
        <v>1296</v>
      </c>
      <c r="H363" s="18">
        <v>1106.7</v>
      </c>
      <c r="I363" s="3">
        <v>41950</v>
      </c>
      <c r="J363" s="20"/>
      <c r="K363" s="20"/>
      <c r="L363" s="20"/>
      <c r="M363" s="20"/>
      <c r="N363" s="22"/>
      <c r="O363" s="56"/>
      <c r="P363" s="20"/>
      <c r="Q363" s="20"/>
      <c r="R363" s="20"/>
      <c r="S363" s="20"/>
      <c r="T363" s="20"/>
    </row>
    <row r="364" spans="1:20" x14ac:dyDescent="0.25">
      <c r="A364" s="60">
        <v>41950</v>
      </c>
      <c r="B364" s="36">
        <v>41</v>
      </c>
      <c r="C364" s="56" t="s">
        <v>1297</v>
      </c>
      <c r="D364" s="56">
        <v>12.24</v>
      </c>
      <c r="E364" s="22">
        <v>1713.6000000000001</v>
      </c>
      <c r="F364" s="22" t="s">
        <v>889</v>
      </c>
      <c r="G364" s="20" t="s">
        <v>1298</v>
      </c>
      <c r="H364" s="18">
        <v>1713.6000000000001</v>
      </c>
      <c r="I364" s="3">
        <v>41950</v>
      </c>
      <c r="J364" s="20"/>
      <c r="K364" s="20"/>
      <c r="L364" s="20"/>
      <c r="M364" s="20"/>
      <c r="N364" s="22"/>
      <c r="O364" s="56"/>
      <c r="P364" s="20"/>
      <c r="Q364" s="20"/>
      <c r="R364" s="20"/>
      <c r="S364" s="20"/>
      <c r="T364" s="20"/>
    </row>
    <row r="365" spans="1:20" x14ac:dyDescent="0.25">
      <c r="A365" s="60">
        <v>41950</v>
      </c>
      <c r="B365" s="36">
        <v>41</v>
      </c>
      <c r="C365" s="56" t="s">
        <v>1299</v>
      </c>
      <c r="D365" s="56"/>
      <c r="E365" s="22">
        <v>-68.180000000000007</v>
      </c>
      <c r="F365" s="22" t="s">
        <v>891</v>
      </c>
      <c r="G365" s="20"/>
      <c r="H365" s="18" t="s">
        <v>442</v>
      </c>
      <c r="I365" s="3" t="s">
        <v>442</v>
      </c>
      <c r="J365" s="20"/>
      <c r="K365" s="20"/>
      <c r="L365" s="20"/>
      <c r="M365" s="20"/>
      <c r="N365" s="22"/>
      <c r="O365" s="56"/>
      <c r="P365" s="20"/>
      <c r="Q365" s="20" t="s">
        <v>401</v>
      </c>
      <c r="R365" s="20"/>
      <c r="S365" s="20"/>
      <c r="T365" s="20"/>
    </row>
    <row r="366" spans="1:20" x14ac:dyDescent="0.25">
      <c r="A366" s="60">
        <v>41950</v>
      </c>
      <c r="B366" s="36">
        <v>41</v>
      </c>
      <c r="C366" s="56" t="s">
        <v>1300</v>
      </c>
      <c r="D366" s="56"/>
      <c r="E366" s="22">
        <v>-68.180000000000007</v>
      </c>
      <c r="F366" s="22" t="s">
        <v>889</v>
      </c>
      <c r="G366" s="20"/>
      <c r="H366" s="18" t="s">
        <v>442</v>
      </c>
      <c r="I366" s="3" t="s">
        <v>442</v>
      </c>
      <c r="J366" s="20"/>
      <c r="K366" s="20"/>
      <c r="L366" s="20"/>
      <c r="M366" s="20"/>
      <c r="N366" s="22"/>
      <c r="O366" s="56"/>
      <c r="P366" s="20"/>
      <c r="Q366" s="20" t="s">
        <v>401</v>
      </c>
      <c r="R366" s="20"/>
      <c r="S366" s="20"/>
      <c r="T366" s="20"/>
    </row>
    <row r="367" spans="1:20" x14ac:dyDescent="0.25">
      <c r="A367" s="60">
        <v>41950</v>
      </c>
      <c r="B367" s="36">
        <v>41</v>
      </c>
      <c r="C367" s="56" t="s">
        <v>1301</v>
      </c>
      <c r="D367" s="56"/>
      <c r="E367" s="22">
        <v>410.55</v>
      </c>
      <c r="F367" s="22" t="s">
        <v>889</v>
      </c>
      <c r="G367" s="20"/>
      <c r="H367" s="18" t="s">
        <v>442</v>
      </c>
      <c r="I367" s="3" t="s">
        <v>442</v>
      </c>
      <c r="J367" s="20"/>
      <c r="K367" s="20"/>
      <c r="L367" s="20"/>
      <c r="M367" s="20"/>
      <c r="N367" s="20" t="s">
        <v>401</v>
      </c>
      <c r="O367" s="56"/>
      <c r="P367" s="20"/>
      <c r="Q367" s="20"/>
      <c r="R367" s="20"/>
      <c r="S367" s="20"/>
      <c r="T367" s="20"/>
    </row>
    <row r="368" spans="1:20" x14ac:dyDescent="0.25">
      <c r="A368" s="60">
        <v>41957</v>
      </c>
      <c r="B368" s="36">
        <v>41</v>
      </c>
      <c r="C368" s="56" t="s">
        <v>1190</v>
      </c>
      <c r="D368" s="56">
        <v>7.3949999999999996</v>
      </c>
      <c r="E368" s="22">
        <v>1072.27</v>
      </c>
      <c r="F368" s="22" t="s">
        <v>889</v>
      </c>
      <c r="G368" s="20" t="s">
        <v>1191</v>
      </c>
      <c r="H368" s="18">
        <v>1072.27</v>
      </c>
      <c r="I368" s="3">
        <v>41957</v>
      </c>
      <c r="J368" s="20"/>
      <c r="K368" s="20"/>
      <c r="L368" s="20"/>
      <c r="M368" s="20"/>
      <c r="N368" s="22"/>
      <c r="O368" s="56" t="s">
        <v>959</v>
      </c>
      <c r="P368" s="20"/>
      <c r="Q368" s="20"/>
      <c r="R368" s="20"/>
      <c r="S368" s="20"/>
      <c r="T368" s="20"/>
    </row>
    <row r="369" spans="1:20" x14ac:dyDescent="0.25">
      <c r="A369" s="60">
        <v>41957</v>
      </c>
      <c r="B369" s="36">
        <v>41</v>
      </c>
      <c r="C369" s="56" t="s">
        <v>1216</v>
      </c>
      <c r="D369" s="56">
        <v>9.18</v>
      </c>
      <c r="E369" s="22">
        <v>1285.2</v>
      </c>
      <c r="F369" s="22" t="s">
        <v>889</v>
      </c>
      <c r="G369" s="20" t="s">
        <v>1217</v>
      </c>
      <c r="H369" s="18">
        <v>1285.2</v>
      </c>
      <c r="I369" s="3">
        <v>41957</v>
      </c>
      <c r="J369" s="20"/>
      <c r="K369" s="20"/>
      <c r="L369" s="20"/>
      <c r="M369" s="20"/>
      <c r="N369" s="22"/>
      <c r="O369" s="56" t="s">
        <v>959</v>
      </c>
      <c r="P369" s="20"/>
      <c r="Q369" s="20"/>
      <c r="R369" s="20"/>
      <c r="S369" s="20"/>
      <c r="T369" s="20"/>
    </row>
    <row r="370" spans="1:20" x14ac:dyDescent="0.25">
      <c r="A370" s="60">
        <v>41957</v>
      </c>
      <c r="B370" s="36">
        <v>41</v>
      </c>
      <c r="C370" s="56" t="s">
        <v>1180</v>
      </c>
      <c r="D370" s="56">
        <v>3.25</v>
      </c>
      <c r="E370" s="22">
        <v>471.25</v>
      </c>
      <c r="F370" s="22" t="s">
        <v>889</v>
      </c>
      <c r="G370" s="20" t="s">
        <v>1181</v>
      </c>
      <c r="H370" s="18">
        <v>471.25</v>
      </c>
      <c r="I370" s="3">
        <v>41957</v>
      </c>
      <c r="J370" s="20"/>
      <c r="K370" s="20"/>
      <c r="L370" s="20"/>
      <c r="M370" s="20"/>
      <c r="N370" s="22"/>
      <c r="O370" s="56" t="s">
        <v>959</v>
      </c>
      <c r="P370" s="20"/>
      <c r="Q370" s="20"/>
      <c r="R370" s="20"/>
      <c r="S370" s="20"/>
      <c r="T370" s="20"/>
    </row>
    <row r="371" spans="1:20" x14ac:dyDescent="0.25">
      <c r="A371" s="60">
        <v>41957</v>
      </c>
      <c r="B371" s="36">
        <v>41</v>
      </c>
      <c r="C371" s="56" t="s">
        <v>1182</v>
      </c>
      <c r="D371" s="56">
        <v>4.75</v>
      </c>
      <c r="E371" s="22">
        <v>688.75</v>
      </c>
      <c r="F371" s="22" t="s">
        <v>889</v>
      </c>
      <c r="G371" s="20" t="s">
        <v>1183</v>
      </c>
      <c r="H371" s="18">
        <v>688.75</v>
      </c>
      <c r="I371" s="3">
        <v>41957</v>
      </c>
      <c r="J371" s="20"/>
      <c r="K371" s="20"/>
      <c r="L371" s="20"/>
      <c r="M371" s="20"/>
      <c r="N371" s="22"/>
      <c r="O371" s="56" t="s">
        <v>959</v>
      </c>
      <c r="P371" s="20"/>
      <c r="Q371" s="20"/>
      <c r="R371" s="20"/>
      <c r="S371" s="20"/>
      <c r="T371" s="20"/>
    </row>
    <row r="372" spans="1:20" x14ac:dyDescent="0.25">
      <c r="A372" s="60">
        <v>41957</v>
      </c>
      <c r="B372" s="36">
        <v>41</v>
      </c>
      <c r="C372" s="56" t="s">
        <v>1302</v>
      </c>
      <c r="D372" s="56">
        <v>6.375</v>
      </c>
      <c r="E372" s="22">
        <v>892.5</v>
      </c>
      <c r="F372" s="22" t="s">
        <v>889</v>
      </c>
      <c r="G372" s="20" t="s">
        <v>1303</v>
      </c>
      <c r="H372" s="18">
        <v>892.5</v>
      </c>
      <c r="I372" s="3">
        <v>41957</v>
      </c>
      <c r="J372" s="20"/>
      <c r="K372" s="20"/>
      <c r="L372" s="20"/>
      <c r="M372" s="20"/>
      <c r="N372" s="22"/>
      <c r="O372" s="56"/>
      <c r="P372" s="20"/>
      <c r="Q372" s="20"/>
      <c r="R372" s="20"/>
      <c r="S372" s="20"/>
      <c r="T372" s="20"/>
    </row>
    <row r="373" spans="1:20" x14ac:dyDescent="0.25">
      <c r="A373" s="60">
        <v>41957</v>
      </c>
      <c r="B373" s="36">
        <v>41</v>
      </c>
      <c r="C373" s="56" t="s">
        <v>1186</v>
      </c>
      <c r="D373" s="56">
        <v>6.63</v>
      </c>
      <c r="E373" s="22">
        <v>961.34999999999991</v>
      </c>
      <c r="F373" s="22" t="s">
        <v>889</v>
      </c>
      <c r="G373" s="20" t="s">
        <v>1187</v>
      </c>
      <c r="H373" s="18">
        <v>961.34999999999991</v>
      </c>
      <c r="I373" s="3">
        <v>41957</v>
      </c>
      <c r="J373" s="20"/>
      <c r="K373" s="20"/>
      <c r="L373" s="20"/>
      <c r="M373" s="20"/>
      <c r="N373" s="22"/>
      <c r="O373" s="56" t="s">
        <v>959</v>
      </c>
      <c r="P373" s="20"/>
      <c r="Q373" s="20"/>
      <c r="R373" s="20"/>
      <c r="S373" s="20"/>
      <c r="T373" s="20"/>
    </row>
    <row r="374" spans="1:20" x14ac:dyDescent="0.25">
      <c r="A374" s="60">
        <v>41957</v>
      </c>
      <c r="B374" s="36">
        <v>41</v>
      </c>
      <c r="C374" s="56" t="s">
        <v>1304</v>
      </c>
      <c r="D374" s="56"/>
      <c r="E374" s="22">
        <v>-68.180000000000007</v>
      </c>
      <c r="F374" s="22" t="s">
        <v>891</v>
      </c>
      <c r="G374" s="20"/>
      <c r="H374" s="18" t="s">
        <v>442</v>
      </c>
      <c r="I374" s="3" t="s">
        <v>442</v>
      </c>
      <c r="J374" s="20"/>
      <c r="K374" s="20"/>
      <c r="L374" s="20"/>
      <c r="M374" s="20"/>
      <c r="N374" s="22"/>
      <c r="O374" s="56"/>
      <c r="P374" s="20"/>
      <c r="Q374" s="20" t="s">
        <v>401</v>
      </c>
      <c r="R374" s="20"/>
      <c r="S374" s="20"/>
      <c r="T374" s="20"/>
    </row>
    <row r="375" spans="1:20" x14ac:dyDescent="0.25">
      <c r="A375" s="60">
        <v>41964</v>
      </c>
      <c r="B375" s="36">
        <v>41</v>
      </c>
      <c r="C375" s="56" t="s">
        <v>1305</v>
      </c>
      <c r="D375" s="56">
        <v>6.375</v>
      </c>
      <c r="E375" s="22">
        <v>892.5</v>
      </c>
      <c r="F375" s="22" t="s">
        <v>889</v>
      </c>
      <c r="G375" s="20" t="s">
        <v>1306</v>
      </c>
      <c r="H375" s="18">
        <v>892.5</v>
      </c>
      <c r="I375" s="3">
        <v>41964</v>
      </c>
      <c r="J375" s="20"/>
      <c r="K375" s="20"/>
      <c r="L375" s="20"/>
      <c r="M375" s="20"/>
      <c r="N375" s="22"/>
      <c r="O375" s="56"/>
      <c r="P375" s="20"/>
      <c r="Q375" s="20"/>
      <c r="R375" s="20"/>
      <c r="S375" s="20"/>
      <c r="T375" s="20"/>
    </row>
    <row r="376" spans="1:20" x14ac:dyDescent="0.25">
      <c r="A376" s="60">
        <v>41964</v>
      </c>
      <c r="B376" s="36">
        <v>41</v>
      </c>
      <c r="C376" s="56" t="s">
        <v>963</v>
      </c>
      <c r="D376" s="56"/>
      <c r="E376" s="22">
        <v>2902.1250000000005</v>
      </c>
      <c r="F376" s="22" t="s">
        <v>889</v>
      </c>
      <c r="G376" s="20"/>
      <c r="H376" s="18" t="s">
        <v>442</v>
      </c>
      <c r="I376" s="3" t="s">
        <v>442</v>
      </c>
      <c r="J376" s="20"/>
      <c r="K376" s="20"/>
      <c r="L376" s="20"/>
      <c r="M376" s="20"/>
      <c r="N376" s="22" t="s">
        <v>401</v>
      </c>
      <c r="O376" s="56"/>
      <c r="P376" s="20"/>
      <c r="Q376" s="20"/>
      <c r="R376" s="20"/>
      <c r="S376" s="20"/>
      <c r="T376" s="20"/>
    </row>
    <row r="377" spans="1:20" x14ac:dyDescent="0.25">
      <c r="A377" s="60">
        <v>41978</v>
      </c>
      <c r="B377" s="36">
        <v>41</v>
      </c>
      <c r="C377" s="56" t="s">
        <v>1307</v>
      </c>
      <c r="D377" s="56">
        <v>17.850000000000001</v>
      </c>
      <c r="E377" s="22">
        <v>2499</v>
      </c>
      <c r="F377" s="22" t="s">
        <v>889</v>
      </c>
      <c r="G377" s="20" t="s">
        <v>1308</v>
      </c>
      <c r="H377" s="18">
        <v>2499</v>
      </c>
      <c r="I377" s="3">
        <v>41978</v>
      </c>
      <c r="J377" s="20"/>
      <c r="K377" s="20"/>
      <c r="L377" s="20"/>
      <c r="M377" s="20"/>
      <c r="N377" s="22"/>
      <c r="O377" s="56"/>
      <c r="P377" s="20"/>
      <c r="Q377" s="20"/>
      <c r="R377" s="20"/>
      <c r="S377" s="20"/>
      <c r="T377" s="20"/>
    </row>
    <row r="378" spans="1:20" x14ac:dyDescent="0.25">
      <c r="A378" s="60">
        <v>41978</v>
      </c>
      <c r="B378" s="36">
        <v>41</v>
      </c>
      <c r="C378" s="56" t="s">
        <v>1309</v>
      </c>
      <c r="D378" s="56">
        <v>11.22</v>
      </c>
      <c r="E378" s="22">
        <v>1570.8000000000002</v>
      </c>
      <c r="F378" s="22" t="s">
        <v>889</v>
      </c>
      <c r="G378" s="20" t="s">
        <v>1310</v>
      </c>
      <c r="H378" s="18">
        <v>1570.8000000000002</v>
      </c>
      <c r="I378" s="3">
        <v>41978</v>
      </c>
      <c r="J378" s="20"/>
      <c r="K378" s="20"/>
      <c r="L378" s="20"/>
      <c r="M378" s="20"/>
      <c r="N378" s="22"/>
      <c r="O378" s="56"/>
      <c r="P378" s="20"/>
      <c r="Q378" s="20"/>
      <c r="R378" s="20"/>
      <c r="S378" s="20"/>
      <c r="T378" s="20"/>
    </row>
    <row r="379" spans="1:20" x14ac:dyDescent="0.25">
      <c r="A379" s="60">
        <v>41978</v>
      </c>
      <c r="B379" s="36">
        <v>41</v>
      </c>
      <c r="C379" s="56" t="s">
        <v>1203</v>
      </c>
      <c r="D379" s="56">
        <v>6.12</v>
      </c>
      <c r="E379" s="22">
        <v>-765</v>
      </c>
      <c r="F379" s="22" t="s">
        <v>889</v>
      </c>
      <c r="G379" s="20" t="s">
        <v>1204</v>
      </c>
      <c r="H379" s="18" t="s">
        <v>442</v>
      </c>
      <c r="I379" s="3" t="s">
        <v>442</v>
      </c>
      <c r="J379" s="20"/>
      <c r="K379" s="20"/>
      <c r="L379" s="20"/>
      <c r="M379" s="20"/>
      <c r="N379" s="22"/>
      <c r="O379" s="56"/>
      <c r="P379" s="20"/>
      <c r="Q379" s="20"/>
      <c r="R379" s="20"/>
      <c r="S379" s="20"/>
      <c r="T379" s="20"/>
    </row>
    <row r="380" spans="1:20" x14ac:dyDescent="0.25">
      <c r="A380" s="60">
        <v>41978</v>
      </c>
      <c r="B380" s="36">
        <v>41</v>
      </c>
      <c r="C380" s="56" t="s">
        <v>1311</v>
      </c>
      <c r="D380" s="56"/>
      <c r="E380" s="22">
        <v>-68.180000000000007</v>
      </c>
      <c r="F380" s="22" t="s">
        <v>889</v>
      </c>
      <c r="G380" s="20"/>
      <c r="H380" s="18" t="s">
        <v>442</v>
      </c>
      <c r="I380" s="3" t="s">
        <v>442</v>
      </c>
      <c r="J380" s="20"/>
      <c r="K380" s="20"/>
      <c r="L380" s="20"/>
      <c r="M380" s="20"/>
      <c r="N380" s="22"/>
      <c r="O380" s="56"/>
      <c r="P380" s="20"/>
      <c r="Q380" s="20" t="s">
        <v>401</v>
      </c>
      <c r="R380" s="20"/>
      <c r="S380" s="20"/>
      <c r="T380" s="20"/>
    </row>
    <row r="381" spans="1:20" x14ac:dyDescent="0.25">
      <c r="A381" s="60">
        <v>41978</v>
      </c>
      <c r="B381" s="36">
        <v>41</v>
      </c>
      <c r="C381" s="56" t="s">
        <v>1312</v>
      </c>
      <c r="D381" s="56"/>
      <c r="E381" s="22">
        <v>-68.180000000000007</v>
      </c>
      <c r="F381" s="22" t="s">
        <v>891</v>
      </c>
      <c r="G381" s="20"/>
      <c r="H381" s="18" t="s">
        <v>442</v>
      </c>
      <c r="I381" s="3" t="s">
        <v>442</v>
      </c>
      <c r="J381" s="20"/>
      <c r="K381" s="20"/>
      <c r="L381" s="20"/>
      <c r="M381" s="20"/>
      <c r="N381" s="22"/>
      <c r="O381" s="56"/>
      <c r="P381" s="20"/>
      <c r="Q381" s="20" t="s">
        <v>401</v>
      </c>
      <c r="R381" s="20"/>
      <c r="S381" s="20"/>
      <c r="T381" s="20"/>
    </row>
    <row r="382" spans="1:20" x14ac:dyDescent="0.25">
      <c r="A382" s="60">
        <v>41985</v>
      </c>
      <c r="B382" s="36">
        <v>41</v>
      </c>
      <c r="C382" s="56" t="s">
        <v>1208</v>
      </c>
      <c r="D382" s="56">
        <v>6.5</v>
      </c>
      <c r="E382" s="22">
        <v>1170</v>
      </c>
      <c r="F382" s="22" t="s">
        <v>889</v>
      </c>
      <c r="G382" s="20" t="s">
        <v>1209</v>
      </c>
      <c r="H382" s="18">
        <v>1170</v>
      </c>
      <c r="I382" s="3">
        <v>41985</v>
      </c>
      <c r="J382" s="20"/>
      <c r="K382" s="20"/>
      <c r="L382" s="20"/>
      <c r="M382" s="20"/>
      <c r="N382" s="22"/>
      <c r="O382" s="56" t="s">
        <v>959</v>
      </c>
      <c r="P382" s="20"/>
      <c r="Q382" s="20"/>
      <c r="R382" s="20"/>
      <c r="S382" s="20"/>
      <c r="T382" s="20"/>
    </row>
    <row r="383" spans="1:20" x14ac:dyDescent="0.25">
      <c r="A383" s="60">
        <v>41985</v>
      </c>
      <c r="B383" s="36">
        <v>41</v>
      </c>
      <c r="C383" s="56" t="s">
        <v>1220</v>
      </c>
      <c r="D383" s="56">
        <v>8.67</v>
      </c>
      <c r="E383" s="22">
        <v>1213.8</v>
      </c>
      <c r="F383" s="22" t="s">
        <v>889</v>
      </c>
      <c r="G383" s="20" t="s">
        <v>1221</v>
      </c>
      <c r="H383" s="18">
        <v>1213.8</v>
      </c>
      <c r="I383" s="3">
        <v>41985</v>
      </c>
      <c r="J383" s="20"/>
      <c r="K383" s="20"/>
      <c r="L383" s="20"/>
      <c r="M383" s="20"/>
      <c r="N383" s="22"/>
      <c r="O383" s="56" t="s">
        <v>959</v>
      </c>
      <c r="P383" s="20"/>
      <c r="Q383" s="20"/>
      <c r="R383" s="20"/>
      <c r="S383" s="20"/>
      <c r="T383" s="20"/>
    </row>
    <row r="384" spans="1:20" x14ac:dyDescent="0.25">
      <c r="A384" s="61">
        <v>41985</v>
      </c>
      <c r="B384" s="36">
        <v>41</v>
      </c>
      <c r="C384" s="62" t="s">
        <v>1313</v>
      </c>
      <c r="D384" s="62"/>
      <c r="E384" s="63">
        <v>-1608.8000000000002</v>
      </c>
      <c r="F384" s="63" t="s">
        <v>889</v>
      </c>
      <c r="G384" s="20"/>
      <c r="H384" s="18" t="s">
        <v>442</v>
      </c>
      <c r="I384" s="3" t="s">
        <v>442</v>
      </c>
      <c r="J384" s="20"/>
      <c r="K384" s="20"/>
      <c r="L384" s="20"/>
      <c r="M384" s="20"/>
      <c r="N384" s="22"/>
      <c r="O384" s="62"/>
      <c r="P384" s="20"/>
      <c r="Q384" s="20"/>
      <c r="R384" s="20"/>
      <c r="S384" s="20" t="s">
        <v>401</v>
      </c>
      <c r="T384" s="20"/>
    </row>
    <row r="385" spans="1:20" x14ac:dyDescent="0.25">
      <c r="A385" s="60">
        <v>41999</v>
      </c>
      <c r="B385" s="36">
        <v>41</v>
      </c>
      <c r="C385" s="56" t="s">
        <v>512</v>
      </c>
      <c r="D385" s="56">
        <v>6.12</v>
      </c>
      <c r="E385" s="22">
        <v>250</v>
      </c>
      <c r="F385" s="22" t="s">
        <v>889</v>
      </c>
      <c r="G385" s="20" t="s">
        <v>513</v>
      </c>
      <c r="H385" s="18">
        <v>250</v>
      </c>
      <c r="I385" s="3">
        <v>41999</v>
      </c>
      <c r="J385" s="20"/>
      <c r="K385" s="20"/>
      <c r="L385" s="20"/>
      <c r="M385" s="20"/>
      <c r="N385" s="22"/>
      <c r="O385" s="56"/>
      <c r="P385" s="20"/>
      <c r="Q385" s="20"/>
      <c r="R385" s="20"/>
      <c r="S385" s="20"/>
      <c r="T385" s="20"/>
    </row>
    <row r="386" spans="1:20" x14ac:dyDescent="0.25">
      <c r="A386" s="60">
        <v>41999</v>
      </c>
      <c r="B386" s="36">
        <v>41</v>
      </c>
      <c r="C386" s="56" t="s">
        <v>451</v>
      </c>
      <c r="D386" s="56">
        <v>2.04</v>
      </c>
      <c r="E386" s="22">
        <v>250</v>
      </c>
      <c r="F386" s="22" t="s">
        <v>889</v>
      </c>
      <c r="G386" s="20" t="s">
        <v>452</v>
      </c>
      <c r="H386" s="18">
        <v>250</v>
      </c>
      <c r="I386" s="3">
        <v>41999</v>
      </c>
      <c r="J386" s="20"/>
      <c r="K386" s="20"/>
      <c r="L386" s="20"/>
      <c r="M386" s="20"/>
      <c r="N386" s="22"/>
      <c r="O386" s="56"/>
      <c r="P386" s="20"/>
      <c r="Q386" s="20"/>
      <c r="R386" s="20"/>
      <c r="S386" s="20"/>
      <c r="T386" s="20"/>
    </row>
    <row r="387" spans="1:20" x14ac:dyDescent="0.25">
      <c r="A387" s="60">
        <v>42004</v>
      </c>
      <c r="B387" s="36">
        <v>41</v>
      </c>
      <c r="C387" s="56" t="s">
        <v>1275</v>
      </c>
      <c r="D387" s="56">
        <v>10.199999999999999</v>
      </c>
      <c r="E387" s="22">
        <v>476</v>
      </c>
      <c r="F387" s="22" t="s">
        <v>889</v>
      </c>
      <c r="G387" s="20" t="s">
        <v>1276</v>
      </c>
      <c r="H387" s="18">
        <v>476</v>
      </c>
      <c r="I387" s="3">
        <v>42004</v>
      </c>
      <c r="J387" s="20"/>
      <c r="K387" s="20"/>
      <c r="L387" s="20"/>
      <c r="M387" s="20"/>
      <c r="N387" s="22"/>
      <c r="O387" s="56"/>
      <c r="P387" s="20"/>
      <c r="Q387" s="20"/>
      <c r="R387" s="20"/>
      <c r="S387" s="20"/>
      <c r="T387" s="20"/>
    </row>
    <row r="388" spans="1:20" x14ac:dyDescent="0.25">
      <c r="A388" s="60">
        <v>42004</v>
      </c>
      <c r="B388" s="36">
        <v>41</v>
      </c>
      <c r="C388" s="56" t="s">
        <v>1200</v>
      </c>
      <c r="D388" s="56">
        <v>11.75</v>
      </c>
      <c r="E388" s="22">
        <v>567.91666666666663</v>
      </c>
      <c r="F388" s="22" t="s">
        <v>889</v>
      </c>
      <c r="G388" s="20" t="s">
        <v>1201</v>
      </c>
      <c r="H388" s="18">
        <v>567.91666666666663</v>
      </c>
      <c r="I388" s="3">
        <v>42004</v>
      </c>
      <c r="J388" s="20"/>
      <c r="K388" s="20"/>
      <c r="L388" s="20"/>
      <c r="M388" s="20"/>
      <c r="N388" s="22"/>
      <c r="O388" s="56"/>
      <c r="P388" s="20"/>
      <c r="Q388" s="20"/>
      <c r="R388" s="20"/>
      <c r="S388" s="20"/>
      <c r="T388" s="20"/>
    </row>
    <row r="389" spans="1:20" x14ac:dyDescent="0.25">
      <c r="A389" s="60">
        <v>42004</v>
      </c>
      <c r="B389" s="36">
        <v>41</v>
      </c>
      <c r="C389" s="56" t="s">
        <v>1257</v>
      </c>
      <c r="D389" s="56">
        <v>4</v>
      </c>
      <c r="E389" s="22">
        <v>186.66666666666666</v>
      </c>
      <c r="F389" s="22" t="s">
        <v>889</v>
      </c>
      <c r="G389" s="20" t="s">
        <v>1258</v>
      </c>
      <c r="H389" s="18">
        <v>186.66666666666666</v>
      </c>
      <c r="I389" s="3">
        <v>42004</v>
      </c>
      <c r="J389" s="20"/>
      <c r="K389" s="20"/>
      <c r="L389" s="20"/>
      <c r="M389" s="20"/>
      <c r="N389" s="22"/>
      <c r="O389" s="56"/>
      <c r="P389" s="20"/>
      <c r="Q389" s="20"/>
      <c r="R389" s="20"/>
      <c r="S389" s="20"/>
      <c r="T389" s="20"/>
    </row>
    <row r="390" spans="1:20" x14ac:dyDescent="0.25">
      <c r="A390" s="60">
        <v>42004</v>
      </c>
      <c r="B390" s="36">
        <v>41</v>
      </c>
      <c r="C390" s="56" t="s">
        <v>1252</v>
      </c>
      <c r="D390" s="56">
        <v>18.36</v>
      </c>
      <c r="E390" s="22">
        <v>375.16686390532567</v>
      </c>
      <c r="F390" s="22" t="s">
        <v>889</v>
      </c>
      <c r="G390" s="20" t="s">
        <v>1253</v>
      </c>
      <c r="H390" s="18">
        <v>375.16686390532567</v>
      </c>
      <c r="I390" s="3">
        <v>42004</v>
      </c>
      <c r="J390" s="20"/>
      <c r="K390" s="20"/>
      <c r="L390" s="20"/>
      <c r="M390" s="20"/>
      <c r="N390" s="22"/>
      <c r="O390" s="56"/>
      <c r="P390" s="20"/>
      <c r="Q390" s="20"/>
      <c r="R390" s="20"/>
      <c r="S390" s="20"/>
      <c r="T390" s="20"/>
    </row>
    <row r="391" spans="1:20" x14ac:dyDescent="0.25">
      <c r="A391" s="60">
        <v>42004</v>
      </c>
      <c r="B391" s="36">
        <v>41</v>
      </c>
      <c r="C391" s="56" t="s">
        <v>1314</v>
      </c>
      <c r="D391" s="56"/>
      <c r="E391" s="22">
        <v>-50</v>
      </c>
      <c r="F391" s="22" t="s">
        <v>889</v>
      </c>
      <c r="G391" s="20"/>
      <c r="H391" s="18" t="s">
        <v>442</v>
      </c>
      <c r="I391" s="3" t="s">
        <v>442</v>
      </c>
      <c r="J391" s="20"/>
      <c r="K391" s="20"/>
      <c r="L391" s="20"/>
      <c r="M391" s="20"/>
      <c r="N391" s="22"/>
      <c r="O391" s="56"/>
      <c r="P391" s="20"/>
      <c r="Q391" s="20"/>
      <c r="R391" s="20" t="s">
        <v>401</v>
      </c>
      <c r="S391" s="20"/>
      <c r="T391" s="20"/>
    </row>
    <row r="392" spans="1:20" x14ac:dyDescent="0.25">
      <c r="A392" s="60">
        <v>42004</v>
      </c>
      <c r="B392" s="36">
        <v>41</v>
      </c>
      <c r="C392" s="56" t="s">
        <v>1288</v>
      </c>
      <c r="D392" s="56">
        <v>8.67</v>
      </c>
      <c r="E392" s="22">
        <v>595</v>
      </c>
      <c r="F392" s="22" t="s">
        <v>889</v>
      </c>
      <c r="G392" s="20" t="s">
        <v>1289</v>
      </c>
      <c r="H392" s="18">
        <v>595</v>
      </c>
      <c r="I392" s="3">
        <v>42004</v>
      </c>
      <c r="J392" s="20"/>
      <c r="K392" s="20"/>
      <c r="L392" s="20"/>
      <c r="M392" s="20"/>
      <c r="N392" s="22"/>
      <c r="O392" s="56"/>
      <c r="P392" s="20"/>
      <c r="Q392" s="20"/>
      <c r="R392" s="20"/>
      <c r="S392" s="20"/>
      <c r="T392" s="20"/>
    </row>
    <row r="393" spans="1:20" x14ac:dyDescent="0.25">
      <c r="A393" s="60">
        <v>42004</v>
      </c>
      <c r="B393" s="36">
        <v>41</v>
      </c>
      <c r="C393" s="56" t="s">
        <v>1244</v>
      </c>
      <c r="D393" s="56">
        <v>8.67</v>
      </c>
      <c r="E393" s="22">
        <v>404.59999999999997</v>
      </c>
      <c r="F393" s="22" t="s">
        <v>889</v>
      </c>
      <c r="G393" s="20" t="s">
        <v>1245</v>
      </c>
      <c r="H393" s="18">
        <v>404.59999999999997</v>
      </c>
      <c r="I393" s="3">
        <v>42004</v>
      </c>
      <c r="J393" s="20"/>
      <c r="K393" s="20"/>
      <c r="L393" s="20"/>
      <c r="M393" s="20"/>
      <c r="N393" s="22"/>
      <c r="O393" s="56"/>
      <c r="P393" s="20"/>
      <c r="Q393" s="20"/>
      <c r="R393" s="20"/>
      <c r="S393" s="20"/>
      <c r="T393" s="20"/>
    </row>
    <row r="394" spans="1:20" x14ac:dyDescent="0.25">
      <c r="A394" s="60">
        <v>42004</v>
      </c>
      <c r="B394" s="36">
        <v>41</v>
      </c>
      <c r="C394" s="56" t="s">
        <v>1302</v>
      </c>
      <c r="D394" s="56">
        <v>6.375</v>
      </c>
      <c r="E394" s="22">
        <v>297.5</v>
      </c>
      <c r="F394" s="22" t="s">
        <v>889</v>
      </c>
      <c r="G394" s="20" t="s">
        <v>1303</v>
      </c>
      <c r="H394" s="18">
        <v>297.5</v>
      </c>
      <c r="I394" s="3">
        <v>42004</v>
      </c>
      <c r="J394" s="20"/>
      <c r="K394" s="20"/>
      <c r="L394" s="20"/>
      <c r="M394" s="20"/>
      <c r="N394" s="22"/>
      <c r="O394" s="56"/>
      <c r="P394" s="20"/>
      <c r="Q394" s="20"/>
      <c r="R394" s="20"/>
      <c r="S394" s="20"/>
      <c r="T394" s="20"/>
    </row>
    <row r="395" spans="1:20" x14ac:dyDescent="0.25">
      <c r="A395" s="60">
        <v>42004</v>
      </c>
      <c r="B395" s="36">
        <v>41</v>
      </c>
      <c r="C395" s="56" t="s">
        <v>1235</v>
      </c>
      <c r="D395" s="56">
        <v>11.475</v>
      </c>
      <c r="E395" s="22">
        <v>714</v>
      </c>
      <c r="F395" s="22" t="s">
        <v>889</v>
      </c>
      <c r="G395" s="20" t="s">
        <v>1236</v>
      </c>
      <c r="H395" s="18">
        <v>714</v>
      </c>
      <c r="I395" s="3">
        <v>42004</v>
      </c>
      <c r="J395" s="20"/>
      <c r="K395" s="20"/>
      <c r="L395" s="20"/>
      <c r="M395" s="20"/>
      <c r="N395" s="22"/>
      <c r="O395" s="56"/>
      <c r="P395" s="20"/>
      <c r="Q395" s="20"/>
      <c r="R395" s="20"/>
      <c r="S395" s="20"/>
      <c r="T395" s="20"/>
    </row>
    <row r="396" spans="1:20" x14ac:dyDescent="0.25">
      <c r="A396" s="60">
        <v>42004</v>
      </c>
      <c r="B396" s="36">
        <v>41</v>
      </c>
      <c r="C396" s="56" t="s">
        <v>1254</v>
      </c>
      <c r="D396" s="56">
        <v>7.9050000000000002</v>
      </c>
      <c r="E396" s="22">
        <v>215.43760000000006</v>
      </c>
      <c r="F396" s="22" t="s">
        <v>889</v>
      </c>
      <c r="G396" s="20" t="s">
        <v>1255</v>
      </c>
      <c r="H396" s="18">
        <v>215.43760000000006</v>
      </c>
      <c r="I396" s="3">
        <v>42004</v>
      </c>
      <c r="J396" s="20"/>
      <c r="K396" s="20"/>
      <c r="L396" s="20"/>
      <c r="M396" s="20"/>
      <c r="N396" s="22"/>
      <c r="O396" s="56"/>
      <c r="P396" s="20"/>
      <c r="Q396" s="20"/>
      <c r="R396" s="20"/>
      <c r="S396" s="20"/>
      <c r="T396" s="20"/>
    </row>
    <row r="397" spans="1:20" x14ac:dyDescent="0.25">
      <c r="A397" s="60">
        <v>42004</v>
      </c>
      <c r="B397" s="36">
        <v>41</v>
      </c>
      <c r="C397" s="56" t="s">
        <v>1250</v>
      </c>
      <c r="D397" s="56">
        <v>10.965</v>
      </c>
      <c r="E397" s="22">
        <v>298.83279999999996</v>
      </c>
      <c r="F397" s="22" t="s">
        <v>889</v>
      </c>
      <c r="G397" s="20" t="s">
        <v>1251</v>
      </c>
      <c r="H397" s="18">
        <v>298.83279999999996</v>
      </c>
      <c r="I397" s="3">
        <v>42004</v>
      </c>
      <c r="J397" s="20"/>
      <c r="K397" s="20"/>
      <c r="L397" s="20"/>
      <c r="M397" s="20"/>
      <c r="N397" s="22"/>
      <c r="O397" s="56"/>
      <c r="P397" s="20"/>
      <c r="Q397" s="20"/>
      <c r="R397" s="20"/>
      <c r="S397" s="20"/>
      <c r="T397" s="20"/>
    </row>
    <row r="398" spans="1:20" x14ac:dyDescent="0.25">
      <c r="A398" s="60">
        <v>42004</v>
      </c>
      <c r="B398" s="36">
        <v>41</v>
      </c>
      <c r="C398" s="56" t="s">
        <v>1295</v>
      </c>
      <c r="D398" s="56">
        <v>7.9050000000000002</v>
      </c>
      <c r="E398" s="22">
        <v>-1106.7</v>
      </c>
      <c r="F398" s="22" t="s">
        <v>889</v>
      </c>
      <c r="G398" s="20" t="s">
        <v>1296</v>
      </c>
      <c r="H398" s="18" t="s">
        <v>442</v>
      </c>
      <c r="I398" s="3" t="s">
        <v>442</v>
      </c>
      <c r="J398" s="20"/>
      <c r="K398" s="20"/>
      <c r="L398" s="20"/>
      <c r="M398" s="20"/>
      <c r="N398" s="22"/>
      <c r="O398" s="56"/>
      <c r="P398" s="20"/>
      <c r="Q398" s="20"/>
      <c r="R398" s="20"/>
      <c r="S398" s="20"/>
      <c r="T398" s="20"/>
    </row>
    <row r="399" spans="1:20" x14ac:dyDescent="0.25">
      <c r="A399" s="60">
        <v>42004</v>
      </c>
      <c r="B399" s="36">
        <v>41</v>
      </c>
      <c r="C399" s="56" t="s">
        <v>1297</v>
      </c>
      <c r="D399" s="56">
        <v>12.24</v>
      </c>
      <c r="E399" s="22">
        <v>571.20000000000005</v>
      </c>
      <c r="F399" s="22" t="s">
        <v>889</v>
      </c>
      <c r="G399" s="20" t="s">
        <v>1298</v>
      </c>
      <c r="H399" s="18">
        <v>571.20000000000005</v>
      </c>
      <c r="I399" s="3">
        <v>42004</v>
      </c>
      <c r="J399" s="20"/>
      <c r="K399" s="20"/>
      <c r="L399" s="20"/>
      <c r="M399" s="20"/>
      <c r="N399" s="22"/>
      <c r="O399" s="56"/>
      <c r="P399" s="20"/>
      <c r="Q399" s="20"/>
      <c r="R399" s="20"/>
      <c r="S399" s="20"/>
      <c r="T399" s="20"/>
    </row>
    <row r="400" spans="1:20" x14ac:dyDescent="0.25">
      <c r="A400" s="60">
        <v>42004</v>
      </c>
      <c r="B400" s="36">
        <v>41</v>
      </c>
      <c r="C400" s="56" t="s">
        <v>967</v>
      </c>
      <c r="D400" s="56"/>
      <c r="E400" s="22">
        <v>804.44499999999971</v>
      </c>
      <c r="F400" s="22" t="s">
        <v>889</v>
      </c>
      <c r="G400" s="20"/>
      <c r="H400" s="18" t="s">
        <v>442</v>
      </c>
      <c r="I400" s="3" t="s">
        <v>442</v>
      </c>
      <c r="J400" s="20"/>
      <c r="K400" s="20"/>
      <c r="L400" s="20"/>
      <c r="M400" s="20"/>
      <c r="N400" s="22" t="s">
        <v>401</v>
      </c>
      <c r="O400" s="56"/>
      <c r="P400" s="20"/>
      <c r="Q400" s="20"/>
      <c r="R400" s="20"/>
      <c r="S400" s="20"/>
      <c r="T400" s="20"/>
    </row>
    <row r="401" spans="1:20" x14ac:dyDescent="0.25">
      <c r="A401" s="60">
        <v>42004</v>
      </c>
      <c r="B401" s="36">
        <v>41</v>
      </c>
      <c r="C401" s="56" t="s">
        <v>1280</v>
      </c>
      <c r="D401" s="56">
        <v>6.12</v>
      </c>
      <c r="E401" s="22">
        <v>185.06880000000004</v>
      </c>
      <c r="F401" s="22" t="s">
        <v>889</v>
      </c>
      <c r="G401" s="20" t="s">
        <v>1281</v>
      </c>
      <c r="H401" s="18">
        <v>185.06880000000004</v>
      </c>
      <c r="I401" s="3">
        <v>42004</v>
      </c>
      <c r="J401" s="20"/>
      <c r="K401" s="20"/>
      <c r="L401" s="20"/>
      <c r="M401" s="20"/>
      <c r="N401" s="22"/>
      <c r="O401" s="56"/>
      <c r="P401" s="20"/>
      <c r="Q401" s="20"/>
      <c r="R401" s="20"/>
      <c r="S401" s="20"/>
      <c r="T401" s="20"/>
    </row>
    <row r="402" spans="1:20" x14ac:dyDescent="0.25">
      <c r="A402" s="60">
        <v>42004</v>
      </c>
      <c r="B402" s="36">
        <v>41</v>
      </c>
      <c r="C402" s="56" t="s">
        <v>1315</v>
      </c>
      <c r="D402" s="56"/>
      <c r="E402" s="22">
        <v>-68.180000000000007</v>
      </c>
      <c r="F402" s="22" t="s">
        <v>889</v>
      </c>
      <c r="G402" s="20"/>
      <c r="H402" s="18" t="s">
        <v>442</v>
      </c>
      <c r="I402" s="3" t="s">
        <v>442</v>
      </c>
      <c r="J402" s="20"/>
      <c r="K402" s="20"/>
      <c r="L402" s="20"/>
      <c r="M402" s="20"/>
      <c r="N402" s="22"/>
      <c r="O402" s="56"/>
      <c r="P402" s="20"/>
      <c r="Q402" s="20" t="s">
        <v>401</v>
      </c>
      <c r="R402" s="20"/>
      <c r="S402" s="20"/>
      <c r="T402" s="20"/>
    </row>
    <row r="403" spans="1:20" x14ac:dyDescent="0.25">
      <c r="A403" s="60">
        <v>42004</v>
      </c>
      <c r="B403" s="36">
        <v>41</v>
      </c>
      <c r="C403" s="56" t="s">
        <v>1284</v>
      </c>
      <c r="D403" s="56">
        <v>4.08</v>
      </c>
      <c r="E403" s="22">
        <v>190.4</v>
      </c>
      <c r="F403" s="22" t="s">
        <v>889</v>
      </c>
      <c r="G403" s="20" t="s">
        <v>1285</v>
      </c>
      <c r="H403" s="18">
        <v>190.4</v>
      </c>
      <c r="I403" s="3">
        <v>42004</v>
      </c>
      <c r="J403" s="20"/>
      <c r="K403" s="20"/>
      <c r="L403" s="20"/>
      <c r="M403" s="20"/>
      <c r="N403" s="22"/>
      <c r="O403" s="56"/>
      <c r="P403" s="20"/>
      <c r="Q403" s="20"/>
      <c r="R403" s="20"/>
      <c r="S403" s="20"/>
      <c r="T403" s="20"/>
    </row>
    <row r="404" spans="1:20" x14ac:dyDescent="0.25">
      <c r="A404" s="60">
        <v>42013</v>
      </c>
      <c r="B404" s="36">
        <v>41</v>
      </c>
      <c r="C404" s="56" t="s">
        <v>512</v>
      </c>
      <c r="D404" s="56">
        <v>6.12</v>
      </c>
      <c r="E404" s="22">
        <v>306</v>
      </c>
      <c r="F404" s="22" t="s">
        <v>889</v>
      </c>
      <c r="G404" s="20" t="s">
        <v>513</v>
      </c>
      <c r="H404" s="18">
        <v>306</v>
      </c>
      <c r="I404" s="3">
        <v>42013</v>
      </c>
      <c r="J404" s="20"/>
      <c r="K404" s="20"/>
      <c r="L404" s="20"/>
      <c r="M404" s="20"/>
      <c r="N404" s="22"/>
      <c r="O404" s="56"/>
      <c r="P404" s="20"/>
      <c r="Q404" s="20"/>
      <c r="R404" s="20"/>
      <c r="S404" s="20"/>
      <c r="T404" s="20"/>
    </row>
    <row r="405" spans="1:20" x14ac:dyDescent="0.25">
      <c r="A405" s="60">
        <v>42013</v>
      </c>
      <c r="B405" s="36">
        <v>41</v>
      </c>
      <c r="C405" s="56" t="s">
        <v>1259</v>
      </c>
      <c r="D405" s="56">
        <v>10.455</v>
      </c>
      <c r="E405" s="22">
        <v>854.80080000000021</v>
      </c>
      <c r="F405" s="22" t="s">
        <v>889</v>
      </c>
      <c r="G405" s="20" t="s">
        <v>1260</v>
      </c>
      <c r="H405" s="18">
        <v>854.80080000000021</v>
      </c>
      <c r="I405" s="3">
        <v>42013</v>
      </c>
      <c r="J405" s="20"/>
      <c r="K405" s="20"/>
      <c r="L405" s="20"/>
      <c r="M405" s="20"/>
      <c r="N405" s="22"/>
      <c r="O405" s="56"/>
      <c r="P405" s="20"/>
      <c r="Q405" s="20"/>
      <c r="R405" s="20"/>
      <c r="S405" s="20"/>
      <c r="T405" s="20"/>
    </row>
    <row r="406" spans="1:20" x14ac:dyDescent="0.25">
      <c r="A406" s="60">
        <v>42013</v>
      </c>
      <c r="B406" s="36">
        <v>41</v>
      </c>
      <c r="C406" t="s">
        <v>1277</v>
      </c>
      <c r="D406" s="56">
        <v>6.12</v>
      </c>
      <c r="E406" s="22">
        <v>856.80000000000007</v>
      </c>
      <c r="F406" s="22" t="s">
        <v>889</v>
      </c>
      <c r="G406" s="20" t="s">
        <v>1278</v>
      </c>
      <c r="H406" s="18">
        <v>856.80000000000007</v>
      </c>
      <c r="I406" s="3">
        <v>42013</v>
      </c>
      <c r="J406" s="20"/>
      <c r="K406" s="20"/>
      <c r="L406" s="20"/>
      <c r="M406" s="20"/>
      <c r="N406" s="22"/>
      <c r="O406" s="56"/>
      <c r="P406" s="20"/>
      <c r="Q406" s="20"/>
      <c r="R406" s="20"/>
      <c r="S406" s="20"/>
      <c r="T406" s="20"/>
    </row>
    <row r="407" spans="1:20" x14ac:dyDescent="0.25">
      <c r="A407" s="60">
        <v>42013</v>
      </c>
      <c r="B407" s="36">
        <v>41</v>
      </c>
      <c r="C407" s="56" t="s">
        <v>1267</v>
      </c>
      <c r="D407" s="56">
        <v>10.199999999999999</v>
      </c>
      <c r="E407" s="22">
        <v>1428</v>
      </c>
      <c r="F407" s="22" t="s">
        <v>889</v>
      </c>
      <c r="G407" s="20" t="s">
        <v>1268</v>
      </c>
      <c r="H407" s="18">
        <v>1428</v>
      </c>
      <c r="I407" s="3">
        <v>42013</v>
      </c>
      <c r="J407" s="20"/>
      <c r="K407" s="20"/>
      <c r="L407" s="20"/>
      <c r="M407" s="20"/>
      <c r="N407" s="22"/>
      <c r="O407" s="56"/>
      <c r="P407" s="20"/>
      <c r="Q407" s="20"/>
      <c r="R407" s="20"/>
      <c r="S407" s="20"/>
      <c r="T407" s="20"/>
    </row>
    <row r="408" spans="1:20" x14ac:dyDescent="0.25">
      <c r="A408" s="3">
        <v>42019</v>
      </c>
      <c r="B408" s="36">
        <v>41</v>
      </c>
      <c r="C408" t="s">
        <v>969</v>
      </c>
      <c r="D408" s="55"/>
      <c r="E408" s="18">
        <v>997.06</v>
      </c>
      <c r="F408" t="s">
        <v>889</v>
      </c>
      <c r="H408" s="18" t="s">
        <v>442</v>
      </c>
      <c r="I408" s="3" t="s">
        <v>442</v>
      </c>
      <c r="J408"/>
      <c r="L408"/>
      <c r="M408"/>
      <c r="N408" s="40" t="s">
        <v>401</v>
      </c>
      <c r="O408"/>
      <c r="P408" s="20"/>
      <c r="Q408" s="20"/>
      <c r="R408" s="20"/>
      <c r="S408" s="20"/>
      <c r="T408" s="20"/>
    </row>
    <row r="409" spans="1:20" x14ac:dyDescent="0.25">
      <c r="A409" s="3">
        <v>42019</v>
      </c>
      <c r="B409" s="36">
        <v>41</v>
      </c>
      <c r="C409" t="s">
        <v>1316</v>
      </c>
      <c r="D409" s="55">
        <v>6.375</v>
      </c>
      <c r="E409" s="18">
        <v>892.5</v>
      </c>
      <c r="F409" t="s">
        <v>889</v>
      </c>
      <c r="G409" t="s">
        <v>1306</v>
      </c>
      <c r="H409" s="18">
        <v>892.5</v>
      </c>
      <c r="I409" s="3">
        <v>42019</v>
      </c>
      <c r="J409"/>
      <c r="L409"/>
      <c r="M409"/>
      <c r="N409" s="20"/>
      <c r="O409"/>
      <c r="P409" s="20"/>
      <c r="Q409" s="20"/>
      <c r="R409" s="20"/>
      <c r="S409" s="20"/>
      <c r="T409" s="20"/>
    </row>
    <row r="410" spans="1:20" x14ac:dyDescent="0.25">
      <c r="A410" s="3">
        <v>42027</v>
      </c>
      <c r="B410" s="36">
        <v>41</v>
      </c>
      <c r="C410" t="s">
        <v>1317</v>
      </c>
      <c r="D410" s="55">
        <v>11.22</v>
      </c>
      <c r="E410" s="18">
        <v>1570.8000000000002</v>
      </c>
      <c r="F410" t="s">
        <v>889</v>
      </c>
      <c r="G410" t="s">
        <v>1310</v>
      </c>
      <c r="H410" s="18">
        <v>1570.8000000000002</v>
      </c>
      <c r="I410" s="3">
        <v>42027</v>
      </c>
      <c r="J410"/>
      <c r="L410"/>
      <c r="M410"/>
      <c r="N410" s="20"/>
      <c r="O410"/>
      <c r="P410" s="20"/>
      <c r="Q410" s="20"/>
      <c r="R410" s="20"/>
      <c r="S410" s="20"/>
      <c r="T410" s="20"/>
    </row>
    <row r="411" spans="1:20" x14ac:dyDescent="0.25">
      <c r="A411" s="3">
        <v>42041</v>
      </c>
      <c r="B411">
        <v>41</v>
      </c>
      <c r="C411" t="s">
        <v>1275</v>
      </c>
      <c r="E411" s="18">
        <v>476</v>
      </c>
      <c r="F411" t="s">
        <v>889</v>
      </c>
      <c r="G411" t="s">
        <v>1276</v>
      </c>
      <c r="I411"/>
      <c r="J411"/>
      <c r="L411"/>
      <c r="M411"/>
      <c r="O411"/>
      <c r="P411" s="20"/>
      <c r="Q411" s="20"/>
      <c r="R411" s="20"/>
      <c r="S411" s="20"/>
      <c r="T411" s="20"/>
    </row>
    <row r="412" spans="1:20" x14ac:dyDescent="0.25">
      <c r="A412" s="3">
        <v>42041</v>
      </c>
      <c r="B412">
        <v>41</v>
      </c>
      <c r="C412" t="s">
        <v>1200</v>
      </c>
      <c r="E412" s="18">
        <v>567.91666666666663</v>
      </c>
      <c r="F412" t="s">
        <v>889</v>
      </c>
      <c r="G412" t="s">
        <v>1201</v>
      </c>
      <c r="I412"/>
      <c r="J412"/>
      <c r="L412"/>
      <c r="M412"/>
      <c r="O412"/>
      <c r="P412" s="20"/>
      <c r="Q412" s="20"/>
      <c r="R412" s="20"/>
      <c r="S412" s="20"/>
      <c r="T412" s="20"/>
    </row>
    <row r="413" spans="1:20" x14ac:dyDescent="0.25">
      <c r="A413" s="3">
        <v>42041</v>
      </c>
      <c r="B413">
        <v>41</v>
      </c>
      <c r="C413" t="s">
        <v>1257</v>
      </c>
      <c r="E413" s="18">
        <v>186.66666666666666</v>
      </c>
      <c r="F413" t="s">
        <v>889</v>
      </c>
      <c r="G413" t="s">
        <v>1258</v>
      </c>
      <c r="I413"/>
      <c r="J413"/>
      <c r="L413"/>
      <c r="M413"/>
      <c r="O413"/>
      <c r="P413" s="20"/>
      <c r="Q413" s="20"/>
      <c r="R413" s="20"/>
      <c r="S413" s="20"/>
      <c r="T413" s="20"/>
    </row>
    <row r="414" spans="1:20" x14ac:dyDescent="0.25">
      <c r="A414" s="3">
        <v>42041</v>
      </c>
      <c r="B414">
        <v>41</v>
      </c>
      <c r="C414" t="s">
        <v>1252</v>
      </c>
      <c r="E414" s="18">
        <v>375.16686390532567</v>
      </c>
      <c r="F414" t="s">
        <v>889</v>
      </c>
      <c r="G414" t="s">
        <v>1253</v>
      </c>
      <c r="I414"/>
      <c r="J414"/>
      <c r="L414"/>
      <c r="M414"/>
      <c r="O414"/>
      <c r="P414" s="20"/>
      <c r="Q414" s="20"/>
      <c r="R414" s="20"/>
      <c r="S414" s="20"/>
      <c r="T414" s="20"/>
    </row>
    <row r="415" spans="1:20" x14ac:dyDescent="0.25">
      <c r="A415" s="3">
        <v>42041</v>
      </c>
      <c r="B415">
        <v>41</v>
      </c>
      <c r="C415" t="s">
        <v>1288</v>
      </c>
      <c r="E415" s="18">
        <v>595</v>
      </c>
      <c r="F415" t="s">
        <v>889</v>
      </c>
      <c r="G415" t="s">
        <v>1289</v>
      </c>
      <c r="I415"/>
      <c r="J415"/>
      <c r="L415"/>
      <c r="M415"/>
      <c r="O415"/>
      <c r="P415" s="20"/>
      <c r="Q415" s="20"/>
      <c r="R415" s="20"/>
      <c r="S415" s="20"/>
      <c r="T415" s="20"/>
    </row>
    <row r="416" spans="1:20" x14ac:dyDescent="0.25">
      <c r="A416" s="3">
        <v>42041</v>
      </c>
      <c r="B416">
        <v>41</v>
      </c>
      <c r="C416" t="s">
        <v>1244</v>
      </c>
      <c r="E416" s="18">
        <v>404.59999999999997</v>
      </c>
      <c r="F416" t="s">
        <v>889</v>
      </c>
      <c r="G416" t="s">
        <v>1245</v>
      </c>
      <c r="I416"/>
      <c r="J416"/>
      <c r="L416"/>
      <c r="M416"/>
      <c r="O416"/>
      <c r="P416" s="20"/>
      <c r="Q416" s="20"/>
      <c r="R416" s="20"/>
      <c r="S416" s="20"/>
      <c r="T416" s="20"/>
    </row>
    <row r="417" spans="1:21" x14ac:dyDescent="0.25">
      <c r="A417" s="3">
        <v>42041</v>
      </c>
      <c r="B417">
        <v>41</v>
      </c>
      <c r="C417" t="s">
        <v>1302</v>
      </c>
      <c r="E417" s="18">
        <v>297.5</v>
      </c>
      <c r="F417" t="s">
        <v>889</v>
      </c>
      <c r="G417" t="s">
        <v>1303</v>
      </c>
      <c r="I417"/>
      <c r="J417"/>
      <c r="L417"/>
      <c r="M417"/>
      <c r="O417"/>
      <c r="P417" s="20"/>
      <c r="Q417" s="20"/>
      <c r="R417" s="20"/>
      <c r="S417" s="20"/>
      <c r="T417" s="20"/>
    </row>
    <row r="418" spans="1:21" x14ac:dyDescent="0.25">
      <c r="A418" s="3">
        <v>42041</v>
      </c>
      <c r="B418">
        <v>41</v>
      </c>
      <c r="C418" t="s">
        <v>1235</v>
      </c>
      <c r="E418" s="18">
        <v>714</v>
      </c>
      <c r="F418" t="s">
        <v>889</v>
      </c>
      <c r="G418" t="s">
        <v>1236</v>
      </c>
      <c r="I418"/>
      <c r="J418"/>
      <c r="L418"/>
      <c r="M418"/>
      <c r="O418"/>
      <c r="P418" s="20"/>
      <c r="Q418" s="20"/>
      <c r="R418" s="20"/>
      <c r="S418" s="20"/>
      <c r="T418" s="20"/>
    </row>
    <row r="419" spans="1:21" x14ac:dyDescent="0.25">
      <c r="A419" s="3">
        <v>42041</v>
      </c>
      <c r="B419">
        <v>41</v>
      </c>
      <c r="C419" t="s">
        <v>1254</v>
      </c>
      <c r="E419" s="18">
        <v>215.43760000000006</v>
      </c>
      <c r="F419" t="s">
        <v>889</v>
      </c>
      <c r="G419" t="s">
        <v>1255</v>
      </c>
      <c r="I419"/>
      <c r="J419"/>
      <c r="L419"/>
      <c r="M419"/>
      <c r="O419"/>
      <c r="P419" s="20"/>
      <c r="Q419" s="20"/>
      <c r="R419" s="20"/>
      <c r="S419" s="20"/>
      <c r="T419" s="20"/>
    </row>
    <row r="420" spans="1:21" x14ac:dyDescent="0.25">
      <c r="A420" s="3">
        <v>42041</v>
      </c>
      <c r="B420">
        <v>41</v>
      </c>
      <c r="C420" t="s">
        <v>1250</v>
      </c>
      <c r="E420" s="18">
        <v>298.83279999999996</v>
      </c>
      <c r="F420" t="s">
        <v>889</v>
      </c>
      <c r="G420" t="s">
        <v>1251</v>
      </c>
      <c r="I420"/>
      <c r="J420"/>
      <c r="L420"/>
      <c r="M420"/>
      <c r="O420"/>
      <c r="P420" s="20"/>
      <c r="Q420" s="20"/>
      <c r="R420" s="20"/>
      <c r="S420" s="20"/>
      <c r="T420" s="20"/>
    </row>
    <row r="421" spans="1:21" x14ac:dyDescent="0.25">
      <c r="A421" s="3">
        <v>42041</v>
      </c>
      <c r="B421">
        <v>41</v>
      </c>
      <c r="C421" t="s">
        <v>1297</v>
      </c>
      <c r="E421" s="18">
        <v>571.20000000000005</v>
      </c>
      <c r="F421" t="s">
        <v>889</v>
      </c>
      <c r="G421" t="s">
        <v>1298</v>
      </c>
      <c r="I421"/>
      <c r="J421"/>
      <c r="L421"/>
      <c r="M421"/>
      <c r="O421"/>
      <c r="P421" s="20"/>
      <c r="Q421" s="20"/>
      <c r="R421" s="20"/>
      <c r="S421" s="20"/>
      <c r="T421" s="20"/>
    </row>
    <row r="422" spans="1:21" x14ac:dyDescent="0.25">
      <c r="A422" s="3">
        <v>42041</v>
      </c>
      <c r="B422">
        <v>41</v>
      </c>
      <c r="C422" t="s">
        <v>1280</v>
      </c>
      <c r="E422" s="18">
        <v>185.06880000000004</v>
      </c>
      <c r="F422" t="s">
        <v>889</v>
      </c>
      <c r="G422" t="s">
        <v>1281</v>
      </c>
      <c r="I422"/>
      <c r="J422"/>
      <c r="L422"/>
      <c r="M422"/>
      <c r="O422"/>
      <c r="P422" s="20"/>
      <c r="Q422" s="20"/>
      <c r="R422" s="20"/>
      <c r="S422" s="20"/>
      <c r="T422" s="20"/>
    </row>
    <row r="423" spans="1:21" x14ac:dyDescent="0.25">
      <c r="A423" s="3">
        <v>42041</v>
      </c>
      <c r="B423">
        <v>41</v>
      </c>
      <c r="C423" t="s">
        <v>1318</v>
      </c>
      <c r="E423" s="18">
        <v>-661.2</v>
      </c>
      <c r="F423" t="s">
        <v>891</v>
      </c>
      <c r="I423"/>
      <c r="J423"/>
      <c r="L423"/>
      <c r="M423"/>
      <c r="O423"/>
      <c r="P423" s="20"/>
      <c r="Q423" s="20" t="s">
        <v>401</v>
      </c>
      <c r="R423" s="20"/>
      <c r="S423" s="20"/>
      <c r="T423" s="20"/>
    </row>
    <row r="424" spans="1:21" x14ac:dyDescent="0.25">
      <c r="A424" s="3">
        <v>42041</v>
      </c>
      <c r="B424">
        <v>41</v>
      </c>
      <c r="C424" t="s">
        <v>1319</v>
      </c>
      <c r="E424" s="18">
        <v>1820.6999999999996</v>
      </c>
      <c r="F424" t="s">
        <v>889</v>
      </c>
      <c r="G424" t="s">
        <v>1291</v>
      </c>
      <c r="I424"/>
      <c r="J424"/>
      <c r="L424"/>
      <c r="M424"/>
      <c r="O424"/>
      <c r="P424" s="20"/>
      <c r="Q424" s="20"/>
      <c r="R424" s="20"/>
      <c r="S424" s="20"/>
      <c r="T424" s="20"/>
    </row>
    <row r="425" spans="1:21" x14ac:dyDescent="0.25">
      <c r="A425" s="3">
        <v>42041</v>
      </c>
      <c r="B425">
        <v>41</v>
      </c>
      <c r="C425" t="s">
        <v>1284</v>
      </c>
      <c r="E425" s="18">
        <v>190.4</v>
      </c>
      <c r="F425" t="s">
        <v>889</v>
      </c>
      <c r="G425" t="s">
        <v>1285</v>
      </c>
      <c r="I425"/>
      <c r="J425"/>
      <c r="L425"/>
      <c r="M425"/>
      <c r="O425"/>
      <c r="P425" s="20"/>
      <c r="Q425" s="20"/>
      <c r="R425" s="20"/>
      <c r="S425" s="20"/>
      <c r="T425" s="20"/>
    </row>
    <row r="426" spans="1:21" x14ac:dyDescent="0.25">
      <c r="A426" s="3">
        <v>41796</v>
      </c>
      <c r="B426" s="36">
        <v>45</v>
      </c>
      <c r="C426" t="s">
        <v>1320</v>
      </c>
      <c r="D426">
        <v>10</v>
      </c>
      <c r="E426" s="18">
        <v>1000</v>
      </c>
      <c r="G426" t="s">
        <v>1321</v>
      </c>
      <c r="H426" s="18">
        <v>1000</v>
      </c>
      <c r="I426" s="3">
        <v>41796</v>
      </c>
      <c r="J426"/>
      <c r="L426"/>
      <c r="M426"/>
      <c r="N426" s="20"/>
      <c r="O426"/>
      <c r="P426" s="20"/>
      <c r="Q426" s="20"/>
      <c r="R426" s="20"/>
      <c r="S426" s="20"/>
      <c r="T426" s="20"/>
    </row>
    <row r="427" spans="1:21" x14ac:dyDescent="0.25">
      <c r="A427" s="3">
        <v>41803</v>
      </c>
      <c r="B427" s="36">
        <v>45</v>
      </c>
      <c r="C427" t="s">
        <v>1322</v>
      </c>
      <c r="D427">
        <v>10</v>
      </c>
      <c r="E427" s="18">
        <v>1000</v>
      </c>
      <c r="G427" t="s">
        <v>1323</v>
      </c>
      <c r="H427" s="18">
        <v>1000</v>
      </c>
      <c r="I427" s="3">
        <v>41803</v>
      </c>
      <c r="J427"/>
      <c r="L427"/>
      <c r="M427"/>
      <c r="N427" s="20"/>
      <c r="O427"/>
      <c r="P427" s="20"/>
      <c r="Q427" s="20"/>
      <c r="R427" s="20"/>
      <c r="S427" s="20"/>
      <c r="T427" s="20"/>
    </row>
    <row r="428" spans="1:21" x14ac:dyDescent="0.25">
      <c r="A428" s="3">
        <v>41803</v>
      </c>
      <c r="B428" s="36">
        <v>45</v>
      </c>
      <c r="C428" t="s">
        <v>1324</v>
      </c>
      <c r="D428">
        <v>10</v>
      </c>
      <c r="E428" s="18">
        <v>1000</v>
      </c>
      <c r="G428" t="s">
        <v>1325</v>
      </c>
      <c r="H428" s="18">
        <v>1000</v>
      </c>
      <c r="I428" s="3">
        <v>41803</v>
      </c>
      <c r="J428"/>
      <c r="L428"/>
      <c r="M428"/>
      <c r="N428" s="20"/>
      <c r="O428"/>
      <c r="P428" s="20"/>
      <c r="Q428" s="20"/>
      <c r="R428" s="20"/>
      <c r="S428" s="20"/>
      <c r="T428" s="20"/>
    </row>
    <row r="429" spans="1:21" x14ac:dyDescent="0.25">
      <c r="B429">
        <v>45</v>
      </c>
      <c r="C429" t="s">
        <v>1322</v>
      </c>
      <c r="D429">
        <v>9.25</v>
      </c>
      <c r="E429" s="18">
        <v>-1000</v>
      </c>
      <c r="G429" t="s">
        <v>1323</v>
      </c>
      <c r="I429"/>
      <c r="J429"/>
      <c r="L429"/>
      <c r="M429"/>
      <c r="O429"/>
      <c r="P429" s="20"/>
      <c r="Q429" s="20"/>
      <c r="R429" s="20"/>
      <c r="S429" s="20"/>
      <c r="T429" s="20"/>
      <c r="U429" t="s">
        <v>401</v>
      </c>
    </row>
    <row r="430" spans="1:21" x14ac:dyDescent="0.25">
      <c r="B430">
        <v>45</v>
      </c>
      <c r="C430" t="s">
        <v>1320</v>
      </c>
      <c r="D430">
        <v>10.5</v>
      </c>
      <c r="E430" s="18">
        <v>-1000</v>
      </c>
      <c r="F430" t="s">
        <v>889</v>
      </c>
      <c r="G430" t="s">
        <v>1321</v>
      </c>
      <c r="I430"/>
      <c r="J430"/>
      <c r="L430"/>
      <c r="M430"/>
      <c r="O430"/>
      <c r="P430" s="20"/>
      <c r="Q430" s="20"/>
      <c r="R430" s="20"/>
      <c r="S430" s="20"/>
      <c r="T430" s="20"/>
      <c r="U430" t="s">
        <v>401</v>
      </c>
    </row>
    <row r="431" spans="1:21" x14ac:dyDescent="0.25">
      <c r="B431">
        <v>45</v>
      </c>
      <c r="C431" t="s">
        <v>1324</v>
      </c>
      <c r="D431">
        <v>10</v>
      </c>
      <c r="E431" s="18">
        <v>-1000</v>
      </c>
      <c r="F431" t="s">
        <v>889</v>
      </c>
      <c r="G431" t="s">
        <v>1325</v>
      </c>
      <c r="I431"/>
      <c r="J431"/>
      <c r="L431"/>
      <c r="M431"/>
      <c r="O431"/>
      <c r="P431" s="20"/>
      <c r="Q431" s="20"/>
      <c r="R431" s="20"/>
      <c r="S431" s="20"/>
      <c r="T431" s="20"/>
      <c r="U431" t="s">
        <v>401</v>
      </c>
    </row>
    <row r="432" spans="1:21" x14ac:dyDescent="0.25">
      <c r="A432" s="46">
        <v>41876</v>
      </c>
      <c r="B432" s="36">
        <v>46</v>
      </c>
      <c r="C432" s="47" t="s">
        <v>1313</v>
      </c>
      <c r="D432" s="47"/>
      <c r="E432" s="48">
        <v>278.49</v>
      </c>
      <c r="F432" s="47"/>
      <c r="G432" s="20"/>
      <c r="H432" s="18" t="s">
        <v>442</v>
      </c>
      <c r="I432" s="3" t="s">
        <v>442</v>
      </c>
      <c r="J432" s="20"/>
      <c r="K432" s="20"/>
      <c r="L432" s="20"/>
      <c r="M432" s="20"/>
      <c r="N432" s="20"/>
      <c r="O432" s="47"/>
      <c r="P432" s="20"/>
      <c r="Q432" s="20"/>
      <c r="R432" s="20"/>
      <c r="S432" s="20" t="s">
        <v>401</v>
      </c>
      <c r="T432" s="20"/>
    </row>
    <row r="433" spans="1:21" x14ac:dyDescent="0.25">
      <c r="A433" s="3">
        <v>41880</v>
      </c>
      <c r="B433" s="36">
        <v>46</v>
      </c>
      <c r="C433" t="s">
        <v>1326</v>
      </c>
      <c r="D433">
        <v>10</v>
      </c>
      <c r="E433" s="18">
        <v>1000</v>
      </c>
      <c r="G433" t="s">
        <v>1327</v>
      </c>
      <c r="H433" s="18">
        <v>1000</v>
      </c>
      <c r="I433" s="3">
        <v>41880</v>
      </c>
      <c r="J433"/>
      <c r="L433"/>
      <c r="M433"/>
      <c r="N433" s="20"/>
      <c r="O433"/>
      <c r="P433" s="20"/>
      <c r="Q433" s="20"/>
      <c r="R433" s="20"/>
      <c r="S433" s="20"/>
      <c r="T433" s="20"/>
    </row>
    <row r="434" spans="1:21" x14ac:dyDescent="0.25">
      <c r="A434" s="3">
        <v>42004</v>
      </c>
      <c r="B434" s="36">
        <v>46</v>
      </c>
      <c r="C434" t="s">
        <v>1326</v>
      </c>
      <c r="D434">
        <v>10</v>
      </c>
      <c r="E434" s="18">
        <v>333.33333333333331</v>
      </c>
      <c r="F434" t="s">
        <v>889</v>
      </c>
      <c r="G434" t="s">
        <v>1327</v>
      </c>
      <c r="H434" s="18">
        <v>333.33333333333331</v>
      </c>
      <c r="I434" s="3">
        <v>42004</v>
      </c>
      <c r="J434"/>
      <c r="L434"/>
      <c r="M434"/>
      <c r="N434" s="20"/>
      <c r="O434"/>
      <c r="P434" s="20"/>
      <c r="Q434" s="20"/>
      <c r="R434" s="20"/>
      <c r="S434" s="20"/>
      <c r="T434" s="20"/>
    </row>
    <row r="435" spans="1:21" x14ac:dyDescent="0.25">
      <c r="A435" s="3">
        <v>42041</v>
      </c>
      <c r="B435">
        <v>46</v>
      </c>
      <c r="C435" t="s">
        <v>1326</v>
      </c>
      <c r="E435" s="18">
        <v>333.33333333333331</v>
      </c>
      <c r="F435" t="s">
        <v>889</v>
      </c>
      <c r="G435" t="s">
        <v>1327</v>
      </c>
      <c r="I435"/>
      <c r="J435"/>
      <c r="L435"/>
      <c r="M435"/>
      <c r="O435"/>
      <c r="P435" s="20"/>
      <c r="Q435" s="20"/>
      <c r="R435" s="20"/>
      <c r="S435" s="20"/>
      <c r="T435" s="20"/>
    </row>
    <row r="436" spans="1:21" x14ac:dyDescent="0.25">
      <c r="B436">
        <v>46</v>
      </c>
      <c r="C436" t="s">
        <v>1071</v>
      </c>
      <c r="E436" s="18">
        <v>-150</v>
      </c>
      <c r="G436" t="s">
        <v>442</v>
      </c>
      <c r="I436"/>
      <c r="J436"/>
      <c r="L436"/>
      <c r="M436"/>
      <c r="O436"/>
      <c r="P436" s="20"/>
      <c r="Q436" s="20"/>
      <c r="R436" s="20"/>
      <c r="S436" s="20"/>
      <c r="T436" s="20"/>
      <c r="U436" t="s">
        <v>401</v>
      </c>
    </row>
    <row r="437" spans="1:21" x14ac:dyDescent="0.25">
      <c r="B437">
        <v>46</v>
      </c>
      <c r="C437" t="s">
        <v>1072</v>
      </c>
      <c r="E437" s="18">
        <v>-571.50666666666666</v>
      </c>
      <c r="G437" t="s">
        <v>442</v>
      </c>
      <c r="I437"/>
      <c r="J437"/>
      <c r="L437"/>
      <c r="M437"/>
      <c r="O437"/>
      <c r="P437" s="20"/>
      <c r="Q437" s="20"/>
      <c r="R437" s="20"/>
      <c r="S437" s="20"/>
      <c r="T437" s="20"/>
      <c r="U437" t="s">
        <v>401</v>
      </c>
    </row>
    <row r="438" spans="1:21" x14ac:dyDescent="0.25">
      <c r="A438" s="3">
        <v>41879</v>
      </c>
      <c r="B438" s="36">
        <v>47</v>
      </c>
      <c r="C438" t="s">
        <v>1328</v>
      </c>
      <c r="D438">
        <v>10</v>
      </c>
      <c r="E438" s="18">
        <v>900</v>
      </c>
      <c r="F438" t="s">
        <v>889</v>
      </c>
      <c r="G438" t="s">
        <v>1329</v>
      </c>
      <c r="H438" s="18">
        <v>900</v>
      </c>
      <c r="I438" s="3">
        <v>41879</v>
      </c>
      <c r="J438"/>
      <c r="L438"/>
      <c r="M438"/>
      <c r="N438" s="20"/>
      <c r="O438"/>
      <c r="P438" s="20"/>
      <c r="Q438" s="20"/>
      <c r="R438" s="20"/>
      <c r="S438" s="20"/>
      <c r="T438" s="20"/>
    </row>
    <row r="439" spans="1:21" x14ac:dyDescent="0.25">
      <c r="A439" s="3">
        <v>41985</v>
      </c>
      <c r="B439" s="36">
        <v>47</v>
      </c>
      <c r="C439" t="s">
        <v>1328</v>
      </c>
      <c r="D439">
        <v>9</v>
      </c>
      <c r="E439" s="18">
        <v>900</v>
      </c>
      <c r="F439" t="s">
        <v>889</v>
      </c>
      <c r="G439" t="s">
        <v>1329</v>
      </c>
      <c r="H439" s="18">
        <v>900</v>
      </c>
      <c r="I439" s="3">
        <v>41985</v>
      </c>
      <c r="J439"/>
      <c r="L439"/>
      <c r="M439"/>
      <c r="N439" s="20"/>
      <c r="O439" t="s">
        <v>959</v>
      </c>
      <c r="P439" s="20"/>
      <c r="Q439" s="20"/>
      <c r="R439" s="20"/>
      <c r="S439" s="20"/>
      <c r="T439" s="20"/>
    </row>
    <row r="440" spans="1:21" x14ac:dyDescent="0.25">
      <c r="A440" s="3">
        <v>41796</v>
      </c>
      <c r="B440" s="36">
        <v>50</v>
      </c>
      <c r="C440" t="s">
        <v>1330</v>
      </c>
      <c r="D440">
        <v>10</v>
      </c>
      <c r="E440" s="18">
        <v>1000</v>
      </c>
      <c r="G440" t="s">
        <v>1331</v>
      </c>
      <c r="H440" s="18">
        <v>1000</v>
      </c>
      <c r="I440" s="3">
        <v>41796</v>
      </c>
      <c r="J440"/>
      <c r="L440"/>
      <c r="M440"/>
      <c r="N440" s="20"/>
      <c r="O440" t="s">
        <v>1169</v>
      </c>
      <c r="P440" s="20"/>
      <c r="Q440" s="20"/>
      <c r="R440" s="20"/>
      <c r="S440" s="20"/>
      <c r="T440" s="20"/>
    </row>
    <row r="441" spans="1:21" x14ac:dyDescent="0.25">
      <c r="A441" s="3">
        <v>41803</v>
      </c>
      <c r="B441" s="36">
        <v>50</v>
      </c>
      <c r="C441" t="s">
        <v>1332</v>
      </c>
      <c r="D441">
        <v>7</v>
      </c>
      <c r="E441" s="18">
        <v>700</v>
      </c>
      <c r="G441" t="s">
        <v>1333</v>
      </c>
      <c r="H441" s="18">
        <v>700</v>
      </c>
      <c r="I441" s="3">
        <v>41803</v>
      </c>
      <c r="J441"/>
      <c r="L441"/>
      <c r="M441"/>
      <c r="N441" s="20"/>
      <c r="O441" t="s">
        <v>1169</v>
      </c>
      <c r="P441" s="20"/>
      <c r="Q441" s="20"/>
      <c r="R441" s="20"/>
      <c r="S441" s="20"/>
      <c r="T441" s="20"/>
    </row>
    <row r="442" spans="1:21" x14ac:dyDescent="0.25">
      <c r="A442" s="3">
        <v>41803</v>
      </c>
      <c r="B442" s="36">
        <v>50</v>
      </c>
      <c r="C442" t="s">
        <v>1334</v>
      </c>
      <c r="D442">
        <v>6.5</v>
      </c>
      <c r="E442" s="18">
        <v>650</v>
      </c>
      <c r="G442" t="s">
        <v>1335</v>
      </c>
      <c r="H442" s="18">
        <v>650</v>
      </c>
      <c r="I442" s="3">
        <v>41803</v>
      </c>
      <c r="J442"/>
      <c r="L442"/>
      <c r="M442"/>
      <c r="N442" s="20"/>
      <c r="O442" t="s">
        <v>1169</v>
      </c>
      <c r="P442" s="20"/>
      <c r="Q442" s="20"/>
      <c r="R442" s="20"/>
      <c r="S442" s="20"/>
      <c r="T442" s="20"/>
    </row>
    <row r="443" spans="1:21" x14ac:dyDescent="0.25">
      <c r="A443" s="3">
        <v>41803</v>
      </c>
      <c r="B443" s="36">
        <v>50</v>
      </c>
      <c r="C443" t="s">
        <v>1336</v>
      </c>
      <c r="D443">
        <v>3.75</v>
      </c>
      <c r="E443" s="18">
        <v>375</v>
      </c>
      <c r="G443" t="s">
        <v>1337</v>
      </c>
      <c r="H443" s="18">
        <v>375</v>
      </c>
      <c r="I443" s="3">
        <v>41803</v>
      </c>
      <c r="J443"/>
      <c r="L443"/>
      <c r="M443"/>
      <c r="N443" s="20"/>
      <c r="O443" t="s">
        <v>1169</v>
      </c>
      <c r="P443" s="20"/>
      <c r="Q443" s="20"/>
      <c r="R443" s="20"/>
      <c r="S443" s="20"/>
      <c r="T443" s="20"/>
    </row>
    <row r="444" spans="1:21" x14ac:dyDescent="0.25">
      <c r="A444" s="3">
        <v>41803</v>
      </c>
      <c r="B444" s="36">
        <v>50</v>
      </c>
      <c r="C444" t="s">
        <v>1338</v>
      </c>
      <c r="D444">
        <v>9</v>
      </c>
      <c r="E444" s="18">
        <v>900</v>
      </c>
      <c r="G444" t="s">
        <v>1339</v>
      </c>
      <c r="H444" s="18">
        <v>900</v>
      </c>
      <c r="I444" s="3">
        <v>41803</v>
      </c>
      <c r="J444"/>
      <c r="L444"/>
      <c r="M444"/>
      <c r="N444" s="20"/>
      <c r="O444" t="s">
        <v>1169</v>
      </c>
      <c r="P444" s="20"/>
      <c r="Q444" s="20"/>
      <c r="R444" s="20"/>
      <c r="S444" s="20"/>
      <c r="T444" s="20"/>
    </row>
    <row r="445" spans="1:21" x14ac:dyDescent="0.25">
      <c r="A445" s="3">
        <v>41810</v>
      </c>
      <c r="B445" s="36">
        <v>50</v>
      </c>
      <c r="C445" t="s">
        <v>1340</v>
      </c>
      <c r="D445">
        <v>10</v>
      </c>
      <c r="E445" s="18">
        <v>1000</v>
      </c>
      <c r="G445" t="s">
        <v>1341</v>
      </c>
      <c r="H445" s="18">
        <v>1000</v>
      </c>
      <c r="I445" s="3">
        <v>41810</v>
      </c>
      <c r="J445"/>
      <c r="L445"/>
      <c r="M445"/>
      <c r="N445" s="20"/>
      <c r="O445" t="s">
        <v>1169</v>
      </c>
      <c r="P445" s="20"/>
      <c r="Q445" s="20"/>
      <c r="R445" s="20"/>
      <c r="S445" s="20"/>
      <c r="T445" s="20"/>
    </row>
    <row r="446" spans="1:21" x14ac:dyDescent="0.25">
      <c r="A446" s="3">
        <v>41810</v>
      </c>
      <c r="B446" s="36">
        <v>50</v>
      </c>
      <c r="C446" t="s">
        <v>1332</v>
      </c>
      <c r="D446">
        <v>7</v>
      </c>
      <c r="E446" s="18">
        <v>-700</v>
      </c>
      <c r="G446" t="s">
        <v>1333</v>
      </c>
      <c r="H446" s="18" t="s">
        <v>442</v>
      </c>
      <c r="I446" s="3" t="s">
        <v>442</v>
      </c>
      <c r="J446"/>
      <c r="L446"/>
      <c r="M446"/>
      <c r="N446" s="20"/>
      <c r="O446" t="s">
        <v>995</v>
      </c>
      <c r="P446" s="20"/>
      <c r="Q446" s="20"/>
      <c r="R446" s="20"/>
      <c r="S446" s="20"/>
      <c r="T446" s="20"/>
    </row>
    <row r="447" spans="1:21" x14ac:dyDescent="0.25">
      <c r="B447">
        <v>50</v>
      </c>
      <c r="C447" t="s">
        <v>1330</v>
      </c>
      <c r="D447">
        <v>10.75</v>
      </c>
      <c r="E447" s="18">
        <v>-1000</v>
      </c>
      <c r="F447" t="s">
        <v>889</v>
      </c>
      <c r="G447" t="s">
        <v>1331</v>
      </c>
      <c r="I447"/>
      <c r="J447"/>
      <c r="L447"/>
      <c r="M447"/>
      <c r="O447"/>
      <c r="P447" s="20"/>
      <c r="Q447" s="20"/>
      <c r="R447" s="20"/>
      <c r="S447" s="20"/>
      <c r="T447" s="20"/>
      <c r="U447" t="s">
        <v>401</v>
      </c>
    </row>
    <row r="448" spans="1:21" x14ac:dyDescent="0.25">
      <c r="B448">
        <v>50</v>
      </c>
      <c r="C448" t="s">
        <v>1340</v>
      </c>
      <c r="D448">
        <v>10</v>
      </c>
      <c r="E448" s="18">
        <v>-1000</v>
      </c>
      <c r="G448" t="s">
        <v>1341</v>
      </c>
      <c r="I448"/>
      <c r="J448"/>
      <c r="L448"/>
      <c r="M448"/>
      <c r="O448"/>
      <c r="P448" s="20"/>
      <c r="Q448" s="20"/>
      <c r="R448" s="20"/>
      <c r="S448" s="20"/>
      <c r="T448" s="20"/>
      <c r="U448" t="s">
        <v>401</v>
      </c>
    </row>
    <row r="449" spans="1:21" x14ac:dyDescent="0.25">
      <c r="B449">
        <v>50</v>
      </c>
      <c r="C449" t="s">
        <v>1334</v>
      </c>
      <c r="E449" s="18">
        <v>750</v>
      </c>
      <c r="F449" t="s">
        <v>889</v>
      </c>
      <c r="G449" t="s">
        <v>1335</v>
      </c>
      <c r="I449"/>
      <c r="J449"/>
      <c r="L449"/>
      <c r="M449"/>
      <c r="O449"/>
      <c r="P449" s="20"/>
      <c r="Q449" s="20"/>
      <c r="R449" s="20"/>
      <c r="S449" s="20"/>
      <c r="T449" s="20"/>
      <c r="U449" t="s">
        <v>401</v>
      </c>
    </row>
    <row r="450" spans="1:21" x14ac:dyDescent="0.25">
      <c r="B450">
        <v>50</v>
      </c>
      <c r="C450" t="s">
        <v>1336</v>
      </c>
      <c r="D450">
        <v>3.75</v>
      </c>
      <c r="E450" s="18">
        <v>-375</v>
      </c>
      <c r="G450" t="s">
        <v>1337</v>
      </c>
      <c r="I450"/>
      <c r="J450"/>
      <c r="L450"/>
      <c r="M450"/>
      <c r="O450"/>
      <c r="P450" s="20"/>
      <c r="Q450" s="20"/>
      <c r="R450" s="20"/>
      <c r="S450" s="20"/>
      <c r="T450" s="20"/>
      <c r="U450" t="s">
        <v>401</v>
      </c>
    </row>
    <row r="451" spans="1:21" x14ac:dyDescent="0.25">
      <c r="B451">
        <v>50</v>
      </c>
      <c r="C451" t="s">
        <v>1338</v>
      </c>
      <c r="D451">
        <v>9</v>
      </c>
      <c r="E451" s="18">
        <v>-900</v>
      </c>
      <c r="F451" t="s">
        <v>889</v>
      </c>
      <c r="G451" t="s">
        <v>1339</v>
      </c>
      <c r="I451"/>
      <c r="J451"/>
      <c r="L451"/>
      <c r="M451"/>
      <c r="O451"/>
      <c r="P451" s="20"/>
      <c r="Q451" s="20"/>
      <c r="R451" s="20"/>
      <c r="S451" s="20"/>
      <c r="T451" s="20"/>
      <c r="U451" t="s">
        <v>401</v>
      </c>
    </row>
    <row r="452" spans="1:21" x14ac:dyDescent="0.25">
      <c r="B452">
        <v>51</v>
      </c>
      <c r="C452" t="s">
        <v>1071</v>
      </c>
      <c r="E452" s="18">
        <v>-267.89999999999998</v>
      </c>
      <c r="G452" t="s">
        <v>442</v>
      </c>
      <c r="I452"/>
      <c r="J452"/>
      <c r="L452"/>
      <c r="M452"/>
      <c r="O452"/>
      <c r="P452" s="20"/>
      <c r="Q452" s="20"/>
      <c r="R452" s="20"/>
      <c r="S452" s="20"/>
      <c r="T452" s="20"/>
      <c r="U452" t="s">
        <v>401</v>
      </c>
    </row>
    <row r="453" spans="1:21" x14ac:dyDescent="0.25">
      <c r="B453">
        <v>51</v>
      </c>
      <c r="C453" t="s">
        <v>1342</v>
      </c>
      <c r="E453" s="18">
        <v>-688.38</v>
      </c>
      <c r="G453" t="s">
        <v>442</v>
      </c>
      <c r="I453"/>
      <c r="J453"/>
      <c r="L453"/>
      <c r="M453"/>
      <c r="O453"/>
      <c r="P453" s="20"/>
      <c r="Q453" s="20"/>
      <c r="R453" s="20"/>
      <c r="S453" s="20"/>
      <c r="T453" s="20"/>
      <c r="U453" t="s">
        <v>401</v>
      </c>
    </row>
    <row r="454" spans="1:21" x14ac:dyDescent="0.25">
      <c r="A454" s="3">
        <v>41796</v>
      </c>
      <c r="B454" s="36">
        <v>52</v>
      </c>
      <c r="C454" t="s">
        <v>1343</v>
      </c>
      <c r="D454">
        <v>6.5</v>
      </c>
      <c r="E454" s="18">
        <v>650</v>
      </c>
      <c r="G454" t="s">
        <v>1344</v>
      </c>
      <c r="H454" s="18">
        <v>650</v>
      </c>
      <c r="I454" s="3">
        <v>41796</v>
      </c>
      <c r="J454"/>
      <c r="L454"/>
      <c r="M454"/>
      <c r="N454" s="20"/>
      <c r="O454" t="s">
        <v>1345</v>
      </c>
      <c r="P454" s="20"/>
      <c r="Q454" s="20"/>
      <c r="R454" s="20"/>
      <c r="S454" s="20"/>
      <c r="T454" s="20"/>
    </row>
    <row r="455" spans="1:21" x14ac:dyDescent="0.25">
      <c r="A455" s="3">
        <v>41803</v>
      </c>
      <c r="B455" s="36">
        <v>52</v>
      </c>
      <c r="C455" t="s">
        <v>1346</v>
      </c>
      <c r="D455">
        <v>11</v>
      </c>
      <c r="E455" s="18">
        <v>1100</v>
      </c>
      <c r="G455" t="s">
        <v>1347</v>
      </c>
      <c r="H455" s="18">
        <v>1100</v>
      </c>
      <c r="I455" s="3">
        <v>41803</v>
      </c>
      <c r="J455"/>
      <c r="L455"/>
      <c r="M455"/>
      <c r="N455" s="20"/>
      <c r="O455" t="s">
        <v>931</v>
      </c>
      <c r="P455" s="20"/>
      <c r="Q455" s="20"/>
      <c r="R455" s="20"/>
      <c r="S455" s="20"/>
      <c r="T455" s="20"/>
    </row>
    <row r="456" spans="1:21" x14ac:dyDescent="0.25">
      <c r="A456" s="3">
        <v>41803</v>
      </c>
      <c r="B456" s="36">
        <v>52</v>
      </c>
      <c r="C456" t="s">
        <v>1348</v>
      </c>
      <c r="D456">
        <v>10</v>
      </c>
      <c r="E456" s="18">
        <v>1000</v>
      </c>
      <c r="G456" t="s">
        <v>1349</v>
      </c>
      <c r="H456" s="18">
        <v>1000</v>
      </c>
      <c r="I456" s="3">
        <v>41803</v>
      </c>
      <c r="J456"/>
      <c r="L456"/>
      <c r="M456"/>
      <c r="N456" s="20"/>
      <c r="O456" t="s">
        <v>1169</v>
      </c>
      <c r="P456" s="20"/>
      <c r="Q456" s="20"/>
      <c r="R456" s="20"/>
      <c r="S456" s="20"/>
      <c r="T456" s="20"/>
    </row>
    <row r="457" spans="1:21" x14ac:dyDescent="0.25">
      <c r="A457" s="3">
        <v>41803</v>
      </c>
      <c r="B457" s="36">
        <v>52</v>
      </c>
      <c r="C457" t="s">
        <v>1350</v>
      </c>
      <c r="D457">
        <v>10</v>
      </c>
      <c r="E457" s="18">
        <v>1000</v>
      </c>
      <c r="G457" t="s">
        <v>1351</v>
      </c>
      <c r="H457" s="18">
        <v>1000</v>
      </c>
      <c r="I457" s="3">
        <v>41803</v>
      </c>
      <c r="J457"/>
      <c r="L457"/>
      <c r="M457"/>
      <c r="N457" s="20"/>
      <c r="O457" t="s">
        <v>1169</v>
      </c>
      <c r="P457" s="20"/>
      <c r="Q457" s="20"/>
      <c r="R457" s="20"/>
      <c r="S457" s="20"/>
      <c r="T457" s="20"/>
    </row>
    <row r="458" spans="1:21" x14ac:dyDescent="0.25">
      <c r="B458">
        <v>52</v>
      </c>
      <c r="C458" t="s">
        <v>1346</v>
      </c>
      <c r="D458">
        <v>11</v>
      </c>
      <c r="E458" s="18">
        <v>-1100</v>
      </c>
      <c r="G458" t="s">
        <v>1347</v>
      </c>
      <c r="I458"/>
      <c r="J458"/>
      <c r="L458"/>
      <c r="M458"/>
      <c r="O458"/>
      <c r="P458" s="20"/>
      <c r="Q458" s="20"/>
      <c r="R458" s="20"/>
      <c r="S458" s="20"/>
      <c r="T458" s="20"/>
      <c r="U458" t="s">
        <v>401</v>
      </c>
    </row>
    <row r="459" spans="1:21" x14ac:dyDescent="0.25">
      <c r="B459">
        <v>52</v>
      </c>
      <c r="C459" t="s">
        <v>1350</v>
      </c>
      <c r="D459">
        <v>10</v>
      </c>
      <c r="E459" s="18">
        <v>-1000</v>
      </c>
      <c r="G459" t="s">
        <v>1351</v>
      </c>
      <c r="I459"/>
      <c r="J459"/>
      <c r="L459"/>
      <c r="M459"/>
      <c r="O459"/>
      <c r="P459" s="20"/>
      <c r="Q459" s="20"/>
      <c r="R459" s="20"/>
      <c r="S459" s="20"/>
      <c r="T459" s="20"/>
      <c r="U459" t="s">
        <v>401</v>
      </c>
    </row>
    <row r="460" spans="1:21" x14ac:dyDescent="0.25">
      <c r="A460" s="3">
        <v>41796</v>
      </c>
      <c r="B460" s="36">
        <v>53</v>
      </c>
      <c r="C460" t="s">
        <v>1352</v>
      </c>
      <c r="D460">
        <v>10</v>
      </c>
      <c r="E460" s="18">
        <v>1000</v>
      </c>
      <c r="G460" t="s">
        <v>1353</v>
      </c>
      <c r="H460" s="18">
        <v>1000</v>
      </c>
      <c r="I460" s="3">
        <v>41796</v>
      </c>
      <c r="J460"/>
      <c r="L460"/>
      <c r="M460"/>
      <c r="N460" s="20"/>
      <c r="O460"/>
      <c r="P460" s="20"/>
      <c r="Q460" s="20"/>
      <c r="R460" s="20"/>
      <c r="S460" s="20"/>
      <c r="T460" s="20"/>
    </row>
    <row r="461" spans="1:21" x14ac:dyDescent="0.25">
      <c r="A461" s="3">
        <v>41803</v>
      </c>
      <c r="B461" s="36">
        <v>53</v>
      </c>
      <c r="C461" t="s">
        <v>1354</v>
      </c>
      <c r="D461">
        <v>5.5</v>
      </c>
      <c r="E461" s="18">
        <v>550</v>
      </c>
      <c r="G461" t="s">
        <v>1355</v>
      </c>
      <c r="H461" s="18">
        <v>550</v>
      </c>
      <c r="I461" s="3">
        <v>41803</v>
      </c>
      <c r="J461"/>
      <c r="L461"/>
      <c r="M461"/>
      <c r="N461" s="20"/>
      <c r="O461" t="s">
        <v>1169</v>
      </c>
      <c r="P461" s="20"/>
      <c r="Q461" s="20"/>
      <c r="R461" s="20"/>
      <c r="S461" s="20"/>
      <c r="T461" s="20"/>
    </row>
    <row r="462" spans="1:21" x14ac:dyDescent="0.25">
      <c r="A462" s="3">
        <v>41803</v>
      </c>
      <c r="B462" s="36">
        <v>53</v>
      </c>
      <c r="C462" t="s">
        <v>1352</v>
      </c>
      <c r="D462">
        <v>10</v>
      </c>
      <c r="E462" s="18">
        <v>1000</v>
      </c>
      <c r="G462" t="s">
        <v>1353</v>
      </c>
      <c r="H462" s="18">
        <v>1000</v>
      </c>
      <c r="I462" s="3">
        <v>41803</v>
      </c>
      <c r="J462"/>
      <c r="L462"/>
      <c r="M462"/>
      <c r="N462" s="20"/>
      <c r="O462" t="s">
        <v>1169</v>
      </c>
      <c r="P462" s="20"/>
      <c r="Q462" s="20"/>
      <c r="R462" s="20"/>
      <c r="S462" s="20"/>
      <c r="T462" s="20"/>
    </row>
    <row r="463" spans="1:21" x14ac:dyDescent="0.25">
      <c r="B463">
        <v>53</v>
      </c>
      <c r="C463" t="s">
        <v>1354</v>
      </c>
      <c r="D463">
        <v>5.5</v>
      </c>
      <c r="E463" s="18">
        <v>-550</v>
      </c>
      <c r="F463" t="s">
        <v>889</v>
      </c>
      <c r="G463" t="s">
        <v>1355</v>
      </c>
      <c r="I463"/>
      <c r="J463"/>
      <c r="L463"/>
      <c r="M463"/>
      <c r="O463"/>
      <c r="P463" s="20"/>
      <c r="Q463" s="20"/>
      <c r="R463" s="20"/>
      <c r="S463" s="20"/>
      <c r="T463" s="20"/>
      <c r="U463" t="s">
        <v>401</v>
      </c>
    </row>
    <row r="464" spans="1:21" x14ac:dyDescent="0.25">
      <c r="B464">
        <v>53</v>
      </c>
      <c r="C464" t="s">
        <v>1352</v>
      </c>
      <c r="D464">
        <v>10</v>
      </c>
      <c r="E464" s="18">
        <v>-1000</v>
      </c>
      <c r="F464" t="s">
        <v>889</v>
      </c>
      <c r="G464" t="s">
        <v>1353</v>
      </c>
      <c r="I464"/>
      <c r="J464"/>
      <c r="L464"/>
      <c r="M464"/>
      <c r="O464"/>
      <c r="P464" s="20"/>
      <c r="Q464" s="20"/>
      <c r="R464" s="20"/>
      <c r="S464" s="20"/>
      <c r="T464" s="20"/>
      <c r="U464" t="s">
        <v>401</v>
      </c>
    </row>
    <row r="465" spans="1:21" x14ac:dyDescent="0.25">
      <c r="B465">
        <v>53</v>
      </c>
      <c r="C465" t="s">
        <v>1352</v>
      </c>
      <c r="D465">
        <v>10</v>
      </c>
      <c r="E465" s="18">
        <v>-1000</v>
      </c>
      <c r="F465" t="s">
        <v>889</v>
      </c>
      <c r="G465" t="s">
        <v>1353</v>
      </c>
      <c r="I465"/>
      <c r="J465"/>
      <c r="L465"/>
      <c r="M465"/>
      <c r="O465"/>
      <c r="P465" s="20"/>
      <c r="Q465" s="20"/>
      <c r="R465" s="20"/>
      <c r="S465" s="20"/>
      <c r="T465" s="20"/>
      <c r="U465" t="s">
        <v>401</v>
      </c>
    </row>
    <row r="466" spans="1:21" x14ac:dyDescent="0.25">
      <c r="A466" s="3">
        <v>41771</v>
      </c>
      <c r="B466" s="36">
        <v>54</v>
      </c>
      <c r="C466" t="s">
        <v>1356</v>
      </c>
      <c r="E466" s="18">
        <v>4970</v>
      </c>
      <c r="G466" t="s">
        <v>442</v>
      </c>
      <c r="H466" s="18" t="s">
        <v>442</v>
      </c>
      <c r="I466" s="3" t="s">
        <v>442</v>
      </c>
      <c r="J466"/>
      <c r="L466"/>
      <c r="M466"/>
      <c r="N466" s="20"/>
      <c r="O466"/>
      <c r="P466" s="20"/>
      <c r="Q466" s="20"/>
      <c r="R466" s="20"/>
      <c r="S466" s="20"/>
      <c r="T466" s="20" t="s">
        <v>401</v>
      </c>
    </row>
    <row r="467" spans="1:21" x14ac:dyDescent="0.25">
      <c r="A467" s="3">
        <v>41789</v>
      </c>
      <c r="B467" s="36">
        <v>54</v>
      </c>
      <c r="C467" t="s">
        <v>1357</v>
      </c>
      <c r="D467">
        <v>10</v>
      </c>
      <c r="E467" s="18">
        <v>1400</v>
      </c>
      <c r="G467" t="s">
        <v>1358</v>
      </c>
      <c r="H467" s="18">
        <v>1400</v>
      </c>
      <c r="I467" s="3">
        <v>41789</v>
      </c>
      <c r="J467"/>
      <c r="L467"/>
      <c r="M467"/>
      <c r="N467" s="20"/>
      <c r="O467"/>
      <c r="P467" s="20"/>
      <c r="Q467" s="20"/>
      <c r="R467" s="20"/>
      <c r="S467" s="20"/>
      <c r="T467" s="20"/>
    </row>
    <row r="468" spans="1:21" x14ac:dyDescent="0.25">
      <c r="A468" s="3">
        <v>41789</v>
      </c>
      <c r="B468" s="36">
        <v>54</v>
      </c>
      <c r="C468" t="s">
        <v>1359</v>
      </c>
      <c r="D468">
        <v>8.5</v>
      </c>
      <c r="E468" s="18">
        <v>1190</v>
      </c>
      <c r="G468" t="s">
        <v>1360</v>
      </c>
      <c r="H468" s="18">
        <v>1190</v>
      </c>
      <c r="I468" s="3">
        <v>41789</v>
      </c>
      <c r="J468"/>
      <c r="L468"/>
      <c r="M468"/>
      <c r="N468" s="20"/>
      <c r="O468"/>
      <c r="P468" s="20"/>
      <c r="Q468" s="20"/>
      <c r="R468" s="20"/>
      <c r="S468" s="20"/>
      <c r="T468" s="20"/>
    </row>
    <row r="469" spans="1:21" x14ac:dyDescent="0.25">
      <c r="A469" s="3">
        <v>41789</v>
      </c>
      <c r="B469" s="36">
        <v>54</v>
      </c>
      <c r="C469" t="s">
        <v>1361</v>
      </c>
      <c r="D469">
        <v>7.5</v>
      </c>
      <c r="E469" s="18">
        <v>1050</v>
      </c>
      <c r="G469" t="s">
        <v>1362</v>
      </c>
      <c r="H469" s="18">
        <v>1050</v>
      </c>
      <c r="I469" s="3">
        <v>41789</v>
      </c>
      <c r="J469"/>
      <c r="L469"/>
      <c r="M469"/>
      <c r="N469" s="20"/>
      <c r="O469"/>
      <c r="P469" s="20"/>
      <c r="Q469" s="20"/>
      <c r="R469" s="20"/>
      <c r="S469" s="20"/>
      <c r="T469" s="20"/>
    </row>
    <row r="470" spans="1:21" x14ac:dyDescent="0.25">
      <c r="A470" s="3">
        <v>41789</v>
      </c>
      <c r="B470" s="36">
        <v>54</v>
      </c>
      <c r="C470" t="s">
        <v>1363</v>
      </c>
      <c r="D470">
        <v>10</v>
      </c>
      <c r="E470" s="18">
        <v>1400</v>
      </c>
      <c r="G470" t="s">
        <v>1364</v>
      </c>
      <c r="H470" s="18">
        <v>1400</v>
      </c>
      <c r="I470" s="3">
        <v>41789</v>
      </c>
      <c r="J470"/>
      <c r="L470"/>
      <c r="M470"/>
      <c r="N470" s="20"/>
      <c r="O470"/>
      <c r="P470" s="20"/>
      <c r="Q470" s="20"/>
      <c r="R470" s="20"/>
      <c r="S470" s="20"/>
      <c r="T470" s="20"/>
    </row>
    <row r="471" spans="1:21" x14ac:dyDescent="0.25">
      <c r="A471" s="3">
        <v>41789</v>
      </c>
      <c r="B471" s="36">
        <v>54</v>
      </c>
      <c r="C471" t="s">
        <v>1365</v>
      </c>
      <c r="D471">
        <v>8.75</v>
      </c>
      <c r="E471" s="18">
        <v>1225</v>
      </c>
      <c r="G471" t="s">
        <v>1366</v>
      </c>
      <c r="H471" s="18">
        <v>1225</v>
      </c>
      <c r="I471" s="3">
        <v>41789</v>
      </c>
      <c r="J471"/>
      <c r="L471"/>
      <c r="M471"/>
      <c r="N471" s="20"/>
      <c r="O471"/>
      <c r="P471" s="20"/>
      <c r="Q471" s="20"/>
      <c r="R471" s="20"/>
      <c r="S471" s="20"/>
      <c r="T471" s="20"/>
    </row>
    <row r="472" spans="1:21" x14ac:dyDescent="0.25">
      <c r="A472" s="3">
        <v>41789</v>
      </c>
      <c r="B472" s="36">
        <v>54</v>
      </c>
      <c r="C472" t="s">
        <v>1356</v>
      </c>
      <c r="E472" s="18">
        <v>-4970</v>
      </c>
      <c r="G472" t="s">
        <v>442</v>
      </c>
      <c r="H472" s="18" t="s">
        <v>442</v>
      </c>
      <c r="I472" s="3" t="s">
        <v>442</v>
      </c>
      <c r="J472"/>
      <c r="L472"/>
      <c r="M472"/>
      <c r="N472" s="20"/>
      <c r="O472"/>
      <c r="P472" s="20"/>
      <c r="Q472" s="20"/>
      <c r="R472" s="20"/>
      <c r="S472" s="20"/>
      <c r="T472" s="20" t="s">
        <v>401</v>
      </c>
    </row>
    <row r="473" spans="1:21" x14ac:dyDescent="0.25">
      <c r="A473" s="3">
        <v>41789</v>
      </c>
      <c r="B473" s="36">
        <v>54</v>
      </c>
      <c r="C473" t="s">
        <v>1367</v>
      </c>
      <c r="E473" s="18">
        <v>-30</v>
      </c>
      <c r="G473" t="s">
        <v>442</v>
      </c>
      <c r="H473" s="18" t="s">
        <v>442</v>
      </c>
      <c r="I473" s="3" t="s">
        <v>442</v>
      </c>
      <c r="J473"/>
      <c r="L473"/>
      <c r="M473"/>
      <c r="N473" s="20"/>
      <c r="O473"/>
      <c r="P473" s="20"/>
      <c r="Q473" s="20"/>
      <c r="R473" s="20"/>
      <c r="S473" s="20"/>
      <c r="T473" s="20" t="s">
        <v>401</v>
      </c>
    </row>
    <row r="474" spans="1:21" x14ac:dyDescent="0.25">
      <c r="A474" s="3">
        <v>41789</v>
      </c>
      <c r="B474" s="36">
        <v>54</v>
      </c>
      <c r="C474" t="s">
        <v>1368</v>
      </c>
      <c r="D474">
        <v>10</v>
      </c>
      <c r="E474" s="18">
        <v>1400</v>
      </c>
      <c r="G474" t="s">
        <v>1369</v>
      </c>
      <c r="H474" s="18">
        <v>1400</v>
      </c>
      <c r="I474" s="3">
        <v>41789</v>
      </c>
      <c r="J474"/>
      <c r="L474"/>
      <c r="M474"/>
      <c r="N474" s="20"/>
      <c r="O474"/>
      <c r="P474" s="20"/>
      <c r="Q474" s="20"/>
      <c r="R474" s="20"/>
      <c r="S474" s="20"/>
      <c r="T474" s="20"/>
    </row>
    <row r="475" spans="1:21" x14ac:dyDescent="0.25">
      <c r="A475" s="3">
        <v>41789</v>
      </c>
      <c r="B475" s="36">
        <v>54</v>
      </c>
      <c r="C475" t="s">
        <v>1370</v>
      </c>
      <c r="D475">
        <v>7.75</v>
      </c>
      <c r="E475" s="18">
        <v>1085</v>
      </c>
      <c r="G475" t="s">
        <v>1371</v>
      </c>
      <c r="H475" s="18">
        <v>1085</v>
      </c>
      <c r="I475" s="3">
        <v>41789</v>
      </c>
      <c r="J475"/>
      <c r="L475"/>
      <c r="M475"/>
      <c r="N475" s="20"/>
      <c r="O475"/>
      <c r="P475" s="20"/>
      <c r="Q475" s="20"/>
      <c r="R475" s="20"/>
      <c r="S475" s="20"/>
      <c r="T475" s="20"/>
    </row>
    <row r="476" spans="1:21" x14ac:dyDescent="0.25">
      <c r="A476" s="3">
        <v>41789</v>
      </c>
      <c r="B476" s="36">
        <v>54</v>
      </c>
      <c r="C476" t="s">
        <v>1372</v>
      </c>
      <c r="D476">
        <v>10</v>
      </c>
      <c r="E476" s="18">
        <v>1400</v>
      </c>
      <c r="G476" t="s">
        <v>1373</v>
      </c>
      <c r="H476" s="18">
        <v>1400</v>
      </c>
      <c r="I476" s="3">
        <v>41789</v>
      </c>
      <c r="J476"/>
      <c r="L476"/>
      <c r="M476"/>
      <c r="N476" s="20"/>
      <c r="O476"/>
      <c r="P476" s="20"/>
      <c r="Q476" s="20"/>
      <c r="R476" s="20"/>
      <c r="S476" s="20"/>
      <c r="T476" s="20"/>
    </row>
    <row r="477" spans="1:21" x14ac:dyDescent="0.25">
      <c r="A477" s="3">
        <v>41789</v>
      </c>
      <c r="B477" s="36">
        <v>54</v>
      </c>
      <c r="C477" t="s">
        <v>1374</v>
      </c>
      <c r="D477">
        <v>7.25</v>
      </c>
      <c r="E477" s="18">
        <v>1015</v>
      </c>
      <c r="G477" t="s">
        <v>1375</v>
      </c>
      <c r="H477" s="18">
        <v>1015</v>
      </c>
      <c r="I477" s="3">
        <v>41789</v>
      </c>
      <c r="J477"/>
      <c r="L477"/>
      <c r="M477"/>
      <c r="N477" s="20"/>
      <c r="O477"/>
      <c r="P477" s="20"/>
      <c r="Q477" s="20"/>
      <c r="R477" s="20"/>
      <c r="S477" s="20"/>
      <c r="T477" s="20"/>
    </row>
    <row r="478" spans="1:21" x14ac:dyDescent="0.25">
      <c r="A478" s="3">
        <v>41796</v>
      </c>
      <c r="B478" s="36">
        <v>54</v>
      </c>
      <c r="C478" t="s">
        <v>1376</v>
      </c>
      <c r="D478">
        <v>9.5</v>
      </c>
      <c r="E478" s="18">
        <v>1330</v>
      </c>
      <c r="G478" t="s">
        <v>1377</v>
      </c>
      <c r="H478" s="18">
        <v>1330</v>
      </c>
      <c r="I478" s="3">
        <v>41796</v>
      </c>
      <c r="J478"/>
      <c r="L478"/>
      <c r="M478"/>
      <c r="N478" s="20"/>
      <c r="O478"/>
      <c r="P478" s="20"/>
      <c r="Q478" s="20"/>
      <c r="R478" s="20"/>
      <c r="S478" s="20"/>
      <c r="T478" s="20"/>
    </row>
    <row r="479" spans="1:21" x14ac:dyDescent="0.25">
      <c r="A479" s="3">
        <v>41796</v>
      </c>
      <c r="B479" s="36">
        <v>54</v>
      </c>
      <c r="C479" t="s">
        <v>1378</v>
      </c>
      <c r="D479">
        <v>10</v>
      </c>
      <c r="E479" s="18">
        <v>1400</v>
      </c>
      <c r="G479" t="s">
        <v>1379</v>
      </c>
      <c r="H479" s="18">
        <v>1400</v>
      </c>
      <c r="I479" s="3">
        <v>41796</v>
      </c>
      <c r="J479"/>
      <c r="L479"/>
      <c r="M479"/>
      <c r="N479" s="20"/>
      <c r="O479"/>
      <c r="P479" s="20"/>
      <c r="Q479" s="20"/>
      <c r="R479" s="20"/>
      <c r="S479" s="20"/>
      <c r="T479" s="20"/>
    </row>
    <row r="480" spans="1:21" x14ac:dyDescent="0.25">
      <c r="A480" s="3">
        <v>41796</v>
      </c>
      <c r="B480" s="36">
        <v>54</v>
      </c>
      <c r="C480" t="s">
        <v>1380</v>
      </c>
      <c r="D480">
        <v>7.75</v>
      </c>
      <c r="E480" s="18">
        <v>1085</v>
      </c>
      <c r="G480" t="s">
        <v>1381</v>
      </c>
      <c r="H480" s="18">
        <v>1085</v>
      </c>
      <c r="I480" s="3">
        <v>41796</v>
      </c>
      <c r="J480"/>
      <c r="L480"/>
      <c r="M480"/>
      <c r="N480" s="20"/>
      <c r="O480"/>
      <c r="P480" s="20"/>
      <c r="Q480" s="20"/>
      <c r="R480" s="20"/>
      <c r="S480" s="20"/>
      <c r="T480" s="20"/>
    </row>
    <row r="481" spans="1:20" x14ac:dyDescent="0.25">
      <c r="A481" s="3">
        <v>41796</v>
      </c>
      <c r="B481" s="36">
        <v>54</v>
      </c>
      <c r="C481" t="s">
        <v>1382</v>
      </c>
      <c r="D481">
        <v>4.75</v>
      </c>
      <c r="E481" s="18">
        <v>665</v>
      </c>
      <c r="G481" t="s">
        <v>1383</v>
      </c>
      <c r="H481" s="18">
        <v>665</v>
      </c>
      <c r="I481" s="3">
        <v>41796</v>
      </c>
      <c r="J481"/>
      <c r="L481"/>
      <c r="M481"/>
      <c r="N481" s="20"/>
      <c r="O481"/>
      <c r="P481" s="20"/>
      <c r="Q481" s="20"/>
      <c r="R481" s="20"/>
      <c r="S481" s="20"/>
      <c r="T481" s="20"/>
    </row>
    <row r="482" spans="1:20" x14ac:dyDescent="0.25">
      <c r="A482" s="3">
        <v>41796</v>
      </c>
      <c r="B482" s="36">
        <v>54</v>
      </c>
      <c r="C482" t="s">
        <v>1384</v>
      </c>
      <c r="D482">
        <v>8.75</v>
      </c>
      <c r="E482" s="18">
        <v>1225</v>
      </c>
      <c r="G482" t="s">
        <v>1385</v>
      </c>
      <c r="H482" s="18">
        <v>1225</v>
      </c>
      <c r="I482" s="3">
        <v>41796</v>
      </c>
      <c r="J482"/>
      <c r="L482"/>
      <c r="M482"/>
      <c r="N482" s="20"/>
      <c r="O482"/>
      <c r="P482" s="20"/>
      <c r="Q482" s="20"/>
      <c r="R482" s="20"/>
      <c r="S482" s="20"/>
      <c r="T482" s="20"/>
    </row>
    <row r="483" spans="1:20" x14ac:dyDescent="0.25">
      <c r="A483" s="3">
        <v>41796</v>
      </c>
      <c r="B483" s="36">
        <v>54</v>
      </c>
      <c r="C483" t="s">
        <v>1386</v>
      </c>
      <c r="D483">
        <v>9.75</v>
      </c>
      <c r="E483" s="18">
        <v>1365</v>
      </c>
      <c r="G483" t="s">
        <v>1387</v>
      </c>
      <c r="H483" s="18">
        <v>1365</v>
      </c>
      <c r="I483" s="3">
        <v>41796</v>
      </c>
      <c r="J483"/>
      <c r="L483"/>
      <c r="M483"/>
      <c r="N483" s="20"/>
      <c r="O483"/>
      <c r="P483" s="20"/>
      <c r="Q483" s="20"/>
      <c r="R483" s="20"/>
      <c r="S483" s="20"/>
      <c r="T483" s="20"/>
    </row>
    <row r="484" spans="1:20" x14ac:dyDescent="0.25">
      <c r="A484" s="3">
        <v>41796</v>
      </c>
      <c r="B484" s="36">
        <v>54</v>
      </c>
      <c r="C484" t="s">
        <v>1388</v>
      </c>
      <c r="D484">
        <v>10</v>
      </c>
      <c r="E484" s="18">
        <v>1400</v>
      </c>
      <c r="G484" t="s">
        <v>1389</v>
      </c>
      <c r="H484" s="18">
        <v>1400</v>
      </c>
      <c r="I484" s="3">
        <v>41796</v>
      </c>
      <c r="J484"/>
      <c r="L484"/>
      <c r="M484"/>
      <c r="N484" s="20"/>
      <c r="O484"/>
      <c r="P484" s="20"/>
      <c r="Q484" s="20"/>
      <c r="R484" s="20"/>
      <c r="S484" s="20"/>
      <c r="T484" s="20"/>
    </row>
    <row r="485" spans="1:20" x14ac:dyDescent="0.25">
      <c r="A485" s="3">
        <v>41796</v>
      </c>
      <c r="B485" s="36">
        <v>54</v>
      </c>
      <c r="C485" t="s">
        <v>1390</v>
      </c>
      <c r="D485">
        <v>10</v>
      </c>
      <c r="E485" s="18">
        <v>1400</v>
      </c>
      <c r="G485" t="s">
        <v>1391</v>
      </c>
      <c r="H485" s="18">
        <v>1400</v>
      </c>
      <c r="I485" s="3">
        <v>41796</v>
      </c>
      <c r="J485"/>
      <c r="L485"/>
      <c r="M485"/>
      <c r="N485" s="20"/>
      <c r="O485"/>
      <c r="P485" s="20"/>
      <c r="Q485" s="20"/>
      <c r="R485" s="20"/>
      <c r="S485" s="20"/>
      <c r="T485" s="20"/>
    </row>
    <row r="486" spans="1:20" x14ac:dyDescent="0.25">
      <c r="A486" s="3">
        <v>41803</v>
      </c>
      <c r="B486" s="36">
        <v>54</v>
      </c>
      <c r="C486" t="s">
        <v>1392</v>
      </c>
      <c r="D486">
        <v>10</v>
      </c>
      <c r="E486" s="18">
        <v>1400</v>
      </c>
      <c r="G486" t="s">
        <v>1393</v>
      </c>
      <c r="H486" s="18">
        <v>1400</v>
      </c>
      <c r="I486" s="3">
        <v>41803</v>
      </c>
      <c r="J486"/>
      <c r="L486"/>
      <c r="M486"/>
      <c r="N486" s="20"/>
      <c r="O486"/>
      <c r="P486" s="20"/>
      <c r="Q486" s="20"/>
      <c r="R486" s="20"/>
      <c r="S486" s="20"/>
      <c r="T486" s="20"/>
    </row>
    <row r="487" spans="1:20" x14ac:dyDescent="0.25">
      <c r="A487" s="3">
        <v>41803</v>
      </c>
      <c r="B487" s="36">
        <v>54</v>
      </c>
      <c r="C487" t="s">
        <v>1394</v>
      </c>
      <c r="D487">
        <v>6</v>
      </c>
      <c r="E487" s="18">
        <v>840</v>
      </c>
      <c r="G487" t="s">
        <v>1395</v>
      </c>
      <c r="H487" s="18">
        <v>840</v>
      </c>
      <c r="I487" s="3">
        <v>41803</v>
      </c>
      <c r="J487"/>
      <c r="L487"/>
      <c r="M487"/>
      <c r="N487" s="20"/>
      <c r="O487"/>
      <c r="P487" s="20"/>
      <c r="Q487" s="20"/>
      <c r="R487" s="20"/>
      <c r="S487" s="20"/>
      <c r="T487" s="20"/>
    </row>
    <row r="488" spans="1:20" x14ac:dyDescent="0.25">
      <c r="A488" s="3">
        <v>41803</v>
      </c>
      <c r="B488" s="36">
        <v>54</v>
      </c>
      <c r="C488" t="s">
        <v>1396</v>
      </c>
      <c r="D488">
        <v>7.75</v>
      </c>
      <c r="E488" s="18">
        <v>1085</v>
      </c>
      <c r="G488" t="s">
        <v>1397</v>
      </c>
      <c r="H488" s="18">
        <v>1085</v>
      </c>
      <c r="I488" s="3">
        <v>41803</v>
      </c>
      <c r="J488"/>
      <c r="L488"/>
      <c r="M488"/>
      <c r="N488" s="20"/>
      <c r="O488"/>
      <c r="P488" s="20"/>
      <c r="Q488" s="20"/>
      <c r="R488" s="20"/>
      <c r="S488" s="20"/>
      <c r="T488" s="20"/>
    </row>
    <row r="489" spans="1:20" x14ac:dyDescent="0.25">
      <c r="A489" s="3">
        <v>41803</v>
      </c>
      <c r="B489" s="36">
        <v>54</v>
      </c>
      <c r="C489" t="s">
        <v>1398</v>
      </c>
      <c r="D489">
        <v>6</v>
      </c>
      <c r="E489" s="18">
        <v>840</v>
      </c>
      <c r="G489" t="s">
        <v>1399</v>
      </c>
      <c r="H489" s="18">
        <v>840</v>
      </c>
      <c r="I489" s="3">
        <v>41803</v>
      </c>
      <c r="J489"/>
      <c r="L489"/>
      <c r="M489"/>
      <c r="N489" s="20"/>
      <c r="O489"/>
      <c r="P489" s="20"/>
      <c r="Q489" s="20"/>
      <c r="R489" s="20"/>
      <c r="S489" s="20"/>
      <c r="T489" s="20"/>
    </row>
    <row r="490" spans="1:20" x14ac:dyDescent="0.25">
      <c r="A490" s="3">
        <v>41803</v>
      </c>
      <c r="B490" s="36">
        <v>54</v>
      </c>
      <c r="C490" t="s">
        <v>1400</v>
      </c>
      <c r="D490">
        <v>6.25</v>
      </c>
      <c r="E490" s="18">
        <v>875</v>
      </c>
      <c r="G490" t="s">
        <v>1401</v>
      </c>
      <c r="H490" s="18">
        <v>875</v>
      </c>
      <c r="I490" s="3">
        <v>41803</v>
      </c>
      <c r="J490"/>
      <c r="L490"/>
      <c r="M490"/>
      <c r="N490" s="20"/>
      <c r="O490"/>
      <c r="P490" s="20"/>
      <c r="Q490" s="20"/>
      <c r="R490" s="20"/>
      <c r="S490" s="20"/>
      <c r="T490" s="20"/>
    </row>
    <row r="491" spans="1:20" x14ac:dyDescent="0.25">
      <c r="A491" s="3">
        <v>41803</v>
      </c>
      <c r="B491" s="36">
        <v>54</v>
      </c>
      <c r="C491" t="s">
        <v>1402</v>
      </c>
      <c r="D491">
        <v>7</v>
      </c>
      <c r="E491" s="18">
        <v>980</v>
      </c>
      <c r="G491" t="s">
        <v>1403</v>
      </c>
      <c r="H491" s="18">
        <v>980</v>
      </c>
      <c r="I491" s="3">
        <v>41803</v>
      </c>
      <c r="J491"/>
      <c r="L491"/>
      <c r="M491"/>
      <c r="N491" s="20"/>
      <c r="O491"/>
      <c r="P491" s="20"/>
      <c r="Q491" s="20"/>
      <c r="R491" s="20"/>
      <c r="S491" s="20"/>
      <c r="T491" s="20"/>
    </row>
    <row r="492" spans="1:20" x14ac:dyDescent="0.25">
      <c r="A492" s="3">
        <v>41803</v>
      </c>
      <c r="B492" s="36">
        <v>54</v>
      </c>
      <c r="C492" t="s">
        <v>1404</v>
      </c>
      <c r="D492">
        <v>10</v>
      </c>
      <c r="E492" s="18">
        <v>1400</v>
      </c>
      <c r="G492" t="s">
        <v>1405</v>
      </c>
      <c r="H492" s="18">
        <v>1400</v>
      </c>
      <c r="I492" s="3">
        <v>41803</v>
      </c>
      <c r="J492"/>
      <c r="L492"/>
      <c r="M492"/>
      <c r="N492" s="20"/>
      <c r="O492"/>
      <c r="P492" s="20"/>
      <c r="Q492" s="20"/>
      <c r="R492" s="20"/>
      <c r="S492" s="20"/>
      <c r="T492" s="20"/>
    </row>
    <row r="493" spans="1:20" x14ac:dyDescent="0.25">
      <c r="A493" s="3">
        <v>41803</v>
      </c>
      <c r="B493" s="36">
        <v>54</v>
      </c>
      <c r="C493" t="s">
        <v>1406</v>
      </c>
      <c r="D493">
        <v>10</v>
      </c>
      <c r="E493" s="18">
        <v>1400</v>
      </c>
      <c r="G493" t="s">
        <v>1407</v>
      </c>
      <c r="H493" s="18">
        <v>1400</v>
      </c>
      <c r="I493" s="3">
        <v>41803</v>
      </c>
      <c r="J493"/>
      <c r="L493"/>
      <c r="M493"/>
      <c r="N493" s="20"/>
      <c r="O493"/>
      <c r="P493" s="20"/>
      <c r="Q493" s="20"/>
      <c r="R493" s="20"/>
      <c r="S493" s="20"/>
      <c r="T493" s="20"/>
    </row>
    <row r="494" spans="1:20" x14ac:dyDescent="0.25">
      <c r="A494" s="3">
        <v>41803</v>
      </c>
      <c r="B494" s="36">
        <v>54</v>
      </c>
      <c r="C494" t="s">
        <v>1408</v>
      </c>
      <c r="D494">
        <v>8.75</v>
      </c>
      <c r="E494" s="18">
        <v>1225</v>
      </c>
      <c r="G494" t="s">
        <v>1409</v>
      </c>
      <c r="H494" s="18">
        <v>1225</v>
      </c>
      <c r="I494" s="3">
        <v>41803</v>
      </c>
      <c r="J494"/>
      <c r="L494"/>
      <c r="M494"/>
      <c r="N494" s="20"/>
      <c r="O494"/>
      <c r="P494" s="20"/>
      <c r="Q494" s="20"/>
      <c r="R494" s="20"/>
      <c r="S494" s="20"/>
      <c r="T494" s="20"/>
    </row>
    <row r="495" spans="1:20" x14ac:dyDescent="0.25">
      <c r="A495" s="3">
        <v>41803</v>
      </c>
      <c r="B495" s="36">
        <v>54</v>
      </c>
      <c r="C495" t="s">
        <v>1410</v>
      </c>
      <c r="D495">
        <v>4.75</v>
      </c>
      <c r="E495" s="18">
        <v>665</v>
      </c>
      <c r="G495" t="s">
        <v>1411</v>
      </c>
      <c r="H495" s="18">
        <v>665</v>
      </c>
      <c r="I495" s="3">
        <v>41803</v>
      </c>
      <c r="J495"/>
      <c r="L495"/>
      <c r="M495"/>
      <c r="N495" s="20"/>
      <c r="O495"/>
      <c r="P495" s="20"/>
      <c r="Q495" s="20"/>
      <c r="R495" s="20"/>
      <c r="S495" s="20"/>
      <c r="T495" s="20"/>
    </row>
    <row r="496" spans="1:20" x14ac:dyDescent="0.25">
      <c r="A496" s="3">
        <v>41803</v>
      </c>
      <c r="B496" s="36">
        <v>54</v>
      </c>
      <c r="C496" t="s">
        <v>1412</v>
      </c>
      <c r="D496">
        <v>10</v>
      </c>
      <c r="E496" s="18">
        <v>1400</v>
      </c>
      <c r="G496" t="s">
        <v>1413</v>
      </c>
      <c r="H496" s="18">
        <v>1400</v>
      </c>
      <c r="I496" s="3">
        <v>41803</v>
      </c>
      <c r="J496"/>
      <c r="L496"/>
      <c r="M496"/>
      <c r="N496" s="20"/>
      <c r="O496"/>
      <c r="P496" s="20"/>
      <c r="Q496" s="20"/>
      <c r="R496" s="20"/>
      <c r="S496" s="20"/>
      <c r="T496" s="20"/>
    </row>
    <row r="497" spans="1:21" x14ac:dyDescent="0.25">
      <c r="A497" s="3">
        <v>41803</v>
      </c>
      <c r="B497" s="36">
        <v>54</v>
      </c>
      <c r="C497" t="s">
        <v>1414</v>
      </c>
      <c r="D497">
        <v>8.5</v>
      </c>
      <c r="E497" s="18">
        <v>1190</v>
      </c>
      <c r="G497" t="s">
        <v>1415</v>
      </c>
      <c r="H497" s="18">
        <v>1190</v>
      </c>
      <c r="I497" s="3">
        <v>41803</v>
      </c>
      <c r="J497"/>
      <c r="L497"/>
      <c r="M497"/>
      <c r="N497" s="20"/>
      <c r="O497"/>
      <c r="P497" s="20"/>
      <c r="Q497" s="20"/>
      <c r="R497" s="20"/>
      <c r="S497" s="20"/>
      <c r="T497" s="20"/>
    </row>
    <row r="498" spans="1:21" x14ac:dyDescent="0.25">
      <c r="A498" s="3">
        <v>41803</v>
      </c>
      <c r="B498" s="36">
        <v>54</v>
      </c>
      <c r="C498" t="s">
        <v>1416</v>
      </c>
      <c r="D498">
        <v>10</v>
      </c>
      <c r="E498" s="18">
        <v>1400</v>
      </c>
      <c r="G498" t="s">
        <v>1417</v>
      </c>
      <c r="H498" s="18">
        <v>1400</v>
      </c>
      <c r="I498" s="3">
        <v>41803</v>
      </c>
      <c r="J498"/>
      <c r="L498"/>
      <c r="M498"/>
      <c r="N498" s="20"/>
      <c r="O498"/>
      <c r="P498" s="20"/>
      <c r="Q498" s="20"/>
      <c r="R498" s="20"/>
      <c r="S498" s="20"/>
      <c r="T498" s="20"/>
    </row>
    <row r="499" spans="1:21" x14ac:dyDescent="0.25">
      <c r="A499" s="3">
        <v>41803</v>
      </c>
      <c r="B499" s="36">
        <v>54</v>
      </c>
      <c r="C499" t="s">
        <v>1418</v>
      </c>
      <c r="D499">
        <v>8.25</v>
      </c>
      <c r="E499" s="18">
        <v>1155</v>
      </c>
      <c r="G499" t="s">
        <v>1419</v>
      </c>
      <c r="H499" s="18">
        <v>1155</v>
      </c>
      <c r="I499" s="3">
        <v>41803</v>
      </c>
      <c r="J499"/>
      <c r="L499"/>
      <c r="M499"/>
      <c r="N499" s="20"/>
      <c r="O499"/>
      <c r="P499" s="20"/>
      <c r="Q499" s="20"/>
      <c r="R499" s="20"/>
      <c r="S499" s="20"/>
      <c r="T499" s="20"/>
    </row>
    <row r="500" spans="1:21" x14ac:dyDescent="0.25">
      <c r="A500" s="3">
        <v>41803</v>
      </c>
      <c r="B500" s="36">
        <v>54</v>
      </c>
      <c r="C500" t="s">
        <v>1420</v>
      </c>
      <c r="D500">
        <v>4.25</v>
      </c>
      <c r="E500" s="18">
        <v>595</v>
      </c>
      <c r="G500" t="s">
        <v>1421</v>
      </c>
      <c r="H500" s="18">
        <v>595</v>
      </c>
      <c r="I500" s="3">
        <v>41803</v>
      </c>
      <c r="J500"/>
      <c r="L500"/>
      <c r="M500"/>
      <c r="N500" s="20"/>
      <c r="O500"/>
      <c r="P500" s="20"/>
      <c r="Q500" s="20"/>
      <c r="R500" s="20"/>
      <c r="S500" s="20"/>
      <c r="T500" s="20"/>
    </row>
    <row r="501" spans="1:21" x14ac:dyDescent="0.25">
      <c r="A501" s="3">
        <v>41803</v>
      </c>
      <c r="B501" s="36">
        <v>54</v>
      </c>
      <c r="C501" t="s">
        <v>1422</v>
      </c>
      <c r="D501">
        <v>7.5</v>
      </c>
      <c r="E501" s="18">
        <v>1050</v>
      </c>
      <c r="G501" t="s">
        <v>1423</v>
      </c>
      <c r="H501" s="18">
        <v>1050</v>
      </c>
      <c r="I501" s="3">
        <v>41803</v>
      </c>
      <c r="J501"/>
      <c r="L501"/>
      <c r="M501"/>
      <c r="N501" s="20"/>
      <c r="O501"/>
      <c r="P501" s="20"/>
      <c r="Q501" s="20"/>
      <c r="R501" s="20"/>
      <c r="S501" s="20"/>
      <c r="T501" s="20"/>
    </row>
    <row r="502" spans="1:21" x14ac:dyDescent="0.25">
      <c r="A502" s="3">
        <v>41803</v>
      </c>
      <c r="B502" s="36">
        <v>54</v>
      </c>
      <c r="C502" t="s">
        <v>1424</v>
      </c>
      <c r="D502">
        <v>8.5</v>
      </c>
      <c r="E502" s="18">
        <v>1190</v>
      </c>
      <c r="G502" t="s">
        <v>1425</v>
      </c>
      <c r="H502" s="18">
        <v>1190</v>
      </c>
      <c r="I502" s="3">
        <v>41803</v>
      </c>
      <c r="J502"/>
      <c r="L502"/>
      <c r="M502"/>
      <c r="N502" s="20"/>
      <c r="O502"/>
      <c r="P502" s="20"/>
      <c r="Q502" s="20"/>
      <c r="R502" s="20"/>
      <c r="S502" s="20"/>
      <c r="T502" s="20"/>
    </row>
    <row r="503" spans="1:21" x14ac:dyDescent="0.25">
      <c r="B503">
        <v>54</v>
      </c>
      <c r="C503" t="s">
        <v>1426</v>
      </c>
      <c r="D503">
        <v>5</v>
      </c>
      <c r="E503" s="18">
        <v>525</v>
      </c>
      <c r="F503" t="s">
        <v>889</v>
      </c>
      <c r="G503" t="s">
        <v>1427</v>
      </c>
      <c r="I503"/>
      <c r="J503"/>
      <c r="L503"/>
      <c r="M503"/>
      <c r="O503"/>
      <c r="P503" s="20"/>
      <c r="Q503" s="20"/>
      <c r="R503" s="20"/>
      <c r="S503" s="20"/>
      <c r="T503" s="20"/>
      <c r="U503" t="s">
        <v>401</v>
      </c>
    </row>
    <row r="504" spans="1:21" x14ac:dyDescent="0.25">
      <c r="B504">
        <v>54</v>
      </c>
      <c r="C504" t="s">
        <v>1426</v>
      </c>
      <c r="D504">
        <v>5</v>
      </c>
      <c r="E504" s="18">
        <v>-525</v>
      </c>
      <c r="F504" t="s">
        <v>889</v>
      </c>
      <c r="G504" t="s">
        <v>1427</v>
      </c>
      <c r="I504"/>
      <c r="J504"/>
      <c r="L504"/>
      <c r="M504"/>
      <c r="O504"/>
      <c r="P504" s="20"/>
      <c r="Q504" s="20"/>
      <c r="R504" s="20"/>
      <c r="S504" s="20"/>
      <c r="T504" s="20"/>
      <c r="U504" t="s">
        <v>401</v>
      </c>
    </row>
    <row r="505" spans="1:21" x14ac:dyDescent="0.25">
      <c r="B505">
        <v>54</v>
      </c>
      <c r="C505" t="s">
        <v>1428</v>
      </c>
      <c r="D505">
        <v>7.5</v>
      </c>
      <c r="E505" s="18">
        <v>750</v>
      </c>
      <c r="F505" t="s">
        <v>889</v>
      </c>
      <c r="G505" t="s">
        <v>1429</v>
      </c>
      <c r="I505"/>
      <c r="J505"/>
      <c r="L505"/>
      <c r="M505"/>
      <c r="O505"/>
      <c r="P505" s="20"/>
      <c r="Q505" s="20"/>
      <c r="R505" s="20"/>
      <c r="S505" s="20"/>
      <c r="T505" s="20"/>
      <c r="U505" t="s">
        <v>401</v>
      </c>
    </row>
    <row r="506" spans="1:21" x14ac:dyDescent="0.25">
      <c r="B506">
        <v>54</v>
      </c>
      <c r="C506" t="s">
        <v>1376</v>
      </c>
      <c r="D506">
        <v>9.5</v>
      </c>
      <c r="E506" s="18">
        <v>-1330</v>
      </c>
      <c r="F506" t="s">
        <v>889</v>
      </c>
      <c r="G506" t="s">
        <v>1377</v>
      </c>
      <c r="I506"/>
      <c r="J506"/>
      <c r="L506"/>
      <c r="M506"/>
      <c r="O506"/>
      <c r="P506" s="20"/>
      <c r="Q506" s="20"/>
      <c r="R506" s="20"/>
      <c r="S506" s="20"/>
      <c r="T506" s="20"/>
      <c r="U506" t="s">
        <v>401</v>
      </c>
    </row>
    <row r="507" spans="1:21" x14ac:dyDescent="0.25">
      <c r="B507">
        <v>54</v>
      </c>
      <c r="C507" t="s">
        <v>1378</v>
      </c>
      <c r="D507">
        <v>10</v>
      </c>
      <c r="E507" s="18">
        <v>-1400</v>
      </c>
      <c r="G507" t="s">
        <v>1379</v>
      </c>
      <c r="I507"/>
      <c r="J507"/>
      <c r="L507"/>
      <c r="M507"/>
      <c r="O507"/>
      <c r="P507" s="20"/>
      <c r="Q507" s="20"/>
      <c r="R507" s="20"/>
      <c r="S507" s="20"/>
      <c r="T507" s="20"/>
      <c r="U507" t="s">
        <v>401</v>
      </c>
    </row>
    <row r="508" spans="1:21" x14ac:dyDescent="0.25">
      <c r="B508">
        <v>54</v>
      </c>
      <c r="C508" t="s">
        <v>1392</v>
      </c>
      <c r="D508">
        <v>10</v>
      </c>
      <c r="E508" s="18">
        <v>-1400</v>
      </c>
      <c r="F508" t="s">
        <v>889</v>
      </c>
      <c r="G508" t="s">
        <v>1393</v>
      </c>
      <c r="I508"/>
      <c r="J508"/>
      <c r="L508"/>
      <c r="M508"/>
      <c r="O508"/>
      <c r="P508" s="20"/>
      <c r="Q508" s="20"/>
      <c r="R508" s="20"/>
      <c r="S508" s="20"/>
      <c r="T508" s="20"/>
      <c r="U508" t="s">
        <v>401</v>
      </c>
    </row>
    <row r="509" spans="1:21" x14ac:dyDescent="0.25">
      <c r="B509">
        <v>54</v>
      </c>
      <c r="C509" t="s">
        <v>1357</v>
      </c>
      <c r="D509">
        <v>10.5</v>
      </c>
      <c r="E509" s="18">
        <v>700</v>
      </c>
      <c r="F509" t="s">
        <v>889</v>
      </c>
      <c r="G509" t="s">
        <v>1358</v>
      </c>
      <c r="I509"/>
      <c r="J509"/>
      <c r="L509"/>
      <c r="M509"/>
      <c r="O509"/>
      <c r="P509" s="20"/>
      <c r="Q509" s="20"/>
      <c r="R509" s="20"/>
      <c r="S509" s="20"/>
      <c r="T509" s="20"/>
      <c r="U509" t="s">
        <v>401</v>
      </c>
    </row>
    <row r="510" spans="1:21" x14ac:dyDescent="0.25">
      <c r="B510">
        <v>54</v>
      </c>
      <c r="C510" t="s">
        <v>1394</v>
      </c>
      <c r="D510">
        <v>6</v>
      </c>
      <c r="E510" s="18">
        <v>-840</v>
      </c>
      <c r="F510" t="s">
        <v>889</v>
      </c>
      <c r="G510" t="s">
        <v>1395</v>
      </c>
      <c r="I510"/>
      <c r="J510"/>
      <c r="L510"/>
      <c r="M510"/>
      <c r="O510"/>
      <c r="P510" s="20"/>
      <c r="Q510" s="20"/>
      <c r="R510" s="20"/>
      <c r="S510" s="20"/>
      <c r="T510" s="20"/>
      <c r="U510" t="s">
        <v>401</v>
      </c>
    </row>
    <row r="511" spans="1:21" x14ac:dyDescent="0.25">
      <c r="B511">
        <v>54</v>
      </c>
      <c r="C511" t="s">
        <v>1396</v>
      </c>
      <c r="D511">
        <v>7.5</v>
      </c>
      <c r="E511" s="18">
        <v>-1085</v>
      </c>
      <c r="F511" t="s">
        <v>889</v>
      </c>
      <c r="G511" t="s">
        <v>1397</v>
      </c>
      <c r="I511"/>
      <c r="J511"/>
      <c r="L511"/>
      <c r="M511"/>
      <c r="O511"/>
      <c r="P511" s="20"/>
      <c r="Q511" s="20"/>
      <c r="R511" s="20"/>
      <c r="S511" s="20"/>
      <c r="T511" s="20"/>
      <c r="U511" t="s">
        <v>401</v>
      </c>
    </row>
    <row r="512" spans="1:21" x14ac:dyDescent="0.25">
      <c r="B512">
        <v>54</v>
      </c>
      <c r="C512" t="s">
        <v>1359</v>
      </c>
      <c r="D512">
        <v>8.5</v>
      </c>
      <c r="E512" s="18">
        <v>-1190</v>
      </c>
      <c r="F512" t="s">
        <v>889</v>
      </c>
      <c r="G512" t="s">
        <v>1360</v>
      </c>
      <c r="I512"/>
      <c r="J512"/>
      <c r="L512"/>
      <c r="M512"/>
      <c r="O512"/>
      <c r="P512" s="20"/>
      <c r="Q512" s="20"/>
      <c r="R512" s="20"/>
      <c r="S512" s="20"/>
      <c r="T512" s="20"/>
      <c r="U512" t="s">
        <v>401</v>
      </c>
    </row>
    <row r="513" spans="2:21" x14ac:dyDescent="0.25">
      <c r="B513">
        <v>54</v>
      </c>
      <c r="C513" t="s">
        <v>1361</v>
      </c>
      <c r="D513">
        <v>7.5</v>
      </c>
      <c r="E513" s="18">
        <v>-1050</v>
      </c>
      <c r="G513" t="s">
        <v>1362</v>
      </c>
      <c r="I513"/>
      <c r="J513"/>
      <c r="L513"/>
      <c r="M513"/>
      <c r="O513"/>
      <c r="P513" s="20"/>
      <c r="Q513" s="20"/>
      <c r="R513" s="20"/>
      <c r="S513" s="20"/>
      <c r="T513" s="20"/>
      <c r="U513" t="s">
        <v>401</v>
      </c>
    </row>
    <row r="514" spans="2:21" x14ac:dyDescent="0.25">
      <c r="B514">
        <v>54</v>
      </c>
      <c r="C514" t="s">
        <v>1400</v>
      </c>
      <c r="D514">
        <v>5.5</v>
      </c>
      <c r="E514" s="18">
        <v>-875</v>
      </c>
      <c r="F514" t="s">
        <v>889</v>
      </c>
      <c r="G514" t="s">
        <v>1401</v>
      </c>
      <c r="I514"/>
      <c r="J514"/>
      <c r="L514"/>
      <c r="M514"/>
      <c r="O514"/>
      <c r="P514" s="20"/>
      <c r="Q514" s="20"/>
      <c r="R514" s="20"/>
      <c r="S514" s="20"/>
      <c r="T514" s="20"/>
      <c r="U514" t="s">
        <v>401</v>
      </c>
    </row>
    <row r="515" spans="2:21" x14ac:dyDescent="0.25">
      <c r="B515">
        <v>54</v>
      </c>
      <c r="C515" t="s">
        <v>1382</v>
      </c>
      <c r="D515">
        <v>9.75</v>
      </c>
      <c r="E515" s="18">
        <v>-665</v>
      </c>
      <c r="F515" t="s">
        <v>889</v>
      </c>
      <c r="G515" t="s">
        <v>1383</v>
      </c>
      <c r="I515"/>
      <c r="J515"/>
      <c r="L515"/>
      <c r="M515"/>
      <c r="O515"/>
      <c r="P515" s="20"/>
      <c r="Q515" s="20"/>
      <c r="R515" s="20"/>
      <c r="S515" s="20"/>
      <c r="T515" s="20"/>
      <c r="U515" t="s">
        <v>401</v>
      </c>
    </row>
    <row r="516" spans="2:21" x14ac:dyDescent="0.25">
      <c r="B516">
        <v>54</v>
      </c>
      <c r="C516" t="s">
        <v>1402</v>
      </c>
      <c r="D516">
        <v>7.5</v>
      </c>
      <c r="E516" s="18">
        <v>520</v>
      </c>
      <c r="F516" t="s">
        <v>889</v>
      </c>
      <c r="G516" t="s">
        <v>1403</v>
      </c>
      <c r="I516"/>
      <c r="J516"/>
      <c r="L516"/>
      <c r="M516"/>
      <c r="O516"/>
      <c r="P516" s="20"/>
      <c r="Q516" s="20"/>
      <c r="R516" s="20"/>
      <c r="S516" s="20"/>
      <c r="T516" s="20"/>
      <c r="U516" t="s">
        <v>401</v>
      </c>
    </row>
    <row r="517" spans="2:21" x14ac:dyDescent="0.25">
      <c r="B517">
        <v>54</v>
      </c>
      <c r="C517" t="s">
        <v>1404</v>
      </c>
      <c r="D517">
        <v>10</v>
      </c>
      <c r="E517" s="18">
        <v>-1400</v>
      </c>
      <c r="F517" t="s">
        <v>889</v>
      </c>
      <c r="G517" t="s">
        <v>1405</v>
      </c>
      <c r="I517"/>
      <c r="J517"/>
      <c r="L517"/>
      <c r="M517"/>
      <c r="O517"/>
      <c r="P517" s="20"/>
      <c r="Q517" s="20"/>
      <c r="R517" s="20"/>
      <c r="S517" s="20"/>
      <c r="T517" s="20"/>
      <c r="U517" t="s">
        <v>401</v>
      </c>
    </row>
    <row r="518" spans="2:21" x14ac:dyDescent="0.25">
      <c r="B518">
        <v>54</v>
      </c>
      <c r="C518" t="s">
        <v>1406</v>
      </c>
      <c r="D518">
        <v>10</v>
      </c>
      <c r="E518" s="18">
        <v>200</v>
      </c>
      <c r="F518" t="s">
        <v>889</v>
      </c>
      <c r="G518" t="s">
        <v>1407</v>
      </c>
      <c r="I518"/>
      <c r="J518"/>
      <c r="L518"/>
      <c r="M518"/>
      <c r="O518"/>
      <c r="P518" s="20"/>
      <c r="Q518" s="20"/>
      <c r="R518" s="20"/>
      <c r="S518" s="20"/>
      <c r="T518" s="20"/>
      <c r="U518" t="s">
        <v>401</v>
      </c>
    </row>
    <row r="519" spans="2:21" x14ac:dyDescent="0.25">
      <c r="B519">
        <v>54</v>
      </c>
      <c r="C519" t="s">
        <v>1406</v>
      </c>
      <c r="E519" s="18">
        <v>200</v>
      </c>
      <c r="G519" t="s">
        <v>1407</v>
      </c>
      <c r="I519"/>
      <c r="J519"/>
      <c r="L519"/>
      <c r="M519"/>
      <c r="O519"/>
      <c r="P519" s="20"/>
      <c r="Q519" s="20"/>
      <c r="R519" s="20"/>
      <c r="S519" s="20"/>
      <c r="T519" s="20"/>
      <c r="U519" t="s">
        <v>401</v>
      </c>
    </row>
    <row r="520" spans="2:21" x14ac:dyDescent="0.25">
      <c r="B520">
        <v>54</v>
      </c>
      <c r="C520" t="s">
        <v>1408</v>
      </c>
      <c r="D520">
        <v>8.75</v>
      </c>
      <c r="E520" s="18">
        <v>-1225</v>
      </c>
      <c r="F520" t="s">
        <v>889</v>
      </c>
      <c r="G520" t="s">
        <v>1409</v>
      </c>
      <c r="I520"/>
      <c r="J520"/>
      <c r="L520"/>
      <c r="M520"/>
      <c r="O520"/>
      <c r="P520" s="20"/>
      <c r="Q520" s="20"/>
      <c r="R520" s="20"/>
      <c r="S520" s="20"/>
      <c r="T520" s="20"/>
      <c r="U520" t="s">
        <v>401</v>
      </c>
    </row>
    <row r="521" spans="2:21" x14ac:dyDescent="0.25">
      <c r="B521">
        <v>54</v>
      </c>
      <c r="C521" t="s">
        <v>1410</v>
      </c>
      <c r="D521">
        <v>4.75</v>
      </c>
      <c r="E521" s="18">
        <v>-665</v>
      </c>
      <c r="F521" t="s">
        <v>889</v>
      </c>
      <c r="G521" t="s">
        <v>1411</v>
      </c>
      <c r="I521"/>
      <c r="J521"/>
      <c r="L521"/>
      <c r="M521"/>
      <c r="O521"/>
      <c r="P521" s="20"/>
      <c r="Q521" s="20"/>
      <c r="R521" s="20"/>
      <c r="S521" s="20"/>
      <c r="T521" s="20"/>
      <c r="U521" t="s">
        <v>401</v>
      </c>
    </row>
    <row r="522" spans="2:21" x14ac:dyDescent="0.25">
      <c r="B522">
        <v>54</v>
      </c>
      <c r="C522" t="s">
        <v>1410</v>
      </c>
      <c r="D522">
        <v>5.25</v>
      </c>
      <c r="E522" s="18">
        <v>525</v>
      </c>
      <c r="F522" t="s">
        <v>889</v>
      </c>
      <c r="G522" t="s">
        <v>1411</v>
      </c>
      <c r="I522"/>
      <c r="J522"/>
      <c r="L522"/>
      <c r="M522"/>
      <c r="O522"/>
      <c r="P522" s="20"/>
      <c r="Q522" s="20"/>
      <c r="R522" s="20"/>
      <c r="S522" s="20"/>
      <c r="T522" s="20"/>
      <c r="U522" t="s">
        <v>401</v>
      </c>
    </row>
    <row r="523" spans="2:21" x14ac:dyDescent="0.25">
      <c r="B523">
        <v>54</v>
      </c>
      <c r="C523" t="s">
        <v>1363</v>
      </c>
      <c r="D523">
        <v>9.5</v>
      </c>
      <c r="E523" s="18">
        <v>166.66666666666666</v>
      </c>
      <c r="F523" t="s">
        <v>889</v>
      </c>
      <c r="G523" t="s">
        <v>1364</v>
      </c>
      <c r="I523"/>
      <c r="J523"/>
      <c r="L523"/>
      <c r="M523"/>
      <c r="O523"/>
      <c r="P523" s="20"/>
      <c r="Q523" s="20"/>
      <c r="R523" s="20"/>
      <c r="S523" s="20"/>
      <c r="T523" s="20"/>
      <c r="U523" t="s">
        <v>401</v>
      </c>
    </row>
    <row r="524" spans="2:21" x14ac:dyDescent="0.25">
      <c r="B524">
        <v>54</v>
      </c>
      <c r="C524" t="s">
        <v>1363</v>
      </c>
      <c r="E524" s="18">
        <v>166.66666666666666</v>
      </c>
      <c r="G524" t="s">
        <v>1364</v>
      </c>
      <c r="I524"/>
      <c r="J524"/>
      <c r="L524"/>
      <c r="M524"/>
      <c r="O524"/>
      <c r="P524" s="20"/>
      <c r="Q524" s="20"/>
      <c r="R524" s="20"/>
      <c r="S524" s="20"/>
      <c r="T524" s="20"/>
      <c r="U524" t="s">
        <v>401</v>
      </c>
    </row>
    <row r="525" spans="2:21" x14ac:dyDescent="0.25">
      <c r="B525">
        <v>54</v>
      </c>
      <c r="C525" t="s">
        <v>1384</v>
      </c>
      <c r="D525">
        <v>8.75</v>
      </c>
      <c r="E525" s="18">
        <v>-1225</v>
      </c>
      <c r="G525" t="s">
        <v>1385</v>
      </c>
      <c r="I525"/>
      <c r="J525"/>
      <c r="L525"/>
      <c r="M525"/>
      <c r="O525"/>
      <c r="P525" s="20"/>
      <c r="Q525" s="20"/>
      <c r="R525" s="20"/>
      <c r="S525" s="20"/>
      <c r="T525" s="20"/>
      <c r="U525" t="s">
        <v>401</v>
      </c>
    </row>
    <row r="526" spans="2:21" x14ac:dyDescent="0.25">
      <c r="B526">
        <v>54</v>
      </c>
      <c r="C526" t="s">
        <v>1414</v>
      </c>
      <c r="D526">
        <v>7.25</v>
      </c>
      <c r="E526" s="18">
        <v>-1190</v>
      </c>
      <c r="F526" t="s">
        <v>889</v>
      </c>
      <c r="G526" t="s">
        <v>1415</v>
      </c>
      <c r="I526"/>
      <c r="J526"/>
      <c r="L526"/>
      <c r="M526"/>
      <c r="O526"/>
      <c r="P526" s="20"/>
      <c r="Q526" s="20"/>
      <c r="R526" s="20"/>
      <c r="S526" s="20"/>
      <c r="T526" s="20"/>
      <c r="U526" t="s">
        <v>401</v>
      </c>
    </row>
    <row r="527" spans="2:21" x14ac:dyDescent="0.25">
      <c r="B527">
        <v>54</v>
      </c>
      <c r="C527" t="s">
        <v>1414</v>
      </c>
      <c r="D527">
        <v>7.25</v>
      </c>
      <c r="E527" s="18">
        <v>725</v>
      </c>
      <c r="F527" t="s">
        <v>889</v>
      </c>
      <c r="G527" t="s">
        <v>1415</v>
      </c>
      <c r="I527"/>
      <c r="J527"/>
      <c r="L527"/>
      <c r="M527"/>
      <c r="O527"/>
      <c r="P527" s="20"/>
      <c r="Q527" s="20"/>
      <c r="R527" s="20"/>
      <c r="S527" s="20"/>
      <c r="T527" s="20"/>
      <c r="U527" t="s">
        <v>401</v>
      </c>
    </row>
    <row r="528" spans="2:21" x14ac:dyDescent="0.25">
      <c r="B528">
        <v>54</v>
      </c>
      <c r="C528" t="s">
        <v>1365</v>
      </c>
      <c r="D528">
        <v>8.75</v>
      </c>
      <c r="E528" s="18">
        <v>175</v>
      </c>
      <c r="F528" t="s">
        <v>889</v>
      </c>
      <c r="G528" t="s">
        <v>1366</v>
      </c>
      <c r="I528"/>
      <c r="J528"/>
      <c r="L528"/>
      <c r="M528"/>
      <c r="O528"/>
      <c r="P528" s="20"/>
      <c r="Q528" s="20"/>
      <c r="R528" s="20"/>
      <c r="S528" s="20"/>
      <c r="T528" s="20"/>
      <c r="U528" t="s">
        <v>401</v>
      </c>
    </row>
    <row r="529" spans="1:21" x14ac:dyDescent="0.25">
      <c r="B529">
        <v>54</v>
      </c>
      <c r="C529" t="s">
        <v>1365</v>
      </c>
      <c r="E529" s="18">
        <v>175</v>
      </c>
      <c r="G529" t="s">
        <v>1366</v>
      </c>
      <c r="I529"/>
      <c r="J529"/>
      <c r="L529"/>
      <c r="M529"/>
      <c r="O529"/>
      <c r="P529" s="20"/>
      <c r="Q529" s="20"/>
      <c r="R529" s="20"/>
      <c r="S529" s="20"/>
      <c r="T529" s="20"/>
      <c r="U529" t="s">
        <v>401</v>
      </c>
    </row>
    <row r="530" spans="1:21" x14ac:dyDescent="0.25">
      <c r="B530">
        <v>54</v>
      </c>
      <c r="C530" t="s">
        <v>1430</v>
      </c>
      <c r="E530" s="18">
        <v>650</v>
      </c>
      <c r="F530" t="s">
        <v>889</v>
      </c>
      <c r="G530" t="s">
        <v>1389</v>
      </c>
      <c r="I530"/>
      <c r="J530"/>
      <c r="L530"/>
      <c r="M530"/>
      <c r="O530"/>
      <c r="P530" s="20"/>
      <c r="Q530" s="20"/>
      <c r="R530" s="20"/>
      <c r="S530" s="20"/>
      <c r="T530" s="20"/>
      <c r="U530" t="s">
        <v>401</v>
      </c>
    </row>
    <row r="531" spans="1:21" x14ac:dyDescent="0.25">
      <c r="B531">
        <v>54</v>
      </c>
      <c r="C531" t="s">
        <v>1368</v>
      </c>
      <c r="D531">
        <v>10</v>
      </c>
      <c r="E531" s="18">
        <v>-1400</v>
      </c>
      <c r="G531" t="s">
        <v>1369</v>
      </c>
      <c r="I531"/>
      <c r="J531"/>
      <c r="L531"/>
      <c r="M531"/>
      <c r="O531"/>
      <c r="P531" s="20"/>
      <c r="Q531" s="20"/>
      <c r="R531" s="20"/>
      <c r="S531" s="20"/>
      <c r="T531" s="20"/>
      <c r="U531" t="s">
        <v>401</v>
      </c>
    </row>
    <row r="532" spans="1:21" x14ac:dyDescent="0.25">
      <c r="B532">
        <v>54</v>
      </c>
      <c r="C532" t="s">
        <v>1416</v>
      </c>
      <c r="D532">
        <v>9.75</v>
      </c>
      <c r="E532" s="18">
        <v>550</v>
      </c>
      <c r="F532" t="s">
        <v>889</v>
      </c>
      <c r="G532" t="s">
        <v>1417</v>
      </c>
      <c r="I532"/>
      <c r="J532"/>
      <c r="L532"/>
      <c r="M532"/>
      <c r="O532"/>
      <c r="P532" s="20"/>
      <c r="Q532" s="20"/>
      <c r="R532" s="20"/>
      <c r="S532" s="20"/>
      <c r="T532" s="20"/>
      <c r="U532" t="s">
        <v>401</v>
      </c>
    </row>
    <row r="533" spans="1:21" x14ac:dyDescent="0.25">
      <c r="B533">
        <v>54</v>
      </c>
      <c r="C533" t="s">
        <v>1370</v>
      </c>
      <c r="D533">
        <v>7.75</v>
      </c>
      <c r="E533" s="18">
        <v>-1085</v>
      </c>
      <c r="G533" t="s">
        <v>1371</v>
      </c>
      <c r="I533"/>
      <c r="J533"/>
      <c r="L533"/>
      <c r="M533"/>
      <c r="O533"/>
      <c r="P533" s="20"/>
      <c r="Q533" s="20"/>
      <c r="R533" s="20"/>
      <c r="S533" s="20"/>
      <c r="T533" s="20"/>
      <c r="U533" t="s">
        <v>401</v>
      </c>
    </row>
    <row r="534" spans="1:21" x14ac:dyDescent="0.25">
      <c r="B534">
        <v>54</v>
      </c>
      <c r="C534" t="s">
        <v>1418</v>
      </c>
      <c r="D534">
        <v>8.25</v>
      </c>
      <c r="E534" s="18">
        <v>-1155</v>
      </c>
      <c r="F534" t="s">
        <v>889</v>
      </c>
      <c r="G534" t="s">
        <v>1419</v>
      </c>
      <c r="I534"/>
      <c r="J534"/>
      <c r="L534"/>
      <c r="M534"/>
      <c r="O534"/>
      <c r="P534" s="20"/>
      <c r="Q534" s="20"/>
      <c r="R534" s="20"/>
      <c r="S534" s="20"/>
      <c r="T534" s="20"/>
      <c r="U534" t="s">
        <v>401</v>
      </c>
    </row>
    <row r="535" spans="1:21" x14ac:dyDescent="0.25">
      <c r="B535">
        <v>54</v>
      </c>
      <c r="C535" t="s">
        <v>1372</v>
      </c>
      <c r="D535">
        <v>9</v>
      </c>
      <c r="E535" s="18">
        <v>-1400</v>
      </c>
      <c r="F535" t="s">
        <v>889</v>
      </c>
      <c r="G535" t="s">
        <v>1373</v>
      </c>
      <c r="I535"/>
      <c r="J535"/>
      <c r="L535"/>
      <c r="M535"/>
      <c r="O535"/>
      <c r="P535" s="20"/>
      <c r="Q535" s="20"/>
      <c r="R535" s="20"/>
      <c r="S535" s="20"/>
      <c r="T535" s="20"/>
      <c r="U535" t="s">
        <v>401</v>
      </c>
    </row>
    <row r="536" spans="1:21" x14ac:dyDescent="0.25">
      <c r="B536">
        <v>54</v>
      </c>
      <c r="C536" t="s">
        <v>1422</v>
      </c>
      <c r="D536">
        <v>7.5</v>
      </c>
      <c r="E536" s="18">
        <v>-1050</v>
      </c>
      <c r="G536" t="s">
        <v>1423</v>
      </c>
      <c r="I536"/>
      <c r="J536"/>
      <c r="L536"/>
      <c r="M536"/>
      <c r="O536"/>
      <c r="P536" s="20"/>
      <c r="Q536" s="20"/>
      <c r="R536" s="20"/>
      <c r="S536" s="20"/>
      <c r="T536" s="20"/>
      <c r="U536" t="s">
        <v>401</v>
      </c>
    </row>
    <row r="537" spans="1:21" x14ac:dyDescent="0.25">
      <c r="B537">
        <v>54</v>
      </c>
      <c r="C537" t="s">
        <v>1386</v>
      </c>
      <c r="D537">
        <v>9.75</v>
      </c>
      <c r="E537" s="18">
        <v>-1365</v>
      </c>
      <c r="G537" t="s">
        <v>1387</v>
      </c>
      <c r="I537"/>
      <c r="J537"/>
      <c r="L537"/>
      <c r="M537"/>
      <c r="O537"/>
      <c r="P537" s="20"/>
      <c r="Q537" s="20"/>
      <c r="R537" s="20"/>
      <c r="S537" s="20"/>
      <c r="T537" s="20"/>
      <c r="U537" t="s">
        <v>401</v>
      </c>
    </row>
    <row r="538" spans="1:21" x14ac:dyDescent="0.25">
      <c r="B538">
        <v>54</v>
      </c>
      <c r="C538" t="s">
        <v>1374</v>
      </c>
      <c r="D538">
        <v>7</v>
      </c>
      <c r="E538" s="18">
        <v>-1015</v>
      </c>
      <c r="F538" t="s">
        <v>889</v>
      </c>
      <c r="G538" t="s">
        <v>1375</v>
      </c>
      <c r="I538"/>
      <c r="J538"/>
      <c r="L538"/>
      <c r="M538"/>
      <c r="O538"/>
      <c r="P538" s="20"/>
      <c r="Q538" s="20"/>
      <c r="R538" s="20"/>
      <c r="S538" s="20"/>
      <c r="T538" s="20"/>
      <c r="U538" t="s">
        <v>401</v>
      </c>
    </row>
    <row r="539" spans="1:21" x14ac:dyDescent="0.25">
      <c r="B539">
        <v>54</v>
      </c>
      <c r="C539" t="s">
        <v>1390</v>
      </c>
      <c r="D539">
        <v>10.75</v>
      </c>
      <c r="E539" s="18">
        <v>-1400</v>
      </c>
      <c r="F539" t="s">
        <v>889</v>
      </c>
      <c r="G539" t="s">
        <v>1391</v>
      </c>
      <c r="I539"/>
      <c r="J539"/>
      <c r="L539"/>
      <c r="M539"/>
      <c r="O539"/>
      <c r="P539" s="20"/>
      <c r="Q539" s="20"/>
      <c r="R539" s="20"/>
      <c r="S539" s="20"/>
      <c r="T539" s="20"/>
      <c r="U539" t="s">
        <v>401</v>
      </c>
    </row>
    <row r="540" spans="1:21" x14ac:dyDescent="0.25">
      <c r="B540">
        <v>54</v>
      </c>
      <c r="C540" t="s">
        <v>1424</v>
      </c>
      <c r="D540">
        <v>8.25</v>
      </c>
      <c r="E540" s="18">
        <v>-1190</v>
      </c>
      <c r="F540" t="s">
        <v>889</v>
      </c>
      <c r="G540" t="s">
        <v>1425</v>
      </c>
      <c r="I540"/>
      <c r="J540"/>
      <c r="L540"/>
      <c r="M540"/>
      <c r="O540"/>
      <c r="P540" s="20"/>
      <c r="Q540" s="20"/>
      <c r="R540" s="20"/>
      <c r="S540" s="20"/>
      <c r="T540" s="20"/>
      <c r="U540" t="s">
        <v>401</v>
      </c>
    </row>
    <row r="541" spans="1:21" x14ac:dyDescent="0.25">
      <c r="A541" s="3">
        <v>41782</v>
      </c>
      <c r="B541" s="36">
        <v>55</v>
      </c>
      <c r="C541" t="s">
        <v>1431</v>
      </c>
      <c r="D541">
        <v>4</v>
      </c>
      <c r="E541" s="18">
        <v>400</v>
      </c>
      <c r="G541" t="s">
        <v>1432</v>
      </c>
      <c r="H541" s="18">
        <v>400</v>
      </c>
      <c r="I541" s="3">
        <v>41782</v>
      </c>
      <c r="J541"/>
      <c r="L541"/>
      <c r="M541"/>
      <c r="N541" s="20"/>
      <c r="O541"/>
      <c r="P541" s="20"/>
      <c r="Q541" s="20"/>
      <c r="R541" s="20"/>
      <c r="S541" s="20"/>
      <c r="T541" s="20"/>
    </row>
    <row r="542" spans="1:21" x14ac:dyDescent="0.25">
      <c r="A542" s="3">
        <v>41782</v>
      </c>
      <c r="B542" s="36">
        <v>55</v>
      </c>
      <c r="C542" t="s">
        <v>1433</v>
      </c>
      <c r="D542">
        <v>7.75</v>
      </c>
      <c r="E542" s="18">
        <v>775</v>
      </c>
      <c r="G542" t="s">
        <v>1434</v>
      </c>
      <c r="H542" s="18">
        <v>775</v>
      </c>
      <c r="I542" s="3">
        <v>41782</v>
      </c>
      <c r="J542"/>
      <c r="L542"/>
      <c r="M542"/>
      <c r="N542" s="20"/>
      <c r="O542"/>
      <c r="P542" s="20"/>
      <c r="Q542" s="20"/>
      <c r="R542" s="20"/>
      <c r="S542" s="20"/>
      <c r="T542" s="20"/>
    </row>
    <row r="543" spans="1:21" x14ac:dyDescent="0.25">
      <c r="A543" s="3">
        <v>41782</v>
      </c>
      <c r="B543" s="36">
        <v>55</v>
      </c>
      <c r="C543" t="s">
        <v>1435</v>
      </c>
      <c r="D543">
        <v>5.5</v>
      </c>
      <c r="E543" s="18">
        <v>550</v>
      </c>
      <c r="G543" t="s">
        <v>1436</v>
      </c>
      <c r="H543" s="18">
        <v>550</v>
      </c>
      <c r="I543" s="3">
        <v>41782</v>
      </c>
      <c r="J543"/>
      <c r="L543"/>
      <c r="M543"/>
      <c r="N543" s="20"/>
      <c r="O543"/>
      <c r="P543" s="20"/>
      <c r="Q543" s="20"/>
      <c r="R543" s="20"/>
      <c r="S543" s="20"/>
      <c r="T543" s="20"/>
    </row>
    <row r="544" spans="1:21" x14ac:dyDescent="0.25">
      <c r="A544" s="3">
        <v>41789</v>
      </c>
      <c r="B544" s="36">
        <v>55</v>
      </c>
      <c r="C544" t="s">
        <v>1437</v>
      </c>
      <c r="D544">
        <v>10</v>
      </c>
      <c r="E544" s="18">
        <v>1000</v>
      </c>
      <c r="G544" t="s">
        <v>1438</v>
      </c>
      <c r="H544" s="18">
        <v>1000</v>
      </c>
      <c r="I544" s="3">
        <v>41789</v>
      </c>
      <c r="J544"/>
      <c r="L544"/>
      <c r="M544"/>
      <c r="N544" s="20"/>
      <c r="O544"/>
      <c r="P544" s="20"/>
      <c r="Q544" s="20"/>
      <c r="R544" s="20"/>
      <c r="S544" s="20"/>
      <c r="T544" s="20"/>
    </row>
    <row r="545" spans="1:21" x14ac:dyDescent="0.25">
      <c r="A545" s="3">
        <v>41789</v>
      </c>
      <c r="B545" s="36">
        <v>55</v>
      </c>
      <c r="C545" t="s">
        <v>1439</v>
      </c>
      <c r="D545">
        <v>5.25</v>
      </c>
      <c r="E545" s="18">
        <v>525</v>
      </c>
      <c r="G545" t="s">
        <v>1440</v>
      </c>
      <c r="H545" s="18">
        <v>525</v>
      </c>
      <c r="I545" s="3">
        <v>41789</v>
      </c>
      <c r="J545"/>
      <c r="L545"/>
      <c r="M545"/>
      <c r="N545" s="20"/>
      <c r="O545"/>
      <c r="P545" s="20"/>
      <c r="Q545" s="20"/>
      <c r="R545" s="20"/>
      <c r="S545" s="20"/>
      <c r="T545" s="20"/>
    </row>
    <row r="546" spans="1:21" x14ac:dyDescent="0.25">
      <c r="A546" s="3">
        <v>41803</v>
      </c>
      <c r="B546" s="36">
        <v>55</v>
      </c>
      <c r="C546" t="s">
        <v>1441</v>
      </c>
      <c r="D546">
        <v>10</v>
      </c>
      <c r="E546" s="18">
        <v>1000</v>
      </c>
      <c r="G546" t="s">
        <v>1442</v>
      </c>
      <c r="H546" s="18">
        <v>1000</v>
      </c>
      <c r="I546" s="3">
        <v>41803</v>
      </c>
      <c r="J546"/>
      <c r="L546"/>
      <c r="M546"/>
      <c r="N546" s="20"/>
      <c r="O546" t="s">
        <v>1169</v>
      </c>
      <c r="P546" s="20"/>
      <c r="Q546" s="20"/>
      <c r="R546" s="20"/>
      <c r="S546" s="20"/>
      <c r="T546" s="20"/>
    </row>
    <row r="547" spans="1:21" x14ac:dyDescent="0.25">
      <c r="A547" s="3">
        <v>41803</v>
      </c>
      <c r="B547" s="36">
        <v>55</v>
      </c>
      <c r="C547" t="s">
        <v>1443</v>
      </c>
      <c r="D547">
        <v>9.75</v>
      </c>
      <c r="E547" s="18">
        <v>975</v>
      </c>
      <c r="G547" t="s">
        <v>1444</v>
      </c>
      <c r="H547" s="18">
        <v>975</v>
      </c>
      <c r="I547" s="3">
        <v>41803</v>
      </c>
      <c r="J547"/>
      <c r="L547"/>
      <c r="M547"/>
      <c r="N547" s="20"/>
      <c r="O547" t="s">
        <v>1169</v>
      </c>
      <c r="P547" s="20"/>
      <c r="Q547" s="20"/>
      <c r="R547" s="20"/>
      <c r="S547" s="20"/>
      <c r="T547" s="20"/>
    </row>
    <row r="548" spans="1:21" x14ac:dyDescent="0.25">
      <c r="A548" s="3">
        <v>41803</v>
      </c>
      <c r="B548" s="36">
        <v>55</v>
      </c>
      <c r="C548" t="s">
        <v>1071</v>
      </c>
      <c r="E548" s="18">
        <v>-150</v>
      </c>
      <c r="G548" t="s">
        <v>442</v>
      </c>
      <c r="H548" s="18" t="s">
        <v>442</v>
      </c>
      <c r="I548" s="3" t="s">
        <v>442</v>
      </c>
      <c r="J548"/>
      <c r="L548"/>
      <c r="M548"/>
      <c r="N548" s="20"/>
      <c r="O548"/>
      <c r="P548" s="20"/>
      <c r="Q548" s="20" t="s">
        <v>401</v>
      </c>
      <c r="R548" s="20"/>
      <c r="S548" s="20"/>
      <c r="T548" s="20"/>
    </row>
    <row r="549" spans="1:21" x14ac:dyDescent="0.25">
      <c r="A549" s="3">
        <v>41803</v>
      </c>
      <c r="B549" s="36">
        <v>55</v>
      </c>
      <c r="C549" t="s">
        <v>1072</v>
      </c>
      <c r="E549" s="18">
        <v>-571.50666666666666</v>
      </c>
      <c r="G549" t="s">
        <v>442</v>
      </c>
      <c r="H549" s="18" t="s">
        <v>442</v>
      </c>
      <c r="I549" s="3" t="s">
        <v>442</v>
      </c>
      <c r="J549"/>
      <c r="L549"/>
      <c r="M549"/>
      <c r="N549" s="20"/>
      <c r="O549"/>
      <c r="P549" s="20"/>
      <c r="Q549" s="20" t="s">
        <v>401</v>
      </c>
      <c r="R549" s="20"/>
      <c r="S549" s="20"/>
      <c r="T549" s="20"/>
    </row>
    <row r="550" spans="1:21" x14ac:dyDescent="0.25">
      <c r="A550" s="3">
        <v>42013</v>
      </c>
      <c r="B550" s="36">
        <v>55</v>
      </c>
      <c r="C550" t="s">
        <v>1441</v>
      </c>
      <c r="D550">
        <v>10.5</v>
      </c>
      <c r="E550" s="18">
        <v>1100</v>
      </c>
      <c r="F550" t="s">
        <v>889</v>
      </c>
      <c r="G550" t="s">
        <v>1442</v>
      </c>
      <c r="H550" s="18">
        <v>1100</v>
      </c>
      <c r="I550" s="3">
        <v>42013</v>
      </c>
      <c r="J550"/>
      <c r="L550"/>
      <c r="M550"/>
      <c r="N550" s="20"/>
      <c r="O550"/>
      <c r="P550" s="20"/>
      <c r="Q550" s="20"/>
      <c r="R550" s="20"/>
      <c r="S550" s="20"/>
      <c r="T550" s="20"/>
    </row>
    <row r="551" spans="1:21" x14ac:dyDescent="0.25">
      <c r="A551" s="3">
        <v>42013</v>
      </c>
      <c r="B551" s="36">
        <v>55</v>
      </c>
      <c r="C551" t="s">
        <v>1431</v>
      </c>
      <c r="D551">
        <v>4.75</v>
      </c>
      <c r="E551" s="18">
        <v>475</v>
      </c>
      <c r="F551" t="s">
        <v>889</v>
      </c>
      <c r="G551" t="s">
        <v>1432</v>
      </c>
      <c r="H551" s="18">
        <v>475</v>
      </c>
      <c r="I551" s="3">
        <v>42013</v>
      </c>
      <c r="J551"/>
      <c r="L551"/>
      <c r="M551"/>
      <c r="N551" s="20"/>
      <c r="O551"/>
      <c r="P551" s="20"/>
      <c r="Q551" s="20"/>
      <c r="R551" s="20"/>
      <c r="S551" s="20"/>
      <c r="T551" s="20"/>
    </row>
    <row r="552" spans="1:21" x14ac:dyDescent="0.25">
      <c r="A552" s="3">
        <v>42013</v>
      </c>
      <c r="B552" s="36">
        <v>55</v>
      </c>
      <c r="C552" t="s">
        <v>1431</v>
      </c>
      <c r="D552">
        <v>5.5</v>
      </c>
      <c r="E552" s="18">
        <v>-400</v>
      </c>
      <c r="F552" t="s">
        <v>889</v>
      </c>
      <c r="G552" t="s">
        <v>1432</v>
      </c>
      <c r="H552" s="18" t="s">
        <v>442</v>
      </c>
      <c r="I552" s="3" t="s">
        <v>442</v>
      </c>
      <c r="J552"/>
      <c r="L552"/>
      <c r="M552"/>
      <c r="N552" s="20"/>
      <c r="O552"/>
      <c r="P552" s="20"/>
      <c r="Q552" s="20"/>
      <c r="R552" s="20"/>
      <c r="S552" s="20"/>
      <c r="T552" s="20"/>
    </row>
    <row r="553" spans="1:21" x14ac:dyDescent="0.25">
      <c r="A553" s="3">
        <v>42013</v>
      </c>
      <c r="B553" s="36">
        <v>55</v>
      </c>
      <c r="C553" t="s">
        <v>1443</v>
      </c>
      <c r="D553">
        <v>9</v>
      </c>
      <c r="E553" s="18">
        <v>825</v>
      </c>
      <c r="F553" t="s">
        <v>889</v>
      </c>
      <c r="G553" t="s">
        <v>1444</v>
      </c>
      <c r="H553" s="18">
        <v>825</v>
      </c>
      <c r="I553" s="3">
        <v>42013</v>
      </c>
      <c r="J553"/>
      <c r="L553"/>
      <c r="M553"/>
      <c r="N553" s="20"/>
      <c r="O553" t="s">
        <v>959</v>
      </c>
      <c r="P553" s="20"/>
      <c r="Q553" s="20"/>
      <c r="R553" s="20"/>
      <c r="S553" s="20"/>
      <c r="T553" s="20"/>
    </row>
    <row r="554" spans="1:21" x14ac:dyDescent="0.25">
      <c r="A554" s="3">
        <v>42013</v>
      </c>
      <c r="B554" s="36">
        <v>55</v>
      </c>
      <c r="C554" t="s">
        <v>1437</v>
      </c>
      <c r="D554">
        <v>6</v>
      </c>
      <c r="E554" s="18">
        <v>200</v>
      </c>
      <c r="F554" t="s">
        <v>889</v>
      </c>
      <c r="G554" t="s">
        <v>1438</v>
      </c>
      <c r="H554" s="18">
        <v>200</v>
      </c>
      <c r="I554" s="3">
        <v>42013</v>
      </c>
      <c r="J554"/>
      <c r="L554"/>
      <c r="M554"/>
      <c r="N554" s="20"/>
      <c r="O554" t="s">
        <v>959</v>
      </c>
      <c r="P554" s="20"/>
      <c r="Q554" s="20"/>
      <c r="R554" s="20"/>
      <c r="S554" s="20"/>
      <c r="T554" s="20"/>
    </row>
    <row r="555" spans="1:21" x14ac:dyDescent="0.25">
      <c r="A555" s="3">
        <v>42013</v>
      </c>
      <c r="B555" s="36">
        <v>55</v>
      </c>
      <c r="C555" t="s">
        <v>1433</v>
      </c>
      <c r="D555">
        <v>7.25</v>
      </c>
      <c r="E555" s="18">
        <v>-775</v>
      </c>
      <c r="F555" t="s">
        <v>889</v>
      </c>
      <c r="G555" t="s">
        <v>1434</v>
      </c>
      <c r="H555" s="18" t="s">
        <v>442</v>
      </c>
      <c r="I555" s="3" t="s">
        <v>442</v>
      </c>
      <c r="J555"/>
      <c r="L555"/>
      <c r="M555"/>
      <c r="N555" s="20"/>
      <c r="O555"/>
      <c r="P555" s="20"/>
      <c r="Q555" s="20"/>
      <c r="R555" s="20"/>
      <c r="S555" s="20"/>
      <c r="T555" s="20"/>
    </row>
    <row r="556" spans="1:21" x14ac:dyDescent="0.25">
      <c r="A556" s="3">
        <v>42013</v>
      </c>
      <c r="B556" s="36">
        <v>55</v>
      </c>
      <c r="C556" t="s">
        <v>1439</v>
      </c>
      <c r="D556">
        <v>5.25</v>
      </c>
      <c r="E556" s="18">
        <v>-525</v>
      </c>
      <c r="F556" t="s">
        <v>889</v>
      </c>
      <c r="G556" t="s">
        <v>1440</v>
      </c>
      <c r="H556" s="18" t="s">
        <v>442</v>
      </c>
      <c r="I556" s="3" t="s">
        <v>442</v>
      </c>
      <c r="J556"/>
      <c r="L556"/>
      <c r="M556"/>
      <c r="N556" s="20"/>
      <c r="O556"/>
      <c r="P556" s="20"/>
      <c r="Q556" s="20"/>
      <c r="R556" s="20"/>
      <c r="S556" s="20"/>
      <c r="T556" s="20"/>
    </row>
    <row r="557" spans="1:21" x14ac:dyDescent="0.25">
      <c r="A557" s="3">
        <v>41761</v>
      </c>
      <c r="B557" s="36">
        <v>58</v>
      </c>
      <c r="C557" t="s">
        <v>1445</v>
      </c>
      <c r="D557">
        <v>5.3550000000000004</v>
      </c>
      <c r="E557" s="18">
        <v>535.5</v>
      </c>
      <c r="G557" t="s">
        <v>1446</v>
      </c>
      <c r="H557" s="18">
        <v>535.5</v>
      </c>
      <c r="I557" s="3">
        <v>41761</v>
      </c>
      <c r="J557"/>
      <c r="L557"/>
      <c r="M557"/>
      <c r="N557" s="20"/>
      <c r="O557"/>
      <c r="P557" s="20"/>
      <c r="Q557" s="20"/>
      <c r="R557" s="20"/>
      <c r="S557" s="20"/>
      <c r="T557" s="20"/>
    </row>
    <row r="558" spans="1:21" x14ac:dyDescent="0.25">
      <c r="A558" s="3">
        <v>41810</v>
      </c>
      <c r="B558" s="36">
        <v>59</v>
      </c>
      <c r="C558" t="s">
        <v>926</v>
      </c>
      <c r="E558" s="18">
        <v>235.88</v>
      </c>
      <c r="G558" t="s">
        <v>442</v>
      </c>
      <c r="H558" s="18" t="s">
        <v>442</v>
      </c>
      <c r="I558" s="3" t="s">
        <v>442</v>
      </c>
      <c r="J558"/>
      <c r="L558"/>
      <c r="M558"/>
      <c r="N558" s="40" t="s">
        <v>401</v>
      </c>
      <c r="O558"/>
      <c r="P558" s="20"/>
      <c r="Q558" s="20"/>
      <c r="R558" s="20"/>
      <c r="S558" s="20"/>
      <c r="T558" s="20"/>
    </row>
    <row r="559" spans="1:21" x14ac:dyDescent="0.25">
      <c r="A559" s="3">
        <v>41851</v>
      </c>
      <c r="B559" s="36">
        <v>59</v>
      </c>
      <c r="C559" t="s">
        <v>1447</v>
      </c>
      <c r="E559" s="18">
        <v>1500</v>
      </c>
      <c r="H559" s="18" t="s">
        <v>442</v>
      </c>
      <c r="I559" s="3" t="s">
        <v>442</v>
      </c>
      <c r="J559"/>
      <c r="L559"/>
      <c r="M559"/>
      <c r="N559" s="20"/>
      <c r="O559"/>
      <c r="P559" s="20"/>
      <c r="Q559" s="20"/>
      <c r="R559" s="20"/>
      <c r="S559" s="20" t="s">
        <v>401</v>
      </c>
      <c r="T559" s="20"/>
    </row>
    <row r="560" spans="1:21" x14ac:dyDescent="0.25">
      <c r="B560">
        <v>59</v>
      </c>
      <c r="C560" t="s">
        <v>1143</v>
      </c>
      <c r="E560" s="18">
        <v>-102</v>
      </c>
      <c r="G560" t="s">
        <v>442</v>
      </c>
      <c r="I560"/>
      <c r="J560"/>
      <c r="L560"/>
      <c r="M560"/>
      <c r="O560"/>
      <c r="P560" s="20"/>
      <c r="Q560" s="20"/>
      <c r="R560" s="20"/>
      <c r="S560" s="20"/>
      <c r="T560" s="20"/>
      <c r="U560" t="s">
        <v>401</v>
      </c>
    </row>
    <row r="561" spans="1:20" x14ac:dyDescent="0.25">
      <c r="A561" s="21">
        <v>41789</v>
      </c>
      <c r="B561" s="36">
        <v>63</v>
      </c>
      <c r="C561" s="20" t="s">
        <v>1448</v>
      </c>
      <c r="D561" s="20">
        <v>6</v>
      </c>
      <c r="E561" s="59">
        <v>750</v>
      </c>
      <c r="F561" s="20"/>
      <c r="G561" t="s">
        <v>1449</v>
      </c>
      <c r="H561" s="18">
        <v>750</v>
      </c>
      <c r="I561" s="3">
        <v>41789</v>
      </c>
      <c r="J561"/>
      <c r="L561"/>
      <c r="M561"/>
      <c r="N561" s="20"/>
      <c r="O561" s="20"/>
      <c r="P561" s="20"/>
      <c r="Q561" s="20"/>
      <c r="R561" s="20"/>
      <c r="S561" s="20"/>
      <c r="T561" s="20"/>
    </row>
    <row r="562" spans="1:20" x14ac:dyDescent="0.25">
      <c r="A562" s="21">
        <v>41789</v>
      </c>
      <c r="B562" s="36">
        <v>63</v>
      </c>
      <c r="C562" s="20" t="s">
        <v>1450</v>
      </c>
      <c r="D562" s="20">
        <v>7.5</v>
      </c>
      <c r="E562" s="59">
        <v>937.5</v>
      </c>
      <c r="F562" s="20"/>
      <c r="G562" t="s">
        <v>1451</v>
      </c>
      <c r="H562" s="18">
        <v>937.5</v>
      </c>
      <c r="I562" s="3">
        <v>41789</v>
      </c>
      <c r="J562"/>
      <c r="L562"/>
      <c r="M562"/>
      <c r="N562" s="20"/>
      <c r="O562" s="20"/>
      <c r="P562" s="20"/>
      <c r="Q562" s="20"/>
      <c r="R562" s="20"/>
      <c r="S562" s="20"/>
      <c r="T562" s="20"/>
    </row>
    <row r="563" spans="1:20" x14ac:dyDescent="0.25">
      <c r="A563" s="21">
        <v>41789</v>
      </c>
      <c r="B563" s="36">
        <v>63</v>
      </c>
      <c r="C563" s="20" t="s">
        <v>1452</v>
      </c>
      <c r="D563" s="20">
        <v>10</v>
      </c>
      <c r="E563" s="59">
        <v>1250</v>
      </c>
      <c r="F563" s="20"/>
      <c r="G563" t="s">
        <v>1453</v>
      </c>
      <c r="H563" s="18">
        <v>1250</v>
      </c>
      <c r="I563" s="3">
        <v>41789</v>
      </c>
      <c r="J563"/>
      <c r="L563"/>
      <c r="M563"/>
      <c r="N563" s="20"/>
      <c r="O563" s="20"/>
      <c r="P563" s="20"/>
      <c r="Q563" s="20"/>
      <c r="R563" s="20"/>
      <c r="S563" s="20"/>
      <c r="T563" s="20"/>
    </row>
    <row r="564" spans="1:20" x14ac:dyDescent="0.25">
      <c r="A564" s="21">
        <v>41789</v>
      </c>
      <c r="B564" s="36">
        <v>63</v>
      </c>
      <c r="C564" s="20" t="s">
        <v>1454</v>
      </c>
      <c r="D564" s="20">
        <v>10</v>
      </c>
      <c r="E564" s="59">
        <v>1250</v>
      </c>
      <c r="F564" s="20"/>
      <c r="G564" t="s">
        <v>1455</v>
      </c>
      <c r="H564" s="18">
        <v>1250</v>
      </c>
      <c r="I564" s="3">
        <v>41789</v>
      </c>
      <c r="J564"/>
      <c r="L564"/>
      <c r="M564"/>
      <c r="N564" s="20"/>
      <c r="O564" s="20"/>
      <c r="P564" s="20"/>
      <c r="Q564" s="20"/>
      <c r="R564" s="20"/>
      <c r="S564" s="20"/>
      <c r="T564" s="20"/>
    </row>
    <row r="565" spans="1:20" x14ac:dyDescent="0.25">
      <c r="A565" s="21">
        <v>41789</v>
      </c>
      <c r="B565" s="36">
        <v>63</v>
      </c>
      <c r="C565" s="20" t="s">
        <v>1456</v>
      </c>
      <c r="D565" s="20">
        <v>10</v>
      </c>
      <c r="E565" s="59">
        <v>1250</v>
      </c>
      <c r="F565" s="20"/>
      <c r="G565" t="s">
        <v>1457</v>
      </c>
      <c r="H565" s="18">
        <v>1250</v>
      </c>
      <c r="I565" s="3">
        <v>41789</v>
      </c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</row>
    <row r="566" spans="1:20" x14ac:dyDescent="0.25">
      <c r="A566" s="21">
        <v>41796</v>
      </c>
      <c r="B566" s="36">
        <v>63</v>
      </c>
      <c r="C566" s="20" t="s">
        <v>1458</v>
      </c>
      <c r="D566" s="20">
        <v>9.5</v>
      </c>
      <c r="E566" s="59">
        <v>1187.5</v>
      </c>
      <c r="F566" s="20"/>
      <c r="G566" t="s">
        <v>1459</v>
      </c>
      <c r="H566" s="18">
        <v>1187.5</v>
      </c>
      <c r="I566" s="3">
        <v>41796</v>
      </c>
      <c r="J566"/>
      <c r="L566"/>
      <c r="M566"/>
      <c r="N566" s="20"/>
      <c r="O566" s="20" t="s">
        <v>1345</v>
      </c>
      <c r="P566" s="20"/>
      <c r="Q566" s="20"/>
      <c r="R566" s="20"/>
      <c r="S566" s="20"/>
      <c r="T566" s="20"/>
    </row>
    <row r="567" spans="1:20" x14ac:dyDescent="0.25">
      <c r="A567" s="21">
        <v>41796</v>
      </c>
      <c r="B567" s="36">
        <v>63</v>
      </c>
      <c r="C567" s="20" t="s">
        <v>1460</v>
      </c>
      <c r="D567" s="20">
        <v>9</v>
      </c>
      <c r="E567" s="59">
        <v>1125</v>
      </c>
      <c r="F567" s="20"/>
      <c r="G567" t="s">
        <v>1461</v>
      </c>
      <c r="H567" s="18">
        <v>1125</v>
      </c>
      <c r="I567" s="3">
        <v>41796</v>
      </c>
      <c r="J567"/>
      <c r="L567"/>
      <c r="M567"/>
      <c r="N567" s="20"/>
      <c r="O567" s="20" t="s">
        <v>1345</v>
      </c>
      <c r="P567" s="20"/>
      <c r="Q567" s="20"/>
      <c r="R567" s="20"/>
      <c r="S567" s="20"/>
      <c r="T567" s="20"/>
    </row>
    <row r="568" spans="1:20" x14ac:dyDescent="0.25">
      <c r="A568" s="21">
        <v>41796</v>
      </c>
      <c r="B568" s="36">
        <v>63</v>
      </c>
      <c r="C568" s="20" t="s">
        <v>1462</v>
      </c>
      <c r="D568" s="20">
        <v>10</v>
      </c>
      <c r="E568" s="59">
        <v>1250</v>
      </c>
      <c r="F568" s="20"/>
      <c r="G568" t="s">
        <v>1463</v>
      </c>
      <c r="H568" s="18">
        <v>1250</v>
      </c>
      <c r="I568" s="3">
        <v>41796</v>
      </c>
      <c r="J568"/>
      <c r="L568"/>
      <c r="M568"/>
      <c r="N568" s="20"/>
      <c r="O568" s="20" t="s">
        <v>1345</v>
      </c>
      <c r="P568" s="20"/>
      <c r="Q568" s="20"/>
      <c r="R568" s="20"/>
      <c r="S568" s="20"/>
      <c r="T568" s="20"/>
    </row>
    <row r="569" spans="1:20" x14ac:dyDescent="0.25">
      <c r="A569" s="21">
        <v>41803</v>
      </c>
      <c r="B569" s="36">
        <v>63</v>
      </c>
      <c r="C569" s="20" t="s">
        <v>1464</v>
      </c>
      <c r="D569" s="20">
        <v>6.25</v>
      </c>
      <c r="E569" s="59">
        <v>781.25</v>
      </c>
      <c r="F569" s="20"/>
      <c r="G569" t="s">
        <v>1465</v>
      </c>
      <c r="H569" s="18">
        <v>781.25</v>
      </c>
      <c r="I569" s="3">
        <v>41803</v>
      </c>
      <c r="J569"/>
      <c r="L569"/>
      <c r="M569"/>
      <c r="N569" s="20"/>
      <c r="O569" s="20" t="s">
        <v>1466</v>
      </c>
      <c r="P569" s="20"/>
      <c r="Q569" s="20"/>
      <c r="R569" s="20"/>
      <c r="S569" s="20"/>
      <c r="T569" s="20"/>
    </row>
    <row r="570" spans="1:20" x14ac:dyDescent="0.25">
      <c r="A570" s="21">
        <v>41810</v>
      </c>
      <c r="B570" s="36">
        <v>63</v>
      </c>
      <c r="C570" s="20" t="s">
        <v>1467</v>
      </c>
      <c r="D570" s="20"/>
      <c r="E570" s="59">
        <v>210</v>
      </c>
      <c r="F570" s="20"/>
      <c r="H570" s="18" t="s">
        <v>442</v>
      </c>
      <c r="I570" s="3" t="s">
        <v>442</v>
      </c>
      <c r="J570"/>
      <c r="L570"/>
      <c r="M570"/>
      <c r="N570" s="20"/>
      <c r="O570" s="20"/>
      <c r="P570" s="20" t="s">
        <v>401</v>
      </c>
      <c r="Q570" s="20"/>
      <c r="R570" s="20"/>
      <c r="S570" s="20"/>
      <c r="T570" s="20"/>
    </row>
    <row r="571" spans="1:20" x14ac:dyDescent="0.25">
      <c r="A571" s="21">
        <v>41810</v>
      </c>
      <c r="B571" s="36">
        <v>63</v>
      </c>
      <c r="C571" t="s">
        <v>1468</v>
      </c>
      <c r="D571" s="20"/>
      <c r="E571" s="59">
        <v>43.79</v>
      </c>
      <c r="F571" s="20"/>
      <c r="H571" s="18" t="s">
        <v>442</v>
      </c>
      <c r="I571" s="3" t="s">
        <v>442</v>
      </c>
      <c r="J571"/>
      <c r="L571"/>
      <c r="M571"/>
      <c r="N571" s="20"/>
      <c r="O571" s="20"/>
      <c r="P571" s="20" t="s">
        <v>401</v>
      </c>
      <c r="Q571" s="20"/>
      <c r="R571" s="20"/>
      <c r="S571" s="20"/>
      <c r="T571" s="20"/>
    </row>
    <row r="572" spans="1:20" x14ac:dyDescent="0.25">
      <c r="A572" s="21">
        <v>41810</v>
      </c>
      <c r="B572" s="36">
        <v>63</v>
      </c>
      <c r="C572" s="20" t="s">
        <v>1469</v>
      </c>
      <c r="D572" s="20"/>
      <c r="E572" s="59">
        <v>110</v>
      </c>
      <c r="F572" s="20"/>
      <c r="H572" s="18" t="s">
        <v>442</v>
      </c>
      <c r="I572" s="3" t="s">
        <v>442</v>
      </c>
      <c r="J572"/>
      <c r="L572"/>
      <c r="M572"/>
      <c r="N572" s="20"/>
      <c r="O572" s="20"/>
      <c r="P572" s="20" t="s">
        <v>401</v>
      </c>
      <c r="Q572" s="20"/>
      <c r="R572" s="20"/>
      <c r="S572" s="20"/>
      <c r="T572" s="20"/>
    </row>
    <row r="573" spans="1:20" x14ac:dyDescent="0.25">
      <c r="A573" s="21">
        <v>41810</v>
      </c>
      <c r="B573" s="36">
        <v>63</v>
      </c>
      <c r="C573" s="20" t="s">
        <v>1073</v>
      </c>
      <c r="D573" s="20"/>
      <c r="E573" s="59">
        <v>73.38</v>
      </c>
      <c r="F573" s="20"/>
      <c r="H573" s="18" t="s">
        <v>442</v>
      </c>
      <c r="I573" s="3" t="s">
        <v>442</v>
      </c>
      <c r="J573"/>
      <c r="L573"/>
      <c r="M573"/>
      <c r="N573" s="20"/>
      <c r="O573" s="20"/>
      <c r="P573" s="20" t="s">
        <v>401</v>
      </c>
      <c r="Q573" s="20"/>
      <c r="R573" s="20"/>
      <c r="S573" s="20"/>
      <c r="T573" s="20"/>
    </row>
    <row r="574" spans="1:20" x14ac:dyDescent="0.25">
      <c r="A574" s="21">
        <v>41810</v>
      </c>
      <c r="B574" s="36">
        <v>63</v>
      </c>
      <c r="C574" s="20" t="s">
        <v>1470</v>
      </c>
      <c r="D574" s="20"/>
      <c r="E574" s="59">
        <v>431.36</v>
      </c>
      <c r="F574" s="20"/>
      <c r="H574" s="18" t="s">
        <v>442</v>
      </c>
      <c r="I574" s="3" t="s">
        <v>442</v>
      </c>
      <c r="J574"/>
      <c r="L574"/>
      <c r="M574"/>
      <c r="N574" s="20"/>
      <c r="O574" s="20"/>
      <c r="P574" s="20" t="s">
        <v>401</v>
      </c>
      <c r="Q574" s="20"/>
      <c r="R574" s="20"/>
      <c r="S574" s="20"/>
      <c r="T574" s="20"/>
    </row>
    <row r="575" spans="1:20" x14ac:dyDescent="0.25">
      <c r="A575" s="21">
        <v>41810</v>
      </c>
      <c r="B575" s="36">
        <v>63</v>
      </c>
      <c r="C575" s="20" t="s">
        <v>1471</v>
      </c>
      <c r="D575" s="20"/>
      <c r="E575" s="59">
        <v>240</v>
      </c>
      <c r="F575" s="20"/>
      <c r="H575" s="18" t="s">
        <v>442</v>
      </c>
      <c r="I575" s="3" t="s">
        <v>442</v>
      </c>
      <c r="J575"/>
      <c r="L575"/>
      <c r="M575"/>
      <c r="N575" s="20"/>
      <c r="O575" s="20"/>
      <c r="P575" s="20" t="s">
        <v>401</v>
      </c>
      <c r="Q575" s="20"/>
      <c r="R575" s="20"/>
      <c r="S575" s="20"/>
      <c r="T575" s="20"/>
    </row>
    <row r="576" spans="1:20" x14ac:dyDescent="0.25">
      <c r="A576" s="21">
        <v>41817</v>
      </c>
      <c r="B576" s="36">
        <v>63</v>
      </c>
      <c r="C576" s="20" t="s">
        <v>1472</v>
      </c>
      <c r="D576" s="20"/>
      <c r="E576" s="59">
        <v>1212.5</v>
      </c>
      <c r="F576" s="20"/>
      <c r="H576" s="18" t="s">
        <v>442</v>
      </c>
      <c r="I576" s="3" t="s">
        <v>442</v>
      </c>
      <c r="J576"/>
      <c r="L576"/>
      <c r="M576"/>
      <c r="N576" s="20"/>
      <c r="O576" s="20"/>
      <c r="P576" s="20"/>
      <c r="Q576" s="20"/>
      <c r="R576" s="20"/>
      <c r="S576" s="20" t="s">
        <v>401</v>
      </c>
      <c r="T576" s="20"/>
    </row>
    <row r="577" spans="1:20" x14ac:dyDescent="0.25">
      <c r="A577" s="46">
        <v>41849</v>
      </c>
      <c r="B577" s="36">
        <v>63</v>
      </c>
      <c r="C577" s="47" t="s">
        <v>1473</v>
      </c>
      <c r="D577" s="47"/>
      <c r="E577" s="48">
        <v>4165</v>
      </c>
      <c r="F577" s="47"/>
      <c r="G577" s="20"/>
      <c r="H577" s="18" t="s">
        <v>442</v>
      </c>
      <c r="I577" s="3" t="s">
        <v>442</v>
      </c>
      <c r="J577" s="20"/>
      <c r="K577" s="20"/>
      <c r="L577" s="20"/>
      <c r="M577" s="20"/>
      <c r="N577" s="20"/>
      <c r="O577" s="47"/>
      <c r="P577" s="20"/>
      <c r="Q577" s="20"/>
      <c r="R577" s="20"/>
      <c r="S577" s="20" t="s">
        <v>401</v>
      </c>
      <c r="T577" s="20"/>
    </row>
    <row r="578" spans="1:20" x14ac:dyDescent="0.25">
      <c r="A578" s="21">
        <v>41873</v>
      </c>
      <c r="B578" s="36">
        <v>63</v>
      </c>
      <c r="C578" s="20" t="s">
        <v>1474</v>
      </c>
      <c r="D578" s="20"/>
      <c r="E578" s="59">
        <v>892.5</v>
      </c>
      <c r="F578" s="20" t="s">
        <v>889</v>
      </c>
      <c r="G578" t="s">
        <v>1086</v>
      </c>
      <c r="H578" s="18">
        <v>892.5</v>
      </c>
      <c r="I578" s="3">
        <v>41873</v>
      </c>
      <c r="J578" s="20"/>
      <c r="K578" s="20"/>
      <c r="L578" s="20"/>
      <c r="M578" s="20"/>
      <c r="N578" s="20"/>
      <c r="O578" s="20" t="s">
        <v>1475</v>
      </c>
      <c r="P578" s="20"/>
      <c r="Q578" s="20"/>
      <c r="R578" s="20"/>
      <c r="S578" s="20"/>
      <c r="T578" s="20"/>
    </row>
    <row r="579" spans="1:20" x14ac:dyDescent="0.25">
      <c r="A579" s="21">
        <v>41873</v>
      </c>
      <c r="B579" s="36">
        <v>63</v>
      </c>
      <c r="C579" s="20" t="s">
        <v>1476</v>
      </c>
      <c r="D579" s="20"/>
      <c r="E579" s="59">
        <v>918.75</v>
      </c>
      <c r="F579" s="20" t="s">
        <v>889</v>
      </c>
      <c r="G579" t="s">
        <v>1086</v>
      </c>
      <c r="H579" s="18">
        <v>918.75</v>
      </c>
      <c r="I579" s="3">
        <v>41873</v>
      </c>
      <c r="J579" s="20"/>
      <c r="K579" s="20"/>
      <c r="L579" s="20"/>
      <c r="M579" s="20"/>
      <c r="N579" s="20"/>
      <c r="O579" s="20" t="s">
        <v>1475</v>
      </c>
      <c r="P579" s="20"/>
      <c r="Q579" s="20"/>
      <c r="R579" s="20"/>
      <c r="S579" s="20"/>
      <c r="T579" s="20"/>
    </row>
    <row r="580" spans="1:20" x14ac:dyDescent="0.25">
      <c r="A580" s="21">
        <v>41873</v>
      </c>
      <c r="B580" s="36">
        <v>63</v>
      </c>
      <c r="C580" s="20" t="s">
        <v>1477</v>
      </c>
      <c r="D580" s="20"/>
      <c r="E580" s="59">
        <v>1006.25</v>
      </c>
      <c r="F580" s="20" t="s">
        <v>889</v>
      </c>
      <c r="G580" t="s">
        <v>1086</v>
      </c>
      <c r="H580" s="18">
        <v>1006.25</v>
      </c>
      <c r="I580" s="3">
        <v>41873</v>
      </c>
      <c r="J580" s="20"/>
      <c r="K580" s="20"/>
      <c r="L580" s="20"/>
      <c r="M580" s="20"/>
      <c r="N580" s="20"/>
      <c r="O580" s="20" t="s">
        <v>1475</v>
      </c>
      <c r="P580" s="20"/>
      <c r="Q580" s="20"/>
      <c r="R580" s="20"/>
      <c r="S580" s="20"/>
      <c r="T580" s="20"/>
    </row>
    <row r="581" spans="1:20" x14ac:dyDescent="0.25">
      <c r="A581" s="21">
        <v>41873</v>
      </c>
      <c r="B581" s="36">
        <v>63</v>
      </c>
      <c r="C581" s="20" t="s">
        <v>1478</v>
      </c>
      <c r="D581" s="20"/>
      <c r="E581" s="59">
        <v>480</v>
      </c>
      <c r="F581" s="20" t="s">
        <v>891</v>
      </c>
      <c r="H581" s="18" t="s">
        <v>442</v>
      </c>
      <c r="I581" s="3" t="s">
        <v>442</v>
      </c>
      <c r="J581" s="20"/>
      <c r="K581" s="20"/>
      <c r="L581" s="20"/>
      <c r="M581" s="20"/>
      <c r="N581" s="20"/>
      <c r="O581" s="20" t="s">
        <v>1479</v>
      </c>
      <c r="P581" s="20" t="s">
        <v>401</v>
      </c>
      <c r="Q581" s="20"/>
      <c r="R581" s="20"/>
      <c r="S581" s="20"/>
      <c r="T581" s="20"/>
    </row>
    <row r="582" spans="1:20" x14ac:dyDescent="0.25">
      <c r="A582" s="21">
        <v>41873</v>
      </c>
      <c r="B582" s="36">
        <v>63</v>
      </c>
      <c r="C582" s="20" t="s">
        <v>1480</v>
      </c>
      <c r="D582" s="20"/>
      <c r="E582" s="59">
        <v>-137.3185484</v>
      </c>
      <c r="F582" s="20" t="s">
        <v>891</v>
      </c>
      <c r="G582" t="s">
        <v>442</v>
      </c>
      <c r="H582" s="18" t="s">
        <v>442</v>
      </c>
      <c r="I582" s="3" t="s">
        <v>442</v>
      </c>
      <c r="J582" s="20"/>
      <c r="K582" s="20"/>
      <c r="L582" s="20"/>
      <c r="M582" s="20"/>
      <c r="N582" s="20"/>
      <c r="O582" s="20" t="s">
        <v>1481</v>
      </c>
      <c r="P582" s="20"/>
      <c r="Q582" s="20" t="s">
        <v>401</v>
      </c>
      <c r="R582" s="20"/>
      <c r="S582" s="20"/>
      <c r="T582" s="20"/>
    </row>
    <row r="583" spans="1:20" x14ac:dyDescent="0.25">
      <c r="A583" s="21">
        <v>41873</v>
      </c>
      <c r="B583" s="36">
        <v>63</v>
      </c>
      <c r="C583" s="20" t="s">
        <v>1106</v>
      </c>
      <c r="D583" s="20"/>
      <c r="E583" s="59">
        <v>-137.3185484</v>
      </c>
      <c r="F583" s="20" t="s">
        <v>891</v>
      </c>
      <c r="G583" t="s">
        <v>442</v>
      </c>
      <c r="H583" s="18" t="s">
        <v>442</v>
      </c>
      <c r="I583" s="3" t="s">
        <v>442</v>
      </c>
      <c r="J583" s="20"/>
      <c r="K583" s="20"/>
      <c r="L583" s="20"/>
      <c r="M583" s="20"/>
      <c r="N583" s="20"/>
      <c r="O583" s="20" t="s">
        <v>1107</v>
      </c>
      <c r="P583" s="20"/>
      <c r="Q583" s="20" t="s">
        <v>401</v>
      </c>
      <c r="R583" s="20"/>
      <c r="S583" s="20"/>
      <c r="T583" s="20"/>
    </row>
    <row r="584" spans="1:20" x14ac:dyDescent="0.25">
      <c r="A584" s="21">
        <v>41873</v>
      </c>
      <c r="B584" s="36">
        <v>63</v>
      </c>
      <c r="C584" s="20" t="s">
        <v>1108</v>
      </c>
      <c r="D584" s="20"/>
      <c r="E584" s="59">
        <v>-137.3185484</v>
      </c>
      <c r="F584" s="20" t="s">
        <v>891</v>
      </c>
      <c r="G584" t="s">
        <v>442</v>
      </c>
      <c r="H584" s="18" t="s">
        <v>442</v>
      </c>
      <c r="I584" s="3" t="s">
        <v>442</v>
      </c>
      <c r="J584" s="20"/>
      <c r="K584" s="20"/>
      <c r="L584" s="20"/>
      <c r="M584" s="20"/>
      <c r="N584" s="20"/>
      <c r="O584" s="20" t="s">
        <v>1109</v>
      </c>
      <c r="P584" s="20"/>
      <c r="Q584" s="20" t="s">
        <v>401</v>
      </c>
      <c r="R584" s="20"/>
      <c r="S584" s="20"/>
      <c r="T584" s="20"/>
    </row>
    <row r="585" spans="1:20" x14ac:dyDescent="0.25">
      <c r="A585" s="21">
        <v>41873</v>
      </c>
      <c r="B585" s="36">
        <v>63</v>
      </c>
      <c r="C585" s="20" t="s">
        <v>1482</v>
      </c>
      <c r="D585" s="20"/>
      <c r="E585" s="59">
        <v>-137.3185484</v>
      </c>
      <c r="F585" s="20"/>
      <c r="G585" t="s">
        <v>442</v>
      </c>
      <c r="H585" s="18" t="s">
        <v>442</v>
      </c>
      <c r="I585" s="3" t="s">
        <v>442</v>
      </c>
      <c r="J585" s="20"/>
      <c r="K585" s="20"/>
      <c r="L585" s="20"/>
      <c r="M585" s="20"/>
      <c r="N585" s="20"/>
      <c r="O585" s="20" t="s">
        <v>1219</v>
      </c>
      <c r="P585" s="20"/>
      <c r="Q585" s="20" t="s">
        <v>401</v>
      </c>
      <c r="R585" s="20"/>
      <c r="S585" s="20"/>
      <c r="T585" s="20"/>
    </row>
    <row r="586" spans="1:20" x14ac:dyDescent="0.25">
      <c r="A586" s="21">
        <v>41873</v>
      </c>
      <c r="B586" s="36">
        <v>63</v>
      </c>
      <c r="C586" s="20" t="s">
        <v>1483</v>
      </c>
      <c r="D586" s="20"/>
      <c r="E586" s="59">
        <v>-137.3185484</v>
      </c>
      <c r="F586" s="20"/>
      <c r="G586" t="s">
        <v>442</v>
      </c>
      <c r="H586" s="18" t="s">
        <v>442</v>
      </c>
      <c r="I586" s="3" t="s">
        <v>442</v>
      </c>
      <c r="J586" s="20"/>
      <c r="K586" s="20"/>
      <c r="L586" s="20"/>
      <c r="M586" s="20"/>
      <c r="N586" s="20"/>
      <c r="O586" s="20" t="s">
        <v>1228</v>
      </c>
      <c r="P586" s="20"/>
      <c r="Q586" s="20" t="s">
        <v>401</v>
      </c>
      <c r="R586" s="20"/>
      <c r="S586" s="20"/>
      <c r="T586" s="20"/>
    </row>
    <row r="587" spans="1:20" x14ac:dyDescent="0.25">
      <c r="A587" s="21">
        <v>41873</v>
      </c>
      <c r="B587" s="36">
        <v>63</v>
      </c>
      <c r="C587" s="20" t="s">
        <v>1237</v>
      </c>
      <c r="D587" s="20"/>
      <c r="E587" s="59">
        <v>-137.3185484</v>
      </c>
      <c r="F587" s="20" t="s">
        <v>1484</v>
      </c>
      <c r="G587" t="s">
        <v>442</v>
      </c>
      <c r="H587" s="18" t="s">
        <v>442</v>
      </c>
      <c r="I587" s="3" t="s">
        <v>442</v>
      </c>
      <c r="J587" s="20"/>
      <c r="K587" s="20"/>
      <c r="L587" s="20"/>
      <c r="M587" s="20"/>
      <c r="N587" s="20"/>
      <c r="O587" s="20" t="s">
        <v>1238</v>
      </c>
      <c r="P587" s="20"/>
      <c r="Q587" s="20" t="s">
        <v>401</v>
      </c>
      <c r="R587" s="20"/>
      <c r="S587" s="20"/>
      <c r="T587" s="20"/>
    </row>
    <row r="588" spans="1:20" x14ac:dyDescent="0.25">
      <c r="A588" s="21">
        <v>41873</v>
      </c>
      <c r="B588" s="36">
        <v>63</v>
      </c>
      <c r="C588" s="20" t="s">
        <v>1485</v>
      </c>
      <c r="D588" s="20"/>
      <c r="E588" s="59">
        <v>-137.3185484</v>
      </c>
      <c r="F588" s="20"/>
      <c r="G588" t="s">
        <v>442</v>
      </c>
      <c r="H588" s="18" t="s">
        <v>442</v>
      </c>
      <c r="I588" s="3" t="s">
        <v>442</v>
      </c>
      <c r="J588" s="20"/>
      <c r="K588" s="20"/>
      <c r="L588" s="20"/>
      <c r="M588" s="20"/>
      <c r="N588" s="20"/>
      <c r="O588" s="20" t="s">
        <v>1090</v>
      </c>
      <c r="P588" s="20"/>
      <c r="Q588" s="20" t="s">
        <v>401</v>
      </c>
      <c r="R588" s="20"/>
      <c r="S588" s="20"/>
      <c r="T588" s="20"/>
    </row>
    <row r="589" spans="1:20" x14ac:dyDescent="0.25">
      <c r="A589" s="21">
        <v>41873</v>
      </c>
      <c r="B589" s="36">
        <v>63</v>
      </c>
      <c r="C589" s="20" t="s">
        <v>1486</v>
      </c>
      <c r="D589" s="20"/>
      <c r="E589" s="59">
        <v>-182.4375</v>
      </c>
      <c r="F589" s="20"/>
      <c r="G589" t="s">
        <v>442</v>
      </c>
      <c r="H589" s="18" t="s">
        <v>442</v>
      </c>
      <c r="I589" s="3" t="s">
        <v>442</v>
      </c>
      <c r="J589" s="20"/>
      <c r="K589" s="20"/>
      <c r="L589" s="20"/>
      <c r="M589" s="20"/>
      <c r="N589" s="20"/>
      <c r="O589" s="20" t="s">
        <v>1487</v>
      </c>
      <c r="P589" s="20"/>
      <c r="Q589" s="20" t="s">
        <v>401</v>
      </c>
      <c r="R589" s="20"/>
      <c r="S589" s="20"/>
      <c r="T589" s="20"/>
    </row>
    <row r="590" spans="1:20" x14ac:dyDescent="0.25">
      <c r="A590" s="21">
        <v>41873</v>
      </c>
      <c r="B590" s="36">
        <v>63</v>
      </c>
      <c r="C590" s="20" t="s">
        <v>1488</v>
      </c>
      <c r="D590" s="20"/>
      <c r="E590" s="59">
        <v>831.25</v>
      </c>
      <c r="F590" s="20" t="s">
        <v>889</v>
      </c>
      <c r="G590" s="20" t="s">
        <v>1086</v>
      </c>
      <c r="H590" s="18">
        <v>831.25</v>
      </c>
      <c r="I590" s="3">
        <v>41873</v>
      </c>
      <c r="J590" s="20"/>
      <c r="K590" s="20"/>
      <c r="L590" s="20"/>
      <c r="M590" s="20"/>
      <c r="N590" s="20"/>
      <c r="O590" s="20" t="s">
        <v>1475</v>
      </c>
      <c r="P590" s="20"/>
      <c r="Q590" s="20"/>
      <c r="R590" s="20"/>
      <c r="S590" s="20"/>
      <c r="T590" s="20"/>
    </row>
    <row r="591" spans="1:20" x14ac:dyDescent="0.25">
      <c r="A591" s="21">
        <v>41887</v>
      </c>
      <c r="B591" s="36">
        <v>63</v>
      </c>
      <c r="C591" s="20" t="s">
        <v>1489</v>
      </c>
      <c r="D591" s="20"/>
      <c r="E591" s="59">
        <v>787.5</v>
      </c>
      <c r="F591" s="20"/>
      <c r="G591" s="20" t="s">
        <v>1086</v>
      </c>
      <c r="H591" s="18">
        <v>787.5</v>
      </c>
      <c r="I591" s="3">
        <v>41887</v>
      </c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</row>
    <row r="592" spans="1:20" x14ac:dyDescent="0.25">
      <c r="A592" s="21">
        <v>41897</v>
      </c>
      <c r="B592" s="36">
        <v>63</v>
      </c>
      <c r="C592" s="20" t="s">
        <v>1473</v>
      </c>
      <c r="D592" s="20"/>
      <c r="E592" s="59">
        <v>306.25</v>
      </c>
      <c r="F592" s="20"/>
      <c r="G592" t="s">
        <v>442</v>
      </c>
      <c r="H592" s="18" t="s">
        <v>442</v>
      </c>
      <c r="I592" s="3" t="s">
        <v>442</v>
      </c>
      <c r="J592" s="20"/>
      <c r="K592" s="20"/>
      <c r="L592" s="20"/>
      <c r="M592" s="20"/>
      <c r="N592" s="20"/>
      <c r="O592" s="20"/>
      <c r="P592" s="20"/>
      <c r="Q592" s="20"/>
      <c r="R592" s="20"/>
      <c r="S592" s="20" t="s">
        <v>401</v>
      </c>
      <c r="T592" s="20"/>
    </row>
    <row r="593" spans="1:20" x14ac:dyDescent="0.25">
      <c r="A593" s="21">
        <v>41901</v>
      </c>
      <c r="B593" s="36">
        <v>63</v>
      </c>
      <c r="C593" s="20" t="s">
        <v>1474</v>
      </c>
      <c r="D593" s="20"/>
      <c r="E593" s="59">
        <v>-1531.25</v>
      </c>
      <c r="F593" s="20" t="s">
        <v>889</v>
      </c>
      <c r="G593" t="s">
        <v>1086</v>
      </c>
      <c r="H593" s="18" t="s">
        <v>442</v>
      </c>
      <c r="I593" s="3" t="s">
        <v>442</v>
      </c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</row>
    <row r="594" spans="1:20" x14ac:dyDescent="0.25">
      <c r="A594" s="21">
        <v>41901</v>
      </c>
      <c r="B594" s="36">
        <v>63</v>
      </c>
      <c r="C594" s="20" t="s">
        <v>1490</v>
      </c>
      <c r="D594" s="20">
        <v>9.5</v>
      </c>
      <c r="E594" s="59">
        <v>1662.5</v>
      </c>
      <c r="F594" s="20" t="s">
        <v>889</v>
      </c>
      <c r="G594" t="s">
        <v>1086</v>
      </c>
      <c r="H594" s="18">
        <v>1662.5</v>
      </c>
      <c r="I594" s="3">
        <v>41901</v>
      </c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</row>
    <row r="595" spans="1:20" x14ac:dyDescent="0.25">
      <c r="A595" s="21">
        <v>41901</v>
      </c>
      <c r="B595" s="36">
        <v>63</v>
      </c>
      <c r="C595" s="20" t="s">
        <v>1491</v>
      </c>
      <c r="D595" s="20"/>
      <c r="E595" s="59">
        <v>-455</v>
      </c>
      <c r="F595" s="20" t="s">
        <v>889</v>
      </c>
      <c r="G595" t="s">
        <v>1086</v>
      </c>
      <c r="H595" s="18" t="s">
        <v>442</v>
      </c>
      <c r="I595" s="3" t="s">
        <v>442</v>
      </c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</row>
    <row r="596" spans="1:20" x14ac:dyDescent="0.25">
      <c r="A596" s="21">
        <v>41901</v>
      </c>
      <c r="B596" s="36">
        <v>63</v>
      </c>
      <c r="C596" s="20" t="s">
        <v>1492</v>
      </c>
      <c r="D596" s="20"/>
      <c r="E596" s="59">
        <v>656.25</v>
      </c>
      <c r="F596" s="20" t="s">
        <v>889</v>
      </c>
      <c r="G596" t="s">
        <v>1086</v>
      </c>
      <c r="H596" s="18">
        <v>656.25</v>
      </c>
      <c r="I596" s="3">
        <v>41901</v>
      </c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</row>
    <row r="597" spans="1:20" x14ac:dyDescent="0.25">
      <c r="A597" s="21">
        <v>41901</v>
      </c>
      <c r="B597" s="36">
        <v>63</v>
      </c>
      <c r="C597" s="20" t="s">
        <v>1493</v>
      </c>
      <c r="D597" s="20"/>
      <c r="E597" s="59">
        <v>1006.25</v>
      </c>
      <c r="F597" s="20" t="s">
        <v>889</v>
      </c>
      <c r="G597" t="s">
        <v>1086</v>
      </c>
      <c r="H597" s="18">
        <v>1006.25</v>
      </c>
      <c r="I597" s="3">
        <v>41901</v>
      </c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</row>
    <row r="598" spans="1:20" x14ac:dyDescent="0.25">
      <c r="A598" s="21">
        <v>41901</v>
      </c>
      <c r="B598" s="36">
        <v>63</v>
      </c>
      <c r="C598" s="20" t="s">
        <v>1494</v>
      </c>
      <c r="D598" s="20"/>
      <c r="E598" s="59">
        <v>472.5</v>
      </c>
      <c r="F598" s="20" t="s">
        <v>889</v>
      </c>
      <c r="G598" t="s">
        <v>1086</v>
      </c>
      <c r="H598" s="18">
        <v>472.5</v>
      </c>
      <c r="I598" s="3">
        <v>41901</v>
      </c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</row>
    <row r="599" spans="1:20" x14ac:dyDescent="0.25">
      <c r="A599" s="21">
        <v>41901</v>
      </c>
      <c r="B599" s="36">
        <v>63</v>
      </c>
      <c r="C599" s="20" t="s">
        <v>1495</v>
      </c>
      <c r="D599" s="20">
        <v>8</v>
      </c>
      <c r="E599" s="59">
        <v>1400</v>
      </c>
      <c r="F599" s="20" t="s">
        <v>889</v>
      </c>
      <c r="G599" t="s">
        <v>1086</v>
      </c>
      <c r="H599" s="18">
        <v>1400</v>
      </c>
      <c r="I599" s="3">
        <v>41901</v>
      </c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</row>
    <row r="600" spans="1:20" x14ac:dyDescent="0.25">
      <c r="A600" s="21">
        <v>41901</v>
      </c>
      <c r="B600" s="36">
        <v>63</v>
      </c>
      <c r="C600" s="20" t="s">
        <v>1496</v>
      </c>
      <c r="D600" s="20">
        <v>6</v>
      </c>
      <c r="E600" s="59">
        <v>1050</v>
      </c>
      <c r="F600" s="20" t="s">
        <v>889</v>
      </c>
      <c r="G600" t="s">
        <v>1086</v>
      </c>
      <c r="H600" s="18">
        <v>1050</v>
      </c>
      <c r="I600" s="3">
        <v>41901</v>
      </c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</row>
    <row r="601" spans="1:20" x14ac:dyDescent="0.25">
      <c r="A601" s="21">
        <v>41922</v>
      </c>
      <c r="B601" s="36">
        <v>63</v>
      </c>
      <c r="C601" s="20" t="s">
        <v>1497</v>
      </c>
      <c r="D601" s="20">
        <v>5.75</v>
      </c>
      <c r="E601" s="59">
        <v>1006.25</v>
      </c>
      <c r="F601" s="20" t="s">
        <v>889</v>
      </c>
      <c r="G601" t="s">
        <v>1498</v>
      </c>
      <c r="H601" s="18">
        <v>1006.25</v>
      </c>
      <c r="I601" s="3">
        <v>41922</v>
      </c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</row>
    <row r="602" spans="1:20" x14ac:dyDescent="0.25">
      <c r="A602" s="57">
        <v>41922</v>
      </c>
      <c r="B602" s="42">
        <v>63</v>
      </c>
      <c r="C602" s="45" t="s">
        <v>1499</v>
      </c>
      <c r="D602" s="45">
        <v>6.12</v>
      </c>
      <c r="E602" s="58">
        <v>153</v>
      </c>
      <c r="F602" s="45" t="s">
        <v>889</v>
      </c>
      <c r="G602" s="45" t="s">
        <v>1500</v>
      </c>
      <c r="H602" s="18">
        <v>153</v>
      </c>
      <c r="I602" s="3">
        <v>41922</v>
      </c>
      <c r="J602" s="45"/>
      <c r="K602" s="45"/>
      <c r="L602" s="45"/>
      <c r="M602" s="45"/>
      <c r="N602" s="45"/>
      <c r="O602" s="45"/>
      <c r="P602" s="20"/>
      <c r="Q602" s="20"/>
      <c r="R602" s="20"/>
      <c r="S602" s="20"/>
      <c r="T602" s="20"/>
    </row>
    <row r="603" spans="1:20" x14ac:dyDescent="0.25">
      <c r="A603" s="57">
        <v>41922</v>
      </c>
      <c r="B603" s="42">
        <v>63</v>
      </c>
      <c r="C603" s="45" t="s">
        <v>1501</v>
      </c>
      <c r="D603" s="45">
        <v>10</v>
      </c>
      <c r="E603" s="58">
        <v>250</v>
      </c>
      <c r="F603" s="45" t="s">
        <v>889</v>
      </c>
      <c r="G603" s="45" t="s">
        <v>1502</v>
      </c>
      <c r="H603" s="18">
        <v>250</v>
      </c>
      <c r="I603" s="3">
        <v>41922</v>
      </c>
      <c r="J603" s="45"/>
      <c r="K603" s="45"/>
      <c r="L603" s="45"/>
      <c r="M603" s="45"/>
      <c r="N603" s="45"/>
      <c r="O603" s="45"/>
      <c r="P603" s="20"/>
      <c r="Q603" s="20"/>
      <c r="R603" s="20"/>
      <c r="S603" s="20"/>
      <c r="T603" s="20"/>
    </row>
    <row r="604" spans="1:20" x14ac:dyDescent="0.25">
      <c r="A604" s="57">
        <v>41922</v>
      </c>
      <c r="B604" s="42">
        <v>63</v>
      </c>
      <c r="C604" s="45" t="s">
        <v>1503</v>
      </c>
      <c r="D604" s="45">
        <v>9.18</v>
      </c>
      <c r="E604" s="58">
        <v>229.5</v>
      </c>
      <c r="F604" s="45" t="s">
        <v>889</v>
      </c>
      <c r="G604" s="45" t="s">
        <v>1504</v>
      </c>
      <c r="H604" s="18">
        <v>229.5</v>
      </c>
      <c r="I604" s="3">
        <v>41922</v>
      </c>
      <c r="J604" s="45"/>
      <c r="K604" s="45"/>
      <c r="L604" s="45"/>
      <c r="M604" s="45"/>
      <c r="N604" s="45"/>
      <c r="O604" s="45"/>
      <c r="P604" s="20"/>
      <c r="Q604" s="20"/>
      <c r="R604" s="20"/>
      <c r="S604" s="20"/>
      <c r="T604" s="20"/>
    </row>
    <row r="605" spans="1:20" x14ac:dyDescent="0.25">
      <c r="A605" s="21">
        <v>41922</v>
      </c>
      <c r="B605" s="36">
        <v>63</v>
      </c>
      <c r="C605" s="20" t="s">
        <v>1505</v>
      </c>
      <c r="D605" s="20"/>
      <c r="E605" s="59">
        <v>778.97</v>
      </c>
      <c r="F605" s="20"/>
      <c r="H605" s="18" t="s">
        <v>442</v>
      </c>
      <c r="I605" s="3" t="s">
        <v>442</v>
      </c>
      <c r="J605"/>
      <c r="L605"/>
      <c r="M605"/>
      <c r="N605" s="20"/>
      <c r="O605" s="20"/>
      <c r="P605" s="20" t="s">
        <v>401</v>
      </c>
      <c r="Q605" s="20"/>
      <c r="R605" s="20"/>
      <c r="S605" s="20"/>
      <c r="T605" s="20"/>
    </row>
    <row r="606" spans="1:20" x14ac:dyDescent="0.25">
      <c r="A606" s="21">
        <v>41922</v>
      </c>
      <c r="B606" s="36">
        <v>63</v>
      </c>
      <c r="C606" s="20" t="s">
        <v>1506</v>
      </c>
      <c r="D606" s="20">
        <v>3</v>
      </c>
      <c r="E606" s="59">
        <v>525</v>
      </c>
      <c r="F606" s="20" t="s">
        <v>889</v>
      </c>
      <c r="G606" t="s">
        <v>1507</v>
      </c>
      <c r="H606" s="18">
        <v>525</v>
      </c>
      <c r="I606" s="3">
        <v>41922</v>
      </c>
      <c r="J606"/>
      <c r="L606"/>
      <c r="M606"/>
      <c r="N606" s="20"/>
      <c r="O606" s="20"/>
      <c r="P606" s="20"/>
      <c r="Q606" s="20"/>
      <c r="R606" s="20"/>
      <c r="S606" s="20"/>
      <c r="T606" s="20"/>
    </row>
    <row r="607" spans="1:20" x14ac:dyDescent="0.25">
      <c r="A607" s="21">
        <v>41936</v>
      </c>
      <c r="B607" s="36">
        <v>63</v>
      </c>
      <c r="C607" s="20" t="s">
        <v>1497</v>
      </c>
      <c r="D607" s="20">
        <v>5.75</v>
      </c>
      <c r="E607" s="59">
        <v>1026.375</v>
      </c>
      <c r="F607" s="20" t="s">
        <v>889</v>
      </c>
      <c r="G607" t="s">
        <v>1498</v>
      </c>
      <c r="H607" s="18">
        <v>1026.375</v>
      </c>
      <c r="I607" s="3">
        <v>41936</v>
      </c>
      <c r="J607"/>
      <c r="L607"/>
      <c r="M607"/>
      <c r="N607" s="20"/>
      <c r="O607" s="20"/>
      <c r="P607" s="20"/>
      <c r="Q607" s="20"/>
      <c r="R607" s="20"/>
      <c r="S607" s="20"/>
      <c r="T607" s="20"/>
    </row>
    <row r="608" spans="1:20" x14ac:dyDescent="0.25">
      <c r="A608" s="21">
        <v>41936</v>
      </c>
      <c r="B608" s="36">
        <v>63</v>
      </c>
      <c r="C608" s="20" t="s">
        <v>1508</v>
      </c>
      <c r="D608" s="20"/>
      <c r="E608" s="59">
        <v>-420.4563172</v>
      </c>
      <c r="F608" s="20" t="s">
        <v>889</v>
      </c>
      <c r="H608" s="18" t="s">
        <v>442</v>
      </c>
      <c r="I608" s="3" t="s">
        <v>442</v>
      </c>
      <c r="J608"/>
      <c r="L608"/>
      <c r="M608"/>
      <c r="N608" s="20"/>
      <c r="O608" s="20"/>
      <c r="P608" s="20"/>
      <c r="Q608" s="20"/>
      <c r="R608" s="20" t="s">
        <v>401</v>
      </c>
      <c r="S608" s="20"/>
      <c r="T608" s="20"/>
    </row>
    <row r="609" spans="1:20" x14ac:dyDescent="0.25">
      <c r="A609" s="21">
        <v>41936</v>
      </c>
      <c r="B609" s="36">
        <v>63</v>
      </c>
      <c r="C609" s="20" t="s">
        <v>1509</v>
      </c>
      <c r="D609" s="20"/>
      <c r="E609" s="59">
        <v>-138.62634409</v>
      </c>
      <c r="F609" s="20" t="s">
        <v>891</v>
      </c>
      <c r="G609" t="s">
        <v>442</v>
      </c>
      <c r="H609" s="18" t="s">
        <v>442</v>
      </c>
      <c r="I609" s="3" t="s">
        <v>442</v>
      </c>
      <c r="J609"/>
      <c r="L609"/>
      <c r="M609"/>
      <c r="N609" s="20"/>
      <c r="O609" s="20"/>
      <c r="P609" s="20"/>
      <c r="Q609" s="20" t="s">
        <v>401</v>
      </c>
      <c r="R609" s="20"/>
      <c r="S609" s="20"/>
      <c r="T609" s="20"/>
    </row>
    <row r="610" spans="1:20" x14ac:dyDescent="0.25">
      <c r="A610" s="21">
        <v>41936</v>
      </c>
      <c r="B610" s="36">
        <v>63</v>
      </c>
      <c r="C610" s="20" t="s">
        <v>1282</v>
      </c>
      <c r="D610" s="20"/>
      <c r="E610" s="59">
        <v>-139.94999999999999</v>
      </c>
      <c r="F610" s="20" t="s">
        <v>891</v>
      </c>
      <c r="G610" t="s">
        <v>442</v>
      </c>
      <c r="H610" s="18" t="s">
        <v>442</v>
      </c>
      <c r="I610" s="3" t="s">
        <v>442</v>
      </c>
      <c r="J610"/>
      <c r="L610"/>
      <c r="M610"/>
      <c r="N610" s="20"/>
      <c r="O610" s="20"/>
      <c r="P610" s="20"/>
      <c r="Q610" s="20" t="s">
        <v>401</v>
      </c>
      <c r="R610" s="20"/>
      <c r="S610" s="20"/>
      <c r="T610" s="20"/>
    </row>
    <row r="611" spans="1:20" x14ac:dyDescent="0.25">
      <c r="A611" s="21">
        <v>41936</v>
      </c>
      <c r="B611" s="36">
        <v>63</v>
      </c>
      <c r="C611" s="20" t="s">
        <v>1292</v>
      </c>
      <c r="D611" s="20"/>
      <c r="E611" s="59">
        <v>-139.94999999999999</v>
      </c>
      <c r="F611" s="20" t="s">
        <v>891</v>
      </c>
      <c r="G611" t="s">
        <v>442</v>
      </c>
      <c r="H611" s="18" t="s">
        <v>442</v>
      </c>
      <c r="I611" s="3" t="s">
        <v>442</v>
      </c>
      <c r="J611"/>
      <c r="L611"/>
      <c r="M611"/>
      <c r="N611" s="20"/>
      <c r="O611" s="20"/>
      <c r="P611" s="20"/>
      <c r="Q611" s="20" t="s">
        <v>401</v>
      </c>
      <c r="R611" s="20"/>
      <c r="S611" s="20"/>
      <c r="T611" s="20"/>
    </row>
    <row r="612" spans="1:20" x14ac:dyDescent="0.25">
      <c r="A612" s="21">
        <v>41936</v>
      </c>
      <c r="B612" s="36">
        <v>63</v>
      </c>
      <c r="C612" s="20" t="s">
        <v>1110</v>
      </c>
      <c r="D612" s="20"/>
      <c r="E612" s="59">
        <v>-141.89583329999999</v>
      </c>
      <c r="F612" s="20" t="s">
        <v>891</v>
      </c>
      <c r="G612" t="s">
        <v>442</v>
      </c>
      <c r="H612" s="18" t="s">
        <v>442</v>
      </c>
      <c r="I612" s="3" t="s">
        <v>442</v>
      </c>
      <c r="J612"/>
      <c r="L612"/>
      <c r="M612"/>
      <c r="N612" s="20"/>
      <c r="O612" s="20"/>
      <c r="P612" s="20"/>
      <c r="Q612" s="20" t="s">
        <v>401</v>
      </c>
      <c r="R612" s="20"/>
      <c r="S612" s="20"/>
      <c r="T612" s="20"/>
    </row>
    <row r="613" spans="1:20" x14ac:dyDescent="0.25">
      <c r="A613" s="21">
        <v>41936</v>
      </c>
      <c r="B613" s="36">
        <v>63</v>
      </c>
      <c r="C613" s="20" t="s">
        <v>1117</v>
      </c>
      <c r="D613" s="20"/>
      <c r="E613" s="59">
        <v>-141.89583300000001</v>
      </c>
      <c r="F613" s="20" t="s">
        <v>891</v>
      </c>
      <c r="G613" t="s">
        <v>442</v>
      </c>
      <c r="H613" s="18" t="s">
        <v>442</v>
      </c>
      <c r="I613" s="3" t="s">
        <v>442</v>
      </c>
      <c r="J613"/>
      <c r="L613"/>
      <c r="M613"/>
      <c r="N613" s="20"/>
      <c r="O613" s="20"/>
      <c r="P613" s="20"/>
      <c r="Q613" s="20" t="s">
        <v>401</v>
      </c>
      <c r="R613" s="20"/>
      <c r="S613" s="20"/>
      <c r="T613" s="20"/>
    </row>
    <row r="614" spans="1:20" x14ac:dyDescent="0.25">
      <c r="A614" s="21">
        <v>41936</v>
      </c>
      <c r="B614" s="36">
        <v>63</v>
      </c>
      <c r="C614" s="20" t="s">
        <v>1283</v>
      </c>
      <c r="D614" s="20"/>
      <c r="E614" s="59">
        <v>-139.94999999999999</v>
      </c>
      <c r="F614" s="20" t="s">
        <v>891</v>
      </c>
      <c r="G614" t="s">
        <v>442</v>
      </c>
      <c r="H614" s="18" t="s">
        <v>442</v>
      </c>
      <c r="I614" s="3" t="s">
        <v>442</v>
      </c>
      <c r="J614"/>
      <c r="L614"/>
      <c r="M614"/>
      <c r="N614" s="20"/>
      <c r="O614" s="20"/>
      <c r="P614" s="20"/>
      <c r="Q614" s="20" t="s">
        <v>401</v>
      </c>
      <c r="R614" s="20"/>
      <c r="S614" s="20"/>
      <c r="T614" s="20"/>
    </row>
    <row r="615" spans="1:20" x14ac:dyDescent="0.25">
      <c r="A615" s="21">
        <v>41936</v>
      </c>
      <c r="B615" s="36">
        <v>63</v>
      </c>
      <c r="C615" s="20" t="s">
        <v>1506</v>
      </c>
      <c r="D615" s="20">
        <v>3</v>
      </c>
      <c r="E615" s="59">
        <v>490.875</v>
      </c>
      <c r="F615" s="20" t="s">
        <v>889</v>
      </c>
      <c r="G615" t="s">
        <v>1507</v>
      </c>
      <c r="H615" s="18">
        <v>490.875</v>
      </c>
      <c r="I615" s="3">
        <v>41936</v>
      </c>
      <c r="J615"/>
      <c r="L615"/>
      <c r="M615"/>
      <c r="N615" s="20"/>
      <c r="O615" s="20"/>
      <c r="P615" s="20"/>
      <c r="Q615" s="20"/>
      <c r="R615" s="20"/>
      <c r="S615" s="20"/>
      <c r="T615" s="20"/>
    </row>
    <row r="616" spans="1:20" x14ac:dyDescent="0.25">
      <c r="A616" s="21">
        <v>41950</v>
      </c>
      <c r="B616" s="36">
        <v>63</v>
      </c>
      <c r="C616" s="20" t="s">
        <v>1510</v>
      </c>
      <c r="D616" s="20"/>
      <c r="E616" s="59">
        <v>541.5</v>
      </c>
      <c r="F616" s="20" t="s">
        <v>891</v>
      </c>
      <c r="H616" s="18" t="s">
        <v>442</v>
      </c>
      <c r="I616" s="3" t="s">
        <v>442</v>
      </c>
      <c r="J616"/>
      <c r="L616"/>
      <c r="M616"/>
      <c r="N616" s="20"/>
      <c r="O616" s="20"/>
      <c r="P616" s="20" t="s">
        <v>401</v>
      </c>
      <c r="Q616" s="20"/>
      <c r="R616" s="20"/>
      <c r="S616" s="20"/>
      <c r="T616" s="20"/>
    </row>
    <row r="617" spans="1:20" x14ac:dyDescent="0.25">
      <c r="A617" s="21">
        <v>41957</v>
      </c>
      <c r="B617" s="36">
        <v>63</v>
      </c>
      <c r="C617" s="20" t="s">
        <v>1511</v>
      </c>
      <c r="D617" s="20">
        <v>9.18</v>
      </c>
      <c r="E617" s="59">
        <v>1606.5</v>
      </c>
      <c r="F617" s="20" t="s">
        <v>889</v>
      </c>
      <c r="G617" t="s">
        <v>1512</v>
      </c>
      <c r="H617" s="18">
        <v>1606.5</v>
      </c>
      <c r="I617" s="3">
        <v>41957</v>
      </c>
      <c r="J617"/>
      <c r="L617"/>
      <c r="M617"/>
      <c r="N617" s="20"/>
      <c r="O617" s="20"/>
      <c r="P617" s="20"/>
      <c r="Q617" s="20"/>
      <c r="R617" s="20"/>
      <c r="S617" s="20"/>
      <c r="T617" s="20"/>
    </row>
    <row r="618" spans="1:20" x14ac:dyDescent="0.25">
      <c r="A618" s="21">
        <v>41957</v>
      </c>
      <c r="B618" s="36">
        <v>63</v>
      </c>
      <c r="C618" s="20" t="s">
        <v>1312</v>
      </c>
      <c r="D618" s="20"/>
      <c r="E618" s="59">
        <v>-139.94999999999999</v>
      </c>
      <c r="F618" s="20" t="s">
        <v>891</v>
      </c>
      <c r="G618" t="s">
        <v>442</v>
      </c>
      <c r="H618" s="18" t="s">
        <v>442</v>
      </c>
      <c r="I618" s="3" t="s">
        <v>442</v>
      </c>
      <c r="J618"/>
      <c r="L618"/>
      <c r="M618"/>
      <c r="N618" s="20"/>
      <c r="O618" s="20"/>
      <c r="P618" s="20"/>
      <c r="Q618" s="20" t="s">
        <v>401</v>
      </c>
      <c r="R618" s="20"/>
      <c r="S618" s="20"/>
      <c r="T618" s="20"/>
    </row>
    <row r="619" spans="1:20" x14ac:dyDescent="0.25">
      <c r="A619" s="57">
        <v>41964</v>
      </c>
      <c r="B619" s="42">
        <v>63</v>
      </c>
      <c r="C619" s="45" t="s">
        <v>1513</v>
      </c>
      <c r="D619" s="45">
        <v>7.9050000000000002</v>
      </c>
      <c r="E619" s="58">
        <v>395.25</v>
      </c>
      <c r="F619" s="45" t="s">
        <v>889</v>
      </c>
      <c r="G619" s="45" t="s">
        <v>1514</v>
      </c>
      <c r="H619" s="18">
        <v>395.25</v>
      </c>
      <c r="I619" s="3">
        <v>41964</v>
      </c>
      <c r="J619" s="45"/>
      <c r="K619" s="45"/>
      <c r="L619" s="45"/>
      <c r="M619" s="45"/>
      <c r="N619" s="45"/>
      <c r="O619" s="45" t="s">
        <v>1515</v>
      </c>
      <c r="P619" s="20"/>
      <c r="Q619" s="20"/>
      <c r="R619" s="20"/>
      <c r="S619" s="20"/>
      <c r="T619" s="20"/>
    </row>
    <row r="620" spans="1:20" x14ac:dyDescent="0.25">
      <c r="A620" s="57">
        <v>41964</v>
      </c>
      <c r="B620" s="42">
        <v>63</v>
      </c>
      <c r="C620" s="45" t="s">
        <v>1516</v>
      </c>
      <c r="D620" s="45">
        <v>3.57</v>
      </c>
      <c r="E620" s="58">
        <v>178.5</v>
      </c>
      <c r="F620" s="45" t="s">
        <v>889</v>
      </c>
      <c r="G620" s="45" t="s">
        <v>1517</v>
      </c>
      <c r="H620" s="18">
        <v>178.5</v>
      </c>
      <c r="I620" s="3">
        <v>41964</v>
      </c>
      <c r="J620" s="45"/>
      <c r="K620" s="45"/>
      <c r="L620" s="45"/>
      <c r="M620" s="45"/>
      <c r="N620" s="45"/>
      <c r="O620" s="45" t="s">
        <v>1515</v>
      </c>
      <c r="P620" s="20"/>
      <c r="Q620" s="20"/>
      <c r="R620" s="20"/>
      <c r="S620" s="20"/>
      <c r="T620" s="20"/>
    </row>
    <row r="621" spans="1:20" x14ac:dyDescent="0.25">
      <c r="A621" s="21">
        <v>41964</v>
      </c>
      <c r="B621" s="36">
        <v>63</v>
      </c>
      <c r="C621" s="20" t="s">
        <v>1518</v>
      </c>
      <c r="D621" s="20">
        <v>7.14</v>
      </c>
      <c r="E621" s="59">
        <v>1249.5</v>
      </c>
      <c r="F621" s="20" t="s">
        <v>889</v>
      </c>
      <c r="G621" t="s">
        <v>1519</v>
      </c>
      <c r="H621" s="18">
        <v>1249.5</v>
      </c>
      <c r="I621" s="3">
        <v>41964</v>
      </c>
      <c r="J621"/>
      <c r="L621"/>
      <c r="M621"/>
      <c r="N621" s="20"/>
      <c r="O621" s="20"/>
      <c r="P621" s="20"/>
      <c r="Q621" s="20"/>
      <c r="R621" s="20"/>
      <c r="S621" s="20"/>
      <c r="T621" s="20"/>
    </row>
    <row r="622" spans="1:20" x14ac:dyDescent="0.25">
      <c r="A622" s="21">
        <v>41964</v>
      </c>
      <c r="B622" s="36">
        <v>63</v>
      </c>
      <c r="C622" s="20" t="s">
        <v>1299</v>
      </c>
      <c r="D622" s="20"/>
      <c r="E622" s="59">
        <v>-139.94999999999999</v>
      </c>
      <c r="F622" s="20" t="s">
        <v>891</v>
      </c>
      <c r="G622" t="s">
        <v>442</v>
      </c>
      <c r="H622" s="18" t="s">
        <v>442</v>
      </c>
      <c r="I622" s="3" t="s">
        <v>442</v>
      </c>
      <c r="J622"/>
      <c r="L622"/>
      <c r="M622"/>
      <c r="N622" s="20"/>
      <c r="O622" s="20"/>
      <c r="P622" s="20"/>
      <c r="Q622" s="20" t="s">
        <v>401</v>
      </c>
      <c r="R622" s="20"/>
      <c r="S622" s="20"/>
      <c r="T622" s="20"/>
    </row>
    <row r="623" spans="1:20" x14ac:dyDescent="0.25">
      <c r="A623" s="21">
        <v>41964</v>
      </c>
      <c r="B623" s="36">
        <v>63</v>
      </c>
      <c r="C623" s="20" t="s">
        <v>1304</v>
      </c>
      <c r="D623" s="20"/>
      <c r="E623" s="59">
        <v>-139.94999999999999</v>
      </c>
      <c r="F623" s="20" t="s">
        <v>891</v>
      </c>
      <c r="G623" t="s">
        <v>442</v>
      </c>
      <c r="H623" s="18" t="s">
        <v>442</v>
      </c>
      <c r="I623" s="3" t="s">
        <v>442</v>
      </c>
      <c r="J623"/>
      <c r="L623"/>
      <c r="M623"/>
      <c r="N623" s="20"/>
      <c r="O623" s="20"/>
      <c r="P623" s="20"/>
      <c r="Q623" s="20" t="s">
        <v>401</v>
      </c>
      <c r="R623" s="20"/>
      <c r="S623" s="20"/>
      <c r="T623" s="20"/>
    </row>
    <row r="624" spans="1:20" x14ac:dyDescent="0.25">
      <c r="A624" s="21">
        <v>41964</v>
      </c>
      <c r="B624" s="36">
        <v>63</v>
      </c>
      <c r="C624" s="20" t="s">
        <v>1300</v>
      </c>
      <c r="D624" s="20"/>
      <c r="E624" s="59">
        <v>-139.94999999999999</v>
      </c>
      <c r="F624" s="20" t="s">
        <v>891</v>
      </c>
      <c r="G624" t="s">
        <v>442</v>
      </c>
      <c r="H624" s="18" t="s">
        <v>442</v>
      </c>
      <c r="I624" s="3" t="s">
        <v>442</v>
      </c>
      <c r="J624"/>
      <c r="L624"/>
      <c r="M624"/>
      <c r="N624" s="20"/>
      <c r="O624" s="20"/>
      <c r="P624" s="20"/>
      <c r="Q624" s="20" t="s">
        <v>401</v>
      </c>
      <c r="R624" s="20"/>
      <c r="S624" s="20"/>
      <c r="T624" s="20"/>
    </row>
    <row r="625" spans="1:21" x14ac:dyDescent="0.25">
      <c r="A625" s="21">
        <v>41999</v>
      </c>
      <c r="B625" s="36">
        <v>63</v>
      </c>
      <c r="C625" s="20" t="s">
        <v>1520</v>
      </c>
      <c r="D625" s="20"/>
      <c r="E625" s="59">
        <v>715.15</v>
      </c>
      <c r="F625" s="20" t="s">
        <v>891</v>
      </c>
      <c r="H625" s="18" t="s">
        <v>442</v>
      </c>
      <c r="I625" s="3" t="s">
        <v>442</v>
      </c>
      <c r="J625"/>
      <c r="L625"/>
      <c r="M625"/>
      <c r="N625" s="20"/>
      <c r="O625" s="20"/>
      <c r="P625" s="20" t="s">
        <v>401</v>
      </c>
      <c r="Q625" s="20"/>
      <c r="R625" s="20"/>
      <c r="S625" s="20"/>
      <c r="T625" s="20"/>
    </row>
    <row r="626" spans="1:21" x14ac:dyDescent="0.25">
      <c r="A626" s="21">
        <v>42004</v>
      </c>
      <c r="B626" s="36">
        <v>63</v>
      </c>
      <c r="C626" s="20" t="s">
        <v>1521</v>
      </c>
      <c r="D626" s="20"/>
      <c r="E626" s="59">
        <v>138.62634409</v>
      </c>
      <c r="F626" s="20" t="s">
        <v>891</v>
      </c>
      <c r="G626" t="s">
        <v>442</v>
      </c>
      <c r="H626" s="18" t="s">
        <v>442</v>
      </c>
      <c r="I626" s="3" t="s">
        <v>442</v>
      </c>
      <c r="J626"/>
      <c r="L626"/>
      <c r="M626"/>
      <c r="N626" s="20"/>
      <c r="O626" s="20"/>
      <c r="P626" s="20"/>
      <c r="Q626" s="20" t="s">
        <v>401</v>
      </c>
      <c r="R626" s="20"/>
      <c r="S626" s="20"/>
      <c r="T626" s="20"/>
    </row>
    <row r="627" spans="1:21" x14ac:dyDescent="0.25">
      <c r="A627" s="21">
        <v>42004</v>
      </c>
      <c r="B627" s="36">
        <v>63</v>
      </c>
      <c r="C627" s="20" t="s">
        <v>1522</v>
      </c>
      <c r="D627" s="20"/>
      <c r="E627" s="59">
        <v>139.94999999999999</v>
      </c>
      <c r="F627" s="20" t="s">
        <v>891</v>
      </c>
      <c r="G627" t="s">
        <v>442</v>
      </c>
      <c r="H627" s="18" t="s">
        <v>442</v>
      </c>
      <c r="I627" s="3" t="s">
        <v>442</v>
      </c>
      <c r="J627"/>
      <c r="L627"/>
      <c r="M627"/>
      <c r="N627" s="20"/>
      <c r="O627" s="20"/>
      <c r="P627" s="20"/>
      <c r="Q627" s="20" t="s">
        <v>401</v>
      </c>
      <c r="R627" s="20"/>
      <c r="S627" s="20"/>
      <c r="T627" s="20"/>
    </row>
    <row r="628" spans="1:21" x14ac:dyDescent="0.25">
      <c r="A628" s="21">
        <v>42004</v>
      </c>
      <c r="B628" s="36">
        <v>63</v>
      </c>
      <c r="C628" s="20" t="s">
        <v>1523</v>
      </c>
      <c r="D628" s="20"/>
      <c r="E628" s="59">
        <v>139.94999999999999</v>
      </c>
      <c r="F628" s="20" t="s">
        <v>891</v>
      </c>
      <c r="G628" t="s">
        <v>442</v>
      </c>
      <c r="H628" s="18" t="s">
        <v>442</v>
      </c>
      <c r="I628" s="3" t="s">
        <v>442</v>
      </c>
      <c r="J628"/>
      <c r="L628"/>
      <c r="M628"/>
      <c r="N628" s="20"/>
      <c r="O628" s="20"/>
      <c r="P628" s="20"/>
      <c r="Q628" s="20" t="s">
        <v>401</v>
      </c>
      <c r="R628" s="20"/>
      <c r="S628" s="20"/>
      <c r="T628" s="20"/>
    </row>
    <row r="629" spans="1:21" x14ac:dyDescent="0.25">
      <c r="A629" s="21">
        <v>42004</v>
      </c>
      <c r="B629" s="36">
        <v>63</v>
      </c>
      <c r="C629" s="20" t="s">
        <v>1524</v>
      </c>
      <c r="D629" s="20"/>
      <c r="E629" s="59">
        <v>139.94999999999999</v>
      </c>
      <c r="F629" s="20" t="s">
        <v>891</v>
      </c>
      <c r="G629" t="s">
        <v>442</v>
      </c>
      <c r="H629" s="18" t="s">
        <v>442</v>
      </c>
      <c r="I629" s="3" t="s">
        <v>442</v>
      </c>
      <c r="J629"/>
      <c r="L629"/>
      <c r="M629"/>
      <c r="N629" s="20"/>
      <c r="O629" s="20"/>
      <c r="P629" s="20"/>
      <c r="Q629" s="20" t="s">
        <v>401</v>
      </c>
      <c r="R629" s="20"/>
      <c r="S629" s="20"/>
      <c r="T629" s="20"/>
    </row>
    <row r="630" spans="1:21" x14ac:dyDescent="0.25">
      <c r="A630" s="21">
        <v>42004</v>
      </c>
      <c r="B630" s="36">
        <v>63</v>
      </c>
      <c r="C630" s="20" t="s">
        <v>1525</v>
      </c>
      <c r="D630" s="20"/>
      <c r="E630" s="59">
        <v>139.94999999999999</v>
      </c>
      <c r="F630" s="20" t="s">
        <v>891</v>
      </c>
      <c r="G630" t="s">
        <v>442</v>
      </c>
      <c r="H630" s="18" t="s">
        <v>442</v>
      </c>
      <c r="I630" s="3" t="s">
        <v>442</v>
      </c>
      <c r="J630"/>
      <c r="L630"/>
      <c r="M630"/>
      <c r="N630" s="20"/>
      <c r="O630" s="20"/>
      <c r="P630" s="20"/>
      <c r="Q630" s="20" t="s">
        <v>401</v>
      </c>
      <c r="R630" s="20"/>
      <c r="S630" s="20"/>
      <c r="T630" s="20"/>
    </row>
    <row r="631" spans="1:21" x14ac:dyDescent="0.25">
      <c r="A631" s="21">
        <v>42004</v>
      </c>
      <c r="B631" s="36">
        <v>63</v>
      </c>
      <c r="C631" s="20" t="s">
        <v>1526</v>
      </c>
      <c r="D631" s="20"/>
      <c r="E631" s="59">
        <v>139.94999999999999</v>
      </c>
      <c r="F631" s="20" t="s">
        <v>891</v>
      </c>
      <c r="G631" t="s">
        <v>442</v>
      </c>
      <c r="H631" s="18" t="s">
        <v>442</v>
      </c>
      <c r="I631" s="3" t="s">
        <v>442</v>
      </c>
      <c r="J631"/>
      <c r="L631"/>
      <c r="M631"/>
      <c r="N631" s="20"/>
      <c r="O631" s="20"/>
      <c r="P631" s="20"/>
      <c r="Q631" s="20" t="s">
        <v>401</v>
      </c>
      <c r="R631" s="20"/>
      <c r="S631" s="20"/>
      <c r="T631" s="20"/>
    </row>
    <row r="632" spans="1:21" x14ac:dyDescent="0.25">
      <c r="A632" s="21">
        <v>42013</v>
      </c>
      <c r="B632" s="36">
        <v>63</v>
      </c>
      <c r="C632" s="20" t="s">
        <v>802</v>
      </c>
      <c r="D632" s="20">
        <v>3</v>
      </c>
      <c r="E632" s="59">
        <v>364.75</v>
      </c>
      <c r="F632" s="20" t="s">
        <v>889</v>
      </c>
      <c r="G632" t="s">
        <v>803</v>
      </c>
      <c r="H632" s="18">
        <v>364.75</v>
      </c>
      <c r="I632" s="3">
        <v>42013</v>
      </c>
      <c r="J632"/>
      <c r="L632"/>
      <c r="M632"/>
      <c r="N632" s="20"/>
      <c r="O632" s="20"/>
      <c r="P632" s="20"/>
      <c r="Q632" s="20"/>
      <c r="R632" s="20"/>
      <c r="S632" s="20"/>
      <c r="T632" s="20"/>
    </row>
    <row r="633" spans="1:21" x14ac:dyDescent="0.25">
      <c r="A633" s="3">
        <v>42019</v>
      </c>
      <c r="B633" s="36">
        <v>63</v>
      </c>
      <c r="C633" t="s">
        <v>1474</v>
      </c>
      <c r="D633" s="55"/>
      <c r="E633" s="18">
        <v>1531.25</v>
      </c>
      <c r="F633" t="s">
        <v>889</v>
      </c>
      <c r="G633" t="s">
        <v>1086</v>
      </c>
      <c r="H633" s="18" t="s">
        <v>442</v>
      </c>
      <c r="I633" s="3" t="s">
        <v>442</v>
      </c>
      <c r="J633"/>
      <c r="L633"/>
      <c r="M633"/>
      <c r="N633" s="20"/>
      <c r="O633"/>
      <c r="P633" s="20"/>
      <c r="Q633" s="20"/>
      <c r="R633" s="20"/>
      <c r="S633" s="20"/>
      <c r="T633" s="20"/>
    </row>
    <row r="634" spans="1:21" x14ac:dyDescent="0.25">
      <c r="A634" s="3">
        <v>42019</v>
      </c>
      <c r="B634" s="36">
        <v>63</v>
      </c>
      <c r="C634" t="s">
        <v>1527</v>
      </c>
      <c r="D634" s="55"/>
      <c r="E634" s="18">
        <v>341.43</v>
      </c>
      <c r="F634" t="s">
        <v>891</v>
      </c>
      <c r="H634" s="18" t="s">
        <v>442</v>
      </c>
      <c r="I634" s="3" t="s">
        <v>442</v>
      </c>
      <c r="J634"/>
      <c r="L634"/>
      <c r="M634"/>
      <c r="N634" s="20"/>
      <c r="O634"/>
      <c r="P634" s="20" t="s">
        <v>401</v>
      </c>
      <c r="Q634" s="20"/>
      <c r="R634" s="20"/>
      <c r="S634" s="20"/>
      <c r="T634" s="20"/>
    </row>
    <row r="635" spans="1:21" x14ac:dyDescent="0.25">
      <c r="A635" s="3">
        <v>41817</v>
      </c>
      <c r="B635" s="36">
        <v>67</v>
      </c>
      <c r="C635" t="s">
        <v>1528</v>
      </c>
      <c r="E635" s="18">
        <v>750</v>
      </c>
      <c r="G635" t="s">
        <v>442</v>
      </c>
      <c r="H635" s="18" t="s">
        <v>442</v>
      </c>
      <c r="I635" s="3" t="s">
        <v>442</v>
      </c>
      <c r="J635"/>
      <c r="L635"/>
      <c r="M635"/>
      <c r="N635" s="20"/>
      <c r="O635" t="s">
        <v>1529</v>
      </c>
      <c r="P635" s="20"/>
      <c r="Q635" s="20"/>
      <c r="R635" s="20"/>
      <c r="S635" s="20"/>
      <c r="T635" s="20" t="s">
        <v>401</v>
      </c>
    </row>
    <row r="636" spans="1:21" x14ac:dyDescent="0.25">
      <c r="A636" s="3">
        <v>41831</v>
      </c>
      <c r="B636" s="36">
        <v>67</v>
      </c>
      <c r="C636" t="s">
        <v>1530</v>
      </c>
      <c r="D636">
        <v>5</v>
      </c>
      <c r="E636" s="18">
        <v>500</v>
      </c>
      <c r="G636" s="20" t="s">
        <v>1086</v>
      </c>
      <c r="H636" s="18">
        <v>500</v>
      </c>
      <c r="I636" s="3">
        <v>41831</v>
      </c>
      <c r="J636"/>
      <c r="L636"/>
      <c r="M636"/>
      <c r="N636" s="20"/>
      <c r="O636" t="s">
        <v>1087</v>
      </c>
      <c r="P636" s="20"/>
      <c r="Q636" s="20"/>
      <c r="R636" s="20"/>
      <c r="S636" s="20"/>
      <c r="T636" s="20"/>
    </row>
    <row r="637" spans="1:21" x14ac:dyDescent="0.25">
      <c r="A637" s="3">
        <v>41831</v>
      </c>
      <c r="B637" s="36">
        <v>67</v>
      </c>
      <c r="C637" t="s">
        <v>1531</v>
      </c>
      <c r="D637">
        <v>7.5</v>
      </c>
      <c r="E637" s="18">
        <v>750</v>
      </c>
      <c r="G637" s="20" t="s">
        <v>1086</v>
      </c>
      <c r="H637" s="18">
        <v>750</v>
      </c>
      <c r="I637" s="3">
        <v>41831</v>
      </c>
      <c r="J637"/>
      <c r="L637"/>
      <c r="M637"/>
      <c r="N637" s="20"/>
      <c r="O637" t="s">
        <v>1087</v>
      </c>
      <c r="P637" s="20"/>
      <c r="Q637" s="20"/>
      <c r="R637" s="20"/>
      <c r="S637" s="20"/>
      <c r="T637" s="20"/>
    </row>
    <row r="638" spans="1:21" x14ac:dyDescent="0.25">
      <c r="A638" s="3">
        <v>41851</v>
      </c>
      <c r="B638" s="36">
        <v>67</v>
      </c>
      <c r="C638" t="s">
        <v>1532</v>
      </c>
      <c r="D638">
        <v>12.25</v>
      </c>
      <c r="E638" s="18">
        <v>245</v>
      </c>
      <c r="F638" t="s">
        <v>889</v>
      </c>
      <c r="G638" s="20" t="s">
        <v>1086</v>
      </c>
      <c r="H638" s="18">
        <v>245</v>
      </c>
      <c r="I638" s="3">
        <v>41851</v>
      </c>
      <c r="J638"/>
      <c r="L638"/>
      <c r="M638"/>
      <c r="N638" s="20"/>
      <c r="O638"/>
      <c r="P638" s="20"/>
      <c r="Q638" s="20"/>
      <c r="R638" s="20"/>
      <c r="S638" s="20"/>
      <c r="T638" s="20"/>
    </row>
    <row r="639" spans="1:21" x14ac:dyDescent="0.25">
      <c r="B639">
        <v>67</v>
      </c>
      <c r="C639" t="s">
        <v>1528</v>
      </c>
      <c r="E639" s="18">
        <v>-750</v>
      </c>
      <c r="G639" t="s">
        <v>442</v>
      </c>
      <c r="I639"/>
      <c r="J639"/>
      <c r="L639"/>
      <c r="M639"/>
      <c r="O639"/>
      <c r="P639" s="20"/>
      <c r="Q639" s="20"/>
      <c r="R639" s="20"/>
      <c r="S639" s="20"/>
      <c r="T639" s="20"/>
      <c r="U639" t="s">
        <v>401</v>
      </c>
    </row>
    <row r="640" spans="1:21" x14ac:dyDescent="0.25">
      <c r="A640" s="3">
        <v>41747</v>
      </c>
      <c r="B640" s="36">
        <v>71</v>
      </c>
      <c r="C640" t="s">
        <v>1533</v>
      </c>
      <c r="D640">
        <v>4.5</v>
      </c>
      <c r="E640" s="18">
        <v>450</v>
      </c>
      <c r="G640" t="s">
        <v>1534</v>
      </c>
      <c r="H640" s="18">
        <v>450</v>
      </c>
      <c r="I640" s="3">
        <v>41747</v>
      </c>
      <c r="J640"/>
      <c r="L640"/>
      <c r="M640"/>
      <c r="N640" s="20"/>
      <c r="O640"/>
      <c r="P640" s="20"/>
      <c r="Q640" s="20"/>
      <c r="R640" s="20"/>
      <c r="S640" s="20"/>
      <c r="T640" s="20"/>
    </row>
    <row r="641" spans="1:20" x14ac:dyDescent="0.25">
      <c r="A641" s="3">
        <v>41747</v>
      </c>
      <c r="B641" s="36">
        <v>71</v>
      </c>
      <c r="C641" t="s">
        <v>1535</v>
      </c>
      <c r="D641">
        <v>9.25</v>
      </c>
      <c r="E641" s="18">
        <v>925</v>
      </c>
      <c r="G641" t="s">
        <v>1536</v>
      </c>
      <c r="H641" s="18">
        <v>925</v>
      </c>
      <c r="I641" s="3">
        <v>41747</v>
      </c>
      <c r="J641"/>
      <c r="L641"/>
      <c r="M641"/>
      <c r="N641" s="20"/>
      <c r="O641"/>
      <c r="P641" s="20"/>
      <c r="Q641" s="20"/>
      <c r="R641" s="20"/>
      <c r="S641" s="20"/>
      <c r="T641" s="20"/>
    </row>
    <row r="642" spans="1:20" x14ac:dyDescent="0.25">
      <c r="A642" s="3">
        <v>41753</v>
      </c>
      <c r="B642" s="36">
        <v>71</v>
      </c>
      <c r="C642" t="s">
        <v>1533</v>
      </c>
      <c r="D642">
        <v>4.5</v>
      </c>
      <c r="E642" s="18">
        <v>-450</v>
      </c>
      <c r="G642" t="s">
        <v>1534</v>
      </c>
      <c r="H642" s="18" t="s">
        <v>442</v>
      </c>
      <c r="I642" s="3" t="s">
        <v>442</v>
      </c>
      <c r="J642"/>
      <c r="L642"/>
      <c r="M642"/>
      <c r="N642" s="20"/>
      <c r="O642"/>
      <c r="P642" s="20"/>
      <c r="Q642" s="20"/>
      <c r="R642" s="20"/>
      <c r="S642" s="20"/>
      <c r="T642" s="20"/>
    </row>
    <row r="643" spans="1:20" x14ac:dyDescent="0.25">
      <c r="A643" s="3">
        <v>41753</v>
      </c>
      <c r="B643" s="36">
        <v>71</v>
      </c>
      <c r="C643" t="s">
        <v>1537</v>
      </c>
      <c r="D643">
        <v>3.5</v>
      </c>
      <c r="E643" s="18">
        <v>350</v>
      </c>
      <c r="G643" t="s">
        <v>1538</v>
      </c>
      <c r="H643" s="18">
        <v>350</v>
      </c>
      <c r="I643" s="3">
        <v>41753</v>
      </c>
      <c r="J643"/>
      <c r="L643"/>
      <c r="M643"/>
      <c r="N643" s="20"/>
      <c r="O643"/>
      <c r="P643" s="20"/>
      <c r="Q643" s="20"/>
      <c r="R643" s="20"/>
      <c r="S643" s="20"/>
      <c r="T643" s="20"/>
    </row>
    <row r="644" spans="1:20" x14ac:dyDescent="0.25">
      <c r="A644" s="3">
        <v>41753</v>
      </c>
      <c r="B644" s="36">
        <v>71</v>
      </c>
      <c r="C644" t="s">
        <v>1539</v>
      </c>
      <c r="D644">
        <v>4.5</v>
      </c>
      <c r="E644" s="18">
        <v>450</v>
      </c>
      <c r="G644" t="s">
        <v>1540</v>
      </c>
      <c r="H644" s="18">
        <v>450</v>
      </c>
      <c r="I644" s="3">
        <v>41753</v>
      </c>
      <c r="J644"/>
      <c r="L644"/>
      <c r="M644"/>
      <c r="N644" s="20"/>
      <c r="O644"/>
      <c r="P644" s="20"/>
      <c r="Q644" s="20"/>
      <c r="R644" s="20"/>
      <c r="S644" s="20"/>
      <c r="T644" s="20"/>
    </row>
    <row r="645" spans="1:20" x14ac:dyDescent="0.25">
      <c r="A645" s="3">
        <v>41768</v>
      </c>
      <c r="B645" s="36">
        <v>71</v>
      </c>
      <c r="C645" t="s">
        <v>1541</v>
      </c>
      <c r="D645">
        <v>5.61</v>
      </c>
      <c r="E645" s="18">
        <v>561</v>
      </c>
      <c r="G645" t="s">
        <v>1542</v>
      </c>
      <c r="H645" s="18">
        <v>561</v>
      </c>
      <c r="I645" s="3">
        <v>41768</v>
      </c>
      <c r="J645"/>
      <c r="L645"/>
      <c r="M645"/>
      <c r="N645" s="20"/>
      <c r="O645"/>
      <c r="P645" s="20"/>
      <c r="Q645" s="20"/>
      <c r="R645" s="20"/>
      <c r="S645" s="20"/>
      <c r="T645" s="20"/>
    </row>
    <row r="646" spans="1:20" x14ac:dyDescent="0.25">
      <c r="A646" s="3">
        <v>41768</v>
      </c>
      <c r="B646" s="36">
        <v>71</v>
      </c>
      <c r="C646" t="s">
        <v>1543</v>
      </c>
      <c r="D646">
        <v>7.25</v>
      </c>
      <c r="E646" s="18">
        <v>725</v>
      </c>
      <c r="G646" t="s">
        <v>1544</v>
      </c>
      <c r="H646" s="18">
        <v>725</v>
      </c>
      <c r="I646" s="3">
        <v>41768</v>
      </c>
      <c r="J646"/>
      <c r="L646"/>
      <c r="M646"/>
      <c r="N646" s="20"/>
      <c r="O646"/>
      <c r="P646" s="20"/>
      <c r="Q646" s="20"/>
      <c r="R646" s="20"/>
      <c r="S646" s="20"/>
      <c r="T646" s="20"/>
    </row>
    <row r="647" spans="1:20" x14ac:dyDescent="0.25">
      <c r="A647" s="3">
        <v>41768</v>
      </c>
      <c r="B647" s="36">
        <v>71</v>
      </c>
      <c r="C647" t="s">
        <v>1545</v>
      </c>
      <c r="D647">
        <v>2.75</v>
      </c>
      <c r="E647" s="18">
        <v>275</v>
      </c>
      <c r="G647" t="s">
        <v>1546</v>
      </c>
      <c r="H647" s="18">
        <v>275</v>
      </c>
      <c r="I647" s="3">
        <v>41768</v>
      </c>
      <c r="J647"/>
      <c r="L647"/>
      <c r="M647"/>
      <c r="N647" s="20"/>
      <c r="O647"/>
      <c r="P647" s="20"/>
      <c r="Q647" s="20"/>
      <c r="R647" s="20"/>
      <c r="S647" s="20"/>
      <c r="T647" s="20"/>
    </row>
    <row r="648" spans="1:20" x14ac:dyDescent="0.25">
      <c r="A648" s="3">
        <v>41775</v>
      </c>
      <c r="B648" s="36">
        <v>71</v>
      </c>
      <c r="C648" t="s">
        <v>1547</v>
      </c>
      <c r="D648">
        <v>4.08</v>
      </c>
      <c r="E648" s="18">
        <v>408</v>
      </c>
      <c r="G648" t="s">
        <v>1548</v>
      </c>
      <c r="H648" s="18">
        <v>408</v>
      </c>
      <c r="I648" s="3">
        <v>41775</v>
      </c>
      <c r="J648"/>
      <c r="L648"/>
      <c r="M648"/>
      <c r="N648" s="20"/>
      <c r="O648"/>
      <c r="P648" s="20"/>
      <c r="Q648" s="20"/>
      <c r="R648" s="20"/>
      <c r="S648" s="20"/>
      <c r="T648" s="20"/>
    </row>
    <row r="649" spans="1:20" x14ac:dyDescent="0.25">
      <c r="A649" s="3">
        <v>41775</v>
      </c>
      <c r="B649" s="36">
        <v>71</v>
      </c>
      <c r="C649" t="s">
        <v>1549</v>
      </c>
      <c r="D649">
        <v>8</v>
      </c>
      <c r="E649" s="18">
        <v>800</v>
      </c>
      <c r="G649" t="s">
        <v>1550</v>
      </c>
      <c r="H649" s="18">
        <v>800</v>
      </c>
      <c r="I649" s="3">
        <v>41775</v>
      </c>
      <c r="J649"/>
      <c r="L649"/>
      <c r="M649"/>
      <c r="N649" s="20"/>
      <c r="O649"/>
      <c r="P649" s="20"/>
      <c r="Q649" s="20"/>
      <c r="R649" s="20"/>
      <c r="S649" s="20"/>
      <c r="T649" s="20"/>
    </row>
    <row r="650" spans="1:20" x14ac:dyDescent="0.25">
      <c r="A650" s="3">
        <v>41782</v>
      </c>
      <c r="B650" s="36">
        <v>71</v>
      </c>
      <c r="C650" t="s">
        <v>1551</v>
      </c>
      <c r="D650">
        <v>4</v>
      </c>
      <c r="E650" s="18">
        <v>400</v>
      </c>
      <c r="G650" t="s">
        <v>1552</v>
      </c>
      <c r="H650" s="18">
        <v>400</v>
      </c>
      <c r="I650" s="3">
        <v>41782</v>
      </c>
      <c r="J650"/>
      <c r="L650"/>
      <c r="M650"/>
      <c r="N650" s="20"/>
      <c r="O650"/>
      <c r="P650" s="20"/>
      <c r="Q650" s="20"/>
      <c r="R650" s="20"/>
      <c r="S650" s="20"/>
      <c r="T650" s="20"/>
    </row>
    <row r="651" spans="1:20" x14ac:dyDescent="0.25">
      <c r="A651" s="3">
        <v>41796</v>
      </c>
      <c r="B651" s="36">
        <v>71</v>
      </c>
      <c r="C651" t="s">
        <v>1553</v>
      </c>
      <c r="D651">
        <v>5.5</v>
      </c>
      <c r="E651" s="18">
        <v>550</v>
      </c>
      <c r="G651" t="s">
        <v>1554</v>
      </c>
      <c r="H651" s="18">
        <v>550</v>
      </c>
      <c r="I651" s="3">
        <v>41796</v>
      </c>
      <c r="J651"/>
      <c r="L651"/>
      <c r="M651"/>
      <c r="N651" s="20"/>
      <c r="O651" t="s">
        <v>1555</v>
      </c>
      <c r="P651" s="20"/>
      <c r="Q651" s="20"/>
      <c r="R651" s="20"/>
      <c r="S651" s="20"/>
      <c r="T651" s="20"/>
    </row>
    <row r="652" spans="1:20" x14ac:dyDescent="0.25">
      <c r="A652" s="3">
        <v>41803</v>
      </c>
      <c r="B652" s="36">
        <v>71</v>
      </c>
      <c r="C652" t="s">
        <v>1556</v>
      </c>
      <c r="D652">
        <v>10</v>
      </c>
      <c r="E652" s="18">
        <v>1000</v>
      </c>
      <c r="G652" t="s">
        <v>1557</v>
      </c>
      <c r="H652" s="18">
        <v>1000</v>
      </c>
      <c r="I652" s="3">
        <v>41803</v>
      </c>
      <c r="J652"/>
      <c r="L652"/>
      <c r="M652"/>
      <c r="N652" s="20"/>
      <c r="O652"/>
      <c r="P652" s="20"/>
      <c r="Q652" s="20"/>
      <c r="R652" s="20"/>
      <c r="S652" s="20"/>
      <c r="T652" s="20"/>
    </row>
    <row r="653" spans="1:20" x14ac:dyDescent="0.25">
      <c r="A653" s="3">
        <v>41803</v>
      </c>
      <c r="B653" s="36">
        <v>71</v>
      </c>
      <c r="C653" t="s">
        <v>1558</v>
      </c>
      <c r="D653">
        <v>4.5</v>
      </c>
      <c r="E653" s="18">
        <v>450</v>
      </c>
      <c r="G653" t="s">
        <v>1559</v>
      </c>
      <c r="H653" s="18">
        <v>450</v>
      </c>
      <c r="I653" s="3">
        <v>41803</v>
      </c>
      <c r="J653"/>
      <c r="L653"/>
      <c r="M653"/>
      <c r="N653" s="20"/>
      <c r="O653"/>
      <c r="P653" s="20"/>
      <c r="Q653" s="20"/>
      <c r="R653" s="20"/>
      <c r="S653" s="20"/>
      <c r="T653" s="20"/>
    </row>
    <row r="654" spans="1:20" x14ac:dyDescent="0.25">
      <c r="A654" s="3">
        <v>41803</v>
      </c>
      <c r="B654" s="36">
        <v>71</v>
      </c>
      <c r="C654" t="s">
        <v>1560</v>
      </c>
      <c r="D654">
        <v>10</v>
      </c>
      <c r="E654" s="18">
        <v>1000</v>
      </c>
      <c r="G654" t="s">
        <v>1561</v>
      </c>
      <c r="H654" s="18">
        <v>1000</v>
      </c>
      <c r="I654" s="3">
        <v>41803</v>
      </c>
      <c r="J654"/>
      <c r="L654"/>
      <c r="M654"/>
      <c r="N654" s="20"/>
      <c r="O654" t="s">
        <v>1169</v>
      </c>
      <c r="P654" s="20"/>
      <c r="Q654" s="20"/>
      <c r="R654" s="20"/>
      <c r="S654" s="20"/>
      <c r="T654" s="20"/>
    </row>
    <row r="655" spans="1:20" x14ac:dyDescent="0.25">
      <c r="A655" s="3">
        <v>41803</v>
      </c>
      <c r="B655" s="36">
        <v>71</v>
      </c>
      <c r="C655" t="s">
        <v>1562</v>
      </c>
      <c r="D655">
        <v>10</v>
      </c>
      <c r="E655" s="18">
        <v>1000</v>
      </c>
      <c r="G655" t="s">
        <v>1563</v>
      </c>
      <c r="H655" s="18">
        <v>1000</v>
      </c>
      <c r="I655" s="3">
        <v>41803</v>
      </c>
      <c r="J655"/>
      <c r="L655"/>
      <c r="M655"/>
      <c r="N655" s="20"/>
      <c r="O655" t="s">
        <v>1169</v>
      </c>
      <c r="P655" s="20"/>
      <c r="Q655" s="20"/>
      <c r="R655" s="20"/>
      <c r="S655" s="20"/>
      <c r="T655" s="20"/>
    </row>
    <row r="656" spans="1:20" x14ac:dyDescent="0.25">
      <c r="A656" s="37">
        <v>41810</v>
      </c>
      <c r="B656" s="36">
        <v>71</v>
      </c>
      <c r="C656" s="38" t="s">
        <v>1564</v>
      </c>
      <c r="D656" s="38">
        <v>7.3949999999999996</v>
      </c>
      <c r="E656" s="39">
        <v>739.5</v>
      </c>
      <c r="F656" s="38"/>
      <c r="G656" t="s">
        <v>1565</v>
      </c>
      <c r="H656" s="18">
        <v>739.5</v>
      </c>
      <c r="I656" s="3">
        <v>41810</v>
      </c>
      <c r="J656"/>
      <c r="L656"/>
      <c r="M656"/>
      <c r="N656" s="40"/>
      <c r="O656" s="38" t="s">
        <v>1566</v>
      </c>
      <c r="P656" s="20"/>
      <c r="Q656" s="20"/>
      <c r="R656" s="20"/>
      <c r="S656" s="20"/>
      <c r="T656" s="20"/>
    </row>
    <row r="657" spans="1:21" x14ac:dyDescent="0.25">
      <c r="A657" s="3">
        <v>41810</v>
      </c>
      <c r="B657" s="36">
        <v>71</v>
      </c>
      <c r="C657" t="s">
        <v>1567</v>
      </c>
      <c r="D657">
        <v>7</v>
      </c>
      <c r="E657" s="18">
        <v>700</v>
      </c>
      <c r="G657" t="s">
        <v>1568</v>
      </c>
      <c r="H657" s="18">
        <v>700</v>
      </c>
      <c r="I657" s="3">
        <v>41810</v>
      </c>
      <c r="J657"/>
      <c r="L657"/>
      <c r="M657"/>
      <c r="N657" s="20"/>
      <c r="O657" t="s">
        <v>1169</v>
      </c>
      <c r="P657" s="20"/>
      <c r="Q657" s="20"/>
      <c r="R657" s="20"/>
      <c r="S657" s="20"/>
      <c r="T657" s="20"/>
    </row>
    <row r="658" spans="1:21" x14ac:dyDescent="0.25">
      <c r="A658" s="3">
        <v>41810</v>
      </c>
      <c r="B658" s="36">
        <v>71</v>
      </c>
      <c r="C658" t="s">
        <v>1569</v>
      </c>
      <c r="D658">
        <v>3.3149999999999999</v>
      </c>
      <c r="E658" s="18">
        <v>331.5</v>
      </c>
      <c r="G658" t="s">
        <v>1570</v>
      </c>
      <c r="H658" s="18">
        <v>331.5</v>
      </c>
      <c r="I658" s="3">
        <v>41810</v>
      </c>
      <c r="J658"/>
      <c r="L658"/>
      <c r="M658"/>
      <c r="N658" s="20"/>
      <c r="O658" t="s">
        <v>905</v>
      </c>
      <c r="P658" s="20"/>
      <c r="Q658" s="20"/>
      <c r="R658" s="20"/>
      <c r="S658" s="20"/>
      <c r="T658" s="20"/>
    </row>
    <row r="659" spans="1:21" x14ac:dyDescent="0.25">
      <c r="A659" s="3">
        <v>41810</v>
      </c>
      <c r="B659" s="36">
        <v>71</v>
      </c>
      <c r="C659" t="s">
        <v>1571</v>
      </c>
      <c r="D659">
        <v>9</v>
      </c>
      <c r="E659" s="18">
        <v>900</v>
      </c>
      <c r="G659" t="s">
        <v>1572</v>
      </c>
      <c r="H659" s="18">
        <v>900</v>
      </c>
      <c r="I659" s="3">
        <v>41810</v>
      </c>
      <c r="J659"/>
      <c r="L659"/>
      <c r="M659"/>
      <c r="N659" s="20"/>
      <c r="O659" t="s">
        <v>1169</v>
      </c>
      <c r="P659" s="20"/>
      <c r="Q659" s="20"/>
      <c r="R659" s="20"/>
      <c r="S659" s="20"/>
      <c r="T659" s="20"/>
    </row>
    <row r="660" spans="1:21" x14ac:dyDescent="0.25">
      <c r="B660">
        <v>71</v>
      </c>
      <c r="C660" t="s">
        <v>1564</v>
      </c>
      <c r="D660">
        <v>7.3949999999999996</v>
      </c>
      <c r="E660" s="18">
        <v>-739.5</v>
      </c>
      <c r="F660" t="s">
        <v>889</v>
      </c>
      <c r="G660" t="s">
        <v>1565</v>
      </c>
      <c r="I660"/>
      <c r="J660"/>
      <c r="L660"/>
      <c r="M660"/>
      <c r="O660"/>
      <c r="P660" s="20"/>
      <c r="Q660" s="20"/>
      <c r="R660" s="20"/>
      <c r="S660" s="20"/>
      <c r="T660" s="20"/>
      <c r="U660" t="s">
        <v>401</v>
      </c>
    </row>
    <row r="661" spans="1:21" x14ac:dyDescent="0.25">
      <c r="B661">
        <v>71</v>
      </c>
      <c r="C661" t="s">
        <v>1547</v>
      </c>
      <c r="D661">
        <v>4.08</v>
      </c>
      <c r="E661" s="18">
        <v>-408</v>
      </c>
      <c r="F661" t="s">
        <v>889</v>
      </c>
      <c r="G661" t="s">
        <v>1548</v>
      </c>
      <c r="I661"/>
      <c r="J661"/>
      <c r="L661"/>
      <c r="M661"/>
      <c r="O661"/>
      <c r="P661" s="20"/>
      <c r="Q661" s="20"/>
      <c r="R661" s="20"/>
      <c r="S661" s="20"/>
      <c r="T661" s="20"/>
      <c r="U661" t="s">
        <v>401</v>
      </c>
    </row>
    <row r="662" spans="1:21" x14ac:dyDescent="0.25">
      <c r="B662">
        <v>71</v>
      </c>
      <c r="C662" t="s">
        <v>1556</v>
      </c>
      <c r="D662">
        <v>10</v>
      </c>
      <c r="E662" s="18">
        <v>1000</v>
      </c>
      <c r="F662" t="s">
        <v>889</v>
      </c>
      <c r="G662" t="s">
        <v>1557</v>
      </c>
      <c r="I662"/>
      <c r="J662"/>
      <c r="L662"/>
      <c r="M662"/>
      <c r="O662"/>
      <c r="P662" s="20"/>
      <c r="Q662" s="20"/>
      <c r="R662" s="20"/>
      <c r="S662" s="20"/>
      <c r="T662" s="20"/>
      <c r="U662" t="s">
        <v>401</v>
      </c>
    </row>
    <row r="663" spans="1:21" x14ac:dyDescent="0.25">
      <c r="B663">
        <v>71</v>
      </c>
      <c r="C663" t="s">
        <v>1567</v>
      </c>
      <c r="D663">
        <v>7.3949999999999996</v>
      </c>
      <c r="E663" s="18">
        <v>-700</v>
      </c>
      <c r="F663" t="s">
        <v>889</v>
      </c>
      <c r="G663" t="s">
        <v>1568</v>
      </c>
      <c r="I663"/>
      <c r="J663"/>
      <c r="L663"/>
      <c r="M663"/>
      <c r="O663"/>
      <c r="P663" s="20"/>
      <c r="Q663" s="20"/>
      <c r="R663" s="20"/>
      <c r="S663" s="20"/>
      <c r="T663" s="20"/>
      <c r="U663" t="s">
        <v>401</v>
      </c>
    </row>
    <row r="664" spans="1:21" x14ac:dyDescent="0.25">
      <c r="B664">
        <v>71</v>
      </c>
      <c r="C664" t="s">
        <v>1551</v>
      </c>
      <c r="D664">
        <v>4.08</v>
      </c>
      <c r="E664" s="18">
        <v>138.66666666666666</v>
      </c>
      <c r="F664" t="s">
        <v>889</v>
      </c>
      <c r="G664" t="s">
        <v>1552</v>
      </c>
      <c r="I664"/>
      <c r="J664"/>
      <c r="L664"/>
      <c r="M664"/>
      <c r="O664"/>
      <c r="P664" s="20"/>
      <c r="Q664" s="20"/>
      <c r="R664" s="20"/>
      <c r="S664" s="20"/>
      <c r="T664" s="20"/>
      <c r="U664" t="s">
        <v>401</v>
      </c>
    </row>
    <row r="665" spans="1:21" x14ac:dyDescent="0.25">
      <c r="B665">
        <v>71</v>
      </c>
      <c r="C665" t="s">
        <v>1551</v>
      </c>
      <c r="E665" s="18">
        <v>138.66666666666666</v>
      </c>
      <c r="G665" t="s">
        <v>1552</v>
      </c>
      <c r="I665"/>
      <c r="J665"/>
      <c r="L665"/>
      <c r="M665"/>
      <c r="O665"/>
      <c r="P665" s="20"/>
      <c r="Q665" s="20"/>
      <c r="R665" s="20"/>
      <c r="S665" s="20"/>
      <c r="T665" s="20"/>
      <c r="U665" t="s">
        <v>401</v>
      </c>
    </row>
    <row r="666" spans="1:21" x14ac:dyDescent="0.25">
      <c r="B666">
        <v>71</v>
      </c>
      <c r="C666" t="s">
        <v>1558</v>
      </c>
      <c r="D666">
        <v>4.5</v>
      </c>
      <c r="E666" s="18">
        <v>-450</v>
      </c>
      <c r="F666" t="s">
        <v>889</v>
      </c>
      <c r="G666" t="s">
        <v>1559</v>
      </c>
      <c r="I666"/>
      <c r="J666"/>
      <c r="L666"/>
      <c r="M666"/>
      <c r="O666"/>
      <c r="P666" s="20"/>
      <c r="Q666" s="20"/>
      <c r="R666" s="20"/>
      <c r="S666" s="20"/>
      <c r="T666" s="20"/>
      <c r="U666" t="s">
        <v>401</v>
      </c>
    </row>
    <row r="667" spans="1:21" x14ac:dyDescent="0.25">
      <c r="B667">
        <v>71</v>
      </c>
      <c r="C667" t="s">
        <v>1553</v>
      </c>
      <c r="D667">
        <v>10</v>
      </c>
      <c r="E667" s="18">
        <v>-550</v>
      </c>
      <c r="F667" t="s">
        <v>889</v>
      </c>
      <c r="G667" t="s">
        <v>1554</v>
      </c>
      <c r="I667"/>
      <c r="J667"/>
      <c r="L667"/>
      <c r="M667"/>
      <c r="O667"/>
      <c r="P667" s="20"/>
      <c r="Q667" s="20"/>
      <c r="R667" s="20"/>
      <c r="S667" s="20"/>
      <c r="T667" s="20"/>
      <c r="U667" t="s">
        <v>401</v>
      </c>
    </row>
    <row r="668" spans="1:21" x14ac:dyDescent="0.25">
      <c r="B668">
        <v>71</v>
      </c>
      <c r="C668" t="s">
        <v>1569</v>
      </c>
      <c r="D668">
        <v>3.3149999999999999</v>
      </c>
      <c r="E668" s="18">
        <v>-331.5</v>
      </c>
      <c r="F668" t="s">
        <v>889</v>
      </c>
      <c r="G668" t="s">
        <v>1570</v>
      </c>
      <c r="I668"/>
      <c r="J668"/>
      <c r="L668"/>
      <c r="M668"/>
      <c r="O668"/>
      <c r="P668" s="20"/>
      <c r="Q668" s="20"/>
      <c r="R668" s="20"/>
      <c r="S668" s="20"/>
      <c r="T668" s="20"/>
      <c r="U668" t="s">
        <v>401</v>
      </c>
    </row>
    <row r="669" spans="1:21" x14ac:dyDescent="0.25">
      <c r="B669">
        <v>71</v>
      </c>
      <c r="C669" t="s">
        <v>1560</v>
      </c>
      <c r="D669">
        <v>10</v>
      </c>
      <c r="E669" s="18">
        <v>-1000</v>
      </c>
      <c r="F669" t="s">
        <v>889</v>
      </c>
      <c r="G669" t="s">
        <v>1561</v>
      </c>
      <c r="I669"/>
      <c r="J669"/>
      <c r="L669"/>
      <c r="M669"/>
      <c r="O669"/>
      <c r="P669" s="20"/>
      <c r="Q669" s="20"/>
      <c r="R669" s="20"/>
      <c r="S669" s="20"/>
      <c r="T669" s="20"/>
      <c r="U669" t="s">
        <v>401</v>
      </c>
    </row>
    <row r="670" spans="1:21" x14ac:dyDescent="0.25">
      <c r="B670">
        <v>71</v>
      </c>
      <c r="C670" t="s">
        <v>1562</v>
      </c>
      <c r="D670">
        <v>10.75</v>
      </c>
      <c r="E670" s="18">
        <v>-1000</v>
      </c>
      <c r="F670" t="s">
        <v>889</v>
      </c>
      <c r="G670" t="s">
        <v>1563</v>
      </c>
      <c r="I670"/>
      <c r="J670"/>
      <c r="L670"/>
      <c r="M670"/>
      <c r="O670"/>
      <c r="P670" s="20"/>
      <c r="Q670" s="20"/>
      <c r="R670" s="20"/>
      <c r="S670" s="20"/>
      <c r="T670" s="20"/>
      <c r="U670" t="s">
        <v>401</v>
      </c>
    </row>
    <row r="671" spans="1:21" x14ac:dyDescent="0.25">
      <c r="B671">
        <v>71</v>
      </c>
      <c r="C671" t="s">
        <v>1549</v>
      </c>
      <c r="D671">
        <v>9.18</v>
      </c>
      <c r="E671" s="18">
        <v>-800</v>
      </c>
      <c r="F671" t="s">
        <v>889</v>
      </c>
      <c r="G671" t="s">
        <v>1550</v>
      </c>
      <c r="I671"/>
      <c r="J671"/>
      <c r="L671"/>
      <c r="M671"/>
      <c r="O671"/>
      <c r="P671" s="20"/>
      <c r="Q671" s="20"/>
      <c r="R671" s="20"/>
      <c r="S671" s="20"/>
      <c r="T671" s="20"/>
      <c r="U671" t="s">
        <v>401</v>
      </c>
    </row>
    <row r="672" spans="1:21" x14ac:dyDescent="0.25">
      <c r="B672">
        <v>71</v>
      </c>
      <c r="C672" t="s">
        <v>1539</v>
      </c>
      <c r="D672">
        <v>4.165</v>
      </c>
      <c r="E672" s="18">
        <v>383</v>
      </c>
      <c r="F672" t="s">
        <v>889</v>
      </c>
      <c r="G672" t="s">
        <v>1540</v>
      </c>
      <c r="I672"/>
      <c r="J672"/>
      <c r="L672"/>
      <c r="M672"/>
      <c r="O672"/>
      <c r="P672" s="20"/>
      <c r="Q672" s="20"/>
      <c r="R672" s="20"/>
      <c r="S672" s="20"/>
      <c r="T672" s="20"/>
      <c r="U672" t="s">
        <v>401</v>
      </c>
    </row>
    <row r="673" spans="1:21" x14ac:dyDescent="0.25">
      <c r="B673">
        <v>71</v>
      </c>
      <c r="C673" t="s">
        <v>1482</v>
      </c>
      <c r="E673" s="18">
        <v>-100</v>
      </c>
      <c r="G673" t="s">
        <v>442</v>
      </c>
      <c r="I673"/>
      <c r="J673"/>
      <c r="L673"/>
      <c r="M673"/>
      <c r="O673"/>
      <c r="P673" s="20"/>
      <c r="Q673" s="20"/>
      <c r="R673" s="20"/>
      <c r="S673" s="20"/>
      <c r="T673" s="20"/>
      <c r="U673" t="s">
        <v>401</v>
      </c>
    </row>
    <row r="674" spans="1:21" x14ac:dyDescent="0.25">
      <c r="B674">
        <v>71</v>
      </c>
      <c r="C674" t="s">
        <v>1483</v>
      </c>
      <c r="E674" s="18">
        <v>-100</v>
      </c>
      <c r="G674" t="s">
        <v>442</v>
      </c>
      <c r="I674"/>
      <c r="J674"/>
      <c r="L674"/>
      <c r="M674"/>
      <c r="O674"/>
      <c r="P674" s="20"/>
      <c r="Q674" s="20"/>
      <c r="R674" s="20"/>
      <c r="S674" s="20"/>
      <c r="T674" s="20"/>
      <c r="U674" t="s">
        <v>401</v>
      </c>
    </row>
    <row r="675" spans="1:21" x14ac:dyDescent="0.25">
      <c r="B675">
        <v>71</v>
      </c>
      <c r="C675" t="s">
        <v>1237</v>
      </c>
      <c r="E675" s="18">
        <v>-100</v>
      </c>
      <c r="F675" t="s">
        <v>1484</v>
      </c>
      <c r="G675" t="s">
        <v>442</v>
      </c>
      <c r="I675"/>
      <c r="J675"/>
      <c r="L675"/>
      <c r="M675"/>
      <c r="O675"/>
      <c r="P675" s="20"/>
      <c r="Q675" s="20"/>
      <c r="R675" s="20"/>
      <c r="S675" s="20"/>
      <c r="T675" s="20"/>
      <c r="U675" t="s">
        <v>401</v>
      </c>
    </row>
    <row r="676" spans="1:21" x14ac:dyDescent="0.25">
      <c r="B676">
        <v>71</v>
      </c>
      <c r="C676" t="s">
        <v>1573</v>
      </c>
      <c r="E676" s="18">
        <v>-100</v>
      </c>
      <c r="G676" t="s">
        <v>442</v>
      </c>
      <c r="I676"/>
      <c r="J676"/>
      <c r="L676"/>
      <c r="M676"/>
      <c r="O676"/>
      <c r="P676" s="20"/>
      <c r="Q676" s="20"/>
      <c r="R676" s="20"/>
      <c r="S676" s="20"/>
      <c r="T676" s="20"/>
      <c r="U676" t="s">
        <v>401</v>
      </c>
    </row>
    <row r="677" spans="1:21" x14ac:dyDescent="0.25">
      <c r="B677">
        <v>71</v>
      </c>
      <c r="C677" t="s">
        <v>1574</v>
      </c>
      <c r="E677" s="18">
        <v>-100</v>
      </c>
      <c r="G677" t="s">
        <v>442</v>
      </c>
      <c r="I677"/>
      <c r="J677"/>
      <c r="L677"/>
      <c r="M677"/>
      <c r="O677"/>
      <c r="P677" s="20"/>
      <c r="Q677" s="20"/>
      <c r="R677" s="20"/>
      <c r="S677" s="20"/>
      <c r="T677" s="20"/>
      <c r="U677" t="s">
        <v>401</v>
      </c>
    </row>
    <row r="678" spans="1:21" x14ac:dyDescent="0.25">
      <c r="B678">
        <v>71</v>
      </c>
      <c r="C678" t="s">
        <v>1575</v>
      </c>
      <c r="E678" s="18">
        <v>-100</v>
      </c>
      <c r="G678" t="s">
        <v>442</v>
      </c>
      <c r="I678"/>
      <c r="J678"/>
      <c r="L678"/>
      <c r="M678"/>
      <c r="O678"/>
      <c r="P678" s="20"/>
      <c r="Q678" s="20"/>
      <c r="R678" s="20"/>
      <c r="S678" s="20"/>
      <c r="T678" s="20"/>
      <c r="U678" t="s">
        <v>401</v>
      </c>
    </row>
    <row r="679" spans="1:21" x14ac:dyDescent="0.25">
      <c r="B679">
        <v>71</v>
      </c>
      <c r="C679" t="s">
        <v>1541</v>
      </c>
      <c r="D679">
        <v>5.61</v>
      </c>
      <c r="E679" s="18">
        <v>-561</v>
      </c>
      <c r="F679" t="s">
        <v>889</v>
      </c>
      <c r="G679" t="s">
        <v>1542</v>
      </c>
      <c r="I679"/>
      <c r="J679"/>
      <c r="L679"/>
      <c r="M679"/>
      <c r="O679"/>
      <c r="P679" s="20"/>
      <c r="Q679" s="20"/>
      <c r="R679" s="20"/>
      <c r="S679" s="20"/>
      <c r="T679" s="20"/>
      <c r="U679" t="s">
        <v>401</v>
      </c>
    </row>
    <row r="680" spans="1:21" x14ac:dyDescent="0.25">
      <c r="B680">
        <v>71</v>
      </c>
      <c r="C680" t="s">
        <v>1576</v>
      </c>
      <c r="D680">
        <v>9.9450000000000003</v>
      </c>
      <c r="E680" s="18">
        <v>1264</v>
      </c>
      <c r="F680" t="s">
        <v>889</v>
      </c>
      <c r="G680" t="s">
        <v>1544</v>
      </c>
      <c r="I680"/>
      <c r="J680"/>
      <c r="L680"/>
      <c r="M680"/>
      <c r="O680"/>
      <c r="P680" s="20"/>
      <c r="Q680" s="20"/>
      <c r="R680" s="20"/>
      <c r="S680" s="20"/>
      <c r="T680" s="20"/>
      <c r="U680" t="s">
        <v>401</v>
      </c>
    </row>
    <row r="681" spans="1:21" x14ac:dyDescent="0.25">
      <c r="B681">
        <v>71</v>
      </c>
      <c r="C681" t="s">
        <v>1545</v>
      </c>
      <c r="D681">
        <v>2.8050000000000002</v>
      </c>
      <c r="E681" s="18">
        <v>-280.5</v>
      </c>
      <c r="G681" t="s">
        <v>1546</v>
      </c>
      <c r="I681"/>
      <c r="J681"/>
      <c r="L681"/>
      <c r="M681"/>
      <c r="O681"/>
      <c r="P681" s="20"/>
      <c r="Q681" s="20"/>
      <c r="R681" s="20"/>
      <c r="S681" s="20"/>
      <c r="T681" s="20"/>
      <c r="U681" t="s">
        <v>401</v>
      </c>
    </row>
    <row r="682" spans="1:21" x14ac:dyDescent="0.25">
      <c r="B682">
        <v>71</v>
      </c>
      <c r="C682" t="s">
        <v>1571</v>
      </c>
      <c r="D682">
        <v>3.57</v>
      </c>
      <c r="E682" s="18">
        <v>-900</v>
      </c>
      <c r="F682" t="s">
        <v>889</v>
      </c>
      <c r="G682" t="s">
        <v>1572</v>
      </c>
      <c r="I682"/>
      <c r="J682"/>
      <c r="L682"/>
      <c r="M682"/>
      <c r="O682"/>
      <c r="P682" s="20"/>
      <c r="Q682" s="20"/>
      <c r="R682" s="20"/>
      <c r="S682" s="20"/>
      <c r="T682" s="20"/>
      <c r="U682" t="s">
        <v>401</v>
      </c>
    </row>
    <row r="683" spans="1:21" x14ac:dyDescent="0.25">
      <c r="A683" s="3">
        <v>41733</v>
      </c>
      <c r="B683" s="36">
        <v>74</v>
      </c>
      <c r="C683" t="s">
        <v>1577</v>
      </c>
      <c r="D683">
        <v>10</v>
      </c>
      <c r="E683" s="18">
        <v>1000</v>
      </c>
      <c r="G683" t="s">
        <v>1578</v>
      </c>
      <c r="H683" s="18">
        <v>1000</v>
      </c>
      <c r="I683" s="3">
        <v>41733</v>
      </c>
      <c r="J683"/>
      <c r="L683"/>
      <c r="M683"/>
      <c r="N683" s="20"/>
      <c r="O683"/>
      <c r="P683" s="20"/>
      <c r="Q683" s="20"/>
      <c r="R683" s="20"/>
      <c r="S683" s="20"/>
      <c r="T683" s="20"/>
    </row>
    <row r="684" spans="1:21" x14ac:dyDescent="0.25">
      <c r="A684" s="3">
        <v>41768</v>
      </c>
      <c r="B684" s="36">
        <v>74</v>
      </c>
      <c r="C684" t="s">
        <v>1579</v>
      </c>
      <c r="D684">
        <v>5.3550000000000004</v>
      </c>
      <c r="E684" s="18">
        <v>535.5</v>
      </c>
      <c r="G684" t="s">
        <v>1580</v>
      </c>
      <c r="H684" s="18">
        <v>535.5</v>
      </c>
      <c r="I684" s="3">
        <v>41768</v>
      </c>
      <c r="J684"/>
      <c r="L684"/>
      <c r="M684"/>
      <c r="N684" s="20"/>
      <c r="O684" t="s">
        <v>1581</v>
      </c>
      <c r="P684" s="20"/>
      <c r="Q684" s="20"/>
      <c r="R684" s="20"/>
      <c r="S684" s="20"/>
      <c r="T684" s="20"/>
    </row>
    <row r="685" spans="1:21" x14ac:dyDescent="0.25">
      <c r="A685" s="3">
        <v>41866</v>
      </c>
      <c r="B685" s="36">
        <v>74</v>
      </c>
      <c r="C685" t="s">
        <v>1577</v>
      </c>
      <c r="E685" s="18">
        <v>1000</v>
      </c>
      <c r="G685" t="s">
        <v>1578</v>
      </c>
      <c r="H685" s="18">
        <v>1000</v>
      </c>
      <c r="I685" s="3">
        <v>41866</v>
      </c>
      <c r="J685"/>
      <c r="L685"/>
      <c r="M685"/>
      <c r="N685" s="20"/>
      <c r="O685" t="s">
        <v>1102</v>
      </c>
      <c r="P685" s="20"/>
      <c r="Q685" s="20"/>
      <c r="R685" s="20"/>
      <c r="S685" s="20"/>
      <c r="T685" s="20"/>
    </row>
    <row r="686" spans="1:21" x14ac:dyDescent="0.25">
      <c r="A686" s="3">
        <v>41880</v>
      </c>
      <c r="B686" s="36">
        <v>74</v>
      </c>
      <c r="C686" t="s">
        <v>1577</v>
      </c>
      <c r="E686" s="18">
        <v>1000</v>
      </c>
      <c r="F686" t="s">
        <v>889</v>
      </c>
      <c r="G686" t="s">
        <v>1578</v>
      </c>
      <c r="H686" s="18">
        <v>1000</v>
      </c>
      <c r="I686" s="3">
        <v>41880</v>
      </c>
      <c r="J686"/>
      <c r="L686"/>
      <c r="M686"/>
      <c r="N686" s="20"/>
      <c r="O686" t="s">
        <v>1582</v>
      </c>
      <c r="P686" s="20"/>
      <c r="Q686" s="20"/>
      <c r="R686" s="20"/>
      <c r="S686" s="20"/>
      <c r="T686" s="20"/>
    </row>
    <row r="687" spans="1:21" x14ac:dyDescent="0.25">
      <c r="B687">
        <v>74</v>
      </c>
      <c r="C687" t="s">
        <v>1577</v>
      </c>
      <c r="E687" s="18">
        <v>-1000</v>
      </c>
      <c r="G687" t="s">
        <v>1578</v>
      </c>
      <c r="I687"/>
      <c r="J687"/>
      <c r="L687"/>
      <c r="M687"/>
      <c r="O687"/>
      <c r="P687" s="20"/>
      <c r="Q687" s="20"/>
      <c r="R687" s="20"/>
      <c r="S687" s="20"/>
      <c r="T687" s="20"/>
      <c r="U687" t="s">
        <v>401</v>
      </c>
    </row>
    <row r="688" spans="1:21" x14ac:dyDescent="0.25">
      <c r="A688" s="3">
        <v>41894</v>
      </c>
      <c r="B688" s="36">
        <v>77</v>
      </c>
      <c r="C688" t="s">
        <v>1583</v>
      </c>
      <c r="D688">
        <v>7.25</v>
      </c>
      <c r="E688" s="18">
        <v>725</v>
      </c>
      <c r="F688" t="s">
        <v>889</v>
      </c>
      <c r="G688" t="s">
        <v>1584</v>
      </c>
      <c r="H688" s="18">
        <v>725</v>
      </c>
      <c r="I688" s="3">
        <v>41894</v>
      </c>
      <c r="J688"/>
      <c r="L688"/>
      <c r="M688"/>
      <c r="N688" s="20"/>
      <c r="O688"/>
      <c r="P688" s="20"/>
      <c r="Q688" s="20"/>
      <c r="R688" s="20"/>
      <c r="S688" s="20"/>
      <c r="T688" s="20"/>
    </row>
    <row r="689" spans="1:22" x14ac:dyDescent="0.25">
      <c r="A689" s="3">
        <v>41894</v>
      </c>
      <c r="B689" s="36">
        <v>77</v>
      </c>
      <c r="C689" t="s">
        <v>1585</v>
      </c>
      <c r="D689">
        <v>8.25</v>
      </c>
      <c r="E689" s="18">
        <v>825</v>
      </c>
      <c r="F689" t="s">
        <v>889</v>
      </c>
      <c r="G689" t="s">
        <v>1586</v>
      </c>
      <c r="H689" s="18">
        <v>825</v>
      </c>
      <c r="I689" s="3">
        <v>41894</v>
      </c>
      <c r="J689"/>
      <c r="L689"/>
      <c r="M689"/>
      <c r="N689" s="20"/>
      <c r="O689"/>
      <c r="P689" s="20"/>
      <c r="Q689" s="20"/>
      <c r="R689" s="20"/>
      <c r="S689" s="20"/>
      <c r="T689" s="20"/>
    </row>
    <row r="690" spans="1:22" x14ac:dyDescent="0.25">
      <c r="A690" s="3">
        <v>41894</v>
      </c>
      <c r="B690" s="36">
        <v>77</v>
      </c>
      <c r="C690" t="s">
        <v>1587</v>
      </c>
      <c r="D690">
        <v>10.75</v>
      </c>
      <c r="E690" s="18">
        <v>1075</v>
      </c>
      <c r="F690" t="s">
        <v>889</v>
      </c>
      <c r="G690" t="s">
        <v>1588</v>
      </c>
      <c r="H690" s="18">
        <v>1075</v>
      </c>
      <c r="I690" s="3">
        <v>41894</v>
      </c>
      <c r="J690"/>
      <c r="L690"/>
      <c r="M690"/>
      <c r="N690" s="20"/>
      <c r="O690"/>
      <c r="P690" s="20"/>
      <c r="Q690" s="20"/>
      <c r="R690" s="20"/>
      <c r="S690" s="20"/>
      <c r="T690" s="20"/>
    </row>
    <row r="691" spans="1:22" x14ac:dyDescent="0.25">
      <c r="A691" s="3">
        <v>41901</v>
      </c>
      <c r="B691" s="36">
        <v>77</v>
      </c>
      <c r="C691" t="s">
        <v>1589</v>
      </c>
      <c r="E691" s="18">
        <v>50</v>
      </c>
      <c r="F691" t="s">
        <v>889</v>
      </c>
      <c r="H691" s="18" t="s">
        <v>442</v>
      </c>
      <c r="I691" s="3" t="s">
        <v>442</v>
      </c>
      <c r="J691"/>
      <c r="L691"/>
      <c r="M691"/>
      <c r="N691" s="20"/>
      <c r="O691"/>
      <c r="P691" s="20"/>
      <c r="Q691" s="20"/>
      <c r="R691" s="20"/>
      <c r="S691" s="20" t="s">
        <v>401</v>
      </c>
      <c r="T691" s="20"/>
    </row>
    <row r="692" spans="1:22" x14ac:dyDescent="0.25">
      <c r="A692" s="3">
        <v>41907</v>
      </c>
      <c r="B692" s="36">
        <v>77</v>
      </c>
      <c r="C692" t="s">
        <v>1590</v>
      </c>
      <c r="D692">
        <v>5.25</v>
      </c>
      <c r="E692" s="18">
        <v>525</v>
      </c>
      <c r="F692" t="s">
        <v>889</v>
      </c>
      <c r="G692" t="s">
        <v>1591</v>
      </c>
      <c r="H692" s="18">
        <v>525</v>
      </c>
      <c r="I692" s="3">
        <v>41907</v>
      </c>
      <c r="J692"/>
      <c r="L692"/>
      <c r="M692"/>
      <c r="N692" s="20"/>
      <c r="O692"/>
      <c r="P692" s="20"/>
      <c r="Q692" s="20"/>
      <c r="R692" s="20"/>
      <c r="S692" s="20"/>
      <c r="T692" s="20"/>
    </row>
    <row r="693" spans="1:22" s="20" customFormat="1" x14ac:dyDescent="0.25">
      <c r="A693" s="3">
        <v>41907</v>
      </c>
      <c r="B693" s="36">
        <v>77</v>
      </c>
      <c r="C693" t="s">
        <v>1592</v>
      </c>
      <c r="D693">
        <v>5</v>
      </c>
      <c r="E693" s="18">
        <v>500</v>
      </c>
      <c r="F693" t="s">
        <v>889</v>
      </c>
      <c r="G693" t="s">
        <v>1593</v>
      </c>
      <c r="H693" s="18">
        <v>500</v>
      </c>
      <c r="I693" s="3">
        <v>41907</v>
      </c>
      <c r="J693"/>
      <c r="K693"/>
      <c r="L693"/>
      <c r="M693"/>
      <c r="O693"/>
      <c r="U693"/>
      <c r="V693"/>
    </row>
    <row r="694" spans="1:22" x14ac:dyDescent="0.25">
      <c r="A694" s="3">
        <v>41915</v>
      </c>
      <c r="B694" s="36">
        <v>77</v>
      </c>
      <c r="C694" t="s">
        <v>1594</v>
      </c>
      <c r="D694">
        <v>4.25</v>
      </c>
      <c r="E694" s="18">
        <v>425</v>
      </c>
      <c r="F694" t="s">
        <v>889</v>
      </c>
      <c r="G694" t="s">
        <v>1595</v>
      </c>
      <c r="H694" s="18">
        <v>425</v>
      </c>
      <c r="I694" s="3">
        <v>41915</v>
      </c>
      <c r="J694"/>
      <c r="L694"/>
      <c r="M694"/>
      <c r="N694" s="20"/>
      <c r="O694"/>
      <c r="P694" s="20"/>
      <c r="Q694" s="20"/>
      <c r="R694" s="20"/>
      <c r="S694" s="20"/>
      <c r="T694" s="20"/>
    </row>
    <row r="695" spans="1:22" x14ac:dyDescent="0.25">
      <c r="A695" s="3">
        <v>41922</v>
      </c>
      <c r="B695" s="36">
        <v>77</v>
      </c>
      <c r="C695" t="s">
        <v>1596</v>
      </c>
      <c r="D695">
        <v>25.25</v>
      </c>
      <c r="E695" s="18">
        <v>2525</v>
      </c>
      <c r="F695" t="s">
        <v>889</v>
      </c>
      <c r="G695" t="s">
        <v>1597</v>
      </c>
      <c r="H695" s="18">
        <v>2525</v>
      </c>
      <c r="I695" s="3">
        <v>41922</v>
      </c>
      <c r="J695"/>
      <c r="L695"/>
      <c r="M695"/>
      <c r="N695" s="20"/>
      <c r="O695"/>
      <c r="P695" s="20"/>
      <c r="Q695" s="20"/>
      <c r="R695" s="20"/>
      <c r="S695" s="20"/>
      <c r="T695" s="20"/>
    </row>
    <row r="696" spans="1:22" x14ac:dyDescent="0.25">
      <c r="A696" s="3">
        <v>41922</v>
      </c>
      <c r="B696" s="36">
        <v>77</v>
      </c>
      <c r="C696" t="s">
        <v>1583</v>
      </c>
      <c r="D696">
        <v>7.25</v>
      </c>
      <c r="E696" s="18">
        <v>-725</v>
      </c>
      <c r="F696" t="s">
        <v>889</v>
      </c>
      <c r="G696" t="s">
        <v>1584</v>
      </c>
      <c r="H696" s="18" t="s">
        <v>442</v>
      </c>
      <c r="I696" s="3" t="s">
        <v>442</v>
      </c>
      <c r="J696"/>
      <c r="L696"/>
      <c r="M696"/>
      <c r="N696" s="20"/>
      <c r="O696"/>
      <c r="P696" s="20"/>
      <c r="Q696" s="20"/>
      <c r="R696" s="20"/>
      <c r="S696" s="20"/>
      <c r="T696" s="20"/>
    </row>
    <row r="697" spans="1:22" x14ac:dyDescent="0.25">
      <c r="A697" s="3">
        <v>41929</v>
      </c>
      <c r="B697" s="36">
        <v>77</v>
      </c>
      <c r="C697" t="s">
        <v>1598</v>
      </c>
      <c r="D697">
        <v>4.5</v>
      </c>
      <c r="E697" s="18">
        <v>450</v>
      </c>
      <c r="F697" t="s">
        <v>889</v>
      </c>
      <c r="G697" t="s">
        <v>1599</v>
      </c>
      <c r="H697" s="18">
        <v>450</v>
      </c>
      <c r="I697" s="3">
        <v>41929</v>
      </c>
      <c r="J697"/>
      <c r="L697"/>
      <c r="M697"/>
      <c r="N697" s="20"/>
      <c r="O697"/>
      <c r="P697" s="20"/>
      <c r="Q697" s="20"/>
      <c r="R697" s="20"/>
      <c r="S697" s="20"/>
      <c r="T697" s="20"/>
    </row>
    <row r="698" spans="1:22" x14ac:dyDescent="0.25">
      <c r="A698" s="3">
        <v>41929</v>
      </c>
      <c r="B698" s="36">
        <v>77</v>
      </c>
      <c r="C698" t="s">
        <v>1600</v>
      </c>
      <c r="D698">
        <v>6.5</v>
      </c>
      <c r="E698" s="18">
        <v>650</v>
      </c>
      <c r="F698" t="s">
        <v>889</v>
      </c>
      <c r="G698" t="s">
        <v>1601</v>
      </c>
      <c r="H698" s="18">
        <v>650</v>
      </c>
      <c r="I698" s="3">
        <v>41929</v>
      </c>
      <c r="J698"/>
      <c r="L698"/>
      <c r="M698"/>
      <c r="N698" s="20"/>
      <c r="O698"/>
      <c r="P698" s="20"/>
      <c r="Q698" s="20"/>
      <c r="R698" s="20"/>
      <c r="S698" s="20"/>
      <c r="T698" s="20"/>
    </row>
    <row r="699" spans="1:22" x14ac:dyDescent="0.25">
      <c r="A699" s="3">
        <v>41929</v>
      </c>
      <c r="B699" s="36">
        <v>77</v>
      </c>
      <c r="C699" t="s">
        <v>1602</v>
      </c>
      <c r="D699">
        <v>11</v>
      </c>
      <c r="E699" s="18">
        <v>1075</v>
      </c>
      <c r="F699" t="s">
        <v>889</v>
      </c>
      <c r="G699" t="s">
        <v>1603</v>
      </c>
      <c r="H699" s="18">
        <v>1075</v>
      </c>
      <c r="I699" s="3">
        <v>41929</v>
      </c>
      <c r="J699"/>
      <c r="L699"/>
      <c r="M699"/>
      <c r="N699" s="20"/>
      <c r="O699"/>
      <c r="P699" s="20"/>
      <c r="Q699" s="20"/>
      <c r="R699" s="20"/>
      <c r="S699" s="20"/>
      <c r="T699" s="20"/>
    </row>
    <row r="700" spans="1:22" x14ac:dyDescent="0.25">
      <c r="A700" s="3">
        <v>41950</v>
      </c>
      <c r="B700" s="36">
        <v>77</v>
      </c>
      <c r="C700" t="s">
        <v>1585</v>
      </c>
      <c r="D700">
        <v>8.25</v>
      </c>
      <c r="E700" s="18">
        <v>-825</v>
      </c>
      <c r="F700" t="s">
        <v>889</v>
      </c>
      <c r="G700" t="s">
        <v>1586</v>
      </c>
      <c r="H700" s="18" t="s">
        <v>442</v>
      </c>
      <c r="I700" s="3" t="s">
        <v>442</v>
      </c>
      <c r="J700"/>
      <c r="L700"/>
      <c r="M700"/>
      <c r="N700" s="20"/>
      <c r="O700"/>
      <c r="P700" s="20"/>
      <c r="Q700" s="20"/>
      <c r="R700" s="20"/>
      <c r="S700" s="20"/>
      <c r="T700" s="20"/>
    </row>
    <row r="701" spans="1:22" x14ac:dyDescent="0.25">
      <c r="A701" s="3">
        <v>41964</v>
      </c>
      <c r="B701" s="36">
        <v>77</v>
      </c>
      <c r="C701" t="s">
        <v>1604</v>
      </c>
      <c r="D701">
        <v>7</v>
      </c>
      <c r="E701" s="18">
        <v>700</v>
      </c>
      <c r="F701" t="s">
        <v>889</v>
      </c>
      <c r="G701" t="s">
        <v>1605</v>
      </c>
      <c r="H701" s="18">
        <v>700</v>
      </c>
      <c r="I701" s="3">
        <v>41964</v>
      </c>
      <c r="J701"/>
      <c r="L701"/>
      <c r="M701"/>
      <c r="N701" s="20"/>
      <c r="O701"/>
      <c r="P701" s="20"/>
      <c r="Q701" s="20"/>
      <c r="R701" s="20"/>
      <c r="S701" s="20"/>
      <c r="T701" s="20"/>
    </row>
    <row r="702" spans="1:22" x14ac:dyDescent="0.25">
      <c r="A702" s="3">
        <v>41971</v>
      </c>
      <c r="B702" s="36">
        <v>77</v>
      </c>
      <c r="C702" t="s">
        <v>1606</v>
      </c>
      <c r="D702">
        <v>6.25</v>
      </c>
      <c r="E702" s="18">
        <v>625</v>
      </c>
      <c r="F702" t="s">
        <v>889</v>
      </c>
      <c r="G702" t="s">
        <v>1607</v>
      </c>
      <c r="H702" s="18">
        <v>625</v>
      </c>
      <c r="I702" s="3">
        <v>41971</v>
      </c>
      <c r="J702"/>
      <c r="L702"/>
      <c r="M702"/>
      <c r="N702" s="20"/>
      <c r="O702"/>
      <c r="P702" s="20"/>
      <c r="Q702" s="20"/>
      <c r="R702" s="20"/>
      <c r="S702" s="20"/>
      <c r="T702" s="20"/>
    </row>
    <row r="703" spans="1:22" x14ac:dyDescent="0.25">
      <c r="A703" s="3">
        <v>41971</v>
      </c>
      <c r="B703" s="36">
        <v>77</v>
      </c>
      <c r="C703" t="s">
        <v>1608</v>
      </c>
      <c r="D703">
        <v>8.75</v>
      </c>
      <c r="E703" s="18">
        <v>875</v>
      </c>
      <c r="F703" t="s">
        <v>889</v>
      </c>
      <c r="G703" t="s">
        <v>1609</v>
      </c>
      <c r="H703" s="18">
        <v>875</v>
      </c>
      <c r="I703" s="3">
        <v>41971</v>
      </c>
      <c r="J703"/>
      <c r="L703"/>
      <c r="M703"/>
      <c r="N703" s="20"/>
      <c r="O703"/>
      <c r="P703" s="20"/>
      <c r="Q703" s="20"/>
      <c r="R703" s="20"/>
      <c r="S703" s="20"/>
      <c r="T703" s="20"/>
    </row>
    <row r="704" spans="1:22" x14ac:dyDescent="0.25">
      <c r="A704" s="3">
        <v>41971</v>
      </c>
      <c r="B704" s="36">
        <v>77</v>
      </c>
      <c r="C704" t="s">
        <v>1610</v>
      </c>
      <c r="D704">
        <v>8.5</v>
      </c>
      <c r="E704" s="18">
        <v>850</v>
      </c>
      <c r="F704" t="s">
        <v>889</v>
      </c>
      <c r="G704" t="s">
        <v>1611</v>
      </c>
      <c r="H704" s="18">
        <v>850</v>
      </c>
      <c r="I704" s="3">
        <v>41971</v>
      </c>
      <c r="J704"/>
      <c r="L704"/>
      <c r="M704"/>
      <c r="N704" s="20"/>
      <c r="O704"/>
      <c r="P704" s="20"/>
      <c r="Q704" s="20"/>
      <c r="R704" s="20"/>
      <c r="S704" s="20"/>
      <c r="T704" s="20"/>
    </row>
    <row r="705" spans="1:20" x14ac:dyDescent="0.25">
      <c r="A705" s="3">
        <v>41971</v>
      </c>
      <c r="B705" s="36">
        <v>77</v>
      </c>
      <c r="C705" t="s">
        <v>1612</v>
      </c>
      <c r="D705">
        <v>4.25</v>
      </c>
      <c r="E705" s="18">
        <v>425</v>
      </c>
      <c r="F705" t="s">
        <v>889</v>
      </c>
      <c r="G705" t="s">
        <v>1613</v>
      </c>
      <c r="H705" s="18">
        <v>425</v>
      </c>
      <c r="I705" s="3">
        <v>41971</v>
      </c>
      <c r="J705"/>
      <c r="L705"/>
      <c r="M705"/>
      <c r="N705" s="20"/>
      <c r="O705"/>
      <c r="P705" s="20"/>
      <c r="Q705" s="20"/>
      <c r="R705" s="20"/>
      <c r="S705" s="20"/>
      <c r="T705" s="20"/>
    </row>
    <row r="706" spans="1:20" x14ac:dyDescent="0.25">
      <c r="A706" s="3">
        <v>41971</v>
      </c>
      <c r="B706" s="36">
        <v>77</v>
      </c>
      <c r="C706" t="s">
        <v>1614</v>
      </c>
      <c r="D706">
        <v>7.75</v>
      </c>
      <c r="E706" s="18">
        <v>775</v>
      </c>
      <c r="F706" t="s">
        <v>889</v>
      </c>
      <c r="G706" t="s">
        <v>1615</v>
      </c>
      <c r="H706" s="18">
        <v>775</v>
      </c>
      <c r="I706" s="3">
        <v>41971</v>
      </c>
      <c r="J706"/>
      <c r="L706"/>
      <c r="M706"/>
      <c r="N706" s="20"/>
      <c r="O706"/>
      <c r="P706" s="20"/>
      <c r="Q706" s="20"/>
      <c r="R706" s="20"/>
      <c r="S706" s="20"/>
      <c r="T706" s="20"/>
    </row>
    <row r="707" spans="1:20" x14ac:dyDescent="0.25">
      <c r="A707" s="3">
        <v>41978</v>
      </c>
      <c r="B707" s="36">
        <v>77</v>
      </c>
      <c r="C707" t="s">
        <v>1616</v>
      </c>
      <c r="D707">
        <v>8.25</v>
      </c>
      <c r="E707" s="18">
        <v>825</v>
      </c>
      <c r="F707" t="s">
        <v>889</v>
      </c>
      <c r="G707" t="s">
        <v>1617</v>
      </c>
      <c r="H707" s="18">
        <v>825</v>
      </c>
      <c r="I707" s="3">
        <v>41978</v>
      </c>
      <c r="J707"/>
      <c r="L707"/>
      <c r="M707"/>
      <c r="N707" s="20"/>
      <c r="O707"/>
      <c r="P707" s="20"/>
      <c r="Q707" s="20"/>
      <c r="R707" s="20"/>
      <c r="S707" s="20"/>
      <c r="T707" s="20"/>
    </row>
    <row r="708" spans="1:20" x14ac:dyDescent="0.25">
      <c r="A708" s="3">
        <v>41985</v>
      </c>
      <c r="B708" s="36">
        <v>77</v>
      </c>
      <c r="C708" t="s">
        <v>1618</v>
      </c>
      <c r="D708">
        <v>10.25</v>
      </c>
      <c r="E708" s="18">
        <v>1025</v>
      </c>
      <c r="F708" t="s">
        <v>889</v>
      </c>
      <c r="G708" t="s">
        <v>1619</v>
      </c>
      <c r="H708" s="18">
        <v>1025</v>
      </c>
      <c r="I708" s="3">
        <v>41985</v>
      </c>
      <c r="J708"/>
      <c r="L708"/>
      <c r="M708"/>
      <c r="N708" s="20"/>
      <c r="O708"/>
      <c r="P708" s="20"/>
      <c r="Q708" s="20"/>
      <c r="R708" s="20"/>
      <c r="S708" s="20"/>
      <c r="T708" s="20"/>
    </row>
    <row r="709" spans="1:20" x14ac:dyDescent="0.25">
      <c r="A709" s="3">
        <v>41999</v>
      </c>
      <c r="B709" s="36">
        <v>77</v>
      </c>
      <c r="C709" t="s">
        <v>1590</v>
      </c>
      <c r="D709">
        <v>7.75</v>
      </c>
      <c r="E709" s="18">
        <v>1025</v>
      </c>
      <c r="F709" t="s">
        <v>889</v>
      </c>
      <c r="G709" t="s">
        <v>1591</v>
      </c>
      <c r="H709" s="18">
        <v>1025</v>
      </c>
      <c r="I709" s="3">
        <v>41999</v>
      </c>
      <c r="J709"/>
      <c r="L709"/>
      <c r="M709"/>
      <c r="N709" s="20"/>
      <c r="O709" t="s">
        <v>959</v>
      </c>
      <c r="P709" s="20"/>
      <c r="Q709" s="20"/>
      <c r="R709" s="20"/>
      <c r="S709" s="20"/>
      <c r="T709" s="20"/>
    </row>
    <row r="710" spans="1:20" x14ac:dyDescent="0.25">
      <c r="A710" s="3">
        <v>41999</v>
      </c>
      <c r="B710" s="36">
        <v>77</v>
      </c>
      <c r="C710" t="s">
        <v>1598</v>
      </c>
      <c r="D710">
        <v>4</v>
      </c>
      <c r="E710" s="18">
        <v>350</v>
      </c>
      <c r="F710" t="s">
        <v>889</v>
      </c>
      <c r="G710" t="s">
        <v>1599</v>
      </c>
      <c r="H710" s="18">
        <v>350</v>
      </c>
      <c r="I710" s="3">
        <v>41999</v>
      </c>
      <c r="J710"/>
      <c r="L710"/>
      <c r="M710"/>
      <c r="N710" s="20"/>
      <c r="O710" t="s">
        <v>959</v>
      </c>
      <c r="P710" s="20"/>
      <c r="Q710" s="20"/>
      <c r="R710" s="20"/>
      <c r="S710" s="20"/>
      <c r="T710" s="20"/>
    </row>
    <row r="711" spans="1:20" x14ac:dyDescent="0.25">
      <c r="A711" s="3">
        <v>41999</v>
      </c>
      <c r="B711" s="36">
        <v>77</v>
      </c>
      <c r="C711" t="s">
        <v>1600</v>
      </c>
      <c r="D711">
        <v>7.65</v>
      </c>
      <c r="E711" s="18">
        <v>880</v>
      </c>
      <c r="F711" t="s">
        <v>889</v>
      </c>
      <c r="G711" t="s">
        <v>1601</v>
      </c>
      <c r="H711" s="18">
        <v>880</v>
      </c>
      <c r="I711" s="3">
        <v>41999</v>
      </c>
      <c r="J711"/>
      <c r="L711"/>
      <c r="M711"/>
      <c r="N711" s="20"/>
      <c r="O711" t="s">
        <v>959</v>
      </c>
      <c r="P711" s="20"/>
      <c r="Q711" s="20"/>
      <c r="R711" s="20"/>
      <c r="S711" s="20"/>
      <c r="T711" s="20"/>
    </row>
    <row r="712" spans="1:20" x14ac:dyDescent="0.25">
      <c r="A712" s="3">
        <v>42004</v>
      </c>
      <c r="B712" s="36">
        <v>77</v>
      </c>
      <c r="C712" t="s">
        <v>1590</v>
      </c>
      <c r="D712">
        <v>5.25</v>
      </c>
      <c r="E712" s="18">
        <v>-500</v>
      </c>
      <c r="F712" t="s">
        <v>889</v>
      </c>
      <c r="G712" t="s">
        <v>1591</v>
      </c>
      <c r="H712" s="18" t="s">
        <v>442</v>
      </c>
      <c r="I712" s="3" t="s">
        <v>442</v>
      </c>
      <c r="J712"/>
      <c r="L712"/>
      <c r="M712"/>
      <c r="N712" s="20"/>
      <c r="O712" t="s">
        <v>1140</v>
      </c>
      <c r="P712" s="20"/>
      <c r="Q712" s="20"/>
      <c r="R712" s="20"/>
      <c r="S712" s="20"/>
      <c r="T712" s="20"/>
    </row>
    <row r="713" spans="1:20" x14ac:dyDescent="0.25">
      <c r="A713" s="3">
        <v>42004</v>
      </c>
      <c r="B713" s="36">
        <v>77</v>
      </c>
      <c r="C713" t="s">
        <v>1592</v>
      </c>
      <c r="D713">
        <v>5</v>
      </c>
      <c r="E713" s="18">
        <v>166.66666666666666</v>
      </c>
      <c r="F713" t="s">
        <v>889</v>
      </c>
      <c r="G713" t="s">
        <v>1593</v>
      </c>
      <c r="H713" s="18">
        <v>166.66666666666666</v>
      </c>
      <c r="I713" s="3">
        <v>42004</v>
      </c>
      <c r="J713"/>
      <c r="L713"/>
      <c r="M713"/>
      <c r="N713" s="20"/>
      <c r="O713"/>
      <c r="P713" s="20"/>
      <c r="Q713" s="20"/>
      <c r="R713" s="20"/>
      <c r="S713" s="20"/>
      <c r="T713" s="20"/>
    </row>
    <row r="714" spans="1:20" x14ac:dyDescent="0.25">
      <c r="A714" s="3">
        <v>42004</v>
      </c>
      <c r="B714" s="36">
        <v>77</v>
      </c>
      <c r="C714" t="s">
        <v>1594</v>
      </c>
      <c r="D714">
        <v>4.25</v>
      </c>
      <c r="E714" s="18">
        <v>141.66666666666666</v>
      </c>
      <c r="F714" t="s">
        <v>889</v>
      </c>
      <c r="G714" t="s">
        <v>1595</v>
      </c>
      <c r="H714" s="18">
        <v>141.66666666666666</v>
      </c>
      <c r="I714" s="3">
        <v>42004</v>
      </c>
      <c r="J714"/>
      <c r="L714"/>
      <c r="M714"/>
      <c r="N714" s="20"/>
      <c r="O714"/>
      <c r="P714" s="20"/>
      <c r="Q714" s="20"/>
      <c r="R714" s="20"/>
      <c r="S714" s="20"/>
      <c r="T714" s="20"/>
    </row>
    <row r="715" spans="1:20" x14ac:dyDescent="0.25">
      <c r="A715" s="3">
        <v>42004</v>
      </c>
      <c r="B715" s="36">
        <v>77</v>
      </c>
      <c r="C715" t="s">
        <v>1598</v>
      </c>
      <c r="D715">
        <v>4.5</v>
      </c>
      <c r="E715" s="18">
        <v>100</v>
      </c>
      <c r="F715" t="s">
        <v>889</v>
      </c>
      <c r="G715" t="s">
        <v>1599</v>
      </c>
      <c r="H715" s="18">
        <v>100</v>
      </c>
      <c r="I715" s="3">
        <v>42004</v>
      </c>
      <c r="J715"/>
      <c r="L715"/>
      <c r="M715"/>
      <c r="N715" s="20"/>
      <c r="O715" t="s">
        <v>1140</v>
      </c>
      <c r="P715" s="20"/>
      <c r="Q715" s="20"/>
      <c r="R715" s="20"/>
      <c r="S715" s="20"/>
      <c r="T715" s="20"/>
    </row>
    <row r="716" spans="1:20" x14ac:dyDescent="0.25">
      <c r="A716" s="3">
        <v>42004</v>
      </c>
      <c r="B716" s="36">
        <v>77</v>
      </c>
      <c r="C716" t="s">
        <v>1600</v>
      </c>
      <c r="D716">
        <v>6.5</v>
      </c>
      <c r="E716" s="18">
        <v>-230</v>
      </c>
      <c r="F716" t="s">
        <v>889</v>
      </c>
      <c r="G716" t="s">
        <v>1601</v>
      </c>
      <c r="H716" s="18" t="s">
        <v>442</v>
      </c>
      <c r="I716" s="3" t="s">
        <v>442</v>
      </c>
      <c r="J716"/>
      <c r="L716"/>
      <c r="M716"/>
      <c r="N716" s="20"/>
      <c r="O716" t="s">
        <v>1140</v>
      </c>
      <c r="P716" s="20"/>
      <c r="Q716" s="20"/>
      <c r="R716" s="20"/>
      <c r="S716" s="20"/>
      <c r="T716" s="20"/>
    </row>
    <row r="717" spans="1:20" x14ac:dyDescent="0.25">
      <c r="A717" s="3">
        <v>42004</v>
      </c>
      <c r="B717" s="36">
        <v>77</v>
      </c>
      <c r="C717" t="s">
        <v>1602</v>
      </c>
      <c r="D717">
        <v>10.75</v>
      </c>
      <c r="E717" s="18">
        <v>358.33333333333331</v>
      </c>
      <c r="F717" t="s">
        <v>889</v>
      </c>
      <c r="G717" t="s">
        <v>1603</v>
      </c>
      <c r="H717" s="18">
        <v>358.33333333333331</v>
      </c>
      <c r="I717" s="3">
        <v>42004</v>
      </c>
      <c r="J717"/>
      <c r="L717"/>
      <c r="M717"/>
      <c r="N717" s="20"/>
      <c r="O717"/>
      <c r="P717" s="20"/>
      <c r="Q717" s="20"/>
      <c r="R717" s="20"/>
      <c r="S717" s="20"/>
      <c r="T717" s="20"/>
    </row>
    <row r="718" spans="1:20" x14ac:dyDescent="0.25">
      <c r="A718" s="3">
        <v>42013</v>
      </c>
      <c r="B718" s="36">
        <v>77</v>
      </c>
      <c r="C718" t="s">
        <v>1606</v>
      </c>
      <c r="D718">
        <v>6.25</v>
      </c>
      <c r="E718" s="18">
        <v>625</v>
      </c>
      <c r="F718" t="s">
        <v>889</v>
      </c>
      <c r="G718" t="s">
        <v>1607</v>
      </c>
      <c r="H718" s="18">
        <v>625</v>
      </c>
      <c r="I718" s="3">
        <v>42013</v>
      </c>
      <c r="J718"/>
      <c r="L718"/>
      <c r="M718"/>
      <c r="N718" s="20"/>
      <c r="O718"/>
      <c r="P718" s="20"/>
      <c r="Q718" s="20"/>
      <c r="R718" s="20"/>
      <c r="S718" s="20"/>
      <c r="T718" s="20"/>
    </row>
    <row r="719" spans="1:20" x14ac:dyDescent="0.25">
      <c r="A719" s="3">
        <v>42013</v>
      </c>
      <c r="B719" s="36">
        <v>77</v>
      </c>
      <c r="C719" t="s">
        <v>1620</v>
      </c>
      <c r="D719">
        <v>4.25</v>
      </c>
      <c r="E719" s="18">
        <v>425</v>
      </c>
      <c r="F719" t="s">
        <v>889</v>
      </c>
      <c r="G719" t="s">
        <v>1613</v>
      </c>
      <c r="H719" s="18">
        <v>425</v>
      </c>
      <c r="I719" s="3">
        <v>42013</v>
      </c>
      <c r="J719"/>
      <c r="L719"/>
      <c r="M719"/>
      <c r="N719" s="20"/>
      <c r="O719"/>
      <c r="P719" s="20"/>
      <c r="Q719" s="20"/>
      <c r="R719" s="20"/>
      <c r="S719" s="20"/>
      <c r="T719" s="20"/>
    </row>
    <row r="720" spans="1:20" x14ac:dyDescent="0.25">
      <c r="A720" s="3">
        <v>42013</v>
      </c>
      <c r="B720" s="36">
        <v>77</v>
      </c>
      <c r="C720" t="s">
        <v>800</v>
      </c>
      <c r="D720">
        <v>5.25</v>
      </c>
      <c r="E720" s="18">
        <v>500</v>
      </c>
      <c r="F720" t="s">
        <v>889</v>
      </c>
      <c r="G720" t="s">
        <v>801</v>
      </c>
      <c r="H720" s="18">
        <v>500</v>
      </c>
      <c r="I720" s="3">
        <v>42013</v>
      </c>
      <c r="J720"/>
      <c r="L720"/>
      <c r="M720"/>
      <c r="N720" s="20"/>
      <c r="O720"/>
      <c r="P720" s="20"/>
      <c r="Q720" s="20"/>
      <c r="R720" s="20"/>
      <c r="S720" s="20"/>
      <c r="T720" s="20"/>
    </row>
    <row r="721" spans="1:21" x14ac:dyDescent="0.25">
      <c r="A721" s="3">
        <v>42019</v>
      </c>
      <c r="B721" s="36">
        <v>77</v>
      </c>
      <c r="C721" t="s">
        <v>1621</v>
      </c>
      <c r="D721" s="55">
        <v>10.25</v>
      </c>
      <c r="E721" s="18">
        <v>1025</v>
      </c>
      <c r="F721" t="s">
        <v>889</v>
      </c>
      <c r="G721" t="s">
        <v>1619</v>
      </c>
      <c r="H721" s="18">
        <v>1025</v>
      </c>
      <c r="I721" s="3">
        <v>42019</v>
      </c>
      <c r="J721"/>
      <c r="L721"/>
      <c r="M721"/>
      <c r="N721" s="20"/>
      <c r="O721"/>
      <c r="P721" s="20"/>
      <c r="Q721" s="20"/>
      <c r="R721" s="20"/>
      <c r="S721" s="20"/>
      <c r="T721" s="20"/>
    </row>
    <row r="722" spans="1:21" x14ac:dyDescent="0.25">
      <c r="A722" s="3">
        <v>42019</v>
      </c>
      <c r="B722" s="36">
        <v>77</v>
      </c>
      <c r="C722" t="s">
        <v>800</v>
      </c>
      <c r="D722" s="55">
        <v>5</v>
      </c>
      <c r="E722" s="18">
        <v>500</v>
      </c>
      <c r="F722" t="s">
        <v>889</v>
      </c>
      <c r="G722" t="s">
        <v>801</v>
      </c>
      <c r="H722" s="18">
        <v>500</v>
      </c>
      <c r="I722" s="3">
        <v>42019</v>
      </c>
      <c r="J722"/>
      <c r="L722"/>
      <c r="M722"/>
      <c r="N722" s="20"/>
      <c r="O722"/>
      <c r="P722" s="20"/>
      <c r="Q722" s="20"/>
      <c r="R722" s="20"/>
      <c r="S722" s="20"/>
      <c r="T722" s="20"/>
    </row>
    <row r="723" spans="1:21" x14ac:dyDescent="0.25">
      <c r="A723" s="3">
        <v>42041</v>
      </c>
      <c r="B723">
        <v>77</v>
      </c>
      <c r="C723" t="s">
        <v>435</v>
      </c>
      <c r="D723">
        <v>10.5</v>
      </c>
      <c r="E723" s="18">
        <v>250</v>
      </c>
      <c r="F723" t="s">
        <v>889</v>
      </c>
      <c r="G723" t="s">
        <v>436</v>
      </c>
      <c r="I723"/>
      <c r="J723"/>
      <c r="L723"/>
      <c r="M723"/>
      <c r="O723"/>
      <c r="P723" s="20"/>
      <c r="Q723" s="20"/>
      <c r="R723" s="20"/>
      <c r="S723" s="20"/>
      <c r="T723" s="20"/>
    </row>
    <row r="724" spans="1:21" x14ac:dyDescent="0.25">
      <c r="B724">
        <v>77</v>
      </c>
      <c r="C724" t="s">
        <v>1592</v>
      </c>
      <c r="E724" s="18">
        <v>166.66666666666666</v>
      </c>
      <c r="G724" t="s">
        <v>1593</v>
      </c>
      <c r="I724"/>
      <c r="J724"/>
      <c r="L724"/>
      <c r="M724"/>
      <c r="O724"/>
      <c r="P724" s="20"/>
      <c r="Q724" s="20"/>
      <c r="R724" s="20"/>
      <c r="S724" s="20"/>
      <c r="T724" s="20"/>
      <c r="U724" t="s">
        <v>401</v>
      </c>
    </row>
    <row r="725" spans="1:21" x14ac:dyDescent="0.25">
      <c r="B725">
        <v>77</v>
      </c>
      <c r="C725" t="s">
        <v>1594</v>
      </c>
      <c r="E725" s="18">
        <v>141.66666666666666</v>
      </c>
      <c r="G725" t="s">
        <v>1595</v>
      </c>
      <c r="I725"/>
      <c r="J725"/>
      <c r="L725"/>
      <c r="M725"/>
      <c r="O725"/>
      <c r="P725" s="20"/>
      <c r="Q725" s="20"/>
      <c r="R725" s="20"/>
      <c r="S725" s="20"/>
      <c r="T725" s="20"/>
      <c r="U725" t="s">
        <v>401</v>
      </c>
    </row>
    <row r="726" spans="1:21" x14ac:dyDescent="0.25">
      <c r="B726">
        <v>77</v>
      </c>
      <c r="C726" t="s">
        <v>1616</v>
      </c>
      <c r="D726">
        <v>8.25</v>
      </c>
      <c r="E726" s="18">
        <v>-825</v>
      </c>
      <c r="F726" t="s">
        <v>889</v>
      </c>
      <c r="G726" t="s">
        <v>1617</v>
      </c>
      <c r="I726"/>
      <c r="J726"/>
      <c r="L726"/>
      <c r="M726"/>
      <c r="O726"/>
      <c r="P726" s="20"/>
      <c r="Q726" s="20"/>
      <c r="R726" s="20"/>
      <c r="S726" s="20"/>
      <c r="T726" s="20"/>
      <c r="U726" t="s">
        <v>401</v>
      </c>
    </row>
    <row r="727" spans="1:21" x14ac:dyDescent="0.25">
      <c r="B727">
        <v>77</v>
      </c>
      <c r="C727" t="s">
        <v>1602</v>
      </c>
      <c r="E727" s="18">
        <v>358.33333333333331</v>
      </c>
      <c r="G727" t="s">
        <v>1603</v>
      </c>
      <c r="I727"/>
      <c r="J727"/>
      <c r="L727"/>
      <c r="M727"/>
      <c r="O727"/>
      <c r="P727" s="20"/>
      <c r="Q727" s="20"/>
      <c r="R727" s="20"/>
      <c r="S727" s="20"/>
      <c r="T727" s="20"/>
      <c r="U727" t="s">
        <v>401</v>
      </c>
    </row>
    <row r="728" spans="1:21" x14ac:dyDescent="0.25">
      <c r="A728" s="37">
        <v>41691</v>
      </c>
      <c r="B728" s="36">
        <v>79</v>
      </c>
      <c r="C728" s="38" t="s">
        <v>1622</v>
      </c>
      <c r="D728" s="38">
        <v>3.5</v>
      </c>
      <c r="E728" s="39">
        <v>350</v>
      </c>
      <c r="F728" s="38"/>
      <c r="G728" t="s">
        <v>1623</v>
      </c>
      <c r="H728" s="18">
        <v>350</v>
      </c>
      <c r="I728" s="3">
        <v>41691</v>
      </c>
      <c r="J728"/>
      <c r="L728"/>
      <c r="M728"/>
      <c r="N728" s="40"/>
      <c r="O728" s="38" t="s">
        <v>1623</v>
      </c>
      <c r="P728" s="20"/>
      <c r="Q728" s="20"/>
      <c r="R728" s="20"/>
      <c r="S728" s="20"/>
      <c r="T728" s="20"/>
    </row>
    <row r="729" spans="1:21" x14ac:dyDescent="0.25">
      <c r="A729" s="37">
        <v>41691</v>
      </c>
      <c r="B729" s="36">
        <v>79</v>
      </c>
      <c r="C729" s="38" t="s">
        <v>1624</v>
      </c>
      <c r="D729" s="38">
        <v>5.5</v>
      </c>
      <c r="E729" s="39">
        <v>550</v>
      </c>
      <c r="F729" s="38"/>
      <c r="G729" t="s">
        <v>1625</v>
      </c>
      <c r="H729" s="18">
        <v>550</v>
      </c>
      <c r="I729" s="3">
        <v>41691</v>
      </c>
      <c r="J729"/>
      <c r="L729"/>
      <c r="M729"/>
      <c r="N729" s="40"/>
      <c r="O729" s="38" t="s">
        <v>1625</v>
      </c>
      <c r="P729" s="20"/>
      <c r="Q729" s="20"/>
      <c r="R729" s="20"/>
      <c r="S729" s="20"/>
      <c r="T729" s="20"/>
    </row>
    <row r="730" spans="1:21" x14ac:dyDescent="0.25">
      <c r="A730" s="37">
        <v>41698</v>
      </c>
      <c r="B730" s="36">
        <v>79</v>
      </c>
      <c r="C730" s="38" t="s">
        <v>1626</v>
      </c>
      <c r="D730" s="38">
        <v>10</v>
      </c>
      <c r="E730" s="39">
        <v>1000</v>
      </c>
      <c r="F730" s="38"/>
      <c r="G730" t="s">
        <v>1627</v>
      </c>
      <c r="H730" s="18">
        <v>1000</v>
      </c>
      <c r="I730" s="3">
        <v>41698</v>
      </c>
      <c r="J730"/>
      <c r="L730"/>
      <c r="M730"/>
      <c r="N730" s="40"/>
      <c r="O730" s="38" t="s">
        <v>1627</v>
      </c>
      <c r="P730" s="20"/>
      <c r="Q730" s="20"/>
      <c r="R730" s="20"/>
      <c r="S730" s="20"/>
      <c r="T730" s="20"/>
    </row>
    <row r="731" spans="1:21" x14ac:dyDescent="0.25">
      <c r="A731" s="37">
        <v>41698</v>
      </c>
      <c r="B731" s="36">
        <v>79</v>
      </c>
      <c r="C731" s="38" t="s">
        <v>1628</v>
      </c>
      <c r="D731" s="38">
        <v>8.25</v>
      </c>
      <c r="E731" s="39">
        <v>825</v>
      </c>
      <c r="F731" s="38"/>
      <c r="G731" t="s">
        <v>1629</v>
      </c>
      <c r="H731" s="18">
        <v>825</v>
      </c>
      <c r="I731" s="3">
        <v>41698</v>
      </c>
      <c r="J731"/>
      <c r="L731"/>
      <c r="M731"/>
      <c r="N731" s="40"/>
      <c r="O731" s="38" t="s">
        <v>1629</v>
      </c>
      <c r="P731" s="20"/>
      <c r="Q731" s="20"/>
      <c r="R731" s="20"/>
      <c r="S731" s="20"/>
      <c r="T731" s="20"/>
    </row>
    <row r="732" spans="1:21" x14ac:dyDescent="0.25">
      <c r="A732" s="3">
        <v>41698</v>
      </c>
      <c r="B732" s="36">
        <v>79</v>
      </c>
      <c r="C732" t="s">
        <v>1630</v>
      </c>
      <c r="D732">
        <v>9</v>
      </c>
      <c r="E732" s="18">
        <v>875</v>
      </c>
      <c r="G732" t="s">
        <v>1631</v>
      </c>
      <c r="H732" s="18">
        <v>875</v>
      </c>
      <c r="I732" s="3">
        <v>41698</v>
      </c>
      <c r="J732"/>
      <c r="L732"/>
      <c r="M732"/>
      <c r="N732" s="20"/>
      <c r="O732" t="s">
        <v>1631</v>
      </c>
      <c r="P732" s="20"/>
      <c r="Q732" s="20"/>
      <c r="R732" s="20"/>
      <c r="S732" s="20"/>
      <c r="T732" s="20"/>
    </row>
    <row r="733" spans="1:21" x14ac:dyDescent="0.25">
      <c r="A733" s="3">
        <v>41698</v>
      </c>
      <c r="B733" s="36">
        <v>79</v>
      </c>
      <c r="C733" t="s">
        <v>1632</v>
      </c>
      <c r="D733">
        <v>7.75</v>
      </c>
      <c r="E733" s="18">
        <v>775</v>
      </c>
      <c r="G733" t="s">
        <v>1633</v>
      </c>
      <c r="H733" s="18">
        <v>775</v>
      </c>
      <c r="I733" s="3">
        <v>41698</v>
      </c>
      <c r="J733"/>
      <c r="L733"/>
      <c r="M733"/>
      <c r="N733" s="20"/>
      <c r="O733" t="s">
        <v>1633</v>
      </c>
      <c r="P733" s="20"/>
      <c r="Q733" s="20"/>
      <c r="R733" s="20"/>
      <c r="S733" s="20"/>
      <c r="T733" s="20"/>
    </row>
    <row r="734" spans="1:21" x14ac:dyDescent="0.25">
      <c r="A734" s="3">
        <v>41705</v>
      </c>
      <c r="B734" s="36">
        <v>79</v>
      </c>
      <c r="C734" t="s">
        <v>1634</v>
      </c>
      <c r="E734" s="18">
        <v>250</v>
      </c>
      <c r="G734" t="s">
        <v>1635</v>
      </c>
      <c r="H734" s="18">
        <v>250</v>
      </c>
      <c r="I734" s="3">
        <v>41705</v>
      </c>
      <c r="J734"/>
      <c r="L734"/>
      <c r="M734"/>
      <c r="N734" s="20"/>
      <c r="O734" t="s">
        <v>1635</v>
      </c>
      <c r="P734" s="20"/>
      <c r="Q734" s="20"/>
      <c r="R734" s="20"/>
      <c r="S734" s="20"/>
      <c r="T734" s="20"/>
    </row>
    <row r="735" spans="1:21" x14ac:dyDescent="0.25">
      <c r="A735" s="3">
        <v>41705</v>
      </c>
      <c r="B735" s="36">
        <v>79</v>
      </c>
      <c r="C735" t="s">
        <v>1636</v>
      </c>
      <c r="E735" s="18">
        <v>650</v>
      </c>
      <c r="G735" t="s">
        <v>1637</v>
      </c>
      <c r="H735" s="18">
        <v>650</v>
      </c>
      <c r="I735" s="3">
        <v>41705</v>
      </c>
      <c r="J735"/>
      <c r="L735"/>
      <c r="M735"/>
      <c r="N735" s="20"/>
      <c r="O735" t="s">
        <v>1637</v>
      </c>
      <c r="P735" s="20"/>
      <c r="Q735" s="20"/>
      <c r="R735" s="20"/>
      <c r="S735" s="20"/>
      <c r="T735" s="20"/>
    </row>
    <row r="736" spans="1:21" x14ac:dyDescent="0.25">
      <c r="A736" s="3">
        <v>41705</v>
      </c>
      <c r="B736" s="36">
        <v>79</v>
      </c>
      <c r="C736" t="s">
        <v>1638</v>
      </c>
      <c r="E736" s="18">
        <v>600</v>
      </c>
      <c r="G736" t="s">
        <v>1639</v>
      </c>
      <c r="H736" s="18">
        <v>600</v>
      </c>
      <c r="I736" s="3">
        <v>41705</v>
      </c>
      <c r="J736"/>
      <c r="L736"/>
      <c r="M736"/>
      <c r="N736" s="20"/>
      <c r="O736" t="s">
        <v>1639</v>
      </c>
      <c r="P736" s="20"/>
      <c r="Q736" s="20"/>
      <c r="R736" s="20"/>
      <c r="S736" s="20"/>
      <c r="T736" s="20"/>
    </row>
    <row r="737" spans="1:20" x14ac:dyDescent="0.25">
      <c r="A737" s="3">
        <v>41705</v>
      </c>
      <c r="B737" s="36">
        <v>79</v>
      </c>
      <c r="C737" t="s">
        <v>1640</v>
      </c>
      <c r="E737" s="18">
        <v>600</v>
      </c>
      <c r="G737" t="s">
        <v>1641</v>
      </c>
      <c r="H737" s="18">
        <v>600</v>
      </c>
      <c r="I737" s="3">
        <v>41705</v>
      </c>
      <c r="J737"/>
      <c r="L737"/>
      <c r="M737"/>
      <c r="N737" s="20"/>
      <c r="O737" t="s">
        <v>1641</v>
      </c>
      <c r="P737" s="20"/>
      <c r="Q737" s="20"/>
      <c r="R737" s="20"/>
      <c r="S737" s="20"/>
      <c r="T737" s="20"/>
    </row>
    <row r="738" spans="1:20" x14ac:dyDescent="0.25">
      <c r="A738" s="3">
        <v>41705</v>
      </c>
      <c r="B738" s="36">
        <v>79</v>
      </c>
      <c r="C738" t="s">
        <v>1642</v>
      </c>
      <c r="E738" s="18">
        <v>425</v>
      </c>
      <c r="G738" t="s">
        <v>1643</v>
      </c>
      <c r="H738" s="18">
        <v>425</v>
      </c>
      <c r="I738" s="3">
        <v>41705</v>
      </c>
      <c r="J738"/>
      <c r="L738"/>
      <c r="M738"/>
      <c r="N738" s="20"/>
      <c r="O738" t="s">
        <v>1643</v>
      </c>
      <c r="P738" s="20"/>
      <c r="Q738" s="20"/>
      <c r="R738" s="20"/>
      <c r="S738" s="20"/>
      <c r="T738" s="20"/>
    </row>
    <row r="739" spans="1:20" x14ac:dyDescent="0.25">
      <c r="A739" s="3">
        <v>41705</v>
      </c>
      <c r="B739" s="36">
        <v>79</v>
      </c>
      <c r="C739" t="s">
        <v>1644</v>
      </c>
      <c r="E739" s="18">
        <v>700</v>
      </c>
      <c r="G739" t="s">
        <v>1645</v>
      </c>
      <c r="H739" s="18">
        <v>700</v>
      </c>
      <c r="I739" s="3">
        <v>41705</v>
      </c>
      <c r="J739"/>
      <c r="L739"/>
      <c r="M739"/>
      <c r="N739" s="20"/>
      <c r="O739" t="s">
        <v>1645</v>
      </c>
      <c r="P739" s="20"/>
      <c r="Q739" s="20"/>
      <c r="R739" s="20"/>
      <c r="S739" s="20"/>
      <c r="T739" s="20"/>
    </row>
    <row r="740" spans="1:20" x14ac:dyDescent="0.25">
      <c r="A740" s="3">
        <v>41705</v>
      </c>
      <c r="B740" s="36">
        <v>79</v>
      </c>
      <c r="C740" t="s">
        <v>1632</v>
      </c>
      <c r="E740" s="18">
        <v>-775</v>
      </c>
      <c r="G740" t="s">
        <v>1633</v>
      </c>
      <c r="H740" s="18" t="s">
        <v>442</v>
      </c>
      <c r="I740" s="3" t="s">
        <v>442</v>
      </c>
      <c r="J740"/>
      <c r="L740"/>
      <c r="M740"/>
      <c r="N740" s="20"/>
      <c r="O740" t="s">
        <v>1633</v>
      </c>
      <c r="P740" s="20"/>
      <c r="Q740" s="20"/>
      <c r="R740" s="20"/>
      <c r="S740" s="20"/>
      <c r="T740" s="20"/>
    </row>
    <row r="741" spans="1:20" x14ac:dyDescent="0.25">
      <c r="A741" s="3">
        <v>41705</v>
      </c>
      <c r="B741" s="36">
        <v>79</v>
      </c>
      <c r="C741" t="s">
        <v>1646</v>
      </c>
      <c r="E741" s="18">
        <v>550</v>
      </c>
      <c r="G741" t="s">
        <v>1647</v>
      </c>
      <c r="H741" s="18">
        <v>550</v>
      </c>
      <c r="I741" s="3">
        <v>41705</v>
      </c>
      <c r="J741"/>
      <c r="L741"/>
      <c r="M741"/>
      <c r="N741" s="20"/>
      <c r="O741" t="s">
        <v>1647</v>
      </c>
      <c r="P741" s="20"/>
      <c r="Q741" s="20"/>
      <c r="R741" s="20"/>
      <c r="S741" s="20"/>
      <c r="T741" s="20"/>
    </row>
    <row r="742" spans="1:20" x14ac:dyDescent="0.25">
      <c r="A742" s="3">
        <v>41712</v>
      </c>
      <c r="B742" s="36">
        <v>79</v>
      </c>
      <c r="C742" t="s">
        <v>1648</v>
      </c>
      <c r="E742" s="18">
        <v>625</v>
      </c>
      <c r="G742" t="s">
        <v>1649</v>
      </c>
      <c r="H742" s="18">
        <v>625</v>
      </c>
      <c r="I742" s="3">
        <v>41712</v>
      </c>
      <c r="J742"/>
      <c r="L742"/>
      <c r="M742"/>
      <c r="N742" s="20"/>
      <c r="O742" t="s">
        <v>1649</v>
      </c>
      <c r="P742" s="20"/>
      <c r="Q742" s="20"/>
      <c r="R742" s="20"/>
      <c r="S742" s="20"/>
      <c r="T742" s="20"/>
    </row>
    <row r="743" spans="1:20" x14ac:dyDescent="0.25">
      <c r="A743" s="37">
        <v>41712</v>
      </c>
      <c r="B743" s="36">
        <v>79</v>
      </c>
      <c r="C743" s="38" t="s">
        <v>1650</v>
      </c>
      <c r="D743" s="38"/>
      <c r="E743" s="39">
        <v>325</v>
      </c>
      <c r="F743" s="38"/>
      <c r="G743" t="s">
        <v>1651</v>
      </c>
      <c r="H743" s="18">
        <v>325</v>
      </c>
      <c r="I743" s="3">
        <v>41712</v>
      </c>
      <c r="J743"/>
      <c r="L743"/>
      <c r="M743"/>
      <c r="N743" s="40"/>
      <c r="O743" s="38" t="s">
        <v>1651</v>
      </c>
      <c r="P743" s="20"/>
      <c r="Q743" s="20"/>
      <c r="R743" s="20"/>
      <c r="S743" s="20"/>
      <c r="T743" s="20"/>
    </row>
    <row r="744" spans="1:20" x14ac:dyDescent="0.25">
      <c r="A744" s="37">
        <v>41712</v>
      </c>
      <c r="B744" s="36">
        <v>79</v>
      </c>
      <c r="C744" s="38" t="s">
        <v>1652</v>
      </c>
      <c r="D744" s="38"/>
      <c r="E744" s="39">
        <v>275</v>
      </c>
      <c r="F744" s="38"/>
      <c r="G744" t="s">
        <v>1653</v>
      </c>
      <c r="H744" s="18">
        <v>275</v>
      </c>
      <c r="I744" s="3">
        <v>41712</v>
      </c>
      <c r="J744"/>
      <c r="L744"/>
      <c r="M744"/>
      <c r="N744" s="40"/>
      <c r="O744" s="38" t="s">
        <v>1653</v>
      </c>
      <c r="P744" s="20"/>
      <c r="Q744" s="20"/>
      <c r="R744" s="20"/>
      <c r="S744" s="20"/>
      <c r="T744" s="20"/>
    </row>
    <row r="745" spans="1:20" x14ac:dyDescent="0.25">
      <c r="A745" s="37">
        <v>41712</v>
      </c>
      <c r="B745" s="36">
        <v>79</v>
      </c>
      <c r="C745" s="38" t="s">
        <v>1654</v>
      </c>
      <c r="D745" s="38"/>
      <c r="E745" s="39">
        <v>450</v>
      </c>
      <c r="F745" s="38"/>
      <c r="G745" t="s">
        <v>1655</v>
      </c>
      <c r="H745" s="18">
        <v>450</v>
      </c>
      <c r="I745" s="3">
        <v>41712</v>
      </c>
      <c r="J745"/>
      <c r="L745"/>
      <c r="M745"/>
      <c r="N745" s="40"/>
      <c r="O745" s="38" t="s">
        <v>1655</v>
      </c>
      <c r="P745" s="20"/>
      <c r="Q745" s="20"/>
      <c r="R745" s="20"/>
      <c r="S745" s="20"/>
      <c r="T745" s="20"/>
    </row>
    <row r="746" spans="1:20" x14ac:dyDescent="0.25">
      <c r="A746" s="37">
        <v>41712</v>
      </c>
      <c r="B746" s="36">
        <v>79</v>
      </c>
      <c r="C746" s="38" t="s">
        <v>1646</v>
      </c>
      <c r="D746" s="38"/>
      <c r="E746" s="39">
        <v>-550</v>
      </c>
      <c r="F746" s="38"/>
      <c r="G746" t="s">
        <v>1647</v>
      </c>
      <c r="H746" s="18" t="s">
        <v>442</v>
      </c>
      <c r="I746" s="3" t="s">
        <v>442</v>
      </c>
      <c r="J746"/>
      <c r="L746"/>
      <c r="M746"/>
      <c r="N746" s="40"/>
      <c r="O746" s="38" t="s">
        <v>1647</v>
      </c>
      <c r="P746" s="20"/>
      <c r="Q746" s="20"/>
      <c r="R746" s="20"/>
      <c r="S746" s="20"/>
      <c r="T746" s="20"/>
    </row>
    <row r="747" spans="1:20" x14ac:dyDescent="0.25">
      <c r="A747" s="37">
        <v>41712</v>
      </c>
      <c r="B747" s="36">
        <v>79</v>
      </c>
      <c r="C747" s="38" t="s">
        <v>1656</v>
      </c>
      <c r="D747" s="38"/>
      <c r="E747" s="39">
        <v>625</v>
      </c>
      <c r="F747" s="38"/>
      <c r="G747" t="s">
        <v>1657</v>
      </c>
      <c r="H747" s="18">
        <v>625</v>
      </c>
      <c r="I747" s="3">
        <v>41712</v>
      </c>
      <c r="J747"/>
      <c r="L747"/>
      <c r="M747"/>
      <c r="N747" s="40"/>
      <c r="O747" s="38" t="s">
        <v>1657</v>
      </c>
      <c r="P747" s="20"/>
      <c r="Q747" s="20"/>
      <c r="R747" s="20"/>
      <c r="S747" s="20"/>
      <c r="T747" s="20"/>
    </row>
    <row r="748" spans="1:20" x14ac:dyDescent="0.25">
      <c r="A748" s="37">
        <v>41719</v>
      </c>
      <c r="B748" s="36">
        <v>79</v>
      </c>
      <c r="C748" s="38" t="s">
        <v>1658</v>
      </c>
      <c r="D748" s="38"/>
      <c r="E748" s="39">
        <v>525</v>
      </c>
      <c r="F748" s="38"/>
      <c r="G748" t="s">
        <v>1659</v>
      </c>
      <c r="H748" s="18">
        <v>525</v>
      </c>
      <c r="I748" s="3">
        <v>41719</v>
      </c>
      <c r="J748"/>
      <c r="L748"/>
      <c r="M748"/>
      <c r="N748" s="40"/>
      <c r="O748" s="38" t="s">
        <v>1659</v>
      </c>
      <c r="P748" s="20"/>
      <c r="Q748" s="20"/>
      <c r="R748" s="20"/>
      <c r="S748" s="20"/>
      <c r="T748" s="20"/>
    </row>
    <row r="749" spans="1:20" x14ac:dyDescent="0.25">
      <c r="A749" s="37">
        <v>41719</v>
      </c>
      <c r="B749" s="36">
        <v>79</v>
      </c>
      <c r="C749" s="38" t="s">
        <v>1660</v>
      </c>
      <c r="D749" s="38"/>
      <c r="E749" s="39">
        <v>600</v>
      </c>
      <c r="F749" s="38"/>
      <c r="G749" t="s">
        <v>1661</v>
      </c>
      <c r="H749" s="18">
        <v>600</v>
      </c>
      <c r="I749" s="3">
        <v>41719</v>
      </c>
      <c r="J749"/>
      <c r="L749"/>
      <c r="M749"/>
      <c r="N749" s="40"/>
      <c r="O749" s="38" t="s">
        <v>1661</v>
      </c>
      <c r="P749" s="20"/>
      <c r="Q749" s="20"/>
      <c r="R749" s="20"/>
      <c r="S749" s="20"/>
      <c r="T749" s="20"/>
    </row>
    <row r="750" spans="1:20" x14ac:dyDescent="0.25">
      <c r="A750" s="37">
        <v>41719</v>
      </c>
      <c r="B750" s="36">
        <v>79</v>
      </c>
      <c r="C750" s="38" t="s">
        <v>1662</v>
      </c>
      <c r="D750" s="38"/>
      <c r="E750" s="39">
        <v>975</v>
      </c>
      <c r="F750" s="38"/>
      <c r="G750" t="s">
        <v>1663</v>
      </c>
      <c r="H750" s="18">
        <v>975</v>
      </c>
      <c r="I750" s="3">
        <v>41719</v>
      </c>
      <c r="J750"/>
      <c r="L750"/>
      <c r="M750"/>
      <c r="N750" s="40"/>
      <c r="O750" s="38" t="s">
        <v>1663</v>
      </c>
      <c r="P750" s="20"/>
      <c r="Q750" s="20"/>
      <c r="R750" s="20"/>
      <c r="S750" s="20"/>
      <c r="T750" s="20"/>
    </row>
    <row r="751" spans="1:20" x14ac:dyDescent="0.25">
      <c r="A751" s="3">
        <v>41719</v>
      </c>
      <c r="B751" s="36">
        <v>79</v>
      </c>
      <c r="C751" t="s">
        <v>1664</v>
      </c>
      <c r="E751" s="18">
        <v>825</v>
      </c>
      <c r="G751" t="s">
        <v>1665</v>
      </c>
      <c r="H751" s="18">
        <v>825</v>
      </c>
      <c r="I751" s="3">
        <v>41719</v>
      </c>
      <c r="J751"/>
      <c r="L751"/>
      <c r="M751"/>
      <c r="N751" s="20"/>
      <c r="O751" t="s">
        <v>1665</v>
      </c>
      <c r="P751" s="20"/>
      <c r="Q751" s="20"/>
      <c r="R751" s="20"/>
      <c r="S751" s="20"/>
      <c r="T751" s="20"/>
    </row>
    <row r="752" spans="1:20" x14ac:dyDescent="0.25">
      <c r="A752" s="3">
        <v>41719</v>
      </c>
      <c r="B752" s="36">
        <v>79</v>
      </c>
      <c r="C752" t="s">
        <v>1624</v>
      </c>
      <c r="E752" s="18">
        <v>-550</v>
      </c>
      <c r="G752" t="s">
        <v>1625</v>
      </c>
      <c r="H752" s="18" t="s">
        <v>442</v>
      </c>
      <c r="I752" s="3" t="s">
        <v>442</v>
      </c>
      <c r="J752"/>
      <c r="L752"/>
      <c r="M752"/>
      <c r="N752" s="20"/>
      <c r="O752" t="s">
        <v>1625</v>
      </c>
      <c r="P752" s="20"/>
      <c r="Q752" s="20"/>
      <c r="R752" s="20"/>
      <c r="S752" s="20"/>
      <c r="T752" s="20"/>
    </row>
    <row r="753" spans="1:20" x14ac:dyDescent="0.25">
      <c r="A753" s="3">
        <v>41719</v>
      </c>
      <c r="B753" s="36">
        <v>79</v>
      </c>
      <c r="C753" t="s">
        <v>1652</v>
      </c>
      <c r="E753" s="18">
        <v>-275</v>
      </c>
      <c r="G753" t="s">
        <v>1653</v>
      </c>
      <c r="H753" s="18" t="s">
        <v>442</v>
      </c>
      <c r="I753" s="3" t="s">
        <v>442</v>
      </c>
      <c r="J753"/>
      <c r="L753"/>
      <c r="M753"/>
      <c r="N753" s="20"/>
      <c r="O753" t="s">
        <v>1653</v>
      </c>
      <c r="P753" s="20"/>
      <c r="Q753" s="20"/>
      <c r="R753" s="20"/>
      <c r="S753" s="20"/>
      <c r="T753" s="20"/>
    </row>
    <row r="754" spans="1:20" x14ac:dyDescent="0.25">
      <c r="A754" s="3">
        <v>41726</v>
      </c>
      <c r="B754" s="36">
        <v>79</v>
      </c>
      <c r="C754" t="s">
        <v>1666</v>
      </c>
      <c r="D754">
        <v>10</v>
      </c>
      <c r="E754" s="18">
        <v>1000</v>
      </c>
      <c r="G754" t="s">
        <v>1667</v>
      </c>
      <c r="H754" s="18">
        <v>1000</v>
      </c>
      <c r="I754" s="3">
        <v>41726</v>
      </c>
      <c r="J754"/>
      <c r="L754"/>
      <c r="M754"/>
      <c r="N754" s="20"/>
      <c r="O754" t="s">
        <v>1667</v>
      </c>
      <c r="P754" s="20"/>
      <c r="Q754" s="20"/>
      <c r="R754" s="20"/>
      <c r="S754" s="20"/>
      <c r="T754" s="20"/>
    </row>
    <row r="755" spans="1:20" x14ac:dyDescent="0.25">
      <c r="A755" s="3">
        <v>41726</v>
      </c>
      <c r="B755" s="36">
        <v>79</v>
      </c>
      <c r="C755" t="s">
        <v>1668</v>
      </c>
      <c r="D755">
        <v>10</v>
      </c>
      <c r="E755" s="18">
        <v>1000</v>
      </c>
      <c r="G755" t="s">
        <v>1669</v>
      </c>
      <c r="H755" s="18">
        <v>1000</v>
      </c>
      <c r="I755" s="3">
        <v>41726</v>
      </c>
      <c r="J755"/>
      <c r="L755"/>
      <c r="M755"/>
      <c r="N755" s="20"/>
      <c r="O755" t="s">
        <v>1669</v>
      </c>
      <c r="P755" s="20"/>
      <c r="Q755" s="20"/>
      <c r="R755" s="20"/>
      <c r="S755" s="20"/>
      <c r="T755" s="20"/>
    </row>
    <row r="756" spans="1:20" x14ac:dyDescent="0.25">
      <c r="A756" s="3">
        <v>41726</v>
      </c>
      <c r="B756" s="36">
        <v>79</v>
      </c>
      <c r="C756" t="s">
        <v>1670</v>
      </c>
      <c r="D756">
        <v>8.25</v>
      </c>
      <c r="E756" s="18">
        <v>825</v>
      </c>
      <c r="G756" t="s">
        <v>1671</v>
      </c>
      <c r="H756" s="18">
        <v>825</v>
      </c>
      <c r="I756" s="3">
        <v>41726</v>
      </c>
      <c r="J756"/>
      <c r="L756"/>
      <c r="M756"/>
      <c r="N756" s="20"/>
      <c r="O756" t="s">
        <v>1671</v>
      </c>
      <c r="P756" s="20"/>
      <c r="Q756" s="20"/>
      <c r="R756" s="20"/>
      <c r="S756" s="20"/>
      <c r="T756" s="20"/>
    </row>
    <row r="757" spans="1:20" x14ac:dyDescent="0.25">
      <c r="A757" s="3">
        <v>41726</v>
      </c>
      <c r="B757" s="36">
        <v>79</v>
      </c>
      <c r="C757" t="s">
        <v>1654</v>
      </c>
      <c r="D757">
        <v>4.5</v>
      </c>
      <c r="E757" s="18">
        <v>-450</v>
      </c>
      <c r="G757" t="s">
        <v>1655</v>
      </c>
      <c r="H757" s="18" t="s">
        <v>442</v>
      </c>
      <c r="I757" s="3" t="s">
        <v>442</v>
      </c>
      <c r="J757"/>
      <c r="L757"/>
      <c r="M757"/>
      <c r="N757" s="20"/>
      <c r="O757" t="s">
        <v>1655</v>
      </c>
      <c r="P757" s="20"/>
      <c r="Q757" s="20"/>
      <c r="R757" s="20"/>
      <c r="S757" s="20"/>
      <c r="T757" s="20"/>
    </row>
    <row r="758" spans="1:20" x14ac:dyDescent="0.25">
      <c r="A758" s="3">
        <v>41726</v>
      </c>
      <c r="B758" s="36">
        <v>79</v>
      </c>
      <c r="C758" t="s">
        <v>1656</v>
      </c>
      <c r="D758">
        <v>6.25</v>
      </c>
      <c r="E758" s="18">
        <v>-625</v>
      </c>
      <c r="G758" t="s">
        <v>1657</v>
      </c>
      <c r="H758" s="18" t="s">
        <v>442</v>
      </c>
      <c r="I758" s="3" t="s">
        <v>442</v>
      </c>
      <c r="J758"/>
      <c r="L758"/>
      <c r="M758"/>
      <c r="N758" s="20"/>
      <c r="O758" t="s">
        <v>1657</v>
      </c>
      <c r="P758" s="20"/>
      <c r="Q758" s="20"/>
      <c r="R758" s="20"/>
      <c r="S758" s="20"/>
      <c r="T758" s="20"/>
    </row>
    <row r="759" spans="1:20" x14ac:dyDescent="0.25">
      <c r="A759" s="3">
        <v>41733</v>
      </c>
      <c r="B759" s="36">
        <v>79</v>
      </c>
      <c r="C759" t="s">
        <v>1672</v>
      </c>
      <c r="D759">
        <v>10</v>
      </c>
      <c r="E759" s="18">
        <v>1000</v>
      </c>
      <c r="G759" t="s">
        <v>1673</v>
      </c>
      <c r="H759" s="18">
        <v>1000</v>
      </c>
      <c r="I759" s="3">
        <v>41733</v>
      </c>
      <c r="J759"/>
      <c r="L759"/>
      <c r="M759"/>
      <c r="N759" s="20"/>
      <c r="O759" t="s">
        <v>1673</v>
      </c>
      <c r="P759" s="20"/>
      <c r="Q759" s="20"/>
      <c r="R759" s="20"/>
      <c r="S759" s="20"/>
      <c r="T759" s="20"/>
    </row>
    <row r="760" spans="1:20" x14ac:dyDescent="0.25">
      <c r="A760" s="3">
        <v>41733</v>
      </c>
      <c r="B760" s="36">
        <v>79</v>
      </c>
      <c r="C760" t="s">
        <v>1674</v>
      </c>
      <c r="D760">
        <v>4.5</v>
      </c>
      <c r="E760" s="18">
        <v>450</v>
      </c>
      <c r="G760" t="s">
        <v>1675</v>
      </c>
      <c r="H760" s="18">
        <v>450</v>
      </c>
      <c r="I760" s="3">
        <v>41733</v>
      </c>
      <c r="J760"/>
      <c r="L760"/>
      <c r="M760"/>
      <c r="N760" s="20"/>
      <c r="O760" t="s">
        <v>1675</v>
      </c>
      <c r="P760" s="20"/>
      <c r="Q760" s="20"/>
      <c r="R760" s="20"/>
      <c r="S760" s="20"/>
      <c r="T760" s="20"/>
    </row>
    <row r="761" spans="1:20" x14ac:dyDescent="0.25">
      <c r="A761" s="3">
        <v>41740</v>
      </c>
      <c r="B761" s="36">
        <v>79</v>
      </c>
      <c r="C761" t="s">
        <v>1626</v>
      </c>
      <c r="D761">
        <v>10</v>
      </c>
      <c r="E761" s="18">
        <v>500</v>
      </c>
      <c r="G761" t="s">
        <v>1627</v>
      </c>
      <c r="H761" s="18">
        <v>500</v>
      </c>
      <c r="I761" s="3">
        <v>41740</v>
      </c>
      <c r="J761"/>
      <c r="L761"/>
      <c r="M761"/>
      <c r="N761" s="20"/>
      <c r="O761" t="s">
        <v>1627</v>
      </c>
      <c r="P761" s="20"/>
      <c r="Q761" s="20"/>
      <c r="R761" s="20"/>
      <c r="S761" s="20"/>
      <c r="T761" s="20"/>
    </row>
    <row r="762" spans="1:20" x14ac:dyDescent="0.25">
      <c r="A762" s="3">
        <v>41740</v>
      </c>
      <c r="B762" s="36">
        <v>79</v>
      </c>
      <c r="C762" t="s">
        <v>1638</v>
      </c>
      <c r="D762">
        <v>6</v>
      </c>
      <c r="E762" s="18">
        <v>300</v>
      </c>
      <c r="G762" t="s">
        <v>1639</v>
      </c>
      <c r="H762" s="18">
        <v>300</v>
      </c>
      <c r="I762" s="3">
        <v>41740</v>
      </c>
      <c r="J762"/>
      <c r="L762"/>
      <c r="M762"/>
      <c r="N762" s="20"/>
      <c r="O762" t="s">
        <v>1639</v>
      </c>
      <c r="P762" s="20"/>
      <c r="Q762" s="20"/>
      <c r="R762" s="20"/>
      <c r="S762" s="20"/>
      <c r="T762" s="20"/>
    </row>
    <row r="763" spans="1:20" x14ac:dyDescent="0.25">
      <c r="A763" s="3">
        <v>41740</v>
      </c>
      <c r="B763" s="36">
        <v>79</v>
      </c>
      <c r="C763" t="s">
        <v>1676</v>
      </c>
      <c r="D763">
        <v>6.25</v>
      </c>
      <c r="E763" s="18">
        <v>625</v>
      </c>
      <c r="G763" t="s">
        <v>1677</v>
      </c>
      <c r="H763" s="18">
        <v>625</v>
      </c>
      <c r="I763" s="3">
        <v>41740</v>
      </c>
      <c r="J763"/>
      <c r="L763"/>
      <c r="M763"/>
      <c r="N763" s="20"/>
      <c r="O763" t="s">
        <v>1677</v>
      </c>
      <c r="P763" s="20"/>
      <c r="Q763" s="20"/>
      <c r="R763" s="20"/>
      <c r="S763" s="20"/>
      <c r="T763" s="20"/>
    </row>
    <row r="764" spans="1:20" x14ac:dyDescent="0.25">
      <c r="A764" s="3">
        <v>41740</v>
      </c>
      <c r="B764" s="36">
        <v>79</v>
      </c>
      <c r="C764" t="s">
        <v>1678</v>
      </c>
      <c r="D764">
        <v>3.25</v>
      </c>
      <c r="E764" s="18">
        <v>325</v>
      </c>
      <c r="G764" t="s">
        <v>1679</v>
      </c>
      <c r="H764" s="18">
        <v>325</v>
      </c>
      <c r="I764" s="3">
        <v>41740</v>
      </c>
      <c r="J764"/>
      <c r="L764"/>
      <c r="M764"/>
      <c r="N764" s="20"/>
      <c r="O764" t="s">
        <v>1679</v>
      </c>
      <c r="P764" s="20"/>
      <c r="Q764" s="20"/>
      <c r="R764" s="20"/>
      <c r="S764" s="20"/>
      <c r="T764" s="20"/>
    </row>
    <row r="765" spans="1:20" x14ac:dyDescent="0.25">
      <c r="A765" s="3">
        <v>41740</v>
      </c>
      <c r="B765" s="36">
        <v>79</v>
      </c>
      <c r="C765" t="s">
        <v>1644</v>
      </c>
      <c r="D765">
        <v>6.25</v>
      </c>
      <c r="E765" s="18">
        <v>312.5</v>
      </c>
      <c r="G765" t="s">
        <v>1645</v>
      </c>
      <c r="H765" s="18">
        <v>312.5</v>
      </c>
      <c r="I765" s="3">
        <v>41740</v>
      </c>
      <c r="J765"/>
      <c r="L765"/>
      <c r="M765"/>
      <c r="N765" s="20"/>
      <c r="O765" t="s">
        <v>1645</v>
      </c>
      <c r="P765" s="20"/>
      <c r="Q765" s="20"/>
      <c r="R765" s="20"/>
      <c r="S765" s="20"/>
      <c r="T765" s="20"/>
    </row>
    <row r="766" spans="1:20" x14ac:dyDescent="0.25">
      <c r="A766" s="3">
        <v>41740</v>
      </c>
      <c r="B766" s="36">
        <v>79</v>
      </c>
      <c r="C766" t="s">
        <v>1680</v>
      </c>
      <c r="D766">
        <v>4.75</v>
      </c>
      <c r="E766" s="18">
        <v>475</v>
      </c>
      <c r="G766" t="s">
        <v>1681</v>
      </c>
      <c r="H766" s="18">
        <v>475</v>
      </c>
      <c r="I766" s="3">
        <v>41740</v>
      </c>
      <c r="J766"/>
      <c r="L766"/>
      <c r="M766"/>
      <c r="N766" s="20"/>
      <c r="O766" t="s">
        <v>1681</v>
      </c>
      <c r="P766" s="20"/>
      <c r="Q766" s="20"/>
      <c r="R766" s="20"/>
      <c r="S766" s="20"/>
      <c r="T766" s="20"/>
    </row>
    <row r="767" spans="1:20" x14ac:dyDescent="0.25">
      <c r="A767" s="3">
        <v>41747</v>
      </c>
      <c r="B767" s="36">
        <v>79</v>
      </c>
      <c r="C767" t="s">
        <v>1682</v>
      </c>
      <c r="D767">
        <v>2.5</v>
      </c>
      <c r="E767" s="18">
        <v>250</v>
      </c>
      <c r="G767" t="s">
        <v>1683</v>
      </c>
      <c r="H767" s="18">
        <v>250</v>
      </c>
      <c r="I767" s="3">
        <v>41747</v>
      </c>
      <c r="J767"/>
      <c r="L767"/>
      <c r="M767"/>
      <c r="N767" s="20"/>
      <c r="O767" t="s">
        <v>1683</v>
      </c>
      <c r="P767" s="20"/>
      <c r="Q767" s="20"/>
      <c r="R767" s="20"/>
      <c r="S767" s="20"/>
      <c r="T767" s="20"/>
    </row>
    <row r="768" spans="1:20" x14ac:dyDescent="0.25">
      <c r="A768" s="3">
        <v>41747</v>
      </c>
      <c r="B768" s="36">
        <v>79</v>
      </c>
      <c r="C768" t="s">
        <v>1684</v>
      </c>
      <c r="D768">
        <v>9.5</v>
      </c>
      <c r="E768" s="18">
        <v>950</v>
      </c>
      <c r="G768" t="s">
        <v>1685</v>
      </c>
      <c r="H768" s="18">
        <v>950</v>
      </c>
      <c r="I768" s="3">
        <v>41747</v>
      </c>
      <c r="J768"/>
      <c r="L768"/>
      <c r="M768"/>
      <c r="N768" s="20"/>
      <c r="O768" t="s">
        <v>1685</v>
      </c>
      <c r="P768" s="20"/>
      <c r="Q768" s="20"/>
      <c r="R768" s="20"/>
      <c r="S768" s="20"/>
      <c r="T768" s="20"/>
    </row>
    <row r="769" spans="1:20" x14ac:dyDescent="0.25">
      <c r="A769" s="3">
        <v>41754</v>
      </c>
      <c r="B769" s="36">
        <v>79</v>
      </c>
      <c r="C769" t="s">
        <v>1686</v>
      </c>
      <c r="D769">
        <v>6</v>
      </c>
      <c r="E769" s="18">
        <v>600</v>
      </c>
      <c r="G769" t="s">
        <v>1687</v>
      </c>
      <c r="H769" s="18">
        <v>600</v>
      </c>
      <c r="I769" s="3">
        <v>41754</v>
      </c>
      <c r="J769"/>
      <c r="L769"/>
      <c r="M769"/>
      <c r="N769" s="20"/>
      <c r="O769" t="s">
        <v>1687</v>
      </c>
      <c r="P769" s="20"/>
      <c r="Q769" s="20"/>
      <c r="R769" s="20"/>
      <c r="S769" s="20"/>
      <c r="T769" s="20"/>
    </row>
    <row r="770" spans="1:20" x14ac:dyDescent="0.25">
      <c r="A770" s="3">
        <v>41754</v>
      </c>
      <c r="B770" s="36">
        <v>79</v>
      </c>
      <c r="C770" t="s">
        <v>1640</v>
      </c>
      <c r="D770">
        <v>6</v>
      </c>
      <c r="E770" s="18">
        <v>-600</v>
      </c>
      <c r="G770" t="s">
        <v>1641</v>
      </c>
      <c r="H770" s="18" t="s">
        <v>442</v>
      </c>
      <c r="I770" s="3" t="s">
        <v>442</v>
      </c>
      <c r="J770"/>
      <c r="L770"/>
      <c r="M770"/>
      <c r="N770" s="20"/>
      <c r="O770" t="s">
        <v>1641</v>
      </c>
      <c r="P770" s="20"/>
      <c r="Q770" s="20"/>
      <c r="R770" s="20"/>
      <c r="S770" s="20"/>
      <c r="T770" s="20"/>
    </row>
    <row r="771" spans="1:20" x14ac:dyDescent="0.25">
      <c r="A771" s="3">
        <v>41754</v>
      </c>
      <c r="B771" s="36">
        <v>79</v>
      </c>
      <c r="C771" t="s">
        <v>1688</v>
      </c>
      <c r="D771">
        <v>7</v>
      </c>
      <c r="E771" s="18">
        <v>700</v>
      </c>
      <c r="G771" t="s">
        <v>1689</v>
      </c>
      <c r="H771" s="18">
        <v>700</v>
      </c>
      <c r="I771" s="3">
        <v>41754</v>
      </c>
      <c r="J771"/>
      <c r="L771"/>
      <c r="M771"/>
      <c r="N771" s="20"/>
      <c r="O771" t="s">
        <v>1689</v>
      </c>
      <c r="P771" s="20"/>
      <c r="Q771" s="20"/>
      <c r="R771" s="20"/>
      <c r="S771" s="20"/>
      <c r="T771" s="20"/>
    </row>
    <row r="772" spans="1:20" x14ac:dyDescent="0.25">
      <c r="A772" s="3">
        <v>41754</v>
      </c>
      <c r="B772" s="36">
        <v>79</v>
      </c>
      <c r="C772" t="s">
        <v>1688</v>
      </c>
      <c r="D772">
        <v>3.5</v>
      </c>
      <c r="E772" s="18">
        <v>350</v>
      </c>
      <c r="G772" t="s">
        <v>1690</v>
      </c>
      <c r="H772" s="18">
        <v>350</v>
      </c>
      <c r="I772" s="3">
        <v>41754</v>
      </c>
      <c r="J772"/>
      <c r="L772"/>
      <c r="M772"/>
      <c r="N772" s="20"/>
      <c r="O772" t="s">
        <v>1690</v>
      </c>
      <c r="P772" s="20"/>
      <c r="Q772" s="20"/>
      <c r="R772" s="20"/>
      <c r="S772" s="20"/>
      <c r="T772" s="20"/>
    </row>
    <row r="773" spans="1:20" x14ac:dyDescent="0.25">
      <c r="A773" s="3">
        <v>41754</v>
      </c>
      <c r="B773" s="36">
        <v>79</v>
      </c>
      <c r="C773" t="s">
        <v>1691</v>
      </c>
      <c r="D773">
        <v>7.25</v>
      </c>
      <c r="E773" s="18">
        <v>725</v>
      </c>
      <c r="G773" t="s">
        <v>1692</v>
      </c>
      <c r="H773" s="18">
        <v>725</v>
      </c>
      <c r="I773" s="3">
        <v>41754</v>
      </c>
      <c r="J773"/>
      <c r="L773"/>
      <c r="M773"/>
      <c r="N773" s="20"/>
      <c r="O773" t="s">
        <v>1692</v>
      </c>
      <c r="P773" s="20"/>
      <c r="Q773" s="20"/>
      <c r="R773" s="20"/>
      <c r="S773" s="20"/>
      <c r="T773" s="20"/>
    </row>
    <row r="774" spans="1:20" x14ac:dyDescent="0.25">
      <c r="A774" s="3">
        <v>41754</v>
      </c>
      <c r="B774" s="36">
        <v>79</v>
      </c>
      <c r="C774" t="s">
        <v>1693</v>
      </c>
      <c r="D774">
        <v>4.25</v>
      </c>
      <c r="E774" s="18">
        <v>425</v>
      </c>
      <c r="G774" t="s">
        <v>1694</v>
      </c>
      <c r="H774" s="18">
        <v>425</v>
      </c>
      <c r="I774" s="3">
        <v>41754</v>
      </c>
      <c r="J774"/>
      <c r="L774"/>
      <c r="M774"/>
      <c r="N774" s="20"/>
      <c r="O774" t="s">
        <v>1694</v>
      </c>
      <c r="P774" s="20"/>
      <c r="Q774" s="20"/>
      <c r="R774" s="20"/>
      <c r="S774" s="20"/>
      <c r="T774" s="20"/>
    </row>
    <row r="775" spans="1:20" x14ac:dyDescent="0.25">
      <c r="A775" s="3">
        <v>41754</v>
      </c>
      <c r="B775" s="36">
        <v>79</v>
      </c>
      <c r="C775" t="s">
        <v>1695</v>
      </c>
      <c r="D775">
        <v>4.25</v>
      </c>
      <c r="E775" s="18">
        <v>425</v>
      </c>
      <c r="G775" t="s">
        <v>1696</v>
      </c>
      <c r="H775" s="18">
        <v>425</v>
      </c>
      <c r="I775" s="3">
        <v>41754</v>
      </c>
      <c r="J775"/>
      <c r="L775"/>
      <c r="M775"/>
      <c r="N775" s="20"/>
      <c r="O775" t="s">
        <v>1696</v>
      </c>
      <c r="P775" s="20"/>
      <c r="Q775" s="20"/>
      <c r="R775" s="20"/>
      <c r="S775" s="20"/>
      <c r="T775" s="20"/>
    </row>
    <row r="776" spans="1:20" x14ac:dyDescent="0.25">
      <c r="A776" s="3">
        <v>41754</v>
      </c>
      <c r="B776" s="36">
        <v>79</v>
      </c>
      <c r="C776" t="s">
        <v>1697</v>
      </c>
      <c r="D776">
        <v>8.25</v>
      </c>
      <c r="E776" s="18">
        <v>825</v>
      </c>
      <c r="G776" t="s">
        <v>1698</v>
      </c>
      <c r="H776" s="18">
        <v>825</v>
      </c>
      <c r="I776" s="3">
        <v>41754</v>
      </c>
      <c r="J776"/>
      <c r="L776"/>
      <c r="M776"/>
      <c r="N776" s="20"/>
      <c r="O776" t="s">
        <v>1698</v>
      </c>
      <c r="P776" s="20"/>
      <c r="Q776" s="20"/>
      <c r="R776" s="20"/>
      <c r="S776" s="20"/>
      <c r="T776" s="20"/>
    </row>
    <row r="777" spans="1:20" x14ac:dyDescent="0.25">
      <c r="A777" s="3">
        <v>41762</v>
      </c>
      <c r="B777" s="36">
        <v>79</v>
      </c>
      <c r="C777" t="s">
        <v>1699</v>
      </c>
      <c r="D777">
        <v>10</v>
      </c>
      <c r="E777" s="18">
        <v>1000</v>
      </c>
      <c r="G777" t="s">
        <v>1700</v>
      </c>
      <c r="H777" s="18">
        <v>1000</v>
      </c>
      <c r="I777" s="3">
        <v>41762</v>
      </c>
      <c r="J777"/>
      <c r="L777"/>
      <c r="M777"/>
      <c r="N777" s="20"/>
      <c r="O777" t="s">
        <v>1700</v>
      </c>
      <c r="P777" s="20"/>
      <c r="Q777" s="20"/>
      <c r="R777" s="20"/>
      <c r="S777" s="20"/>
      <c r="T777" s="20"/>
    </row>
    <row r="778" spans="1:20" x14ac:dyDescent="0.25">
      <c r="A778" s="3">
        <v>41762</v>
      </c>
      <c r="B778" s="36">
        <v>79</v>
      </c>
      <c r="C778" t="s">
        <v>1701</v>
      </c>
      <c r="D778">
        <v>8</v>
      </c>
      <c r="E778" s="18">
        <v>800</v>
      </c>
      <c r="G778" t="s">
        <v>1702</v>
      </c>
      <c r="H778" s="18">
        <v>800</v>
      </c>
      <c r="I778" s="3">
        <v>41762</v>
      </c>
      <c r="J778"/>
      <c r="L778"/>
      <c r="M778"/>
      <c r="N778" s="20"/>
      <c r="O778" t="s">
        <v>1702</v>
      </c>
      <c r="P778" s="20"/>
      <c r="Q778" s="20"/>
      <c r="R778" s="20"/>
      <c r="S778" s="20"/>
      <c r="T778" s="20"/>
    </row>
    <row r="779" spans="1:20" x14ac:dyDescent="0.25">
      <c r="A779" s="3">
        <v>41762</v>
      </c>
      <c r="B779" s="36">
        <v>79</v>
      </c>
      <c r="C779" t="s">
        <v>1703</v>
      </c>
      <c r="D779">
        <v>9.75</v>
      </c>
      <c r="E779" s="18">
        <v>975</v>
      </c>
      <c r="G779" t="s">
        <v>1704</v>
      </c>
      <c r="H779" s="18">
        <v>975</v>
      </c>
      <c r="I779" s="3">
        <v>41762</v>
      </c>
      <c r="J779"/>
      <c r="L779"/>
      <c r="M779"/>
      <c r="N779" s="20"/>
      <c r="O779" t="s">
        <v>1704</v>
      </c>
      <c r="P779" s="20"/>
      <c r="Q779" s="20"/>
      <c r="R779" s="20"/>
      <c r="S779" s="20"/>
      <c r="T779" s="20"/>
    </row>
    <row r="780" spans="1:20" x14ac:dyDescent="0.25">
      <c r="A780" s="3">
        <v>41775</v>
      </c>
      <c r="B780" s="36">
        <v>79</v>
      </c>
      <c r="C780" t="s">
        <v>1705</v>
      </c>
      <c r="D780">
        <v>3.75</v>
      </c>
      <c r="E780" s="18">
        <v>375</v>
      </c>
      <c r="G780" t="s">
        <v>1706</v>
      </c>
      <c r="H780" s="18">
        <v>375</v>
      </c>
      <c r="I780" s="3">
        <v>41775</v>
      </c>
      <c r="J780"/>
      <c r="L780"/>
      <c r="M780"/>
      <c r="N780" s="20"/>
      <c r="O780" t="s">
        <v>1706</v>
      </c>
      <c r="P780" s="20"/>
      <c r="Q780" s="20"/>
      <c r="R780" s="20"/>
      <c r="S780" s="20"/>
      <c r="T780" s="20"/>
    </row>
    <row r="781" spans="1:20" x14ac:dyDescent="0.25">
      <c r="A781" s="3">
        <v>41775</v>
      </c>
      <c r="B781" s="36">
        <v>79</v>
      </c>
      <c r="C781" t="s">
        <v>1707</v>
      </c>
      <c r="D781">
        <v>4.335</v>
      </c>
      <c r="E781" s="18">
        <v>433.5</v>
      </c>
      <c r="G781" t="s">
        <v>1708</v>
      </c>
      <c r="H781" s="18">
        <v>433.5</v>
      </c>
      <c r="I781" s="3">
        <v>41775</v>
      </c>
      <c r="J781"/>
      <c r="L781"/>
      <c r="M781"/>
      <c r="N781" s="20"/>
      <c r="O781" t="s">
        <v>1708</v>
      </c>
      <c r="P781" s="20"/>
      <c r="Q781" s="20"/>
      <c r="R781" s="20"/>
      <c r="S781" s="20"/>
      <c r="T781" s="20"/>
    </row>
    <row r="782" spans="1:20" x14ac:dyDescent="0.25">
      <c r="A782" s="3">
        <v>41775</v>
      </c>
      <c r="B782" s="36">
        <v>79</v>
      </c>
      <c r="C782" t="s">
        <v>1628</v>
      </c>
      <c r="D782">
        <v>8.25</v>
      </c>
      <c r="E782" s="18">
        <v>-825</v>
      </c>
      <c r="G782" t="s">
        <v>1629</v>
      </c>
      <c r="H782" s="18" t="s">
        <v>442</v>
      </c>
      <c r="I782" s="3" t="s">
        <v>442</v>
      </c>
      <c r="J782"/>
      <c r="L782"/>
      <c r="M782"/>
      <c r="N782" s="20"/>
      <c r="O782" t="s">
        <v>1629</v>
      </c>
      <c r="P782" s="20"/>
      <c r="Q782" s="20"/>
      <c r="R782" s="20"/>
      <c r="S782" s="20"/>
      <c r="T782" s="20"/>
    </row>
    <row r="783" spans="1:20" x14ac:dyDescent="0.25">
      <c r="A783" s="3">
        <v>41775</v>
      </c>
      <c r="B783" s="36">
        <v>79</v>
      </c>
      <c r="C783" t="s">
        <v>1668</v>
      </c>
      <c r="D783">
        <v>10</v>
      </c>
      <c r="E783" s="18">
        <v>-1000</v>
      </c>
      <c r="G783" t="s">
        <v>1669</v>
      </c>
      <c r="H783" s="18" t="s">
        <v>442</v>
      </c>
      <c r="I783" s="3" t="s">
        <v>442</v>
      </c>
      <c r="J783"/>
      <c r="L783"/>
      <c r="M783"/>
      <c r="N783" s="20"/>
      <c r="O783" t="s">
        <v>1669</v>
      </c>
      <c r="P783" s="20"/>
      <c r="Q783" s="20"/>
      <c r="R783" s="20"/>
      <c r="S783" s="20"/>
      <c r="T783" s="20"/>
    </row>
    <row r="784" spans="1:20" x14ac:dyDescent="0.25">
      <c r="A784" s="3">
        <v>41775</v>
      </c>
      <c r="B784" s="36">
        <v>79</v>
      </c>
      <c r="C784" t="s">
        <v>1709</v>
      </c>
      <c r="D784">
        <v>10</v>
      </c>
      <c r="E784" s="18">
        <v>1000</v>
      </c>
      <c r="G784" t="s">
        <v>1710</v>
      </c>
      <c r="H784" s="18">
        <v>1000</v>
      </c>
      <c r="I784" s="3">
        <v>41775</v>
      </c>
      <c r="J784"/>
      <c r="L784"/>
      <c r="M784"/>
      <c r="N784" s="20"/>
      <c r="O784" t="s">
        <v>1710</v>
      </c>
      <c r="P784" s="20"/>
      <c r="Q784" s="20"/>
      <c r="R784" s="20"/>
      <c r="S784" s="20"/>
      <c r="T784" s="20"/>
    </row>
    <row r="785" spans="1:20" x14ac:dyDescent="0.25">
      <c r="A785" s="3">
        <v>41775</v>
      </c>
      <c r="B785" s="36">
        <v>79</v>
      </c>
      <c r="C785" t="s">
        <v>1711</v>
      </c>
      <c r="D785">
        <v>6.75</v>
      </c>
      <c r="E785" s="18">
        <v>675</v>
      </c>
      <c r="G785" t="s">
        <v>1712</v>
      </c>
      <c r="H785" s="18">
        <v>675</v>
      </c>
      <c r="I785" s="3">
        <v>41775</v>
      </c>
      <c r="J785"/>
      <c r="L785"/>
      <c r="M785"/>
      <c r="N785" s="20"/>
      <c r="O785" t="s">
        <v>1712</v>
      </c>
      <c r="P785" s="20"/>
      <c r="Q785" s="20"/>
      <c r="R785" s="20"/>
      <c r="S785" s="20"/>
      <c r="T785" s="20"/>
    </row>
    <row r="786" spans="1:20" x14ac:dyDescent="0.25">
      <c r="A786" s="3">
        <v>41775</v>
      </c>
      <c r="B786" s="36">
        <v>79</v>
      </c>
      <c r="C786" t="s">
        <v>1713</v>
      </c>
      <c r="D786">
        <v>8.5</v>
      </c>
      <c r="E786" s="18">
        <v>850</v>
      </c>
      <c r="G786" t="s">
        <v>1714</v>
      </c>
      <c r="H786" s="18">
        <v>850</v>
      </c>
      <c r="I786" s="3">
        <v>41775</v>
      </c>
      <c r="J786"/>
      <c r="L786"/>
      <c r="M786"/>
      <c r="N786" s="20"/>
      <c r="O786" t="s">
        <v>1714</v>
      </c>
      <c r="P786" s="20"/>
      <c r="Q786" s="20"/>
      <c r="R786" s="20"/>
      <c r="S786" s="20"/>
      <c r="T786" s="20"/>
    </row>
    <row r="787" spans="1:20" x14ac:dyDescent="0.25">
      <c r="A787" s="3">
        <v>41782</v>
      </c>
      <c r="B787" s="36">
        <v>79</v>
      </c>
      <c r="C787" t="s">
        <v>1626</v>
      </c>
      <c r="D787">
        <v>10</v>
      </c>
      <c r="E787" s="18">
        <v>-1500</v>
      </c>
      <c r="G787" t="s">
        <v>1627</v>
      </c>
      <c r="H787" s="18" t="s">
        <v>442</v>
      </c>
      <c r="I787" s="3" t="s">
        <v>442</v>
      </c>
      <c r="J787"/>
      <c r="L787"/>
      <c r="M787"/>
      <c r="N787" s="20"/>
      <c r="O787" t="s">
        <v>1627</v>
      </c>
      <c r="P787" s="20"/>
      <c r="Q787" s="20"/>
      <c r="R787" s="20"/>
      <c r="S787" s="20"/>
      <c r="T787" s="20"/>
    </row>
    <row r="788" spans="1:20" x14ac:dyDescent="0.25">
      <c r="A788" s="3">
        <v>41782</v>
      </c>
      <c r="B788" s="36">
        <v>79</v>
      </c>
      <c r="C788" t="s">
        <v>1634</v>
      </c>
      <c r="D788">
        <v>3.25</v>
      </c>
      <c r="E788" s="18">
        <v>-325</v>
      </c>
      <c r="G788" t="s">
        <v>1635</v>
      </c>
      <c r="H788" s="18" t="s">
        <v>442</v>
      </c>
      <c r="I788" s="3" t="s">
        <v>442</v>
      </c>
      <c r="J788"/>
      <c r="L788"/>
      <c r="M788"/>
      <c r="N788" s="20"/>
      <c r="O788" t="s">
        <v>1635</v>
      </c>
      <c r="P788" s="20"/>
      <c r="Q788" s="20"/>
      <c r="R788" s="20"/>
      <c r="S788" s="20"/>
      <c r="T788" s="20"/>
    </row>
    <row r="789" spans="1:20" x14ac:dyDescent="0.25">
      <c r="A789" s="3">
        <v>41782</v>
      </c>
      <c r="B789" s="36">
        <v>79</v>
      </c>
      <c r="C789" t="s">
        <v>1715</v>
      </c>
      <c r="D789">
        <v>6.63</v>
      </c>
      <c r="E789" s="18">
        <v>663</v>
      </c>
      <c r="G789" t="s">
        <v>1716</v>
      </c>
      <c r="H789" s="18">
        <v>663</v>
      </c>
      <c r="I789" s="3">
        <v>41782</v>
      </c>
      <c r="J789"/>
      <c r="L789"/>
      <c r="M789"/>
      <c r="N789" s="20"/>
      <c r="O789" t="s">
        <v>1716</v>
      </c>
      <c r="P789" s="20"/>
      <c r="Q789" s="20"/>
      <c r="R789" s="20"/>
      <c r="S789" s="20"/>
      <c r="T789" s="20"/>
    </row>
    <row r="790" spans="1:20" x14ac:dyDescent="0.25">
      <c r="A790" s="3">
        <v>41782</v>
      </c>
      <c r="B790" s="36">
        <v>79</v>
      </c>
      <c r="C790" t="s">
        <v>1717</v>
      </c>
      <c r="D790">
        <v>5</v>
      </c>
      <c r="E790" s="18">
        <v>500</v>
      </c>
      <c r="G790" t="s">
        <v>1718</v>
      </c>
      <c r="H790" s="18">
        <v>500</v>
      </c>
      <c r="I790" s="3">
        <v>41782</v>
      </c>
      <c r="J790"/>
      <c r="L790"/>
      <c r="M790"/>
      <c r="N790" s="20"/>
      <c r="O790" t="s">
        <v>1718</v>
      </c>
      <c r="P790" s="20"/>
      <c r="Q790" s="20"/>
      <c r="R790" s="20"/>
      <c r="S790" s="20"/>
      <c r="T790" s="20"/>
    </row>
    <row r="791" spans="1:20" x14ac:dyDescent="0.25">
      <c r="A791" s="3">
        <v>41782</v>
      </c>
      <c r="B791" s="36">
        <v>79</v>
      </c>
      <c r="C791" t="s">
        <v>1622</v>
      </c>
      <c r="D791">
        <v>3.5</v>
      </c>
      <c r="E791" s="18">
        <v>-350</v>
      </c>
      <c r="G791" t="s">
        <v>1623</v>
      </c>
      <c r="H791" s="18" t="s">
        <v>442</v>
      </c>
      <c r="I791" s="3" t="s">
        <v>442</v>
      </c>
      <c r="J791"/>
      <c r="L791"/>
      <c r="M791"/>
      <c r="N791" s="20"/>
      <c r="O791" t="s">
        <v>1623</v>
      </c>
      <c r="P791" s="20"/>
      <c r="Q791" s="20"/>
      <c r="R791" s="20"/>
      <c r="S791" s="20"/>
      <c r="T791" s="20"/>
    </row>
    <row r="792" spans="1:20" x14ac:dyDescent="0.25">
      <c r="A792" s="3">
        <v>41782</v>
      </c>
      <c r="B792" s="36">
        <v>79</v>
      </c>
      <c r="C792" t="s">
        <v>1719</v>
      </c>
      <c r="D792">
        <v>4.335</v>
      </c>
      <c r="E792" s="18">
        <v>433.5</v>
      </c>
      <c r="G792" t="s">
        <v>1720</v>
      </c>
      <c r="H792" s="18">
        <v>433.5</v>
      </c>
      <c r="I792" s="3">
        <v>41782</v>
      </c>
      <c r="J792"/>
      <c r="L792"/>
      <c r="M792"/>
      <c r="N792" s="20"/>
      <c r="O792" t="s">
        <v>1720</v>
      </c>
      <c r="P792" s="20"/>
      <c r="Q792" s="20"/>
      <c r="R792" s="20"/>
      <c r="S792" s="20"/>
      <c r="T792" s="20"/>
    </row>
    <row r="793" spans="1:20" x14ac:dyDescent="0.25">
      <c r="A793" s="3">
        <v>41782</v>
      </c>
      <c r="B793" s="36">
        <v>79</v>
      </c>
      <c r="C793" t="s">
        <v>1721</v>
      </c>
      <c r="D793">
        <v>5.25</v>
      </c>
      <c r="E793" s="18">
        <v>525</v>
      </c>
      <c r="G793" t="s">
        <v>1722</v>
      </c>
      <c r="H793" s="18">
        <v>525</v>
      </c>
      <c r="I793" s="3">
        <v>41782</v>
      </c>
      <c r="J793"/>
      <c r="L793"/>
      <c r="M793"/>
      <c r="N793" s="20"/>
      <c r="O793" t="s">
        <v>1722</v>
      </c>
      <c r="P793" s="20"/>
      <c r="Q793" s="20"/>
      <c r="R793" s="20"/>
      <c r="S793" s="20"/>
      <c r="T793" s="20"/>
    </row>
    <row r="794" spans="1:20" x14ac:dyDescent="0.25">
      <c r="A794" s="3">
        <v>41782</v>
      </c>
      <c r="B794" s="36">
        <v>79</v>
      </c>
      <c r="C794" t="s">
        <v>1723</v>
      </c>
      <c r="D794">
        <v>9.5</v>
      </c>
      <c r="E794" s="18">
        <v>950</v>
      </c>
      <c r="G794" t="s">
        <v>1724</v>
      </c>
      <c r="H794" s="18">
        <v>950</v>
      </c>
      <c r="I794" s="3">
        <v>41782</v>
      </c>
      <c r="J794"/>
      <c r="L794"/>
      <c r="M794"/>
      <c r="N794" s="20"/>
      <c r="O794" t="s">
        <v>1724</v>
      </c>
      <c r="P794" s="20"/>
      <c r="Q794" s="20"/>
      <c r="R794" s="20"/>
      <c r="S794" s="20"/>
      <c r="T794" s="20"/>
    </row>
    <row r="795" spans="1:20" x14ac:dyDescent="0.25">
      <c r="A795" s="3">
        <v>41789</v>
      </c>
      <c r="B795" s="36">
        <v>79</v>
      </c>
      <c r="C795" t="s">
        <v>1715</v>
      </c>
      <c r="D795">
        <v>6.63</v>
      </c>
      <c r="E795" s="18">
        <v>-663</v>
      </c>
      <c r="G795" t="s">
        <v>1716</v>
      </c>
      <c r="H795" s="18" t="s">
        <v>442</v>
      </c>
      <c r="I795" s="3" t="s">
        <v>442</v>
      </c>
      <c r="J795"/>
      <c r="L795"/>
      <c r="M795"/>
      <c r="N795" s="20"/>
      <c r="O795" t="s">
        <v>1716</v>
      </c>
      <c r="P795" s="20"/>
      <c r="Q795" s="20"/>
      <c r="R795" s="20"/>
      <c r="S795" s="20"/>
      <c r="T795" s="20"/>
    </row>
    <row r="796" spans="1:20" x14ac:dyDescent="0.25">
      <c r="A796" s="3">
        <v>41789</v>
      </c>
      <c r="B796" s="36">
        <v>79</v>
      </c>
      <c r="C796" t="s">
        <v>1725</v>
      </c>
      <c r="D796">
        <v>2.75</v>
      </c>
      <c r="E796" s="18">
        <v>275</v>
      </c>
      <c r="G796" t="s">
        <v>1726</v>
      </c>
      <c r="H796" s="18">
        <v>275</v>
      </c>
      <c r="I796" s="3">
        <v>41789</v>
      </c>
      <c r="J796"/>
      <c r="L796"/>
      <c r="M796"/>
      <c r="N796" s="20"/>
      <c r="O796" t="s">
        <v>1726</v>
      </c>
      <c r="P796" s="20"/>
      <c r="Q796" s="20"/>
      <c r="R796" s="20"/>
      <c r="S796" s="20"/>
      <c r="T796" s="20"/>
    </row>
    <row r="797" spans="1:20" x14ac:dyDescent="0.25">
      <c r="A797" s="3">
        <v>41789</v>
      </c>
      <c r="B797" s="36">
        <v>79</v>
      </c>
      <c r="C797" t="s">
        <v>1727</v>
      </c>
      <c r="D797">
        <v>10</v>
      </c>
      <c r="E797" s="18">
        <v>1000</v>
      </c>
      <c r="G797" t="s">
        <v>1728</v>
      </c>
      <c r="H797" s="18">
        <v>1000</v>
      </c>
      <c r="I797" s="3">
        <v>41789</v>
      </c>
      <c r="J797"/>
      <c r="L797"/>
      <c r="M797"/>
      <c r="N797" s="20"/>
      <c r="O797" t="s">
        <v>1728</v>
      </c>
      <c r="P797" s="20"/>
      <c r="Q797" s="20"/>
      <c r="R797" s="20"/>
      <c r="S797" s="20"/>
      <c r="T797" s="20"/>
    </row>
    <row r="798" spans="1:20" x14ac:dyDescent="0.25">
      <c r="A798" s="3">
        <v>41789</v>
      </c>
      <c r="B798" s="36">
        <v>79</v>
      </c>
      <c r="C798" t="s">
        <v>1729</v>
      </c>
      <c r="D798">
        <v>6.75</v>
      </c>
      <c r="E798" s="18">
        <v>675</v>
      </c>
      <c r="G798" t="s">
        <v>1730</v>
      </c>
      <c r="H798" s="18">
        <v>675</v>
      </c>
      <c r="I798" s="3">
        <v>41789</v>
      </c>
      <c r="J798"/>
      <c r="L798"/>
      <c r="M798"/>
      <c r="N798" s="20"/>
      <c r="O798" t="s">
        <v>1730</v>
      </c>
      <c r="P798" s="20"/>
      <c r="Q798" s="20"/>
      <c r="R798" s="20"/>
      <c r="S798" s="20"/>
      <c r="T798" s="20"/>
    </row>
    <row r="799" spans="1:20" x14ac:dyDescent="0.25">
      <c r="A799" s="3">
        <v>41789</v>
      </c>
      <c r="B799" s="36">
        <v>79</v>
      </c>
      <c r="C799" t="s">
        <v>1688</v>
      </c>
      <c r="D799">
        <v>3.9199999999999995</v>
      </c>
      <c r="E799" s="18">
        <v>391.99999999999994</v>
      </c>
      <c r="G799" t="s">
        <v>1690</v>
      </c>
      <c r="H799" s="18">
        <v>391.99999999999994</v>
      </c>
      <c r="I799" s="3">
        <v>41789</v>
      </c>
      <c r="J799"/>
      <c r="L799"/>
      <c r="M799"/>
      <c r="N799" s="20"/>
      <c r="O799" t="s">
        <v>1690</v>
      </c>
      <c r="P799" s="20"/>
      <c r="Q799" s="20"/>
      <c r="R799" s="20"/>
      <c r="S799" s="20"/>
      <c r="T799" s="20"/>
    </row>
    <row r="800" spans="1:20" x14ac:dyDescent="0.25">
      <c r="A800" s="3">
        <v>41789</v>
      </c>
      <c r="B800" s="36">
        <v>79</v>
      </c>
      <c r="C800" t="s">
        <v>1731</v>
      </c>
      <c r="D800">
        <v>5.75</v>
      </c>
      <c r="E800" s="18">
        <v>575</v>
      </c>
      <c r="G800" t="s">
        <v>1732</v>
      </c>
      <c r="H800" s="18">
        <v>575</v>
      </c>
      <c r="I800" s="3">
        <v>41789</v>
      </c>
      <c r="J800"/>
      <c r="L800"/>
      <c r="M800"/>
      <c r="N800" s="20"/>
      <c r="O800" t="s">
        <v>1732</v>
      </c>
      <c r="P800" s="20"/>
      <c r="Q800" s="20"/>
      <c r="R800" s="20"/>
      <c r="S800" s="20"/>
      <c r="T800" s="20"/>
    </row>
    <row r="801" spans="1:21" x14ac:dyDescent="0.25">
      <c r="A801" s="3">
        <v>41789</v>
      </c>
      <c r="B801" s="36">
        <v>79</v>
      </c>
      <c r="C801" t="s">
        <v>1733</v>
      </c>
      <c r="D801">
        <v>10</v>
      </c>
      <c r="E801" s="18">
        <v>1000</v>
      </c>
      <c r="G801" t="s">
        <v>1734</v>
      </c>
      <c r="H801" s="18">
        <v>1000</v>
      </c>
      <c r="I801" s="3">
        <v>41789</v>
      </c>
      <c r="J801"/>
      <c r="L801"/>
      <c r="M801"/>
      <c r="N801" s="20"/>
      <c r="O801" t="s">
        <v>1734</v>
      </c>
      <c r="P801" s="20"/>
      <c r="Q801" s="20"/>
      <c r="R801" s="20"/>
      <c r="S801" s="20"/>
      <c r="T801" s="20"/>
    </row>
    <row r="802" spans="1:21" x14ac:dyDescent="0.25">
      <c r="A802" s="3">
        <v>41796</v>
      </c>
      <c r="B802" s="36">
        <v>79</v>
      </c>
      <c r="C802" t="s">
        <v>1735</v>
      </c>
      <c r="D802">
        <v>2.75</v>
      </c>
      <c r="E802" s="18">
        <v>275</v>
      </c>
      <c r="G802" t="s">
        <v>1736</v>
      </c>
      <c r="H802" s="18">
        <v>275</v>
      </c>
      <c r="I802" s="3">
        <v>41796</v>
      </c>
      <c r="J802"/>
      <c r="L802"/>
      <c r="M802"/>
      <c r="N802" s="20"/>
      <c r="O802" t="s">
        <v>1736</v>
      </c>
      <c r="P802" s="20"/>
      <c r="Q802" s="20"/>
      <c r="R802" s="20"/>
      <c r="S802" s="20"/>
      <c r="T802" s="20"/>
    </row>
    <row r="803" spans="1:21" x14ac:dyDescent="0.25">
      <c r="A803" s="3">
        <v>41796</v>
      </c>
      <c r="B803" s="36">
        <v>79</v>
      </c>
      <c r="C803" t="s">
        <v>1737</v>
      </c>
      <c r="D803">
        <v>5.25</v>
      </c>
      <c r="E803" s="18">
        <v>525</v>
      </c>
      <c r="G803" t="s">
        <v>1738</v>
      </c>
      <c r="H803" s="18">
        <v>525</v>
      </c>
      <c r="I803" s="3">
        <v>41796</v>
      </c>
      <c r="J803"/>
      <c r="L803"/>
      <c r="M803"/>
      <c r="N803" s="20"/>
      <c r="O803" t="s">
        <v>1738</v>
      </c>
      <c r="P803" s="20"/>
      <c r="Q803" s="20"/>
      <c r="R803" s="20"/>
      <c r="S803" s="20"/>
      <c r="T803" s="20"/>
    </row>
    <row r="804" spans="1:21" x14ac:dyDescent="0.25">
      <c r="A804" s="3">
        <v>41796</v>
      </c>
      <c r="B804" s="36">
        <v>79</v>
      </c>
      <c r="C804" t="s">
        <v>1739</v>
      </c>
      <c r="D804">
        <v>8.75</v>
      </c>
      <c r="E804" s="18">
        <v>875</v>
      </c>
      <c r="G804" t="s">
        <v>1740</v>
      </c>
      <c r="H804" s="18">
        <v>875</v>
      </c>
      <c r="I804" s="3">
        <v>41796</v>
      </c>
      <c r="J804"/>
      <c r="L804"/>
      <c r="M804"/>
      <c r="N804" s="20"/>
      <c r="O804" t="s">
        <v>1740</v>
      </c>
      <c r="P804" s="20"/>
      <c r="Q804" s="20"/>
      <c r="R804" s="20"/>
      <c r="S804" s="20"/>
      <c r="T804" s="20"/>
    </row>
    <row r="805" spans="1:21" x14ac:dyDescent="0.25">
      <c r="A805" s="3">
        <v>41796</v>
      </c>
      <c r="B805" s="36">
        <v>79</v>
      </c>
      <c r="C805" t="s">
        <v>1741</v>
      </c>
      <c r="D805">
        <v>6.8849999999999998</v>
      </c>
      <c r="E805" s="18">
        <v>688.5</v>
      </c>
      <c r="G805" t="s">
        <v>1742</v>
      </c>
      <c r="H805" s="18">
        <v>688.5</v>
      </c>
      <c r="I805" s="3">
        <v>41796</v>
      </c>
      <c r="J805"/>
      <c r="L805"/>
      <c r="M805"/>
      <c r="N805" s="20"/>
      <c r="O805" t="s">
        <v>1742</v>
      </c>
      <c r="P805" s="20"/>
      <c r="Q805" s="20"/>
      <c r="R805" s="20"/>
      <c r="S805" s="20"/>
      <c r="T805" s="20"/>
    </row>
    <row r="806" spans="1:21" x14ac:dyDescent="0.25">
      <c r="A806" s="3">
        <v>41803</v>
      </c>
      <c r="B806" s="36">
        <v>79</v>
      </c>
      <c r="C806" t="s">
        <v>1743</v>
      </c>
      <c r="D806">
        <v>7.25</v>
      </c>
      <c r="E806" s="18">
        <v>725</v>
      </c>
      <c r="G806" t="s">
        <v>1744</v>
      </c>
      <c r="H806" s="18">
        <v>725</v>
      </c>
      <c r="I806" s="3">
        <v>41803</v>
      </c>
      <c r="J806"/>
      <c r="L806"/>
      <c r="M806"/>
      <c r="N806" s="20"/>
      <c r="O806" t="s">
        <v>1744</v>
      </c>
      <c r="P806" s="20"/>
      <c r="Q806" s="20"/>
      <c r="R806" s="20"/>
      <c r="S806" s="20"/>
      <c r="T806" s="20"/>
    </row>
    <row r="807" spans="1:21" x14ac:dyDescent="0.25">
      <c r="A807" s="3">
        <v>41813</v>
      </c>
      <c r="B807" s="36">
        <v>79</v>
      </c>
      <c r="C807" t="s">
        <v>1745</v>
      </c>
      <c r="E807" s="18">
        <v>2900</v>
      </c>
      <c r="G807" t="s">
        <v>442</v>
      </c>
      <c r="H807" s="18" t="s">
        <v>442</v>
      </c>
      <c r="I807" s="3" t="s">
        <v>442</v>
      </c>
      <c r="J807"/>
      <c r="L807"/>
      <c r="M807"/>
      <c r="N807" s="20"/>
      <c r="O807"/>
      <c r="P807" s="20"/>
      <c r="Q807" s="20"/>
      <c r="R807" s="20"/>
      <c r="S807" s="20" t="s">
        <v>401</v>
      </c>
      <c r="T807" s="20"/>
    </row>
    <row r="808" spans="1:21" x14ac:dyDescent="0.25">
      <c r="B808">
        <v>79</v>
      </c>
      <c r="C808" t="s">
        <v>1634</v>
      </c>
      <c r="D808">
        <v>3.25</v>
      </c>
      <c r="E808" s="18">
        <v>75</v>
      </c>
      <c r="G808" t="s">
        <v>1635</v>
      </c>
      <c r="I808"/>
      <c r="J808"/>
      <c r="L808"/>
      <c r="M808"/>
      <c r="O808"/>
      <c r="P808" s="20"/>
      <c r="Q808" s="20"/>
      <c r="R808" s="20"/>
      <c r="S808" s="20"/>
      <c r="T808" s="20"/>
      <c r="U808" t="s">
        <v>401</v>
      </c>
    </row>
    <row r="809" spans="1:21" x14ac:dyDescent="0.25">
      <c r="B809">
        <v>79</v>
      </c>
      <c r="C809" t="s">
        <v>1658</v>
      </c>
      <c r="D809">
        <v>3.75</v>
      </c>
      <c r="E809" s="18">
        <v>375</v>
      </c>
      <c r="G809" t="s">
        <v>1659</v>
      </c>
      <c r="I809"/>
      <c r="J809"/>
      <c r="L809"/>
      <c r="M809"/>
      <c r="O809"/>
      <c r="P809" s="20"/>
      <c r="Q809" s="20"/>
      <c r="R809" s="20"/>
      <c r="S809" s="20"/>
      <c r="T809" s="20"/>
      <c r="U809" t="s">
        <v>401</v>
      </c>
    </row>
    <row r="810" spans="1:21" x14ac:dyDescent="0.25">
      <c r="B810">
        <v>79</v>
      </c>
      <c r="C810" t="s">
        <v>1658</v>
      </c>
      <c r="D810">
        <v>3.75</v>
      </c>
      <c r="E810" s="18">
        <v>-375</v>
      </c>
      <c r="G810" t="s">
        <v>1659</v>
      </c>
      <c r="I810"/>
      <c r="J810"/>
      <c r="L810"/>
      <c r="M810"/>
      <c r="O810"/>
      <c r="P810" s="20"/>
      <c r="Q810" s="20"/>
      <c r="R810" s="20"/>
      <c r="S810" s="20"/>
      <c r="T810" s="20"/>
      <c r="U810" t="s">
        <v>401</v>
      </c>
    </row>
    <row r="811" spans="1:21" x14ac:dyDescent="0.25">
      <c r="B811">
        <v>79</v>
      </c>
      <c r="C811" t="s">
        <v>1735</v>
      </c>
      <c r="D811">
        <v>2.75</v>
      </c>
      <c r="E811" s="18">
        <v>-275</v>
      </c>
      <c r="G811" t="s">
        <v>1736</v>
      </c>
      <c r="I811"/>
      <c r="J811"/>
      <c r="L811"/>
      <c r="M811"/>
      <c r="O811"/>
      <c r="P811" s="20"/>
      <c r="Q811" s="20"/>
      <c r="R811" s="20"/>
      <c r="S811" s="20"/>
      <c r="T811" s="20"/>
      <c r="U811" t="s">
        <v>401</v>
      </c>
    </row>
    <row r="812" spans="1:21" x14ac:dyDescent="0.25">
      <c r="B812">
        <v>79</v>
      </c>
      <c r="C812" t="s">
        <v>1699</v>
      </c>
      <c r="E812" s="18">
        <v>586.25</v>
      </c>
      <c r="F812" t="s">
        <v>889</v>
      </c>
      <c r="G812" t="s">
        <v>1700</v>
      </c>
      <c r="I812"/>
      <c r="J812"/>
      <c r="L812"/>
      <c r="M812"/>
      <c r="O812"/>
      <c r="P812" s="20"/>
      <c r="Q812" s="20"/>
      <c r="R812" s="20"/>
      <c r="S812" s="20"/>
      <c r="T812" s="20"/>
      <c r="U812" t="s">
        <v>401</v>
      </c>
    </row>
    <row r="813" spans="1:21" x14ac:dyDescent="0.25">
      <c r="B813">
        <v>79</v>
      </c>
      <c r="C813" t="s">
        <v>1672</v>
      </c>
      <c r="D813">
        <v>8.9250000000000007</v>
      </c>
      <c r="E813" s="18">
        <v>-250</v>
      </c>
      <c r="G813" t="s">
        <v>1673</v>
      </c>
      <c r="I813"/>
      <c r="J813"/>
      <c r="L813"/>
      <c r="M813"/>
      <c r="O813"/>
      <c r="P813" s="20"/>
      <c r="Q813" s="20"/>
      <c r="R813" s="20"/>
      <c r="S813" s="20"/>
      <c r="T813" s="20"/>
      <c r="U813" t="s">
        <v>401</v>
      </c>
    </row>
    <row r="814" spans="1:21" x14ac:dyDescent="0.25">
      <c r="B814">
        <v>79</v>
      </c>
      <c r="C814" t="s">
        <v>1746</v>
      </c>
      <c r="E814" s="18">
        <v>-300</v>
      </c>
      <c r="G814" t="s">
        <v>1738</v>
      </c>
      <c r="I814"/>
      <c r="J814"/>
      <c r="L814"/>
      <c r="M814"/>
      <c r="O814"/>
      <c r="P814" s="20"/>
      <c r="Q814" s="20"/>
      <c r="R814" s="20"/>
      <c r="S814" s="20"/>
      <c r="T814" s="20"/>
      <c r="U814" t="s">
        <v>401</v>
      </c>
    </row>
    <row r="815" spans="1:21" x14ac:dyDescent="0.25">
      <c r="B815">
        <v>79</v>
      </c>
      <c r="C815" t="s">
        <v>1747</v>
      </c>
      <c r="E815" s="18">
        <v>-300</v>
      </c>
      <c r="G815" t="s">
        <v>1730</v>
      </c>
      <c r="I815"/>
      <c r="J815"/>
      <c r="L815"/>
      <c r="M815"/>
      <c r="O815"/>
      <c r="P815" s="20"/>
      <c r="Q815" s="20"/>
      <c r="R815" s="20"/>
      <c r="S815" s="20"/>
      <c r="T815" s="20"/>
      <c r="U815" t="s">
        <v>401</v>
      </c>
    </row>
    <row r="816" spans="1:21" x14ac:dyDescent="0.25">
      <c r="B816">
        <v>79</v>
      </c>
      <c r="C816" t="s">
        <v>1731</v>
      </c>
      <c r="D816">
        <v>5.75</v>
      </c>
      <c r="E816" s="18">
        <v>-718.75</v>
      </c>
      <c r="G816" t="s">
        <v>1732</v>
      </c>
      <c r="I816"/>
      <c r="J816"/>
      <c r="L816"/>
      <c r="M816"/>
      <c r="O816"/>
      <c r="P816" s="20"/>
      <c r="Q816" s="20"/>
      <c r="R816" s="20"/>
      <c r="S816" s="20"/>
      <c r="T816" s="20"/>
      <c r="U816" t="s">
        <v>401</v>
      </c>
    </row>
    <row r="817" spans="1:21" x14ac:dyDescent="0.25">
      <c r="B817">
        <v>79</v>
      </c>
      <c r="C817" t="s">
        <v>1731</v>
      </c>
      <c r="D817">
        <v>5.75</v>
      </c>
      <c r="E817" s="18">
        <v>143.75</v>
      </c>
      <c r="G817" t="s">
        <v>1732</v>
      </c>
      <c r="I817"/>
      <c r="J817"/>
      <c r="L817"/>
      <c r="M817"/>
      <c r="O817"/>
      <c r="P817" s="20"/>
      <c r="Q817" s="20"/>
      <c r="R817" s="20"/>
      <c r="S817" s="20"/>
      <c r="T817" s="20"/>
      <c r="U817" t="s">
        <v>401</v>
      </c>
    </row>
    <row r="818" spans="1:21" x14ac:dyDescent="0.25">
      <c r="B818">
        <v>79</v>
      </c>
      <c r="C818" t="s">
        <v>1701</v>
      </c>
      <c r="E818" s="18">
        <v>-226.25</v>
      </c>
      <c r="F818" t="s">
        <v>889</v>
      </c>
      <c r="G818" t="s">
        <v>1702</v>
      </c>
      <c r="I818"/>
      <c r="J818"/>
      <c r="L818"/>
      <c r="M818"/>
      <c r="O818"/>
      <c r="P818" s="20"/>
      <c r="Q818" s="20"/>
      <c r="R818" s="20"/>
      <c r="S818" s="20"/>
      <c r="T818" s="20"/>
      <c r="U818" t="s">
        <v>401</v>
      </c>
    </row>
    <row r="819" spans="1:21" x14ac:dyDescent="0.25">
      <c r="B819">
        <v>79</v>
      </c>
      <c r="C819" t="s">
        <v>1670</v>
      </c>
      <c r="D819">
        <v>8.25</v>
      </c>
      <c r="E819" s="18">
        <v>-825</v>
      </c>
      <c r="G819" t="s">
        <v>1671</v>
      </c>
      <c r="I819"/>
      <c r="J819"/>
      <c r="L819"/>
      <c r="M819"/>
      <c r="O819"/>
      <c r="P819" s="20"/>
      <c r="Q819" s="20"/>
      <c r="R819" s="20"/>
      <c r="S819" s="20"/>
      <c r="T819" s="20"/>
      <c r="U819" t="s">
        <v>401</v>
      </c>
    </row>
    <row r="820" spans="1:21" x14ac:dyDescent="0.25">
      <c r="B820">
        <v>79</v>
      </c>
      <c r="C820" t="s">
        <v>1703</v>
      </c>
      <c r="E820" s="18">
        <v>520</v>
      </c>
      <c r="F820" t="s">
        <v>889</v>
      </c>
      <c r="G820" t="s">
        <v>1704</v>
      </c>
      <c r="I820"/>
      <c r="J820"/>
      <c r="L820"/>
      <c r="M820"/>
      <c r="O820"/>
      <c r="P820" s="20"/>
      <c r="Q820" s="20"/>
      <c r="R820" s="20"/>
      <c r="S820" s="20"/>
      <c r="T820" s="20"/>
      <c r="U820" t="s">
        <v>401</v>
      </c>
    </row>
    <row r="821" spans="1:21" x14ac:dyDescent="0.25">
      <c r="B821">
        <v>79</v>
      </c>
      <c r="C821" t="s">
        <v>1748</v>
      </c>
      <c r="E821" s="18">
        <v>-300</v>
      </c>
      <c r="G821" t="s">
        <v>1742</v>
      </c>
      <c r="I821"/>
      <c r="J821"/>
      <c r="L821"/>
      <c r="M821"/>
      <c r="O821"/>
      <c r="P821" s="20"/>
      <c r="Q821" s="20"/>
      <c r="R821" s="20"/>
      <c r="S821" s="20"/>
      <c r="T821" s="20"/>
      <c r="U821" t="s">
        <v>401</v>
      </c>
    </row>
    <row r="822" spans="1:21" x14ac:dyDescent="0.25">
      <c r="B822">
        <v>79</v>
      </c>
      <c r="C822" t="s">
        <v>1664</v>
      </c>
      <c r="D822">
        <v>8.25</v>
      </c>
      <c r="E822" s="18">
        <v>-825</v>
      </c>
      <c r="G822" t="s">
        <v>1665</v>
      </c>
      <c r="I822"/>
      <c r="J822"/>
      <c r="L822"/>
      <c r="M822"/>
      <c r="O822"/>
      <c r="P822" s="20"/>
      <c r="Q822" s="20"/>
      <c r="R822" s="20"/>
      <c r="S822" s="20"/>
      <c r="T822" s="20"/>
      <c r="U822" t="s">
        <v>401</v>
      </c>
    </row>
    <row r="823" spans="1:21" x14ac:dyDescent="0.25">
      <c r="B823">
        <v>79</v>
      </c>
      <c r="C823" t="s">
        <v>1749</v>
      </c>
      <c r="E823" s="18">
        <v>-300</v>
      </c>
      <c r="G823" t="s">
        <v>1750</v>
      </c>
      <c r="I823"/>
      <c r="J823"/>
      <c r="L823"/>
      <c r="M823"/>
      <c r="O823"/>
      <c r="P823" s="20"/>
      <c r="Q823" s="20"/>
      <c r="R823" s="20"/>
      <c r="S823" s="20"/>
      <c r="T823" s="20"/>
      <c r="U823" t="s">
        <v>401</v>
      </c>
    </row>
    <row r="824" spans="1:21" x14ac:dyDescent="0.25">
      <c r="A824" s="3">
        <v>41740</v>
      </c>
      <c r="B824" s="36">
        <v>82</v>
      </c>
      <c r="C824" t="s">
        <v>1751</v>
      </c>
      <c r="D824">
        <v>10</v>
      </c>
      <c r="E824" s="18">
        <v>1000</v>
      </c>
      <c r="G824" t="s">
        <v>1752</v>
      </c>
      <c r="H824" s="18">
        <v>1000</v>
      </c>
      <c r="I824" s="3">
        <v>41740</v>
      </c>
      <c r="J824"/>
      <c r="L824"/>
      <c r="M824"/>
      <c r="N824" s="20"/>
      <c r="O824"/>
      <c r="P824" s="20"/>
      <c r="Q824" s="20"/>
      <c r="R824" s="20"/>
      <c r="S824" s="20"/>
      <c r="T824" s="20"/>
    </row>
    <row r="825" spans="1:21" x14ac:dyDescent="0.25">
      <c r="A825" s="3">
        <v>41740</v>
      </c>
      <c r="B825" s="36">
        <v>82</v>
      </c>
      <c r="C825" t="s">
        <v>1753</v>
      </c>
      <c r="D825">
        <v>6.25</v>
      </c>
      <c r="E825" s="18">
        <v>625</v>
      </c>
      <c r="G825" t="s">
        <v>1754</v>
      </c>
      <c r="H825" s="18">
        <v>625</v>
      </c>
      <c r="I825" s="3">
        <v>41740</v>
      </c>
      <c r="J825"/>
      <c r="L825"/>
      <c r="M825"/>
      <c r="N825" s="20"/>
      <c r="O825"/>
      <c r="P825" s="20"/>
      <c r="Q825" s="20"/>
      <c r="R825" s="20"/>
      <c r="S825" s="20"/>
      <c r="T825" s="20"/>
    </row>
    <row r="826" spans="1:21" x14ac:dyDescent="0.25">
      <c r="A826" s="3">
        <v>41740</v>
      </c>
      <c r="B826" s="36">
        <v>82</v>
      </c>
      <c r="C826" t="s">
        <v>1755</v>
      </c>
      <c r="D826">
        <v>7.25</v>
      </c>
      <c r="E826" s="18">
        <v>725</v>
      </c>
      <c r="G826" t="s">
        <v>1756</v>
      </c>
      <c r="H826" s="18">
        <v>725</v>
      </c>
      <c r="I826" s="3">
        <v>41740</v>
      </c>
      <c r="J826"/>
      <c r="L826"/>
      <c r="M826"/>
      <c r="N826" s="20"/>
      <c r="O826"/>
      <c r="P826" s="20"/>
      <c r="Q826" s="20"/>
      <c r="R826" s="20"/>
      <c r="S826" s="20"/>
      <c r="T826" s="20"/>
    </row>
    <row r="827" spans="1:21" x14ac:dyDescent="0.25">
      <c r="A827" s="3">
        <v>41740</v>
      </c>
      <c r="B827" s="36">
        <v>82</v>
      </c>
      <c r="C827" t="s">
        <v>1757</v>
      </c>
      <c r="D827">
        <v>10</v>
      </c>
      <c r="E827" s="18">
        <v>1000</v>
      </c>
      <c r="G827" t="s">
        <v>1758</v>
      </c>
      <c r="H827" s="18">
        <v>1000</v>
      </c>
      <c r="I827" s="3">
        <v>41740</v>
      </c>
      <c r="J827"/>
      <c r="L827"/>
      <c r="M827"/>
      <c r="N827" s="20"/>
      <c r="O827"/>
      <c r="P827" s="20"/>
      <c r="Q827" s="20"/>
      <c r="R827" s="20"/>
      <c r="S827" s="20"/>
      <c r="T827" s="20"/>
    </row>
    <row r="828" spans="1:21" x14ac:dyDescent="0.25">
      <c r="A828" s="3">
        <v>41746</v>
      </c>
      <c r="B828" s="36">
        <v>82</v>
      </c>
      <c r="C828" t="s">
        <v>1759</v>
      </c>
      <c r="D828">
        <v>5.75</v>
      </c>
      <c r="E828" s="18">
        <v>575</v>
      </c>
      <c r="G828" t="s">
        <v>1760</v>
      </c>
      <c r="H828" s="18">
        <v>575</v>
      </c>
      <c r="I828" s="3">
        <v>41746</v>
      </c>
      <c r="J828"/>
      <c r="L828"/>
      <c r="M828"/>
      <c r="N828" s="20"/>
      <c r="O828"/>
      <c r="P828" s="20"/>
      <c r="Q828" s="20"/>
      <c r="R828" s="20"/>
      <c r="S828" s="20"/>
      <c r="T828" s="20"/>
    </row>
    <row r="829" spans="1:21" x14ac:dyDescent="0.25">
      <c r="A829" s="3">
        <v>41753</v>
      </c>
      <c r="B829" s="36">
        <v>82</v>
      </c>
      <c r="C829" t="s">
        <v>1761</v>
      </c>
      <c r="D829">
        <v>3.5</v>
      </c>
      <c r="E829" s="18">
        <v>350</v>
      </c>
      <c r="G829" t="s">
        <v>1762</v>
      </c>
      <c r="H829" s="18">
        <v>350</v>
      </c>
      <c r="I829" s="3">
        <v>41753</v>
      </c>
      <c r="J829"/>
      <c r="L829"/>
      <c r="M829"/>
      <c r="N829" s="20"/>
      <c r="O829"/>
      <c r="P829" s="20"/>
      <c r="Q829" s="20"/>
      <c r="R829" s="20"/>
      <c r="S829" s="20"/>
      <c r="T829" s="20"/>
    </row>
    <row r="830" spans="1:21" x14ac:dyDescent="0.25">
      <c r="A830" s="3">
        <v>41753</v>
      </c>
      <c r="B830" s="36">
        <v>82</v>
      </c>
      <c r="C830" t="s">
        <v>1763</v>
      </c>
      <c r="D830">
        <v>7.75</v>
      </c>
      <c r="E830" s="18">
        <v>775</v>
      </c>
      <c r="G830" t="s">
        <v>1764</v>
      </c>
      <c r="H830" s="18">
        <v>775</v>
      </c>
      <c r="I830" s="3">
        <v>41753</v>
      </c>
      <c r="J830"/>
      <c r="L830"/>
      <c r="M830"/>
      <c r="N830" s="20"/>
      <c r="O830"/>
      <c r="P830" s="20"/>
      <c r="Q830" s="20"/>
      <c r="R830" s="20"/>
      <c r="S830" s="20"/>
      <c r="T830" s="20"/>
    </row>
    <row r="831" spans="1:21" x14ac:dyDescent="0.25">
      <c r="A831" s="57">
        <v>41761</v>
      </c>
      <c r="B831" s="42">
        <v>82</v>
      </c>
      <c r="C831" s="45" t="s">
        <v>1765</v>
      </c>
      <c r="D831" s="45">
        <v>3</v>
      </c>
      <c r="E831" s="58">
        <v>300</v>
      </c>
      <c r="F831" s="45"/>
      <c r="G831" s="45" t="s">
        <v>1766</v>
      </c>
      <c r="H831" s="18">
        <v>300</v>
      </c>
      <c r="I831" s="3">
        <v>41761</v>
      </c>
      <c r="J831" s="45"/>
      <c r="K831" s="45"/>
      <c r="L831" s="45"/>
      <c r="M831" s="45"/>
      <c r="N831" s="45"/>
      <c r="O831" s="45"/>
      <c r="P831" s="20"/>
      <c r="Q831" s="20"/>
      <c r="R831" s="20"/>
      <c r="S831" s="20"/>
      <c r="T831" s="20"/>
    </row>
    <row r="832" spans="1:21" x14ac:dyDescent="0.25">
      <c r="A832" s="3">
        <v>41929</v>
      </c>
      <c r="B832" s="36">
        <v>82</v>
      </c>
      <c r="C832" t="s">
        <v>1751</v>
      </c>
      <c r="D832">
        <v>10</v>
      </c>
      <c r="E832" s="18">
        <v>1000</v>
      </c>
      <c r="F832" t="s">
        <v>889</v>
      </c>
      <c r="G832" t="s">
        <v>1752</v>
      </c>
      <c r="H832" s="18">
        <v>1000</v>
      </c>
      <c r="I832" s="3">
        <v>41929</v>
      </c>
      <c r="J832"/>
      <c r="L832"/>
      <c r="M832"/>
      <c r="N832" s="20"/>
      <c r="O832" t="s">
        <v>959</v>
      </c>
      <c r="P832" s="20"/>
      <c r="Q832" s="20"/>
      <c r="R832" s="20"/>
      <c r="S832" s="20"/>
      <c r="T832" s="20"/>
    </row>
    <row r="833" spans="1:21" x14ac:dyDescent="0.25">
      <c r="A833" s="3">
        <v>41929</v>
      </c>
      <c r="B833" s="36">
        <v>82</v>
      </c>
      <c r="C833" t="s">
        <v>1761</v>
      </c>
      <c r="D833">
        <v>3.5</v>
      </c>
      <c r="E833" s="18">
        <v>-350</v>
      </c>
      <c r="G833" t="s">
        <v>1762</v>
      </c>
      <c r="H833" s="18" t="s">
        <v>442</v>
      </c>
      <c r="I833" s="3" t="s">
        <v>442</v>
      </c>
      <c r="J833"/>
      <c r="L833"/>
      <c r="M833"/>
      <c r="N833" s="20"/>
      <c r="O833" t="s">
        <v>1767</v>
      </c>
      <c r="P833" s="20"/>
      <c r="Q833" s="20"/>
      <c r="R833" s="20"/>
      <c r="S833" s="20"/>
      <c r="T833" s="20"/>
    </row>
    <row r="834" spans="1:21" x14ac:dyDescent="0.25">
      <c r="A834" s="3">
        <v>41929</v>
      </c>
      <c r="B834" s="36">
        <v>82</v>
      </c>
      <c r="C834" t="s">
        <v>1753</v>
      </c>
      <c r="D834">
        <v>6.375</v>
      </c>
      <c r="E834" s="18">
        <v>-637.5</v>
      </c>
      <c r="G834" t="s">
        <v>1754</v>
      </c>
      <c r="H834" s="18" t="s">
        <v>442</v>
      </c>
      <c r="I834" s="3" t="s">
        <v>442</v>
      </c>
      <c r="J834"/>
      <c r="L834"/>
      <c r="M834"/>
      <c r="N834" s="20"/>
      <c r="O834" t="s">
        <v>910</v>
      </c>
      <c r="P834" s="20"/>
      <c r="Q834" s="20"/>
      <c r="R834" s="20"/>
      <c r="S834" s="20"/>
      <c r="T834" s="20"/>
    </row>
    <row r="835" spans="1:21" x14ac:dyDescent="0.25">
      <c r="A835" s="3">
        <v>41929</v>
      </c>
      <c r="B835" s="36">
        <v>82</v>
      </c>
      <c r="C835" t="s">
        <v>1755</v>
      </c>
      <c r="E835" s="18">
        <v>1025</v>
      </c>
      <c r="F835" t="s">
        <v>889</v>
      </c>
      <c r="G835" t="s">
        <v>1756</v>
      </c>
      <c r="H835" s="18">
        <v>1025</v>
      </c>
      <c r="I835" s="3">
        <v>41929</v>
      </c>
      <c r="J835"/>
      <c r="L835"/>
      <c r="M835"/>
      <c r="N835" s="20"/>
      <c r="O835" t="s">
        <v>959</v>
      </c>
      <c r="P835" s="20"/>
      <c r="Q835" s="20"/>
      <c r="R835" s="20"/>
      <c r="S835" s="20"/>
      <c r="T835" s="20"/>
    </row>
    <row r="836" spans="1:21" x14ac:dyDescent="0.25">
      <c r="A836" s="57">
        <v>41929</v>
      </c>
      <c r="B836" s="42">
        <v>82</v>
      </c>
      <c r="C836" s="45" t="s">
        <v>1765</v>
      </c>
      <c r="D836" s="45">
        <v>3</v>
      </c>
      <c r="E836" s="58">
        <v>-300</v>
      </c>
      <c r="F836" s="45"/>
      <c r="G836" s="45" t="s">
        <v>1766</v>
      </c>
      <c r="H836" s="18" t="s">
        <v>442</v>
      </c>
      <c r="I836" s="3" t="s">
        <v>442</v>
      </c>
      <c r="J836" s="45"/>
      <c r="K836" s="45"/>
      <c r="L836" s="45"/>
      <c r="M836" s="45"/>
      <c r="N836" s="45"/>
      <c r="O836" s="45" t="s">
        <v>1768</v>
      </c>
      <c r="P836" s="20"/>
      <c r="Q836" s="20"/>
      <c r="R836" s="20"/>
      <c r="S836" s="20"/>
      <c r="T836" s="20"/>
    </row>
    <row r="837" spans="1:21" x14ac:dyDescent="0.25">
      <c r="A837" s="3">
        <v>41929</v>
      </c>
      <c r="B837" s="36">
        <v>82</v>
      </c>
      <c r="C837" t="s">
        <v>1757</v>
      </c>
      <c r="D837">
        <v>10</v>
      </c>
      <c r="E837" s="18">
        <v>1000</v>
      </c>
      <c r="G837" t="s">
        <v>1758</v>
      </c>
      <c r="H837" s="18">
        <v>1000</v>
      </c>
      <c r="I837" s="3">
        <v>41929</v>
      </c>
      <c r="J837"/>
      <c r="L837"/>
      <c r="M837"/>
      <c r="N837" s="20"/>
      <c r="O837" t="s">
        <v>959</v>
      </c>
      <c r="P837" s="20"/>
      <c r="Q837" s="20"/>
      <c r="R837" s="20"/>
      <c r="S837" s="20"/>
      <c r="T837" s="20"/>
    </row>
    <row r="838" spans="1:21" x14ac:dyDescent="0.25">
      <c r="A838" s="3">
        <v>41929</v>
      </c>
      <c r="B838" s="36">
        <v>82</v>
      </c>
      <c r="C838" t="s">
        <v>1763</v>
      </c>
      <c r="D838">
        <v>7.9050000000000002</v>
      </c>
      <c r="E838" s="18">
        <v>-775</v>
      </c>
      <c r="G838" t="s">
        <v>1764</v>
      </c>
      <c r="H838" s="18" t="s">
        <v>442</v>
      </c>
      <c r="I838" s="3" t="s">
        <v>442</v>
      </c>
      <c r="J838"/>
      <c r="L838"/>
      <c r="M838"/>
      <c r="N838" s="20"/>
      <c r="O838" t="s">
        <v>949</v>
      </c>
      <c r="P838" s="20"/>
      <c r="Q838" s="20"/>
      <c r="R838" s="20"/>
      <c r="S838" s="20"/>
      <c r="T838" s="20"/>
    </row>
    <row r="839" spans="1:21" x14ac:dyDescent="0.25">
      <c r="A839" s="3">
        <v>41929</v>
      </c>
      <c r="B839" s="36">
        <v>82</v>
      </c>
      <c r="C839" t="s">
        <v>1759</v>
      </c>
      <c r="D839">
        <v>5.75</v>
      </c>
      <c r="E839" s="18">
        <v>-575</v>
      </c>
      <c r="G839" t="s">
        <v>1760</v>
      </c>
      <c r="H839" s="18" t="s">
        <v>442</v>
      </c>
      <c r="I839" s="3" t="s">
        <v>442</v>
      </c>
      <c r="J839"/>
      <c r="L839"/>
      <c r="M839"/>
      <c r="N839" s="20"/>
      <c r="O839" t="s">
        <v>949</v>
      </c>
      <c r="P839" s="20"/>
      <c r="Q839" s="20"/>
      <c r="R839" s="20"/>
      <c r="S839" s="20"/>
      <c r="T839" s="20"/>
    </row>
    <row r="840" spans="1:21" x14ac:dyDescent="0.25">
      <c r="B840">
        <v>82</v>
      </c>
      <c r="C840" t="s">
        <v>1769</v>
      </c>
      <c r="E840" s="18">
        <v>12.5</v>
      </c>
      <c r="I840"/>
      <c r="J840"/>
      <c r="L840"/>
      <c r="M840"/>
      <c r="O840"/>
      <c r="P840" s="20"/>
      <c r="Q840" s="20"/>
      <c r="R840" s="20"/>
      <c r="S840" s="20"/>
      <c r="T840" s="20"/>
      <c r="U840" t="s">
        <v>401</v>
      </c>
    </row>
    <row r="841" spans="1:21" x14ac:dyDescent="0.25">
      <c r="A841" s="3">
        <v>41789</v>
      </c>
      <c r="B841" s="36">
        <v>83</v>
      </c>
      <c r="C841" t="s">
        <v>1770</v>
      </c>
      <c r="D841">
        <v>3</v>
      </c>
      <c r="E841" s="18">
        <v>300</v>
      </c>
      <c r="G841" t="s">
        <v>1771</v>
      </c>
      <c r="H841" s="18">
        <v>300</v>
      </c>
      <c r="I841" s="3">
        <v>41789</v>
      </c>
      <c r="J841"/>
      <c r="L841"/>
      <c r="M841"/>
      <c r="N841" s="20"/>
      <c r="O841"/>
      <c r="P841" s="20"/>
      <c r="Q841" s="20"/>
      <c r="R841" s="20"/>
      <c r="S841" s="20"/>
      <c r="T841" s="20"/>
    </row>
    <row r="842" spans="1:21" x14ac:dyDescent="0.25">
      <c r="A842" s="3">
        <v>41789</v>
      </c>
      <c r="B842" s="36">
        <v>83</v>
      </c>
      <c r="C842" t="s">
        <v>1772</v>
      </c>
      <c r="D842">
        <v>6.5</v>
      </c>
      <c r="E842" s="18">
        <v>650</v>
      </c>
      <c r="G842" t="s">
        <v>1773</v>
      </c>
      <c r="H842" s="18">
        <v>650</v>
      </c>
      <c r="I842" s="3">
        <v>41789</v>
      </c>
      <c r="J842"/>
      <c r="L842"/>
      <c r="M842"/>
      <c r="N842" s="20"/>
      <c r="O842"/>
      <c r="P842" s="20"/>
      <c r="Q842" s="20"/>
      <c r="R842" s="20"/>
      <c r="S842" s="20"/>
      <c r="T842" s="20"/>
    </row>
    <row r="843" spans="1:21" x14ac:dyDescent="0.25">
      <c r="A843" s="3">
        <v>41789</v>
      </c>
      <c r="B843" s="36">
        <v>83</v>
      </c>
      <c r="C843" t="s">
        <v>1774</v>
      </c>
      <c r="E843" s="18">
        <v>-600</v>
      </c>
      <c r="G843" t="s">
        <v>442</v>
      </c>
      <c r="H843" s="18" t="s">
        <v>442</v>
      </c>
      <c r="I843" s="3" t="s">
        <v>442</v>
      </c>
      <c r="J843"/>
      <c r="L843"/>
      <c r="M843"/>
      <c r="N843" s="20"/>
      <c r="O843"/>
      <c r="P843" s="20"/>
      <c r="Q843" s="20"/>
      <c r="R843" s="20"/>
      <c r="S843" s="20"/>
      <c r="T843" s="20" t="s">
        <v>401</v>
      </c>
    </row>
    <row r="844" spans="1:21" x14ac:dyDescent="0.25">
      <c r="A844" s="3">
        <v>41796</v>
      </c>
      <c r="B844" s="36">
        <v>83</v>
      </c>
      <c r="C844" t="s">
        <v>1775</v>
      </c>
      <c r="D844">
        <v>3.75</v>
      </c>
      <c r="E844" s="18">
        <v>375</v>
      </c>
      <c r="G844" t="s">
        <v>1776</v>
      </c>
      <c r="H844" s="18">
        <v>375</v>
      </c>
      <c r="I844" s="3">
        <v>41796</v>
      </c>
      <c r="J844"/>
      <c r="L844"/>
      <c r="M844"/>
      <c r="N844" s="20"/>
      <c r="O844"/>
      <c r="P844" s="20"/>
      <c r="Q844" s="20"/>
      <c r="R844" s="20"/>
      <c r="S844" s="20"/>
      <c r="T844" s="20"/>
    </row>
    <row r="845" spans="1:21" x14ac:dyDescent="0.25">
      <c r="A845" s="3">
        <v>41796</v>
      </c>
      <c r="B845" s="36">
        <v>83</v>
      </c>
      <c r="C845" t="s">
        <v>1777</v>
      </c>
      <c r="D845">
        <v>6.5</v>
      </c>
      <c r="E845" s="18">
        <v>650</v>
      </c>
      <c r="G845" t="s">
        <v>1778</v>
      </c>
      <c r="H845" s="18">
        <v>650</v>
      </c>
      <c r="I845" s="3">
        <v>41796</v>
      </c>
      <c r="J845"/>
      <c r="L845"/>
      <c r="M845"/>
      <c r="N845" s="20"/>
      <c r="O845"/>
      <c r="P845" s="20"/>
      <c r="Q845" s="20"/>
      <c r="R845" s="20"/>
      <c r="S845" s="20"/>
      <c r="T845" s="20"/>
    </row>
    <row r="846" spans="1:21" x14ac:dyDescent="0.25">
      <c r="A846" s="3">
        <v>41796</v>
      </c>
      <c r="B846" s="36">
        <v>83</v>
      </c>
      <c r="C846" t="s">
        <v>1779</v>
      </c>
      <c r="D846">
        <v>9</v>
      </c>
      <c r="E846" s="18">
        <v>900</v>
      </c>
      <c r="G846" t="s">
        <v>1780</v>
      </c>
      <c r="H846" s="18">
        <v>900</v>
      </c>
      <c r="I846" s="3">
        <v>41796</v>
      </c>
      <c r="J846"/>
      <c r="L846"/>
      <c r="M846"/>
      <c r="N846" s="20"/>
      <c r="O846"/>
      <c r="P846" s="20"/>
      <c r="Q846" s="20"/>
      <c r="R846" s="20"/>
      <c r="S846" s="20"/>
      <c r="T846" s="20"/>
    </row>
    <row r="847" spans="1:21" x14ac:dyDescent="0.25">
      <c r="A847" s="3">
        <v>41796</v>
      </c>
      <c r="B847" s="36">
        <v>83</v>
      </c>
      <c r="C847" t="s">
        <v>1781</v>
      </c>
      <c r="D847">
        <v>4.25</v>
      </c>
      <c r="E847" s="18">
        <v>425</v>
      </c>
      <c r="G847" t="s">
        <v>1782</v>
      </c>
      <c r="H847" s="18">
        <v>425</v>
      </c>
      <c r="I847" s="3">
        <v>41796</v>
      </c>
      <c r="J847"/>
      <c r="L847"/>
      <c r="M847"/>
      <c r="N847" s="20"/>
      <c r="O847"/>
      <c r="P847" s="20"/>
      <c r="Q847" s="20"/>
      <c r="R847" s="20"/>
      <c r="S847" s="20"/>
      <c r="T847" s="20"/>
    </row>
    <row r="848" spans="1:21" x14ac:dyDescent="0.25">
      <c r="A848" s="3">
        <v>41796</v>
      </c>
      <c r="B848" s="36">
        <v>83</v>
      </c>
      <c r="C848" t="s">
        <v>1783</v>
      </c>
      <c r="D848">
        <v>2.5</v>
      </c>
      <c r="E848" s="18">
        <v>250</v>
      </c>
      <c r="G848" t="s">
        <v>1784</v>
      </c>
      <c r="H848" s="18">
        <v>250</v>
      </c>
      <c r="I848" s="3">
        <v>41796</v>
      </c>
      <c r="J848"/>
      <c r="L848"/>
      <c r="M848"/>
      <c r="N848" s="20"/>
      <c r="O848"/>
      <c r="P848" s="20"/>
      <c r="Q848" s="20"/>
      <c r="R848" s="20"/>
      <c r="S848" s="20"/>
      <c r="T848" s="20"/>
    </row>
    <row r="849" spans="1:21" x14ac:dyDescent="0.25">
      <c r="A849" s="3">
        <v>41803</v>
      </c>
      <c r="B849" s="36">
        <v>83</v>
      </c>
      <c r="C849" t="s">
        <v>1785</v>
      </c>
      <c r="D849">
        <v>3.57</v>
      </c>
      <c r="E849" s="18">
        <v>357</v>
      </c>
      <c r="G849" t="s">
        <v>1786</v>
      </c>
      <c r="H849" s="18">
        <v>357</v>
      </c>
      <c r="I849" s="3">
        <v>41803</v>
      </c>
      <c r="J849"/>
      <c r="L849"/>
      <c r="M849"/>
      <c r="N849" s="20"/>
      <c r="O849" t="s">
        <v>931</v>
      </c>
      <c r="P849" s="20"/>
      <c r="Q849" s="20"/>
      <c r="R849" s="20"/>
      <c r="S849" s="20"/>
      <c r="T849" s="20"/>
    </row>
    <row r="850" spans="1:21" x14ac:dyDescent="0.25">
      <c r="A850" s="3">
        <v>41810</v>
      </c>
      <c r="B850" s="36">
        <v>83</v>
      </c>
      <c r="C850" t="s">
        <v>1787</v>
      </c>
      <c r="D850">
        <v>4</v>
      </c>
      <c r="E850" s="18">
        <v>400</v>
      </c>
      <c r="G850" t="s">
        <v>1788</v>
      </c>
      <c r="H850" s="18">
        <v>400</v>
      </c>
      <c r="I850" s="3">
        <v>41810</v>
      </c>
      <c r="J850"/>
      <c r="L850"/>
      <c r="M850"/>
      <c r="N850" s="20"/>
      <c r="O850" t="s">
        <v>1169</v>
      </c>
      <c r="P850" s="20"/>
      <c r="Q850" s="20"/>
      <c r="R850" s="20"/>
      <c r="S850" s="20"/>
      <c r="T850" s="20"/>
    </row>
    <row r="851" spans="1:21" x14ac:dyDescent="0.25">
      <c r="A851" s="3">
        <v>41810</v>
      </c>
      <c r="B851" s="36">
        <v>83</v>
      </c>
      <c r="C851" t="s">
        <v>1789</v>
      </c>
      <c r="D851">
        <v>4.25</v>
      </c>
      <c r="E851" s="18">
        <v>425</v>
      </c>
      <c r="G851" t="s">
        <v>1790</v>
      </c>
      <c r="H851" s="18">
        <v>425</v>
      </c>
      <c r="I851" s="3">
        <v>41810</v>
      </c>
      <c r="J851"/>
      <c r="L851"/>
      <c r="M851"/>
      <c r="N851" s="20"/>
      <c r="O851" t="s">
        <v>1169</v>
      </c>
      <c r="P851" s="20"/>
      <c r="Q851" s="20"/>
      <c r="R851" s="20"/>
      <c r="S851" s="20"/>
      <c r="T851" s="20"/>
    </row>
    <row r="852" spans="1:21" x14ac:dyDescent="0.25">
      <c r="A852" s="3">
        <v>41810</v>
      </c>
      <c r="B852" s="36">
        <v>83</v>
      </c>
      <c r="C852" t="s">
        <v>1777</v>
      </c>
      <c r="D852">
        <v>6.5</v>
      </c>
      <c r="E852" s="18">
        <v>-650</v>
      </c>
      <c r="G852" t="s">
        <v>1778</v>
      </c>
      <c r="H852" s="18" t="s">
        <v>442</v>
      </c>
      <c r="I852" s="3" t="s">
        <v>442</v>
      </c>
      <c r="J852"/>
      <c r="L852"/>
      <c r="M852"/>
      <c r="N852" s="20"/>
      <c r="O852" t="s">
        <v>1791</v>
      </c>
      <c r="P852" s="20"/>
      <c r="Q852" s="20"/>
      <c r="R852" s="20"/>
      <c r="S852" s="20"/>
      <c r="T852" s="20"/>
    </row>
    <row r="853" spans="1:21" x14ac:dyDescent="0.25">
      <c r="A853" s="3">
        <v>41810</v>
      </c>
      <c r="B853" s="36">
        <v>83</v>
      </c>
      <c r="C853" t="s">
        <v>1772</v>
      </c>
      <c r="D853">
        <v>6.5</v>
      </c>
      <c r="E853" s="18">
        <v>-650</v>
      </c>
      <c r="G853" t="s">
        <v>1773</v>
      </c>
      <c r="H853" s="18" t="s">
        <v>442</v>
      </c>
      <c r="I853" s="3" t="s">
        <v>442</v>
      </c>
      <c r="J853"/>
      <c r="L853"/>
      <c r="M853"/>
      <c r="N853" s="20"/>
      <c r="O853" t="s">
        <v>1792</v>
      </c>
      <c r="P853" s="20"/>
      <c r="Q853" s="20"/>
      <c r="R853" s="20"/>
      <c r="S853" s="20"/>
      <c r="T853" s="20"/>
    </row>
    <row r="854" spans="1:21" x14ac:dyDescent="0.25">
      <c r="A854" s="3">
        <v>41810</v>
      </c>
      <c r="B854" s="36">
        <v>83</v>
      </c>
      <c r="C854" t="s">
        <v>1793</v>
      </c>
      <c r="D854">
        <v>5</v>
      </c>
      <c r="E854" s="18">
        <v>500</v>
      </c>
      <c r="G854" t="s">
        <v>1794</v>
      </c>
      <c r="H854" s="18">
        <v>500</v>
      </c>
      <c r="I854" s="3">
        <v>41810</v>
      </c>
      <c r="J854"/>
      <c r="L854"/>
      <c r="M854"/>
      <c r="N854" s="20"/>
      <c r="O854" t="s">
        <v>1169</v>
      </c>
      <c r="P854" s="20"/>
      <c r="Q854" s="20"/>
      <c r="R854" s="20"/>
      <c r="S854" s="20"/>
      <c r="T854" s="20"/>
    </row>
    <row r="855" spans="1:21" x14ac:dyDescent="0.25">
      <c r="A855" s="3">
        <v>41823</v>
      </c>
      <c r="B855" s="36">
        <v>83</v>
      </c>
      <c r="C855" t="s">
        <v>1795</v>
      </c>
      <c r="D855">
        <v>7.3949999999999996</v>
      </c>
      <c r="E855" s="18">
        <v>739.5</v>
      </c>
      <c r="G855" t="s">
        <v>1796</v>
      </c>
      <c r="H855" s="18">
        <v>739.5</v>
      </c>
      <c r="I855" s="3">
        <v>41823</v>
      </c>
      <c r="J855"/>
      <c r="L855"/>
      <c r="M855"/>
      <c r="N855" s="20"/>
      <c r="O855" t="s">
        <v>1009</v>
      </c>
      <c r="P855" s="20"/>
      <c r="Q855" s="20"/>
      <c r="R855" s="20"/>
      <c r="S855" s="20"/>
      <c r="T855" s="20"/>
    </row>
    <row r="856" spans="1:21" x14ac:dyDescent="0.25">
      <c r="A856" s="3">
        <v>41823</v>
      </c>
      <c r="B856" s="36">
        <v>83</v>
      </c>
      <c r="C856" t="s">
        <v>1793</v>
      </c>
      <c r="D856">
        <v>5</v>
      </c>
      <c r="E856" s="18">
        <v>-500</v>
      </c>
      <c r="G856" t="s">
        <v>1794</v>
      </c>
      <c r="H856" s="18" t="s">
        <v>442</v>
      </c>
      <c r="I856" s="3" t="s">
        <v>442</v>
      </c>
      <c r="J856"/>
      <c r="L856"/>
      <c r="M856"/>
      <c r="N856" s="20"/>
      <c r="O856" t="s">
        <v>949</v>
      </c>
      <c r="P856" s="20"/>
      <c r="Q856" s="20"/>
      <c r="R856" s="20"/>
      <c r="S856" s="20"/>
      <c r="T856" s="20"/>
    </row>
    <row r="857" spans="1:21" x14ac:dyDescent="0.25">
      <c r="A857" s="3">
        <v>41831</v>
      </c>
      <c r="B857" s="36">
        <v>83</v>
      </c>
      <c r="C857" t="s">
        <v>1797</v>
      </c>
      <c r="D857">
        <v>6.8849999999999998</v>
      </c>
      <c r="E857" s="18">
        <v>688.5</v>
      </c>
      <c r="G857" t="s">
        <v>1798</v>
      </c>
      <c r="H857" s="18">
        <v>688.5</v>
      </c>
      <c r="I857" s="3">
        <v>41831</v>
      </c>
      <c r="J857"/>
      <c r="L857"/>
      <c r="M857"/>
      <c r="N857" s="20"/>
      <c r="O857" t="s">
        <v>931</v>
      </c>
      <c r="P857" s="20"/>
      <c r="Q857" s="20"/>
      <c r="R857" s="20"/>
      <c r="S857" s="20"/>
      <c r="T857" s="20"/>
    </row>
    <row r="858" spans="1:21" x14ac:dyDescent="0.25">
      <c r="A858" s="3">
        <v>41831</v>
      </c>
      <c r="B858" s="36">
        <v>83</v>
      </c>
      <c r="C858" t="s">
        <v>1783</v>
      </c>
      <c r="D858">
        <v>2.8050000000000002</v>
      </c>
      <c r="E858" s="18">
        <v>-250</v>
      </c>
      <c r="G858" t="s">
        <v>1784</v>
      </c>
      <c r="H858" s="18" t="s">
        <v>442</v>
      </c>
      <c r="I858" s="3" t="s">
        <v>442</v>
      </c>
      <c r="J858"/>
      <c r="L858"/>
      <c r="M858"/>
      <c r="N858" s="20"/>
      <c r="O858" t="s">
        <v>1799</v>
      </c>
      <c r="P858" s="20"/>
      <c r="Q858" s="20"/>
      <c r="R858" s="20"/>
      <c r="S858" s="20"/>
      <c r="T858" s="20"/>
    </row>
    <row r="859" spans="1:21" x14ac:dyDescent="0.25">
      <c r="A859" s="3">
        <v>41838</v>
      </c>
      <c r="B859" s="36">
        <v>83</v>
      </c>
      <c r="C859" t="s">
        <v>1800</v>
      </c>
      <c r="D859">
        <v>10.5</v>
      </c>
      <c r="E859" s="18">
        <v>1050</v>
      </c>
      <c r="G859" t="s">
        <v>1801</v>
      </c>
      <c r="H859" s="18">
        <v>1050</v>
      </c>
      <c r="I859" s="3">
        <v>41838</v>
      </c>
      <c r="J859"/>
      <c r="L859"/>
      <c r="M859"/>
      <c r="N859" s="20"/>
      <c r="O859" t="s">
        <v>931</v>
      </c>
      <c r="P859" s="20"/>
      <c r="Q859" s="20"/>
      <c r="R859" s="20"/>
      <c r="S859" s="20"/>
      <c r="T859" s="20"/>
    </row>
    <row r="860" spans="1:21" x14ac:dyDescent="0.25">
      <c r="A860" s="3">
        <v>41838</v>
      </c>
      <c r="B860" s="36">
        <v>83</v>
      </c>
      <c r="C860" t="s">
        <v>1802</v>
      </c>
      <c r="D860">
        <v>15.5</v>
      </c>
      <c r="E860" s="18">
        <v>1550</v>
      </c>
      <c r="G860" t="s">
        <v>1803</v>
      </c>
      <c r="H860" s="18">
        <v>1550</v>
      </c>
      <c r="I860" s="3">
        <v>41838</v>
      </c>
      <c r="J860"/>
      <c r="L860"/>
      <c r="M860"/>
      <c r="N860" s="20"/>
      <c r="O860" t="s">
        <v>931</v>
      </c>
      <c r="P860" s="20"/>
      <c r="Q860" s="20"/>
      <c r="R860" s="20"/>
      <c r="S860" s="20"/>
      <c r="T860" s="20"/>
    </row>
    <row r="861" spans="1:21" x14ac:dyDescent="0.25">
      <c r="A861" s="3">
        <v>41859</v>
      </c>
      <c r="B861" s="36">
        <v>83</v>
      </c>
      <c r="C861" t="s">
        <v>1804</v>
      </c>
      <c r="D861">
        <v>9.9450000000000003</v>
      </c>
      <c r="E861" s="18">
        <v>994.5</v>
      </c>
      <c r="F861" t="s">
        <v>889</v>
      </c>
      <c r="G861" t="s">
        <v>1805</v>
      </c>
      <c r="H861" s="18">
        <v>994.5</v>
      </c>
      <c r="I861" s="3">
        <v>41859</v>
      </c>
      <c r="J861"/>
      <c r="L861"/>
      <c r="M861"/>
      <c r="N861" s="20"/>
      <c r="O861"/>
      <c r="P861" s="20"/>
      <c r="Q861" s="20"/>
      <c r="R861" s="20"/>
      <c r="S861" s="20"/>
      <c r="T861" s="20"/>
    </row>
    <row r="862" spans="1:21" x14ac:dyDescent="0.25">
      <c r="A862" s="3">
        <v>41859</v>
      </c>
      <c r="B862" s="36">
        <v>83</v>
      </c>
      <c r="C862" t="s">
        <v>1806</v>
      </c>
      <c r="D862">
        <v>8.67</v>
      </c>
      <c r="E862" s="18">
        <v>867</v>
      </c>
      <c r="F862" t="s">
        <v>889</v>
      </c>
      <c r="G862" t="s">
        <v>1807</v>
      </c>
      <c r="H862" s="18">
        <v>867</v>
      </c>
      <c r="I862" s="3">
        <v>41859</v>
      </c>
      <c r="J862"/>
      <c r="L862"/>
      <c r="M862"/>
      <c r="N862" s="20"/>
      <c r="O862"/>
      <c r="P862" s="20"/>
      <c r="Q862" s="20"/>
      <c r="R862" s="20"/>
      <c r="S862" s="20"/>
      <c r="T862" s="20"/>
    </row>
    <row r="863" spans="1:21" x14ac:dyDescent="0.25">
      <c r="B863">
        <v>83</v>
      </c>
      <c r="C863" t="s">
        <v>1775</v>
      </c>
      <c r="D863">
        <v>3.57</v>
      </c>
      <c r="E863" s="18">
        <v>113</v>
      </c>
      <c r="F863" t="s">
        <v>889</v>
      </c>
      <c r="G863" t="s">
        <v>1776</v>
      </c>
      <c r="I863"/>
      <c r="J863"/>
      <c r="L863"/>
      <c r="M863"/>
      <c r="O863"/>
      <c r="P863" s="20"/>
      <c r="Q863" s="20"/>
      <c r="R863" s="20"/>
      <c r="S863" s="20"/>
      <c r="T863" s="20"/>
      <c r="U863" t="s">
        <v>401</v>
      </c>
    </row>
    <row r="864" spans="1:21" x14ac:dyDescent="0.25">
      <c r="B864">
        <v>83</v>
      </c>
      <c r="C864" t="s">
        <v>1804</v>
      </c>
      <c r="D864">
        <v>9.9450000000000003</v>
      </c>
      <c r="E864" s="18">
        <v>-994.5</v>
      </c>
      <c r="F864" t="s">
        <v>889</v>
      </c>
      <c r="G864" t="s">
        <v>1805</v>
      </c>
      <c r="I864"/>
      <c r="J864"/>
      <c r="L864"/>
      <c r="M864"/>
      <c r="O864"/>
      <c r="P864" s="20"/>
      <c r="Q864" s="20"/>
      <c r="R864" s="20"/>
      <c r="S864" s="20"/>
      <c r="T864" s="20"/>
      <c r="U864" t="s">
        <v>401</v>
      </c>
    </row>
    <row r="865" spans="1:21" x14ac:dyDescent="0.25">
      <c r="B865">
        <v>83</v>
      </c>
      <c r="C865" t="s">
        <v>1800</v>
      </c>
      <c r="D865">
        <v>8.67</v>
      </c>
      <c r="E865" s="18">
        <v>-1050</v>
      </c>
      <c r="F865" t="s">
        <v>889</v>
      </c>
      <c r="G865" t="s">
        <v>1801</v>
      </c>
      <c r="I865"/>
      <c r="J865"/>
      <c r="L865"/>
      <c r="M865"/>
      <c r="O865"/>
      <c r="P865" s="20"/>
      <c r="Q865" s="20"/>
      <c r="R865" s="20"/>
      <c r="S865" s="20"/>
      <c r="T865" s="20"/>
      <c r="U865" t="s">
        <v>401</v>
      </c>
    </row>
    <row r="866" spans="1:21" x14ac:dyDescent="0.25">
      <c r="B866">
        <v>83</v>
      </c>
      <c r="C866" t="s">
        <v>1795</v>
      </c>
      <c r="D866">
        <v>7.3949999999999996</v>
      </c>
      <c r="E866" s="18">
        <v>-739.5</v>
      </c>
      <c r="F866" t="s">
        <v>889</v>
      </c>
      <c r="G866" t="s">
        <v>1796</v>
      </c>
      <c r="I866"/>
      <c r="J866"/>
      <c r="L866"/>
      <c r="M866"/>
      <c r="O866"/>
      <c r="P866" s="20"/>
      <c r="Q866" s="20"/>
      <c r="R866" s="20"/>
      <c r="S866" s="20"/>
      <c r="T866" s="20"/>
      <c r="U866" t="s">
        <v>401</v>
      </c>
    </row>
    <row r="867" spans="1:21" x14ac:dyDescent="0.25">
      <c r="B867">
        <v>83</v>
      </c>
      <c r="C867" t="s">
        <v>1785</v>
      </c>
      <c r="D867">
        <v>3.57</v>
      </c>
      <c r="E867" s="18">
        <v>119</v>
      </c>
      <c r="F867" t="s">
        <v>889</v>
      </c>
      <c r="G867" t="s">
        <v>1786</v>
      </c>
      <c r="I867"/>
      <c r="J867"/>
      <c r="L867"/>
      <c r="M867"/>
      <c r="O867"/>
      <c r="P867" s="20"/>
      <c r="Q867" s="20"/>
      <c r="R867" s="20"/>
      <c r="S867" s="20"/>
      <c r="T867" s="20"/>
      <c r="U867" t="s">
        <v>401</v>
      </c>
    </row>
    <row r="868" spans="1:21" x14ac:dyDescent="0.25">
      <c r="B868">
        <v>83</v>
      </c>
      <c r="C868" t="s">
        <v>1787</v>
      </c>
      <c r="D868">
        <v>4.08</v>
      </c>
      <c r="E868" s="18">
        <v>-400</v>
      </c>
      <c r="F868" t="s">
        <v>889</v>
      </c>
      <c r="G868" t="s">
        <v>1788</v>
      </c>
      <c r="I868"/>
      <c r="J868"/>
      <c r="L868"/>
      <c r="M868"/>
      <c r="O868"/>
      <c r="P868" s="20"/>
      <c r="Q868" s="20"/>
      <c r="R868" s="20"/>
      <c r="S868" s="20"/>
      <c r="T868" s="20"/>
      <c r="U868" t="s">
        <v>401</v>
      </c>
    </row>
    <row r="869" spans="1:21" x14ac:dyDescent="0.25">
      <c r="B869">
        <v>83</v>
      </c>
      <c r="C869" t="s">
        <v>1806</v>
      </c>
      <c r="D869">
        <v>8.67</v>
      </c>
      <c r="E869" s="18">
        <v>-867</v>
      </c>
      <c r="F869" t="s">
        <v>889</v>
      </c>
      <c r="G869" t="s">
        <v>1807</v>
      </c>
      <c r="I869"/>
      <c r="J869"/>
      <c r="L869"/>
      <c r="M869"/>
      <c r="O869"/>
      <c r="P869" s="20"/>
      <c r="Q869" s="20"/>
      <c r="R869" s="20"/>
      <c r="S869" s="20"/>
      <c r="T869" s="20"/>
      <c r="U869" t="s">
        <v>401</v>
      </c>
    </row>
    <row r="870" spans="1:21" x14ac:dyDescent="0.25">
      <c r="B870">
        <v>83</v>
      </c>
      <c r="C870" t="s">
        <v>1789</v>
      </c>
      <c r="D870">
        <v>4.08</v>
      </c>
      <c r="E870" s="18">
        <v>-425</v>
      </c>
      <c r="F870" t="s">
        <v>889</v>
      </c>
      <c r="G870" t="s">
        <v>1790</v>
      </c>
      <c r="I870"/>
      <c r="J870"/>
      <c r="L870"/>
      <c r="M870"/>
      <c r="O870"/>
      <c r="P870" s="20"/>
      <c r="Q870" s="20"/>
      <c r="R870" s="20"/>
      <c r="S870" s="20"/>
      <c r="T870" s="20"/>
      <c r="U870" t="s">
        <v>401</v>
      </c>
    </row>
    <row r="871" spans="1:21" x14ac:dyDescent="0.25">
      <c r="B871">
        <v>83</v>
      </c>
      <c r="C871" t="s">
        <v>1781</v>
      </c>
      <c r="D871">
        <v>4.59</v>
      </c>
      <c r="E871" s="18">
        <v>493</v>
      </c>
      <c r="F871" t="s">
        <v>889</v>
      </c>
      <c r="G871" t="s">
        <v>1782</v>
      </c>
      <c r="I871"/>
      <c r="J871"/>
      <c r="L871"/>
      <c r="M871"/>
      <c r="O871"/>
      <c r="P871" s="20"/>
      <c r="Q871" s="20"/>
      <c r="R871" s="20"/>
      <c r="S871" s="20"/>
      <c r="T871" s="20"/>
      <c r="U871" t="s">
        <v>401</v>
      </c>
    </row>
    <row r="872" spans="1:21" x14ac:dyDescent="0.25">
      <c r="B872">
        <v>83</v>
      </c>
      <c r="C872" t="s">
        <v>1802</v>
      </c>
      <c r="D872">
        <v>15.3</v>
      </c>
      <c r="E872" s="18">
        <v>-1550</v>
      </c>
      <c r="F872" t="s">
        <v>889</v>
      </c>
      <c r="G872" t="s">
        <v>1803</v>
      </c>
      <c r="I872"/>
      <c r="J872"/>
      <c r="L872"/>
      <c r="M872"/>
      <c r="O872"/>
      <c r="P872" s="20"/>
      <c r="Q872" s="20"/>
      <c r="R872" s="20"/>
      <c r="S872" s="20"/>
      <c r="T872" s="20"/>
      <c r="U872" t="s">
        <v>401</v>
      </c>
    </row>
    <row r="873" spans="1:21" x14ac:dyDescent="0.25">
      <c r="A873" s="3">
        <v>41768</v>
      </c>
      <c r="B873" s="36">
        <v>84</v>
      </c>
      <c r="C873" t="s">
        <v>1808</v>
      </c>
      <c r="D873">
        <v>4.08</v>
      </c>
      <c r="E873" s="18">
        <v>408</v>
      </c>
      <c r="G873" t="s">
        <v>1809</v>
      </c>
      <c r="H873" s="18">
        <v>408</v>
      </c>
      <c r="I873" s="3">
        <v>41768</v>
      </c>
      <c r="J873"/>
      <c r="L873"/>
      <c r="M873"/>
      <c r="N873" s="20"/>
      <c r="O873"/>
      <c r="P873" s="20"/>
      <c r="Q873" s="20"/>
      <c r="R873" s="20"/>
      <c r="S873" s="20"/>
      <c r="T873" s="20"/>
    </row>
    <row r="874" spans="1:21" x14ac:dyDescent="0.25">
      <c r="A874" s="3">
        <v>41782</v>
      </c>
      <c r="B874" s="36">
        <v>84</v>
      </c>
      <c r="C874" t="s">
        <v>1810</v>
      </c>
      <c r="D874">
        <v>8.25</v>
      </c>
      <c r="E874" s="18">
        <v>825</v>
      </c>
      <c r="G874" t="s">
        <v>1811</v>
      </c>
      <c r="H874" s="18">
        <v>825</v>
      </c>
      <c r="I874" s="3">
        <v>41782</v>
      </c>
      <c r="J874"/>
      <c r="L874"/>
      <c r="M874"/>
      <c r="N874" s="20"/>
      <c r="O874"/>
      <c r="P874" s="20"/>
      <c r="Q874" s="20"/>
      <c r="R874" s="20"/>
      <c r="S874" s="20"/>
      <c r="T874" s="20"/>
    </row>
    <row r="875" spans="1:21" x14ac:dyDescent="0.25">
      <c r="B875">
        <v>84</v>
      </c>
      <c r="C875" t="s">
        <v>1810</v>
      </c>
      <c r="D875">
        <v>8.25</v>
      </c>
      <c r="E875" s="18">
        <v>-825</v>
      </c>
      <c r="G875" t="s">
        <v>1811</v>
      </c>
      <c r="I875"/>
      <c r="J875"/>
      <c r="L875"/>
      <c r="M875"/>
      <c r="O875"/>
      <c r="P875" s="20"/>
      <c r="Q875" s="20"/>
      <c r="R875" s="20"/>
      <c r="S875" s="20"/>
      <c r="T875" s="20"/>
      <c r="U875" t="s">
        <v>401</v>
      </c>
    </row>
    <row r="876" spans="1:21" x14ac:dyDescent="0.25">
      <c r="B876">
        <v>84</v>
      </c>
      <c r="C876" t="s">
        <v>1808</v>
      </c>
      <c r="D876">
        <v>4.08</v>
      </c>
      <c r="E876" s="18">
        <v>-408</v>
      </c>
      <c r="G876" t="s">
        <v>1809</v>
      </c>
      <c r="I876"/>
      <c r="J876"/>
      <c r="L876"/>
      <c r="M876"/>
      <c r="O876"/>
      <c r="P876" s="20"/>
      <c r="Q876" s="20"/>
      <c r="R876" s="20"/>
      <c r="S876" s="20"/>
      <c r="T876" s="20"/>
      <c r="U876" t="s">
        <v>401</v>
      </c>
    </row>
    <row r="877" spans="1:21" x14ac:dyDescent="0.25">
      <c r="A877" s="3">
        <v>41746</v>
      </c>
      <c r="B877" s="36">
        <v>85</v>
      </c>
      <c r="C877" t="s">
        <v>1812</v>
      </c>
      <c r="D877">
        <v>7.75</v>
      </c>
      <c r="E877" s="18">
        <v>775</v>
      </c>
      <c r="G877" t="s">
        <v>1813</v>
      </c>
      <c r="H877" s="18">
        <v>775</v>
      </c>
      <c r="I877" s="3">
        <v>41746</v>
      </c>
      <c r="J877"/>
      <c r="L877"/>
      <c r="M877"/>
      <c r="N877" s="20"/>
      <c r="O877"/>
      <c r="P877" s="20"/>
      <c r="Q877" s="20"/>
      <c r="R877" s="20"/>
      <c r="S877" s="20"/>
      <c r="T877" s="20"/>
    </row>
    <row r="878" spans="1:21" x14ac:dyDescent="0.25">
      <c r="A878" s="3">
        <v>41746</v>
      </c>
      <c r="B878" s="36">
        <v>85</v>
      </c>
      <c r="C878" t="s">
        <v>1814</v>
      </c>
      <c r="D878">
        <v>4.25</v>
      </c>
      <c r="E878" s="18">
        <v>425</v>
      </c>
      <c r="G878" t="s">
        <v>1815</v>
      </c>
      <c r="H878" s="18">
        <v>425</v>
      </c>
      <c r="I878" s="3">
        <v>41746</v>
      </c>
      <c r="J878"/>
      <c r="L878"/>
      <c r="M878"/>
      <c r="N878" s="20"/>
      <c r="O878"/>
      <c r="P878" s="20"/>
      <c r="Q878" s="20"/>
      <c r="R878" s="20"/>
      <c r="S878" s="20"/>
      <c r="T878" s="20"/>
    </row>
    <row r="879" spans="1:21" x14ac:dyDescent="0.25">
      <c r="A879" s="3">
        <v>41746</v>
      </c>
      <c r="B879" s="36">
        <v>85</v>
      </c>
      <c r="C879" t="s">
        <v>1816</v>
      </c>
      <c r="D879">
        <v>5.5</v>
      </c>
      <c r="E879" s="18">
        <v>550</v>
      </c>
      <c r="G879" t="s">
        <v>1817</v>
      </c>
      <c r="H879" s="18">
        <v>550</v>
      </c>
      <c r="I879" s="3">
        <v>41746</v>
      </c>
      <c r="J879"/>
      <c r="L879"/>
      <c r="M879"/>
      <c r="N879" s="20"/>
      <c r="O879"/>
      <c r="P879" s="20"/>
      <c r="Q879" s="20"/>
      <c r="R879" s="20"/>
      <c r="S879" s="20"/>
      <c r="T879" s="20"/>
    </row>
    <row r="880" spans="1:21" x14ac:dyDescent="0.25">
      <c r="A880" s="3">
        <v>41753</v>
      </c>
      <c r="B880" s="36">
        <v>85</v>
      </c>
      <c r="C880" t="s">
        <v>1818</v>
      </c>
      <c r="D880">
        <v>8.25</v>
      </c>
      <c r="E880" s="18">
        <v>825</v>
      </c>
      <c r="G880" t="s">
        <v>1819</v>
      </c>
      <c r="H880" s="18">
        <v>825</v>
      </c>
      <c r="I880" s="3">
        <v>41753</v>
      </c>
      <c r="J880"/>
      <c r="L880"/>
      <c r="M880"/>
      <c r="N880" s="20"/>
      <c r="O880"/>
      <c r="P880" s="20"/>
      <c r="Q880" s="20"/>
      <c r="R880" s="20"/>
      <c r="S880" s="20"/>
      <c r="T880" s="20"/>
    </row>
    <row r="881" spans="1:20" x14ac:dyDescent="0.25">
      <c r="A881" s="57">
        <v>41768</v>
      </c>
      <c r="B881" s="42">
        <v>85</v>
      </c>
      <c r="C881" s="45" t="s">
        <v>1765</v>
      </c>
      <c r="D881" s="45">
        <v>3</v>
      </c>
      <c r="E881" s="58">
        <v>300</v>
      </c>
      <c r="F881" s="45"/>
      <c r="G881" s="45" t="s">
        <v>1766</v>
      </c>
      <c r="H881" s="18">
        <v>300</v>
      </c>
      <c r="I881" s="3">
        <v>41768</v>
      </c>
      <c r="J881" s="45"/>
      <c r="K881" s="45"/>
      <c r="L881" s="45"/>
      <c r="M881" s="45"/>
      <c r="N881" s="45"/>
      <c r="O881" s="45" t="s">
        <v>1768</v>
      </c>
      <c r="P881" s="20"/>
      <c r="Q881" s="20"/>
      <c r="R881" s="20"/>
      <c r="S881" s="20"/>
      <c r="T881" s="20"/>
    </row>
    <row r="882" spans="1:20" x14ac:dyDescent="0.25">
      <c r="A882" s="3">
        <v>41782</v>
      </c>
      <c r="B882" s="36">
        <v>85</v>
      </c>
      <c r="C882" t="s">
        <v>1820</v>
      </c>
      <c r="D882">
        <v>3.06</v>
      </c>
      <c r="E882" s="18">
        <v>306</v>
      </c>
      <c r="G882" t="s">
        <v>1821</v>
      </c>
      <c r="H882" s="18">
        <v>306</v>
      </c>
      <c r="I882" s="3">
        <v>41782</v>
      </c>
      <c r="J882"/>
      <c r="L882"/>
      <c r="M882"/>
      <c r="N882" s="20"/>
      <c r="O882" t="s">
        <v>1822</v>
      </c>
      <c r="P882" s="20"/>
      <c r="Q882" s="20"/>
      <c r="R882" s="20"/>
      <c r="S882" s="20"/>
      <c r="T882" s="20"/>
    </row>
    <row r="883" spans="1:20" x14ac:dyDescent="0.25">
      <c r="A883" s="3">
        <v>41782</v>
      </c>
      <c r="B883" s="36">
        <v>85</v>
      </c>
      <c r="C883" t="s">
        <v>1820</v>
      </c>
      <c r="D883">
        <v>7.5</v>
      </c>
      <c r="E883" s="18">
        <v>750</v>
      </c>
      <c r="G883" t="s">
        <v>1823</v>
      </c>
      <c r="H883" s="18">
        <v>750</v>
      </c>
      <c r="I883" s="3">
        <v>41782</v>
      </c>
      <c r="J883"/>
      <c r="L883"/>
      <c r="M883"/>
      <c r="N883" s="20"/>
      <c r="O883"/>
      <c r="P883" s="20"/>
      <c r="Q883" s="20"/>
      <c r="R883" s="20"/>
      <c r="S883" s="20"/>
      <c r="T883" s="20"/>
    </row>
    <row r="884" spans="1:20" x14ac:dyDescent="0.25">
      <c r="A884" s="3">
        <v>41789</v>
      </c>
      <c r="B884" s="36">
        <v>85</v>
      </c>
      <c r="C884" t="s">
        <v>1820</v>
      </c>
      <c r="E884" s="18">
        <v>494</v>
      </c>
      <c r="G884" t="s">
        <v>1821</v>
      </c>
      <c r="H884" s="18">
        <v>494</v>
      </c>
      <c r="I884" s="3">
        <v>41789</v>
      </c>
      <c r="J884"/>
      <c r="L884"/>
      <c r="M884"/>
      <c r="N884" s="20"/>
      <c r="O884" t="s">
        <v>1824</v>
      </c>
      <c r="P884" s="20"/>
      <c r="Q884" s="20"/>
      <c r="R884" s="20"/>
      <c r="S884" s="20"/>
      <c r="T884" s="20"/>
    </row>
    <row r="885" spans="1:20" x14ac:dyDescent="0.25">
      <c r="A885" s="3">
        <v>41796</v>
      </c>
      <c r="B885" s="36">
        <v>85</v>
      </c>
      <c r="C885" t="s">
        <v>1825</v>
      </c>
      <c r="D885">
        <v>6.375</v>
      </c>
      <c r="E885" s="18">
        <v>637.5</v>
      </c>
      <c r="G885" t="s">
        <v>1826</v>
      </c>
      <c r="H885" s="18">
        <v>637.5</v>
      </c>
      <c r="I885" s="3">
        <v>41796</v>
      </c>
      <c r="J885"/>
      <c r="L885"/>
      <c r="M885"/>
      <c r="N885" s="20"/>
      <c r="O885"/>
      <c r="P885" s="20"/>
      <c r="Q885" s="20"/>
      <c r="R885" s="20"/>
      <c r="S885" s="20"/>
      <c r="T885" s="20"/>
    </row>
    <row r="886" spans="1:20" x14ac:dyDescent="0.25">
      <c r="A886" s="3">
        <v>41810</v>
      </c>
      <c r="B886" s="36">
        <v>85</v>
      </c>
      <c r="C886" t="s">
        <v>1827</v>
      </c>
      <c r="D886">
        <v>8.75</v>
      </c>
      <c r="E886" s="18">
        <v>1093.75</v>
      </c>
      <c r="G886" t="s">
        <v>1828</v>
      </c>
      <c r="H886" s="18">
        <v>1093.75</v>
      </c>
      <c r="I886" s="3">
        <v>41810</v>
      </c>
      <c r="J886"/>
      <c r="L886"/>
      <c r="M886"/>
      <c r="N886" s="20"/>
      <c r="O886" t="s">
        <v>1169</v>
      </c>
      <c r="P886" s="20"/>
      <c r="Q886" s="20"/>
      <c r="R886" s="20"/>
      <c r="S886" s="20"/>
      <c r="T886" s="20"/>
    </row>
    <row r="887" spans="1:20" x14ac:dyDescent="0.25">
      <c r="A887" s="3">
        <v>41810</v>
      </c>
      <c r="B887" s="36">
        <v>85</v>
      </c>
      <c r="C887" t="s">
        <v>1829</v>
      </c>
      <c r="D887">
        <v>4.5</v>
      </c>
      <c r="E887" s="18">
        <v>562.5</v>
      </c>
      <c r="G887" t="s">
        <v>1830</v>
      </c>
      <c r="H887" s="18">
        <v>562.5</v>
      </c>
      <c r="I887" s="3">
        <v>41810</v>
      </c>
      <c r="J887"/>
      <c r="L887"/>
      <c r="M887"/>
      <c r="N887" s="20"/>
      <c r="O887" t="s">
        <v>1169</v>
      </c>
      <c r="P887" s="20"/>
      <c r="Q887" s="20"/>
      <c r="R887" s="20"/>
      <c r="S887" s="20"/>
      <c r="T887" s="20"/>
    </row>
    <row r="888" spans="1:20" x14ac:dyDescent="0.25">
      <c r="A888" s="3">
        <v>41810</v>
      </c>
      <c r="B888" s="36">
        <v>85</v>
      </c>
      <c r="C888" t="s">
        <v>1831</v>
      </c>
      <c r="E888" s="18">
        <v>-171.42857142857144</v>
      </c>
      <c r="G888" t="s">
        <v>442</v>
      </c>
      <c r="H888" s="18" t="s">
        <v>442</v>
      </c>
      <c r="I888" s="3" t="s">
        <v>442</v>
      </c>
      <c r="J888"/>
      <c r="L888"/>
      <c r="M888"/>
      <c r="N888" s="20"/>
      <c r="O888" t="s">
        <v>1832</v>
      </c>
      <c r="P888" s="20"/>
      <c r="Q888" s="20" t="s">
        <v>401</v>
      </c>
      <c r="R888" s="20"/>
      <c r="S888" s="20"/>
      <c r="T888" s="20"/>
    </row>
    <row r="889" spans="1:20" x14ac:dyDescent="0.25">
      <c r="A889" s="3">
        <v>41810</v>
      </c>
      <c r="B889" s="36">
        <v>85</v>
      </c>
      <c r="C889" t="s">
        <v>1833</v>
      </c>
      <c r="D889">
        <v>4.5</v>
      </c>
      <c r="E889" s="18">
        <v>562.5</v>
      </c>
      <c r="G889" t="s">
        <v>1834</v>
      </c>
      <c r="H889" s="18">
        <v>562.5</v>
      </c>
      <c r="I889" s="3">
        <v>41810</v>
      </c>
      <c r="J889"/>
      <c r="L889"/>
      <c r="M889"/>
      <c r="N889" s="20"/>
      <c r="O889" t="s">
        <v>1169</v>
      </c>
      <c r="P889" s="20"/>
      <c r="Q889" s="20"/>
      <c r="R889" s="20"/>
      <c r="S889" s="20"/>
      <c r="T889" s="20"/>
    </row>
    <row r="890" spans="1:20" x14ac:dyDescent="0.25">
      <c r="A890" s="3">
        <v>41817</v>
      </c>
      <c r="B890" s="36">
        <v>85</v>
      </c>
      <c r="C890" t="s">
        <v>1829</v>
      </c>
      <c r="D890">
        <v>4.5</v>
      </c>
      <c r="E890" s="18">
        <v>-562.5</v>
      </c>
      <c r="G890" t="s">
        <v>1830</v>
      </c>
      <c r="H890" s="18" t="s">
        <v>442</v>
      </c>
      <c r="I890" s="3" t="s">
        <v>442</v>
      </c>
      <c r="J890"/>
      <c r="L890"/>
      <c r="M890"/>
      <c r="N890" s="20"/>
      <c r="O890" t="s">
        <v>1835</v>
      </c>
      <c r="P890" s="20"/>
      <c r="Q890" s="20"/>
      <c r="R890" s="20"/>
      <c r="S890" s="20"/>
      <c r="T890" s="20"/>
    </row>
    <row r="891" spans="1:20" x14ac:dyDescent="0.25">
      <c r="A891" s="3">
        <v>41817</v>
      </c>
      <c r="B891" s="36">
        <v>85</v>
      </c>
      <c r="C891" t="s">
        <v>1836</v>
      </c>
      <c r="D891">
        <v>7.25</v>
      </c>
      <c r="E891" s="18">
        <v>725</v>
      </c>
      <c r="G891" t="s">
        <v>1837</v>
      </c>
      <c r="H891" s="18">
        <v>725</v>
      </c>
      <c r="I891" s="3">
        <v>41817</v>
      </c>
      <c r="J891"/>
      <c r="L891"/>
      <c r="M891"/>
      <c r="N891" s="20"/>
      <c r="O891" t="s">
        <v>931</v>
      </c>
      <c r="P891" s="20"/>
      <c r="Q891" s="20"/>
      <c r="R891" s="20"/>
      <c r="S891" s="20"/>
      <c r="T891" s="20"/>
    </row>
    <row r="892" spans="1:20" x14ac:dyDescent="0.25">
      <c r="A892" s="3">
        <v>41817</v>
      </c>
      <c r="B892" s="36">
        <v>85</v>
      </c>
      <c r="C892" t="s">
        <v>1838</v>
      </c>
      <c r="E892" s="18">
        <v>200</v>
      </c>
      <c r="G892" t="s">
        <v>442</v>
      </c>
      <c r="H892" s="18" t="s">
        <v>442</v>
      </c>
      <c r="I892" s="3" t="s">
        <v>442</v>
      </c>
      <c r="J892"/>
      <c r="L892"/>
      <c r="M892"/>
      <c r="N892" s="20"/>
      <c r="O892"/>
      <c r="P892" s="20"/>
      <c r="Q892" s="20"/>
      <c r="R892" s="20"/>
      <c r="S892" s="20" t="s">
        <v>401</v>
      </c>
      <c r="T892" s="20"/>
    </row>
    <row r="893" spans="1:20" x14ac:dyDescent="0.25">
      <c r="A893" s="3">
        <v>41817</v>
      </c>
      <c r="B893" s="36">
        <v>85</v>
      </c>
      <c r="C893" t="s">
        <v>1574</v>
      </c>
      <c r="E893" s="18">
        <v>-100</v>
      </c>
      <c r="G893" t="s">
        <v>442</v>
      </c>
      <c r="H893" s="18" t="s">
        <v>442</v>
      </c>
      <c r="I893" s="3" t="s">
        <v>442</v>
      </c>
      <c r="J893"/>
      <c r="L893"/>
      <c r="M893"/>
      <c r="N893" s="20"/>
      <c r="O893" t="s">
        <v>1839</v>
      </c>
      <c r="P893" s="20"/>
      <c r="Q893" s="20" t="s">
        <v>401</v>
      </c>
      <c r="R893" s="20"/>
      <c r="S893" s="20"/>
      <c r="T893" s="20"/>
    </row>
    <row r="894" spans="1:20" x14ac:dyDescent="0.25">
      <c r="A894" s="3">
        <v>41817</v>
      </c>
      <c r="B894" s="36">
        <v>85</v>
      </c>
      <c r="C894" t="s">
        <v>1840</v>
      </c>
      <c r="D894">
        <v>5.75</v>
      </c>
      <c r="E894" s="18">
        <v>575</v>
      </c>
      <c r="G894" t="s">
        <v>1841</v>
      </c>
      <c r="H894" s="18">
        <v>575</v>
      </c>
      <c r="I894" s="3">
        <v>41817</v>
      </c>
      <c r="J894"/>
      <c r="L894"/>
      <c r="M894"/>
      <c r="N894" s="20"/>
      <c r="O894" t="s">
        <v>931</v>
      </c>
      <c r="P894" s="20"/>
      <c r="Q894" s="20"/>
      <c r="R894" s="20"/>
      <c r="S894" s="20"/>
      <c r="T894" s="20"/>
    </row>
    <row r="895" spans="1:20" x14ac:dyDescent="0.25">
      <c r="A895" s="3">
        <v>41817</v>
      </c>
      <c r="B895" s="36">
        <v>85</v>
      </c>
      <c r="C895" t="s">
        <v>1842</v>
      </c>
      <c r="D895">
        <v>7</v>
      </c>
      <c r="E895" s="18">
        <v>700</v>
      </c>
      <c r="G895" t="s">
        <v>1843</v>
      </c>
      <c r="H895" s="18">
        <v>700</v>
      </c>
      <c r="I895" s="3">
        <v>41817</v>
      </c>
      <c r="J895"/>
      <c r="L895"/>
      <c r="M895"/>
      <c r="N895" s="20"/>
      <c r="O895" t="s">
        <v>931</v>
      </c>
      <c r="P895" s="20"/>
      <c r="Q895" s="20"/>
      <c r="R895" s="20"/>
      <c r="S895" s="20"/>
      <c r="T895" s="20"/>
    </row>
    <row r="896" spans="1:20" x14ac:dyDescent="0.25">
      <c r="A896" s="3">
        <v>41831</v>
      </c>
      <c r="B896" s="36">
        <v>85</v>
      </c>
      <c r="C896" t="s">
        <v>1836</v>
      </c>
      <c r="D896">
        <v>7.25</v>
      </c>
      <c r="E896" s="18">
        <v>181.25</v>
      </c>
      <c r="G896" t="s">
        <v>1837</v>
      </c>
      <c r="H896" s="18">
        <v>181.25</v>
      </c>
      <c r="I896" s="3">
        <v>41831</v>
      </c>
      <c r="J896"/>
      <c r="L896"/>
      <c r="M896"/>
      <c r="N896" s="20"/>
      <c r="O896" t="s">
        <v>1844</v>
      </c>
      <c r="P896" s="20"/>
      <c r="Q896" s="20"/>
      <c r="R896" s="20"/>
      <c r="S896" s="20"/>
      <c r="T896" s="20"/>
    </row>
    <row r="897" spans="1:20" x14ac:dyDescent="0.25">
      <c r="A897" s="3">
        <v>41831</v>
      </c>
      <c r="B897" s="36">
        <v>85</v>
      </c>
      <c r="C897" t="s">
        <v>1845</v>
      </c>
      <c r="E897" s="18">
        <v>-100</v>
      </c>
      <c r="G897" t="s">
        <v>442</v>
      </c>
      <c r="H897" s="18" t="s">
        <v>442</v>
      </c>
      <c r="I897" s="3" t="s">
        <v>442</v>
      </c>
      <c r="J897"/>
      <c r="L897"/>
      <c r="M897"/>
      <c r="N897" s="20"/>
      <c r="O897" t="s">
        <v>1846</v>
      </c>
      <c r="P897" s="20"/>
      <c r="Q897" s="20" t="s">
        <v>401</v>
      </c>
      <c r="R897" s="20"/>
      <c r="S897" s="20"/>
      <c r="T897" s="20"/>
    </row>
    <row r="898" spans="1:20" x14ac:dyDescent="0.25">
      <c r="A898" s="3">
        <v>41831</v>
      </c>
      <c r="B898" s="36">
        <v>85</v>
      </c>
      <c r="C898" t="s">
        <v>1840</v>
      </c>
      <c r="D898">
        <v>5.75</v>
      </c>
      <c r="E898" s="18">
        <v>143.75</v>
      </c>
      <c r="G898" t="s">
        <v>1841</v>
      </c>
      <c r="H898" s="18">
        <v>143.75</v>
      </c>
      <c r="I898" s="3">
        <v>41831</v>
      </c>
      <c r="J898"/>
      <c r="L898"/>
      <c r="M898"/>
      <c r="N898" s="20"/>
      <c r="O898" t="s">
        <v>1847</v>
      </c>
      <c r="P898" s="20"/>
      <c r="Q898" s="20"/>
      <c r="R898" s="20"/>
      <c r="S898" s="20"/>
      <c r="T898" s="20"/>
    </row>
    <row r="899" spans="1:20" x14ac:dyDescent="0.25">
      <c r="A899" s="3">
        <v>41831</v>
      </c>
      <c r="B899" s="36">
        <v>85</v>
      </c>
      <c r="C899" t="s">
        <v>1842</v>
      </c>
      <c r="D899">
        <v>7</v>
      </c>
      <c r="E899" s="18">
        <v>175</v>
      </c>
      <c r="G899" t="s">
        <v>1843</v>
      </c>
      <c r="H899" s="18">
        <v>175</v>
      </c>
      <c r="I899" s="3">
        <v>41831</v>
      </c>
      <c r="J899"/>
      <c r="L899"/>
      <c r="M899"/>
      <c r="N899" s="20"/>
      <c r="O899" t="s">
        <v>1848</v>
      </c>
      <c r="P899" s="20"/>
      <c r="Q899" s="20"/>
      <c r="R899" s="20"/>
      <c r="S899" s="20"/>
      <c r="T899" s="20"/>
    </row>
    <row r="900" spans="1:20" x14ac:dyDescent="0.25">
      <c r="A900" s="3">
        <v>41838</v>
      </c>
      <c r="B900" s="36">
        <v>85</v>
      </c>
      <c r="C900" t="s">
        <v>1849</v>
      </c>
      <c r="D900">
        <v>6.12</v>
      </c>
      <c r="E900" s="18">
        <v>765</v>
      </c>
      <c r="G900" t="s">
        <v>1850</v>
      </c>
      <c r="H900" s="18">
        <v>765</v>
      </c>
      <c r="I900" s="3">
        <v>41838</v>
      </c>
      <c r="J900"/>
      <c r="L900"/>
      <c r="M900"/>
      <c r="N900" s="20"/>
      <c r="O900" t="s">
        <v>931</v>
      </c>
      <c r="P900" s="20"/>
      <c r="Q900" s="20"/>
      <c r="R900" s="20"/>
      <c r="S900" s="20"/>
      <c r="T900" s="20"/>
    </row>
    <row r="901" spans="1:20" x14ac:dyDescent="0.25">
      <c r="A901" s="3">
        <v>41838</v>
      </c>
      <c r="B901" s="36">
        <v>85</v>
      </c>
      <c r="C901" t="s">
        <v>1482</v>
      </c>
      <c r="E901" s="18">
        <v>-100</v>
      </c>
      <c r="G901" t="s">
        <v>442</v>
      </c>
      <c r="H901" s="18" t="s">
        <v>442</v>
      </c>
      <c r="I901" s="3" t="s">
        <v>442</v>
      </c>
      <c r="J901"/>
      <c r="L901"/>
      <c r="M901"/>
      <c r="N901" s="20"/>
      <c r="O901" t="s">
        <v>1219</v>
      </c>
      <c r="P901" s="20"/>
      <c r="Q901" s="20" t="s">
        <v>401</v>
      </c>
      <c r="R901" s="20"/>
      <c r="S901" s="20"/>
      <c r="T901" s="20"/>
    </row>
    <row r="902" spans="1:20" x14ac:dyDescent="0.25">
      <c r="A902" s="3">
        <v>41838</v>
      </c>
      <c r="B902" s="36">
        <v>85</v>
      </c>
      <c r="C902" t="s">
        <v>1575</v>
      </c>
      <c r="E902" s="18">
        <v>-100</v>
      </c>
      <c r="G902" t="s">
        <v>442</v>
      </c>
      <c r="H902" s="18" t="s">
        <v>442</v>
      </c>
      <c r="I902" s="3" t="s">
        <v>442</v>
      </c>
      <c r="J902"/>
      <c r="L902"/>
      <c r="M902"/>
      <c r="N902" s="20"/>
      <c r="O902" t="s">
        <v>1851</v>
      </c>
      <c r="P902" s="20"/>
      <c r="Q902" s="20" t="s">
        <v>401</v>
      </c>
      <c r="R902" s="20"/>
      <c r="S902" s="20"/>
      <c r="T902" s="20"/>
    </row>
    <row r="903" spans="1:20" x14ac:dyDescent="0.25">
      <c r="A903" s="3">
        <v>41859</v>
      </c>
      <c r="B903" s="36">
        <v>85</v>
      </c>
      <c r="C903" t="s">
        <v>1818</v>
      </c>
      <c r="D903">
        <v>8.25</v>
      </c>
      <c r="E903" s="18">
        <v>-825</v>
      </c>
      <c r="G903" t="s">
        <v>1819</v>
      </c>
      <c r="H903" s="18" t="s">
        <v>442</v>
      </c>
      <c r="I903" s="3" t="s">
        <v>442</v>
      </c>
      <c r="J903"/>
      <c r="L903"/>
      <c r="M903"/>
      <c r="N903" s="20"/>
      <c r="O903" t="s">
        <v>947</v>
      </c>
      <c r="P903" s="20"/>
      <c r="Q903" s="20"/>
      <c r="R903" s="20"/>
      <c r="S903" s="20"/>
      <c r="T903" s="20"/>
    </row>
    <row r="904" spans="1:20" x14ac:dyDescent="0.25">
      <c r="A904" s="3">
        <v>41859</v>
      </c>
      <c r="B904" s="36">
        <v>85</v>
      </c>
      <c r="C904" t="s">
        <v>1108</v>
      </c>
      <c r="D904" t="s">
        <v>442</v>
      </c>
      <c r="E904" s="18">
        <v>-150</v>
      </c>
      <c r="F904" t="s">
        <v>891</v>
      </c>
      <c r="G904" t="s">
        <v>442</v>
      </c>
      <c r="H904" s="18" t="s">
        <v>442</v>
      </c>
      <c r="I904" s="3" t="s">
        <v>442</v>
      </c>
      <c r="J904"/>
      <c r="L904"/>
      <c r="M904"/>
      <c r="N904" s="20"/>
      <c r="O904" t="s">
        <v>1852</v>
      </c>
      <c r="P904" s="20"/>
      <c r="Q904" s="20" t="s">
        <v>401</v>
      </c>
      <c r="R904" s="20"/>
      <c r="S904" s="20"/>
      <c r="T904" s="20"/>
    </row>
    <row r="905" spans="1:20" x14ac:dyDescent="0.25">
      <c r="A905" s="3">
        <v>41859</v>
      </c>
      <c r="B905" s="36">
        <v>85</v>
      </c>
      <c r="C905" t="s">
        <v>1483</v>
      </c>
      <c r="E905" s="18">
        <v>-100</v>
      </c>
      <c r="G905" t="s">
        <v>442</v>
      </c>
      <c r="H905" s="18" t="s">
        <v>442</v>
      </c>
      <c r="I905" s="3" t="s">
        <v>442</v>
      </c>
      <c r="J905"/>
      <c r="L905"/>
      <c r="M905"/>
      <c r="N905" s="20"/>
      <c r="O905" t="s">
        <v>1228</v>
      </c>
      <c r="P905" s="20"/>
      <c r="Q905" s="20" t="s">
        <v>401</v>
      </c>
      <c r="R905" s="20"/>
      <c r="S905" s="20"/>
      <c r="T905" s="20"/>
    </row>
    <row r="906" spans="1:20" x14ac:dyDescent="0.25">
      <c r="A906" s="3">
        <v>41859</v>
      </c>
      <c r="B906" s="36">
        <v>85</v>
      </c>
      <c r="C906" t="s">
        <v>1237</v>
      </c>
      <c r="E906" s="18">
        <v>-100</v>
      </c>
      <c r="F906" t="s">
        <v>1484</v>
      </c>
      <c r="G906" t="s">
        <v>442</v>
      </c>
      <c r="H906" s="18" t="s">
        <v>442</v>
      </c>
      <c r="I906" s="3" t="s">
        <v>442</v>
      </c>
      <c r="J906"/>
      <c r="L906"/>
      <c r="M906"/>
      <c r="N906" s="20"/>
      <c r="O906" t="s">
        <v>1238</v>
      </c>
      <c r="P906" s="20"/>
      <c r="Q906" s="20" t="s">
        <v>401</v>
      </c>
      <c r="R906" s="20"/>
      <c r="S906" s="20"/>
      <c r="T906" s="20"/>
    </row>
    <row r="907" spans="1:20" x14ac:dyDescent="0.25">
      <c r="A907" s="3">
        <v>41859</v>
      </c>
      <c r="B907" s="36">
        <v>85</v>
      </c>
      <c r="C907" t="s">
        <v>1853</v>
      </c>
      <c r="D907">
        <v>12.24</v>
      </c>
      <c r="E907" s="18">
        <v>1530</v>
      </c>
      <c r="F907" t="s">
        <v>889</v>
      </c>
      <c r="G907" t="s">
        <v>1854</v>
      </c>
      <c r="H907" s="18">
        <v>1530</v>
      </c>
      <c r="I907" s="3">
        <v>41859</v>
      </c>
      <c r="J907"/>
      <c r="L907"/>
      <c r="M907"/>
      <c r="N907" s="20"/>
      <c r="O907"/>
      <c r="P907" s="20"/>
      <c r="Q907" s="20"/>
      <c r="R907" s="20"/>
      <c r="S907" s="20"/>
      <c r="T907" s="20"/>
    </row>
    <row r="908" spans="1:20" x14ac:dyDescent="0.25">
      <c r="A908" s="3">
        <v>41866</v>
      </c>
      <c r="B908" s="36">
        <v>85</v>
      </c>
      <c r="C908" t="s">
        <v>954</v>
      </c>
      <c r="E908" s="18">
        <v>4243.6000000000004</v>
      </c>
      <c r="G908" t="s">
        <v>442</v>
      </c>
      <c r="H908" s="18" t="s">
        <v>442</v>
      </c>
      <c r="I908" s="3" t="s">
        <v>442</v>
      </c>
      <c r="J908"/>
      <c r="L908"/>
      <c r="M908"/>
      <c r="N908" s="20" t="s">
        <v>401</v>
      </c>
      <c r="O908"/>
      <c r="P908" s="20"/>
      <c r="Q908" s="20"/>
      <c r="R908" s="20"/>
      <c r="S908" s="20"/>
      <c r="T908" s="20"/>
    </row>
    <row r="909" spans="1:20" x14ac:dyDescent="0.25">
      <c r="A909" s="3">
        <v>41886</v>
      </c>
      <c r="B909" s="36">
        <v>85</v>
      </c>
      <c r="C909" t="s">
        <v>1855</v>
      </c>
      <c r="D909">
        <v>12</v>
      </c>
      <c r="E909" s="18">
        <v>1500</v>
      </c>
      <c r="F909" t="s">
        <v>889</v>
      </c>
      <c r="G909" t="s">
        <v>1856</v>
      </c>
      <c r="H909" s="18">
        <v>1500</v>
      </c>
      <c r="I909" s="3">
        <v>41886</v>
      </c>
      <c r="J909"/>
      <c r="L909"/>
      <c r="M909"/>
      <c r="N909" s="20"/>
      <c r="O909"/>
      <c r="P909" s="20"/>
      <c r="Q909" s="20"/>
      <c r="R909" s="20"/>
      <c r="S909" s="20"/>
      <c r="T909" s="20"/>
    </row>
    <row r="910" spans="1:20" x14ac:dyDescent="0.25">
      <c r="A910" s="3">
        <v>41886</v>
      </c>
      <c r="B910" s="36">
        <v>85</v>
      </c>
      <c r="C910" t="s">
        <v>1480</v>
      </c>
      <c r="E910" s="18">
        <v>-150</v>
      </c>
      <c r="F910" t="s">
        <v>891</v>
      </c>
      <c r="G910" t="s">
        <v>442</v>
      </c>
      <c r="H910" s="18" t="s">
        <v>442</v>
      </c>
      <c r="I910" s="3" t="s">
        <v>442</v>
      </c>
      <c r="J910"/>
      <c r="L910"/>
      <c r="M910"/>
      <c r="N910" s="20"/>
      <c r="O910" t="s">
        <v>1481</v>
      </c>
      <c r="P910" s="20"/>
      <c r="Q910" s="20" t="s">
        <v>401</v>
      </c>
      <c r="R910" s="20"/>
      <c r="S910" s="20"/>
      <c r="T910" s="20"/>
    </row>
    <row r="911" spans="1:20" x14ac:dyDescent="0.25">
      <c r="A911" s="3">
        <v>41886</v>
      </c>
      <c r="B911" s="36">
        <v>85</v>
      </c>
      <c r="C911" t="s">
        <v>1106</v>
      </c>
      <c r="E911" s="18">
        <v>-150</v>
      </c>
      <c r="F911" t="s">
        <v>891</v>
      </c>
      <c r="G911" t="s">
        <v>442</v>
      </c>
      <c r="H911" s="18" t="s">
        <v>442</v>
      </c>
      <c r="I911" s="3" t="s">
        <v>442</v>
      </c>
      <c r="J911"/>
      <c r="L911"/>
      <c r="M911"/>
      <c r="N911" s="20"/>
      <c r="O911" t="s">
        <v>1107</v>
      </c>
      <c r="P911" s="20"/>
      <c r="Q911" s="20" t="s">
        <v>401</v>
      </c>
      <c r="R911" s="20"/>
      <c r="S911" s="20"/>
      <c r="T911" s="20"/>
    </row>
    <row r="912" spans="1:20" x14ac:dyDescent="0.25">
      <c r="A912" s="3">
        <v>41886</v>
      </c>
      <c r="B912" s="36">
        <v>85</v>
      </c>
      <c r="C912" t="s">
        <v>1842</v>
      </c>
      <c r="D912">
        <v>7.14</v>
      </c>
      <c r="E912" s="18">
        <v>-875</v>
      </c>
      <c r="F912" t="s">
        <v>889</v>
      </c>
      <c r="G912" t="s">
        <v>1843</v>
      </c>
      <c r="H912" s="18" t="s">
        <v>442</v>
      </c>
      <c r="I912" s="3" t="s">
        <v>442</v>
      </c>
      <c r="J912"/>
      <c r="L912"/>
      <c r="M912"/>
      <c r="N912" s="20"/>
      <c r="O912"/>
      <c r="P912" s="20"/>
      <c r="Q912" s="20"/>
      <c r="R912" s="20"/>
      <c r="S912" s="20"/>
      <c r="T912" s="20"/>
    </row>
    <row r="913" spans="1:20" x14ac:dyDescent="0.25">
      <c r="A913" s="3">
        <v>41887</v>
      </c>
      <c r="B913" s="36">
        <v>85</v>
      </c>
      <c r="C913" t="s">
        <v>1857</v>
      </c>
      <c r="D913">
        <v>9.75</v>
      </c>
      <c r="E913" s="18">
        <v>1218.75</v>
      </c>
      <c r="F913" t="s">
        <v>889</v>
      </c>
      <c r="G913" t="s">
        <v>1858</v>
      </c>
      <c r="H913" s="18">
        <v>1218.75</v>
      </c>
      <c r="I913" s="3">
        <v>41887</v>
      </c>
      <c r="J913"/>
      <c r="L913"/>
      <c r="M913"/>
      <c r="N913" s="20"/>
      <c r="O913"/>
      <c r="P913" s="20"/>
      <c r="Q913" s="20"/>
      <c r="R913" s="20"/>
      <c r="S913" s="20"/>
      <c r="T913" s="20"/>
    </row>
    <row r="914" spans="1:20" x14ac:dyDescent="0.25">
      <c r="A914" s="3">
        <v>41894</v>
      </c>
      <c r="B914" s="36">
        <v>85</v>
      </c>
      <c r="C914" t="s">
        <v>1857</v>
      </c>
      <c r="D914">
        <v>9.75</v>
      </c>
      <c r="E914" s="18">
        <v>1218.75</v>
      </c>
      <c r="F914" t="s">
        <v>889</v>
      </c>
      <c r="G914" t="s">
        <v>1858</v>
      </c>
      <c r="H914" s="18">
        <v>1218.75</v>
      </c>
      <c r="I914" s="3">
        <v>41894</v>
      </c>
      <c r="J914"/>
      <c r="L914"/>
      <c r="M914"/>
      <c r="N914" s="20"/>
      <c r="O914"/>
      <c r="P914" s="20"/>
      <c r="Q914" s="20"/>
      <c r="R914" s="20"/>
      <c r="S914" s="20"/>
      <c r="T914" s="20"/>
    </row>
    <row r="915" spans="1:20" x14ac:dyDescent="0.25">
      <c r="A915" s="3">
        <v>41901</v>
      </c>
      <c r="B915" s="36">
        <v>85</v>
      </c>
      <c r="C915" t="s">
        <v>1098</v>
      </c>
      <c r="E915" s="18">
        <v>4913.3999999999996</v>
      </c>
      <c r="F915" t="s">
        <v>888</v>
      </c>
      <c r="G915" t="s">
        <v>442</v>
      </c>
      <c r="H915" s="18" t="s">
        <v>442</v>
      </c>
      <c r="I915" s="3" t="s">
        <v>442</v>
      </c>
      <c r="J915"/>
      <c r="L915"/>
      <c r="M915"/>
      <c r="N915" s="20" t="s">
        <v>401</v>
      </c>
      <c r="O915"/>
      <c r="P915" s="20"/>
      <c r="Q915" s="20"/>
      <c r="R915" s="20"/>
      <c r="S915" s="20"/>
      <c r="T915" s="20"/>
    </row>
    <row r="916" spans="1:20" x14ac:dyDescent="0.25">
      <c r="A916" s="3">
        <v>41929</v>
      </c>
      <c r="B916" s="36">
        <v>85</v>
      </c>
      <c r="C916" t="s">
        <v>1825</v>
      </c>
      <c r="D916">
        <v>7.65</v>
      </c>
      <c r="E916" s="18">
        <v>1275</v>
      </c>
      <c r="G916" t="s">
        <v>1826</v>
      </c>
      <c r="H916" s="18">
        <v>1275</v>
      </c>
      <c r="I916" s="3">
        <v>41929</v>
      </c>
      <c r="J916"/>
      <c r="L916"/>
      <c r="M916"/>
      <c r="N916" s="20"/>
      <c r="O916" t="s">
        <v>1102</v>
      </c>
      <c r="P916" s="20"/>
      <c r="Q916" s="20"/>
      <c r="R916" s="20"/>
      <c r="S916" s="20"/>
      <c r="T916" s="20"/>
    </row>
    <row r="917" spans="1:20" x14ac:dyDescent="0.25">
      <c r="A917" s="3">
        <v>41929</v>
      </c>
      <c r="B917" s="36">
        <v>85</v>
      </c>
      <c r="C917" t="s">
        <v>1812</v>
      </c>
      <c r="D917">
        <v>6.5</v>
      </c>
      <c r="E917" s="18">
        <v>850</v>
      </c>
      <c r="G917" t="s">
        <v>1813</v>
      </c>
      <c r="H917" s="18">
        <v>850</v>
      </c>
      <c r="I917" s="3">
        <v>41929</v>
      </c>
      <c r="J917"/>
      <c r="L917"/>
      <c r="M917"/>
      <c r="N917" s="20"/>
      <c r="O917" t="s">
        <v>1102</v>
      </c>
      <c r="P917" s="20"/>
      <c r="Q917" s="20"/>
      <c r="R917" s="20"/>
      <c r="S917" s="20"/>
      <c r="T917" s="20"/>
    </row>
    <row r="918" spans="1:20" x14ac:dyDescent="0.25">
      <c r="A918" s="3">
        <v>41929</v>
      </c>
      <c r="B918" s="36">
        <v>85</v>
      </c>
      <c r="C918" t="s">
        <v>1836</v>
      </c>
      <c r="D918">
        <v>7.3949999999999996</v>
      </c>
      <c r="E918" s="18">
        <v>942.5</v>
      </c>
      <c r="G918" t="s">
        <v>1837</v>
      </c>
      <c r="H918" s="18">
        <v>942.5</v>
      </c>
      <c r="I918" s="3">
        <v>41929</v>
      </c>
      <c r="J918"/>
      <c r="L918"/>
      <c r="M918"/>
      <c r="N918" s="20"/>
      <c r="O918" t="s">
        <v>1102</v>
      </c>
      <c r="P918" s="20"/>
      <c r="Q918" s="20"/>
      <c r="R918" s="20"/>
      <c r="S918" s="20"/>
      <c r="T918" s="20"/>
    </row>
    <row r="919" spans="1:20" x14ac:dyDescent="0.25">
      <c r="A919" s="3">
        <v>41936</v>
      </c>
      <c r="B919" s="36">
        <v>85</v>
      </c>
      <c r="C919" t="s">
        <v>1855</v>
      </c>
      <c r="D919">
        <v>12</v>
      </c>
      <c r="E919" s="18">
        <v>-1500</v>
      </c>
      <c r="F919" t="s">
        <v>889</v>
      </c>
      <c r="G919" t="s">
        <v>1856</v>
      </c>
      <c r="H919" s="18" t="s">
        <v>442</v>
      </c>
      <c r="I919" s="3" t="s">
        <v>442</v>
      </c>
      <c r="J919"/>
      <c r="L919"/>
      <c r="M919"/>
      <c r="N919" s="20"/>
      <c r="O919"/>
      <c r="P919" s="20"/>
      <c r="Q919" s="20"/>
      <c r="R919" s="20"/>
      <c r="S919" s="20"/>
      <c r="T919" s="20"/>
    </row>
    <row r="920" spans="1:20" x14ac:dyDescent="0.25">
      <c r="A920" s="3">
        <v>41936</v>
      </c>
      <c r="B920" s="36">
        <v>85</v>
      </c>
      <c r="C920" t="s">
        <v>1859</v>
      </c>
      <c r="D920">
        <v>14.5</v>
      </c>
      <c r="E920" s="18">
        <v>1812.5</v>
      </c>
      <c r="F920" t="s">
        <v>889</v>
      </c>
      <c r="G920" t="s">
        <v>1860</v>
      </c>
      <c r="H920" s="18">
        <v>1812.5</v>
      </c>
      <c r="I920" s="3">
        <v>41936</v>
      </c>
      <c r="J920"/>
      <c r="L920"/>
      <c r="M920"/>
      <c r="N920" s="20"/>
      <c r="O920"/>
      <c r="P920" s="20"/>
      <c r="Q920" s="20"/>
      <c r="R920" s="20"/>
      <c r="S920" s="20"/>
      <c r="T920" s="20"/>
    </row>
    <row r="921" spans="1:20" x14ac:dyDescent="0.25">
      <c r="A921" s="3">
        <v>41936</v>
      </c>
      <c r="B921" s="36">
        <v>85</v>
      </c>
      <c r="C921" t="s">
        <v>1861</v>
      </c>
      <c r="D921">
        <v>11</v>
      </c>
      <c r="E921" s="18">
        <v>1375</v>
      </c>
      <c r="F921" t="s">
        <v>889</v>
      </c>
      <c r="G921" t="s">
        <v>1862</v>
      </c>
      <c r="H921" s="18">
        <v>1375</v>
      </c>
      <c r="I921" s="3">
        <v>41936</v>
      </c>
      <c r="J921"/>
      <c r="L921"/>
      <c r="M921"/>
      <c r="N921" s="20"/>
      <c r="O921"/>
      <c r="P921" s="20"/>
      <c r="Q921" s="20"/>
      <c r="R921" s="20"/>
      <c r="S921" s="20"/>
      <c r="T921" s="20"/>
    </row>
    <row r="922" spans="1:20" x14ac:dyDescent="0.25">
      <c r="A922" s="3">
        <v>41936</v>
      </c>
      <c r="B922" s="36">
        <v>85</v>
      </c>
      <c r="C922" t="s">
        <v>1853</v>
      </c>
      <c r="D922">
        <v>12.24</v>
      </c>
      <c r="E922" s="18">
        <v>-1530</v>
      </c>
      <c r="F922" t="s">
        <v>889</v>
      </c>
      <c r="G922" t="s">
        <v>1854</v>
      </c>
      <c r="H922" s="18" t="s">
        <v>442</v>
      </c>
      <c r="I922" s="3" t="s">
        <v>442</v>
      </c>
      <c r="J922"/>
      <c r="L922"/>
      <c r="M922"/>
      <c r="N922" s="20"/>
      <c r="O922"/>
      <c r="P922" s="20"/>
      <c r="Q922" s="20"/>
      <c r="R922" s="20"/>
      <c r="S922" s="20"/>
      <c r="T922" s="20"/>
    </row>
    <row r="923" spans="1:20" x14ac:dyDescent="0.25">
      <c r="A923" s="3">
        <v>41936</v>
      </c>
      <c r="B923" s="36">
        <v>85</v>
      </c>
      <c r="C923" t="s">
        <v>1863</v>
      </c>
      <c r="E923" s="18">
        <v>780</v>
      </c>
      <c r="F923" t="s">
        <v>889</v>
      </c>
      <c r="H923" s="18" t="s">
        <v>442</v>
      </c>
      <c r="I923" s="3" t="s">
        <v>442</v>
      </c>
      <c r="J923"/>
      <c r="L923"/>
      <c r="M923"/>
      <c r="N923" s="20" t="s">
        <v>401</v>
      </c>
      <c r="O923"/>
      <c r="P923" s="20"/>
      <c r="Q923" s="20"/>
      <c r="R923" s="20"/>
      <c r="S923" s="20"/>
      <c r="T923" s="20"/>
    </row>
    <row r="924" spans="1:20" x14ac:dyDescent="0.25">
      <c r="A924" s="3">
        <v>41936</v>
      </c>
      <c r="B924" s="36">
        <v>85</v>
      </c>
      <c r="C924" t="s">
        <v>960</v>
      </c>
      <c r="E924" s="18">
        <v>1581.6749999999997</v>
      </c>
      <c r="G924" t="s">
        <v>442</v>
      </c>
      <c r="H924" s="18" t="s">
        <v>442</v>
      </c>
      <c r="I924" s="3" t="s">
        <v>442</v>
      </c>
      <c r="J924"/>
      <c r="L924"/>
      <c r="M924"/>
      <c r="N924" s="20" t="s">
        <v>401</v>
      </c>
      <c r="O924"/>
      <c r="P924" s="20"/>
      <c r="Q924" s="20"/>
      <c r="R924" s="20"/>
      <c r="S924" s="20"/>
      <c r="T924" s="20"/>
    </row>
    <row r="925" spans="1:20" x14ac:dyDescent="0.25">
      <c r="A925" s="3">
        <v>41950</v>
      </c>
      <c r="B925" s="36">
        <v>85</v>
      </c>
      <c r="C925" t="s">
        <v>1853</v>
      </c>
      <c r="D925">
        <v>12.24</v>
      </c>
      <c r="E925" s="18">
        <v>1530</v>
      </c>
      <c r="F925" t="s">
        <v>889</v>
      </c>
      <c r="G925" t="s">
        <v>1854</v>
      </c>
      <c r="H925" s="18">
        <v>1530</v>
      </c>
      <c r="I925" s="3">
        <v>41950</v>
      </c>
      <c r="J925"/>
      <c r="L925"/>
      <c r="M925"/>
      <c r="N925" s="20"/>
      <c r="O925"/>
      <c r="P925" s="20"/>
      <c r="Q925" s="20"/>
      <c r="R925" s="20"/>
      <c r="S925" s="20"/>
      <c r="T925" s="20"/>
    </row>
    <row r="926" spans="1:20" x14ac:dyDescent="0.25">
      <c r="A926" s="3">
        <v>41957</v>
      </c>
      <c r="B926" s="36">
        <v>85</v>
      </c>
      <c r="C926" t="s">
        <v>1849</v>
      </c>
      <c r="D926">
        <v>6.12</v>
      </c>
      <c r="E926" s="18">
        <v>765</v>
      </c>
      <c r="F926" t="s">
        <v>889</v>
      </c>
      <c r="G926" t="s">
        <v>1850</v>
      </c>
      <c r="H926" s="18">
        <v>765</v>
      </c>
      <c r="I926" s="3">
        <v>41957</v>
      </c>
      <c r="J926"/>
      <c r="L926"/>
      <c r="M926"/>
      <c r="N926" s="20"/>
      <c r="O926" t="s">
        <v>959</v>
      </c>
      <c r="P926" s="20"/>
      <c r="Q926" s="20"/>
      <c r="R926" s="20"/>
      <c r="S926" s="20"/>
      <c r="T926" s="20"/>
    </row>
    <row r="927" spans="1:20" x14ac:dyDescent="0.25">
      <c r="A927" s="3">
        <v>41995</v>
      </c>
      <c r="B927" s="36">
        <v>85</v>
      </c>
      <c r="C927" t="s">
        <v>967</v>
      </c>
      <c r="E927" s="18">
        <v>396.38</v>
      </c>
      <c r="F927" t="s">
        <v>889</v>
      </c>
      <c r="G927" t="s">
        <v>442</v>
      </c>
      <c r="H927" s="18" t="s">
        <v>442</v>
      </c>
      <c r="I927" s="3" t="s">
        <v>442</v>
      </c>
      <c r="J927"/>
      <c r="L927"/>
      <c r="M927"/>
      <c r="N927" s="40" t="s">
        <v>401</v>
      </c>
      <c r="O927"/>
      <c r="P927" s="20"/>
      <c r="Q927" s="20"/>
      <c r="R927" s="20"/>
      <c r="S927" s="20"/>
      <c r="T927" s="20"/>
    </row>
    <row r="928" spans="1:20" x14ac:dyDescent="0.25">
      <c r="A928" s="3">
        <v>41999</v>
      </c>
      <c r="B928" s="36">
        <v>85</v>
      </c>
      <c r="C928" t="s">
        <v>1827</v>
      </c>
      <c r="D928">
        <v>4.335</v>
      </c>
      <c r="E928" s="18">
        <v>-10</v>
      </c>
      <c r="F928" t="s">
        <v>889</v>
      </c>
      <c r="G928" t="s">
        <v>1828</v>
      </c>
      <c r="H928" s="18" t="s">
        <v>442</v>
      </c>
      <c r="I928" s="3" t="s">
        <v>442</v>
      </c>
      <c r="J928"/>
      <c r="L928"/>
      <c r="M928"/>
      <c r="N928" s="20"/>
      <c r="O928" t="s">
        <v>959</v>
      </c>
      <c r="P928" s="20"/>
      <c r="Q928" s="20"/>
      <c r="R928" s="20"/>
      <c r="S928" s="20"/>
      <c r="T928" s="20"/>
    </row>
    <row r="929" spans="1:21" x14ac:dyDescent="0.25">
      <c r="A929" s="3">
        <v>41999</v>
      </c>
      <c r="B929" s="36">
        <v>85</v>
      </c>
      <c r="C929" t="s">
        <v>1859</v>
      </c>
      <c r="D929">
        <v>6.63</v>
      </c>
      <c r="E929" s="18">
        <v>-486.5</v>
      </c>
      <c r="F929" t="s">
        <v>889</v>
      </c>
      <c r="G929" t="s">
        <v>1860</v>
      </c>
      <c r="H929" s="18" t="s">
        <v>442</v>
      </c>
      <c r="I929" s="3" t="s">
        <v>442</v>
      </c>
      <c r="J929"/>
      <c r="L929"/>
      <c r="M929"/>
      <c r="N929" s="20"/>
      <c r="O929" t="s">
        <v>959</v>
      </c>
      <c r="P929" s="20"/>
      <c r="Q929" s="20"/>
      <c r="R929" s="20"/>
      <c r="S929" s="20"/>
      <c r="T929" s="20"/>
    </row>
    <row r="930" spans="1:21" x14ac:dyDescent="0.25">
      <c r="A930" s="3">
        <v>41999</v>
      </c>
      <c r="B930" s="36">
        <v>85</v>
      </c>
      <c r="C930" t="s">
        <v>1814</v>
      </c>
      <c r="D930">
        <v>7.14</v>
      </c>
      <c r="E930" s="18">
        <v>1360</v>
      </c>
      <c r="F930" t="s">
        <v>889</v>
      </c>
      <c r="G930" t="s">
        <v>1815</v>
      </c>
      <c r="H930" s="18">
        <v>1360</v>
      </c>
      <c r="I930" s="3">
        <v>41999</v>
      </c>
      <c r="J930"/>
      <c r="L930"/>
      <c r="M930"/>
      <c r="N930" s="20"/>
      <c r="O930" t="s">
        <v>959</v>
      </c>
      <c r="P930" s="20"/>
      <c r="Q930" s="20"/>
      <c r="R930" s="20"/>
      <c r="S930" s="20"/>
      <c r="T930" s="20"/>
    </row>
    <row r="931" spans="1:21" x14ac:dyDescent="0.25">
      <c r="A931" s="3">
        <v>41999</v>
      </c>
      <c r="B931" s="36">
        <v>85</v>
      </c>
      <c r="C931" t="s">
        <v>1139</v>
      </c>
      <c r="E931" s="18">
        <v>307.5</v>
      </c>
      <c r="F931" t="s">
        <v>889</v>
      </c>
      <c r="G931" t="s">
        <v>442</v>
      </c>
      <c r="H931" s="18" t="s">
        <v>442</v>
      </c>
      <c r="I931" s="3" t="s">
        <v>442</v>
      </c>
      <c r="J931"/>
      <c r="L931"/>
      <c r="M931"/>
      <c r="N931" s="40" t="s">
        <v>401</v>
      </c>
      <c r="O931"/>
      <c r="P931" s="20"/>
      <c r="Q931" s="20"/>
      <c r="R931" s="20"/>
      <c r="S931" s="20"/>
      <c r="T931" s="20"/>
    </row>
    <row r="932" spans="1:21" x14ac:dyDescent="0.25">
      <c r="A932" s="3">
        <v>41999</v>
      </c>
      <c r="B932" s="36">
        <v>85</v>
      </c>
      <c r="C932" t="s">
        <v>1816</v>
      </c>
      <c r="D932">
        <v>5.61</v>
      </c>
      <c r="E932" s="18">
        <v>-550</v>
      </c>
      <c r="F932" t="s">
        <v>889</v>
      </c>
      <c r="G932" t="s">
        <v>1817</v>
      </c>
      <c r="H932" s="18" t="s">
        <v>442</v>
      </c>
      <c r="I932" s="3" t="s">
        <v>442</v>
      </c>
      <c r="J932"/>
      <c r="L932"/>
      <c r="M932"/>
      <c r="N932" s="20"/>
      <c r="O932"/>
      <c r="P932" s="20"/>
      <c r="Q932" s="20"/>
      <c r="R932" s="20"/>
      <c r="S932" s="20"/>
      <c r="T932" s="20"/>
    </row>
    <row r="933" spans="1:21" x14ac:dyDescent="0.25">
      <c r="A933" s="3">
        <v>42004</v>
      </c>
      <c r="B933" s="36">
        <v>85</v>
      </c>
      <c r="C933" t="s">
        <v>1820</v>
      </c>
      <c r="D933">
        <v>7.3949999999999996</v>
      </c>
      <c r="E933" s="18">
        <v>366.25</v>
      </c>
      <c r="F933" t="s">
        <v>889</v>
      </c>
      <c r="G933" t="s">
        <v>1821</v>
      </c>
      <c r="H933" s="18">
        <v>366.25</v>
      </c>
      <c r="I933" s="3">
        <v>42004</v>
      </c>
      <c r="J933"/>
      <c r="L933"/>
      <c r="M933"/>
      <c r="N933" s="20"/>
      <c r="O933"/>
      <c r="P933" s="20"/>
      <c r="Q933" s="20"/>
      <c r="R933" s="20"/>
      <c r="S933" s="20"/>
      <c r="T933" s="20"/>
    </row>
    <row r="934" spans="1:21" x14ac:dyDescent="0.25">
      <c r="A934" s="3">
        <v>42004</v>
      </c>
      <c r="B934" s="36">
        <v>85</v>
      </c>
      <c r="C934" t="s">
        <v>1820</v>
      </c>
      <c r="D934">
        <v>8.16</v>
      </c>
      <c r="E934" s="18">
        <v>413.33333333333331</v>
      </c>
      <c r="F934" t="s">
        <v>889</v>
      </c>
      <c r="G934" t="s">
        <v>1823</v>
      </c>
      <c r="H934" s="18">
        <v>413.33333333333331</v>
      </c>
      <c r="I934" s="3">
        <v>42004</v>
      </c>
      <c r="J934"/>
      <c r="L934"/>
      <c r="M934"/>
      <c r="N934" s="20"/>
      <c r="O934"/>
      <c r="P934" s="20"/>
      <c r="Q934" s="20"/>
      <c r="R934" s="20"/>
      <c r="S934" s="20"/>
      <c r="T934" s="20"/>
    </row>
    <row r="935" spans="1:21" x14ac:dyDescent="0.25">
      <c r="A935" s="3">
        <v>42004</v>
      </c>
      <c r="B935" s="36">
        <v>85</v>
      </c>
      <c r="C935" t="s">
        <v>1857</v>
      </c>
      <c r="D935">
        <v>9.75</v>
      </c>
      <c r="E935" s="18">
        <v>-143.75</v>
      </c>
      <c r="F935" t="s">
        <v>889</v>
      </c>
      <c r="G935" t="s">
        <v>1858</v>
      </c>
      <c r="H935" s="18" t="s">
        <v>442</v>
      </c>
      <c r="I935" s="3" t="s">
        <v>442</v>
      </c>
      <c r="J935"/>
      <c r="L935"/>
      <c r="M935"/>
      <c r="N935" s="20"/>
      <c r="O935"/>
      <c r="P935" s="20"/>
      <c r="Q935" s="20"/>
      <c r="R935" s="20"/>
      <c r="S935" s="20"/>
      <c r="T935" s="20"/>
    </row>
    <row r="936" spans="1:21" x14ac:dyDescent="0.25">
      <c r="A936" s="3">
        <v>42004</v>
      </c>
      <c r="B936" s="36">
        <v>85</v>
      </c>
      <c r="C936" t="s">
        <v>1853</v>
      </c>
      <c r="D936">
        <v>12.24</v>
      </c>
      <c r="E936" s="18">
        <v>510</v>
      </c>
      <c r="F936" t="s">
        <v>889</v>
      </c>
      <c r="G936" t="s">
        <v>1854</v>
      </c>
      <c r="H936" s="18">
        <v>510</v>
      </c>
      <c r="I936" s="3">
        <v>42004</v>
      </c>
      <c r="J936"/>
      <c r="L936"/>
      <c r="M936"/>
      <c r="N936" s="20"/>
      <c r="O936"/>
      <c r="P936" s="20"/>
      <c r="Q936" s="20"/>
      <c r="R936" s="20"/>
      <c r="S936" s="20"/>
      <c r="T936" s="20"/>
    </row>
    <row r="937" spans="1:21" x14ac:dyDescent="0.25">
      <c r="A937" s="3">
        <v>42013</v>
      </c>
      <c r="B937" s="36">
        <v>85</v>
      </c>
      <c r="C937" t="s">
        <v>1827</v>
      </c>
      <c r="D937">
        <v>8.4149999999999991</v>
      </c>
      <c r="E937" s="18">
        <v>1020</v>
      </c>
      <c r="F937" t="s">
        <v>889</v>
      </c>
      <c r="G937" t="s">
        <v>1828</v>
      </c>
      <c r="H937" s="18">
        <v>1020</v>
      </c>
      <c r="I937" s="3">
        <v>42013</v>
      </c>
      <c r="J937"/>
      <c r="L937"/>
      <c r="M937"/>
      <c r="N937" s="20"/>
      <c r="O937"/>
      <c r="P937" s="20"/>
      <c r="Q937" s="20"/>
      <c r="R937" s="20"/>
      <c r="S937" s="20"/>
      <c r="T937" s="20"/>
    </row>
    <row r="938" spans="1:21" x14ac:dyDescent="0.25">
      <c r="A938" s="3">
        <v>42013</v>
      </c>
      <c r="B938" s="36">
        <v>85</v>
      </c>
      <c r="C938" t="s">
        <v>1859</v>
      </c>
      <c r="D938">
        <v>14.5</v>
      </c>
      <c r="E938" s="18">
        <v>2299</v>
      </c>
      <c r="F938" t="s">
        <v>889</v>
      </c>
      <c r="G938" t="s">
        <v>1860</v>
      </c>
      <c r="H938" s="18">
        <v>2299</v>
      </c>
      <c r="I938" s="3">
        <v>42013</v>
      </c>
      <c r="J938"/>
      <c r="L938"/>
      <c r="M938"/>
      <c r="N938" s="20"/>
      <c r="O938"/>
      <c r="P938" s="20"/>
      <c r="Q938" s="20"/>
      <c r="R938" s="20"/>
      <c r="S938" s="20"/>
      <c r="T938" s="20"/>
    </row>
    <row r="939" spans="1:21" x14ac:dyDescent="0.25">
      <c r="A939" s="3">
        <v>42013</v>
      </c>
      <c r="B939" s="36">
        <v>85</v>
      </c>
      <c r="C939" t="s">
        <v>1814</v>
      </c>
      <c r="D939">
        <v>4.8449999999999998</v>
      </c>
      <c r="E939" s="18">
        <v>-573.75</v>
      </c>
      <c r="F939" t="s">
        <v>889</v>
      </c>
      <c r="G939" t="s">
        <v>1815</v>
      </c>
      <c r="H939" s="18" t="s">
        <v>442</v>
      </c>
      <c r="I939" s="3" t="s">
        <v>442</v>
      </c>
      <c r="J939"/>
      <c r="L939"/>
      <c r="M939"/>
      <c r="N939" s="20"/>
      <c r="O939"/>
      <c r="P939" s="20"/>
      <c r="Q939" s="20"/>
      <c r="R939" s="20"/>
      <c r="S939" s="20"/>
      <c r="T939" s="20"/>
    </row>
    <row r="940" spans="1:21" x14ac:dyDescent="0.25">
      <c r="A940" s="3">
        <v>42041</v>
      </c>
      <c r="B940">
        <v>85</v>
      </c>
      <c r="C940" t="s">
        <v>1820</v>
      </c>
      <c r="E940" s="18">
        <v>366.25</v>
      </c>
      <c r="F940" t="s">
        <v>889</v>
      </c>
      <c r="G940" t="s">
        <v>1821</v>
      </c>
      <c r="I940"/>
      <c r="J940"/>
      <c r="L940"/>
      <c r="M940"/>
      <c r="O940"/>
      <c r="P940" s="20"/>
      <c r="Q940" s="20"/>
      <c r="R940" s="20"/>
      <c r="S940" s="20"/>
      <c r="T940" s="20"/>
    </row>
    <row r="941" spans="1:21" x14ac:dyDescent="0.25">
      <c r="A941" s="3">
        <v>42041</v>
      </c>
      <c r="B941">
        <v>85</v>
      </c>
      <c r="C941" t="s">
        <v>1820</v>
      </c>
      <c r="E941" s="18">
        <v>413.33333333333331</v>
      </c>
      <c r="F941" t="s">
        <v>889</v>
      </c>
      <c r="G941" t="s">
        <v>1823</v>
      </c>
      <c r="I941"/>
      <c r="J941"/>
      <c r="L941"/>
      <c r="M941"/>
      <c r="O941"/>
      <c r="P941" s="20"/>
      <c r="Q941" s="20"/>
      <c r="R941" s="20"/>
      <c r="S941" s="20"/>
      <c r="T941" s="20"/>
    </row>
    <row r="942" spans="1:21" x14ac:dyDescent="0.25">
      <c r="A942" s="3">
        <v>42041</v>
      </c>
      <c r="B942">
        <v>85</v>
      </c>
      <c r="C942" t="s">
        <v>1857</v>
      </c>
      <c r="E942" s="18">
        <v>406.25</v>
      </c>
      <c r="F942" t="s">
        <v>889</v>
      </c>
      <c r="G942" t="s">
        <v>1858</v>
      </c>
      <c r="I942"/>
      <c r="J942"/>
      <c r="L942"/>
      <c r="M942"/>
      <c r="O942"/>
      <c r="P942" s="20"/>
      <c r="Q942" s="20"/>
      <c r="R942" s="20"/>
      <c r="S942" s="20"/>
      <c r="T942" s="20"/>
    </row>
    <row r="943" spans="1:21" x14ac:dyDescent="0.25">
      <c r="A943" s="3">
        <v>42041</v>
      </c>
      <c r="B943">
        <v>85</v>
      </c>
      <c r="C943" t="s">
        <v>1853</v>
      </c>
      <c r="E943" s="18">
        <v>510</v>
      </c>
      <c r="F943" t="s">
        <v>889</v>
      </c>
      <c r="G943" t="s">
        <v>1854</v>
      </c>
      <c r="I943"/>
      <c r="J943"/>
      <c r="L943"/>
      <c r="M943"/>
      <c r="O943"/>
      <c r="P943" s="20"/>
      <c r="Q943" s="20"/>
      <c r="R943" s="20"/>
      <c r="S943" s="20"/>
      <c r="T943" s="20"/>
    </row>
    <row r="944" spans="1:21" x14ac:dyDescent="0.25">
      <c r="B944">
        <v>85</v>
      </c>
      <c r="C944" t="s">
        <v>1857</v>
      </c>
      <c r="D944">
        <v>9.75</v>
      </c>
      <c r="E944" s="18">
        <v>143.75</v>
      </c>
      <c r="F944" t="s">
        <v>889</v>
      </c>
      <c r="G944" t="s">
        <v>1858</v>
      </c>
      <c r="I944"/>
      <c r="J944"/>
      <c r="L944"/>
      <c r="M944"/>
      <c r="O944"/>
      <c r="P944" s="20"/>
      <c r="Q944" s="20"/>
      <c r="R944" s="20"/>
      <c r="S944" s="20"/>
      <c r="T944" s="20"/>
      <c r="U944" t="s">
        <v>401</v>
      </c>
    </row>
    <row r="945" spans="1:21" x14ac:dyDescent="0.25">
      <c r="B945">
        <v>85</v>
      </c>
      <c r="C945" t="s">
        <v>974</v>
      </c>
      <c r="E945" s="18">
        <v>909.27666666666664</v>
      </c>
      <c r="I945"/>
      <c r="J945"/>
      <c r="L945"/>
      <c r="M945"/>
      <c r="O945"/>
      <c r="P945" s="20"/>
      <c r="Q945" s="20"/>
      <c r="R945" s="20"/>
      <c r="S945" s="20"/>
      <c r="T945" s="20"/>
      <c r="U945" t="s">
        <v>401</v>
      </c>
    </row>
    <row r="946" spans="1:21" x14ac:dyDescent="0.25">
      <c r="A946" s="3">
        <v>41740</v>
      </c>
      <c r="B946" s="36">
        <v>87</v>
      </c>
      <c r="C946" t="s">
        <v>1864</v>
      </c>
      <c r="D946">
        <v>6</v>
      </c>
      <c r="E946" s="18">
        <v>600</v>
      </c>
      <c r="G946" t="s">
        <v>1865</v>
      </c>
      <c r="H946" s="18">
        <v>600</v>
      </c>
      <c r="I946" s="3">
        <v>41740</v>
      </c>
      <c r="J946"/>
      <c r="L946"/>
      <c r="M946"/>
      <c r="N946" s="20"/>
      <c r="O946"/>
      <c r="P946" s="20"/>
      <c r="Q946" s="20"/>
      <c r="R946" s="20"/>
      <c r="S946" s="20"/>
      <c r="T946" s="20"/>
    </row>
    <row r="947" spans="1:21" x14ac:dyDescent="0.25">
      <c r="A947" s="3">
        <v>41747</v>
      </c>
      <c r="B947" s="36">
        <v>87</v>
      </c>
      <c r="C947" t="s">
        <v>1866</v>
      </c>
      <c r="D947">
        <v>8.25</v>
      </c>
      <c r="E947" s="18">
        <v>825</v>
      </c>
      <c r="G947" t="s">
        <v>1867</v>
      </c>
      <c r="H947" s="18">
        <v>825</v>
      </c>
      <c r="I947" s="3">
        <v>41747</v>
      </c>
      <c r="J947"/>
      <c r="L947"/>
      <c r="M947"/>
      <c r="N947" s="20"/>
      <c r="O947"/>
      <c r="P947" s="20"/>
      <c r="Q947" s="20"/>
      <c r="R947" s="20"/>
      <c r="S947" s="20"/>
      <c r="T947" s="20"/>
    </row>
    <row r="948" spans="1:21" x14ac:dyDescent="0.25">
      <c r="A948" s="3">
        <v>41747</v>
      </c>
      <c r="B948" s="36">
        <v>87</v>
      </c>
      <c r="C948" t="s">
        <v>1868</v>
      </c>
      <c r="D948">
        <v>6.25</v>
      </c>
      <c r="E948" s="18">
        <v>625</v>
      </c>
      <c r="G948" t="s">
        <v>1869</v>
      </c>
      <c r="H948" s="18">
        <v>625</v>
      </c>
      <c r="I948" s="3">
        <v>41747</v>
      </c>
      <c r="J948"/>
      <c r="L948"/>
      <c r="M948"/>
      <c r="N948" s="20"/>
      <c r="O948"/>
      <c r="P948" s="20"/>
      <c r="Q948" s="20"/>
      <c r="R948" s="20"/>
      <c r="S948" s="20"/>
      <c r="T948" s="20"/>
    </row>
    <row r="949" spans="1:21" x14ac:dyDescent="0.25">
      <c r="A949" s="3">
        <v>41761</v>
      </c>
      <c r="B949" s="36">
        <v>87</v>
      </c>
      <c r="C949" t="s">
        <v>1870</v>
      </c>
      <c r="D949">
        <v>9.5</v>
      </c>
      <c r="E949" s="18">
        <v>950</v>
      </c>
      <c r="G949" t="s">
        <v>1871</v>
      </c>
      <c r="H949" s="18">
        <v>950</v>
      </c>
      <c r="I949" s="3">
        <v>41761</v>
      </c>
      <c r="J949"/>
      <c r="L949"/>
      <c r="M949"/>
      <c r="N949" s="20"/>
      <c r="O949"/>
      <c r="P949" s="20"/>
      <c r="Q949" s="20"/>
      <c r="R949" s="20"/>
      <c r="S949" s="20"/>
      <c r="T949" s="20"/>
    </row>
    <row r="950" spans="1:21" x14ac:dyDescent="0.25">
      <c r="A950" s="3">
        <v>41782</v>
      </c>
      <c r="B950" s="36">
        <v>87</v>
      </c>
      <c r="C950" t="s">
        <v>1872</v>
      </c>
      <c r="D950">
        <v>6</v>
      </c>
      <c r="E950" s="18">
        <v>600</v>
      </c>
      <c r="G950" t="s">
        <v>1873</v>
      </c>
      <c r="H950" s="18">
        <v>600</v>
      </c>
      <c r="I950" s="3">
        <v>41782</v>
      </c>
      <c r="J950"/>
      <c r="L950"/>
      <c r="M950"/>
      <c r="N950" s="20"/>
      <c r="O950"/>
      <c r="P950" s="20"/>
      <c r="Q950" s="20"/>
      <c r="R950" s="20"/>
      <c r="S950" s="20"/>
      <c r="T950" s="20"/>
    </row>
    <row r="951" spans="1:21" x14ac:dyDescent="0.25">
      <c r="A951" s="3">
        <v>41880</v>
      </c>
      <c r="B951" s="36">
        <v>87</v>
      </c>
      <c r="C951" t="s">
        <v>1864</v>
      </c>
      <c r="E951" s="18">
        <v>500</v>
      </c>
      <c r="F951" t="s">
        <v>889</v>
      </c>
      <c r="G951" t="s">
        <v>1865</v>
      </c>
      <c r="H951" s="18">
        <v>500</v>
      </c>
      <c r="I951" s="3">
        <v>41880</v>
      </c>
      <c r="J951"/>
      <c r="L951"/>
      <c r="M951"/>
      <c r="N951" s="20"/>
      <c r="O951" t="s">
        <v>1102</v>
      </c>
      <c r="P951" s="20"/>
      <c r="Q951" s="20"/>
      <c r="R951" s="20"/>
      <c r="S951" s="20"/>
      <c r="T951" s="20"/>
    </row>
    <row r="952" spans="1:21" x14ac:dyDescent="0.25">
      <c r="B952">
        <v>87</v>
      </c>
      <c r="C952" t="s">
        <v>1872</v>
      </c>
      <c r="D952">
        <v>6</v>
      </c>
      <c r="E952" s="18">
        <v>-600</v>
      </c>
      <c r="G952" t="s">
        <v>1873</v>
      </c>
      <c r="I952"/>
      <c r="J952"/>
      <c r="L952"/>
      <c r="M952"/>
      <c r="O952"/>
      <c r="P952" s="20"/>
      <c r="Q952" s="20"/>
      <c r="R952" s="20"/>
      <c r="S952" s="20"/>
      <c r="T952" s="20"/>
      <c r="U952" t="s">
        <v>401</v>
      </c>
    </row>
    <row r="953" spans="1:21" x14ac:dyDescent="0.25">
      <c r="B953">
        <v>87</v>
      </c>
      <c r="C953" t="s">
        <v>1870</v>
      </c>
      <c r="D953">
        <v>9.5</v>
      </c>
      <c r="E953" s="18">
        <v>-950</v>
      </c>
      <c r="G953" t="s">
        <v>1871</v>
      </c>
      <c r="I953"/>
      <c r="J953"/>
      <c r="L953"/>
      <c r="M953"/>
      <c r="O953"/>
      <c r="P953" s="20"/>
      <c r="Q953" s="20"/>
      <c r="R953" s="20"/>
      <c r="S953" s="20"/>
      <c r="T953" s="20"/>
      <c r="U953" t="s">
        <v>401</v>
      </c>
    </row>
    <row r="954" spans="1:21" x14ac:dyDescent="0.25">
      <c r="A954" s="3">
        <v>41746</v>
      </c>
      <c r="B954" s="36">
        <v>88</v>
      </c>
      <c r="C954" t="s">
        <v>1874</v>
      </c>
      <c r="D954">
        <v>5.5</v>
      </c>
      <c r="E954" s="18">
        <v>550</v>
      </c>
      <c r="G954" t="s">
        <v>1875</v>
      </c>
      <c r="H954" s="18">
        <v>550</v>
      </c>
      <c r="I954" s="3">
        <v>41746</v>
      </c>
      <c r="J954"/>
      <c r="L954"/>
      <c r="M954"/>
      <c r="N954" s="20"/>
      <c r="O954"/>
      <c r="P954" s="20"/>
      <c r="Q954" s="20"/>
      <c r="R954" s="20"/>
      <c r="S954" s="20"/>
      <c r="T954" s="20"/>
    </row>
    <row r="955" spans="1:21" x14ac:dyDescent="0.25">
      <c r="A955" s="3">
        <v>41746</v>
      </c>
      <c r="B955" s="36">
        <v>88</v>
      </c>
      <c r="C955" t="s">
        <v>1876</v>
      </c>
      <c r="D955">
        <v>6</v>
      </c>
      <c r="E955" s="18">
        <v>600</v>
      </c>
      <c r="G955" t="s">
        <v>1877</v>
      </c>
      <c r="H955" s="18">
        <v>600</v>
      </c>
      <c r="I955" s="3">
        <v>41746</v>
      </c>
      <c r="J955"/>
      <c r="L955"/>
      <c r="M955"/>
      <c r="N955" s="20"/>
      <c r="O955"/>
      <c r="P955" s="20"/>
      <c r="Q955" s="20"/>
      <c r="R955" s="20"/>
      <c r="S955" s="20"/>
      <c r="T955" s="20"/>
    </row>
    <row r="956" spans="1:21" x14ac:dyDescent="0.25">
      <c r="A956" s="3">
        <v>41753</v>
      </c>
      <c r="B956" s="36">
        <v>88</v>
      </c>
      <c r="C956" t="s">
        <v>1878</v>
      </c>
      <c r="D956">
        <v>3.25</v>
      </c>
      <c r="E956" s="18">
        <v>325</v>
      </c>
      <c r="G956" t="s">
        <v>1879</v>
      </c>
      <c r="H956" s="18">
        <v>325</v>
      </c>
      <c r="I956" s="3">
        <v>41753</v>
      </c>
      <c r="J956"/>
      <c r="L956"/>
      <c r="M956"/>
      <c r="N956" s="20"/>
      <c r="O956"/>
      <c r="P956" s="20"/>
      <c r="Q956" s="20"/>
      <c r="R956" s="20"/>
      <c r="S956" s="20"/>
      <c r="T956" s="20"/>
    </row>
    <row r="957" spans="1:21" x14ac:dyDescent="0.25">
      <c r="A957" s="3">
        <v>41761</v>
      </c>
      <c r="B957" s="36">
        <v>88</v>
      </c>
      <c r="C957" t="s">
        <v>1880</v>
      </c>
      <c r="D957">
        <v>4.75</v>
      </c>
      <c r="E957" s="18">
        <v>475</v>
      </c>
      <c r="G957" t="s">
        <v>1881</v>
      </c>
      <c r="H957" s="18">
        <v>475</v>
      </c>
      <c r="I957" s="3">
        <v>41761</v>
      </c>
      <c r="J957"/>
      <c r="L957"/>
      <c r="M957"/>
      <c r="N957" s="20"/>
      <c r="O957"/>
      <c r="P957" s="20"/>
      <c r="Q957" s="20"/>
      <c r="R957" s="20"/>
      <c r="S957" s="20"/>
      <c r="T957" s="20"/>
    </row>
    <row r="958" spans="1:21" x14ac:dyDescent="0.25">
      <c r="A958" s="3">
        <v>41768</v>
      </c>
      <c r="B958" s="36">
        <v>88</v>
      </c>
      <c r="C958" t="s">
        <v>1882</v>
      </c>
      <c r="D958">
        <v>5.61</v>
      </c>
      <c r="E958" s="18">
        <v>561</v>
      </c>
      <c r="G958" t="s">
        <v>1883</v>
      </c>
      <c r="H958" s="18">
        <v>561</v>
      </c>
      <c r="I958" s="3">
        <v>41768</v>
      </c>
      <c r="J958"/>
      <c r="L958"/>
      <c r="M958"/>
      <c r="N958" s="20"/>
      <c r="O958"/>
      <c r="P958" s="20"/>
      <c r="Q958" s="20"/>
      <c r="R958" s="20"/>
      <c r="S958" s="20"/>
      <c r="T958" s="20"/>
    </row>
    <row r="959" spans="1:21" x14ac:dyDescent="0.25">
      <c r="A959" s="3">
        <v>41775</v>
      </c>
      <c r="B959" s="36">
        <v>88</v>
      </c>
      <c r="C959" t="s">
        <v>1884</v>
      </c>
      <c r="D959">
        <v>8.75</v>
      </c>
      <c r="E959" s="18">
        <v>875</v>
      </c>
      <c r="G959" t="s">
        <v>1885</v>
      </c>
      <c r="H959" s="18">
        <v>875</v>
      </c>
      <c r="I959" s="3">
        <v>41775</v>
      </c>
      <c r="J959"/>
      <c r="L959"/>
      <c r="M959"/>
      <c r="N959" s="20"/>
      <c r="O959"/>
      <c r="P959" s="20"/>
      <c r="Q959" s="20"/>
      <c r="R959" s="20"/>
      <c r="S959" s="20"/>
      <c r="T959" s="20"/>
    </row>
    <row r="960" spans="1:21" x14ac:dyDescent="0.25">
      <c r="A960" s="3">
        <v>41775</v>
      </c>
      <c r="B960" s="36">
        <v>88</v>
      </c>
      <c r="C960" t="s">
        <v>1886</v>
      </c>
      <c r="D960">
        <v>6.75</v>
      </c>
      <c r="E960" s="18">
        <v>675</v>
      </c>
      <c r="G960" t="s">
        <v>1887</v>
      </c>
      <c r="H960" s="18">
        <v>675</v>
      </c>
      <c r="I960" s="3">
        <v>41775</v>
      </c>
      <c r="J960"/>
      <c r="L960"/>
      <c r="M960"/>
      <c r="N960" s="20"/>
      <c r="O960"/>
      <c r="P960" s="20"/>
      <c r="Q960" s="20"/>
      <c r="R960" s="20"/>
      <c r="S960" s="20"/>
      <c r="T960" s="20"/>
    </row>
    <row r="961" spans="1:21" x14ac:dyDescent="0.25">
      <c r="A961" s="3">
        <v>41782</v>
      </c>
      <c r="B961" s="36">
        <v>88</v>
      </c>
      <c r="C961" t="s">
        <v>1884</v>
      </c>
      <c r="D961">
        <v>0.17500000000000071</v>
      </c>
      <c r="E961" s="18">
        <v>17.500000000000071</v>
      </c>
      <c r="G961" t="s">
        <v>1885</v>
      </c>
      <c r="H961" s="18">
        <v>17.500000000000071</v>
      </c>
      <c r="I961" s="3">
        <v>41782</v>
      </c>
      <c r="J961"/>
      <c r="L961"/>
      <c r="M961"/>
      <c r="N961" s="20"/>
      <c r="O961" t="s">
        <v>1822</v>
      </c>
      <c r="P961" s="20"/>
      <c r="Q961" s="20"/>
      <c r="R961" s="20"/>
      <c r="S961" s="20"/>
      <c r="T961" s="20"/>
    </row>
    <row r="962" spans="1:21" x14ac:dyDescent="0.25">
      <c r="A962" s="3">
        <v>41782</v>
      </c>
      <c r="B962" s="36">
        <v>88</v>
      </c>
      <c r="C962" t="s">
        <v>1888</v>
      </c>
      <c r="D962">
        <v>3.57</v>
      </c>
      <c r="E962" s="18">
        <v>357</v>
      </c>
      <c r="G962" t="s">
        <v>1889</v>
      </c>
      <c r="H962" s="18">
        <v>357</v>
      </c>
      <c r="I962" s="3">
        <v>41782</v>
      </c>
      <c r="J962"/>
      <c r="L962"/>
      <c r="M962"/>
      <c r="N962" s="20"/>
      <c r="O962"/>
      <c r="P962" s="20"/>
      <c r="Q962" s="20"/>
      <c r="R962" s="20"/>
      <c r="S962" s="20"/>
      <c r="T962" s="20"/>
    </row>
    <row r="963" spans="1:21" x14ac:dyDescent="0.25">
      <c r="A963" s="3">
        <v>41782</v>
      </c>
      <c r="B963" s="36">
        <v>88</v>
      </c>
      <c r="C963" t="s">
        <v>1880</v>
      </c>
      <c r="D963">
        <v>9.4999999999999751E-2</v>
      </c>
      <c r="E963" s="18">
        <v>9.4999999999999751</v>
      </c>
      <c r="G963" t="s">
        <v>1881</v>
      </c>
      <c r="H963" s="18">
        <v>9.4999999999999751</v>
      </c>
      <c r="I963" s="3">
        <v>41782</v>
      </c>
      <c r="J963"/>
      <c r="L963"/>
      <c r="M963"/>
      <c r="N963" s="20"/>
      <c r="O963" t="s">
        <v>1822</v>
      </c>
      <c r="P963" s="20"/>
      <c r="Q963" s="20"/>
      <c r="R963" s="20"/>
      <c r="S963" s="20"/>
      <c r="T963" s="20"/>
    </row>
    <row r="964" spans="1:21" x14ac:dyDescent="0.25">
      <c r="A964" s="3">
        <v>41782</v>
      </c>
      <c r="B964" s="36">
        <v>88</v>
      </c>
      <c r="C964" t="s">
        <v>1890</v>
      </c>
      <c r="D964">
        <v>3.8250000000000002</v>
      </c>
      <c r="E964" s="18">
        <v>382.5</v>
      </c>
      <c r="G964" t="s">
        <v>1891</v>
      </c>
      <c r="H964" s="18">
        <v>382.5</v>
      </c>
      <c r="I964" s="3">
        <v>41782</v>
      </c>
      <c r="J964"/>
      <c r="L964"/>
      <c r="M964"/>
      <c r="N964" s="20"/>
      <c r="O964"/>
      <c r="P964" s="20"/>
      <c r="Q964" s="20"/>
      <c r="R964" s="20"/>
      <c r="S964" s="20"/>
      <c r="T964" s="20"/>
    </row>
    <row r="965" spans="1:21" x14ac:dyDescent="0.25">
      <c r="A965" s="3">
        <v>41782</v>
      </c>
      <c r="B965" s="36">
        <v>88</v>
      </c>
      <c r="C965" t="s">
        <v>1886</v>
      </c>
      <c r="D965">
        <v>6.75</v>
      </c>
      <c r="E965" s="18">
        <v>-675</v>
      </c>
      <c r="G965" t="s">
        <v>1887</v>
      </c>
      <c r="H965" s="18" t="s">
        <v>442</v>
      </c>
      <c r="I965" s="3" t="s">
        <v>442</v>
      </c>
      <c r="J965"/>
      <c r="L965"/>
      <c r="M965"/>
      <c r="N965" s="20"/>
      <c r="O965" t="s">
        <v>949</v>
      </c>
      <c r="P965" s="20"/>
      <c r="Q965" s="20"/>
      <c r="R965" s="20"/>
      <c r="S965" s="20"/>
      <c r="T965" s="20"/>
    </row>
    <row r="966" spans="1:21" x14ac:dyDescent="0.25">
      <c r="A966" s="3">
        <v>41789</v>
      </c>
      <c r="B966" s="36">
        <v>88</v>
      </c>
      <c r="C966" t="s">
        <v>1892</v>
      </c>
      <c r="D966">
        <v>4</v>
      </c>
      <c r="E966" s="18">
        <v>400</v>
      </c>
      <c r="G966" t="s">
        <v>1893</v>
      </c>
      <c r="H966" s="18">
        <v>400</v>
      </c>
      <c r="I966" s="3">
        <v>41789</v>
      </c>
      <c r="J966"/>
      <c r="L966"/>
      <c r="M966"/>
      <c r="N966" s="20"/>
      <c r="O966"/>
      <c r="P966" s="20"/>
      <c r="Q966" s="20"/>
      <c r="R966" s="20"/>
      <c r="S966" s="20"/>
      <c r="T966" s="20"/>
    </row>
    <row r="967" spans="1:21" x14ac:dyDescent="0.25">
      <c r="A967" s="3">
        <v>41796</v>
      </c>
      <c r="B967" s="36">
        <v>88</v>
      </c>
      <c r="C967" t="s">
        <v>1894</v>
      </c>
      <c r="D967">
        <v>6.25</v>
      </c>
      <c r="E967" s="18">
        <v>625</v>
      </c>
      <c r="G967" t="s">
        <v>1895</v>
      </c>
      <c r="H967" s="18">
        <v>625</v>
      </c>
      <c r="I967" s="3">
        <v>41796</v>
      </c>
      <c r="J967"/>
      <c r="L967"/>
      <c r="M967"/>
      <c r="N967" s="20"/>
      <c r="O967" t="s">
        <v>1169</v>
      </c>
      <c r="P967" s="20"/>
      <c r="Q967" s="20"/>
      <c r="R967" s="20"/>
      <c r="S967" s="20"/>
      <c r="T967" s="20"/>
    </row>
    <row r="968" spans="1:21" x14ac:dyDescent="0.25">
      <c r="A968" s="3">
        <v>41796</v>
      </c>
      <c r="B968" s="36">
        <v>88</v>
      </c>
      <c r="C968" t="s">
        <v>1896</v>
      </c>
      <c r="D968">
        <v>9</v>
      </c>
      <c r="E968" s="18">
        <v>900</v>
      </c>
      <c r="G968" t="s">
        <v>1897</v>
      </c>
      <c r="H968" s="18">
        <v>900</v>
      </c>
      <c r="I968" s="3">
        <v>41796</v>
      </c>
      <c r="J968"/>
      <c r="L968"/>
      <c r="M968"/>
      <c r="N968" s="20"/>
      <c r="O968" t="s">
        <v>1169</v>
      </c>
      <c r="P968" s="20"/>
      <c r="Q968" s="20"/>
      <c r="R968" s="20"/>
      <c r="S968" s="20"/>
      <c r="T968" s="20"/>
    </row>
    <row r="969" spans="1:21" x14ac:dyDescent="0.25">
      <c r="A969" s="3">
        <v>41796</v>
      </c>
      <c r="B969" s="36">
        <v>88</v>
      </c>
      <c r="C969" t="s">
        <v>1898</v>
      </c>
      <c r="D969">
        <v>5.5</v>
      </c>
      <c r="E969" s="18">
        <v>550</v>
      </c>
      <c r="G969" t="s">
        <v>1899</v>
      </c>
      <c r="H969" s="18">
        <v>550</v>
      </c>
      <c r="I969" s="3">
        <v>41796</v>
      </c>
      <c r="J969"/>
      <c r="L969"/>
      <c r="M969"/>
      <c r="N969" s="20"/>
      <c r="O969" t="s">
        <v>1169</v>
      </c>
      <c r="P969" s="20"/>
      <c r="Q969" s="20"/>
      <c r="R969" s="20"/>
      <c r="S969" s="20"/>
      <c r="T969" s="20"/>
    </row>
    <row r="970" spans="1:21" x14ac:dyDescent="0.25">
      <c r="A970" s="3">
        <v>41796</v>
      </c>
      <c r="B970" s="36">
        <v>88</v>
      </c>
      <c r="C970" t="s">
        <v>1900</v>
      </c>
      <c r="D970">
        <v>5.3550000000000004</v>
      </c>
      <c r="E970" s="18">
        <v>535.5</v>
      </c>
      <c r="G970" t="s">
        <v>1901</v>
      </c>
      <c r="H970" s="18">
        <v>535.5</v>
      </c>
      <c r="I970" s="3">
        <v>41796</v>
      </c>
      <c r="J970"/>
      <c r="L970"/>
      <c r="M970"/>
      <c r="N970" s="20"/>
      <c r="O970"/>
      <c r="P970" s="20"/>
      <c r="Q970" s="20"/>
      <c r="R970" s="20"/>
      <c r="S970" s="20"/>
      <c r="T970" s="20"/>
    </row>
    <row r="971" spans="1:21" x14ac:dyDescent="0.25">
      <c r="A971" s="3">
        <v>41817</v>
      </c>
      <c r="B971" s="36">
        <v>88</v>
      </c>
      <c r="C971" t="s">
        <v>1894</v>
      </c>
      <c r="D971">
        <v>6.25</v>
      </c>
      <c r="E971" s="18">
        <v>-625</v>
      </c>
      <c r="G971" t="s">
        <v>1895</v>
      </c>
      <c r="H971" s="18" t="s">
        <v>442</v>
      </c>
      <c r="I971" s="3" t="s">
        <v>442</v>
      </c>
      <c r="J971"/>
      <c r="L971"/>
      <c r="M971"/>
      <c r="N971" s="20"/>
      <c r="O971" t="s">
        <v>1902</v>
      </c>
      <c r="P971" s="20"/>
      <c r="Q971" s="20"/>
      <c r="R971" s="20"/>
      <c r="S971" s="20"/>
      <c r="T971" s="20"/>
    </row>
    <row r="972" spans="1:21" x14ac:dyDescent="0.25">
      <c r="A972" s="3">
        <v>41817</v>
      </c>
      <c r="B972" s="36">
        <v>88</v>
      </c>
      <c r="C972" t="s">
        <v>1903</v>
      </c>
      <c r="D972">
        <v>6.75</v>
      </c>
      <c r="E972" s="18">
        <v>675</v>
      </c>
      <c r="G972" t="s">
        <v>1904</v>
      </c>
      <c r="H972" s="18">
        <v>675</v>
      </c>
      <c r="I972" s="3">
        <v>41817</v>
      </c>
      <c r="J972"/>
      <c r="L972"/>
      <c r="M972"/>
      <c r="N972" s="20"/>
      <c r="O972"/>
      <c r="P972" s="20"/>
      <c r="Q972" s="20"/>
      <c r="R972" s="20"/>
      <c r="S972" s="20"/>
      <c r="T972" s="20"/>
    </row>
    <row r="973" spans="1:21" x14ac:dyDescent="0.25">
      <c r="A973" s="3">
        <v>41817</v>
      </c>
      <c r="B973" s="36">
        <v>88</v>
      </c>
      <c r="C973" t="s">
        <v>1905</v>
      </c>
      <c r="D973">
        <v>9.18</v>
      </c>
      <c r="E973" s="18">
        <v>918</v>
      </c>
      <c r="G973" t="s">
        <v>1906</v>
      </c>
      <c r="H973" s="18">
        <v>918</v>
      </c>
      <c r="I973" s="3">
        <v>41817</v>
      </c>
      <c r="J973"/>
      <c r="L973"/>
      <c r="M973"/>
      <c r="N973" s="20"/>
      <c r="O973" t="s">
        <v>905</v>
      </c>
      <c r="P973" s="20"/>
      <c r="Q973" s="20"/>
      <c r="R973" s="20"/>
      <c r="S973" s="20"/>
      <c r="T973" s="20"/>
    </row>
    <row r="974" spans="1:21" x14ac:dyDescent="0.25">
      <c r="A974" s="3">
        <v>41817</v>
      </c>
      <c r="B974" s="36">
        <v>88</v>
      </c>
      <c r="C974" t="s">
        <v>1882</v>
      </c>
      <c r="D974">
        <v>5.61</v>
      </c>
      <c r="E974" s="18">
        <v>-561</v>
      </c>
      <c r="G974" t="s">
        <v>1883</v>
      </c>
      <c r="H974" s="18" t="s">
        <v>442</v>
      </c>
      <c r="I974" s="3" t="s">
        <v>442</v>
      </c>
      <c r="J974"/>
      <c r="L974"/>
      <c r="M974"/>
      <c r="N974" s="20"/>
      <c r="O974" t="s">
        <v>1907</v>
      </c>
      <c r="P974" s="20"/>
      <c r="Q974" s="20"/>
      <c r="R974" s="20"/>
      <c r="S974" s="20"/>
      <c r="T974" s="20"/>
    </row>
    <row r="975" spans="1:21" x14ac:dyDescent="0.25">
      <c r="A975" s="3">
        <v>41831</v>
      </c>
      <c r="B975" s="36">
        <v>88</v>
      </c>
      <c r="C975" t="s">
        <v>1874</v>
      </c>
      <c r="D975">
        <v>5.3550000000000004</v>
      </c>
      <c r="E975" s="18">
        <v>521</v>
      </c>
      <c r="G975" t="s">
        <v>1875</v>
      </c>
      <c r="H975" s="18">
        <v>521</v>
      </c>
      <c r="I975" s="3">
        <v>41831</v>
      </c>
      <c r="J975"/>
      <c r="L975"/>
      <c r="M975"/>
      <c r="N975" s="20"/>
      <c r="O975" t="s">
        <v>1908</v>
      </c>
      <c r="P975" s="20"/>
      <c r="Q975" s="20"/>
      <c r="R975" s="20"/>
      <c r="S975" s="20"/>
      <c r="T975" s="20"/>
    </row>
    <row r="976" spans="1:21" x14ac:dyDescent="0.25">
      <c r="B976">
        <v>88</v>
      </c>
      <c r="C976" t="s">
        <v>1909</v>
      </c>
      <c r="E976" s="18">
        <v>-300</v>
      </c>
      <c r="G976" t="s">
        <v>1897</v>
      </c>
      <c r="I976"/>
      <c r="J976"/>
      <c r="L976"/>
      <c r="M976"/>
      <c r="O976"/>
      <c r="P976" s="20"/>
      <c r="Q976" s="20"/>
      <c r="R976" s="20"/>
      <c r="S976" s="20"/>
      <c r="T976" s="20"/>
      <c r="U976" t="s">
        <v>401</v>
      </c>
    </row>
    <row r="977" spans="1:21" x14ac:dyDescent="0.25">
      <c r="B977">
        <v>88</v>
      </c>
      <c r="C977" t="s">
        <v>1888</v>
      </c>
      <c r="D977">
        <v>3.57</v>
      </c>
      <c r="E977" s="18">
        <v>357</v>
      </c>
      <c r="F977" t="s">
        <v>889</v>
      </c>
      <c r="G977" t="s">
        <v>1889</v>
      </c>
      <c r="I977"/>
      <c r="J977"/>
      <c r="L977"/>
      <c r="M977"/>
      <c r="O977"/>
      <c r="P977" s="20"/>
      <c r="Q977" s="20"/>
      <c r="R977" s="20"/>
      <c r="S977" s="20"/>
      <c r="T977" s="20"/>
      <c r="U977" t="s">
        <v>401</v>
      </c>
    </row>
    <row r="978" spans="1:21" x14ac:dyDescent="0.25">
      <c r="B978">
        <v>88</v>
      </c>
      <c r="C978" t="s">
        <v>1903</v>
      </c>
      <c r="D978">
        <v>6.75</v>
      </c>
      <c r="E978" s="18">
        <v>-675</v>
      </c>
      <c r="F978" t="s">
        <v>889</v>
      </c>
      <c r="G978" t="s">
        <v>1904</v>
      </c>
      <c r="I978"/>
      <c r="J978"/>
      <c r="L978"/>
      <c r="M978"/>
      <c r="O978"/>
      <c r="P978" s="20"/>
      <c r="Q978" s="20"/>
      <c r="R978" s="20"/>
      <c r="S978" s="20"/>
      <c r="T978" s="20"/>
      <c r="U978" t="s">
        <v>401</v>
      </c>
    </row>
    <row r="979" spans="1:21" x14ac:dyDescent="0.25">
      <c r="B979">
        <v>88</v>
      </c>
      <c r="C979" t="s">
        <v>1898</v>
      </c>
      <c r="D979">
        <v>4.08</v>
      </c>
      <c r="E979" s="18">
        <v>88.666666666666671</v>
      </c>
      <c r="F979" t="s">
        <v>889</v>
      </c>
      <c r="G979" t="s">
        <v>1899</v>
      </c>
      <c r="I979"/>
      <c r="J979"/>
      <c r="L979"/>
      <c r="M979"/>
      <c r="O979"/>
      <c r="P979" s="20"/>
      <c r="Q979" s="20"/>
      <c r="R979" s="20"/>
      <c r="S979" s="20"/>
      <c r="T979" s="20"/>
      <c r="U979" t="s">
        <v>401</v>
      </c>
    </row>
    <row r="980" spans="1:21" x14ac:dyDescent="0.25">
      <c r="B980">
        <v>88</v>
      </c>
      <c r="C980" t="s">
        <v>1898</v>
      </c>
      <c r="E980" s="18">
        <v>88.666666666666671</v>
      </c>
      <c r="G980" t="s">
        <v>1899</v>
      </c>
      <c r="I980"/>
      <c r="J980"/>
      <c r="L980"/>
      <c r="M980"/>
      <c r="O980"/>
      <c r="P980" s="20"/>
      <c r="Q980" s="20"/>
      <c r="R980" s="20"/>
      <c r="S980" s="20"/>
      <c r="T980" s="20"/>
      <c r="U980" t="s">
        <v>401</v>
      </c>
    </row>
    <row r="981" spans="1:21" x14ac:dyDescent="0.25">
      <c r="B981">
        <v>88</v>
      </c>
      <c r="C981" t="s">
        <v>1910</v>
      </c>
      <c r="E981" s="18">
        <v>-300</v>
      </c>
      <c r="G981" t="s">
        <v>1899</v>
      </c>
      <c r="I981"/>
      <c r="J981"/>
      <c r="L981"/>
      <c r="M981"/>
      <c r="O981"/>
      <c r="P981" s="20"/>
      <c r="Q981" s="20"/>
      <c r="R981" s="20"/>
      <c r="S981" s="20"/>
      <c r="T981" s="20"/>
      <c r="U981" t="s">
        <v>401</v>
      </c>
    </row>
    <row r="982" spans="1:21" x14ac:dyDescent="0.25">
      <c r="B982">
        <v>88</v>
      </c>
      <c r="C982" t="s">
        <v>1911</v>
      </c>
      <c r="E982" s="18">
        <v>-300</v>
      </c>
      <c r="G982" t="s">
        <v>1906</v>
      </c>
      <c r="I982"/>
      <c r="J982"/>
      <c r="L982"/>
      <c r="M982"/>
      <c r="O982"/>
      <c r="P982" s="20"/>
      <c r="Q982" s="20"/>
      <c r="R982" s="20"/>
      <c r="S982" s="20"/>
      <c r="T982" s="20"/>
      <c r="U982" t="s">
        <v>401</v>
      </c>
    </row>
    <row r="983" spans="1:21" x14ac:dyDescent="0.25">
      <c r="B983">
        <v>88</v>
      </c>
      <c r="C983" t="s">
        <v>1892</v>
      </c>
      <c r="D983">
        <v>4.59</v>
      </c>
      <c r="E983" s="18">
        <v>-400</v>
      </c>
      <c r="F983" t="s">
        <v>889</v>
      </c>
      <c r="G983" t="s">
        <v>1893</v>
      </c>
      <c r="I983"/>
      <c r="J983"/>
      <c r="L983"/>
      <c r="M983"/>
      <c r="O983"/>
      <c r="P983" s="20"/>
      <c r="Q983" s="20"/>
      <c r="R983" s="20"/>
      <c r="S983" s="20"/>
      <c r="T983" s="20"/>
      <c r="U983" t="s">
        <v>401</v>
      </c>
    </row>
    <row r="984" spans="1:21" x14ac:dyDescent="0.25">
      <c r="B984">
        <v>88</v>
      </c>
      <c r="C984" t="s">
        <v>1880</v>
      </c>
      <c r="D984">
        <v>4.8449999999999998</v>
      </c>
      <c r="E984" s="18">
        <v>-484.5</v>
      </c>
      <c r="F984" t="s">
        <v>889</v>
      </c>
      <c r="G984" t="s">
        <v>1881</v>
      </c>
      <c r="I984"/>
      <c r="J984"/>
      <c r="L984"/>
      <c r="M984"/>
      <c r="O984"/>
      <c r="P984" s="20"/>
      <c r="Q984" s="20"/>
      <c r="R984" s="20"/>
      <c r="S984" s="20"/>
      <c r="T984" s="20"/>
      <c r="U984" t="s">
        <v>401</v>
      </c>
    </row>
    <row r="985" spans="1:21" x14ac:dyDescent="0.25">
      <c r="B985">
        <v>88</v>
      </c>
      <c r="C985" t="s">
        <v>1890</v>
      </c>
      <c r="D985">
        <v>3.8250000000000002</v>
      </c>
      <c r="E985" s="18">
        <v>127.5</v>
      </c>
      <c r="F985" t="s">
        <v>889</v>
      </c>
      <c r="G985" t="s">
        <v>1891</v>
      </c>
      <c r="I985"/>
      <c r="J985"/>
      <c r="L985"/>
      <c r="M985"/>
      <c r="O985"/>
      <c r="P985" s="20"/>
      <c r="Q985" s="20"/>
      <c r="R985" s="20"/>
      <c r="S985" s="20"/>
      <c r="T985" s="20"/>
      <c r="U985" t="s">
        <v>401</v>
      </c>
    </row>
    <row r="986" spans="1:21" x14ac:dyDescent="0.25">
      <c r="B986">
        <v>88</v>
      </c>
      <c r="C986" t="s">
        <v>1890</v>
      </c>
      <c r="E986" s="18">
        <v>127.5</v>
      </c>
      <c r="G986" t="s">
        <v>1891</v>
      </c>
      <c r="I986"/>
      <c r="J986"/>
      <c r="L986"/>
      <c r="M986"/>
      <c r="O986"/>
      <c r="P986" s="20"/>
      <c r="Q986" s="20"/>
      <c r="R986" s="20"/>
      <c r="S986" s="20"/>
      <c r="T986" s="20"/>
      <c r="U986" t="s">
        <v>401</v>
      </c>
    </row>
    <row r="987" spans="1:21" x14ac:dyDescent="0.25">
      <c r="B987">
        <v>88</v>
      </c>
      <c r="C987" t="s">
        <v>1876</v>
      </c>
      <c r="D987">
        <v>6</v>
      </c>
      <c r="E987" s="18">
        <v>-600</v>
      </c>
      <c r="F987" t="s">
        <v>889</v>
      </c>
      <c r="G987" t="s">
        <v>1877</v>
      </c>
      <c r="I987"/>
      <c r="J987"/>
      <c r="L987"/>
      <c r="M987"/>
      <c r="O987"/>
      <c r="P987" s="20"/>
      <c r="Q987" s="20"/>
      <c r="R987" s="20"/>
      <c r="S987" s="20"/>
      <c r="T987" s="20"/>
      <c r="U987" t="s">
        <v>401</v>
      </c>
    </row>
    <row r="988" spans="1:21" x14ac:dyDescent="0.25">
      <c r="A988" s="37">
        <v>41691</v>
      </c>
      <c r="B988" s="36">
        <v>89</v>
      </c>
      <c r="C988" s="38" t="s">
        <v>1912</v>
      </c>
      <c r="D988" s="38"/>
      <c r="E988" s="39">
        <v>375</v>
      </c>
      <c r="F988" s="38"/>
      <c r="G988" t="s">
        <v>1913</v>
      </c>
      <c r="H988" s="18">
        <v>375</v>
      </c>
      <c r="I988" s="3">
        <v>41691</v>
      </c>
      <c r="J988"/>
      <c r="L988"/>
      <c r="M988"/>
      <c r="N988" s="40"/>
      <c r="O988" s="38"/>
      <c r="P988" s="20"/>
      <c r="Q988" s="20"/>
      <c r="R988" s="20"/>
      <c r="S988" s="20"/>
      <c r="T988" s="20"/>
    </row>
    <row r="989" spans="1:21" x14ac:dyDescent="0.25">
      <c r="A989" s="37">
        <v>41712</v>
      </c>
      <c r="B989" s="36">
        <v>89</v>
      </c>
      <c r="C989" s="38" t="s">
        <v>1914</v>
      </c>
      <c r="D989" s="38"/>
      <c r="E989" s="39">
        <v>400</v>
      </c>
      <c r="F989" s="38"/>
      <c r="G989" t="s">
        <v>1915</v>
      </c>
      <c r="H989" s="18">
        <v>400</v>
      </c>
      <c r="I989" s="3">
        <v>41712</v>
      </c>
      <c r="J989"/>
      <c r="L989"/>
      <c r="M989"/>
      <c r="N989" s="40"/>
      <c r="O989" s="38"/>
      <c r="P989" s="20"/>
      <c r="Q989" s="20"/>
      <c r="R989" s="20"/>
      <c r="S989" s="20"/>
      <c r="T989" s="20"/>
    </row>
    <row r="990" spans="1:21" x14ac:dyDescent="0.25">
      <c r="A990" s="3">
        <v>41732</v>
      </c>
      <c r="B990" s="36">
        <v>89</v>
      </c>
      <c r="C990" t="s">
        <v>1916</v>
      </c>
      <c r="D990">
        <v>2.5</v>
      </c>
      <c r="E990" s="18">
        <v>250</v>
      </c>
      <c r="G990" t="s">
        <v>1917</v>
      </c>
      <c r="H990" s="18">
        <v>250</v>
      </c>
      <c r="I990" s="3">
        <v>41732</v>
      </c>
      <c r="J990"/>
      <c r="L990"/>
      <c r="M990"/>
      <c r="N990" s="20"/>
      <c r="O990"/>
      <c r="P990" s="20"/>
      <c r="Q990" s="20"/>
      <c r="R990" s="20"/>
      <c r="S990" s="20"/>
      <c r="T990" s="20"/>
    </row>
    <row r="991" spans="1:21" x14ac:dyDescent="0.25">
      <c r="A991" s="3">
        <v>41740</v>
      </c>
      <c r="B991" s="36">
        <v>89</v>
      </c>
      <c r="C991" t="s">
        <v>1918</v>
      </c>
      <c r="D991">
        <v>10</v>
      </c>
      <c r="E991" s="18">
        <v>1000</v>
      </c>
      <c r="G991" t="s">
        <v>1919</v>
      </c>
      <c r="H991" s="18">
        <v>1000</v>
      </c>
      <c r="I991" s="3">
        <v>41740</v>
      </c>
      <c r="J991"/>
      <c r="L991"/>
      <c r="M991"/>
      <c r="N991" s="20"/>
      <c r="O991"/>
      <c r="P991" s="20"/>
      <c r="Q991" s="20"/>
      <c r="R991" s="20"/>
      <c r="S991" s="20"/>
      <c r="T991" s="20"/>
    </row>
    <row r="992" spans="1:21" x14ac:dyDescent="0.25">
      <c r="A992" s="3">
        <v>41761</v>
      </c>
      <c r="B992" s="36">
        <v>89</v>
      </c>
      <c r="C992" t="s">
        <v>1920</v>
      </c>
      <c r="D992">
        <v>6</v>
      </c>
      <c r="E992" s="18">
        <v>600</v>
      </c>
      <c r="G992" t="s">
        <v>1921</v>
      </c>
      <c r="H992" s="18">
        <v>600</v>
      </c>
      <c r="I992" s="3">
        <v>41761</v>
      </c>
      <c r="J992"/>
      <c r="L992"/>
      <c r="M992"/>
      <c r="N992" s="20"/>
      <c r="O992"/>
      <c r="P992" s="20"/>
      <c r="Q992" s="20"/>
      <c r="R992" s="20"/>
      <c r="S992" s="20"/>
      <c r="T992" s="20"/>
    </row>
    <row r="993" spans="1:21" x14ac:dyDescent="0.25">
      <c r="A993" s="3">
        <v>41761</v>
      </c>
      <c r="B993" s="36">
        <v>89</v>
      </c>
      <c r="C993" t="s">
        <v>1922</v>
      </c>
      <c r="D993">
        <v>10</v>
      </c>
      <c r="E993" s="18">
        <v>1000</v>
      </c>
      <c r="G993" t="s">
        <v>1923</v>
      </c>
      <c r="H993" s="18">
        <v>1000</v>
      </c>
      <c r="I993" s="3">
        <v>41761</v>
      </c>
      <c r="J993"/>
      <c r="L993"/>
      <c r="M993"/>
      <c r="N993" s="20"/>
      <c r="O993"/>
      <c r="P993" s="20"/>
      <c r="Q993" s="20"/>
      <c r="R993" s="20"/>
      <c r="S993" s="20"/>
      <c r="T993" s="20"/>
    </row>
    <row r="994" spans="1:21" x14ac:dyDescent="0.25">
      <c r="A994" s="3">
        <v>41761</v>
      </c>
      <c r="B994" s="36">
        <v>89</v>
      </c>
      <c r="C994" t="s">
        <v>1924</v>
      </c>
      <c r="D994">
        <v>4.25</v>
      </c>
      <c r="E994" s="18">
        <v>425</v>
      </c>
      <c r="G994" t="s">
        <v>1925</v>
      </c>
      <c r="H994" s="18">
        <v>425</v>
      </c>
      <c r="I994" s="3">
        <v>41761</v>
      </c>
      <c r="J994"/>
      <c r="L994"/>
      <c r="M994"/>
      <c r="N994" s="20"/>
      <c r="O994"/>
      <c r="P994" s="20"/>
      <c r="Q994" s="20"/>
      <c r="R994" s="20"/>
      <c r="S994" s="20"/>
      <c r="T994" s="20"/>
    </row>
    <row r="995" spans="1:21" x14ac:dyDescent="0.25">
      <c r="A995" s="3">
        <v>41768</v>
      </c>
      <c r="B995" s="36">
        <v>89</v>
      </c>
      <c r="C995" t="s">
        <v>1926</v>
      </c>
      <c r="D995">
        <v>7</v>
      </c>
      <c r="E995" s="18">
        <v>700</v>
      </c>
      <c r="G995" t="s">
        <v>1927</v>
      </c>
      <c r="H995" s="18">
        <v>700</v>
      </c>
      <c r="I995" s="3">
        <v>41768</v>
      </c>
      <c r="J995"/>
      <c r="L995"/>
      <c r="M995"/>
      <c r="N995" s="20"/>
      <c r="O995"/>
      <c r="P995" s="20"/>
      <c r="Q995" s="20"/>
      <c r="R995" s="20"/>
      <c r="S995" s="20"/>
      <c r="T995" s="20"/>
    </row>
    <row r="996" spans="1:21" x14ac:dyDescent="0.25">
      <c r="B996">
        <v>89</v>
      </c>
      <c r="C996" t="s">
        <v>1918</v>
      </c>
      <c r="D996">
        <v>6</v>
      </c>
      <c r="E996" s="18">
        <v>-1000</v>
      </c>
      <c r="G996" t="s">
        <v>1919</v>
      </c>
      <c r="I996"/>
      <c r="J996"/>
      <c r="L996"/>
      <c r="M996"/>
      <c r="O996"/>
      <c r="P996" s="20"/>
      <c r="Q996" s="20"/>
      <c r="R996" s="20"/>
      <c r="S996" s="20"/>
      <c r="T996" s="20"/>
      <c r="U996" t="s">
        <v>401</v>
      </c>
    </row>
    <row r="997" spans="1:21" x14ac:dyDescent="0.25">
      <c r="B997">
        <v>89</v>
      </c>
      <c r="C997" t="s">
        <v>1920</v>
      </c>
      <c r="D997">
        <v>6.12</v>
      </c>
      <c r="E997" s="18">
        <v>-600</v>
      </c>
      <c r="F997" t="s">
        <v>889</v>
      </c>
      <c r="G997" t="s">
        <v>1921</v>
      </c>
      <c r="I997"/>
      <c r="J997"/>
      <c r="L997"/>
      <c r="M997"/>
      <c r="O997"/>
      <c r="P997" s="20"/>
      <c r="Q997" s="20"/>
      <c r="R997" s="20"/>
      <c r="S997" s="20"/>
      <c r="T997" s="20"/>
      <c r="U997" t="s">
        <v>401</v>
      </c>
    </row>
    <row r="998" spans="1:21" x14ac:dyDescent="0.25">
      <c r="B998">
        <v>89</v>
      </c>
      <c r="C998" t="s">
        <v>1912</v>
      </c>
      <c r="D998">
        <v>3.75</v>
      </c>
      <c r="E998" s="18">
        <v>-375</v>
      </c>
      <c r="F998" t="s">
        <v>889</v>
      </c>
      <c r="G998" t="s">
        <v>1913</v>
      </c>
      <c r="I998"/>
      <c r="J998"/>
      <c r="L998"/>
      <c r="M998"/>
      <c r="O998"/>
      <c r="P998" s="20"/>
      <c r="Q998" s="20"/>
      <c r="R998" s="20"/>
      <c r="S998" s="20"/>
      <c r="T998" s="20"/>
      <c r="U998" t="s">
        <v>401</v>
      </c>
    </row>
    <row r="999" spans="1:21" x14ac:dyDescent="0.25">
      <c r="B999">
        <v>89</v>
      </c>
      <c r="C999" t="s">
        <v>1922</v>
      </c>
      <c r="D999">
        <v>8.4149999999999991</v>
      </c>
      <c r="E999" s="18">
        <v>-1000</v>
      </c>
      <c r="F999" t="s">
        <v>889</v>
      </c>
      <c r="G999" t="s">
        <v>1923</v>
      </c>
      <c r="I999"/>
      <c r="J999"/>
      <c r="L999"/>
      <c r="M999"/>
      <c r="O999"/>
      <c r="P999" s="20"/>
      <c r="Q999" s="20"/>
      <c r="R999" s="20"/>
      <c r="S999" s="20"/>
      <c r="T999" s="20"/>
      <c r="U999" t="s">
        <v>401</v>
      </c>
    </row>
    <row r="1000" spans="1:21" x14ac:dyDescent="0.25">
      <c r="B1000">
        <v>89</v>
      </c>
      <c r="C1000" t="s">
        <v>1924</v>
      </c>
      <c r="D1000">
        <v>4.25</v>
      </c>
      <c r="E1000" s="18">
        <v>-425</v>
      </c>
      <c r="G1000" t="s">
        <v>1925</v>
      </c>
      <c r="I1000"/>
      <c r="J1000"/>
      <c r="L1000"/>
      <c r="M1000"/>
      <c r="O1000"/>
      <c r="P1000" s="20"/>
      <c r="Q1000" s="20"/>
      <c r="R1000" s="20"/>
      <c r="S1000" s="20"/>
      <c r="T1000" s="20"/>
      <c r="U1000" t="s">
        <v>401</v>
      </c>
    </row>
    <row r="1001" spans="1:21" x14ac:dyDescent="0.25">
      <c r="B1001">
        <v>89</v>
      </c>
      <c r="C1001" t="s">
        <v>1926</v>
      </c>
      <c r="D1001">
        <v>6.8849999999999998</v>
      </c>
      <c r="E1001" s="18">
        <v>677</v>
      </c>
      <c r="F1001" t="s">
        <v>889</v>
      </c>
      <c r="G1001" t="s">
        <v>1927</v>
      </c>
      <c r="I1001"/>
      <c r="J1001"/>
      <c r="L1001"/>
      <c r="M1001"/>
      <c r="O1001"/>
      <c r="P1001" s="20"/>
      <c r="Q1001" s="20"/>
      <c r="R1001" s="20"/>
      <c r="S1001" s="20"/>
      <c r="T1001" s="20"/>
      <c r="U1001" t="s">
        <v>401</v>
      </c>
    </row>
    <row r="1002" spans="1:21" x14ac:dyDescent="0.25">
      <c r="B1002">
        <v>89</v>
      </c>
      <c r="C1002" t="s">
        <v>1916</v>
      </c>
      <c r="E1002" s="18">
        <v>250</v>
      </c>
      <c r="F1002" t="s">
        <v>889</v>
      </c>
      <c r="G1002" t="s">
        <v>1917</v>
      </c>
      <c r="I1002"/>
      <c r="J1002"/>
      <c r="L1002"/>
      <c r="M1002"/>
      <c r="O1002"/>
      <c r="P1002" s="20"/>
      <c r="Q1002" s="20"/>
      <c r="R1002" s="20"/>
      <c r="S1002" s="20"/>
      <c r="T1002" s="20"/>
      <c r="U1002" t="s">
        <v>401</v>
      </c>
    </row>
    <row r="1003" spans="1:21" x14ac:dyDescent="0.25">
      <c r="B1003">
        <v>89</v>
      </c>
      <c r="C1003" t="s">
        <v>1914</v>
      </c>
      <c r="E1003" s="18">
        <v>550</v>
      </c>
      <c r="F1003" t="s">
        <v>889</v>
      </c>
      <c r="G1003" t="s">
        <v>1915</v>
      </c>
      <c r="I1003"/>
      <c r="J1003"/>
      <c r="L1003"/>
      <c r="M1003"/>
      <c r="O1003"/>
      <c r="P1003" s="20"/>
      <c r="Q1003" s="20"/>
      <c r="R1003" s="20"/>
      <c r="S1003" s="20"/>
      <c r="T1003" s="20"/>
      <c r="U1003" t="s">
        <v>401</v>
      </c>
    </row>
    <row r="1004" spans="1:21" x14ac:dyDescent="0.25">
      <c r="A1004" s="3">
        <v>41782</v>
      </c>
      <c r="B1004" s="36">
        <v>94</v>
      </c>
      <c r="C1004" t="s">
        <v>1928</v>
      </c>
      <c r="D1004">
        <v>7.25</v>
      </c>
      <c r="E1004" s="18">
        <v>725</v>
      </c>
      <c r="G1004" t="s">
        <v>1929</v>
      </c>
      <c r="H1004" s="18">
        <v>725</v>
      </c>
      <c r="I1004" s="3">
        <v>41782</v>
      </c>
      <c r="J1004"/>
      <c r="L1004"/>
      <c r="M1004"/>
      <c r="N1004" s="20"/>
      <c r="O1004" t="s">
        <v>1930</v>
      </c>
      <c r="P1004" s="20"/>
      <c r="Q1004" s="20"/>
      <c r="R1004" s="20"/>
      <c r="S1004" s="20"/>
      <c r="T1004" s="20"/>
    </row>
    <row r="1005" spans="1:21" x14ac:dyDescent="0.25">
      <c r="A1005" s="3">
        <v>41782</v>
      </c>
      <c r="B1005" s="36">
        <v>94</v>
      </c>
      <c r="C1005" t="s">
        <v>1931</v>
      </c>
      <c r="D1005">
        <v>8.25</v>
      </c>
      <c r="E1005" s="18">
        <v>825</v>
      </c>
      <c r="G1005" t="s">
        <v>1932</v>
      </c>
      <c r="H1005" s="18">
        <v>825</v>
      </c>
      <c r="I1005" s="3">
        <v>41782</v>
      </c>
      <c r="J1005"/>
      <c r="L1005"/>
      <c r="M1005"/>
      <c r="N1005" s="20"/>
      <c r="O1005" t="s">
        <v>1930</v>
      </c>
      <c r="P1005" s="20"/>
      <c r="Q1005" s="20"/>
      <c r="R1005" s="20"/>
      <c r="S1005" s="20"/>
      <c r="T1005" s="20"/>
    </row>
    <row r="1006" spans="1:21" x14ac:dyDescent="0.25">
      <c r="A1006" s="3">
        <v>41803</v>
      </c>
      <c r="B1006" s="36">
        <v>94</v>
      </c>
      <c r="C1006" t="s">
        <v>1933</v>
      </c>
      <c r="D1006">
        <v>4.5</v>
      </c>
      <c r="E1006" s="18">
        <v>450</v>
      </c>
      <c r="G1006" t="s">
        <v>1934</v>
      </c>
      <c r="H1006" s="18">
        <v>450</v>
      </c>
      <c r="I1006" s="3">
        <v>41803</v>
      </c>
      <c r="J1006"/>
      <c r="L1006"/>
      <c r="M1006"/>
      <c r="N1006" s="20"/>
      <c r="O1006" t="s">
        <v>1169</v>
      </c>
      <c r="P1006" s="20"/>
      <c r="Q1006" s="20"/>
      <c r="R1006" s="20"/>
      <c r="S1006" s="20"/>
      <c r="T1006" s="20"/>
    </row>
    <row r="1007" spans="1:21" x14ac:dyDescent="0.25">
      <c r="A1007" s="3">
        <v>41803</v>
      </c>
      <c r="B1007" s="36">
        <v>94</v>
      </c>
      <c r="C1007" t="s">
        <v>1935</v>
      </c>
      <c r="D1007">
        <v>6.5</v>
      </c>
      <c r="E1007" s="18">
        <v>650</v>
      </c>
      <c r="G1007" t="s">
        <v>1936</v>
      </c>
      <c r="H1007" s="18">
        <v>650</v>
      </c>
      <c r="I1007" s="3">
        <v>41803</v>
      </c>
      <c r="J1007"/>
      <c r="L1007"/>
      <c r="M1007"/>
      <c r="N1007" s="20"/>
      <c r="O1007" t="s">
        <v>1169</v>
      </c>
      <c r="P1007" s="20"/>
      <c r="Q1007" s="20"/>
      <c r="R1007" s="20"/>
      <c r="S1007" s="20"/>
      <c r="T1007" s="20"/>
    </row>
    <row r="1008" spans="1:21" x14ac:dyDescent="0.25">
      <c r="A1008" s="3">
        <v>41803</v>
      </c>
      <c r="B1008" s="36">
        <v>94</v>
      </c>
      <c r="C1008" t="s">
        <v>1937</v>
      </c>
      <c r="D1008">
        <v>5.61</v>
      </c>
      <c r="E1008" s="18">
        <v>561</v>
      </c>
      <c r="G1008" t="s">
        <v>1938</v>
      </c>
      <c r="H1008" s="18">
        <v>561</v>
      </c>
      <c r="I1008" s="3">
        <v>41803</v>
      </c>
      <c r="J1008"/>
      <c r="L1008"/>
      <c r="M1008"/>
      <c r="N1008" s="20"/>
      <c r="O1008" t="s">
        <v>1939</v>
      </c>
      <c r="P1008" s="20"/>
      <c r="Q1008" s="20"/>
      <c r="R1008" s="20"/>
      <c r="S1008" s="20"/>
      <c r="T1008" s="20"/>
    </row>
    <row r="1009" spans="1:20" x14ac:dyDescent="0.25">
      <c r="A1009" s="3">
        <v>41810</v>
      </c>
      <c r="B1009" s="36">
        <v>94</v>
      </c>
      <c r="C1009" t="s">
        <v>1940</v>
      </c>
      <c r="D1009">
        <v>3.69</v>
      </c>
      <c r="E1009" s="18">
        <v>369</v>
      </c>
      <c r="G1009" t="s">
        <v>1941</v>
      </c>
      <c r="H1009" s="18">
        <v>369</v>
      </c>
      <c r="I1009" s="3">
        <v>41810</v>
      </c>
      <c r="J1009"/>
      <c r="L1009"/>
      <c r="M1009"/>
      <c r="N1009" s="20"/>
      <c r="O1009" t="s">
        <v>931</v>
      </c>
      <c r="P1009" s="20"/>
      <c r="Q1009" s="20"/>
      <c r="R1009" s="20"/>
      <c r="S1009" s="20"/>
      <c r="T1009" s="20"/>
    </row>
    <row r="1010" spans="1:20" x14ac:dyDescent="0.25">
      <c r="A1010" s="3">
        <v>41810</v>
      </c>
      <c r="B1010" s="36">
        <v>94</v>
      </c>
      <c r="C1010" t="s">
        <v>1942</v>
      </c>
      <c r="D1010">
        <v>4.5</v>
      </c>
      <c r="E1010" s="18">
        <v>450</v>
      </c>
      <c r="G1010" t="s">
        <v>1943</v>
      </c>
      <c r="H1010" s="18">
        <v>450</v>
      </c>
      <c r="I1010" s="3">
        <v>41810</v>
      </c>
      <c r="J1010"/>
      <c r="L1010"/>
      <c r="M1010"/>
      <c r="N1010" s="20"/>
      <c r="O1010" t="s">
        <v>1169</v>
      </c>
      <c r="P1010" s="20"/>
      <c r="Q1010" s="20"/>
      <c r="R1010" s="20"/>
      <c r="S1010" s="20"/>
      <c r="T1010" s="20"/>
    </row>
    <row r="1011" spans="1:20" x14ac:dyDescent="0.25">
      <c r="A1011" s="3">
        <v>41817</v>
      </c>
      <c r="B1011" s="36">
        <v>94</v>
      </c>
      <c r="C1011" t="s">
        <v>1838</v>
      </c>
      <c r="E1011" s="18">
        <v>200</v>
      </c>
      <c r="G1011" t="s">
        <v>442</v>
      </c>
      <c r="H1011" s="18" t="s">
        <v>442</v>
      </c>
      <c r="I1011" s="3" t="s">
        <v>442</v>
      </c>
      <c r="J1011"/>
      <c r="L1011"/>
      <c r="M1011"/>
      <c r="N1011" s="20"/>
      <c r="O1011"/>
      <c r="P1011" s="20"/>
      <c r="Q1011" s="20"/>
      <c r="R1011" s="20"/>
      <c r="S1011" s="20" t="s">
        <v>401</v>
      </c>
      <c r="T1011" s="20"/>
    </row>
    <row r="1012" spans="1:20" x14ac:dyDescent="0.25">
      <c r="A1012" s="3">
        <v>41845</v>
      </c>
      <c r="B1012" s="36">
        <v>94</v>
      </c>
      <c r="C1012" t="s">
        <v>1944</v>
      </c>
      <c r="D1012">
        <v>8.16</v>
      </c>
      <c r="E1012" s="18">
        <v>500</v>
      </c>
      <c r="G1012" t="s">
        <v>1945</v>
      </c>
      <c r="H1012" s="18">
        <v>500</v>
      </c>
      <c r="I1012" s="3">
        <v>41845</v>
      </c>
      <c r="J1012"/>
      <c r="L1012"/>
      <c r="M1012"/>
      <c r="N1012" s="20"/>
      <c r="O1012"/>
      <c r="P1012" s="20"/>
      <c r="Q1012" s="20"/>
      <c r="R1012" s="20"/>
      <c r="S1012" s="20"/>
      <c r="T1012" s="20"/>
    </row>
    <row r="1013" spans="1:20" x14ac:dyDescent="0.25">
      <c r="A1013" s="3">
        <v>41865</v>
      </c>
      <c r="B1013" s="36">
        <v>94</v>
      </c>
      <c r="C1013" t="s">
        <v>1940</v>
      </c>
      <c r="D1013">
        <v>3.06</v>
      </c>
      <c r="E1013" s="18">
        <v>-369</v>
      </c>
      <c r="G1013" t="s">
        <v>1941</v>
      </c>
      <c r="H1013" s="18" t="s">
        <v>442</v>
      </c>
      <c r="I1013" s="3" t="s">
        <v>442</v>
      </c>
      <c r="J1013"/>
      <c r="L1013"/>
      <c r="M1013"/>
      <c r="N1013" s="20"/>
      <c r="O1013" t="s">
        <v>1946</v>
      </c>
      <c r="P1013" s="20"/>
      <c r="Q1013" s="20"/>
      <c r="R1013" s="20"/>
      <c r="S1013" s="20"/>
      <c r="T1013" s="20"/>
    </row>
    <row r="1014" spans="1:20" x14ac:dyDescent="0.25">
      <c r="A1014" s="3">
        <v>41865</v>
      </c>
      <c r="B1014" s="36">
        <v>94</v>
      </c>
      <c r="C1014" t="s">
        <v>1947</v>
      </c>
      <c r="D1014">
        <v>9</v>
      </c>
      <c r="E1014" s="18">
        <v>900</v>
      </c>
      <c r="F1014" t="s">
        <v>889</v>
      </c>
      <c r="G1014" t="s">
        <v>1948</v>
      </c>
      <c r="H1014" s="18">
        <v>900</v>
      </c>
      <c r="I1014" s="3">
        <v>41865</v>
      </c>
      <c r="J1014"/>
      <c r="L1014"/>
      <c r="M1014"/>
      <c r="N1014" s="20"/>
      <c r="O1014"/>
      <c r="P1014" s="20"/>
      <c r="Q1014" s="20"/>
      <c r="R1014" s="20"/>
      <c r="S1014" s="20"/>
      <c r="T1014" s="20"/>
    </row>
    <row r="1015" spans="1:20" x14ac:dyDescent="0.25">
      <c r="A1015" s="3">
        <v>41865</v>
      </c>
      <c r="B1015" s="36">
        <v>94</v>
      </c>
      <c r="C1015" t="s">
        <v>1933</v>
      </c>
      <c r="D1015">
        <v>4.5</v>
      </c>
      <c r="E1015" s="18">
        <v>-450</v>
      </c>
      <c r="G1015" t="s">
        <v>1934</v>
      </c>
      <c r="H1015" s="18" t="s">
        <v>442</v>
      </c>
      <c r="I1015" s="3" t="s">
        <v>442</v>
      </c>
      <c r="J1015"/>
      <c r="L1015"/>
      <c r="M1015"/>
      <c r="N1015" s="20"/>
      <c r="O1015" t="s">
        <v>949</v>
      </c>
      <c r="P1015" s="20"/>
      <c r="Q1015" s="20"/>
      <c r="R1015" s="20"/>
      <c r="S1015" s="20"/>
      <c r="T1015" s="20"/>
    </row>
    <row r="1016" spans="1:20" x14ac:dyDescent="0.25">
      <c r="A1016" s="3">
        <v>41865</v>
      </c>
      <c r="B1016" s="36">
        <v>94</v>
      </c>
      <c r="C1016" t="s">
        <v>1935</v>
      </c>
      <c r="D1016">
        <v>5.3550000000000004</v>
      </c>
      <c r="E1016" s="18">
        <v>-650</v>
      </c>
      <c r="G1016" t="s">
        <v>1936</v>
      </c>
      <c r="H1016" s="18" t="s">
        <v>442</v>
      </c>
      <c r="I1016" s="3" t="s">
        <v>442</v>
      </c>
      <c r="J1016"/>
      <c r="L1016"/>
      <c r="M1016"/>
      <c r="N1016" s="20"/>
      <c r="O1016" t="s">
        <v>1946</v>
      </c>
      <c r="P1016" s="20"/>
      <c r="Q1016" s="20"/>
      <c r="R1016" s="20"/>
      <c r="S1016" s="20"/>
      <c r="T1016" s="20"/>
    </row>
    <row r="1017" spans="1:20" x14ac:dyDescent="0.25">
      <c r="A1017" s="3">
        <v>41865</v>
      </c>
      <c r="B1017" s="36">
        <v>94</v>
      </c>
      <c r="C1017" t="s">
        <v>1949</v>
      </c>
      <c r="D1017">
        <v>8.16</v>
      </c>
      <c r="E1017" s="18">
        <v>316</v>
      </c>
      <c r="F1017" t="s">
        <v>889</v>
      </c>
      <c r="G1017" t="s">
        <v>1945</v>
      </c>
      <c r="H1017" s="18">
        <v>316</v>
      </c>
      <c r="I1017" s="3">
        <v>41865</v>
      </c>
      <c r="J1017"/>
      <c r="L1017"/>
      <c r="M1017"/>
      <c r="N1017" s="20"/>
      <c r="O1017"/>
      <c r="P1017" s="20"/>
      <c r="Q1017" s="20"/>
      <c r="R1017" s="20"/>
      <c r="S1017" s="20"/>
      <c r="T1017" s="20"/>
    </row>
    <row r="1018" spans="1:20" x14ac:dyDescent="0.25">
      <c r="A1018" s="3">
        <v>41865</v>
      </c>
      <c r="B1018" s="36">
        <v>94</v>
      </c>
      <c r="C1018" t="s">
        <v>1950</v>
      </c>
      <c r="D1018">
        <v>11</v>
      </c>
      <c r="E1018" s="18">
        <v>1100</v>
      </c>
      <c r="F1018" t="s">
        <v>889</v>
      </c>
      <c r="G1018" t="s">
        <v>1951</v>
      </c>
      <c r="H1018" s="18">
        <v>1100</v>
      </c>
      <c r="I1018" s="3">
        <v>41865</v>
      </c>
      <c r="J1018"/>
      <c r="L1018"/>
      <c r="M1018"/>
      <c r="N1018" s="20"/>
      <c r="O1018" t="s">
        <v>931</v>
      </c>
      <c r="P1018" s="20"/>
      <c r="Q1018" s="20"/>
      <c r="R1018" s="20"/>
      <c r="S1018" s="20"/>
      <c r="T1018" s="20"/>
    </row>
    <row r="1019" spans="1:20" x14ac:dyDescent="0.25">
      <c r="A1019" s="3">
        <v>41873</v>
      </c>
      <c r="B1019" s="36">
        <v>94</v>
      </c>
      <c r="C1019" t="s">
        <v>1952</v>
      </c>
      <c r="D1019">
        <v>11</v>
      </c>
      <c r="E1019" s="18">
        <v>1100</v>
      </c>
      <c r="F1019" t="s">
        <v>889</v>
      </c>
      <c r="G1019" t="s">
        <v>1953</v>
      </c>
      <c r="H1019" s="18">
        <v>1100</v>
      </c>
      <c r="I1019" s="3">
        <v>41873</v>
      </c>
      <c r="J1019"/>
      <c r="L1019"/>
      <c r="M1019"/>
      <c r="N1019" s="20"/>
      <c r="O1019"/>
      <c r="P1019" s="20"/>
      <c r="Q1019" s="20"/>
      <c r="R1019" s="20"/>
      <c r="S1019" s="20"/>
      <c r="T1019" s="20"/>
    </row>
    <row r="1020" spans="1:20" x14ac:dyDescent="0.25">
      <c r="A1020" s="3">
        <v>41879</v>
      </c>
      <c r="B1020" s="36">
        <v>94</v>
      </c>
      <c r="C1020" t="s">
        <v>1952</v>
      </c>
      <c r="D1020">
        <v>11</v>
      </c>
      <c r="E1020" s="18">
        <v>1100</v>
      </c>
      <c r="F1020" t="s">
        <v>889</v>
      </c>
      <c r="G1020" t="s">
        <v>1953</v>
      </c>
      <c r="H1020" s="18">
        <v>1100</v>
      </c>
      <c r="I1020" s="3">
        <v>41879</v>
      </c>
      <c r="J1020"/>
      <c r="L1020"/>
      <c r="M1020"/>
      <c r="N1020" s="20"/>
      <c r="O1020"/>
      <c r="P1020" s="20"/>
      <c r="Q1020" s="20"/>
      <c r="R1020" s="20"/>
      <c r="S1020" s="20"/>
      <c r="T1020" s="20"/>
    </row>
    <row r="1021" spans="1:20" x14ac:dyDescent="0.25">
      <c r="A1021" s="3">
        <v>41918</v>
      </c>
      <c r="B1021" s="36">
        <v>94</v>
      </c>
      <c r="C1021" t="s">
        <v>1947</v>
      </c>
      <c r="D1021">
        <v>9</v>
      </c>
      <c r="E1021" s="18">
        <v>-900</v>
      </c>
      <c r="F1021" t="s">
        <v>889</v>
      </c>
      <c r="G1021" t="s">
        <v>1948</v>
      </c>
      <c r="H1021" s="18" t="s">
        <v>442</v>
      </c>
      <c r="I1021" s="3" t="s">
        <v>442</v>
      </c>
      <c r="J1021"/>
      <c r="L1021"/>
      <c r="M1021"/>
      <c r="N1021" s="20"/>
      <c r="O1021"/>
      <c r="P1021" s="20"/>
      <c r="Q1021" s="20"/>
      <c r="R1021" s="20"/>
      <c r="S1021" s="20"/>
      <c r="T1021" s="20"/>
    </row>
    <row r="1022" spans="1:20" x14ac:dyDescent="0.25">
      <c r="A1022" s="3">
        <v>41918</v>
      </c>
      <c r="B1022" s="36">
        <v>94</v>
      </c>
      <c r="C1022" t="s">
        <v>1954</v>
      </c>
      <c r="D1022">
        <v>18</v>
      </c>
      <c r="E1022" s="18">
        <v>1800</v>
      </c>
      <c r="F1022" t="s">
        <v>889</v>
      </c>
      <c r="G1022" t="s">
        <v>1955</v>
      </c>
      <c r="H1022" s="18">
        <v>1800</v>
      </c>
      <c r="I1022" s="3">
        <v>41918</v>
      </c>
      <c r="J1022"/>
      <c r="L1022"/>
      <c r="M1022"/>
      <c r="N1022" s="20"/>
      <c r="O1022"/>
      <c r="P1022" s="20"/>
      <c r="Q1022" s="20"/>
      <c r="R1022" s="20"/>
      <c r="S1022" s="20"/>
      <c r="T1022" s="20"/>
    </row>
    <row r="1023" spans="1:20" x14ac:dyDescent="0.25">
      <c r="A1023" s="3">
        <v>41957</v>
      </c>
      <c r="B1023" s="36">
        <v>94</v>
      </c>
      <c r="C1023" t="s">
        <v>1950</v>
      </c>
      <c r="D1023">
        <v>11</v>
      </c>
      <c r="E1023" s="18">
        <v>1100</v>
      </c>
      <c r="F1023" t="s">
        <v>889</v>
      </c>
      <c r="G1023" t="s">
        <v>1951</v>
      </c>
      <c r="H1023" s="18">
        <v>1100</v>
      </c>
      <c r="I1023" s="3">
        <v>41957</v>
      </c>
      <c r="J1023"/>
      <c r="L1023"/>
      <c r="M1023"/>
      <c r="N1023" s="20"/>
      <c r="O1023" t="s">
        <v>959</v>
      </c>
      <c r="P1023" s="20"/>
      <c r="Q1023" s="20"/>
      <c r="R1023" s="20"/>
      <c r="S1023" s="20"/>
      <c r="T1023" s="20"/>
    </row>
    <row r="1024" spans="1:20" x14ac:dyDescent="0.25">
      <c r="A1024" s="3">
        <v>41971</v>
      </c>
      <c r="B1024" s="36">
        <v>94</v>
      </c>
      <c r="C1024" t="s">
        <v>1956</v>
      </c>
      <c r="D1024">
        <v>5.25</v>
      </c>
      <c r="E1024" s="18">
        <v>525</v>
      </c>
      <c r="F1024" t="s">
        <v>889</v>
      </c>
      <c r="G1024" t="s">
        <v>1957</v>
      </c>
      <c r="H1024" s="18">
        <v>525</v>
      </c>
      <c r="I1024" s="3">
        <v>41971</v>
      </c>
      <c r="J1024"/>
      <c r="L1024"/>
      <c r="M1024"/>
      <c r="N1024" s="20"/>
      <c r="O1024"/>
      <c r="P1024" s="20"/>
      <c r="Q1024" s="20"/>
      <c r="R1024" s="20"/>
      <c r="S1024" s="20"/>
      <c r="T1024" s="20"/>
    </row>
    <row r="1025" spans="1:21" x14ac:dyDescent="0.25">
      <c r="A1025" s="3">
        <v>41971</v>
      </c>
      <c r="B1025" s="36">
        <v>94</v>
      </c>
      <c r="C1025" t="s">
        <v>1958</v>
      </c>
      <c r="D1025">
        <v>7.5</v>
      </c>
      <c r="E1025" s="18">
        <v>750</v>
      </c>
      <c r="F1025" t="s">
        <v>889</v>
      </c>
      <c r="G1025" t="s">
        <v>1959</v>
      </c>
      <c r="H1025" s="18">
        <v>750</v>
      </c>
      <c r="I1025" s="3">
        <v>41971</v>
      </c>
      <c r="J1025"/>
      <c r="L1025"/>
      <c r="M1025"/>
      <c r="N1025" s="20"/>
      <c r="O1025"/>
      <c r="P1025" s="20"/>
      <c r="Q1025" s="20"/>
      <c r="R1025" s="20"/>
      <c r="S1025" s="20"/>
      <c r="T1025" s="20"/>
    </row>
    <row r="1026" spans="1:21" x14ac:dyDescent="0.25">
      <c r="A1026" s="3">
        <v>42004</v>
      </c>
      <c r="B1026" s="36">
        <v>94</v>
      </c>
      <c r="C1026" t="s">
        <v>1937</v>
      </c>
      <c r="D1026">
        <v>8.16</v>
      </c>
      <c r="E1026" s="18">
        <v>272</v>
      </c>
      <c r="F1026" t="s">
        <v>889</v>
      </c>
      <c r="G1026" t="s">
        <v>1945</v>
      </c>
      <c r="H1026" s="18">
        <v>272</v>
      </c>
      <c r="I1026" s="3">
        <v>42004</v>
      </c>
      <c r="J1026"/>
      <c r="L1026"/>
      <c r="M1026"/>
      <c r="N1026" s="20"/>
      <c r="O1026"/>
      <c r="P1026" s="20"/>
      <c r="Q1026" s="20"/>
      <c r="R1026" s="20"/>
      <c r="S1026" s="20"/>
      <c r="T1026" s="20"/>
    </row>
    <row r="1027" spans="1:21" x14ac:dyDescent="0.25">
      <c r="A1027" s="3">
        <v>42004</v>
      </c>
      <c r="B1027" s="36">
        <v>94</v>
      </c>
      <c r="C1027" t="s">
        <v>1960</v>
      </c>
      <c r="D1027">
        <v>11</v>
      </c>
      <c r="E1027" s="18">
        <v>366.66666666666669</v>
      </c>
      <c r="F1027" t="s">
        <v>889</v>
      </c>
      <c r="G1027" t="s">
        <v>1953</v>
      </c>
      <c r="H1027" s="18">
        <v>366.66666666666669</v>
      </c>
      <c r="I1027" s="3">
        <v>42004</v>
      </c>
      <c r="J1027"/>
      <c r="L1027"/>
      <c r="M1027"/>
      <c r="N1027" s="20"/>
      <c r="O1027"/>
      <c r="P1027" s="20"/>
      <c r="Q1027" s="20"/>
      <c r="R1027" s="20"/>
      <c r="S1027" s="20"/>
      <c r="T1027" s="20"/>
    </row>
    <row r="1028" spans="1:21" x14ac:dyDescent="0.25">
      <c r="A1028" s="3">
        <v>42004</v>
      </c>
      <c r="B1028" s="36">
        <v>94</v>
      </c>
      <c r="C1028" t="s">
        <v>1942</v>
      </c>
      <c r="D1028">
        <v>5.3550000000000004</v>
      </c>
      <c r="E1028" s="18">
        <v>207</v>
      </c>
      <c r="F1028" t="s">
        <v>889</v>
      </c>
      <c r="G1028" t="s">
        <v>1943</v>
      </c>
      <c r="H1028" s="18">
        <v>207</v>
      </c>
      <c r="I1028" s="3">
        <v>42004</v>
      </c>
      <c r="J1028"/>
      <c r="L1028"/>
      <c r="M1028"/>
      <c r="N1028" s="20"/>
      <c r="O1028"/>
      <c r="P1028" s="20"/>
      <c r="Q1028" s="20"/>
      <c r="R1028" s="20"/>
      <c r="S1028" s="20"/>
      <c r="T1028" s="20"/>
    </row>
    <row r="1029" spans="1:21" x14ac:dyDescent="0.25">
      <c r="A1029" s="3">
        <v>42004</v>
      </c>
      <c r="B1029" s="36">
        <v>94</v>
      </c>
      <c r="C1029" t="s">
        <v>1928</v>
      </c>
      <c r="D1029">
        <v>5.3550000000000004</v>
      </c>
      <c r="E1029" s="18">
        <v>115.33333333333333</v>
      </c>
      <c r="F1029" t="s">
        <v>889</v>
      </c>
      <c r="G1029" t="s">
        <v>1929</v>
      </c>
      <c r="H1029" s="18">
        <v>115.33333333333333</v>
      </c>
      <c r="I1029" s="3">
        <v>42004</v>
      </c>
      <c r="J1029"/>
      <c r="L1029"/>
      <c r="M1029"/>
      <c r="N1029" s="20"/>
      <c r="O1029"/>
      <c r="P1029" s="20"/>
      <c r="Q1029" s="20"/>
      <c r="R1029" s="20"/>
      <c r="S1029" s="20"/>
      <c r="T1029" s="20"/>
    </row>
    <row r="1030" spans="1:21" x14ac:dyDescent="0.25">
      <c r="A1030" s="3">
        <v>42019</v>
      </c>
      <c r="B1030" s="36">
        <v>94</v>
      </c>
      <c r="C1030" t="s">
        <v>1961</v>
      </c>
      <c r="D1030" s="55">
        <v>5.25</v>
      </c>
      <c r="E1030" s="18">
        <v>525</v>
      </c>
      <c r="F1030" t="s">
        <v>889</v>
      </c>
      <c r="G1030" t="s">
        <v>1957</v>
      </c>
      <c r="H1030" s="18">
        <v>525</v>
      </c>
      <c r="I1030" s="3">
        <v>42019</v>
      </c>
      <c r="J1030"/>
      <c r="L1030"/>
      <c r="M1030"/>
      <c r="N1030" s="20"/>
      <c r="O1030"/>
      <c r="P1030" s="20"/>
      <c r="Q1030" s="20"/>
      <c r="R1030" s="20"/>
      <c r="S1030" s="20"/>
      <c r="T1030" s="20"/>
    </row>
    <row r="1031" spans="1:21" x14ac:dyDescent="0.25">
      <c r="A1031" s="3">
        <v>41761</v>
      </c>
      <c r="B1031" s="36">
        <v>95</v>
      </c>
      <c r="C1031" t="s">
        <v>1962</v>
      </c>
      <c r="D1031">
        <v>6.75</v>
      </c>
      <c r="E1031" s="18">
        <v>675</v>
      </c>
      <c r="G1031" t="s">
        <v>1963</v>
      </c>
      <c r="H1031" s="18">
        <v>675</v>
      </c>
      <c r="I1031" s="3">
        <v>41761</v>
      </c>
      <c r="J1031"/>
      <c r="L1031"/>
      <c r="M1031"/>
      <c r="N1031" s="20"/>
      <c r="O1031"/>
      <c r="P1031" s="20"/>
      <c r="Q1031" s="20"/>
      <c r="R1031" s="20"/>
      <c r="S1031" s="20"/>
      <c r="T1031" s="20"/>
    </row>
    <row r="1032" spans="1:21" x14ac:dyDescent="0.25">
      <c r="B1032">
        <v>95</v>
      </c>
      <c r="C1032" t="s">
        <v>1962</v>
      </c>
      <c r="D1032">
        <v>5.8650000000000002</v>
      </c>
      <c r="E1032" s="18">
        <v>-675</v>
      </c>
      <c r="F1032" t="s">
        <v>889</v>
      </c>
      <c r="G1032" t="s">
        <v>1963</v>
      </c>
      <c r="I1032"/>
      <c r="J1032"/>
      <c r="L1032"/>
      <c r="M1032"/>
      <c r="O1032"/>
      <c r="P1032" s="20"/>
      <c r="Q1032" s="20"/>
      <c r="R1032" s="20"/>
      <c r="S1032" s="20"/>
      <c r="T1032" s="20"/>
      <c r="U1032" t="s">
        <v>401</v>
      </c>
    </row>
    <row r="1033" spans="1:21" x14ac:dyDescent="0.25">
      <c r="B1033">
        <v>95</v>
      </c>
      <c r="C1033" t="s">
        <v>1964</v>
      </c>
      <c r="D1033" t="s">
        <v>442</v>
      </c>
      <c r="E1033" s="18">
        <v>-600</v>
      </c>
      <c r="F1033" t="s">
        <v>891</v>
      </c>
      <c r="G1033" t="s">
        <v>442</v>
      </c>
      <c r="I1033"/>
      <c r="J1033"/>
      <c r="L1033"/>
      <c r="M1033"/>
      <c r="O1033"/>
      <c r="P1033" s="20"/>
      <c r="Q1033" s="20"/>
      <c r="R1033" s="20"/>
      <c r="S1033" s="20"/>
      <c r="T1033" s="20"/>
      <c r="U1033" t="s">
        <v>401</v>
      </c>
    </row>
    <row r="1034" spans="1:21" x14ac:dyDescent="0.25">
      <c r="A1034" s="3">
        <v>41789</v>
      </c>
      <c r="B1034" s="36">
        <v>96</v>
      </c>
      <c r="C1034" t="s">
        <v>1965</v>
      </c>
      <c r="D1034">
        <v>5.75</v>
      </c>
      <c r="E1034" s="18">
        <v>575</v>
      </c>
      <c r="G1034" t="s">
        <v>1966</v>
      </c>
      <c r="H1034" s="18">
        <v>575</v>
      </c>
      <c r="I1034" s="3">
        <v>41789</v>
      </c>
      <c r="J1034"/>
      <c r="L1034"/>
      <c r="M1034"/>
      <c r="N1034" s="20"/>
      <c r="O1034"/>
      <c r="P1034" s="20"/>
      <c r="Q1034" s="20"/>
      <c r="R1034" s="20"/>
      <c r="S1034" s="20"/>
      <c r="T1034" s="20"/>
    </row>
    <row r="1035" spans="1:21" x14ac:dyDescent="0.25">
      <c r="A1035" s="3">
        <v>41789</v>
      </c>
      <c r="B1035" s="36">
        <v>96</v>
      </c>
      <c r="C1035" t="s">
        <v>1072</v>
      </c>
      <c r="E1035" s="18">
        <v>-407.28</v>
      </c>
      <c r="G1035" t="s">
        <v>442</v>
      </c>
      <c r="H1035" s="18" t="s">
        <v>442</v>
      </c>
      <c r="I1035" s="3" t="s">
        <v>442</v>
      </c>
      <c r="J1035"/>
      <c r="L1035"/>
      <c r="M1035"/>
      <c r="N1035" s="20"/>
      <c r="O1035" t="s">
        <v>1967</v>
      </c>
      <c r="P1035" s="20"/>
      <c r="Q1035" s="20" t="s">
        <v>401</v>
      </c>
      <c r="R1035" s="20"/>
      <c r="S1035" s="20"/>
      <c r="T1035" s="20"/>
    </row>
    <row r="1036" spans="1:21" x14ac:dyDescent="0.25">
      <c r="A1036" s="3">
        <v>41796</v>
      </c>
      <c r="B1036" s="36">
        <v>96</v>
      </c>
      <c r="C1036" t="s">
        <v>1968</v>
      </c>
      <c r="D1036">
        <v>9</v>
      </c>
      <c r="E1036" s="18">
        <v>900</v>
      </c>
      <c r="G1036" t="s">
        <v>1969</v>
      </c>
      <c r="H1036" s="18">
        <v>900</v>
      </c>
      <c r="I1036" s="3">
        <v>41796</v>
      </c>
      <c r="J1036"/>
      <c r="L1036"/>
      <c r="M1036"/>
      <c r="N1036" s="20"/>
      <c r="O1036"/>
      <c r="P1036" s="20"/>
      <c r="Q1036" s="20"/>
      <c r="R1036" s="20"/>
      <c r="S1036" s="20"/>
      <c r="T1036" s="20"/>
    </row>
    <row r="1037" spans="1:21" x14ac:dyDescent="0.25">
      <c r="A1037" s="3">
        <v>41796</v>
      </c>
      <c r="B1037" s="36">
        <v>96</v>
      </c>
      <c r="C1037" t="s">
        <v>1071</v>
      </c>
      <c r="E1037" s="18">
        <v>-150</v>
      </c>
      <c r="G1037" t="s">
        <v>442</v>
      </c>
      <c r="H1037" s="18" t="s">
        <v>442</v>
      </c>
      <c r="I1037" s="3" t="s">
        <v>442</v>
      </c>
      <c r="J1037"/>
      <c r="L1037"/>
      <c r="M1037"/>
      <c r="N1037" s="20"/>
      <c r="O1037"/>
      <c r="P1037" s="20"/>
      <c r="Q1037" s="20" t="s">
        <v>401</v>
      </c>
      <c r="R1037" s="20"/>
      <c r="S1037" s="20"/>
      <c r="T1037" s="20"/>
    </row>
    <row r="1038" spans="1:21" x14ac:dyDescent="0.25">
      <c r="A1038" s="3">
        <v>41810</v>
      </c>
      <c r="B1038" s="36">
        <v>96</v>
      </c>
      <c r="C1038" t="s">
        <v>1965</v>
      </c>
      <c r="D1038">
        <v>5.75</v>
      </c>
      <c r="E1038" s="18">
        <v>-575</v>
      </c>
      <c r="G1038" t="s">
        <v>1966</v>
      </c>
      <c r="H1038" s="18" t="s">
        <v>442</v>
      </c>
      <c r="I1038" s="3" t="s">
        <v>442</v>
      </c>
      <c r="J1038"/>
      <c r="L1038"/>
      <c r="M1038"/>
      <c r="N1038" s="20"/>
      <c r="O1038" t="s">
        <v>949</v>
      </c>
      <c r="P1038" s="20"/>
      <c r="Q1038" s="20"/>
      <c r="R1038" s="20"/>
      <c r="S1038" s="20"/>
      <c r="T1038" s="20"/>
    </row>
    <row r="1039" spans="1:21" x14ac:dyDescent="0.25">
      <c r="A1039" s="3">
        <v>41810</v>
      </c>
      <c r="B1039" s="36">
        <v>96</v>
      </c>
      <c r="C1039" t="s">
        <v>1970</v>
      </c>
      <c r="D1039">
        <v>10</v>
      </c>
      <c r="E1039" s="18">
        <v>1000</v>
      </c>
      <c r="G1039" t="s">
        <v>1971</v>
      </c>
      <c r="H1039" s="18">
        <v>1000</v>
      </c>
      <c r="I1039" s="3">
        <v>41810</v>
      </c>
      <c r="J1039"/>
      <c r="L1039"/>
      <c r="M1039"/>
      <c r="N1039" s="20"/>
      <c r="O1039" t="s">
        <v>1972</v>
      </c>
      <c r="P1039" s="20"/>
      <c r="Q1039" s="20"/>
      <c r="R1039" s="20"/>
      <c r="S1039" s="20"/>
      <c r="T1039" s="20"/>
    </row>
    <row r="1040" spans="1:21" x14ac:dyDescent="0.25">
      <c r="A1040" s="3">
        <v>41810</v>
      </c>
      <c r="B1040" s="36">
        <v>96</v>
      </c>
      <c r="C1040" t="s">
        <v>1973</v>
      </c>
      <c r="E1040" s="18">
        <v>-300</v>
      </c>
      <c r="G1040" t="s">
        <v>442</v>
      </c>
      <c r="H1040" s="18" t="s">
        <v>442</v>
      </c>
      <c r="I1040" s="3" t="s">
        <v>442</v>
      </c>
      <c r="J1040"/>
      <c r="L1040"/>
      <c r="M1040"/>
      <c r="N1040" s="20"/>
      <c r="O1040" t="s">
        <v>1974</v>
      </c>
      <c r="P1040" s="20"/>
      <c r="Q1040" s="20" t="s">
        <v>401</v>
      </c>
      <c r="R1040" s="20"/>
      <c r="S1040" s="20"/>
      <c r="T1040" s="20"/>
    </row>
    <row r="1041" spans="1:21" x14ac:dyDescent="0.25">
      <c r="B1041">
        <v>96</v>
      </c>
      <c r="C1041" t="s">
        <v>1968</v>
      </c>
      <c r="D1041">
        <v>9</v>
      </c>
      <c r="E1041" s="18">
        <v>-900</v>
      </c>
      <c r="G1041" t="s">
        <v>1969</v>
      </c>
      <c r="I1041"/>
      <c r="J1041"/>
      <c r="L1041"/>
      <c r="M1041"/>
      <c r="O1041"/>
      <c r="P1041" s="20"/>
      <c r="Q1041" s="20"/>
      <c r="R1041" s="20"/>
      <c r="S1041" s="20"/>
      <c r="T1041" s="20"/>
      <c r="U1041" t="s">
        <v>401</v>
      </c>
    </row>
    <row r="1042" spans="1:21" x14ac:dyDescent="0.25">
      <c r="B1042">
        <v>96</v>
      </c>
      <c r="C1042" t="s">
        <v>1970</v>
      </c>
      <c r="D1042">
        <v>8.67</v>
      </c>
      <c r="E1042" s="18">
        <v>734</v>
      </c>
      <c r="F1042" t="s">
        <v>889</v>
      </c>
      <c r="G1042" t="s">
        <v>1971</v>
      </c>
      <c r="I1042"/>
      <c r="J1042"/>
      <c r="L1042"/>
      <c r="M1042"/>
      <c r="O1042"/>
      <c r="P1042" s="20"/>
      <c r="Q1042" s="20"/>
      <c r="R1042" s="20"/>
      <c r="S1042" s="20"/>
      <c r="T1042" s="20"/>
      <c r="U1042" t="s">
        <v>401</v>
      </c>
    </row>
    <row r="1043" spans="1:21" x14ac:dyDescent="0.25">
      <c r="B1043">
        <v>96</v>
      </c>
      <c r="C1043" t="s">
        <v>1838</v>
      </c>
      <c r="E1043" s="18">
        <v>200</v>
      </c>
      <c r="G1043" t="s">
        <v>442</v>
      </c>
      <c r="I1043"/>
      <c r="J1043"/>
      <c r="L1043"/>
      <c r="M1043"/>
      <c r="O1043"/>
      <c r="P1043" s="20"/>
      <c r="Q1043" s="20"/>
      <c r="R1043" s="20"/>
      <c r="S1043" s="20"/>
      <c r="T1043" s="20"/>
      <c r="U1043" t="s">
        <v>401</v>
      </c>
    </row>
    <row r="1044" spans="1:21" x14ac:dyDescent="0.25">
      <c r="B1044">
        <v>96</v>
      </c>
      <c r="C1044" t="s">
        <v>1574</v>
      </c>
      <c r="E1044" s="18">
        <v>-100</v>
      </c>
      <c r="G1044" t="s">
        <v>442</v>
      </c>
      <c r="I1044"/>
      <c r="J1044"/>
      <c r="L1044"/>
      <c r="M1044"/>
      <c r="O1044"/>
      <c r="P1044" s="20"/>
      <c r="Q1044" s="20"/>
      <c r="R1044" s="20"/>
      <c r="S1044" s="20"/>
      <c r="T1044" s="20"/>
      <c r="U1044" t="s">
        <v>401</v>
      </c>
    </row>
    <row r="1045" spans="1:21" x14ac:dyDescent="0.25">
      <c r="B1045">
        <v>96</v>
      </c>
      <c r="C1045" t="s">
        <v>1575</v>
      </c>
      <c r="E1045" s="18">
        <v>-100</v>
      </c>
      <c r="G1045" t="s">
        <v>442</v>
      </c>
      <c r="I1045"/>
      <c r="J1045"/>
      <c r="L1045"/>
      <c r="M1045"/>
      <c r="O1045"/>
      <c r="P1045" s="20"/>
      <c r="Q1045" s="20"/>
      <c r="R1045" s="20"/>
      <c r="S1045" s="20"/>
      <c r="T1045" s="20"/>
      <c r="U1045" t="s">
        <v>401</v>
      </c>
    </row>
    <row r="1046" spans="1:21" x14ac:dyDescent="0.25">
      <c r="A1046" s="3">
        <v>42041</v>
      </c>
      <c r="B1046">
        <v>98</v>
      </c>
      <c r="C1046" t="s">
        <v>1975</v>
      </c>
      <c r="E1046" s="18">
        <v>1305.5</v>
      </c>
      <c r="F1046" t="s">
        <v>889</v>
      </c>
      <c r="I1046"/>
      <c r="J1046"/>
      <c r="L1046"/>
      <c r="M1046"/>
      <c r="O1046"/>
      <c r="P1046" s="20"/>
      <c r="Q1046" s="20"/>
      <c r="R1046" s="20"/>
      <c r="S1046" s="20" t="s">
        <v>401</v>
      </c>
      <c r="T1046" s="20"/>
    </row>
    <row r="1047" spans="1:21" x14ac:dyDescent="0.25">
      <c r="A1047" s="3">
        <v>42041</v>
      </c>
      <c r="B1047">
        <v>98</v>
      </c>
      <c r="C1047" t="s">
        <v>1976</v>
      </c>
      <c r="E1047" s="18">
        <v>510</v>
      </c>
      <c r="F1047" t="s">
        <v>889</v>
      </c>
      <c r="G1047" t="s">
        <v>1977</v>
      </c>
      <c r="I1047"/>
      <c r="J1047"/>
      <c r="L1047"/>
      <c r="M1047"/>
      <c r="O1047"/>
      <c r="P1047" s="20"/>
      <c r="Q1047" s="20"/>
      <c r="R1047" s="20"/>
      <c r="S1047" s="20"/>
      <c r="T1047" s="20"/>
    </row>
    <row r="1048" spans="1:21" x14ac:dyDescent="0.25">
      <c r="A1048" s="3">
        <v>42041</v>
      </c>
      <c r="B1048">
        <v>98</v>
      </c>
      <c r="C1048" t="s">
        <v>1978</v>
      </c>
      <c r="E1048" s="18">
        <v>382.5</v>
      </c>
      <c r="F1048" t="s">
        <v>889</v>
      </c>
      <c r="G1048" t="s">
        <v>1979</v>
      </c>
      <c r="I1048"/>
      <c r="J1048"/>
      <c r="L1048"/>
      <c r="M1048"/>
      <c r="O1048"/>
      <c r="P1048" s="20"/>
      <c r="Q1048" s="20"/>
      <c r="R1048" s="20"/>
      <c r="S1048" s="20"/>
      <c r="T1048" s="20"/>
    </row>
    <row r="1049" spans="1:21" x14ac:dyDescent="0.25">
      <c r="A1049" s="3">
        <v>42041</v>
      </c>
      <c r="B1049">
        <v>98</v>
      </c>
      <c r="C1049" t="s">
        <v>1980</v>
      </c>
      <c r="E1049" s="18">
        <v>169.99999999999997</v>
      </c>
      <c r="F1049" t="s">
        <v>889</v>
      </c>
      <c r="G1049" t="s">
        <v>1981</v>
      </c>
      <c r="I1049"/>
      <c r="J1049"/>
      <c r="L1049"/>
      <c r="M1049"/>
      <c r="O1049"/>
      <c r="P1049" s="20"/>
      <c r="Q1049" s="20"/>
      <c r="R1049" s="20"/>
      <c r="S1049" s="20"/>
      <c r="T1049" s="20"/>
    </row>
    <row r="1050" spans="1:21" x14ac:dyDescent="0.25">
      <c r="A1050" s="3">
        <v>41796</v>
      </c>
      <c r="B1050" s="36">
        <v>99</v>
      </c>
      <c r="C1050" t="s">
        <v>1982</v>
      </c>
      <c r="D1050">
        <v>6.75</v>
      </c>
      <c r="E1050" s="18">
        <v>675</v>
      </c>
      <c r="G1050" t="s">
        <v>1983</v>
      </c>
      <c r="H1050" s="18">
        <v>675</v>
      </c>
      <c r="I1050" s="3">
        <v>41796</v>
      </c>
      <c r="J1050"/>
      <c r="L1050"/>
      <c r="M1050"/>
      <c r="N1050" s="20"/>
      <c r="O1050" t="s">
        <v>1345</v>
      </c>
      <c r="P1050" s="20"/>
      <c r="Q1050" s="20"/>
      <c r="R1050" s="20"/>
      <c r="S1050" s="20"/>
      <c r="T1050" s="20"/>
    </row>
    <row r="1051" spans="1:21" x14ac:dyDescent="0.25">
      <c r="A1051" s="3">
        <v>41796</v>
      </c>
      <c r="B1051" s="36">
        <v>99</v>
      </c>
      <c r="C1051" t="s">
        <v>1984</v>
      </c>
      <c r="D1051">
        <v>4.75</v>
      </c>
      <c r="E1051" s="18">
        <v>475</v>
      </c>
      <c r="G1051" t="s">
        <v>1985</v>
      </c>
      <c r="H1051" s="18">
        <v>475</v>
      </c>
      <c r="I1051" s="3">
        <v>41796</v>
      </c>
      <c r="J1051"/>
      <c r="L1051"/>
      <c r="M1051"/>
      <c r="N1051" s="20"/>
      <c r="O1051" t="s">
        <v>1345</v>
      </c>
      <c r="P1051" s="20"/>
      <c r="Q1051" s="20"/>
      <c r="R1051" s="20"/>
      <c r="S1051" s="20"/>
      <c r="T1051" s="20"/>
    </row>
    <row r="1052" spans="1:21" x14ac:dyDescent="0.25">
      <c r="A1052" s="3">
        <v>41796</v>
      </c>
      <c r="B1052" s="36">
        <v>99</v>
      </c>
      <c r="C1052" t="s">
        <v>1986</v>
      </c>
      <c r="D1052">
        <v>6</v>
      </c>
      <c r="E1052" s="18">
        <v>600</v>
      </c>
      <c r="G1052" t="s">
        <v>1987</v>
      </c>
      <c r="H1052" s="18">
        <v>600</v>
      </c>
      <c r="I1052" s="3">
        <v>41796</v>
      </c>
      <c r="J1052"/>
      <c r="L1052"/>
      <c r="M1052"/>
      <c r="N1052" s="20"/>
      <c r="O1052" t="s">
        <v>1345</v>
      </c>
      <c r="P1052" s="20"/>
      <c r="Q1052" s="20"/>
      <c r="R1052" s="20"/>
      <c r="S1052" s="20"/>
      <c r="T1052" s="20"/>
    </row>
    <row r="1053" spans="1:21" x14ac:dyDescent="0.25">
      <c r="A1053" s="3">
        <v>41796</v>
      </c>
      <c r="B1053" s="36">
        <v>99</v>
      </c>
      <c r="C1053" t="s">
        <v>1988</v>
      </c>
      <c r="D1053">
        <v>6.75</v>
      </c>
      <c r="E1053" s="18">
        <v>675</v>
      </c>
      <c r="G1053" t="s">
        <v>1989</v>
      </c>
      <c r="H1053" s="18">
        <v>675</v>
      </c>
      <c r="I1053" s="3">
        <v>41796</v>
      </c>
      <c r="J1053"/>
      <c r="L1053"/>
      <c r="M1053"/>
      <c r="N1053" s="20"/>
      <c r="O1053" t="s">
        <v>1345</v>
      </c>
      <c r="P1053" s="20"/>
      <c r="Q1053" s="20"/>
      <c r="R1053" s="20"/>
      <c r="S1053" s="20"/>
      <c r="T1053" s="20"/>
    </row>
    <row r="1054" spans="1:21" x14ac:dyDescent="0.25">
      <c r="A1054" s="3">
        <v>41796</v>
      </c>
      <c r="B1054" s="36">
        <v>99</v>
      </c>
      <c r="C1054" t="s">
        <v>1990</v>
      </c>
      <c r="D1054">
        <v>7.3949999999999996</v>
      </c>
      <c r="E1054" s="18">
        <v>739.5</v>
      </c>
      <c r="G1054" t="s">
        <v>1991</v>
      </c>
      <c r="H1054" s="18">
        <v>739.5</v>
      </c>
      <c r="I1054" s="3">
        <v>41796</v>
      </c>
      <c r="J1054"/>
      <c r="L1054"/>
      <c r="M1054"/>
      <c r="N1054" s="20"/>
      <c r="O1054" t="s">
        <v>1345</v>
      </c>
      <c r="P1054" s="20"/>
      <c r="Q1054" s="20"/>
      <c r="R1054" s="20"/>
      <c r="S1054" s="20"/>
      <c r="T1054" s="20"/>
    </row>
    <row r="1055" spans="1:21" x14ac:dyDescent="0.25">
      <c r="A1055" s="3">
        <v>41796</v>
      </c>
      <c r="B1055" s="36">
        <v>99</v>
      </c>
      <c r="C1055" t="s">
        <v>1071</v>
      </c>
      <c r="E1055" s="18">
        <v>-150</v>
      </c>
      <c r="G1055" t="s">
        <v>442</v>
      </c>
      <c r="H1055" s="18" t="s">
        <v>442</v>
      </c>
      <c r="I1055" s="3" t="s">
        <v>442</v>
      </c>
      <c r="J1055"/>
      <c r="L1055"/>
      <c r="M1055"/>
      <c r="N1055" s="20"/>
      <c r="O1055"/>
      <c r="P1055" s="20"/>
      <c r="Q1055" s="20" t="s">
        <v>401</v>
      </c>
      <c r="R1055" s="20"/>
      <c r="S1055" s="20"/>
      <c r="T1055" s="20"/>
    </row>
    <row r="1056" spans="1:21" x14ac:dyDescent="0.25">
      <c r="A1056" s="3">
        <v>41796</v>
      </c>
      <c r="B1056" s="36">
        <v>99</v>
      </c>
      <c r="C1056" t="s">
        <v>1072</v>
      </c>
      <c r="E1056" s="18">
        <v>-366.55</v>
      </c>
      <c r="G1056" t="s">
        <v>442</v>
      </c>
      <c r="H1056" s="18" t="s">
        <v>442</v>
      </c>
      <c r="I1056" s="3" t="s">
        <v>442</v>
      </c>
      <c r="J1056"/>
      <c r="L1056"/>
      <c r="M1056"/>
      <c r="N1056" s="20"/>
      <c r="O1056" t="s">
        <v>1992</v>
      </c>
      <c r="P1056" s="20"/>
      <c r="Q1056" s="20" t="s">
        <v>401</v>
      </c>
      <c r="R1056" s="20"/>
      <c r="S1056" s="20"/>
      <c r="T1056" s="20"/>
    </row>
    <row r="1057" spans="1:20" x14ac:dyDescent="0.25">
      <c r="A1057" s="3">
        <v>41803</v>
      </c>
      <c r="B1057" s="36">
        <v>99</v>
      </c>
      <c r="C1057" t="s">
        <v>1993</v>
      </c>
      <c r="D1057">
        <v>6.25</v>
      </c>
      <c r="E1057" s="18">
        <v>625</v>
      </c>
      <c r="G1057" t="s">
        <v>1994</v>
      </c>
      <c r="H1057" s="18">
        <v>625</v>
      </c>
      <c r="I1057" s="3">
        <v>41803</v>
      </c>
      <c r="J1057"/>
      <c r="L1057"/>
      <c r="M1057"/>
      <c r="N1057" s="20"/>
      <c r="O1057" t="s">
        <v>1169</v>
      </c>
      <c r="P1057" s="20"/>
      <c r="Q1057" s="20"/>
      <c r="R1057" s="20"/>
      <c r="S1057" s="20"/>
      <c r="T1057" s="20"/>
    </row>
    <row r="1058" spans="1:20" x14ac:dyDescent="0.25">
      <c r="A1058" s="3">
        <v>41810</v>
      </c>
      <c r="B1058" s="36">
        <v>99</v>
      </c>
      <c r="C1058" t="s">
        <v>1995</v>
      </c>
      <c r="D1058">
        <v>9.25</v>
      </c>
      <c r="E1058" s="18">
        <v>925</v>
      </c>
      <c r="G1058" t="s">
        <v>1996</v>
      </c>
      <c r="H1058" s="18">
        <v>925</v>
      </c>
      <c r="I1058" s="3">
        <v>41810</v>
      </c>
      <c r="J1058"/>
      <c r="L1058"/>
      <c r="M1058"/>
      <c r="N1058" s="20"/>
      <c r="O1058" t="s">
        <v>1169</v>
      </c>
      <c r="P1058" s="20"/>
      <c r="Q1058" s="20"/>
      <c r="R1058" s="20"/>
      <c r="S1058" s="20"/>
      <c r="T1058" s="20"/>
    </row>
    <row r="1059" spans="1:20" x14ac:dyDescent="0.25">
      <c r="A1059" s="3">
        <v>41810</v>
      </c>
      <c r="B1059" s="36">
        <v>99</v>
      </c>
      <c r="C1059" t="s">
        <v>1997</v>
      </c>
      <c r="D1059">
        <v>9.25</v>
      </c>
      <c r="E1059" s="18">
        <v>925</v>
      </c>
      <c r="G1059" t="s">
        <v>1998</v>
      </c>
      <c r="H1059" s="18">
        <v>925</v>
      </c>
      <c r="I1059" s="3">
        <v>41810</v>
      </c>
      <c r="J1059"/>
      <c r="L1059"/>
      <c r="M1059"/>
      <c r="N1059" s="20"/>
      <c r="O1059" t="s">
        <v>1169</v>
      </c>
      <c r="P1059" s="20"/>
      <c r="Q1059" s="20"/>
      <c r="R1059" s="20"/>
      <c r="S1059" s="20"/>
      <c r="T1059" s="20"/>
    </row>
    <row r="1060" spans="1:20" x14ac:dyDescent="0.25">
      <c r="A1060" s="3">
        <v>41810</v>
      </c>
      <c r="B1060" s="36">
        <v>99</v>
      </c>
      <c r="C1060" t="s">
        <v>1999</v>
      </c>
      <c r="E1060" s="18">
        <v>-242.85714285714283</v>
      </c>
      <c r="G1060" t="s">
        <v>442</v>
      </c>
      <c r="H1060" s="18" t="s">
        <v>442</v>
      </c>
      <c r="I1060" s="3" t="s">
        <v>442</v>
      </c>
      <c r="J1060"/>
      <c r="L1060"/>
      <c r="M1060"/>
      <c r="N1060" s="20"/>
      <c r="O1060" t="s">
        <v>2000</v>
      </c>
      <c r="P1060" s="20"/>
      <c r="Q1060" s="20" t="s">
        <v>401</v>
      </c>
      <c r="R1060" s="20"/>
      <c r="S1060" s="20"/>
      <c r="T1060" s="20"/>
    </row>
    <row r="1061" spans="1:20" x14ac:dyDescent="0.25">
      <c r="A1061" s="3">
        <v>41810</v>
      </c>
      <c r="B1061" s="36">
        <v>99</v>
      </c>
      <c r="C1061" t="s">
        <v>2001</v>
      </c>
      <c r="D1061">
        <v>5.75</v>
      </c>
      <c r="E1061" s="18">
        <v>575</v>
      </c>
      <c r="G1061" t="s">
        <v>2002</v>
      </c>
      <c r="H1061" s="18">
        <v>575</v>
      </c>
      <c r="I1061" s="3">
        <v>41810</v>
      </c>
      <c r="J1061"/>
      <c r="L1061"/>
      <c r="M1061"/>
      <c r="N1061" s="20"/>
      <c r="O1061" t="s">
        <v>1169</v>
      </c>
      <c r="P1061" s="20"/>
      <c r="Q1061" s="20"/>
      <c r="R1061" s="20"/>
      <c r="S1061" s="20"/>
      <c r="T1061" s="20"/>
    </row>
    <row r="1062" spans="1:20" x14ac:dyDescent="0.25">
      <c r="A1062" s="3">
        <v>41817</v>
      </c>
      <c r="B1062" s="36">
        <v>99</v>
      </c>
      <c r="C1062" t="s">
        <v>1838</v>
      </c>
      <c r="E1062" s="18">
        <v>200</v>
      </c>
      <c r="G1062" t="s">
        <v>442</v>
      </c>
      <c r="H1062" s="18" t="s">
        <v>442</v>
      </c>
      <c r="I1062" s="3" t="s">
        <v>442</v>
      </c>
      <c r="J1062"/>
      <c r="L1062"/>
      <c r="M1062"/>
      <c r="N1062" s="20"/>
      <c r="O1062"/>
      <c r="P1062" s="20"/>
      <c r="Q1062" s="20"/>
      <c r="R1062" s="20"/>
      <c r="S1062" s="20" t="s">
        <v>401</v>
      </c>
      <c r="T1062" s="20"/>
    </row>
    <row r="1063" spans="1:20" x14ac:dyDescent="0.25">
      <c r="A1063" s="3">
        <v>41845</v>
      </c>
      <c r="B1063" s="36">
        <v>99</v>
      </c>
      <c r="C1063" t="s">
        <v>1982</v>
      </c>
      <c r="D1063">
        <v>5.85</v>
      </c>
      <c r="E1063" s="18">
        <v>-675</v>
      </c>
      <c r="G1063" t="s">
        <v>1983</v>
      </c>
      <c r="H1063" s="18" t="s">
        <v>442</v>
      </c>
      <c r="I1063" s="3" t="s">
        <v>442</v>
      </c>
      <c r="J1063"/>
      <c r="L1063"/>
      <c r="M1063"/>
      <c r="N1063" s="20"/>
      <c r="O1063" t="s">
        <v>947</v>
      </c>
      <c r="P1063" s="20"/>
      <c r="Q1063" s="20"/>
      <c r="R1063" s="20"/>
      <c r="S1063" s="20"/>
      <c r="T1063" s="20"/>
    </row>
    <row r="1064" spans="1:20" x14ac:dyDescent="0.25">
      <c r="A1064" s="3">
        <v>41853</v>
      </c>
      <c r="B1064" s="36">
        <v>99</v>
      </c>
      <c r="C1064" t="s">
        <v>2003</v>
      </c>
      <c r="E1064" s="18">
        <v>154.5</v>
      </c>
      <c r="F1064" t="s">
        <v>2003</v>
      </c>
      <c r="H1064" s="18" t="s">
        <v>442</v>
      </c>
      <c r="I1064" s="3" t="s">
        <v>442</v>
      </c>
      <c r="J1064"/>
      <c r="L1064"/>
      <c r="M1064"/>
      <c r="N1064" s="20"/>
      <c r="O1064" t="s">
        <v>2003</v>
      </c>
      <c r="P1064" s="20" t="s">
        <v>401</v>
      </c>
      <c r="Q1064" s="20"/>
      <c r="R1064" s="20"/>
      <c r="S1064" s="20"/>
      <c r="T1064" s="20"/>
    </row>
    <row r="1065" spans="1:20" x14ac:dyDescent="0.25">
      <c r="A1065" s="3">
        <v>41929</v>
      </c>
      <c r="B1065" s="36">
        <v>99</v>
      </c>
      <c r="C1065" t="s">
        <v>1986</v>
      </c>
      <c r="E1065" s="18">
        <v>522</v>
      </c>
      <c r="F1065" t="s">
        <v>889</v>
      </c>
      <c r="G1065" t="s">
        <v>1987</v>
      </c>
      <c r="H1065" s="18">
        <v>522</v>
      </c>
      <c r="I1065" s="3">
        <v>41929</v>
      </c>
      <c r="J1065"/>
      <c r="L1065"/>
      <c r="M1065"/>
      <c r="N1065" s="20"/>
      <c r="O1065" t="s">
        <v>959</v>
      </c>
      <c r="P1065" s="20"/>
      <c r="Q1065" s="20"/>
      <c r="R1065" s="20"/>
      <c r="S1065" s="20"/>
      <c r="T1065" s="20"/>
    </row>
    <row r="1066" spans="1:20" x14ac:dyDescent="0.25">
      <c r="A1066" s="3">
        <v>41929</v>
      </c>
      <c r="B1066" s="36">
        <v>99</v>
      </c>
      <c r="C1066" t="s">
        <v>1993</v>
      </c>
      <c r="E1066" s="18">
        <v>446</v>
      </c>
      <c r="F1066" t="s">
        <v>889</v>
      </c>
      <c r="G1066" t="s">
        <v>1994</v>
      </c>
      <c r="H1066" s="18">
        <v>446</v>
      </c>
      <c r="I1066" s="3">
        <v>41929</v>
      </c>
      <c r="J1066"/>
      <c r="L1066"/>
      <c r="M1066"/>
      <c r="N1066" s="20"/>
      <c r="O1066" t="s">
        <v>959</v>
      </c>
      <c r="P1066" s="20"/>
      <c r="Q1066" s="20"/>
      <c r="R1066" s="20"/>
      <c r="S1066" s="20"/>
      <c r="T1066" s="20"/>
    </row>
    <row r="1067" spans="1:20" x14ac:dyDescent="0.25">
      <c r="A1067" s="3">
        <v>41985</v>
      </c>
      <c r="B1067" s="36">
        <v>99</v>
      </c>
      <c r="C1067" t="s">
        <v>1984</v>
      </c>
      <c r="D1067">
        <v>3.8250000000000002</v>
      </c>
      <c r="E1067" s="18">
        <v>290</v>
      </c>
      <c r="F1067" t="s">
        <v>889</v>
      </c>
      <c r="G1067" t="s">
        <v>1985</v>
      </c>
      <c r="H1067" s="18">
        <v>290</v>
      </c>
      <c r="I1067" s="3">
        <v>41985</v>
      </c>
      <c r="J1067"/>
      <c r="L1067"/>
      <c r="M1067"/>
      <c r="N1067" s="20"/>
      <c r="O1067" t="s">
        <v>959</v>
      </c>
      <c r="P1067" s="20"/>
      <c r="Q1067" s="20"/>
      <c r="R1067" s="20"/>
      <c r="S1067" s="20"/>
      <c r="T1067" s="20"/>
    </row>
    <row r="1068" spans="1:20" x14ac:dyDescent="0.25">
      <c r="A1068" s="3">
        <v>41985</v>
      </c>
      <c r="B1068" s="36">
        <v>99</v>
      </c>
      <c r="C1068" t="s">
        <v>1990</v>
      </c>
      <c r="D1068">
        <v>7.3949999999999996</v>
      </c>
      <c r="E1068" s="18">
        <v>739.5</v>
      </c>
      <c r="F1068" t="s">
        <v>889</v>
      </c>
      <c r="G1068" t="s">
        <v>1991</v>
      </c>
      <c r="H1068" s="18">
        <v>739.5</v>
      </c>
      <c r="I1068" s="3">
        <v>41985</v>
      </c>
      <c r="J1068"/>
      <c r="L1068"/>
      <c r="M1068"/>
      <c r="N1068" s="20"/>
      <c r="O1068" t="s">
        <v>959</v>
      </c>
      <c r="P1068" s="20"/>
      <c r="Q1068" s="20"/>
      <c r="R1068" s="20"/>
      <c r="S1068" s="20"/>
      <c r="T1068" s="20"/>
    </row>
    <row r="1069" spans="1:20" x14ac:dyDescent="0.25">
      <c r="A1069" s="3">
        <v>41736</v>
      </c>
      <c r="B1069" s="36">
        <v>100</v>
      </c>
      <c r="C1069" t="s">
        <v>2004</v>
      </c>
      <c r="D1069">
        <v>10</v>
      </c>
      <c r="E1069" s="18">
        <v>500</v>
      </c>
      <c r="G1069" t="s">
        <v>2005</v>
      </c>
      <c r="H1069" s="18">
        <v>500</v>
      </c>
      <c r="I1069" s="3">
        <v>41736</v>
      </c>
      <c r="J1069"/>
      <c r="L1069"/>
      <c r="M1069"/>
      <c r="N1069" s="20"/>
      <c r="O1069" t="s">
        <v>2006</v>
      </c>
      <c r="P1069" s="20"/>
      <c r="Q1069" s="20"/>
      <c r="R1069" s="20"/>
      <c r="S1069" s="20"/>
      <c r="T1069" s="20"/>
    </row>
    <row r="1070" spans="1:20" x14ac:dyDescent="0.25">
      <c r="A1070" s="3">
        <v>41740</v>
      </c>
      <c r="B1070" s="36">
        <v>100</v>
      </c>
      <c r="C1070" t="s">
        <v>2004</v>
      </c>
      <c r="D1070">
        <v>10</v>
      </c>
      <c r="E1070" s="18">
        <v>500</v>
      </c>
      <c r="G1070" t="s">
        <v>2005</v>
      </c>
      <c r="H1070" s="18">
        <v>500</v>
      </c>
      <c r="I1070" s="3">
        <v>41740</v>
      </c>
      <c r="J1070"/>
      <c r="L1070"/>
      <c r="M1070"/>
      <c r="N1070" s="20"/>
      <c r="O1070" t="s">
        <v>2006</v>
      </c>
      <c r="P1070" s="20"/>
      <c r="Q1070" s="20"/>
      <c r="R1070" s="20"/>
      <c r="S1070" s="20"/>
      <c r="T1070" s="20"/>
    </row>
    <row r="1071" spans="1:20" x14ac:dyDescent="0.25">
      <c r="A1071" s="3">
        <v>41753</v>
      </c>
      <c r="B1071" s="36">
        <v>100</v>
      </c>
      <c r="C1071" t="s">
        <v>2007</v>
      </c>
      <c r="D1071">
        <v>5.25</v>
      </c>
      <c r="E1071" s="18">
        <v>525</v>
      </c>
      <c r="G1071" t="s">
        <v>2008</v>
      </c>
      <c r="H1071" s="18">
        <v>525</v>
      </c>
      <c r="I1071" s="3">
        <v>41753</v>
      </c>
      <c r="J1071"/>
      <c r="L1071"/>
      <c r="M1071"/>
      <c r="N1071" s="20"/>
      <c r="O1071"/>
      <c r="P1071" s="20"/>
      <c r="Q1071" s="20"/>
      <c r="R1071" s="20"/>
      <c r="S1071" s="20"/>
      <c r="T1071" s="20"/>
    </row>
    <row r="1072" spans="1:20" x14ac:dyDescent="0.25">
      <c r="A1072" s="3">
        <v>41789</v>
      </c>
      <c r="B1072" s="36">
        <v>100</v>
      </c>
      <c r="C1072" t="s">
        <v>2009</v>
      </c>
      <c r="D1072">
        <v>8.75</v>
      </c>
      <c r="E1072" s="18">
        <v>875</v>
      </c>
      <c r="G1072" t="s">
        <v>2010</v>
      </c>
      <c r="H1072" s="18">
        <v>875</v>
      </c>
      <c r="I1072" s="3">
        <v>41789</v>
      </c>
      <c r="J1072"/>
      <c r="L1072"/>
      <c r="M1072"/>
      <c r="N1072" s="20"/>
      <c r="O1072"/>
      <c r="P1072" s="20"/>
      <c r="Q1072" s="20"/>
      <c r="R1072" s="20"/>
      <c r="S1072" s="20"/>
      <c r="T1072" s="20"/>
    </row>
    <row r="1073" spans="1:21" x14ac:dyDescent="0.25">
      <c r="A1073" s="3">
        <v>41796</v>
      </c>
      <c r="B1073" s="36">
        <v>100</v>
      </c>
      <c r="C1073" t="s">
        <v>2009</v>
      </c>
      <c r="D1073">
        <v>8.75</v>
      </c>
      <c r="E1073" s="18">
        <v>875</v>
      </c>
      <c r="G1073" t="s">
        <v>2010</v>
      </c>
      <c r="H1073" s="18">
        <v>875</v>
      </c>
      <c r="I1073" s="3">
        <v>41796</v>
      </c>
      <c r="J1073"/>
      <c r="L1073"/>
      <c r="M1073"/>
      <c r="N1073" s="20"/>
      <c r="O1073" t="s">
        <v>1555</v>
      </c>
      <c r="P1073" s="20"/>
      <c r="Q1073" s="20"/>
      <c r="R1073" s="20"/>
      <c r="S1073" s="20"/>
      <c r="T1073" s="20"/>
    </row>
    <row r="1074" spans="1:21" x14ac:dyDescent="0.25">
      <c r="A1074" s="3">
        <v>41796</v>
      </c>
      <c r="B1074" s="36">
        <v>100</v>
      </c>
      <c r="C1074" t="s">
        <v>2011</v>
      </c>
      <c r="D1074">
        <v>5.25</v>
      </c>
      <c r="E1074" s="18">
        <v>525</v>
      </c>
      <c r="G1074" t="s">
        <v>2012</v>
      </c>
      <c r="H1074" s="18">
        <v>525</v>
      </c>
      <c r="I1074" s="3">
        <v>41796</v>
      </c>
      <c r="J1074"/>
      <c r="L1074"/>
      <c r="M1074"/>
      <c r="N1074" s="20"/>
      <c r="O1074" t="s">
        <v>1555</v>
      </c>
      <c r="P1074" s="20"/>
      <c r="Q1074" s="20"/>
      <c r="R1074" s="20"/>
      <c r="S1074" s="20"/>
      <c r="T1074" s="20"/>
    </row>
    <row r="1075" spans="1:21" x14ac:dyDescent="0.25">
      <c r="A1075" s="3">
        <v>41810</v>
      </c>
      <c r="B1075" s="36">
        <v>100</v>
      </c>
      <c r="C1075" t="s">
        <v>2013</v>
      </c>
      <c r="D1075">
        <v>5</v>
      </c>
      <c r="E1075" s="18">
        <v>500</v>
      </c>
      <c r="G1075" t="s">
        <v>2014</v>
      </c>
      <c r="H1075" s="18">
        <v>500</v>
      </c>
      <c r="I1075" s="3">
        <v>41810</v>
      </c>
      <c r="J1075"/>
      <c r="L1075"/>
      <c r="M1075"/>
      <c r="N1075" s="20"/>
      <c r="O1075" t="s">
        <v>1169</v>
      </c>
      <c r="P1075" s="20"/>
      <c r="Q1075" s="20"/>
      <c r="R1075" s="20"/>
      <c r="S1075" s="20"/>
      <c r="T1075" s="20"/>
    </row>
    <row r="1076" spans="1:21" x14ac:dyDescent="0.25">
      <c r="A1076" s="3">
        <v>41810</v>
      </c>
      <c r="B1076" s="36">
        <v>100</v>
      </c>
      <c r="C1076" t="s">
        <v>2009</v>
      </c>
      <c r="D1076">
        <v>-8.75</v>
      </c>
      <c r="E1076" s="18">
        <v>-875</v>
      </c>
      <c r="G1076" t="s">
        <v>2010</v>
      </c>
      <c r="H1076" s="18" t="s">
        <v>442</v>
      </c>
      <c r="I1076" s="3" t="s">
        <v>442</v>
      </c>
      <c r="J1076"/>
      <c r="L1076"/>
      <c r="M1076"/>
      <c r="N1076" s="20"/>
      <c r="O1076" t="s">
        <v>2015</v>
      </c>
      <c r="P1076" s="20"/>
      <c r="Q1076" s="20"/>
      <c r="R1076" s="20"/>
      <c r="S1076" s="20"/>
      <c r="T1076" s="20"/>
    </row>
    <row r="1077" spans="1:21" x14ac:dyDescent="0.25">
      <c r="A1077" s="3">
        <v>41810</v>
      </c>
      <c r="B1077" s="36">
        <v>100</v>
      </c>
      <c r="C1077" t="s">
        <v>2016</v>
      </c>
      <c r="D1077">
        <v>5.25</v>
      </c>
      <c r="E1077" s="18">
        <v>525</v>
      </c>
      <c r="G1077" t="s">
        <v>2017</v>
      </c>
      <c r="H1077" s="18">
        <v>525</v>
      </c>
      <c r="I1077" s="3">
        <v>41810</v>
      </c>
      <c r="J1077"/>
      <c r="L1077"/>
      <c r="M1077"/>
      <c r="N1077" s="20"/>
      <c r="O1077"/>
      <c r="P1077" s="20"/>
      <c r="Q1077" s="20"/>
      <c r="R1077" s="20"/>
      <c r="S1077" s="20"/>
      <c r="T1077" s="20"/>
    </row>
    <row r="1078" spans="1:21" x14ac:dyDescent="0.25">
      <c r="B1078">
        <v>100</v>
      </c>
      <c r="C1078" t="s">
        <v>2013</v>
      </c>
      <c r="D1078">
        <v>5</v>
      </c>
      <c r="E1078" s="18">
        <v>-500</v>
      </c>
      <c r="G1078" t="s">
        <v>2014</v>
      </c>
      <c r="I1078"/>
      <c r="J1078"/>
      <c r="L1078"/>
      <c r="M1078"/>
      <c r="O1078"/>
      <c r="P1078" s="20"/>
      <c r="Q1078" s="20"/>
      <c r="R1078" s="20"/>
      <c r="S1078" s="20"/>
      <c r="T1078" s="20"/>
      <c r="U1078" t="s">
        <v>401</v>
      </c>
    </row>
    <row r="1079" spans="1:21" x14ac:dyDescent="0.25">
      <c r="B1079">
        <v>100</v>
      </c>
      <c r="C1079" t="s">
        <v>2007</v>
      </c>
      <c r="D1079">
        <v>5.61</v>
      </c>
      <c r="E1079" s="18">
        <v>-525</v>
      </c>
      <c r="F1079" t="s">
        <v>889</v>
      </c>
      <c r="G1079" t="s">
        <v>2008</v>
      </c>
      <c r="I1079"/>
      <c r="J1079"/>
      <c r="L1079"/>
      <c r="M1079"/>
      <c r="O1079"/>
      <c r="P1079" s="20"/>
      <c r="Q1079" s="20"/>
      <c r="R1079" s="20"/>
      <c r="S1079" s="20"/>
      <c r="T1079" s="20"/>
      <c r="U1079" t="s">
        <v>401</v>
      </c>
    </row>
    <row r="1080" spans="1:21" x14ac:dyDescent="0.25">
      <c r="B1080">
        <v>100</v>
      </c>
      <c r="C1080" t="s">
        <v>2009</v>
      </c>
      <c r="D1080">
        <v>7.3949999999999996</v>
      </c>
      <c r="E1080" s="18">
        <v>-875</v>
      </c>
      <c r="F1080" t="s">
        <v>889</v>
      </c>
      <c r="G1080" t="s">
        <v>2010</v>
      </c>
      <c r="I1080"/>
      <c r="J1080"/>
      <c r="L1080"/>
      <c r="M1080"/>
      <c r="O1080"/>
      <c r="P1080" s="20"/>
      <c r="Q1080" s="20"/>
      <c r="R1080" s="20"/>
      <c r="S1080" s="20"/>
      <c r="T1080" s="20"/>
      <c r="U1080" t="s">
        <v>401</v>
      </c>
    </row>
    <row r="1081" spans="1:21" x14ac:dyDescent="0.25">
      <c r="B1081">
        <v>100</v>
      </c>
      <c r="C1081" t="s">
        <v>2016</v>
      </c>
      <c r="D1081">
        <v>4.335</v>
      </c>
      <c r="E1081" s="18">
        <v>-525</v>
      </c>
      <c r="F1081" t="s">
        <v>889</v>
      </c>
      <c r="G1081" t="s">
        <v>2017</v>
      </c>
      <c r="I1081"/>
      <c r="J1081"/>
      <c r="L1081"/>
      <c r="M1081"/>
      <c r="O1081"/>
      <c r="P1081" s="20"/>
      <c r="Q1081" s="20"/>
      <c r="R1081" s="20"/>
      <c r="S1081" s="20"/>
      <c r="T1081" s="20"/>
      <c r="U1081" t="s">
        <v>401</v>
      </c>
    </row>
    <row r="1082" spans="1:21" x14ac:dyDescent="0.25">
      <c r="B1082">
        <v>100</v>
      </c>
      <c r="C1082" t="s">
        <v>2004</v>
      </c>
      <c r="E1082" s="18">
        <v>836</v>
      </c>
      <c r="F1082" t="s">
        <v>889</v>
      </c>
      <c r="G1082" t="s">
        <v>2005</v>
      </c>
      <c r="I1082"/>
      <c r="J1082"/>
      <c r="L1082"/>
      <c r="M1082"/>
      <c r="O1082"/>
      <c r="P1082" s="20"/>
      <c r="Q1082" s="20"/>
      <c r="R1082" s="20"/>
      <c r="S1082" s="20"/>
      <c r="T1082" s="20"/>
      <c r="U1082" t="s">
        <v>401</v>
      </c>
    </row>
    <row r="1083" spans="1:21" x14ac:dyDescent="0.25">
      <c r="B1083">
        <v>100</v>
      </c>
      <c r="C1083" t="s">
        <v>2011</v>
      </c>
      <c r="D1083">
        <v>5.61</v>
      </c>
      <c r="E1083" s="18">
        <v>597</v>
      </c>
      <c r="F1083" t="s">
        <v>889</v>
      </c>
      <c r="G1083" t="s">
        <v>2012</v>
      </c>
      <c r="I1083"/>
      <c r="J1083"/>
      <c r="L1083"/>
      <c r="M1083"/>
      <c r="O1083"/>
      <c r="P1083" s="20"/>
      <c r="Q1083" s="20"/>
      <c r="R1083" s="20"/>
      <c r="S1083" s="20"/>
      <c r="T1083" s="20"/>
      <c r="U1083" t="s">
        <v>401</v>
      </c>
    </row>
    <row r="1084" spans="1:21" x14ac:dyDescent="0.25">
      <c r="A1084" s="3">
        <v>41740</v>
      </c>
      <c r="B1084" s="36">
        <v>101</v>
      </c>
      <c r="C1084" t="s">
        <v>2018</v>
      </c>
      <c r="D1084">
        <v>4.5</v>
      </c>
      <c r="E1084" s="18">
        <v>450</v>
      </c>
      <c r="G1084" t="s">
        <v>2019</v>
      </c>
      <c r="H1084" s="18">
        <v>450</v>
      </c>
      <c r="I1084" s="3">
        <v>41740</v>
      </c>
      <c r="J1084"/>
      <c r="L1084"/>
      <c r="M1084"/>
      <c r="N1084" s="20"/>
      <c r="O1084"/>
      <c r="P1084" s="20"/>
      <c r="Q1084" s="20"/>
      <c r="R1084" s="20"/>
      <c r="S1084" s="20"/>
      <c r="T1084" s="20"/>
    </row>
    <row r="1085" spans="1:21" x14ac:dyDescent="0.25">
      <c r="A1085" s="3">
        <v>41746</v>
      </c>
      <c r="B1085" s="36">
        <v>101</v>
      </c>
      <c r="C1085" t="s">
        <v>2020</v>
      </c>
      <c r="D1085">
        <v>10</v>
      </c>
      <c r="E1085" s="18">
        <v>1000</v>
      </c>
      <c r="G1085" t="s">
        <v>2021</v>
      </c>
      <c r="H1085" s="18">
        <v>1000</v>
      </c>
      <c r="I1085" s="3">
        <v>41746</v>
      </c>
      <c r="J1085"/>
      <c r="L1085"/>
      <c r="M1085"/>
      <c r="N1085" s="20"/>
      <c r="O1085" t="s">
        <v>2022</v>
      </c>
      <c r="P1085" s="20"/>
      <c r="Q1085" s="20"/>
      <c r="R1085" s="20"/>
      <c r="S1085" s="20"/>
      <c r="T1085" s="20"/>
    </row>
    <row r="1086" spans="1:21" x14ac:dyDescent="0.25">
      <c r="A1086" s="3">
        <v>41762</v>
      </c>
      <c r="B1086" s="36">
        <v>101</v>
      </c>
      <c r="C1086" t="s">
        <v>2023</v>
      </c>
      <c r="D1086">
        <v>2.8050000000000002</v>
      </c>
      <c r="E1086" s="18">
        <v>280.5</v>
      </c>
      <c r="G1086" t="s">
        <v>2024</v>
      </c>
      <c r="H1086" s="18">
        <v>280.5</v>
      </c>
      <c r="I1086" s="3">
        <v>41762</v>
      </c>
      <c r="J1086"/>
      <c r="L1086"/>
      <c r="M1086"/>
      <c r="N1086" s="20"/>
      <c r="O1086"/>
      <c r="P1086" s="20"/>
      <c r="Q1086" s="20"/>
      <c r="R1086" s="20"/>
      <c r="S1086" s="20"/>
      <c r="T1086" s="20"/>
    </row>
    <row r="1087" spans="1:21" x14ac:dyDescent="0.25">
      <c r="A1087" s="3">
        <v>41762</v>
      </c>
      <c r="B1087" s="36">
        <v>101</v>
      </c>
      <c r="C1087" t="s">
        <v>2025</v>
      </c>
      <c r="D1087">
        <v>6.75</v>
      </c>
      <c r="E1087" s="18">
        <v>675</v>
      </c>
      <c r="G1087" t="s">
        <v>2026</v>
      </c>
      <c r="H1087" s="18">
        <v>675</v>
      </c>
      <c r="I1087" s="3">
        <v>41762</v>
      </c>
      <c r="J1087"/>
      <c r="L1087"/>
      <c r="M1087"/>
      <c r="N1087" s="20"/>
      <c r="O1087"/>
      <c r="P1087" s="20"/>
      <c r="Q1087" s="20"/>
      <c r="R1087" s="20"/>
      <c r="S1087" s="20"/>
      <c r="T1087" s="20"/>
    </row>
    <row r="1088" spans="1:21" x14ac:dyDescent="0.25">
      <c r="A1088" s="3">
        <v>41762</v>
      </c>
      <c r="B1088" s="36">
        <v>101</v>
      </c>
      <c r="C1088" t="s">
        <v>2027</v>
      </c>
      <c r="D1088">
        <v>5.75</v>
      </c>
      <c r="E1088" s="18">
        <v>575</v>
      </c>
      <c r="G1088" t="s">
        <v>2028</v>
      </c>
      <c r="H1088" s="18">
        <v>575</v>
      </c>
      <c r="I1088" s="3">
        <v>41762</v>
      </c>
      <c r="J1088"/>
      <c r="L1088"/>
      <c r="M1088"/>
      <c r="N1088" s="20"/>
      <c r="O1088"/>
      <c r="P1088" s="20"/>
      <c r="Q1088" s="20"/>
      <c r="R1088" s="20"/>
      <c r="S1088" s="20"/>
      <c r="T1088" s="20"/>
    </row>
    <row r="1089" spans="1:21" x14ac:dyDescent="0.25">
      <c r="A1089" s="3">
        <v>41762</v>
      </c>
      <c r="B1089" s="36">
        <v>101</v>
      </c>
      <c r="C1089" t="s">
        <v>2018</v>
      </c>
      <c r="D1089">
        <v>4.5</v>
      </c>
      <c r="E1089" s="18">
        <v>-450</v>
      </c>
      <c r="G1089" t="s">
        <v>2019</v>
      </c>
      <c r="H1089" s="18" t="s">
        <v>442</v>
      </c>
      <c r="I1089" s="3" t="s">
        <v>442</v>
      </c>
      <c r="J1089"/>
      <c r="L1089"/>
      <c r="M1089"/>
      <c r="N1089" s="20"/>
      <c r="O1089" t="s">
        <v>949</v>
      </c>
      <c r="P1089" s="20"/>
      <c r="Q1089" s="20"/>
      <c r="R1089" s="20"/>
      <c r="S1089" s="20"/>
      <c r="T1089" s="20"/>
    </row>
    <row r="1090" spans="1:21" x14ac:dyDescent="0.25">
      <c r="A1090" s="3">
        <v>41796</v>
      </c>
      <c r="B1090" s="36">
        <v>101</v>
      </c>
      <c r="C1090" t="s">
        <v>2029</v>
      </c>
      <c r="D1090">
        <v>3.06</v>
      </c>
      <c r="E1090" s="18">
        <v>306</v>
      </c>
      <c r="G1090" t="s">
        <v>2030</v>
      </c>
      <c r="H1090" s="18">
        <v>306</v>
      </c>
      <c r="I1090" s="3">
        <v>41796</v>
      </c>
      <c r="J1090"/>
      <c r="L1090"/>
      <c r="M1090"/>
      <c r="N1090" s="20"/>
      <c r="O1090"/>
      <c r="P1090" s="20"/>
      <c r="Q1090" s="20"/>
      <c r="R1090" s="20"/>
      <c r="S1090" s="20"/>
      <c r="T1090" s="20"/>
    </row>
    <row r="1091" spans="1:21" x14ac:dyDescent="0.25">
      <c r="A1091" s="3">
        <v>42041</v>
      </c>
      <c r="B1091">
        <v>101</v>
      </c>
      <c r="C1091" t="s">
        <v>2031</v>
      </c>
      <c r="D1091">
        <v>4.59</v>
      </c>
      <c r="E1091" s="18">
        <v>637.5</v>
      </c>
      <c r="F1091" t="s">
        <v>889</v>
      </c>
      <c r="G1091" t="s">
        <v>2024</v>
      </c>
      <c r="I1091"/>
      <c r="J1091"/>
      <c r="L1091"/>
      <c r="M1091"/>
      <c r="O1091"/>
      <c r="P1091" s="20"/>
      <c r="Q1091" s="20"/>
      <c r="R1091" s="20"/>
      <c r="S1091" s="20"/>
      <c r="T1091" s="20"/>
    </row>
    <row r="1092" spans="1:21" x14ac:dyDescent="0.25">
      <c r="A1092" s="3">
        <v>42041</v>
      </c>
      <c r="B1092">
        <v>101</v>
      </c>
      <c r="C1092" t="s">
        <v>2032</v>
      </c>
      <c r="E1092" s="18">
        <v>957</v>
      </c>
      <c r="F1092" t="s">
        <v>889</v>
      </c>
      <c r="G1092" t="s">
        <v>2026</v>
      </c>
      <c r="I1092"/>
      <c r="J1092"/>
      <c r="L1092"/>
      <c r="M1092"/>
      <c r="O1092"/>
      <c r="P1092" s="20"/>
      <c r="Q1092" s="20"/>
      <c r="R1092" s="20"/>
      <c r="S1092" s="20"/>
      <c r="T1092" s="20"/>
    </row>
    <row r="1093" spans="1:21" x14ac:dyDescent="0.25">
      <c r="A1093" s="3">
        <v>42041</v>
      </c>
      <c r="B1093">
        <v>101</v>
      </c>
      <c r="C1093" s="64" t="s">
        <v>2020</v>
      </c>
      <c r="D1093" s="64">
        <v>7.65</v>
      </c>
      <c r="E1093" s="65">
        <v>-1000</v>
      </c>
      <c r="F1093" t="s">
        <v>889</v>
      </c>
      <c r="G1093" s="64" t="s">
        <v>2021</v>
      </c>
      <c r="I1093"/>
      <c r="J1093"/>
      <c r="L1093"/>
      <c r="M1093"/>
      <c r="O1093"/>
      <c r="P1093" s="20"/>
      <c r="Q1093" s="20"/>
      <c r="R1093" s="20"/>
      <c r="S1093" s="20"/>
      <c r="T1093" s="20"/>
    </row>
    <row r="1094" spans="1:21" x14ac:dyDescent="0.25">
      <c r="A1094" s="3">
        <v>41775</v>
      </c>
      <c r="B1094" s="36">
        <v>102</v>
      </c>
      <c r="C1094" t="s">
        <v>2033</v>
      </c>
      <c r="D1094">
        <v>7.5</v>
      </c>
      <c r="E1094" s="18">
        <v>750</v>
      </c>
      <c r="G1094" t="s">
        <v>2034</v>
      </c>
      <c r="H1094" s="18">
        <v>750</v>
      </c>
      <c r="I1094" s="3">
        <v>41775</v>
      </c>
      <c r="J1094"/>
      <c r="L1094"/>
      <c r="M1094"/>
      <c r="N1094" s="20"/>
      <c r="O1094"/>
      <c r="P1094" s="20"/>
      <c r="Q1094" s="20"/>
      <c r="R1094" s="20"/>
      <c r="S1094" s="20"/>
      <c r="T1094" s="20"/>
    </row>
    <row r="1095" spans="1:21" x14ac:dyDescent="0.25">
      <c r="A1095" s="3">
        <v>41782</v>
      </c>
      <c r="B1095" s="36">
        <v>102</v>
      </c>
      <c r="C1095" t="s">
        <v>2035</v>
      </c>
      <c r="D1095">
        <v>3.3149999999999999</v>
      </c>
      <c r="E1095" s="18">
        <v>331.5</v>
      </c>
      <c r="G1095" t="s">
        <v>2036</v>
      </c>
      <c r="H1095" s="18">
        <v>331.5</v>
      </c>
      <c r="I1095" s="3">
        <v>41782</v>
      </c>
      <c r="J1095"/>
      <c r="L1095"/>
      <c r="M1095"/>
      <c r="N1095" s="20"/>
      <c r="O1095"/>
      <c r="P1095" s="20"/>
      <c r="Q1095" s="20"/>
      <c r="R1095" s="20"/>
      <c r="S1095" s="20"/>
      <c r="T1095" s="20"/>
    </row>
    <row r="1096" spans="1:21" x14ac:dyDescent="0.25">
      <c r="A1096" s="3">
        <v>41803</v>
      </c>
      <c r="B1096" s="36">
        <v>102</v>
      </c>
      <c r="C1096" t="s">
        <v>2037</v>
      </c>
      <c r="D1096">
        <v>5.75</v>
      </c>
      <c r="E1096" s="18">
        <v>575</v>
      </c>
      <c r="G1096" t="s">
        <v>2038</v>
      </c>
      <c r="H1096" s="18">
        <v>575</v>
      </c>
      <c r="I1096" s="3">
        <v>41803</v>
      </c>
      <c r="J1096"/>
      <c r="L1096"/>
      <c r="M1096"/>
      <c r="N1096" s="20"/>
      <c r="O1096"/>
      <c r="P1096" s="20"/>
      <c r="Q1096" s="20"/>
      <c r="R1096" s="20"/>
      <c r="S1096" s="20"/>
      <c r="T1096" s="20"/>
    </row>
    <row r="1097" spans="1:21" x14ac:dyDescent="0.25">
      <c r="A1097" s="3">
        <v>41803</v>
      </c>
      <c r="B1097" s="36">
        <v>102</v>
      </c>
      <c r="C1097" t="s">
        <v>2039</v>
      </c>
      <c r="D1097">
        <v>2.5499999999999998</v>
      </c>
      <c r="E1097" s="18">
        <v>254.99999999999997</v>
      </c>
      <c r="G1097" t="s">
        <v>2040</v>
      </c>
      <c r="H1097" s="18">
        <v>254.99999999999997</v>
      </c>
      <c r="I1097" s="3">
        <v>41803</v>
      </c>
      <c r="J1097"/>
      <c r="L1097"/>
      <c r="M1097"/>
      <c r="N1097" s="20"/>
      <c r="O1097" t="s">
        <v>1169</v>
      </c>
      <c r="P1097" s="20"/>
      <c r="Q1097" s="20"/>
      <c r="R1097" s="20"/>
      <c r="S1097" s="20"/>
      <c r="T1097" s="20"/>
    </row>
    <row r="1098" spans="1:21" x14ac:dyDescent="0.25">
      <c r="A1098" s="3">
        <v>41803</v>
      </c>
      <c r="B1098" s="36">
        <v>102</v>
      </c>
      <c r="C1098" t="s">
        <v>2041</v>
      </c>
      <c r="D1098">
        <v>6.5</v>
      </c>
      <c r="E1098" s="18">
        <v>650</v>
      </c>
      <c r="G1098" t="s">
        <v>2042</v>
      </c>
      <c r="H1098" s="18">
        <v>650</v>
      </c>
      <c r="I1098" s="3">
        <v>41803</v>
      </c>
      <c r="J1098"/>
      <c r="L1098"/>
      <c r="M1098"/>
      <c r="N1098" s="20"/>
      <c r="O1098"/>
      <c r="P1098" s="20"/>
      <c r="Q1098" s="20"/>
      <c r="R1098" s="20"/>
      <c r="S1098" s="20"/>
      <c r="T1098" s="20"/>
    </row>
    <row r="1099" spans="1:21" x14ac:dyDescent="0.25">
      <c r="A1099" s="3">
        <v>41831</v>
      </c>
      <c r="B1099" s="36">
        <v>102</v>
      </c>
      <c r="C1099" t="s">
        <v>2043</v>
      </c>
      <c r="D1099">
        <v>4.59</v>
      </c>
      <c r="E1099" s="18">
        <v>459</v>
      </c>
      <c r="G1099" t="s">
        <v>2044</v>
      </c>
      <c r="H1099" s="18">
        <v>459</v>
      </c>
      <c r="I1099" s="3">
        <v>41831</v>
      </c>
      <c r="J1099"/>
      <c r="L1099"/>
      <c r="M1099"/>
      <c r="N1099" s="20"/>
      <c r="O1099" t="s">
        <v>2045</v>
      </c>
      <c r="P1099" s="20"/>
      <c r="Q1099" s="20"/>
      <c r="R1099" s="20"/>
      <c r="S1099" s="20"/>
      <c r="T1099" s="20"/>
    </row>
    <row r="1100" spans="1:21" x14ac:dyDescent="0.25">
      <c r="B1100">
        <v>102</v>
      </c>
      <c r="C1100" t="s">
        <v>2035</v>
      </c>
      <c r="D1100">
        <v>3.3149999999999999</v>
      </c>
      <c r="E1100" s="18">
        <v>331.5</v>
      </c>
      <c r="F1100" t="s">
        <v>889</v>
      </c>
      <c r="G1100" t="s">
        <v>2036</v>
      </c>
      <c r="I1100"/>
      <c r="J1100"/>
      <c r="L1100"/>
      <c r="M1100"/>
      <c r="O1100"/>
      <c r="P1100" s="20"/>
      <c r="Q1100" s="20"/>
      <c r="R1100" s="20"/>
      <c r="S1100" s="20"/>
      <c r="T1100" s="20"/>
      <c r="U1100" t="s">
        <v>401</v>
      </c>
    </row>
    <row r="1101" spans="1:21" x14ac:dyDescent="0.25">
      <c r="B1101">
        <v>102</v>
      </c>
      <c r="C1101" t="s">
        <v>2037</v>
      </c>
      <c r="D1101">
        <v>5.75</v>
      </c>
      <c r="E1101" s="18">
        <v>-275</v>
      </c>
      <c r="F1101" t="s">
        <v>889</v>
      </c>
      <c r="G1101" t="s">
        <v>2038</v>
      </c>
      <c r="I1101"/>
      <c r="J1101"/>
      <c r="L1101"/>
      <c r="M1101"/>
      <c r="O1101"/>
      <c r="P1101" s="20"/>
      <c r="Q1101" s="20"/>
      <c r="R1101" s="20"/>
      <c r="S1101" s="20"/>
      <c r="T1101" s="20"/>
      <c r="U1101" t="s">
        <v>401</v>
      </c>
    </row>
    <row r="1102" spans="1:21" x14ac:dyDescent="0.25">
      <c r="B1102">
        <v>102</v>
      </c>
      <c r="C1102" t="s">
        <v>2046</v>
      </c>
      <c r="E1102" s="18">
        <v>-300</v>
      </c>
      <c r="G1102" t="s">
        <v>2038</v>
      </c>
      <c r="I1102"/>
      <c r="J1102"/>
      <c r="L1102"/>
      <c r="M1102"/>
      <c r="O1102"/>
      <c r="P1102" s="20"/>
      <c r="Q1102" s="20"/>
      <c r="R1102" s="20"/>
      <c r="S1102" s="20"/>
      <c r="T1102" s="20"/>
      <c r="U1102" t="s">
        <v>401</v>
      </c>
    </row>
    <row r="1103" spans="1:21" x14ac:dyDescent="0.25">
      <c r="B1103">
        <v>102</v>
      </c>
      <c r="C1103" t="s">
        <v>2039</v>
      </c>
      <c r="D1103">
        <v>2.5499999999999998</v>
      </c>
      <c r="E1103" s="18">
        <v>84.999999999999986</v>
      </c>
      <c r="F1103" t="s">
        <v>889</v>
      </c>
      <c r="G1103" t="s">
        <v>2040</v>
      </c>
      <c r="I1103"/>
      <c r="J1103"/>
      <c r="L1103"/>
      <c r="M1103"/>
      <c r="O1103"/>
      <c r="P1103" s="20"/>
      <c r="Q1103" s="20"/>
      <c r="R1103" s="20"/>
      <c r="S1103" s="20"/>
      <c r="T1103" s="20"/>
      <c r="U1103" t="s">
        <v>401</v>
      </c>
    </row>
    <row r="1104" spans="1:21" x14ac:dyDescent="0.25">
      <c r="B1104">
        <v>102</v>
      </c>
      <c r="C1104" t="s">
        <v>2039</v>
      </c>
      <c r="E1104" s="18">
        <v>84.999999999999986</v>
      </c>
      <c r="G1104" t="s">
        <v>2040</v>
      </c>
      <c r="I1104"/>
      <c r="J1104"/>
      <c r="L1104"/>
      <c r="M1104"/>
      <c r="O1104"/>
      <c r="P1104" s="20"/>
      <c r="Q1104" s="20"/>
      <c r="R1104" s="20"/>
      <c r="S1104" s="20"/>
      <c r="T1104" s="20"/>
      <c r="U1104" t="s">
        <v>401</v>
      </c>
    </row>
    <row r="1105" spans="1:21" x14ac:dyDescent="0.25">
      <c r="B1105">
        <v>102</v>
      </c>
      <c r="C1105" t="s">
        <v>2047</v>
      </c>
      <c r="D1105">
        <v>2</v>
      </c>
      <c r="E1105" s="18">
        <v>-200</v>
      </c>
      <c r="G1105" t="s">
        <v>442</v>
      </c>
      <c r="I1105"/>
      <c r="J1105"/>
      <c r="L1105"/>
      <c r="M1105"/>
      <c r="O1105"/>
      <c r="P1105" s="20"/>
      <c r="Q1105" s="20"/>
      <c r="R1105" s="20"/>
      <c r="S1105" s="20"/>
      <c r="T1105" s="20"/>
      <c r="U1105" t="s">
        <v>401</v>
      </c>
    </row>
    <row r="1106" spans="1:21" x14ac:dyDescent="0.25">
      <c r="B1106">
        <v>102</v>
      </c>
      <c r="C1106" t="s">
        <v>2033</v>
      </c>
      <c r="D1106">
        <v>7.5</v>
      </c>
      <c r="E1106" s="18">
        <v>-750</v>
      </c>
      <c r="G1106" t="s">
        <v>2034</v>
      </c>
      <c r="I1106"/>
      <c r="J1106"/>
      <c r="L1106"/>
      <c r="M1106"/>
      <c r="O1106"/>
      <c r="P1106" s="20"/>
      <c r="Q1106" s="20"/>
      <c r="R1106" s="20"/>
      <c r="S1106" s="20"/>
      <c r="T1106" s="20"/>
      <c r="U1106" t="s">
        <v>401</v>
      </c>
    </row>
    <row r="1107" spans="1:21" x14ac:dyDescent="0.25">
      <c r="B1107">
        <v>102</v>
      </c>
      <c r="C1107" t="s">
        <v>1838</v>
      </c>
      <c r="E1107" s="18">
        <v>200</v>
      </c>
      <c r="G1107" t="s">
        <v>442</v>
      </c>
      <c r="I1107"/>
      <c r="J1107"/>
      <c r="L1107"/>
      <c r="M1107"/>
      <c r="O1107"/>
      <c r="P1107" s="20"/>
      <c r="Q1107" s="20"/>
      <c r="R1107" s="20"/>
      <c r="S1107" s="20"/>
      <c r="T1107" s="20"/>
      <c r="U1107" t="s">
        <v>401</v>
      </c>
    </row>
    <row r="1108" spans="1:21" x14ac:dyDescent="0.25">
      <c r="B1108">
        <v>102</v>
      </c>
      <c r="C1108" t="s">
        <v>2048</v>
      </c>
      <c r="E1108" s="18">
        <v>-85.714285714285722</v>
      </c>
      <c r="G1108" t="s">
        <v>442</v>
      </c>
      <c r="I1108"/>
      <c r="J1108"/>
      <c r="L1108"/>
      <c r="M1108"/>
      <c r="O1108"/>
      <c r="P1108" s="20"/>
      <c r="Q1108" s="20"/>
      <c r="R1108" s="20"/>
      <c r="S1108" s="20"/>
      <c r="T1108" s="20"/>
      <c r="U1108" t="s">
        <v>401</v>
      </c>
    </row>
    <row r="1109" spans="1:21" x14ac:dyDescent="0.25">
      <c r="B1109">
        <v>102</v>
      </c>
      <c r="C1109" t="s">
        <v>2043</v>
      </c>
      <c r="D1109">
        <v>4.59</v>
      </c>
      <c r="E1109" s="18">
        <v>-459</v>
      </c>
      <c r="G1109" t="s">
        <v>2044</v>
      </c>
      <c r="I1109"/>
      <c r="J1109"/>
      <c r="L1109"/>
      <c r="M1109"/>
      <c r="O1109"/>
      <c r="P1109" s="20"/>
      <c r="Q1109" s="20"/>
      <c r="R1109" s="20"/>
      <c r="S1109" s="20"/>
      <c r="T1109" s="20"/>
      <c r="U1109" t="s">
        <v>401</v>
      </c>
    </row>
    <row r="1110" spans="1:21" x14ac:dyDescent="0.25">
      <c r="B1110">
        <v>102</v>
      </c>
      <c r="C1110" t="s">
        <v>2049</v>
      </c>
      <c r="E1110" s="18">
        <v>-300</v>
      </c>
      <c r="G1110" t="s">
        <v>2042</v>
      </c>
      <c r="I1110"/>
      <c r="J1110"/>
      <c r="L1110"/>
      <c r="M1110"/>
      <c r="O1110"/>
      <c r="P1110" s="20"/>
      <c r="Q1110" s="20"/>
      <c r="R1110" s="20"/>
      <c r="S1110" s="20"/>
      <c r="T1110" s="20"/>
      <c r="U1110" t="s">
        <v>401</v>
      </c>
    </row>
    <row r="1111" spans="1:21" x14ac:dyDescent="0.25">
      <c r="B1111">
        <v>103</v>
      </c>
      <c r="C1111" t="s">
        <v>2050</v>
      </c>
      <c r="D1111">
        <v>4.8449999999999998</v>
      </c>
      <c r="E1111" s="18">
        <v>484.5</v>
      </c>
      <c r="G1111" t="s">
        <v>2051</v>
      </c>
      <c r="I1111"/>
      <c r="J1111"/>
      <c r="L1111"/>
      <c r="M1111"/>
      <c r="O1111"/>
      <c r="P1111" s="20"/>
      <c r="Q1111" s="20"/>
      <c r="R1111" s="20"/>
      <c r="S1111" s="20"/>
      <c r="T1111" s="20"/>
      <c r="U1111" t="s">
        <v>401</v>
      </c>
    </row>
    <row r="1112" spans="1:21" x14ac:dyDescent="0.25">
      <c r="B1112">
        <v>103</v>
      </c>
      <c r="C1112" t="s">
        <v>1838</v>
      </c>
      <c r="E1112" s="18">
        <v>200</v>
      </c>
      <c r="G1112" t="s">
        <v>442</v>
      </c>
      <c r="I1112"/>
      <c r="J1112"/>
      <c r="L1112"/>
      <c r="M1112"/>
      <c r="O1112"/>
      <c r="P1112" s="20"/>
      <c r="Q1112" s="20"/>
      <c r="R1112" s="20"/>
      <c r="S1112" s="20"/>
      <c r="T1112" s="20"/>
      <c r="U1112" t="s">
        <v>401</v>
      </c>
    </row>
    <row r="1113" spans="1:21" x14ac:dyDescent="0.25">
      <c r="B1113">
        <v>103</v>
      </c>
      <c r="C1113" t="s">
        <v>1574</v>
      </c>
      <c r="E1113" s="18">
        <v>-100</v>
      </c>
      <c r="G1113" t="s">
        <v>442</v>
      </c>
      <c r="I1113"/>
      <c r="J1113"/>
      <c r="L1113"/>
      <c r="M1113"/>
      <c r="O1113"/>
      <c r="P1113" s="20"/>
      <c r="Q1113" s="20"/>
      <c r="R1113" s="20"/>
      <c r="S1113" s="20"/>
      <c r="T1113" s="20"/>
      <c r="U1113" t="s">
        <v>401</v>
      </c>
    </row>
    <row r="1114" spans="1:21" x14ac:dyDescent="0.25">
      <c r="B1114">
        <v>103</v>
      </c>
      <c r="C1114" t="s">
        <v>1071</v>
      </c>
      <c r="E1114" s="18">
        <v>-150</v>
      </c>
      <c r="G1114" t="s">
        <v>442</v>
      </c>
      <c r="I1114"/>
      <c r="J1114"/>
      <c r="L1114"/>
      <c r="M1114"/>
      <c r="O1114"/>
      <c r="P1114" s="20"/>
      <c r="Q1114" s="20"/>
      <c r="R1114" s="20"/>
      <c r="S1114" s="20"/>
      <c r="T1114" s="20"/>
      <c r="U1114" t="s">
        <v>401</v>
      </c>
    </row>
    <row r="1115" spans="1:21" x14ac:dyDescent="0.25">
      <c r="B1115">
        <v>103</v>
      </c>
      <c r="C1115" t="s">
        <v>1072</v>
      </c>
      <c r="E1115" s="18">
        <v>-366.55</v>
      </c>
      <c r="G1115" t="s">
        <v>442</v>
      </c>
      <c r="I1115"/>
      <c r="J1115"/>
      <c r="L1115"/>
      <c r="M1115"/>
      <c r="O1115"/>
      <c r="P1115" s="20"/>
      <c r="Q1115" s="20"/>
      <c r="R1115" s="20"/>
      <c r="S1115" s="20"/>
      <c r="T1115" s="20"/>
      <c r="U1115" t="s">
        <v>401</v>
      </c>
    </row>
    <row r="1116" spans="1:21" x14ac:dyDescent="0.25">
      <c r="B1116">
        <v>103</v>
      </c>
      <c r="C1116" t="s">
        <v>2052</v>
      </c>
      <c r="E1116" s="18">
        <v>-228.57142857142856</v>
      </c>
      <c r="G1116" t="s">
        <v>442</v>
      </c>
      <c r="I1116"/>
      <c r="J1116"/>
      <c r="L1116"/>
      <c r="M1116"/>
      <c r="O1116"/>
      <c r="P1116" s="20"/>
      <c r="Q1116" s="20"/>
      <c r="R1116" s="20"/>
      <c r="S1116" s="20"/>
      <c r="T1116" s="20"/>
      <c r="U1116" t="s">
        <v>401</v>
      </c>
    </row>
    <row r="1117" spans="1:21" x14ac:dyDescent="0.25">
      <c r="A1117" s="3">
        <v>41733</v>
      </c>
      <c r="B1117" s="36">
        <v>104</v>
      </c>
      <c r="C1117" t="s">
        <v>2053</v>
      </c>
      <c r="D1117">
        <v>6.75</v>
      </c>
      <c r="E1117" s="18">
        <v>675</v>
      </c>
      <c r="G1117" t="s">
        <v>2054</v>
      </c>
      <c r="H1117" s="18">
        <v>675</v>
      </c>
      <c r="I1117" s="3">
        <v>41733</v>
      </c>
      <c r="J1117"/>
      <c r="L1117"/>
      <c r="M1117"/>
      <c r="N1117" s="20"/>
      <c r="O1117"/>
      <c r="P1117" s="20"/>
      <c r="Q1117" s="20"/>
      <c r="R1117" s="20"/>
      <c r="S1117" s="20"/>
      <c r="T1117" s="20"/>
    </row>
    <row r="1118" spans="1:21" x14ac:dyDescent="0.25">
      <c r="A1118" s="3">
        <v>41740</v>
      </c>
      <c r="B1118" s="36">
        <v>104</v>
      </c>
      <c r="C1118" t="s">
        <v>2055</v>
      </c>
      <c r="D1118">
        <v>7.5</v>
      </c>
      <c r="E1118" s="18">
        <v>750</v>
      </c>
      <c r="G1118" t="s">
        <v>2056</v>
      </c>
      <c r="H1118" s="18">
        <v>750</v>
      </c>
      <c r="I1118" s="3">
        <v>41740</v>
      </c>
      <c r="J1118"/>
      <c r="L1118"/>
      <c r="M1118"/>
      <c r="N1118" s="20"/>
      <c r="O1118"/>
      <c r="P1118" s="20"/>
      <c r="Q1118" s="20"/>
      <c r="R1118" s="20"/>
      <c r="S1118" s="20"/>
      <c r="T1118" s="20"/>
    </row>
    <row r="1119" spans="1:21" x14ac:dyDescent="0.25">
      <c r="A1119" s="3">
        <v>41754</v>
      </c>
      <c r="B1119" s="36">
        <v>104</v>
      </c>
      <c r="C1119" t="s">
        <v>2057</v>
      </c>
      <c r="D1119">
        <v>5.8650000000000002</v>
      </c>
      <c r="E1119" s="18">
        <v>586.5</v>
      </c>
      <c r="G1119" t="s">
        <v>2058</v>
      </c>
      <c r="H1119" s="18">
        <v>586.5</v>
      </c>
      <c r="I1119" s="3">
        <v>41754</v>
      </c>
      <c r="J1119"/>
      <c r="L1119"/>
      <c r="M1119"/>
      <c r="N1119" s="20"/>
      <c r="O1119"/>
      <c r="P1119" s="20"/>
      <c r="Q1119" s="20"/>
      <c r="R1119" s="20"/>
      <c r="S1119" s="20"/>
      <c r="T1119" s="20"/>
    </row>
    <row r="1120" spans="1:21" x14ac:dyDescent="0.25">
      <c r="A1120" s="3">
        <v>41754</v>
      </c>
      <c r="B1120" s="36">
        <v>104</v>
      </c>
      <c r="C1120" t="s">
        <v>2059</v>
      </c>
      <c r="D1120">
        <v>7.75</v>
      </c>
      <c r="E1120" s="18">
        <v>775</v>
      </c>
      <c r="G1120" t="s">
        <v>2060</v>
      </c>
      <c r="H1120" s="18">
        <v>775</v>
      </c>
      <c r="I1120" s="3">
        <v>41754</v>
      </c>
      <c r="J1120"/>
      <c r="L1120"/>
      <c r="M1120"/>
      <c r="N1120" s="20"/>
      <c r="O1120"/>
      <c r="P1120" s="20"/>
      <c r="Q1120" s="20"/>
      <c r="R1120" s="20"/>
      <c r="S1120" s="20"/>
      <c r="T1120" s="20"/>
    </row>
    <row r="1121" spans="1:20" x14ac:dyDescent="0.25">
      <c r="A1121" s="3">
        <v>41754</v>
      </c>
      <c r="B1121" s="36">
        <v>104</v>
      </c>
      <c r="C1121" t="s">
        <v>2061</v>
      </c>
      <c r="D1121">
        <v>5.5</v>
      </c>
      <c r="E1121" s="18">
        <v>550</v>
      </c>
      <c r="G1121" t="s">
        <v>2062</v>
      </c>
      <c r="H1121" s="18">
        <v>550</v>
      </c>
      <c r="I1121" s="3">
        <v>41754</v>
      </c>
      <c r="J1121"/>
      <c r="L1121"/>
      <c r="M1121"/>
      <c r="N1121" s="20"/>
      <c r="O1121"/>
      <c r="P1121" s="20"/>
      <c r="Q1121" s="20"/>
      <c r="R1121" s="20"/>
      <c r="S1121" s="20"/>
      <c r="T1121" s="20"/>
    </row>
    <row r="1122" spans="1:20" x14ac:dyDescent="0.25">
      <c r="A1122" s="3">
        <v>41754</v>
      </c>
      <c r="B1122" s="36">
        <v>104</v>
      </c>
      <c r="C1122" t="s">
        <v>2063</v>
      </c>
      <c r="D1122">
        <v>7</v>
      </c>
      <c r="E1122" s="18">
        <v>700</v>
      </c>
      <c r="G1122" t="s">
        <v>2064</v>
      </c>
      <c r="H1122" s="18">
        <v>700</v>
      </c>
      <c r="I1122" s="3">
        <v>41754</v>
      </c>
      <c r="J1122"/>
      <c r="L1122"/>
      <c r="M1122"/>
      <c r="N1122" s="20"/>
      <c r="O1122"/>
      <c r="P1122" s="20"/>
      <c r="Q1122" s="20"/>
      <c r="R1122" s="20"/>
      <c r="S1122" s="20"/>
      <c r="T1122" s="20"/>
    </row>
    <row r="1123" spans="1:20" x14ac:dyDescent="0.25">
      <c r="A1123" s="3">
        <v>41754</v>
      </c>
      <c r="B1123" s="36">
        <v>104</v>
      </c>
      <c r="C1123" t="s">
        <v>2065</v>
      </c>
      <c r="D1123">
        <v>2.75</v>
      </c>
      <c r="E1123" s="18">
        <v>275</v>
      </c>
      <c r="G1123" t="s">
        <v>2066</v>
      </c>
      <c r="H1123" s="18">
        <v>275</v>
      </c>
      <c r="I1123" s="3">
        <v>41754</v>
      </c>
      <c r="J1123"/>
      <c r="L1123"/>
      <c r="M1123"/>
      <c r="N1123" s="20"/>
      <c r="O1123"/>
      <c r="P1123" s="20"/>
      <c r="Q1123" s="20"/>
      <c r="R1123" s="20"/>
      <c r="S1123" s="20"/>
      <c r="T1123" s="20"/>
    </row>
    <row r="1124" spans="1:20" x14ac:dyDescent="0.25">
      <c r="A1124" s="3">
        <v>41754</v>
      </c>
      <c r="B1124" s="36">
        <v>104</v>
      </c>
      <c r="C1124" t="s">
        <v>2065</v>
      </c>
      <c r="D1124">
        <v>5</v>
      </c>
      <c r="E1124" s="18">
        <v>500</v>
      </c>
      <c r="G1124" t="s">
        <v>2067</v>
      </c>
      <c r="H1124" s="18">
        <v>500</v>
      </c>
      <c r="I1124" s="3">
        <v>41754</v>
      </c>
      <c r="J1124"/>
      <c r="L1124"/>
      <c r="M1124"/>
      <c r="N1124" s="20"/>
      <c r="O1124"/>
      <c r="P1124" s="20"/>
      <c r="Q1124" s="20"/>
      <c r="R1124" s="20"/>
      <c r="S1124" s="20"/>
      <c r="T1124" s="20"/>
    </row>
    <row r="1125" spans="1:20" x14ac:dyDescent="0.25">
      <c r="A1125" s="3">
        <v>41754</v>
      </c>
      <c r="B1125" s="36">
        <v>104</v>
      </c>
      <c r="C1125" t="s">
        <v>2065</v>
      </c>
      <c r="D1125">
        <v>7.25</v>
      </c>
      <c r="E1125" s="18">
        <v>725</v>
      </c>
      <c r="G1125" t="s">
        <v>2068</v>
      </c>
      <c r="H1125" s="18">
        <v>725</v>
      </c>
      <c r="I1125" s="3">
        <v>41754</v>
      </c>
      <c r="J1125"/>
      <c r="L1125"/>
      <c r="M1125"/>
      <c r="N1125" s="20"/>
      <c r="O1125"/>
      <c r="P1125" s="20"/>
      <c r="Q1125" s="20"/>
      <c r="R1125" s="20"/>
      <c r="S1125" s="20"/>
      <c r="T1125" s="20"/>
    </row>
    <row r="1126" spans="1:20" x14ac:dyDescent="0.25">
      <c r="A1126" s="3">
        <v>41782</v>
      </c>
      <c r="B1126" s="36">
        <v>104</v>
      </c>
      <c r="C1126" t="s">
        <v>2069</v>
      </c>
      <c r="D1126">
        <v>3.25</v>
      </c>
      <c r="E1126" s="18">
        <v>325</v>
      </c>
      <c r="G1126" t="s">
        <v>2070</v>
      </c>
      <c r="H1126" s="18">
        <v>325</v>
      </c>
      <c r="I1126" s="3">
        <v>41782</v>
      </c>
      <c r="J1126"/>
      <c r="L1126"/>
      <c r="M1126"/>
      <c r="N1126" s="20"/>
      <c r="O1126"/>
      <c r="P1126" s="20"/>
      <c r="Q1126" s="20"/>
      <c r="R1126" s="20"/>
      <c r="S1126" s="20"/>
      <c r="T1126" s="20"/>
    </row>
    <row r="1127" spans="1:20" x14ac:dyDescent="0.25">
      <c r="A1127" s="3">
        <v>41789</v>
      </c>
      <c r="B1127" s="36">
        <v>104</v>
      </c>
      <c r="C1127" t="s">
        <v>2071</v>
      </c>
      <c r="D1127">
        <v>9.25</v>
      </c>
      <c r="E1127" s="18">
        <v>925</v>
      </c>
      <c r="G1127" t="s">
        <v>2072</v>
      </c>
      <c r="H1127" s="18">
        <v>925</v>
      </c>
      <c r="I1127" s="3">
        <v>41789</v>
      </c>
      <c r="J1127"/>
      <c r="L1127"/>
      <c r="M1127"/>
      <c r="N1127" s="20"/>
      <c r="O1127"/>
      <c r="P1127" s="20"/>
      <c r="Q1127" s="20"/>
      <c r="R1127" s="20"/>
      <c r="S1127" s="20"/>
      <c r="T1127" s="20"/>
    </row>
    <row r="1128" spans="1:20" x14ac:dyDescent="0.25">
      <c r="A1128" s="3">
        <v>41789</v>
      </c>
      <c r="B1128" s="36">
        <v>104</v>
      </c>
      <c r="C1128" t="s">
        <v>2073</v>
      </c>
      <c r="D1128">
        <v>5.0999999999999996</v>
      </c>
      <c r="E1128" s="18">
        <v>509.99999999999994</v>
      </c>
      <c r="G1128" t="s">
        <v>2074</v>
      </c>
      <c r="H1128" s="18">
        <v>509.99999999999994</v>
      </c>
      <c r="I1128" s="3">
        <v>41789</v>
      </c>
      <c r="J1128"/>
      <c r="L1128"/>
      <c r="M1128"/>
      <c r="N1128" s="20"/>
      <c r="O1128"/>
      <c r="P1128" s="20"/>
      <c r="Q1128" s="20"/>
      <c r="R1128" s="20"/>
      <c r="S1128" s="20"/>
      <c r="T1128" s="20"/>
    </row>
    <row r="1129" spans="1:20" x14ac:dyDescent="0.25">
      <c r="A1129" s="3">
        <v>41789</v>
      </c>
      <c r="B1129" s="36">
        <v>104</v>
      </c>
      <c r="C1129" t="s">
        <v>2075</v>
      </c>
      <c r="D1129">
        <v>5.75</v>
      </c>
      <c r="E1129" s="18">
        <v>575</v>
      </c>
      <c r="G1129" t="s">
        <v>2076</v>
      </c>
      <c r="H1129" s="18">
        <v>575</v>
      </c>
      <c r="I1129" s="3">
        <v>41789</v>
      </c>
      <c r="J1129"/>
      <c r="L1129"/>
      <c r="M1129"/>
      <c r="N1129" s="20"/>
      <c r="O1129"/>
      <c r="P1129" s="20"/>
      <c r="Q1129" s="20"/>
      <c r="R1129" s="20"/>
      <c r="S1129" s="20"/>
      <c r="T1129" s="20"/>
    </row>
    <row r="1130" spans="1:20" x14ac:dyDescent="0.25">
      <c r="A1130" s="3">
        <v>41789</v>
      </c>
      <c r="B1130" s="36">
        <v>104</v>
      </c>
      <c r="C1130" t="s">
        <v>1072</v>
      </c>
      <c r="E1130" s="18">
        <v>-468.37</v>
      </c>
      <c r="G1130" t="s">
        <v>442</v>
      </c>
      <c r="H1130" s="18" t="s">
        <v>442</v>
      </c>
      <c r="I1130" s="3" t="s">
        <v>442</v>
      </c>
      <c r="J1130"/>
      <c r="L1130"/>
      <c r="M1130"/>
      <c r="N1130" s="20"/>
      <c r="O1130" t="s">
        <v>1992</v>
      </c>
      <c r="P1130" s="20"/>
      <c r="Q1130" s="20" t="s">
        <v>401</v>
      </c>
      <c r="R1130" s="20"/>
      <c r="S1130" s="20"/>
      <c r="T1130" s="20"/>
    </row>
    <row r="1131" spans="1:20" x14ac:dyDescent="0.25">
      <c r="A1131" s="3">
        <v>41796</v>
      </c>
      <c r="B1131" s="36">
        <v>104</v>
      </c>
      <c r="C1131" t="s">
        <v>2071</v>
      </c>
      <c r="D1131">
        <v>7.65</v>
      </c>
      <c r="E1131" s="18">
        <v>765</v>
      </c>
      <c r="G1131" t="s">
        <v>2072</v>
      </c>
      <c r="H1131" s="18">
        <v>765</v>
      </c>
      <c r="I1131" s="3">
        <v>41796</v>
      </c>
      <c r="J1131"/>
      <c r="L1131"/>
      <c r="M1131"/>
      <c r="N1131" s="20"/>
      <c r="O1131" t="s">
        <v>905</v>
      </c>
      <c r="P1131" s="20"/>
      <c r="Q1131" s="20"/>
      <c r="R1131" s="20"/>
      <c r="S1131" s="20"/>
      <c r="T1131" s="20"/>
    </row>
    <row r="1132" spans="1:20" x14ac:dyDescent="0.25">
      <c r="A1132" s="3">
        <v>41796</v>
      </c>
      <c r="B1132" s="36">
        <v>104</v>
      </c>
      <c r="C1132" t="s">
        <v>261</v>
      </c>
      <c r="D1132">
        <v>6.63</v>
      </c>
      <c r="E1132" s="18">
        <v>663</v>
      </c>
      <c r="G1132" t="s">
        <v>2077</v>
      </c>
      <c r="H1132" s="18">
        <v>663</v>
      </c>
      <c r="I1132" s="3">
        <v>41796</v>
      </c>
      <c r="J1132"/>
      <c r="L1132"/>
      <c r="M1132"/>
      <c r="N1132" s="20"/>
      <c r="O1132" t="s">
        <v>905</v>
      </c>
      <c r="P1132" s="20"/>
      <c r="Q1132" s="20"/>
      <c r="R1132" s="20"/>
      <c r="S1132" s="20"/>
      <c r="T1132" s="20"/>
    </row>
    <row r="1133" spans="1:20" x14ac:dyDescent="0.25">
      <c r="A1133" s="3">
        <v>41796</v>
      </c>
      <c r="B1133" s="36">
        <v>104</v>
      </c>
      <c r="C1133" t="s">
        <v>2078</v>
      </c>
      <c r="D1133">
        <v>4.25</v>
      </c>
      <c r="E1133" s="18">
        <v>425</v>
      </c>
      <c r="G1133" t="s">
        <v>2079</v>
      </c>
      <c r="H1133" s="18">
        <v>425</v>
      </c>
      <c r="I1133" s="3">
        <v>41796</v>
      </c>
      <c r="J1133"/>
      <c r="L1133"/>
      <c r="M1133"/>
      <c r="N1133" s="20"/>
      <c r="O1133" t="s">
        <v>1555</v>
      </c>
      <c r="P1133" s="20"/>
      <c r="Q1133" s="20"/>
      <c r="R1133" s="20"/>
      <c r="S1133" s="20"/>
      <c r="T1133" s="20"/>
    </row>
    <row r="1134" spans="1:20" x14ac:dyDescent="0.25">
      <c r="A1134" s="3">
        <v>41796</v>
      </c>
      <c r="B1134" s="36">
        <v>104</v>
      </c>
      <c r="C1134" t="s">
        <v>2080</v>
      </c>
      <c r="D1134">
        <v>3.75</v>
      </c>
      <c r="E1134" s="18">
        <v>375</v>
      </c>
      <c r="G1134" t="s">
        <v>2081</v>
      </c>
      <c r="H1134" s="18">
        <v>375</v>
      </c>
      <c r="I1134" s="3">
        <v>41796</v>
      </c>
      <c r="J1134"/>
      <c r="L1134"/>
      <c r="M1134"/>
      <c r="N1134" s="20"/>
      <c r="O1134" t="s">
        <v>1555</v>
      </c>
      <c r="P1134" s="20"/>
      <c r="Q1134" s="20"/>
      <c r="R1134" s="20"/>
      <c r="S1134" s="20"/>
      <c r="T1134" s="20"/>
    </row>
    <row r="1135" spans="1:20" x14ac:dyDescent="0.25">
      <c r="A1135" s="3">
        <v>41796</v>
      </c>
      <c r="B1135" s="36">
        <v>104</v>
      </c>
      <c r="C1135" t="s">
        <v>2075</v>
      </c>
      <c r="D1135">
        <v>6.63</v>
      </c>
      <c r="E1135" s="18">
        <v>663</v>
      </c>
      <c r="G1135" t="s">
        <v>2076</v>
      </c>
      <c r="H1135" s="18">
        <v>663</v>
      </c>
      <c r="I1135" s="3">
        <v>41796</v>
      </c>
      <c r="J1135"/>
      <c r="L1135"/>
      <c r="M1135"/>
      <c r="N1135" s="20"/>
      <c r="O1135" t="s">
        <v>905</v>
      </c>
      <c r="P1135" s="20"/>
      <c r="Q1135" s="20"/>
      <c r="R1135" s="20"/>
      <c r="S1135" s="20"/>
      <c r="T1135" s="20"/>
    </row>
    <row r="1136" spans="1:20" x14ac:dyDescent="0.25">
      <c r="A1136" s="3">
        <v>41796</v>
      </c>
      <c r="B1136" s="36">
        <v>104</v>
      </c>
      <c r="C1136" t="s">
        <v>1071</v>
      </c>
      <c r="E1136" s="18">
        <v>-150</v>
      </c>
      <c r="G1136" t="s">
        <v>442</v>
      </c>
      <c r="H1136" s="18" t="s">
        <v>442</v>
      </c>
      <c r="I1136" s="3" t="s">
        <v>442</v>
      </c>
      <c r="J1136"/>
      <c r="L1136"/>
      <c r="M1136"/>
      <c r="N1136" s="20"/>
      <c r="O1136"/>
      <c r="P1136" s="20"/>
      <c r="Q1136" s="20" t="s">
        <v>401</v>
      </c>
      <c r="R1136" s="20"/>
      <c r="S1136" s="20"/>
      <c r="T1136" s="20"/>
    </row>
    <row r="1137" spans="1:20" x14ac:dyDescent="0.25">
      <c r="A1137" s="3">
        <v>41803</v>
      </c>
      <c r="B1137" s="36">
        <v>104</v>
      </c>
      <c r="C1137" t="s">
        <v>2071</v>
      </c>
      <c r="D1137">
        <v>-7.65</v>
      </c>
      <c r="E1137" s="18">
        <v>-765</v>
      </c>
      <c r="G1137" t="s">
        <v>2072</v>
      </c>
      <c r="H1137" s="18" t="s">
        <v>442</v>
      </c>
      <c r="I1137" s="3" t="s">
        <v>442</v>
      </c>
      <c r="J1137"/>
      <c r="L1137"/>
      <c r="M1137"/>
      <c r="N1137" s="20"/>
      <c r="O1137" t="s">
        <v>2015</v>
      </c>
      <c r="P1137" s="20"/>
      <c r="Q1137" s="20"/>
      <c r="R1137" s="20"/>
      <c r="S1137" s="20"/>
      <c r="T1137" s="20"/>
    </row>
    <row r="1138" spans="1:20" x14ac:dyDescent="0.25">
      <c r="A1138" s="3">
        <v>41803</v>
      </c>
      <c r="B1138" s="36">
        <v>104</v>
      </c>
      <c r="C1138" t="s">
        <v>2082</v>
      </c>
      <c r="D1138">
        <v>7.25</v>
      </c>
      <c r="E1138" s="18">
        <v>725</v>
      </c>
      <c r="G1138" t="s">
        <v>2083</v>
      </c>
      <c r="H1138" s="18">
        <v>725</v>
      </c>
      <c r="I1138" s="3">
        <v>41803</v>
      </c>
      <c r="J1138"/>
      <c r="L1138"/>
      <c r="M1138"/>
      <c r="N1138" s="20"/>
      <c r="O1138" t="s">
        <v>1169</v>
      </c>
      <c r="P1138" s="20"/>
      <c r="Q1138" s="20"/>
      <c r="R1138" s="20"/>
      <c r="S1138" s="20"/>
      <c r="T1138" s="20"/>
    </row>
    <row r="1139" spans="1:20" x14ac:dyDescent="0.25">
      <c r="A1139" s="3">
        <v>41803</v>
      </c>
      <c r="B1139" s="36">
        <v>104</v>
      </c>
      <c r="C1139" t="s">
        <v>2084</v>
      </c>
      <c r="D1139">
        <v>5.5</v>
      </c>
      <c r="E1139" s="18">
        <v>550</v>
      </c>
      <c r="G1139" t="s">
        <v>2085</v>
      </c>
      <c r="H1139" s="18">
        <v>550</v>
      </c>
      <c r="I1139" s="3">
        <v>41803</v>
      </c>
      <c r="J1139"/>
      <c r="L1139"/>
      <c r="M1139"/>
      <c r="N1139" s="20"/>
      <c r="O1139" t="s">
        <v>1169</v>
      </c>
      <c r="P1139" s="20"/>
      <c r="Q1139" s="20"/>
      <c r="R1139" s="20"/>
      <c r="S1139" s="20"/>
      <c r="T1139" s="20"/>
    </row>
    <row r="1140" spans="1:20" x14ac:dyDescent="0.25">
      <c r="A1140" s="3">
        <v>41803</v>
      </c>
      <c r="B1140" s="36">
        <v>104</v>
      </c>
      <c r="C1140" t="s">
        <v>2075</v>
      </c>
      <c r="D1140">
        <v>-6.63</v>
      </c>
      <c r="E1140" s="18">
        <v>-663</v>
      </c>
      <c r="G1140" t="s">
        <v>2076</v>
      </c>
      <c r="H1140" s="18" t="s">
        <v>442</v>
      </c>
      <c r="I1140" s="3" t="s">
        <v>442</v>
      </c>
      <c r="J1140"/>
      <c r="L1140"/>
      <c r="M1140"/>
      <c r="N1140" s="20"/>
      <c r="O1140" t="s">
        <v>2015</v>
      </c>
      <c r="P1140" s="20"/>
      <c r="Q1140" s="20"/>
      <c r="R1140" s="20"/>
      <c r="S1140" s="20"/>
      <c r="T1140" s="20"/>
    </row>
    <row r="1141" spans="1:20" x14ac:dyDescent="0.25">
      <c r="A1141" s="3">
        <v>41803</v>
      </c>
      <c r="B1141" s="36">
        <v>104</v>
      </c>
      <c r="C1141" t="s">
        <v>2086</v>
      </c>
      <c r="D1141">
        <v>7.75</v>
      </c>
      <c r="E1141" s="18">
        <v>775</v>
      </c>
      <c r="G1141" t="s">
        <v>2087</v>
      </c>
      <c r="H1141" s="18">
        <v>775</v>
      </c>
      <c r="I1141" s="3">
        <v>41803</v>
      </c>
      <c r="J1141"/>
      <c r="L1141"/>
      <c r="M1141"/>
      <c r="N1141" s="20"/>
      <c r="O1141" t="s">
        <v>1169</v>
      </c>
      <c r="P1141" s="20"/>
      <c r="Q1141" s="20"/>
      <c r="R1141" s="20"/>
      <c r="S1141" s="20"/>
      <c r="T1141" s="20"/>
    </row>
    <row r="1142" spans="1:20" x14ac:dyDescent="0.25">
      <c r="A1142" s="3">
        <v>41831</v>
      </c>
      <c r="B1142" s="36">
        <v>104</v>
      </c>
      <c r="C1142" t="s">
        <v>2088</v>
      </c>
      <c r="D1142">
        <v>7.3949999999999996</v>
      </c>
      <c r="E1142" s="18">
        <v>739.5</v>
      </c>
      <c r="G1142" t="s">
        <v>2089</v>
      </c>
      <c r="H1142" s="18">
        <v>739.5</v>
      </c>
      <c r="I1142" s="3">
        <v>41831</v>
      </c>
      <c r="J1142"/>
      <c r="L1142"/>
      <c r="M1142"/>
      <c r="N1142" s="20"/>
      <c r="O1142" t="s">
        <v>1009</v>
      </c>
      <c r="P1142" s="20"/>
      <c r="Q1142" s="20"/>
      <c r="R1142" s="20"/>
      <c r="S1142" s="20"/>
      <c r="T1142" s="20"/>
    </row>
    <row r="1143" spans="1:20" x14ac:dyDescent="0.25">
      <c r="A1143" s="3">
        <v>41831</v>
      </c>
      <c r="B1143" s="36">
        <v>104</v>
      </c>
      <c r="C1143" t="s">
        <v>2061</v>
      </c>
      <c r="D1143">
        <v>5.5</v>
      </c>
      <c r="E1143" s="18">
        <v>-550</v>
      </c>
      <c r="G1143" t="s">
        <v>2062</v>
      </c>
      <c r="H1143" s="18" t="s">
        <v>442</v>
      </c>
      <c r="I1143" s="3" t="s">
        <v>442</v>
      </c>
      <c r="J1143"/>
      <c r="L1143"/>
      <c r="M1143"/>
      <c r="N1143" s="20"/>
      <c r="O1143" t="s">
        <v>949</v>
      </c>
      <c r="P1143" s="20"/>
      <c r="Q1143" s="20"/>
      <c r="R1143" s="20"/>
      <c r="S1143" s="20"/>
      <c r="T1143" s="20"/>
    </row>
    <row r="1144" spans="1:20" x14ac:dyDescent="0.25">
      <c r="A1144" s="3">
        <v>41831</v>
      </c>
      <c r="B1144" s="36">
        <v>104</v>
      </c>
      <c r="C1144" t="s">
        <v>2047</v>
      </c>
      <c r="D1144">
        <v>2</v>
      </c>
      <c r="E1144" s="18">
        <v>-200</v>
      </c>
      <c r="G1144" t="s">
        <v>442</v>
      </c>
      <c r="H1144" s="18" t="s">
        <v>442</v>
      </c>
      <c r="I1144" s="3" t="s">
        <v>442</v>
      </c>
      <c r="J1144"/>
      <c r="L1144"/>
      <c r="M1144"/>
      <c r="N1144" s="20"/>
      <c r="O1144" t="s">
        <v>2047</v>
      </c>
      <c r="P1144" s="20"/>
      <c r="Q1144" s="20"/>
      <c r="R1144" s="20" t="s">
        <v>401</v>
      </c>
      <c r="S1144" s="20"/>
      <c r="T1144" s="20"/>
    </row>
    <row r="1145" spans="1:20" x14ac:dyDescent="0.25">
      <c r="A1145" s="3">
        <v>41831</v>
      </c>
      <c r="B1145" s="36">
        <v>104</v>
      </c>
      <c r="C1145" t="s">
        <v>2084</v>
      </c>
      <c r="D1145">
        <v>5.5</v>
      </c>
      <c r="E1145" s="18">
        <v>-550</v>
      </c>
      <c r="G1145" t="s">
        <v>2085</v>
      </c>
      <c r="H1145" s="18" t="s">
        <v>442</v>
      </c>
      <c r="I1145" s="3" t="s">
        <v>442</v>
      </c>
      <c r="J1145"/>
      <c r="L1145"/>
      <c r="M1145"/>
      <c r="N1145" s="20"/>
      <c r="O1145" t="s">
        <v>2090</v>
      </c>
      <c r="P1145" s="20"/>
      <c r="Q1145" s="20"/>
      <c r="R1145" s="20"/>
      <c r="S1145" s="20"/>
      <c r="T1145" s="20"/>
    </row>
    <row r="1146" spans="1:20" x14ac:dyDescent="0.25">
      <c r="A1146" s="3">
        <v>41831</v>
      </c>
      <c r="B1146" s="36">
        <v>104</v>
      </c>
      <c r="C1146" t="s">
        <v>2055</v>
      </c>
      <c r="D1146">
        <v>7.5</v>
      </c>
      <c r="E1146" s="18">
        <v>750</v>
      </c>
      <c r="G1146" t="s">
        <v>2056</v>
      </c>
      <c r="H1146" s="18">
        <v>750</v>
      </c>
      <c r="I1146" s="3">
        <v>41831</v>
      </c>
      <c r="J1146"/>
      <c r="L1146"/>
      <c r="M1146"/>
      <c r="N1146" s="20"/>
      <c r="O1146" t="s">
        <v>959</v>
      </c>
      <c r="P1146" s="20"/>
      <c r="Q1146" s="20"/>
      <c r="R1146" s="20"/>
      <c r="S1146" s="20"/>
      <c r="T1146" s="20"/>
    </row>
    <row r="1147" spans="1:20" x14ac:dyDescent="0.25">
      <c r="A1147" s="3">
        <v>41831</v>
      </c>
      <c r="B1147" s="36">
        <v>104</v>
      </c>
      <c r="C1147" t="s">
        <v>2091</v>
      </c>
      <c r="D1147">
        <v>3</v>
      </c>
      <c r="E1147" s="18">
        <v>300</v>
      </c>
      <c r="G1147" t="s">
        <v>2092</v>
      </c>
      <c r="H1147" s="18">
        <v>300</v>
      </c>
      <c r="I1147" s="3">
        <v>41831</v>
      </c>
      <c r="J1147"/>
      <c r="L1147"/>
      <c r="M1147"/>
      <c r="N1147" s="20"/>
      <c r="O1147"/>
      <c r="P1147" s="20"/>
      <c r="Q1147" s="20"/>
      <c r="R1147" s="20"/>
      <c r="S1147" s="20"/>
      <c r="T1147" s="20"/>
    </row>
    <row r="1148" spans="1:20" x14ac:dyDescent="0.25">
      <c r="A1148" s="3">
        <v>41831</v>
      </c>
      <c r="B1148" s="36">
        <v>104</v>
      </c>
      <c r="C1148" t="s">
        <v>1574</v>
      </c>
      <c r="E1148" s="18">
        <v>-100</v>
      </c>
      <c r="G1148" t="s">
        <v>442</v>
      </c>
      <c r="H1148" s="18" t="s">
        <v>442</v>
      </c>
      <c r="I1148" s="3" t="s">
        <v>442</v>
      </c>
      <c r="J1148"/>
      <c r="L1148"/>
      <c r="M1148"/>
      <c r="N1148" s="20"/>
      <c r="O1148" t="s">
        <v>1839</v>
      </c>
      <c r="P1148" s="20"/>
      <c r="Q1148" s="20" t="s">
        <v>401</v>
      </c>
      <c r="R1148" s="20"/>
      <c r="S1148" s="20"/>
      <c r="T1148" s="20"/>
    </row>
    <row r="1149" spans="1:20" x14ac:dyDescent="0.25">
      <c r="A1149" s="3">
        <v>41831</v>
      </c>
      <c r="B1149" s="36">
        <v>104</v>
      </c>
      <c r="C1149" t="s">
        <v>1575</v>
      </c>
      <c r="E1149" s="18">
        <v>-100</v>
      </c>
      <c r="G1149" t="s">
        <v>442</v>
      </c>
      <c r="H1149" s="18" t="s">
        <v>442</v>
      </c>
      <c r="I1149" s="3" t="s">
        <v>442</v>
      </c>
      <c r="J1149"/>
      <c r="L1149"/>
      <c r="M1149"/>
      <c r="N1149" s="20"/>
      <c r="O1149" t="s">
        <v>1851</v>
      </c>
      <c r="P1149" s="20"/>
      <c r="Q1149" s="20" t="s">
        <v>401</v>
      </c>
      <c r="R1149" s="20"/>
      <c r="S1149" s="20"/>
      <c r="T1149" s="20"/>
    </row>
    <row r="1150" spans="1:20" x14ac:dyDescent="0.25">
      <c r="A1150" s="3">
        <v>41831</v>
      </c>
      <c r="B1150" s="36">
        <v>104</v>
      </c>
      <c r="C1150" t="s">
        <v>2053</v>
      </c>
      <c r="D1150">
        <v>5</v>
      </c>
      <c r="E1150" s="18">
        <v>325</v>
      </c>
      <c r="G1150" t="s">
        <v>2054</v>
      </c>
      <c r="H1150" s="18">
        <v>325</v>
      </c>
      <c r="I1150" s="3">
        <v>41831</v>
      </c>
      <c r="J1150"/>
      <c r="L1150"/>
      <c r="M1150"/>
      <c r="N1150" s="20"/>
      <c r="O1150" t="s">
        <v>959</v>
      </c>
      <c r="P1150" s="20"/>
      <c r="Q1150" s="20"/>
      <c r="R1150" s="20"/>
      <c r="S1150" s="20"/>
      <c r="T1150" s="20"/>
    </row>
    <row r="1151" spans="1:20" x14ac:dyDescent="0.25">
      <c r="A1151" s="3">
        <v>41879</v>
      </c>
      <c r="B1151" s="36">
        <v>104</v>
      </c>
      <c r="C1151" t="s">
        <v>2093</v>
      </c>
      <c r="D1151">
        <v>5.3550000000000004</v>
      </c>
      <c r="E1151" s="18">
        <v>535.5</v>
      </c>
      <c r="F1151" t="s">
        <v>889</v>
      </c>
      <c r="G1151" t="s">
        <v>2094</v>
      </c>
      <c r="H1151" s="18">
        <v>535.5</v>
      </c>
      <c r="I1151" s="3">
        <v>41879</v>
      </c>
      <c r="J1151"/>
      <c r="L1151"/>
      <c r="M1151"/>
      <c r="N1151" s="20"/>
      <c r="O1151"/>
      <c r="P1151" s="20"/>
      <c r="Q1151" s="20"/>
      <c r="R1151" s="20"/>
      <c r="S1151" s="20"/>
      <c r="T1151" s="20"/>
    </row>
    <row r="1152" spans="1:20" x14ac:dyDescent="0.25">
      <c r="A1152" s="3">
        <v>41879</v>
      </c>
      <c r="B1152" s="36">
        <v>104</v>
      </c>
      <c r="C1152" t="s">
        <v>2093</v>
      </c>
      <c r="E1152" s="18">
        <v>535.5</v>
      </c>
      <c r="F1152" t="s">
        <v>889</v>
      </c>
      <c r="G1152" t="s">
        <v>2094</v>
      </c>
      <c r="H1152" s="18">
        <v>535.5</v>
      </c>
      <c r="I1152" s="3">
        <v>41879</v>
      </c>
      <c r="J1152"/>
      <c r="L1152"/>
      <c r="M1152"/>
      <c r="N1152" s="20"/>
      <c r="O1152" t="s">
        <v>2095</v>
      </c>
      <c r="P1152" s="20"/>
      <c r="Q1152" s="20"/>
      <c r="R1152" s="20"/>
      <c r="S1152" s="20"/>
      <c r="T1152" s="20"/>
    </row>
    <row r="1153" spans="1:20" x14ac:dyDescent="0.25">
      <c r="A1153" s="3">
        <v>41879</v>
      </c>
      <c r="B1153" s="36">
        <v>104</v>
      </c>
      <c r="C1153" t="s">
        <v>2071</v>
      </c>
      <c r="E1153" s="18">
        <v>605</v>
      </c>
      <c r="F1153" t="s">
        <v>889</v>
      </c>
      <c r="G1153" t="s">
        <v>2072</v>
      </c>
      <c r="H1153" s="18">
        <v>605</v>
      </c>
      <c r="I1153" s="3">
        <v>41879</v>
      </c>
      <c r="J1153"/>
      <c r="L1153"/>
      <c r="M1153"/>
      <c r="N1153" s="20"/>
      <c r="O1153" t="s">
        <v>2095</v>
      </c>
      <c r="P1153" s="20"/>
      <c r="Q1153" s="20"/>
      <c r="R1153" s="20"/>
      <c r="S1153" s="20"/>
      <c r="T1153" s="20"/>
    </row>
    <row r="1154" spans="1:20" x14ac:dyDescent="0.25">
      <c r="A1154" s="3">
        <v>41879</v>
      </c>
      <c r="B1154" s="36">
        <v>104</v>
      </c>
      <c r="C1154" t="s">
        <v>261</v>
      </c>
      <c r="D1154">
        <v>6.63</v>
      </c>
      <c r="E1154" s="18">
        <v>-663</v>
      </c>
      <c r="F1154" t="s">
        <v>889</v>
      </c>
      <c r="G1154" t="s">
        <v>2077</v>
      </c>
      <c r="H1154" s="18" t="s">
        <v>442</v>
      </c>
      <c r="I1154" s="3" t="s">
        <v>442</v>
      </c>
      <c r="J1154"/>
      <c r="L1154"/>
      <c r="M1154"/>
      <c r="N1154" s="20"/>
      <c r="O1154" t="s">
        <v>2096</v>
      </c>
      <c r="P1154" s="20"/>
      <c r="Q1154" s="20"/>
      <c r="R1154" s="20"/>
      <c r="S1154" s="20"/>
      <c r="T1154" s="20"/>
    </row>
    <row r="1155" spans="1:20" x14ac:dyDescent="0.25">
      <c r="A1155" s="3">
        <v>41879</v>
      </c>
      <c r="B1155" s="36">
        <v>104</v>
      </c>
      <c r="C1155" t="s">
        <v>2097</v>
      </c>
      <c r="D1155">
        <v>4</v>
      </c>
      <c r="E1155" s="18">
        <v>400</v>
      </c>
      <c r="F1155" t="s">
        <v>889</v>
      </c>
      <c r="G1155" t="s">
        <v>2098</v>
      </c>
      <c r="H1155" s="18">
        <v>400</v>
      </c>
      <c r="I1155" s="3">
        <v>41879</v>
      </c>
      <c r="J1155"/>
      <c r="L1155"/>
      <c r="M1155"/>
      <c r="N1155" s="20"/>
      <c r="O1155"/>
      <c r="P1155" s="20"/>
      <c r="Q1155" s="20"/>
      <c r="R1155" s="20"/>
      <c r="S1155" s="20"/>
      <c r="T1155" s="20"/>
    </row>
    <row r="1156" spans="1:20" x14ac:dyDescent="0.25">
      <c r="A1156" s="3">
        <v>41879</v>
      </c>
      <c r="B1156" s="36">
        <v>104</v>
      </c>
      <c r="C1156" t="s">
        <v>2091</v>
      </c>
      <c r="D1156">
        <v>6</v>
      </c>
      <c r="E1156" s="18">
        <v>612</v>
      </c>
      <c r="F1156" t="s">
        <v>889</v>
      </c>
      <c r="G1156" t="s">
        <v>2099</v>
      </c>
      <c r="H1156" s="18">
        <v>612</v>
      </c>
      <c r="I1156" s="3">
        <v>41879</v>
      </c>
      <c r="J1156"/>
      <c r="L1156"/>
      <c r="M1156"/>
      <c r="N1156" s="20"/>
      <c r="O1156"/>
      <c r="P1156" s="20"/>
      <c r="Q1156" s="20"/>
      <c r="R1156" s="20"/>
      <c r="S1156" s="20"/>
      <c r="T1156" s="20"/>
    </row>
    <row r="1157" spans="1:20" x14ac:dyDescent="0.25">
      <c r="A1157" s="3">
        <v>41879</v>
      </c>
      <c r="B1157" s="36">
        <v>104</v>
      </c>
      <c r="C1157" t="s">
        <v>2063</v>
      </c>
      <c r="D1157">
        <v>7</v>
      </c>
      <c r="E1157" s="18">
        <v>-700</v>
      </c>
      <c r="F1157" t="s">
        <v>889</v>
      </c>
      <c r="G1157" t="s">
        <v>2064</v>
      </c>
      <c r="H1157" s="18" t="s">
        <v>442</v>
      </c>
      <c r="I1157" s="3" t="s">
        <v>442</v>
      </c>
      <c r="J1157"/>
      <c r="L1157"/>
      <c r="M1157"/>
      <c r="N1157" s="20"/>
      <c r="O1157"/>
      <c r="P1157" s="20"/>
      <c r="Q1157" s="20"/>
      <c r="R1157" s="20"/>
      <c r="S1157" s="20"/>
      <c r="T1157" s="20"/>
    </row>
    <row r="1158" spans="1:20" x14ac:dyDescent="0.25">
      <c r="A1158" s="3">
        <v>41879</v>
      </c>
      <c r="B1158" s="36">
        <v>104</v>
      </c>
      <c r="C1158" t="s">
        <v>2073</v>
      </c>
      <c r="D1158">
        <v>5.0999999999999996</v>
      </c>
      <c r="E1158" s="18">
        <v>-509.99999999999994</v>
      </c>
      <c r="F1158" t="s">
        <v>889</v>
      </c>
      <c r="G1158" t="s">
        <v>2074</v>
      </c>
      <c r="H1158" s="18" t="s">
        <v>442</v>
      </c>
      <c r="I1158" s="3" t="s">
        <v>442</v>
      </c>
      <c r="J1158"/>
      <c r="L1158"/>
      <c r="M1158"/>
      <c r="N1158" s="20"/>
      <c r="O1158" t="s">
        <v>1799</v>
      </c>
      <c r="P1158" s="20"/>
      <c r="Q1158" s="20"/>
      <c r="R1158" s="20"/>
      <c r="S1158" s="20"/>
      <c r="T1158" s="20"/>
    </row>
    <row r="1159" spans="1:20" x14ac:dyDescent="0.25">
      <c r="A1159" s="3">
        <v>41879</v>
      </c>
      <c r="B1159" s="36">
        <v>104</v>
      </c>
      <c r="C1159" t="s">
        <v>2080</v>
      </c>
      <c r="D1159">
        <v>3.75</v>
      </c>
      <c r="E1159" s="18">
        <v>-375</v>
      </c>
      <c r="F1159" t="s">
        <v>889</v>
      </c>
      <c r="G1159" t="s">
        <v>2081</v>
      </c>
      <c r="H1159" s="18" t="s">
        <v>442</v>
      </c>
      <c r="I1159" s="3" t="s">
        <v>442</v>
      </c>
      <c r="J1159"/>
      <c r="L1159"/>
      <c r="M1159"/>
      <c r="N1159" s="20"/>
      <c r="O1159"/>
      <c r="P1159" s="20"/>
      <c r="Q1159" s="20"/>
      <c r="R1159" s="20"/>
      <c r="S1159" s="20"/>
      <c r="T1159" s="20"/>
    </row>
    <row r="1160" spans="1:20" x14ac:dyDescent="0.25">
      <c r="A1160" s="3">
        <v>41879</v>
      </c>
      <c r="B1160" s="36">
        <v>104</v>
      </c>
      <c r="C1160" t="s">
        <v>2100</v>
      </c>
      <c r="E1160" s="18">
        <v>257.142857142857</v>
      </c>
      <c r="F1160" t="s">
        <v>891</v>
      </c>
      <c r="H1160" s="18" t="s">
        <v>442</v>
      </c>
      <c r="I1160" s="3" t="s">
        <v>442</v>
      </c>
      <c r="J1160"/>
      <c r="L1160"/>
      <c r="M1160"/>
      <c r="N1160" s="20"/>
      <c r="O1160" t="s">
        <v>2101</v>
      </c>
      <c r="P1160" s="20" t="s">
        <v>401</v>
      </c>
      <c r="Q1160" s="20"/>
      <c r="R1160" s="20"/>
      <c r="S1160" s="20"/>
      <c r="T1160" s="20"/>
    </row>
    <row r="1161" spans="1:20" x14ac:dyDescent="0.25">
      <c r="A1161" s="3">
        <v>41879</v>
      </c>
      <c r="B1161" s="36">
        <v>104</v>
      </c>
      <c r="C1161" t="s">
        <v>2102</v>
      </c>
      <c r="E1161" s="18">
        <v>678.15</v>
      </c>
      <c r="F1161" t="s">
        <v>891</v>
      </c>
      <c r="H1161" s="18" t="s">
        <v>442</v>
      </c>
      <c r="I1161" s="3" t="s">
        <v>442</v>
      </c>
      <c r="J1161"/>
      <c r="L1161"/>
      <c r="M1161"/>
      <c r="N1161" s="20"/>
      <c r="O1161" t="s">
        <v>2102</v>
      </c>
      <c r="P1161" s="20" t="s">
        <v>401</v>
      </c>
      <c r="Q1161" s="20"/>
      <c r="R1161" s="20"/>
      <c r="S1161" s="20"/>
      <c r="T1161" s="20"/>
    </row>
    <row r="1162" spans="1:20" x14ac:dyDescent="0.25">
      <c r="A1162" s="3">
        <v>41879</v>
      </c>
      <c r="B1162" s="36">
        <v>104</v>
      </c>
      <c r="C1162" t="s">
        <v>1482</v>
      </c>
      <c r="E1162" s="18">
        <v>-100</v>
      </c>
      <c r="G1162" t="s">
        <v>442</v>
      </c>
      <c r="H1162" s="18" t="s">
        <v>442</v>
      </c>
      <c r="I1162" s="3" t="s">
        <v>442</v>
      </c>
      <c r="J1162"/>
      <c r="L1162"/>
      <c r="M1162"/>
      <c r="N1162" s="20"/>
      <c r="O1162" t="s">
        <v>1219</v>
      </c>
      <c r="P1162" s="20"/>
      <c r="Q1162" s="20" t="s">
        <v>401</v>
      </c>
      <c r="R1162" s="20"/>
      <c r="S1162" s="20"/>
      <c r="T1162" s="20"/>
    </row>
    <row r="1163" spans="1:20" x14ac:dyDescent="0.25">
      <c r="A1163" s="3">
        <v>41879</v>
      </c>
      <c r="B1163" s="36">
        <v>104</v>
      </c>
      <c r="C1163" t="s">
        <v>1483</v>
      </c>
      <c r="E1163" s="18">
        <v>-100</v>
      </c>
      <c r="G1163" t="s">
        <v>442</v>
      </c>
      <c r="H1163" s="18" t="s">
        <v>442</v>
      </c>
      <c r="I1163" s="3" t="s">
        <v>442</v>
      </c>
      <c r="J1163"/>
      <c r="L1163"/>
      <c r="M1163"/>
      <c r="N1163" s="20"/>
      <c r="O1163" t="s">
        <v>1228</v>
      </c>
      <c r="P1163" s="20"/>
      <c r="Q1163" s="20" t="s">
        <v>401</v>
      </c>
      <c r="R1163" s="20"/>
      <c r="S1163" s="20"/>
      <c r="T1163" s="20"/>
    </row>
    <row r="1164" spans="1:20" x14ac:dyDescent="0.25">
      <c r="A1164" s="3">
        <v>41879</v>
      </c>
      <c r="B1164" s="36">
        <v>104</v>
      </c>
      <c r="C1164" t="s">
        <v>1237</v>
      </c>
      <c r="E1164" s="18">
        <v>-100</v>
      </c>
      <c r="F1164" t="s">
        <v>1484</v>
      </c>
      <c r="G1164" t="s">
        <v>442</v>
      </c>
      <c r="H1164" s="18" t="s">
        <v>442</v>
      </c>
      <c r="I1164" s="3" t="s">
        <v>442</v>
      </c>
      <c r="J1164"/>
      <c r="L1164"/>
      <c r="M1164"/>
      <c r="N1164" s="20"/>
      <c r="O1164" t="s">
        <v>1238</v>
      </c>
      <c r="P1164" s="20"/>
      <c r="Q1164" s="20" t="s">
        <v>401</v>
      </c>
      <c r="R1164" s="20"/>
      <c r="S1164" s="20"/>
      <c r="T1164" s="20"/>
    </row>
    <row r="1165" spans="1:20" x14ac:dyDescent="0.25">
      <c r="A1165" s="3">
        <v>41879</v>
      </c>
      <c r="B1165" s="36">
        <v>104</v>
      </c>
      <c r="C1165" t="s">
        <v>2086</v>
      </c>
      <c r="E1165" s="18">
        <v>704</v>
      </c>
      <c r="F1165" t="s">
        <v>889</v>
      </c>
      <c r="G1165" t="s">
        <v>2087</v>
      </c>
      <c r="H1165" s="18">
        <v>704</v>
      </c>
      <c r="I1165" s="3">
        <v>41879</v>
      </c>
      <c r="J1165"/>
      <c r="L1165"/>
      <c r="M1165"/>
      <c r="N1165" s="20"/>
      <c r="O1165" t="s">
        <v>2095</v>
      </c>
      <c r="P1165" s="20"/>
      <c r="Q1165" s="20"/>
      <c r="R1165" s="20"/>
      <c r="S1165" s="20"/>
      <c r="T1165" s="20"/>
    </row>
    <row r="1166" spans="1:20" x14ac:dyDescent="0.25">
      <c r="A1166" s="3">
        <v>41879</v>
      </c>
      <c r="B1166" s="36">
        <v>104</v>
      </c>
      <c r="C1166" t="s">
        <v>2103</v>
      </c>
      <c r="D1166">
        <v>8.4149999999999991</v>
      </c>
      <c r="E1166" s="18">
        <v>841.49999999999989</v>
      </c>
      <c r="F1166" t="s">
        <v>889</v>
      </c>
      <c r="G1166" t="s">
        <v>2104</v>
      </c>
      <c r="H1166" s="18">
        <v>841.49999999999989</v>
      </c>
      <c r="I1166" s="3">
        <v>41879</v>
      </c>
      <c r="J1166"/>
      <c r="L1166"/>
      <c r="M1166"/>
      <c r="N1166" s="20"/>
      <c r="O1166"/>
      <c r="P1166" s="20"/>
      <c r="Q1166" s="20"/>
      <c r="R1166" s="20"/>
      <c r="S1166" s="20"/>
      <c r="T1166" s="20"/>
    </row>
    <row r="1167" spans="1:20" x14ac:dyDescent="0.25">
      <c r="A1167" s="3">
        <v>41879</v>
      </c>
      <c r="B1167" s="36">
        <v>104</v>
      </c>
      <c r="C1167" t="s">
        <v>2103</v>
      </c>
      <c r="E1167" s="18">
        <v>841.49999999999977</v>
      </c>
      <c r="F1167" t="s">
        <v>889</v>
      </c>
      <c r="G1167" t="s">
        <v>2104</v>
      </c>
      <c r="H1167" s="18">
        <v>841.49999999999977</v>
      </c>
      <c r="I1167" s="3">
        <v>41879</v>
      </c>
      <c r="J1167"/>
      <c r="L1167"/>
      <c r="M1167"/>
      <c r="N1167" s="20"/>
      <c r="O1167" t="s">
        <v>2095</v>
      </c>
      <c r="P1167" s="20"/>
      <c r="Q1167" s="20"/>
      <c r="R1167" s="20"/>
      <c r="S1167" s="20"/>
      <c r="T1167" s="20"/>
    </row>
    <row r="1168" spans="1:20" x14ac:dyDescent="0.25">
      <c r="A1168" s="3">
        <v>41957</v>
      </c>
      <c r="B1168" s="36">
        <v>104</v>
      </c>
      <c r="C1168" t="s">
        <v>2088</v>
      </c>
      <c r="D1168">
        <v>7.3949999999999996</v>
      </c>
      <c r="E1168" s="18">
        <v>739.5</v>
      </c>
      <c r="F1168" t="s">
        <v>889</v>
      </c>
      <c r="G1168" t="s">
        <v>2089</v>
      </c>
      <c r="H1168" s="18">
        <v>739.5</v>
      </c>
      <c r="I1168" s="3">
        <v>41957</v>
      </c>
      <c r="J1168"/>
      <c r="L1168"/>
      <c r="M1168"/>
      <c r="N1168" s="20"/>
      <c r="O1168" t="s">
        <v>959</v>
      </c>
      <c r="P1168" s="20"/>
      <c r="Q1168" s="20"/>
      <c r="R1168" s="20"/>
      <c r="S1168" s="20"/>
      <c r="T1168" s="20"/>
    </row>
    <row r="1169" spans="1:21" x14ac:dyDescent="0.25">
      <c r="A1169" s="3">
        <v>41957</v>
      </c>
      <c r="B1169" s="36">
        <v>104</v>
      </c>
      <c r="C1169" t="s">
        <v>2057</v>
      </c>
      <c r="D1169">
        <v>5.8650000000000002</v>
      </c>
      <c r="E1169" s="18">
        <v>-586.5</v>
      </c>
      <c r="F1169" t="s">
        <v>889</v>
      </c>
      <c r="G1169" t="s">
        <v>2058</v>
      </c>
      <c r="H1169" s="18" t="s">
        <v>442</v>
      </c>
      <c r="I1169" s="3" t="s">
        <v>442</v>
      </c>
      <c r="J1169"/>
      <c r="L1169"/>
      <c r="M1169"/>
      <c r="N1169" s="20"/>
      <c r="O1169"/>
      <c r="P1169" s="20"/>
      <c r="Q1169" s="20"/>
      <c r="R1169" s="20"/>
      <c r="S1169" s="20"/>
      <c r="T1169" s="20"/>
    </row>
    <row r="1170" spans="1:21" x14ac:dyDescent="0.25">
      <c r="A1170" s="3">
        <v>41957</v>
      </c>
      <c r="B1170" s="36">
        <v>104</v>
      </c>
      <c r="C1170" t="s">
        <v>2082</v>
      </c>
      <c r="D1170">
        <v>6.12</v>
      </c>
      <c r="E1170" s="18">
        <v>-725</v>
      </c>
      <c r="F1170" t="s">
        <v>889</v>
      </c>
      <c r="G1170" t="s">
        <v>2083</v>
      </c>
      <c r="H1170" s="18" t="s">
        <v>442</v>
      </c>
      <c r="I1170" s="3" t="s">
        <v>442</v>
      </c>
      <c r="J1170"/>
      <c r="L1170"/>
      <c r="M1170"/>
      <c r="N1170" s="20"/>
      <c r="O1170"/>
      <c r="P1170" s="20"/>
      <c r="Q1170" s="20"/>
      <c r="R1170" s="20"/>
      <c r="S1170" s="20"/>
      <c r="T1170" s="20"/>
    </row>
    <row r="1171" spans="1:21" x14ac:dyDescent="0.25">
      <c r="A1171" s="3">
        <v>41957</v>
      </c>
      <c r="B1171" s="36">
        <v>104</v>
      </c>
      <c r="C1171" t="s">
        <v>2105</v>
      </c>
      <c r="D1171">
        <v>11</v>
      </c>
      <c r="E1171" s="18">
        <v>1100</v>
      </c>
      <c r="F1171" t="s">
        <v>889</v>
      </c>
      <c r="G1171" t="s">
        <v>2106</v>
      </c>
      <c r="H1171" s="18">
        <v>1100</v>
      </c>
      <c r="I1171" s="3">
        <v>41957</v>
      </c>
      <c r="J1171"/>
      <c r="L1171"/>
      <c r="M1171"/>
      <c r="N1171" s="20"/>
      <c r="O1171"/>
      <c r="P1171" s="20"/>
      <c r="Q1171" s="20"/>
      <c r="R1171" s="20"/>
      <c r="S1171" s="20"/>
      <c r="T1171" s="20"/>
    </row>
    <row r="1172" spans="1:21" x14ac:dyDescent="0.25">
      <c r="A1172" s="3">
        <v>42004</v>
      </c>
      <c r="B1172" s="36">
        <v>104</v>
      </c>
      <c r="C1172" t="s">
        <v>2093</v>
      </c>
      <c r="D1172">
        <v>5.3550000000000004</v>
      </c>
      <c r="E1172" s="18">
        <v>178.5</v>
      </c>
      <c r="F1172" t="s">
        <v>889</v>
      </c>
      <c r="G1172" t="s">
        <v>2094</v>
      </c>
      <c r="H1172" s="18">
        <v>178.5</v>
      </c>
      <c r="I1172" s="3">
        <v>42004</v>
      </c>
      <c r="J1172"/>
      <c r="L1172"/>
      <c r="M1172"/>
      <c r="N1172" s="20"/>
      <c r="O1172"/>
      <c r="P1172" s="20"/>
      <c r="Q1172" s="20"/>
      <c r="R1172" s="20"/>
      <c r="S1172" s="20"/>
      <c r="T1172" s="20"/>
    </row>
    <row r="1173" spans="1:21" x14ac:dyDescent="0.25">
      <c r="A1173" s="3">
        <v>42004</v>
      </c>
      <c r="B1173" s="36">
        <v>104</v>
      </c>
      <c r="C1173" t="s">
        <v>2078</v>
      </c>
      <c r="D1173">
        <v>4.335</v>
      </c>
      <c r="E1173" s="18">
        <v>147.33333333333334</v>
      </c>
      <c r="F1173" t="s">
        <v>889</v>
      </c>
      <c r="G1173" t="s">
        <v>2079</v>
      </c>
      <c r="H1173" s="18">
        <v>147.33333333333334</v>
      </c>
      <c r="I1173" s="3">
        <v>42004</v>
      </c>
      <c r="J1173"/>
      <c r="L1173"/>
      <c r="M1173"/>
      <c r="N1173" s="20"/>
      <c r="O1173"/>
      <c r="P1173" s="20"/>
      <c r="Q1173" s="20"/>
      <c r="R1173" s="20"/>
      <c r="S1173" s="20"/>
      <c r="T1173" s="20"/>
    </row>
    <row r="1174" spans="1:21" x14ac:dyDescent="0.25">
      <c r="B1174">
        <v>104</v>
      </c>
      <c r="C1174" t="s">
        <v>2107</v>
      </c>
      <c r="E1174" s="18">
        <v>338</v>
      </c>
      <c r="F1174" t="s">
        <v>889</v>
      </c>
      <c r="G1174" t="s">
        <v>2070</v>
      </c>
      <c r="I1174"/>
      <c r="J1174"/>
      <c r="L1174"/>
      <c r="M1174"/>
      <c r="O1174"/>
      <c r="P1174" s="20"/>
      <c r="Q1174" s="20"/>
      <c r="R1174" s="20"/>
      <c r="S1174" s="20"/>
      <c r="T1174" s="20"/>
      <c r="U1174" t="s">
        <v>401</v>
      </c>
    </row>
    <row r="1175" spans="1:21" x14ac:dyDescent="0.25">
      <c r="B1175">
        <v>104</v>
      </c>
      <c r="C1175" t="s">
        <v>2078</v>
      </c>
      <c r="E1175" s="18">
        <v>147.33333333333334</v>
      </c>
      <c r="G1175" t="s">
        <v>2079</v>
      </c>
      <c r="I1175"/>
      <c r="J1175"/>
      <c r="L1175"/>
      <c r="M1175"/>
      <c r="O1175"/>
      <c r="P1175" s="20"/>
      <c r="Q1175" s="20"/>
      <c r="R1175" s="20"/>
      <c r="S1175" s="20"/>
      <c r="T1175" s="20"/>
      <c r="U1175" t="s">
        <v>401</v>
      </c>
    </row>
    <row r="1176" spans="1:21" x14ac:dyDescent="0.25">
      <c r="B1176">
        <v>104</v>
      </c>
      <c r="C1176" t="s">
        <v>2075</v>
      </c>
      <c r="D1176">
        <v>6.63</v>
      </c>
      <c r="E1176" s="18">
        <v>-575</v>
      </c>
      <c r="F1176" t="s">
        <v>889</v>
      </c>
      <c r="G1176" t="s">
        <v>2076</v>
      </c>
      <c r="I1176"/>
      <c r="J1176"/>
      <c r="L1176"/>
      <c r="M1176"/>
      <c r="O1176"/>
      <c r="P1176" s="20"/>
      <c r="Q1176" s="20"/>
      <c r="R1176" s="20"/>
      <c r="S1176" s="20"/>
      <c r="T1176" s="20"/>
      <c r="U1176" t="s">
        <v>401</v>
      </c>
    </row>
    <row r="1177" spans="1:21" x14ac:dyDescent="0.25">
      <c r="A1177" s="3">
        <v>41719</v>
      </c>
      <c r="B1177" s="36">
        <v>105</v>
      </c>
      <c r="C1177" t="s">
        <v>2108</v>
      </c>
      <c r="E1177" s="18">
        <v>575</v>
      </c>
      <c r="G1177" t="s">
        <v>2109</v>
      </c>
      <c r="H1177" s="18">
        <v>575</v>
      </c>
      <c r="I1177" s="3">
        <v>41719</v>
      </c>
      <c r="J1177"/>
      <c r="L1177"/>
      <c r="M1177"/>
      <c r="N1177" s="20"/>
      <c r="O1177"/>
      <c r="P1177" s="20"/>
      <c r="Q1177" s="20"/>
      <c r="R1177" s="20"/>
      <c r="S1177" s="20"/>
      <c r="T1177" s="20"/>
    </row>
    <row r="1178" spans="1:21" x14ac:dyDescent="0.25">
      <c r="A1178" s="3">
        <v>41740</v>
      </c>
      <c r="B1178" s="36">
        <v>105</v>
      </c>
      <c r="C1178" t="s">
        <v>2110</v>
      </c>
      <c r="D1178">
        <v>8.75</v>
      </c>
      <c r="E1178" s="18">
        <v>875</v>
      </c>
      <c r="G1178" t="s">
        <v>2111</v>
      </c>
      <c r="H1178" s="18">
        <v>875</v>
      </c>
      <c r="I1178" s="3">
        <v>41740</v>
      </c>
      <c r="J1178"/>
      <c r="L1178"/>
      <c r="M1178"/>
      <c r="N1178" s="20"/>
      <c r="O1178"/>
      <c r="P1178" s="20"/>
      <c r="Q1178" s="20"/>
      <c r="R1178" s="20"/>
      <c r="S1178" s="20"/>
      <c r="T1178" s="20"/>
    </row>
    <row r="1179" spans="1:21" x14ac:dyDescent="0.25">
      <c r="A1179" s="3">
        <v>41740</v>
      </c>
      <c r="B1179" s="36">
        <v>105</v>
      </c>
      <c r="C1179" t="s">
        <v>2112</v>
      </c>
      <c r="D1179">
        <v>6.75</v>
      </c>
      <c r="E1179" s="18">
        <v>675</v>
      </c>
      <c r="G1179" t="s">
        <v>2113</v>
      </c>
      <c r="H1179" s="18">
        <v>675</v>
      </c>
      <c r="I1179" s="3">
        <v>41740</v>
      </c>
      <c r="J1179"/>
      <c r="L1179"/>
      <c r="M1179"/>
      <c r="N1179" s="20"/>
      <c r="O1179"/>
      <c r="P1179" s="20"/>
      <c r="Q1179" s="20"/>
      <c r="R1179" s="20"/>
      <c r="S1179" s="20"/>
      <c r="T1179" s="20"/>
    </row>
    <row r="1180" spans="1:21" x14ac:dyDescent="0.25">
      <c r="A1180" s="3">
        <v>41929</v>
      </c>
      <c r="B1180" s="36">
        <v>105</v>
      </c>
      <c r="C1180" t="s">
        <v>2112</v>
      </c>
      <c r="E1180" s="18">
        <v>675</v>
      </c>
      <c r="F1180" t="s">
        <v>889</v>
      </c>
      <c r="G1180" t="s">
        <v>2113</v>
      </c>
      <c r="H1180" s="18">
        <v>675</v>
      </c>
      <c r="I1180" s="3">
        <v>41929</v>
      </c>
      <c r="J1180"/>
      <c r="L1180"/>
      <c r="M1180"/>
      <c r="N1180" s="20"/>
      <c r="O1180" t="s">
        <v>959</v>
      </c>
      <c r="P1180" s="20"/>
      <c r="Q1180" s="20"/>
      <c r="R1180" s="20"/>
      <c r="S1180" s="20"/>
      <c r="T1180" s="20"/>
    </row>
    <row r="1181" spans="1:21" x14ac:dyDescent="0.25">
      <c r="B1181">
        <v>105</v>
      </c>
      <c r="C1181" t="s">
        <v>2110</v>
      </c>
      <c r="D1181">
        <v>8.75</v>
      </c>
      <c r="E1181" s="18">
        <v>875</v>
      </c>
      <c r="G1181" t="s">
        <v>2111</v>
      </c>
      <c r="I1181"/>
      <c r="J1181"/>
      <c r="L1181"/>
      <c r="M1181"/>
      <c r="O1181"/>
      <c r="P1181" s="20"/>
      <c r="Q1181" s="20"/>
      <c r="R1181" s="20"/>
      <c r="S1181" s="20"/>
      <c r="T1181" s="20"/>
      <c r="U1181" t="s">
        <v>401</v>
      </c>
    </row>
    <row r="1182" spans="1:21" x14ac:dyDescent="0.25">
      <c r="B1182">
        <v>105</v>
      </c>
      <c r="C1182" t="s">
        <v>2108</v>
      </c>
      <c r="D1182">
        <v>5.75</v>
      </c>
      <c r="E1182" s="18">
        <v>-575</v>
      </c>
      <c r="F1182" t="s">
        <v>889</v>
      </c>
      <c r="G1182" t="s">
        <v>2109</v>
      </c>
      <c r="I1182"/>
      <c r="J1182"/>
      <c r="L1182"/>
      <c r="M1182"/>
      <c r="O1182"/>
      <c r="P1182" s="20"/>
      <c r="Q1182" s="20"/>
      <c r="R1182" s="20"/>
      <c r="S1182" s="20"/>
      <c r="T1182" s="20"/>
      <c r="U1182" t="s">
        <v>401</v>
      </c>
    </row>
    <row r="1183" spans="1:21" x14ac:dyDescent="0.25">
      <c r="A1183" s="3">
        <v>42041</v>
      </c>
      <c r="B1183">
        <v>107</v>
      </c>
      <c r="C1183" t="s">
        <v>2114</v>
      </c>
      <c r="E1183" s="18">
        <v>115</v>
      </c>
      <c r="F1183" t="s">
        <v>889</v>
      </c>
      <c r="G1183" t="s">
        <v>2115</v>
      </c>
      <c r="I1183"/>
      <c r="J1183"/>
      <c r="L1183"/>
      <c r="M1183"/>
      <c r="O1183"/>
      <c r="P1183" s="20"/>
      <c r="Q1183" s="20"/>
      <c r="R1183" s="20"/>
      <c r="S1183" s="20"/>
      <c r="T1183" s="20"/>
    </row>
    <row r="1184" spans="1:21" x14ac:dyDescent="0.25">
      <c r="A1184" s="3">
        <v>42041</v>
      </c>
      <c r="B1184">
        <v>107</v>
      </c>
      <c r="C1184" t="s">
        <v>2116</v>
      </c>
      <c r="E1184" s="18">
        <v>225.33333333333334</v>
      </c>
      <c r="F1184" t="s">
        <v>889</v>
      </c>
      <c r="G1184" t="s">
        <v>2117</v>
      </c>
      <c r="I1184"/>
      <c r="J1184"/>
      <c r="L1184"/>
      <c r="M1184"/>
      <c r="O1184"/>
      <c r="P1184" s="20"/>
      <c r="Q1184" s="20"/>
      <c r="R1184" s="20"/>
      <c r="S1184" s="20"/>
      <c r="T1184" s="20"/>
    </row>
    <row r="1185" spans="1:20" x14ac:dyDescent="0.25">
      <c r="A1185" s="3">
        <v>42041</v>
      </c>
      <c r="B1185">
        <v>107</v>
      </c>
      <c r="C1185" t="s">
        <v>2118</v>
      </c>
      <c r="E1185" s="18">
        <v>266.66666666666669</v>
      </c>
      <c r="F1185" t="s">
        <v>889</v>
      </c>
      <c r="G1185" t="s">
        <v>2119</v>
      </c>
      <c r="I1185"/>
      <c r="J1185"/>
      <c r="L1185"/>
      <c r="M1185"/>
      <c r="O1185"/>
      <c r="P1185" s="20"/>
      <c r="Q1185" s="20"/>
      <c r="R1185" s="20"/>
      <c r="S1185" s="20"/>
      <c r="T1185" s="20"/>
    </row>
    <row r="1186" spans="1:20" x14ac:dyDescent="0.25">
      <c r="A1186" s="3">
        <v>42041</v>
      </c>
      <c r="B1186">
        <v>107</v>
      </c>
      <c r="C1186" t="s">
        <v>2120</v>
      </c>
      <c r="E1186" s="18">
        <v>54.333333333333336</v>
      </c>
      <c r="F1186" t="s">
        <v>889</v>
      </c>
      <c r="G1186" t="s">
        <v>2121</v>
      </c>
      <c r="I1186"/>
      <c r="J1186"/>
      <c r="L1186"/>
      <c r="M1186"/>
      <c r="O1186"/>
      <c r="P1186" s="20"/>
      <c r="Q1186" s="20"/>
      <c r="R1186" s="20"/>
      <c r="S1186" s="20"/>
      <c r="T1186" s="20"/>
    </row>
    <row r="1187" spans="1:20" x14ac:dyDescent="0.25">
      <c r="A1187" s="3">
        <v>42041</v>
      </c>
      <c r="B1187">
        <v>107</v>
      </c>
      <c r="C1187" t="s">
        <v>462</v>
      </c>
      <c r="D1187">
        <v>3.5</v>
      </c>
      <c r="E1187" s="18">
        <v>275</v>
      </c>
      <c r="F1187" t="s">
        <v>889</v>
      </c>
      <c r="G1187" t="s">
        <v>463</v>
      </c>
      <c r="I1187"/>
      <c r="J1187"/>
      <c r="L1187"/>
      <c r="M1187"/>
      <c r="O1187"/>
      <c r="P1187" s="20"/>
      <c r="Q1187" s="20"/>
      <c r="R1187" s="20"/>
      <c r="S1187" s="20"/>
      <c r="T1187" s="20"/>
    </row>
    <row r="1188" spans="1:20" x14ac:dyDescent="0.25">
      <c r="A1188" s="3">
        <v>42041</v>
      </c>
      <c r="B1188">
        <v>107</v>
      </c>
      <c r="C1188" t="s">
        <v>2122</v>
      </c>
      <c r="E1188" s="18">
        <v>341.66666666666669</v>
      </c>
      <c r="F1188" t="s">
        <v>889</v>
      </c>
      <c r="G1188" t="s">
        <v>2123</v>
      </c>
      <c r="I1188"/>
      <c r="J1188"/>
      <c r="L1188"/>
      <c r="M1188"/>
      <c r="O1188"/>
      <c r="P1188" s="20"/>
      <c r="Q1188" s="20"/>
      <c r="R1188" s="20"/>
      <c r="S1188" s="20"/>
      <c r="T1188" s="20"/>
    </row>
    <row r="1189" spans="1:20" x14ac:dyDescent="0.25">
      <c r="A1189" s="3">
        <v>42041</v>
      </c>
      <c r="B1189">
        <v>107</v>
      </c>
      <c r="C1189" t="s">
        <v>2124</v>
      </c>
      <c r="E1189" s="18">
        <v>158.33333333333334</v>
      </c>
      <c r="F1189" t="s">
        <v>889</v>
      </c>
      <c r="G1189" t="s">
        <v>2125</v>
      </c>
      <c r="I1189"/>
      <c r="J1189"/>
      <c r="L1189"/>
      <c r="M1189"/>
      <c r="O1189"/>
      <c r="P1189" s="20"/>
      <c r="Q1189" s="20"/>
      <c r="R1189" s="20"/>
      <c r="S1189" s="20"/>
      <c r="T1189" s="20"/>
    </row>
    <row r="1190" spans="1:20" x14ac:dyDescent="0.25">
      <c r="A1190" s="3">
        <v>42041</v>
      </c>
      <c r="B1190">
        <v>107</v>
      </c>
      <c r="C1190" t="s">
        <v>2126</v>
      </c>
      <c r="E1190" s="18">
        <v>127.5</v>
      </c>
      <c r="F1190" t="s">
        <v>889</v>
      </c>
      <c r="G1190" t="s">
        <v>2127</v>
      </c>
      <c r="I1190"/>
      <c r="J1190"/>
      <c r="L1190"/>
      <c r="M1190"/>
      <c r="O1190"/>
      <c r="P1190" s="20"/>
      <c r="Q1190" s="20"/>
      <c r="R1190" s="20"/>
      <c r="S1190" s="20"/>
      <c r="T1190" s="20"/>
    </row>
    <row r="1191" spans="1:20" x14ac:dyDescent="0.25">
      <c r="A1191" s="3">
        <v>42041</v>
      </c>
      <c r="B1191">
        <v>107</v>
      </c>
      <c r="C1191" t="s">
        <v>2128</v>
      </c>
      <c r="E1191" s="18">
        <v>283.33333333333331</v>
      </c>
      <c r="F1191" t="s">
        <v>889</v>
      </c>
      <c r="G1191" t="s">
        <v>2129</v>
      </c>
      <c r="I1191"/>
      <c r="J1191"/>
      <c r="L1191"/>
      <c r="M1191"/>
      <c r="O1191"/>
      <c r="P1191" s="20"/>
      <c r="Q1191" s="20"/>
      <c r="R1191" s="20"/>
      <c r="S1191" s="20"/>
      <c r="T1191" s="20"/>
    </row>
    <row r="1192" spans="1:20" x14ac:dyDescent="0.25">
      <c r="A1192" s="3">
        <v>41775</v>
      </c>
      <c r="B1192" s="36">
        <v>108</v>
      </c>
      <c r="C1192" t="s">
        <v>2130</v>
      </c>
      <c r="D1192">
        <v>2.5499999999999998</v>
      </c>
      <c r="E1192" s="18">
        <v>254.99999999999997</v>
      </c>
      <c r="G1192" t="s">
        <v>2131</v>
      </c>
      <c r="H1192" s="18">
        <v>254.99999999999997</v>
      </c>
      <c r="I1192" s="3">
        <v>41775</v>
      </c>
      <c r="J1192"/>
      <c r="L1192"/>
      <c r="M1192"/>
      <c r="N1192" s="20"/>
      <c r="O1192"/>
      <c r="P1192" s="20"/>
      <c r="Q1192" s="20"/>
      <c r="R1192" s="20"/>
      <c r="S1192" s="20"/>
      <c r="T1192" s="20"/>
    </row>
    <row r="1193" spans="1:20" x14ac:dyDescent="0.25">
      <c r="A1193" s="3">
        <v>41775</v>
      </c>
      <c r="B1193" s="36">
        <v>108</v>
      </c>
      <c r="C1193" t="s">
        <v>2132</v>
      </c>
      <c r="D1193">
        <v>6</v>
      </c>
      <c r="E1193" s="18">
        <v>600</v>
      </c>
      <c r="G1193" t="s">
        <v>2133</v>
      </c>
      <c r="H1193" s="18">
        <v>600</v>
      </c>
      <c r="I1193" s="3">
        <v>41775</v>
      </c>
      <c r="J1193"/>
      <c r="L1193"/>
      <c r="M1193"/>
      <c r="N1193" s="20"/>
      <c r="O1193"/>
      <c r="P1193" s="20"/>
      <c r="Q1193" s="20"/>
      <c r="R1193" s="20"/>
      <c r="S1193" s="20"/>
      <c r="T1193" s="20"/>
    </row>
    <row r="1194" spans="1:20" x14ac:dyDescent="0.25">
      <c r="A1194" s="3">
        <v>41775</v>
      </c>
      <c r="B1194" s="36">
        <v>108</v>
      </c>
      <c r="C1194" t="s">
        <v>2134</v>
      </c>
      <c r="D1194">
        <v>6.63</v>
      </c>
      <c r="E1194" s="18">
        <v>663</v>
      </c>
      <c r="G1194" t="s">
        <v>2135</v>
      </c>
      <c r="H1194" s="18">
        <v>663</v>
      </c>
      <c r="I1194" s="3">
        <v>41775</v>
      </c>
      <c r="J1194"/>
      <c r="L1194"/>
      <c r="M1194"/>
      <c r="N1194" s="20"/>
      <c r="O1194"/>
      <c r="P1194" s="20"/>
      <c r="Q1194" s="20"/>
      <c r="R1194" s="20"/>
      <c r="S1194" s="20"/>
      <c r="T1194" s="20"/>
    </row>
    <row r="1195" spans="1:20" x14ac:dyDescent="0.25">
      <c r="A1195" s="3">
        <v>41782</v>
      </c>
      <c r="B1195" s="36">
        <v>108</v>
      </c>
      <c r="C1195" t="s">
        <v>2136</v>
      </c>
      <c r="D1195">
        <v>3.5</v>
      </c>
      <c r="E1195" s="18">
        <v>350</v>
      </c>
      <c r="G1195" t="s">
        <v>2137</v>
      </c>
      <c r="H1195" s="18">
        <v>350</v>
      </c>
      <c r="I1195" s="3">
        <v>41782</v>
      </c>
      <c r="J1195"/>
      <c r="L1195"/>
      <c r="M1195"/>
      <c r="N1195" s="20"/>
      <c r="O1195"/>
      <c r="P1195" s="20"/>
      <c r="Q1195" s="20"/>
      <c r="R1195" s="20"/>
      <c r="S1195" s="20"/>
      <c r="T1195" s="20"/>
    </row>
    <row r="1196" spans="1:20" x14ac:dyDescent="0.25">
      <c r="A1196" s="3">
        <v>41782</v>
      </c>
      <c r="B1196" s="36">
        <v>108</v>
      </c>
      <c r="C1196" t="s">
        <v>2138</v>
      </c>
      <c r="D1196">
        <v>5.61</v>
      </c>
      <c r="E1196" s="18">
        <v>561</v>
      </c>
      <c r="G1196" t="s">
        <v>2139</v>
      </c>
      <c r="H1196" s="18">
        <v>561</v>
      </c>
      <c r="I1196" s="3">
        <v>41782</v>
      </c>
      <c r="J1196"/>
      <c r="L1196"/>
      <c r="M1196"/>
      <c r="N1196" s="20"/>
      <c r="O1196"/>
      <c r="P1196" s="20"/>
      <c r="Q1196" s="20"/>
      <c r="R1196" s="20"/>
      <c r="S1196" s="20"/>
      <c r="T1196" s="20"/>
    </row>
    <row r="1197" spans="1:20" x14ac:dyDescent="0.25">
      <c r="A1197" s="3">
        <v>41782</v>
      </c>
      <c r="B1197" s="36">
        <v>108</v>
      </c>
      <c r="C1197" t="s">
        <v>2140</v>
      </c>
      <c r="D1197">
        <v>6.12</v>
      </c>
      <c r="E1197" s="18">
        <v>612</v>
      </c>
      <c r="G1197" t="s">
        <v>2141</v>
      </c>
      <c r="H1197" s="18">
        <v>612</v>
      </c>
      <c r="I1197" s="3">
        <v>41782</v>
      </c>
      <c r="J1197"/>
      <c r="L1197"/>
      <c r="M1197"/>
      <c r="N1197" s="20"/>
      <c r="O1197"/>
      <c r="P1197" s="20"/>
      <c r="Q1197" s="20"/>
      <c r="R1197" s="20"/>
      <c r="S1197" s="20"/>
      <c r="T1197" s="20"/>
    </row>
    <row r="1198" spans="1:20" x14ac:dyDescent="0.25">
      <c r="A1198" s="3">
        <v>41782</v>
      </c>
      <c r="B1198" s="36">
        <v>108</v>
      </c>
      <c r="C1198" t="s">
        <v>2142</v>
      </c>
      <c r="D1198">
        <v>8.5</v>
      </c>
      <c r="E1198" s="18">
        <v>850</v>
      </c>
      <c r="G1198" t="s">
        <v>2143</v>
      </c>
      <c r="H1198" s="18">
        <v>850</v>
      </c>
      <c r="I1198" s="3">
        <v>41782</v>
      </c>
      <c r="J1198"/>
      <c r="L1198"/>
      <c r="M1198"/>
      <c r="N1198" s="20"/>
      <c r="O1198"/>
      <c r="P1198" s="20"/>
      <c r="Q1198" s="20"/>
      <c r="R1198" s="20"/>
      <c r="S1198" s="20"/>
      <c r="T1198" s="20"/>
    </row>
    <row r="1199" spans="1:20" x14ac:dyDescent="0.25">
      <c r="A1199" s="3">
        <v>41782</v>
      </c>
      <c r="B1199" s="36">
        <v>108</v>
      </c>
      <c r="C1199" t="s">
        <v>2144</v>
      </c>
      <c r="D1199">
        <v>4.59</v>
      </c>
      <c r="E1199" s="18">
        <v>459</v>
      </c>
      <c r="G1199" t="s">
        <v>2145</v>
      </c>
      <c r="H1199" s="18">
        <v>459</v>
      </c>
      <c r="I1199" s="3">
        <v>41782</v>
      </c>
      <c r="J1199"/>
      <c r="L1199"/>
      <c r="M1199"/>
      <c r="N1199" s="20"/>
      <c r="O1199"/>
      <c r="P1199" s="20"/>
      <c r="Q1199" s="20"/>
      <c r="R1199" s="20"/>
      <c r="S1199" s="20"/>
      <c r="T1199" s="20"/>
    </row>
    <row r="1200" spans="1:20" x14ac:dyDescent="0.25">
      <c r="A1200" s="3">
        <v>41782</v>
      </c>
      <c r="B1200" s="36">
        <v>108</v>
      </c>
      <c r="C1200" t="s">
        <v>2146</v>
      </c>
      <c r="D1200">
        <v>7.75</v>
      </c>
      <c r="E1200" s="18">
        <v>775</v>
      </c>
      <c r="G1200" t="s">
        <v>2147</v>
      </c>
      <c r="H1200" s="18">
        <v>775</v>
      </c>
      <c r="I1200" s="3">
        <v>41782</v>
      </c>
      <c r="J1200"/>
      <c r="L1200"/>
      <c r="M1200"/>
      <c r="N1200" s="20"/>
      <c r="O1200"/>
      <c r="P1200" s="20"/>
      <c r="Q1200" s="20"/>
      <c r="R1200" s="20"/>
      <c r="S1200" s="20"/>
      <c r="T1200" s="20"/>
    </row>
    <row r="1201" spans="1:20" x14ac:dyDescent="0.25">
      <c r="A1201" s="3">
        <v>41782</v>
      </c>
      <c r="B1201" s="36">
        <v>108</v>
      </c>
      <c r="C1201" t="s">
        <v>2148</v>
      </c>
      <c r="D1201">
        <v>2.5499999999999998</v>
      </c>
      <c r="E1201" s="18">
        <v>254.99999999999997</v>
      </c>
      <c r="G1201" t="s">
        <v>2149</v>
      </c>
      <c r="H1201" s="18">
        <v>254.99999999999997</v>
      </c>
      <c r="I1201" s="3">
        <v>41782</v>
      </c>
      <c r="J1201"/>
      <c r="L1201"/>
      <c r="M1201"/>
      <c r="N1201" s="20"/>
      <c r="O1201"/>
      <c r="P1201" s="20"/>
      <c r="Q1201" s="20"/>
      <c r="R1201" s="20"/>
      <c r="S1201" s="20"/>
      <c r="T1201" s="20"/>
    </row>
    <row r="1202" spans="1:20" x14ac:dyDescent="0.25">
      <c r="A1202" s="3">
        <v>41789</v>
      </c>
      <c r="B1202" s="36">
        <v>108</v>
      </c>
      <c r="C1202" t="s">
        <v>2150</v>
      </c>
      <c r="D1202">
        <v>6</v>
      </c>
      <c r="E1202" s="18">
        <v>600</v>
      </c>
      <c r="G1202" t="s">
        <v>2151</v>
      </c>
      <c r="H1202" s="18">
        <v>600</v>
      </c>
      <c r="I1202" s="3">
        <v>41789</v>
      </c>
      <c r="J1202"/>
      <c r="L1202"/>
      <c r="M1202"/>
      <c r="N1202" s="20"/>
      <c r="O1202"/>
      <c r="P1202" s="20"/>
      <c r="Q1202" s="20"/>
      <c r="R1202" s="20"/>
      <c r="S1202" s="20"/>
      <c r="T1202" s="20"/>
    </row>
    <row r="1203" spans="1:20" x14ac:dyDescent="0.25">
      <c r="A1203" s="3">
        <v>41789</v>
      </c>
      <c r="B1203" s="36">
        <v>108</v>
      </c>
      <c r="C1203" t="s">
        <v>2152</v>
      </c>
      <c r="D1203">
        <v>10</v>
      </c>
      <c r="E1203" s="18">
        <v>1000</v>
      </c>
      <c r="G1203" t="s">
        <v>2153</v>
      </c>
      <c r="H1203" s="18">
        <v>1000</v>
      </c>
      <c r="I1203" s="3">
        <v>41789</v>
      </c>
      <c r="J1203"/>
      <c r="L1203"/>
      <c r="M1203"/>
      <c r="N1203" s="20"/>
      <c r="O1203"/>
      <c r="P1203" s="20"/>
      <c r="Q1203" s="20"/>
      <c r="R1203" s="20"/>
      <c r="S1203" s="20"/>
      <c r="T1203" s="20"/>
    </row>
    <row r="1204" spans="1:20" x14ac:dyDescent="0.25">
      <c r="A1204" s="3">
        <v>41789</v>
      </c>
      <c r="B1204" s="36">
        <v>108</v>
      </c>
      <c r="C1204" t="s">
        <v>1342</v>
      </c>
      <c r="E1204" s="18">
        <v>-657.02</v>
      </c>
      <c r="G1204" t="s">
        <v>442</v>
      </c>
      <c r="H1204" s="18" t="s">
        <v>442</v>
      </c>
      <c r="I1204" s="3" t="s">
        <v>442</v>
      </c>
      <c r="J1204"/>
      <c r="L1204"/>
      <c r="M1204"/>
      <c r="N1204" s="20"/>
      <c r="O1204" t="s">
        <v>2154</v>
      </c>
      <c r="P1204" s="20"/>
      <c r="Q1204" s="20" t="s">
        <v>401</v>
      </c>
      <c r="R1204" s="20"/>
      <c r="S1204" s="20"/>
      <c r="T1204" s="20"/>
    </row>
    <row r="1205" spans="1:20" x14ac:dyDescent="0.25">
      <c r="A1205" s="3">
        <v>41789</v>
      </c>
      <c r="B1205" s="36">
        <v>108</v>
      </c>
      <c r="C1205" t="s">
        <v>2155</v>
      </c>
      <c r="D1205">
        <v>3.5</v>
      </c>
      <c r="E1205" s="18">
        <v>350</v>
      </c>
      <c r="G1205" t="s">
        <v>2156</v>
      </c>
      <c r="H1205" s="18">
        <v>350</v>
      </c>
      <c r="I1205" s="3">
        <v>41789</v>
      </c>
      <c r="J1205"/>
      <c r="L1205"/>
      <c r="M1205"/>
      <c r="N1205" s="20"/>
      <c r="O1205"/>
      <c r="P1205" s="20"/>
      <c r="Q1205" s="20"/>
      <c r="R1205" s="20"/>
      <c r="S1205" s="20"/>
      <c r="T1205" s="20"/>
    </row>
    <row r="1206" spans="1:20" x14ac:dyDescent="0.25">
      <c r="A1206" s="3">
        <v>41796</v>
      </c>
      <c r="B1206" s="36">
        <v>108</v>
      </c>
      <c r="C1206" t="s">
        <v>2157</v>
      </c>
      <c r="D1206">
        <v>2.5</v>
      </c>
      <c r="E1206" s="18">
        <v>250</v>
      </c>
      <c r="G1206" t="s">
        <v>2158</v>
      </c>
      <c r="H1206" s="18">
        <v>250</v>
      </c>
      <c r="I1206" s="3">
        <v>41796</v>
      </c>
      <c r="J1206"/>
      <c r="L1206"/>
      <c r="M1206"/>
      <c r="N1206" s="20"/>
      <c r="O1206" t="s">
        <v>1345</v>
      </c>
      <c r="P1206" s="20"/>
      <c r="Q1206" s="20"/>
      <c r="R1206" s="20"/>
      <c r="S1206" s="20"/>
      <c r="T1206" s="20"/>
    </row>
    <row r="1207" spans="1:20" x14ac:dyDescent="0.25">
      <c r="A1207" s="3">
        <v>41796</v>
      </c>
      <c r="B1207" s="36">
        <v>108</v>
      </c>
      <c r="C1207" t="s">
        <v>2159</v>
      </c>
      <c r="D1207">
        <v>9.75</v>
      </c>
      <c r="E1207" s="18">
        <v>975</v>
      </c>
      <c r="G1207" t="s">
        <v>2160</v>
      </c>
      <c r="H1207" s="18">
        <v>975</v>
      </c>
      <c r="I1207" s="3">
        <v>41796</v>
      </c>
      <c r="J1207"/>
      <c r="L1207"/>
      <c r="M1207"/>
      <c r="N1207" s="20"/>
      <c r="O1207" t="s">
        <v>1345</v>
      </c>
      <c r="P1207" s="20"/>
      <c r="Q1207" s="20"/>
      <c r="R1207" s="20"/>
      <c r="S1207" s="20"/>
      <c r="T1207" s="20"/>
    </row>
    <row r="1208" spans="1:20" x14ac:dyDescent="0.25">
      <c r="A1208" s="3">
        <v>41796</v>
      </c>
      <c r="B1208" s="36">
        <v>108</v>
      </c>
      <c r="C1208" t="s">
        <v>2161</v>
      </c>
      <c r="D1208">
        <v>8.75</v>
      </c>
      <c r="E1208" s="18">
        <v>875</v>
      </c>
      <c r="G1208" t="s">
        <v>2162</v>
      </c>
      <c r="H1208" s="18">
        <v>875</v>
      </c>
      <c r="I1208" s="3">
        <v>41796</v>
      </c>
      <c r="J1208"/>
      <c r="L1208"/>
      <c r="M1208"/>
      <c r="N1208" s="20"/>
      <c r="O1208"/>
      <c r="P1208" s="20"/>
      <c r="Q1208" s="20"/>
      <c r="R1208" s="20"/>
      <c r="S1208" s="20"/>
      <c r="T1208" s="20"/>
    </row>
    <row r="1209" spans="1:20" x14ac:dyDescent="0.25">
      <c r="A1209" s="3">
        <v>41796</v>
      </c>
      <c r="B1209" s="36">
        <v>108</v>
      </c>
      <c r="C1209" t="s">
        <v>2152</v>
      </c>
      <c r="D1209">
        <v>10</v>
      </c>
      <c r="E1209" s="18">
        <v>-1000</v>
      </c>
      <c r="G1209" t="s">
        <v>2153</v>
      </c>
      <c r="H1209" s="18" t="s">
        <v>442</v>
      </c>
      <c r="I1209" s="3" t="s">
        <v>442</v>
      </c>
      <c r="J1209"/>
      <c r="L1209"/>
      <c r="M1209"/>
      <c r="N1209" s="20"/>
      <c r="O1209" t="s">
        <v>2163</v>
      </c>
      <c r="P1209" s="20"/>
      <c r="Q1209" s="20"/>
      <c r="R1209" s="20"/>
      <c r="S1209" s="20"/>
      <c r="T1209" s="20"/>
    </row>
    <row r="1210" spans="1:20" x14ac:dyDescent="0.25">
      <c r="A1210" s="3">
        <v>41796</v>
      </c>
      <c r="B1210" s="36">
        <v>108</v>
      </c>
      <c r="C1210" t="s">
        <v>2164</v>
      </c>
      <c r="D1210">
        <v>4</v>
      </c>
      <c r="E1210" s="18">
        <v>400</v>
      </c>
      <c r="G1210" t="s">
        <v>2165</v>
      </c>
      <c r="H1210" s="18">
        <v>400</v>
      </c>
      <c r="I1210" s="3">
        <v>41796</v>
      </c>
      <c r="J1210"/>
      <c r="L1210"/>
      <c r="M1210"/>
      <c r="N1210" s="20"/>
      <c r="O1210" t="s">
        <v>1345</v>
      </c>
      <c r="P1210" s="20"/>
      <c r="Q1210" s="20"/>
      <c r="R1210" s="20"/>
      <c r="S1210" s="20"/>
      <c r="T1210" s="20"/>
    </row>
    <row r="1211" spans="1:20" x14ac:dyDescent="0.25">
      <c r="A1211" s="3">
        <v>41796</v>
      </c>
      <c r="B1211" s="36">
        <v>108</v>
      </c>
      <c r="C1211" t="s">
        <v>1484</v>
      </c>
      <c r="E1211" s="18">
        <v>-100.51</v>
      </c>
      <c r="G1211" s="20"/>
      <c r="H1211" s="18" t="s">
        <v>442</v>
      </c>
      <c r="I1211" s="3" t="s">
        <v>442</v>
      </c>
      <c r="J1211" s="20"/>
      <c r="K1211" s="20"/>
      <c r="L1211" s="20"/>
      <c r="M1211" s="20"/>
      <c r="N1211" s="20"/>
      <c r="O1211" t="s">
        <v>2166</v>
      </c>
      <c r="P1211" s="20"/>
      <c r="Q1211" s="20" t="s">
        <v>401</v>
      </c>
      <c r="R1211" s="20"/>
      <c r="S1211" s="20"/>
      <c r="T1211" s="20"/>
    </row>
    <row r="1212" spans="1:20" x14ac:dyDescent="0.25">
      <c r="A1212" s="3">
        <v>41796</v>
      </c>
      <c r="B1212" s="36">
        <v>108</v>
      </c>
      <c r="C1212" t="s">
        <v>1071</v>
      </c>
      <c r="E1212" s="18">
        <v>-150</v>
      </c>
      <c r="G1212" t="s">
        <v>442</v>
      </c>
      <c r="H1212" s="18" t="s">
        <v>442</v>
      </c>
      <c r="I1212" s="3" t="s">
        <v>442</v>
      </c>
      <c r="J1212"/>
      <c r="L1212"/>
      <c r="M1212"/>
      <c r="N1212" s="20"/>
      <c r="O1212"/>
      <c r="P1212" s="20"/>
      <c r="Q1212" s="20" t="s">
        <v>401</v>
      </c>
      <c r="R1212" s="20"/>
      <c r="S1212" s="20"/>
      <c r="T1212" s="20"/>
    </row>
    <row r="1213" spans="1:20" x14ac:dyDescent="0.25">
      <c r="A1213" s="3">
        <v>41796</v>
      </c>
      <c r="B1213" s="36">
        <v>108</v>
      </c>
      <c r="C1213" t="s">
        <v>2167</v>
      </c>
      <c r="D1213">
        <v>10</v>
      </c>
      <c r="E1213" s="18">
        <v>1000</v>
      </c>
      <c r="G1213" t="s">
        <v>2168</v>
      </c>
      <c r="H1213" s="18">
        <v>1000</v>
      </c>
      <c r="I1213" s="3">
        <v>41796</v>
      </c>
      <c r="J1213"/>
      <c r="L1213"/>
      <c r="M1213"/>
      <c r="N1213" s="20"/>
      <c r="O1213" t="s">
        <v>1345</v>
      </c>
      <c r="P1213" s="20"/>
      <c r="Q1213" s="20"/>
      <c r="R1213" s="20"/>
      <c r="S1213" s="20"/>
      <c r="T1213" s="20"/>
    </row>
    <row r="1214" spans="1:20" x14ac:dyDescent="0.25">
      <c r="A1214" s="3">
        <v>41803</v>
      </c>
      <c r="B1214" s="36">
        <v>108</v>
      </c>
      <c r="C1214" t="s">
        <v>2169</v>
      </c>
      <c r="D1214">
        <v>2.5</v>
      </c>
      <c r="E1214" s="18">
        <v>250</v>
      </c>
      <c r="G1214" t="s">
        <v>2170</v>
      </c>
      <c r="H1214" s="18">
        <v>250</v>
      </c>
      <c r="I1214" s="3">
        <v>41803</v>
      </c>
      <c r="J1214"/>
      <c r="L1214"/>
      <c r="M1214"/>
      <c r="N1214" s="20"/>
      <c r="O1214" t="s">
        <v>1169</v>
      </c>
      <c r="P1214" s="20"/>
      <c r="Q1214" s="20"/>
      <c r="R1214" s="20"/>
      <c r="S1214" s="20"/>
      <c r="T1214" s="20"/>
    </row>
    <row r="1215" spans="1:20" x14ac:dyDescent="0.25">
      <c r="A1215" s="3">
        <v>41803</v>
      </c>
      <c r="B1215" s="36">
        <v>108</v>
      </c>
      <c r="C1215" t="s">
        <v>2171</v>
      </c>
      <c r="D1215">
        <v>9.9450000000000003</v>
      </c>
      <c r="E1215" s="18">
        <v>994.5</v>
      </c>
      <c r="G1215" t="s">
        <v>2172</v>
      </c>
      <c r="H1215" s="18">
        <v>994.5</v>
      </c>
      <c r="I1215" s="3">
        <v>41803</v>
      </c>
      <c r="J1215"/>
      <c r="L1215"/>
      <c r="M1215"/>
      <c r="N1215" s="20"/>
      <c r="O1215" t="s">
        <v>931</v>
      </c>
      <c r="P1215" s="20"/>
      <c r="Q1215" s="20"/>
      <c r="R1215" s="20"/>
      <c r="S1215" s="20"/>
      <c r="T1215" s="20"/>
    </row>
    <row r="1216" spans="1:20" x14ac:dyDescent="0.25">
      <c r="A1216" s="3">
        <v>41810</v>
      </c>
      <c r="B1216" s="36">
        <v>108</v>
      </c>
      <c r="C1216" t="s">
        <v>2173</v>
      </c>
      <c r="D1216">
        <v>10</v>
      </c>
      <c r="E1216" s="18">
        <v>1000</v>
      </c>
      <c r="G1216" t="s">
        <v>2174</v>
      </c>
      <c r="H1216" s="18">
        <v>1000</v>
      </c>
      <c r="I1216" s="3">
        <v>41810</v>
      </c>
      <c r="J1216"/>
      <c r="L1216"/>
      <c r="M1216"/>
      <c r="N1216" s="20"/>
      <c r="O1216" t="s">
        <v>1169</v>
      </c>
      <c r="P1216" s="20"/>
      <c r="Q1216" s="20"/>
      <c r="R1216" s="20"/>
      <c r="S1216" s="20"/>
      <c r="T1216" s="20"/>
    </row>
    <row r="1217" spans="1:20" x14ac:dyDescent="0.25">
      <c r="A1217" s="3">
        <v>41810</v>
      </c>
      <c r="B1217" s="36">
        <v>108</v>
      </c>
      <c r="C1217" t="s">
        <v>2175</v>
      </c>
      <c r="D1217">
        <v>3.75</v>
      </c>
      <c r="E1217" s="18">
        <v>375</v>
      </c>
      <c r="G1217" t="s">
        <v>2176</v>
      </c>
      <c r="H1217" s="18">
        <v>375</v>
      </c>
      <c r="I1217" s="3">
        <v>41810</v>
      </c>
      <c r="J1217"/>
      <c r="L1217"/>
      <c r="M1217"/>
      <c r="N1217" s="20"/>
      <c r="O1217" t="s">
        <v>1169</v>
      </c>
      <c r="P1217" s="20"/>
      <c r="Q1217" s="20"/>
      <c r="R1217" s="20"/>
      <c r="S1217" s="20"/>
      <c r="T1217" s="20"/>
    </row>
    <row r="1218" spans="1:20" x14ac:dyDescent="0.25">
      <c r="A1218" s="3">
        <v>41810</v>
      </c>
      <c r="B1218" s="36">
        <v>108</v>
      </c>
      <c r="C1218" t="s">
        <v>2177</v>
      </c>
      <c r="D1218">
        <v>4</v>
      </c>
      <c r="E1218" s="18">
        <v>400</v>
      </c>
      <c r="G1218" t="s">
        <v>2178</v>
      </c>
      <c r="H1218" s="18">
        <v>400</v>
      </c>
      <c r="I1218" s="3">
        <v>41810</v>
      </c>
      <c r="J1218"/>
      <c r="L1218"/>
      <c r="M1218"/>
      <c r="N1218" s="20"/>
      <c r="O1218" t="s">
        <v>1169</v>
      </c>
      <c r="P1218" s="20"/>
      <c r="Q1218" s="20"/>
      <c r="R1218" s="20"/>
      <c r="S1218" s="20"/>
      <c r="T1218" s="20"/>
    </row>
    <row r="1219" spans="1:20" x14ac:dyDescent="0.25">
      <c r="A1219" s="3">
        <v>41810</v>
      </c>
      <c r="B1219" s="36">
        <v>108</v>
      </c>
      <c r="C1219" t="s">
        <v>2179</v>
      </c>
      <c r="D1219">
        <v>10</v>
      </c>
      <c r="E1219" s="18">
        <v>1000</v>
      </c>
      <c r="G1219" t="s">
        <v>2180</v>
      </c>
      <c r="H1219" s="18">
        <v>1000</v>
      </c>
      <c r="I1219" s="3">
        <v>41810</v>
      </c>
      <c r="J1219"/>
      <c r="L1219"/>
      <c r="M1219"/>
      <c r="N1219" s="20"/>
      <c r="O1219" t="s">
        <v>1169</v>
      </c>
      <c r="P1219" s="20"/>
      <c r="Q1219" s="20"/>
      <c r="R1219" s="20"/>
      <c r="S1219" s="20"/>
      <c r="T1219" s="20"/>
    </row>
    <row r="1220" spans="1:20" x14ac:dyDescent="0.25">
      <c r="A1220" s="3">
        <v>41831</v>
      </c>
      <c r="B1220" s="36">
        <v>108</v>
      </c>
      <c r="C1220" t="s">
        <v>2181</v>
      </c>
      <c r="D1220">
        <v>8.16</v>
      </c>
      <c r="E1220" s="18">
        <v>816</v>
      </c>
      <c r="G1220" t="s">
        <v>2182</v>
      </c>
      <c r="H1220" s="18">
        <v>816</v>
      </c>
      <c r="I1220" s="3">
        <v>41831</v>
      </c>
      <c r="J1220"/>
      <c r="L1220"/>
      <c r="M1220"/>
      <c r="N1220" s="20"/>
      <c r="O1220" t="s">
        <v>931</v>
      </c>
      <c r="P1220" s="20"/>
      <c r="Q1220" s="20"/>
      <c r="R1220" s="20"/>
      <c r="S1220" s="20"/>
      <c r="T1220" s="20"/>
    </row>
    <row r="1221" spans="1:20" x14ac:dyDescent="0.25">
      <c r="A1221" s="3">
        <v>41831</v>
      </c>
      <c r="B1221" s="36">
        <v>108</v>
      </c>
      <c r="C1221" t="s">
        <v>2183</v>
      </c>
      <c r="E1221" s="18">
        <v>-89.35</v>
      </c>
      <c r="G1221" t="s">
        <v>442</v>
      </c>
      <c r="H1221" s="18" t="s">
        <v>442</v>
      </c>
      <c r="I1221" s="3" t="s">
        <v>442</v>
      </c>
      <c r="J1221"/>
      <c r="L1221"/>
      <c r="M1221"/>
      <c r="N1221" s="20"/>
      <c r="O1221" t="s">
        <v>2184</v>
      </c>
      <c r="P1221" s="20"/>
      <c r="Q1221" s="20" t="s">
        <v>401</v>
      </c>
      <c r="R1221" s="20"/>
      <c r="S1221" s="20"/>
      <c r="T1221" s="20"/>
    </row>
    <row r="1222" spans="1:20" x14ac:dyDescent="0.25">
      <c r="A1222" s="3">
        <v>41831</v>
      </c>
      <c r="B1222" s="36">
        <v>108</v>
      </c>
      <c r="C1222" t="s">
        <v>1845</v>
      </c>
      <c r="E1222" s="18">
        <v>-226.6532258</v>
      </c>
      <c r="G1222" t="s">
        <v>442</v>
      </c>
      <c r="H1222" s="18" t="s">
        <v>442</v>
      </c>
      <c r="I1222" s="3" t="s">
        <v>442</v>
      </c>
      <c r="J1222"/>
      <c r="L1222"/>
      <c r="M1222"/>
      <c r="N1222" s="20"/>
      <c r="O1222" t="s">
        <v>1090</v>
      </c>
      <c r="P1222" s="20"/>
      <c r="Q1222" s="20" t="s">
        <v>401</v>
      </c>
      <c r="R1222" s="20"/>
      <c r="S1222" s="20"/>
      <c r="T1222" s="20"/>
    </row>
    <row r="1223" spans="1:20" x14ac:dyDescent="0.25">
      <c r="A1223" s="3">
        <v>41845</v>
      </c>
      <c r="B1223" s="36">
        <v>108</v>
      </c>
      <c r="C1223" t="s">
        <v>2185</v>
      </c>
      <c r="E1223" s="18">
        <v>226.65499999999997</v>
      </c>
      <c r="G1223" t="s">
        <v>442</v>
      </c>
      <c r="H1223" s="18" t="s">
        <v>442</v>
      </c>
      <c r="I1223" s="3" t="s">
        <v>442</v>
      </c>
      <c r="J1223"/>
      <c r="L1223"/>
      <c r="M1223"/>
      <c r="N1223" s="20"/>
      <c r="O1223"/>
      <c r="P1223" s="20" t="s">
        <v>401</v>
      </c>
      <c r="Q1223" s="20"/>
      <c r="R1223" s="20"/>
      <c r="S1223" s="20"/>
      <c r="T1223" s="20"/>
    </row>
    <row r="1224" spans="1:20" x14ac:dyDescent="0.25">
      <c r="A1224" s="3">
        <v>41845</v>
      </c>
      <c r="B1224" s="36">
        <v>108</v>
      </c>
      <c r="C1224" t="s">
        <v>2047</v>
      </c>
      <c r="D1224">
        <v>2</v>
      </c>
      <c r="E1224" s="18">
        <v>-200</v>
      </c>
      <c r="G1224" t="s">
        <v>442</v>
      </c>
      <c r="H1224" s="18" t="s">
        <v>442</v>
      </c>
      <c r="I1224" s="3" t="s">
        <v>442</v>
      </c>
      <c r="J1224"/>
      <c r="L1224"/>
      <c r="M1224"/>
      <c r="N1224" s="20"/>
      <c r="O1224" t="s">
        <v>2047</v>
      </c>
      <c r="P1224" s="20"/>
      <c r="Q1224" s="20"/>
      <c r="R1224" s="20" t="s">
        <v>401</v>
      </c>
      <c r="S1224" s="20"/>
      <c r="T1224" s="20"/>
    </row>
    <row r="1225" spans="1:20" x14ac:dyDescent="0.25">
      <c r="A1225" s="3">
        <v>41845</v>
      </c>
      <c r="B1225" s="36">
        <v>108</v>
      </c>
      <c r="C1225" t="s">
        <v>2140</v>
      </c>
      <c r="D1225">
        <v>6.12</v>
      </c>
      <c r="E1225" s="18">
        <v>612</v>
      </c>
      <c r="G1225" t="s">
        <v>2141</v>
      </c>
      <c r="H1225" s="18">
        <v>612</v>
      </c>
      <c r="I1225" s="3">
        <v>41845</v>
      </c>
      <c r="J1225"/>
      <c r="L1225"/>
      <c r="M1225"/>
      <c r="N1225" s="20"/>
      <c r="O1225"/>
      <c r="P1225" s="20"/>
      <c r="Q1225" s="20"/>
      <c r="R1225" s="20"/>
      <c r="S1225" s="20"/>
      <c r="T1225" s="20"/>
    </row>
    <row r="1226" spans="1:20" x14ac:dyDescent="0.25">
      <c r="A1226" s="3">
        <v>41845</v>
      </c>
      <c r="B1226" s="36">
        <v>108</v>
      </c>
      <c r="C1226" t="s">
        <v>2175</v>
      </c>
      <c r="D1226">
        <v>3.8250000000000002</v>
      </c>
      <c r="E1226" s="18">
        <v>382.5</v>
      </c>
      <c r="G1226" t="s">
        <v>2176</v>
      </c>
      <c r="H1226" s="18">
        <v>382.5</v>
      </c>
      <c r="I1226" s="3">
        <v>41845</v>
      </c>
      <c r="J1226"/>
      <c r="L1226"/>
      <c r="M1226"/>
      <c r="N1226" s="20"/>
      <c r="O1226" t="s">
        <v>931</v>
      </c>
      <c r="P1226" s="20"/>
      <c r="Q1226" s="20"/>
      <c r="R1226" s="20"/>
      <c r="S1226" s="20"/>
      <c r="T1226" s="20"/>
    </row>
    <row r="1227" spans="1:20" x14ac:dyDescent="0.25">
      <c r="A1227" s="3">
        <v>41845</v>
      </c>
      <c r="B1227" s="36">
        <v>108</v>
      </c>
      <c r="C1227" t="s">
        <v>2186</v>
      </c>
      <c r="D1227">
        <v>5.5</v>
      </c>
      <c r="E1227" s="18">
        <v>550</v>
      </c>
      <c r="G1227" t="s">
        <v>2187</v>
      </c>
      <c r="H1227" s="18">
        <v>550</v>
      </c>
      <c r="I1227" s="3">
        <v>41845</v>
      </c>
      <c r="J1227"/>
      <c r="L1227"/>
      <c r="M1227"/>
      <c r="N1227" s="20"/>
      <c r="O1227" t="s">
        <v>931</v>
      </c>
      <c r="P1227" s="20"/>
      <c r="Q1227" s="20"/>
      <c r="R1227" s="20"/>
      <c r="S1227" s="20"/>
      <c r="T1227" s="20"/>
    </row>
    <row r="1228" spans="1:20" x14ac:dyDescent="0.25">
      <c r="A1228" s="3">
        <v>41845</v>
      </c>
      <c r="B1228" s="36">
        <v>108</v>
      </c>
      <c r="C1228" t="s">
        <v>2164</v>
      </c>
      <c r="D1228">
        <v>4</v>
      </c>
      <c r="E1228" s="18">
        <v>-400</v>
      </c>
      <c r="G1228" t="s">
        <v>2165</v>
      </c>
      <c r="H1228" s="18" t="s">
        <v>442</v>
      </c>
      <c r="I1228" s="3" t="s">
        <v>442</v>
      </c>
      <c r="J1228"/>
      <c r="L1228"/>
      <c r="M1228"/>
      <c r="N1228" s="20"/>
      <c r="O1228" t="s">
        <v>949</v>
      </c>
      <c r="P1228" s="20"/>
      <c r="Q1228" s="20"/>
      <c r="R1228" s="20"/>
      <c r="S1228" s="20"/>
      <c r="T1228" s="20"/>
    </row>
    <row r="1229" spans="1:20" x14ac:dyDescent="0.25">
      <c r="A1229" s="3">
        <v>41845</v>
      </c>
      <c r="B1229" s="36">
        <v>108</v>
      </c>
      <c r="C1229" t="s">
        <v>2188</v>
      </c>
      <c r="E1229" s="18">
        <v>-211.77500000000001</v>
      </c>
      <c r="G1229" t="s">
        <v>442</v>
      </c>
      <c r="H1229" s="18" t="s">
        <v>442</v>
      </c>
      <c r="I1229" s="3" t="s">
        <v>442</v>
      </c>
      <c r="J1229"/>
      <c r="L1229"/>
      <c r="M1229"/>
      <c r="N1229" s="20"/>
      <c r="O1229" t="s">
        <v>2189</v>
      </c>
      <c r="P1229" s="20"/>
      <c r="Q1229" s="20" t="s">
        <v>401</v>
      </c>
      <c r="R1229" s="20"/>
      <c r="S1229" s="20"/>
      <c r="T1229" s="20"/>
    </row>
    <row r="1230" spans="1:20" x14ac:dyDescent="0.25">
      <c r="A1230" s="3">
        <v>41845</v>
      </c>
      <c r="B1230" s="36">
        <v>108</v>
      </c>
      <c r="C1230" t="s">
        <v>2190</v>
      </c>
      <c r="E1230" s="18">
        <v>194.29285714285714</v>
      </c>
      <c r="G1230" t="s">
        <v>442</v>
      </c>
      <c r="H1230" s="18" t="s">
        <v>442</v>
      </c>
      <c r="I1230" s="3" t="s">
        <v>442</v>
      </c>
      <c r="J1230"/>
      <c r="L1230"/>
      <c r="M1230"/>
      <c r="N1230" s="20"/>
      <c r="O1230"/>
      <c r="P1230" s="20"/>
      <c r="Q1230" s="20" t="s">
        <v>401</v>
      </c>
      <c r="R1230" s="20"/>
      <c r="S1230" s="20"/>
      <c r="T1230" s="20"/>
    </row>
    <row r="1231" spans="1:20" x14ac:dyDescent="0.25">
      <c r="A1231" s="3">
        <v>41845</v>
      </c>
      <c r="B1231" s="36">
        <v>108</v>
      </c>
      <c r="C1231" t="s">
        <v>2191</v>
      </c>
      <c r="E1231" s="18">
        <v>-327.02822579999997</v>
      </c>
      <c r="G1231" t="s">
        <v>442</v>
      </c>
      <c r="H1231" s="18" t="s">
        <v>442</v>
      </c>
      <c r="I1231" s="3" t="s">
        <v>442</v>
      </c>
      <c r="J1231"/>
      <c r="L1231"/>
      <c r="M1231"/>
      <c r="N1231" s="20"/>
      <c r="O1231" t="s">
        <v>2192</v>
      </c>
      <c r="P1231" s="20"/>
      <c r="Q1231" s="20" t="s">
        <v>401</v>
      </c>
      <c r="R1231" s="20"/>
      <c r="S1231" s="20"/>
      <c r="T1231" s="20"/>
    </row>
    <row r="1232" spans="1:20" x14ac:dyDescent="0.25">
      <c r="A1232" s="3">
        <v>41845</v>
      </c>
      <c r="B1232" s="36">
        <v>108</v>
      </c>
      <c r="C1232" t="s">
        <v>2193</v>
      </c>
      <c r="E1232" s="18">
        <v>-66.916666669999998</v>
      </c>
      <c r="G1232" t="s">
        <v>442</v>
      </c>
      <c r="H1232" s="18" t="s">
        <v>442</v>
      </c>
      <c r="I1232" s="3" t="s">
        <v>442</v>
      </c>
      <c r="J1232"/>
      <c r="L1232"/>
      <c r="M1232"/>
      <c r="N1232" s="20"/>
      <c r="O1232" t="s">
        <v>2194</v>
      </c>
      <c r="P1232" s="20"/>
      <c r="Q1232" s="20" t="s">
        <v>401</v>
      </c>
      <c r="R1232" s="20"/>
      <c r="S1232" s="20"/>
      <c r="T1232" s="20"/>
    </row>
    <row r="1233" spans="1:21" x14ac:dyDescent="0.25">
      <c r="A1233" s="3">
        <v>42034</v>
      </c>
      <c r="B1233">
        <v>108</v>
      </c>
      <c r="C1233" t="s">
        <v>2169</v>
      </c>
      <c r="D1233">
        <v>2.5499999999999998</v>
      </c>
      <c r="E1233" s="18">
        <v>254.99999999999997</v>
      </c>
      <c r="F1233" t="s">
        <v>889</v>
      </c>
      <c r="G1233" t="s">
        <v>2170</v>
      </c>
      <c r="H1233" s="18"/>
      <c r="J1233"/>
      <c r="L1233"/>
      <c r="M1233"/>
      <c r="N1233" s="20"/>
      <c r="O1233"/>
      <c r="P1233" s="20"/>
      <c r="Q1233" s="20"/>
      <c r="R1233" s="20"/>
      <c r="S1233" s="20"/>
      <c r="T1233" s="20"/>
    </row>
    <row r="1234" spans="1:21" x14ac:dyDescent="0.25">
      <c r="A1234" s="3">
        <v>42034</v>
      </c>
      <c r="B1234">
        <v>108</v>
      </c>
      <c r="C1234" t="s">
        <v>2157</v>
      </c>
      <c r="D1234">
        <v>3.06</v>
      </c>
      <c r="E1234" s="18">
        <v>-250</v>
      </c>
      <c r="F1234" t="s">
        <v>889</v>
      </c>
      <c r="G1234" t="s">
        <v>2158</v>
      </c>
      <c r="H1234" s="18"/>
      <c r="J1234"/>
      <c r="L1234"/>
      <c r="M1234"/>
      <c r="N1234" s="20"/>
      <c r="O1234"/>
      <c r="P1234" s="20"/>
      <c r="Q1234" s="20"/>
      <c r="R1234" s="20"/>
      <c r="S1234" s="20"/>
      <c r="T1234" s="20"/>
    </row>
    <row r="1235" spans="1:21" x14ac:dyDescent="0.25">
      <c r="B1235">
        <v>108</v>
      </c>
      <c r="C1235" t="s">
        <v>2130</v>
      </c>
      <c r="D1235">
        <v>2.5499999999999998</v>
      </c>
      <c r="E1235" s="18">
        <v>254.99999999999994</v>
      </c>
      <c r="F1235" t="s">
        <v>889</v>
      </c>
      <c r="G1235" t="s">
        <v>2131</v>
      </c>
      <c r="I1235"/>
      <c r="J1235"/>
      <c r="L1235"/>
      <c r="M1235"/>
      <c r="O1235"/>
      <c r="P1235" s="20"/>
      <c r="Q1235" s="20"/>
      <c r="R1235" s="20"/>
      <c r="S1235" s="20"/>
      <c r="T1235" s="20"/>
      <c r="U1235" t="s">
        <v>401</v>
      </c>
    </row>
    <row r="1236" spans="1:21" x14ac:dyDescent="0.25">
      <c r="B1236">
        <v>108</v>
      </c>
      <c r="C1236" t="s">
        <v>2136</v>
      </c>
      <c r="D1236">
        <v>3.06</v>
      </c>
      <c r="E1236" s="18">
        <v>87.333333333333329</v>
      </c>
      <c r="F1236" t="s">
        <v>889</v>
      </c>
      <c r="G1236" t="s">
        <v>2137</v>
      </c>
      <c r="I1236"/>
      <c r="J1236"/>
      <c r="L1236"/>
      <c r="M1236"/>
      <c r="O1236"/>
      <c r="P1236" s="20"/>
      <c r="Q1236" s="20"/>
      <c r="R1236" s="20"/>
      <c r="S1236" s="20"/>
      <c r="T1236" s="20"/>
      <c r="U1236" t="s">
        <v>401</v>
      </c>
    </row>
    <row r="1237" spans="1:21" x14ac:dyDescent="0.25">
      <c r="B1237">
        <v>108</v>
      </c>
      <c r="C1237" t="s">
        <v>2169</v>
      </c>
      <c r="D1237">
        <v>2.5</v>
      </c>
      <c r="E1237" s="18">
        <v>-250</v>
      </c>
      <c r="F1237" t="s">
        <v>889</v>
      </c>
      <c r="G1237" t="s">
        <v>2170</v>
      </c>
      <c r="I1237"/>
      <c r="J1237"/>
      <c r="L1237"/>
      <c r="M1237"/>
      <c r="O1237"/>
      <c r="P1237" s="20"/>
      <c r="Q1237" s="20"/>
      <c r="R1237" s="20"/>
      <c r="S1237" s="20"/>
      <c r="T1237" s="20"/>
      <c r="U1237" t="s">
        <v>401</v>
      </c>
    </row>
    <row r="1238" spans="1:21" x14ac:dyDescent="0.25">
      <c r="B1238">
        <v>108</v>
      </c>
      <c r="C1238" t="s">
        <v>2138</v>
      </c>
      <c r="D1238">
        <v>5.61</v>
      </c>
      <c r="E1238" s="18">
        <v>-561</v>
      </c>
      <c r="F1238" t="s">
        <v>889</v>
      </c>
      <c r="G1238" t="s">
        <v>2139</v>
      </c>
      <c r="I1238"/>
      <c r="J1238"/>
      <c r="L1238"/>
      <c r="M1238"/>
      <c r="O1238"/>
      <c r="P1238" s="20"/>
      <c r="Q1238" s="20"/>
      <c r="R1238" s="20"/>
      <c r="S1238" s="20"/>
      <c r="T1238" s="20"/>
      <c r="U1238" t="s">
        <v>401</v>
      </c>
    </row>
    <row r="1239" spans="1:21" x14ac:dyDescent="0.25">
      <c r="B1239">
        <v>108</v>
      </c>
      <c r="C1239" t="s">
        <v>2173</v>
      </c>
      <c r="D1239">
        <v>9.69</v>
      </c>
      <c r="E1239" s="18">
        <v>312.66666666666669</v>
      </c>
      <c r="F1239" t="s">
        <v>889</v>
      </c>
      <c r="G1239" t="s">
        <v>2174</v>
      </c>
      <c r="I1239"/>
      <c r="J1239"/>
      <c r="L1239"/>
      <c r="M1239"/>
      <c r="O1239"/>
      <c r="P1239" s="20"/>
      <c r="Q1239" s="20"/>
      <c r="R1239" s="20"/>
      <c r="S1239" s="20"/>
      <c r="T1239" s="20"/>
      <c r="U1239" t="s">
        <v>401</v>
      </c>
    </row>
    <row r="1240" spans="1:21" x14ac:dyDescent="0.25">
      <c r="B1240">
        <v>108</v>
      </c>
      <c r="C1240" t="s">
        <v>2140</v>
      </c>
      <c r="D1240">
        <v>6.12</v>
      </c>
      <c r="E1240" s="18">
        <v>612</v>
      </c>
      <c r="F1240" t="s">
        <v>889</v>
      </c>
      <c r="G1240" t="s">
        <v>2195</v>
      </c>
      <c r="I1240"/>
      <c r="J1240"/>
      <c r="L1240"/>
      <c r="M1240"/>
      <c r="O1240"/>
      <c r="P1240" s="20"/>
      <c r="Q1240" s="20"/>
      <c r="R1240" s="20"/>
      <c r="S1240" s="20"/>
      <c r="T1240" s="20"/>
      <c r="U1240" t="s">
        <v>401</v>
      </c>
    </row>
    <row r="1241" spans="1:21" x14ac:dyDescent="0.25">
      <c r="B1241">
        <v>108</v>
      </c>
      <c r="C1241" t="s">
        <v>2140</v>
      </c>
      <c r="D1241">
        <v>6.75</v>
      </c>
      <c r="E1241" s="18">
        <v>-612</v>
      </c>
      <c r="F1241" t="s">
        <v>889</v>
      </c>
      <c r="G1241" t="s">
        <v>2195</v>
      </c>
      <c r="I1241"/>
      <c r="J1241"/>
      <c r="L1241"/>
      <c r="M1241"/>
      <c r="O1241"/>
      <c r="P1241" s="20"/>
      <c r="Q1241" s="20"/>
      <c r="R1241" s="20"/>
      <c r="S1241" s="20"/>
      <c r="T1241" s="20"/>
      <c r="U1241" t="s">
        <v>401</v>
      </c>
    </row>
    <row r="1242" spans="1:21" x14ac:dyDescent="0.25">
      <c r="B1242">
        <v>108</v>
      </c>
      <c r="C1242" t="s">
        <v>2140</v>
      </c>
      <c r="D1242">
        <v>6.75</v>
      </c>
      <c r="E1242" s="18">
        <v>-612</v>
      </c>
      <c r="F1242" t="s">
        <v>889</v>
      </c>
      <c r="G1242" t="s">
        <v>2195</v>
      </c>
      <c r="I1242"/>
      <c r="J1242"/>
      <c r="L1242"/>
      <c r="M1242"/>
      <c r="O1242"/>
      <c r="P1242" s="20"/>
      <c r="Q1242" s="20"/>
      <c r="R1242" s="20"/>
      <c r="S1242" s="20"/>
      <c r="T1242" s="20"/>
      <c r="U1242" t="s">
        <v>401</v>
      </c>
    </row>
    <row r="1243" spans="1:21" x14ac:dyDescent="0.25">
      <c r="B1243">
        <v>108</v>
      </c>
      <c r="C1243" t="s">
        <v>2175</v>
      </c>
      <c r="D1243">
        <v>3.75</v>
      </c>
      <c r="E1243" s="18">
        <v>-375</v>
      </c>
      <c r="F1243" t="s">
        <v>889</v>
      </c>
      <c r="G1243" t="s">
        <v>2176</v>
      </c>
      <c r="I1243"/>
      <c r="J1243"/>
      <c r="L1243"/>
      <c r="M1243"/>
      <c r="O1243"/>
      <c r="P1243" s="20"/>
      <c r="Q1243" s="20"/>
      <c r="R1243" s="20"/>
      <c r="S1243" s="20"/>
      <c r="T1243" s="20"/>
      <c r="U1243" t="s">
        <v>401</v>
      </c>
    </row>
    <row r="1244" spans="1:21" x14ac:dyDescent="0.25">
      <c r="B1244">
        <v>108</v>
      </c>
      <c r="C1244" t="s">
        <v>2177</v>
      </c>
      <c r="D1244">
        <v>3.3149999999999999</v>
      </c>
      <c r="E1244" s="18">
        <v>263</v>
      </c>
      <c r="F1244" t="s">
        <v>889</v>
      </c>
      <c r="G1244" t="s">
        <v>2178</v>
      </c>
      <c r="I1244"/>
      <c r="J1244"/>
      <c r="L1244"/>
      <c r="M1244"/>
      <c r="O1244"/>
      <c r="P1244" s="20"/>
      <c r="Q1244" s="20"/>
      <c r="R1244" s="20"/>
      <c r="S1244" s="20"/>
      <c r="T1244" s="20"/>
      <c r="U1244" t="s">
        <v>401</v>
      </c>
    </row>
    <row r="1245" spans="1:21" x14ac:dyDescent="0.25">
      <c r="B1245">
        <v>108</v>
      </c>
      <c r="C1245" t="s">
        <v>2161</v>
      </c>
      <c r="D1245">
        <v>2.5499999999999998</v>
      </c>
      <c r="E1245" s="18">
        <v>-875</v>
      </c>
      <c r="F1245" t="s">
        <v>889</v>
      </c>
      <c r="G1245" t="s">
        <v>2162</v>
      </c>
      <c r="I1245"/>
      <c r="J1245"/>
      <c r="L1245"/>
      <c r="M1245"/>
      <c r="O1245"/>
      <c r="P1245" s="20"/>
      <c r="Q1245" s="20"/>
      <c r="R1245" s="20"/>
      <c r="S1245" s="20"/>
      <c r="T1245" s="20"/>
      <c r="U1245" t="s">
        <v>401</v>
      </c>
    </row>
    <row r="1246" spans="1:21" x14ac:dyDescent="0.25">
      <c r="B1246">
        <v>108</v>
      </c>
      <c r="C1246" t="s">
        <v>2144</v>
      </c>
      <c r="D1246">
        <v>2.5499999999999998</v>
      </c>
      <c r="E1246" s="18">
        <v>-459</v>
      </c>
      <c r="F1246" t="s">
        <v>889</v>
      </c>
      <c r="G1246" t="s">
        <v>2145</v>
      </c>
      <c r="I1246"/>
      <c r="J1246"/>
      <c r="L1246"/>
      <c r="M1246"/>
      <c r="O1246"/>
      <c r="P1246" s="20"/>
      <c r="Q1246" s="20"/>
      <c r="R1246" s="20"/>
      <c r="S1246" s="20"/>
      <c r="T1246" s="20"/>
      <c r="U1246" t="s">
        <v>401</v>
      </c>
    </row>
    <row r="1247" spans="1:21" x14ac:dyDescent="0.25">
      <c r="B1247">
        <v>108</v>
      </c>
      <c r="C1247" t="s">
        <v>2146</v>
      </c>
      <c r="D1247">
        <v>6.63</v>
      </c>
      <c r="E1247" s="18">
        <v>183.66666666666666</v>
      </c>
      <c r="F1247" t="s">
        <v>889</v>
      </c>
      <c r="G1247" t="s">
        <v>2147</v>
      </c>
      <c r="I1247"/>
      <c r="J1247"/>
      <c r="L1247"/>
      <c r="M1247"/>
      <c r="O1247"/>
      <c r="P1247" s="20"/>
      <c r="Q1247" s="20"/>
      <c r="R1247" s="20"/>
      <c r="S1247" s="20"/>
      <c r="T1247" s="20"/>
      <c r="U1247" t="s">
        <v>401</v>
      </c>
    </row>
    <row r="1248" spans="1:21" x14ac:dyDescent="0.25">
      <c r="B1248">
        <v>108</v>
      </c>
      <c r="C1248" t="s">
        <v>2150</v>
      </c>
      <c r="D1248">
        <v>6.12</v>
      </c>
      <c r="E1248" s="18">
        <v>-600</v>
      </c>
      <c r="F1248" t="s">
        <v>889</v>
      </c>
      <c r="G1248" t="s">
        <v>2151</v>
      </c>
      <c r="I1248"/>
      <c r="J1248"/>
      <c r="L1248"/>
      <c r="M1248"/>
      <c r="O1248"/>
      <c r="P1248" s="20"/>
      <c r="Q1248" s="20"/>
      <c r="R1248" s="20"/>
      <c r="S1248" s="20"/>
      <c r="T1248" s="20"/>
      <c r="U1248" t="s">
        <v>401</v>
      </c>
    </row>
    <row r="1249" spans="1:21" x14ac:dyDescent="0.25">
      <c r="B1249">
        <v>108</v>
      </c>
      <c r="C1249" t="s">
        <v>2179</v>
      </c>
      <c r="D1249">
        <v>10</v>
      </c>
      <c r="E1249" s="18">
        <v>-1000</v>
      </c>
      <c r="F1249" t="s">
        <v>889</v>
      </c>
      <c r="G1249" t="s">
        <v>2180</v>
      </c>
      <c r="I1249"/>
      <c r="J1249"/>
      <c r="L1249"/>
      <c r="M1249"/>
      <c r="O1249"/>
      <c r="P1249" s="20"/>
      <c r="Q1249" s="20"/>
      <c r="R1249" s="20"/>
      <c r="S1249" s="20"/>
      <c r="T1249" s="20"/>
      <c r="U1249" t="s">
        <v>401</v>
      </c>
    </row>
    <row r="1250" spans="1:21" x14ac:dyDescent="0.25">
      <c r="B1250">
        <v>108</v>
      </c>
      <c r="C1250" t="s">
        <v>2155</v>
      </c>
      <c r="D1250">
        <v>3.8250000000000002</v>
      </c>
      <c r="E1250" s="18">
        <v>415</v>
      </c>
      <c r="F1250" t="s">
        <v>889</v>
      </c>
      <c r="G1250" t="s">
        <v>2156</v>
      </c>
      <c r="I1250"/>
      <c r="J1250"/>
      <c r="L1250"/>
      <c r="M1250"/>
      <c r="O1250"/>
      <c r="P1250" s="20"/>
      <c r="Q1250" s="20"/>
      <c r="R1250" s="20"/>
      <c r="S1250" s="20"/>
      <c r="T1250" s="20"/>
      <c r="U1250" t="s">
        <v>401</v>
      </c>
    </row>
    <row r="1251" spans="1:21" x14ac:dyDescent="0.25">
      <c r="B1251">
        <v>108</v>
      </c>
      <c r="C1251" t="s">
        <v>2167</v>
      </c>
      <c r="D1251">
        <v>9.4350000000000005</v>
      </c>
      <c r="E1251" s="18">
        <v>-1000</v>
      </c>
      <c r="F1251" t="s">
        <v>889</v>
      </c>
      <c r="G1251" t="s">
        <v>2168</v>
      </c>
      <c r="I1251"/>
      <c r="J1251"/>
      <c r="L1251"/>
      <c r="M1251"/>
      <c r="O1251"/>
      <c r="P1251" s="20"/>
      <c r="Q1251" s="20"/>
      <c r="R1251" s="20"/>
      <c r="S1251" s="20"/>
      <c r="T1251" s="20"/>
      <c r="U1251" t="s">
        <v>401</v>
      </c>
    </row>
    <row r="1252" spans="1:21" x14ac:dyDescent="0.25">
      <c r="B1252">
        <v>108</v>
      </c>
      <c r="C1252" t="s">
        <v>2196</v>
      </c>
      <c r="E1252" s="18">
        <v>-100</v>
      </c>
      <c r="F1252" t="s">
        <v>889</v>
      </c>
      <c r="I1252"/>
      <c r="J1252"/>
      <c r="L1252"/>
      <c r="M1252"/>
      <c r="O1252"/>
      <c r="P1252" s="20"/>
      <c r="Q1252" s="20"/>
      <c r="R1252" s="20"/>
      <c r="S1252" s="20"/>
      <c r="T1252" s="20"/>
      <c r="U1252" t="s">
        <v>401</v>
      </c>
    </row>
    <row r="1253" spans="1:21" x14ac:dyDescent="0.25">
      <c r="A1253" s="3">
        <v>41775</v>
      </c>
      <c r="B1253" s="36">
        <v>109</v>
      </c>
      <c r="C1253" t="s">
        <v>2197</v>
      </c>
      <c r="D1253">
        <v>3.06</v>
      </c>
      <c r="E1253" s="18">
        <v>306</v>
      </c>
      <c r="G1253" t="s">
        <v>2198</v>
      </c>
      <c r="H1253" s="18">
        <v>306</v>
      </c>
      <c r="I1253" s="3">
        <v>41775</v>
      </c>
      <c r="J1253"/>
      <c r="L1253"/>
      <c r="M1253"/>
      <c r="N1253" s="20"/>
      <c r="O1253"/>
      <c r="P1253" s="20"/>
      <c r="Q1253" s="20"/>
      <c r="R1253" s="20"/>
      <c r="S1253" s="20"/>
      <c r="T1253" s="20"/>
    </row>
    <row r="1254" spans="1:21" x14ac:dyDescent="0.25">
      <c r="A1254" s="3">
        <v>41775</v>
      </c>
      <c r="B1254" s="36">
        <v>109</v>
      </c>
      <c r="C1254" t="s">
        <v>2199</v>
      </c>
      <c r="D1254">
        <v>6.63</v>
      </c>
      <c r="E1254" s="18">
        <v>663</v>
      </c>
      <c r="G1254" t="s">
        <v>2200</v>
      </c>
      <c r="H1254" s="18">
        <v>663</v>
      </c>
      <c r="I1254" s="3">
        <v>41775</v>
      </c>
      <c r="J1254"/>
      <c r="L1254"/>
      <c r="M1254"/>
      <c r="N1254" s="20"/>
      <c r="O1254"/>
      <c r="P1254" s="20"/>
      <c r="Q1254" s="20"/>
      <c r="R1254" s="20"/>
      <c r="S1254" s="20"/>
      <c r="T1254" s="20"/>
    </row>
    <row r="1255" spans="1:21" x14ac:dyDescent="0.25">
      <c r="A1255" s="3">
        <v>41782</v>
      </c>
      <c r="B1255" s="36">
        <v>109</v>
      </c>
      <c r="C1255" t="s">
        <v>2201</v>
      </c>
      <c r="D1255">
        <v>9.4350000000000005</v>
      </c>
      <c r="E1255" s="18">
        <v>943.5</v>
      </c>
      <c r="G1255" t="s">
        <v>2202</v>
      </c>
      <c r="H1255" s="18">
        <v>943.5</v>
      </c>
      <c r="I1255" s="3">
        <v>41782</v>
      </c>
      <c r="J1255"/>
      <c r="L1255"/>
      <c r="M1255"/>
      <c r="N1255" s="20"/>
      <c r="O1255"/>
      <c r="P1255" s="20"/>
      <c r="Q1255" s="20"/>
      <c r="R1255" s="20"/>
      <c r="S1255" s="20"/>
      <c r="T1255" s="20"/>
    </row>
    <row r="1256" spans="1:21" x14ac:dyDescent="0.25">
      <c r="A1256" s="3">
        <v>41782</v>
      </c>
      <c r="B1256" s="36">
        <v>109</v>
      </c>
      <c r="C1256" t="s">
        <v>2203</v>
      </c>
      <c r="D1256">
        <v>4.8449999999999998</v>
      </c>
      <c r="E1256" s="18">
        <v>484.5</v>
      </c>
      <c r="G1256" t="s">
        <v>2204</v>
      </c>
      <c r="H1256" s="18">
        <v>484.5</v>
      </c>
      <c r="I1256" s="3">
        <v>41782</v>
      </c>
      <c r="J1256"/>
      <c r="L1256"/>
      <c r="M1256"/>
      <c r="N1256" s="20"/>
      <c r="O1256"/>
      <c r="P1256" s="20"/>
      <c r="Q1256" s="20"/>
      <c r="R1256" s="20"/>
      <c r="S1256" s="20"/>
      <c r="T1256" s="20"/>
    </row>
    <row r="1257" spans="1:21" x14ac:dyDescent="0.25">
      <c r="A1257" s="3">
        <v>41782</v>
      </c>
      <c r="B1257" s="36">
        <v>109</v>
      </c>
      <c r="C1257" t="s">
        <v>2205</v>
      </c>
      <c r="D1257">
        <v>5.75</v>
      </c>
      <c r="E1257" s="18">
        <v>575</v>
      </c>
      <c r="G1257" t="s">
        <v>2206</v>
      </c>
      <c r="H1257" s="18">
        <v>575</v>
      </c>
      <c r="I1257" s="3">
        <v>41782</v>
      </c>
      <c r="J1257"/>
      <c r="L1257"/>
      <c r="M1257"/>
      <c r="N1257" s="20"/>
      <c r="O1257"/>
      <c r="P1257" s="20"/>
      <c r="Q1257" s="20"/>
      <c r="R1257" s="20"/>
      <c r="S1257" s="20"/>
      <c r="T1257" s="20"/>
    </row>
    <row r="1258" spans="1:21" x14ac:dyDescent="0.25">
      <c r="A1258" s="3">
        <v>41782</v>
      </c>
      <c r="B1258" s="36">
        <v>109</v>
      </c>
      <c r="C1258" t="s">
        <v>2207</v>
      </c>
      <c r="D1258">
        <v>7.5</v>
      </c>
      <c r="E1258" s="18">
        <v>750</v>
      </c>
      <c r="G1258" t="s">
        <v>2208</v>
      </c>
      <c r="H1258" s="18">
        <v>750</v>
      </c>
      <c r="I1258" s="3">
        <v>41782</v>
      </c>
      <c r="J1258"/>
      <c r="L1258"/>
      <c r="M1258"/>
      <c r="N1258" s="20"/>
      <c r="O1258"/>
      <c r="P1258" s="20"/>
      <c r="Q1258" s="20"/>
      <c r="R1258" s="20"/>
      <c r="S1258" s="20"/>
      <c r="T1258" s="20"/>
    </row>
    <row r="1259" spans="1:21" x14ac:dyDescent="0.25">
      <c r="A1259" s="3">
        <v>41782</v>
      </c>
      <c r="B1259" s="36">
        <v>109</v>
      </c>
      <c r="C1259" t="s">
        <v>2209</v>
      </c>
      <c r="D1259">
        <v>7</v>
      </c>
      <c r="E1259" s="18">
        <v>700</v>
      </c>
      <c r="G1259" t="s">
        <v>2210</v>
      </c>
      <c r="H1259" s="18">
        <v>700</v>
      </c>
      <c r="I1259" s="3">
        <v>41782</v>
      </c>
      <c r="J1259"/>
      <c r="L1259"/>
      <c r="M1259"/>
      <c r="N1259" s="20"/>
      <c r="O1259"/>
      <c r="P1259" s="20"/>
      <c r="Q1259" s="20"/>
      <c r="R1259" s="20"/>
      <c r="S1259" s="20"/>
      <c r="T1259" s="20"/>
    </row>
    <row r="1260" spans="1:21" x14ac:dyDescent="0.25">
      <c r="A1260" s="3">
        <v>41782</v>
      </c>
      <c r="B1260" s="36">
        <v>109</v>
      </c>
      <c r="C1260" t="s">
        <v>2211</v>
      </c>
      <c r="D1260">
        <v>6.75</v>
      </c>
      <c r="E1260" s="18">
        <v>675</v>
      </c>
      <c r="G1260" t="s">
        <v>2212</v>
      </c>
      <c r="H1260" s="18">
        <v>675</v>
      </c>
      <c r="I1260" s="3">
        <v>41782</v>
      </c>
      <c r="J1260"/>
      <c r="L1260"/>
      <c r="M1260"/>
      <c r="N1260" s="20"/>
      <c r="O1260"/>
      <c r="P1260" s="20"/>
      <c r="Q1260" s="20"/>
      <c r="R1260" s="20"/>
      <c r="S1260" s="20"/>
      <c r="T1260" s="20"/>
    </row>
    <row r="1261" spans="1:21" x14ac:dyDescent="0.25">
      <c r="A1261" s="3">
        <v>41782</v>
      </c>
      <c r="B1261" s="36">
        <v>109</v>
      </c>
      <c r="C1261" t="s">
        <v>2213</v>
      </c>
      <c r="D1261">
        <v>5.335</v>
      </c>
      <c r="E1261" s="18">
        <v>533.5</v>
      </c>
      <c r="G1261" t="s">
        <v>2214</v>
      </c>
      <c r="H1261" s="18">
        <v>533.5</v>
      </c>
      <c r="I1261" s="3">
        <v>41782</v>
      </c>
      <c r="J1261"/>
      <c r="L1261"/>
      <c r="M1261"/>
      <c r="N1261" s="20"/>
      <c r="O1261"/>
      <c r="P1261" s="20"/>
      <c r="Q1261" s="20"/>
      <c r="R1261" s="20"/>
      <c r="S1261" s="20"/>
      <c r="T1261" s="20"/>
    </row>
    <row r="1262" spans="1:21" x14ac:dyDescent="0.25">
      <c r="A1262" s="3">
        <v>41782</v>
      </c>
      <c r="B1262" s="36">
        <v>109</v>
      </c>
      <c r="C1262" t="s">
        <v>2215</v>
      </c>
      <c r="D1262">
        <v>6.25</v>
      </c>
      <c r="E1262" s="18">
        <v>625</v>
      </c>
      <c r="G1262" t="s">
        <v>2216</v>
      </c>
      <c r="H1262" s="18">
        <v>625</v>
      </c>
      <c r="I1262" s="3">
        <v>41782</v>
      </c>
      <c r="J1262"/>
      <c r="L1262"/>
      <c r="M1262"/>
      <c r="N1262" s="20"/>
      <c r="O1262"/>
      <c r="P1262" s="20"/>
      <c r="Q1262" s="20"/>
      <c r="R1262" s="20"/>
      <c r="S1262" s="20"/>
      <c r="T1262" s="20"/>
    </row>
    <row r="1263" spans="1:21" x14ac:dyDescent="0.25">
      <c r="A1263" s="3">
        <v>41782</v>
      </c>
      <c r="B1263" s="36">
        <v>109</v>
      </c>
      <c r="C1263" t="s">
        <v>2199</v>
      </c>
      <c r="D1263">
        <v>5.61</v>
      </c>
      <c r="E1263" s="18">
        <v>561</v>
      </c>
      <c r="G1263" t="s">
        <v>2217</v>
      </c>
      <c r="H1263" s="18">
        <v>561</v>
      </c>
      <c r="I1263" s="3">
        <v>41782</v>
      </c>
      <c r="J1263"/>
      <c r="L1263"/>
      <c r="M1263"/>
      <c r="N1263" s="20"/>
      <c r="O1263"/>
      <c r="P1263" s="20"/>
      <c r="Q1263" s="20"/>
      <c r="R1263" s="20"/>
      <c r="S1263" s="20"/>
      <c r="T1263" s="20"/>
    </row>
    <row r="1264" spans="1:21" x14ac:dyDescent="0.25">
      <c r="A1264" s="3">
        <v>41789</v>
      </c>
      <c r="B1264" s="36">
        <v>109</v>
      </c>
      <c r="C1264" t="s">
        <v>2218</v>
      </c>
      <c r="D1264">
        <v>4.5</v>
      </c>
      <c r="E1264" s="18">
        <v>450</v>
      </c>
      <c r="G1264" t="s">
        <v>2219</v>
      </c>
      <c r="H1264" s="18">
        <v>450</v>
      </c>
      <c r="I1264" s="3">
        <v>41789</v>
      </c>
      <c r="J1264"/>
      <c r="L1264"/>
      <c r="M1264"/>
      <c r="N1264" s="20"/>
      <c r="O1264"/>
      <c r="P1264" s="20"/>
      <c r="Q1264" s="20"/>
      <c r="R1264" s="20"/>
      <c r="S1264" s="20"/>
      <c r="T1264" s="20"/>
    </row>
    <row r="1265" spans="1:20" x14ac:dyDescent="0.25">
      <c r="A1265" s="3">
        <v>41789</v>
      </c>
      <c r="B1265" s="36">
        <v>109</v>
      </c>
      <c r="C1265" t="s">
        <v>2207</v>
      </c>
      <c r="D1265">
        <v>-7.5</v>
      </c>
      <c r="E1265" s="18">
        <v>-750</v>
      </c>
      <c r="G1265" t="s">
        <v>2208</v>
      </c>
      <c r="H1265" s="18" t="s">
        <v>442</v>
      </c>
      <c r="I1265" s="3" t="s">
        <v>442</v>
      </c>
      <c r="J1265"/>
      <c r="L1265"/>
      <c r="M1265"/>
      <c r="N1265" s="20"/>
      <c r="O1265"/>
      <c r="P1265" s="20"/>
      <c r="Q1265" s="20"/>
      <c r="R1265" s="20"/>
      <c r="S1265" s="20"/>
      <c r="T1265" s="20"/>
    </row>
    <row r="1266" spans="1:20" x14ac:dyDescent="0.25">
      <c r="A1266" s="3">
        <v>41789</v>
      </c>
      <c r="B1266" s="36">
        <v>109</v>
      </c>
      <c r="C1266" t="s">
        <v>2220</v>
      </c>
      <c r="D1266">
        <v>5.5</v>
      </c>
      <c r="E1266" s="18">
        <v>550</v>
      </c>
      <c r="G1266" t="s">
        <v>2221</v>
      </c>
      <c r="H1266" s="18">
        <v>550</v>
      </c>
      <c r="I1266" s="3">
        <v>41789</v>
      </c>
      <c r="J1266"/>
      <c r="L1266"/>
      <c r="M1266"/>
      <c r="N1266" s="20"/>
      <c r="O1266"/>
      <c r="P1266" s="20"/>
      <c r="Q1266" s="20"/>
      <c r="R1266" s="20"/>
      <c r="S1266" s="20"/>
      <c r="T1266" s="20"/>
    </row>
    <row r="1267" spans="1:20" x14ac:dyDescent="0.25">
      <c r="A1267" s="3">
        <v>41789</v>
      </c>
      <c r="B1267" s="36">
        <v>109</v>
      </c>
      <c r="C1267" t="s">
        <v>2222</v>
      </c>
      <c r="D1267">
        <v>6.5</v>
      </c>
      <c r="E1267" s="18">
        <v>650</v>
      </c>
      <c r="G1267" t="s">
        <v>2223</v>
      </c>
      <c r="H1267" s="18">
        <v>650</v>
      </c>
      <c r="I1267" s="3">
        <v>41789</v>
      </c>
      <c r="J1267"/>
      <c r="L1267"/>
      <c r="M1267"/>
      <c r="N1267" s="20"/>
      <c r="O1267"/>
      <c r="P1267" s="20"/>
      <c r="Q1267" s="20"/>
      <c r="R1267" s="20"/>
      <c r="S1267" s="20"/>
      <c r="T1267" s="20"/>
    </row>
    <row r="1268" spans="1:20" x14ac:dyDescent="0.25">
      <c r="A1268" s="3">
        <v>41796</v>
      </c>
      <c r="B1268" s="36">
        <v>109</v>
      </c>
      <c r="C1268" t="s">
        <v>2224</v>
      </c>
      <c r="D1268">
        <v>7</v>
      </c>
      <c r="E1268" s="18">
        <v>700</v>
      </c>
      <c r="G1268" t="s">
        <v>2225</v>
      </c>
      <c r="H1268" s="18">
        <v>700</v>
      </c>
      <c r="I1268" s="3">
        <v>41796</v>
      </c>
      <c r="J1268"/>
      <c r="L1268"/>
      <c r="M1268"/>
      <c r="N1268" s="20"/>
      <c r="O1268" t="s">
        <v>1555</v>
      </c>
      <c r="P1268" s="20"/>
      <c r="Q1268" s="20"/>
      <c r="R1268" s="20"/>
      <c r="S1268" s="20"/>
      <c r="T1268" s="20"/>
    </row>
    <row r="1269" spans="1:20" x14ac:dyDescent="0.25">
      <c r="A1269" s="3">
        <v>41796</v>
      </c>
      <c r="B1269" s="36">
        <v>109</v>
      </c>
      <c r="C1269" t="s">
        <v>2226</v>
      </c>
      <c r="D1269">
        <v>7</v>
      </c>
      <c r="E1269" s="18">
        <v>700</v>
      </c>
      <c r="G1269" t="s">
        <v>2227</v>
      </c>
      <c r="H1269" s="18">
        <v>700</v>
      </c>
      <c r="I1269" s="3">
        <v>41796</v>
      </c>
      <c r="J1269"/>
      <c r="L1269"/>
      <c r="M1269"/>
      <c r="N1269" s="20"/>
      <c r="O1269" t="s">
        <v>1555</v>
      </c>
      <c r="P1269" s="20"/>
      <c r="Q1269" s="20"/>
      <c r="R1269" s="20"/>
      <c r="S1269" s="20"/>
      <c r="T1269" s="20"/>
    </row>
    <row r="1270" spans="1:20" x14ac:dyDescent="0.25">
      <c r="A1270" s="3">
        <v>41796</v>
      </c>
      <c r="B1270" s="36">
        <v>109</v>
      </c>
      <c r="C1270" t="s">
        <v>2228</v>
      </c>
      <c r="D1270">
        <v>7.9050000000000002</v>
      </c>
      <c r="E1270" s="18">
        <v>790.5</v>
      </c>
      <c r="G1270" t="s">
        <v>2229</v>
      </c>
      <c r="H1270" s="18">
        <v>790.5</v>
      </c>
      <c r="I1270" s="3">
        <v>41796</v>
      </c>
      <c r="J1270"/>
      <c r="L1270"/>
      <c r="M1270"/>
      <c r="N1270" s="20"/>
      <c r="O1270" t="s">
        <v>905</v>
      </c>
      <c r="P1270" s="20"/>
      <c r="Q1270" s="20"/>
      <c r="R1270" s="20"/>
      <c r="S1270" s="20"/>
      <c r="T1270" s="20"/>
    </row>
    <row r="1271" spans="1:20" x14ac:dyDescent="0.25">
      <c r="A1271" s="3">
        <v>41796</v>
      </c>
      <c r="B1271" s="36">
        <v>109</v>
      </c>
      <c r="C1271" t="s">
        <v>2230</v>
      </c>
      <c r="D1271">
        <v>9</v>
      </c>
      <c r="E1271" s="18">
        <v>900</v>
      </c>
      <c r="G1271" t="s">
        <v>2231</v>
      </c>
      <c r="H1271" s="18">
        <v>900</v>
      </c>
      <c r="I1271" s="3">
        <v>41796</v>
      </c>
      <c r="J1271"/>
      <c r="L1271"/>
      <c r="M1271"/>
      <c r="N1271" s="20"/>
      <c r="O1271" t="s">
        <v>1555</v>
      </c>
      <c r="P1271" s="20"/>
      <c r="Q1271" s="20"/>
      <c r="R1271" s="20"/>
      <c r="S1271" s="20"/>
      <c r="T1271" s="20"/>
    </row>
    <row r="1272" spans="1:20" x14ac:dyDescent="0.25">
      <c r="A1272" s="3">
        <v>41803</v>
      </c>
      <c r="B1272" s="36">
        <v>109</v>
      </c>
      <c r="C1272" t="s">
        <v>2232</v>
      </c>
      <c r="D1272">
        <v>10</v>
      </c>
      <c r="E1272" s="18">
        <v>1000</v>
      </c>
      <c r="G1272" t="s">
        <v>2233</v>
      </c>
      <c r="H1272" s="18">
        <v>1000</v>
      </c>
      <c r="I1272" s="3">
        <v>41803</v>
      </c>
      <c r="J1272"/>
      <c r="L1272"/>
      <c r="M1272"/>
      <c r="N1272" s="20"/>
      <c r="O1272" t="s">
        <v>2234</v>
      </c>
      <c r="P1272" s="20"/>
      <c r="Q1272" s="20"/>
      <c r="R1272" s="20"/>
      <c r="S1272" s="20"/>
      <c r="T1272" s="20"/>
    </row>
    <row r="1273" spans="1:20" x14ac:dyDescent="0.25">
      <c r="A1273" s="3">
        <v>41803</v>
      </c>
      <c r="B1273" s="36">
        <v>109</v>
      </c>
      <c r="C1273" t="s">
        <v>2235</v>
      </c>
      <c r="D1273">
        <v>9.5</v>
      </c>
      <c r="E1273" s="18">
        <v>950</v>
      </c>
      <c r="G1273" t="s">
        <v>2236</v>
      </c>
      <c r="H1273" s="18">
        <v>950</v>
      </c>
      <c r="I1273" s="3">
        <v>41803</v>
      </c>
      <c r="J1273"/>
      <c r="L1273"/>
      <c r="M1273"/>
      <c r="N1273" s="20"/>
      <c r="O1273" t="s">
        <v>2234</v>
      </c>
      <c r="P1273" s="20"/>
      <c r="Q1273" s="20"/>
      <c r="R1273" s="20"/>
      <c r="S1273" s="20"/>
      <c r="T1273" s="20"/>
    </row>
    <row r="1274" spans="1:20" x14ac:dyDescent="0.25">
      <c r="A1274" s="3">
        <v>41803</v>
      </c>
      <c r="B1274" s="36">
        <v>109</v>
      </c>
      <c r="C1274" t="s">
        <v>2237</v>
      </c>
      <c r="D1274">
        <v>8.75</v>
      </c>
      <c r="E1274" s="18">
        <v>875</v>
      </c>
      <c r="G1274" t="s">
        <v>2238</v>
      </c>
      <c r="H1274" s="18">
        <v>875</v>
      </c>
      <c r="I1274" s="3">
        <v>41803</v>
      </c>
      <c r="J1274"/>
      <c r="L1274"/>
      <c r="M1274"/>
      <c r="N1274" s="20"/>
      <c r="O1274" t="s">
        <v>2234</v>
      </c>
      <c r="P1274" s="20"/>
      <c r="Q1274" s="20"/>
      <c r="R1274" s="20"/>
      <c r="S1274" s="20"/>
      <c r="T1274" s="20"/>
    </row>
    <row r="1275" spans="1:20" x14ac:dyDescent="0.25">
      <c r="A1275" s="3">
        <v>41803</v>
      </c>
      <c r="B1275" s="36">
        <v>109</v>
      </c>
      <c r="C1275" t="s">
        <v>2239</v>
      </c>
      <c r="D1275">
        <v>6.25</v>
      </c>
      <c r="E1275" s="18">
        <v>625</v>
      </c>
      <c r="G1275" t="s">
        <v>2240</v>
      </c>
      <c r="H1275" s="18">
        <v>625</v>
      </c>
      <c r="I1275" s="3">
        <v>41803</v>
      </c>
      <c r="J1275"/>
      <c r="L1275"/>
      <c r="M1275"/>
      <c r="N1275" s="20"/>
      <c r="O1275" t="s">
        <v>2234</v>
      </c>
      <c r="P1275" s="20"/>
      <c r="Q1275" s="20"/>
      <c r="R1275" s="20"/>
      <c r="S1275" s="20"/>
      <c r="T1275" s="20"/>
    </row>
    <row r="1276" spans="1:20" x14ac:dyDescent="0.25">
      <c r="A1276" s="3">
        <v>41985</v>
      </c>
      <c r="B1276" s="36">
        <v>109</v>
      </c>
      <c r="C1276" t="s">
        <v>2241</v>
      </c>
      <c r="D1276">
        <v>2.5</v>
      </c>
      <c r="E1276" s="18">
        <v>250</v>
      </c>
      <c r="G1276" t="s">
        <v>2242</v>
      </c>
      <c r="H1276" s="18">
        <v>250</v>
      </c>
      <c r="I1276" s="3">
        <v>41985</v>
      </c>
      <c r="J1276"/>
      <c r="L1276"/>
      <c r="M1276"/>
      <c r="N1276" s="20"/>
      <c r="O1276"/>
      <c r="P1276" s="20"/>
      <c r="Q1276" s="20"/>
      <c r="R1276" s="20"/>
      <c r="S1276" s="20"/>
      <c r="T1276" s="20"/>
    </row>
    <row r="1277" spans="1:20" x14ac:dyDescent="0.25">
      <c r="A1277" s="3">
        <v>41985</v>
      </c>
      <c r="B1277" s="36">
        <v>109</v>
      </c>
      <c r="C1277" t="s">
        <v>2224</v>
      </c>
      <c r="D1277">
        <v>7.65</v>
      </c>
      <c r="E1277" s="18">
        <v>-700</v>
      </c>
      <c r="F1277" t="s">
        <v>889</v>
      </c>
      <c r="G1277" t="s">
        <v>2225</v>
      </c>
      <c r="H1277" s="18" t="s">
        <v>442</v>
      </c>
      <c r="I1277" s="3" t="s">
        <v>442</v>
      </c>
      <c r="J1277"/>
      <c r="L1277"/>
      <c r="M1277"/>
      <c r="N1277" s="20"/>
      <c r="O1277"/>
      <c r="P1277" s="20"/>
      <c r="Q1277" s="20"/>
      <c r="R1277" s="20"/>
      <c r="S1277" s="20"/>
      <c r="T1277" s="20"/>
    </row>
    <row r="1278" spans="1:20" x14ac:dyDescent="0.25">
      <c r="A1278" s="57">
        <v>41985</v>
      </c>
      <c r="B1278" s="42">
        <v>109</v>
      </c>
      <c r="C1278" s="45" t="s">
        <v>2243</v>
      </c>
      <c r="D1278" s="45">
        <v>4.16</v>
      </c>
      <c r="E1278" s="58">
        <v>416</v>
      </c>
      <c r="F1278" s="45" t="s">
        <v>889</v>
      </c>
      <c r="G1278" s="45" t="s">
        <v>2244</v>
      </c>
      <c r="H1278" s="18">
        <v>416</v>
      </c>
      <c r="I1278" s="3">
        <v>41985</v>
      </c>
      <c r="J1278" s="45"/>
      <c r="K1278" s="45"/>
      <c r="L1278" s="45"/>
      <c r="M1278" s="45"/>
      <c r="N1278" s="45"/>
      <c r="O1278" s="45"/>
      <c r="P1278" s="20"/>
      <c r="Q1278" s="20"/>
      <c r="R1278" s="20"/>
      <c r="S1278" s="20"/>
      <c r="T1278" s="20"/>
    </row>
    <row r="1279" spans="1:20" x14ac:dyDescent="0.25">
      <c r="A1279" s="3">
        <v>41985</v>
      </c>
      <c r="B1279" s="36">
        <v>109</v>
      </c>
      <c r="C1279" t="s">
        <v>2203</v>
      </c>
      <c r="D1279">
        <v>4.8449999999999998</v>
      </c>
      <c r="E1279" s="18">
        <v>-484.5</v>
      </c>
      <c r="F1279" t="s">
        <v>889</v>
      </c>
      <c r="G1279" t="s">
        <v>2204</v>
      </c>
      <c r="H1279" s="18" t="s">
        <v>442</v>
      </c>
      <c r="I1279" s="3" t="s">
        <v>442</v>
      </c>
      <c r="J1279"/>
      <c r="L1279"/>
      <c r="M1279"/>
      <c r="N1279" s="20"/>
      <c r="O1279"/>
      <c r="P1279" s="20"/>
      <c r="Q1279" s="20"/>
      <c r="R1279" s="20"/>
      <c r="S1279" s="20"/>
      <c r="T1279" s="20"/>
    </row>
    <row r="1280" spans="1:20" x14ac:dyDescent="0.25">
      <c r="A1280" s="3">
        <v>41985</v>
      </c>
      <c r="B1280" s="36">
        <v>109</v>
      </c>
      <c r="C1280" t="s">
        <v>2218</v>
      </c>
      <c r="D1280">
        <v>4.5</v>
      </c>
      <c r="E1280" s="18">
        <v>-450</v>
      </c>
      <c r="G1280" t="s">
        <v>2219</v>
      </c>
      <c r="H1280" s="18" t="s">
        <v>442</v>
      </c>
      <c r="I1280" s="3" t="s">
        <v>442</v>
      </c>
      <c r="J1280"/>
      <c r="L1280"/>
      <c r="M1280"/>
      <c r="N1280" s="20"/>
      <c r="O1280" t="s">
        <v>949</v>
      </c>
      <c r="P1280" s="20"/>
      <c r="Q1280" s="20"/>
      <c r="R1280" s="20"/>
      <c r="S1280" s="20"/>
      <c r="T1280" s="20"/>
    </row>
    <row r="1281" spans="1:20" x14ac:dyDescent="0.25">
      <c r="A1281" s="3">
        <v>41985</v>
      </c>
      <c r="B1281" s="36">
        <v>109</v>
      </c>
      <c r="C1281" t="s">
        <v>2245</v>
      </c>
      <c r="D1281">
        <v>7.25</v>
      </c>
      <c r="E1281" s="18">
        <v>725</v>
      </c>
      <c r="F1281" t="s">
        <v>889</v>
      </c>
      <c r="G1281" t="s">
        <v>2246</v>
      </c>
      <c r="H1281" s="18">
        <v>725</v>
      </c>
      <c r="I1281" s="3">
        <v>41985</v>
      </c>
      <c r="J1281"/>
      <c r="L1281"/>
      <c r="M1281"/>
      <c r="N1281" s="20"/>
      <c r="O1281"/>
      <c r="P1281" s="20"/>
      <c r="Q1281" s="20"/>
      <c r="R1281" s="20"/>
      <c r="S1281" s="20"/>
      <c r="T1281" s="20"/>
    </row>
    <row r="1282" spans="1:20" x14ac:dyDescent="0.25">
      <c r="A1282" s="3">
        <v>41985</v>
      </c>
      <c r="B1282" s="36">
        <v>109</v>
      </c>
      <c r="C1282" t="s">
        <v>2245</v>
      </c>
      <c r="E1282" s="18">
        <v>725</v>
      </c>
      <c r="F1282" t="s">
        <v>889</v>
      </c>
      <c r="G1282" t="s">
        <v>2246</v>
      </c>
      <c r="H1282" s="18">
        <v>725</v>
      </c>
      <c r="I1282" s="3">
        <v>41985</v>
      </c>
      <c r="J1282"/>
      <c r="L1282"/>
      <c r="M1282"/>
      <c r="N1282" s="20"/>
      <c r="O1282" t="s">
        <v>959</v>
      </c>
      <c r="P1282" s="20"/>
      <c r="Q1282" s="20"/>
      <c r="R1282" s="20"/>
      <c r="S1282" s="20"/>
      <c r="T1282" s="20"/>
    </row>
    <row r="1283" spans="1:20" x14ac:dyDescent="0.25">
      <c r="A1283" s="3">
        <v>41985</v>
      </c>
      <c r="B1283" s="36">
        <v>109</v>
      </c>
      <c r="C1283" t="s">
        <v>2228</v>
      </c>
      <c r="D1283">
        <v>7.9050000000000002</v>
      </c>
      <c r="E1283" s="18">
        <v>790.5</v>
      </c>
      <c r="F1283" t="s">
        <v>889</v>
      </c>
      <c r="G1283" t="s">
        <v>2229</v>
      </c>
      <c r="H1283" s="18">
        <v>790.5</v>
      </c>
      <c r="I1283" s="3">
        <v>41985</v>
      </c>
      <c r="J1283"/>
      <c r="L1283"/>
      <c r="M1283"/>
      <c r="N1283" s="20"/>
      <c r="O1283" t="s">
        <v>959</v>
      </c>
      <c r="P1283" s="20"/>
      <c r="Q1283" s="20"/>
      <c r="R1283" s="20"/>
      <c r="S1283" s="20"/>
      <c r="T1283" s="20"/>
    </row>
    <row r="1284" spans="1:20" x14ac:dyDescent="0.25">
      <c r="A1284" s="3">
        <v>41985</v>
      </c>
      <c r="B1284" s="36">
        <v>109</v>
      </c>
      <c r="C1284" t="s">
        <v>2230</v>
      </c>
      <c r="D1284">
        <v>9</v>
      </c>
      <c r="E1284" s="18">
        <v>-900</v>
      </c>
      <c r="G1284" t="s">
        <v>2231</v>
      </c>
      <c r="H1284" s="18" t="s">
        <v>442</v>
      </c>
      <c r="I1284" s="3" t="s">
        <v>442</v>
      </c>
      <c r="J1284"/>
      <c r="L1284"/>
      <c r="M1284"/>
      <c r="N1284" s="20"/>
      <c r="O1284" t="s">
        <v>949</v>
      </c>
      <c r="P1284" s="20"/>
      <c r="Q1284" s="20"/>
      <c r="R1284" s="20"/>
      <c r="S1284" s="20"/>
      <c r="T1284" s="20"/>
    </row>
    <row r="1285" spans="1:20" x14ac:dyDescent="0.25">
      <c r="A1285" s="3">
        <v>41985</v>
      </c>
      <c r="B1285" s="36">
        <v>109</v>
      </c>
      <c r="C1285" t="s">
        <v>2205</v>
      </c>
      <c r="D1285">
        <v>6.12</v>
      </c>
      <c r="E1285" s="18">
        <v>649</v>
      </c>
      <c r="F1285" t="s">
        <v>889</v>
      </c>
      <c r="G1285" t="s">
        <v>2206</v>
      </c>
      <c r="H1285" s="18">
        <v>649</v>
      </c>
      <c r="I1285" s="3">
        <v>41985</v>
      </c>
      <c r="J1285"/>
      <c r="L1285"/>
      <c r="M1285"/>
      <c r="N1285" s="20"/>
      <c r="O1285" t="s">
        <v>959</v>
      </c>
      <c r="P1285" s="20"/>
      <c r="Q1285" s="20"/>
      <c r="R1285" s="20"/>
      <c r="S1285" s="20"/>
      <c r="T1285" s="20"/>
    </row>
    <row r="1286" spans="1:20" x14ac:dyDescent="0.25">
      <c r="A1286" s="3">
        <v>41985</v>
      </c>
      <c r="B1286" s="36">
        <v>109</v>
      </c>
      <c r="C1286" t="s">
        <v>2209</v>
      </c>
      <c r="D1286">
        <v>7</v>
      </c>
      <c r="E1286" s="18">
        <v>-700</v>
      </c>
      <c r="G1286" t="s">
        <v>2210</v>
      </c>
      <c r="H1286" s="18" t="s">
        <v>442</v>
      </c>
      <c r="I1286" s="3" t="s">
        <v>442</v>
      </c>
      <c r="J1286"/>
      <c r="L1286"/>
      <c r="M1286"/>
      <c r="N1286" s="20"/>
      <c r="O1286" t="s">
        <v>949</v>
      </c>
      <c r="P1286" s="20"/>
      <c r="Q1286" s="20"/>
      <c r="R1286" s="20"/>
      <c r="S1286" s="20"/>
      <c r="T1286" s="20"/>
    </row>
    <row r="1287" spans="1:20" x14ac:dyDescent="0.25">
      <c r="A1287" s="3">
        <v>41985</v>
      </c>
      <c r="B1287" s="36">
        <v>109</v>
      </c>
      <c r="C1287" t="s">
        <v>2237</v>
      </c>
      <c r="D1287">
        <v>9.69</v>
      </c>
      <c r="E1287" s="18">
        <v>-875</v>
      </c>
      <c r="F1287" t="s">
        <v>889</v>
      </c>
      <c r="G1287" t="s">
        <v>2238</v>
      </c>
      <c r="H1287" s="18" t="s">
        <v>442</v>
      </c>
      <c r="I1287" s="3" t="s">
        <v>442</v>
      </c>
      <c r="J1287"/>
      <c r="L1287"/>
      <c r="M1287"/>
      <c r="N1287" s="20"/>
      <c r="O1287"/>
      <c r="P1287" s="20"/>
      <c r="Q1287" s="20"/>
      <c r="R1287" s="20"/>
      <c r="S1287" s="20"/>
      <c r="T1287" s="20"/>
    </row>
    <row r="1288" spans="1:20" x14ac:dyDescent="0.25">
      <c r="A1288" s="3">
        <v>41985</v>
      </c>
      <c r="B1288" s="36">
        <v>109</v>
      </c>
      <c r="C1288" t="s">
        <v>2247</v>
      </c>
      <c r="D1288">
        <v>10</v>
      </c>
      <c r="E1288" s="18">
        <v>1000</v>
      </c>
      <c r="G1288" t="s">
        <v>2248</v>
      </c>
      <c r="H1288" s="18">
        <v>1000</v>
      </c>
      <c r="I1288" s="3">
        <v>41985</v>
      </c>
      <c r="J1288"/>
      <c r="L1288"/>
      <c r="M1288"/>
      <c r="N1288" s="20"/>
      <c r="O1288"/>
      <c r="P1288" s="20"/>
      <c r="Q1288" s="20"/>
      <c r="R1288" s="20"/>
      <c r="S1288" s="20"/>
      <c r="T1288" s="20"/>
    </row>
    <row r="1289" spans="1:20" x14ac:dyDescent="0.25">
      <c r="A1289" s="3">
        <v>41985</v>
      </c>
      <c r="B1289" s="36">
        <v>109</v>
      </c>
      <c r="C1289" t="s">
        <v>2247</v>
      </c>
      <c r="D1289">
        <v>10</v>
      </c>
      <c r="E1289" s="18">
        <v>-1000</v>
      </c>
      <c r="F1289" t="s">
        <v>889</v>
      </c>
      <c r="G1289" t="s">
        <v>2248</v>
      </c>
      <c r="H1289" s="18" t="s">
        <v>442</v>
      </c>
      <c r="I1289" s="3" t="s">
        <v>442</v>
      </c>
      <c r="J1289"/>
      <c r="L1289"/>
      <c r="M1289"/>
      <c r="N1289" s="20"/>
      <c r="O1289"/>
      <c r="P1289" s="20"/>
      <c r="Q1289" s="20"/>
      <c r="R1289" s="20"/>
      <c r="S1289" s="20"/>
      <c r="T1289" s="20"/>
    </row>
    <row r="1290" spans="1:20" x14ac:dyDescent="0.25">
      <c r="A1290" s="3">
        <v>41985</v>
      </c>
      <c r="B1290" s="36">
        <v>109</v>
      </c>
      <c r="C1290" t="s">
        <v>2249</v>
      </c>
      <c r="D1290">
        <v>5.75</v>
      </c>
      <c r="E1290" s="18">
        <v>575</v>
      </c>
      <c r="G1290" t="s">
        <v>2250</v>
      </c>
      <c r="H1290" s="18">
        <v>575</v>
      </c>
      <c r="I1290" s="3">
        <v>41985</v>
      </c>
      <c r="J1290"/>
      <c r="L1290"/>
      <c r="M1290"/>
      <c r="N1290" s="20"/>
      <c r="O1290"/>
      <c r="P1290" s="20"/>
      <c r="Q1290" s="20"/>
      <c r="R1290" s="20"/>
      <c r="S1290" s="20"/>
      <c r="T1290" s="20"/>
    </row>
    <row r="1291" spans="1:20" x14ac:dyDescent="0.25">
      <c r="A1291" s="3">
        <v>41985</v>
      </c>
      <c r="B1291" s="36">
        <v>109</v>
      </c>
      <c r="C1291" t="s">
        <v>2249</v>
      </c>
      <c r="D1291">
        <v>5.75</v>
      </c>
      <c r="E1291" s="18">
        <v>-575</v>
      </c>
      <c r="G1291" t="s">
        <v>2250</v>
      </c>
      <c r="H1291" s="18" t="s">
        <v>442</v>
      </c>
      <c r="I1291" s="3" t="s">
        <v>442</v>
      </c>
      <c r="J1291"/>
      <c r="L1291"/>
      <c r="M1291"/>
      <c r="N1291" s="20"/>
      <c r="O1291" t="s">
        <v>949</v>
      </c>
      <c r="P1291" s="20"/>
      <c r="Q1291" s="20"/>
      <c r="R1291" s="20"/>
      <c r="S1291" s="20"/>
      <c r="T1291" s="20"/>
    </row>
    <row r="1292" spans="1:20" x14ac:dyDescent="0.25">
      <c r="A1292" s="3">
        <v>41985</v>
      </c>
      <c r="B1292" s="36">
        <v>109</v>
      </c>
      <c r="C1292" t="s">
        <v>2197</v>
      </c>
      <c r="D1292">
        <v>3.06</v>
      </c>
      <c r="E1292" s="18">
        <v>306</v>
      </c>
      <c r="F1292" t="s">
        <v>889</v>
      </c>
      <c r="G1292" t="s">
        <v>2198</v>
      </c>
      <c r="H1292" s="18">
        <v>306</v>
      </c>
      <c r="I1292" s="3">
        <v>41985</v>
      </c>
      <c r="J1292"/>
      <c r="L1292"/>
      <c r="M1292"/>
      <c r="N1292" s="20"/>
      <c r="O1292" t="s">
        <v>959</v>
      </c>
      <c r="P1292" s="20"/>
      <c r="Q1292" s="20"/>
      <c r="R1292" s="20"/>
      <c r="S1292" s="20"/>
      <c r="T1292" s="20"/>
    </row>
    <row r="1293" spans="1:20" x14ac:dyDescent="0.25">
      <c r="A1293" s="3">
        <v>41985</v>
      </c>
      <c r="B1293" s="36">
        <v>109</v>
      </c>
      <c r="C1293" t="s">
        <v>2199</v>
      </c>
      <c r="E1293" s="18">
        <v>561</v>
      </c>
      <c r="F1293" t="s">
        <v>889</v>
      </c>
      <c r="G1293" t="s">
        <v>2217</v>
      </c>
      <c r="H1293" s="18">
        <v>561</v>
      </c>
      <c r="I1293" s="3">
        <v>41985</v>
      </c>
      <c r="J1293"/>
      <c r="L1293"/>
      <c r="M1293"/>
      <c r="N1293" s="20"/>
      <c r="O1293" t="s">
        <v>959</v>
      </c>
      <c r="P1293" s="20"/>
      <c r="Q1293" s="20"/>
      <c r="R1293" s="20"/>
      <c r="S1293" s="20"/>
      <c r="T1293" s="20"/>
    </row>
    <row r="1294" spans="1:20" x14ac:dyDescent="0.25">
      <c r="A1294" s="3">
        <v>41985</v>
      </c>
      <c r="B1294" s="36">
        <v>109</v>
      </c>
      <c r="C1294" t="s">
        <v>2199</v>
      </c>
      <c r="D1294">
        <v>6.63</v>
      </c>
      <c r="E1294" s="18">
        <v>663</v>
      </c>
      <c r="F1294" t="s">
        <v>889</v>
      </c>
      <c r="G1294" t="s">
        <v>2200</v>
      </c>
      <c r="H1294" s="18">
        <v>663</v>
      </c>
      <c r="I1294" s="3">
        <v>41985</v>
      </c>
      <c r="J1294"/>
      <c r="L1294"/>
      <c r="M1294"/>
      <c r="N1294" s="20"/>
      <c r="O1294" t="s">
        <v>959</v>
      </c>
      <c r="P1294" s="20"/>
      <c r="Q1294" s="20"/>
      <c r="R1294" s="20"/>
      <c r="S1294" s="20"/>
      <c r="T1294" s="20"/>
    </row>
    <row r="1295" spans="1:20" x14ac:dyDescent="0.25">
      <c r="A1295" s="3">
        <v>41999</v>
      </c>
      <c r="B1295" s="36">
        <v>109</v>
      </c>
      <c r="C1295" t="s">
        <v>2226</v>
      </c>
      <c r="D1295">
        <v>5.25</v>
      </c>
      <c r="E1295" s="18">
        <v>350</v>
      </c>
      <c r="F1295" t="s">
        <v>889</v>
      </c>
      <c r="G1295" t="s">
        <v>2227</v>
      </c>
      <c r="H1295" s="18">
        <v>350</v>
      </c>
      <c r="I1295" s="3">
        <v>41999</v>
      </c>
      <c r="J1295"/>
      <c r="L1295"/>
      <c r="M1295"/>
      <c r="N1295" s="20"/>
      <c r="O1295" t="s">
        <v>959</v>
      </c>
      <c r="P1295" s="20"/>
      <c r="Q1295" s="20"/>
      <c r="R1295" s="20"/>
      <c r="S1295" s="20"/>
      <c r="T1295" s="20"/>
    </row>
    <row r="1296" spans="1:20" x14ac:dyDescent="0.25">
      <c r="A1296" s="3">
        <v>41999</v>
      </c>
      <c r="B1296" s="36">
        <v>109</v>
      </c>
      <c r="C1296" t="s">
        <v>2215</v>
      </c>
      <c r="D1296">
        <v>5.0999999999999996</v>
      </c>
      <c r="E1296" s="18">
        <v>394.99999999999989</v>
      </c>
      <c r="F1296" t="s">
        <v>889</v>
      </c>
      <c r="G1296" t="s">
        <v>2216</v>
      </c>
      <c r="H1296" s="18">
        <v>394.99999999999989</v>
      </c>
      <c r="I1296" s="3">
        <v>41999</v>
      </c>
      <c r="J1296"/>
      <c r="L1296"/>
      <c r="M1296"/>
      <c r="N1296" s="20"/>
      <c r="O1296" t="s">
        <v>959</v>
      </c>
      <c r="P1296" s="20"/>
      <c r="Q1296" s="20"/>
      <c r="R1296" s="20"/>
      <c r="S1296" s="20"/>
      <c r="T1296" s="20"/>
    </row>
    <row r="1297" spans="1:21" x14ac:dyDescent="0.25">
      <c r="A1297" s="3">
        <v>42004</v>
      </c>
      <c r="B1297" s="36">
        <v>109</v>
      </c>
      <c r="C1297" t="s">
        <v>2201</v>
      </c>
      <c r="D1297">
        <v>9.4350000000000005</v>
      </c>
      <c r="E1297" s="18">
        <v>314.5</v>
      </c>
      <c r="F1297" t="s">
        <v>889</v>
      </c>
      <c r="G1297" t="s">
        <v>2202</v>
      </c>
      <c r="H1297" s="18">
        <v>314.5</v>
      </c>
      <c r="I1297" s="3">
        <v>42004</v>
      </c>
      <c r="J1297"/>
      <c r="L1297"/>
      <c r="M1297"/>
      <c r="N1297" s="20"/>
      <c r="O1297"/>
      <c r="P1297" s="20"/>
      <c r="Q1297" s="20"/>
      <c r="R1297" s="20"/>
      <c r="S1297" s="20"/>
      <c r="T1297" s="20"/>
    </row>
    <row r="1298" spans="1:21" x14ac:dyDescent="0.25">
      <c r="A1298" s="3">
        <v>42004</v>
      </c>
      <c r="B1298" s="36">
        <v>109</v>
      </c>
      <c r="C1298" t="s">
        <v>2239</v>
      </c>
      <c r="D1298">
        <v>4.08</v>
      </c>
      <c r="E1298" s="18">
        <v>63.666666666666664</v>
      </c>
      <c r="F1298" t="s">
        <v>889</v>
      </c>
      <c r="G1298" t="s">
        <v>2240</v>
      </c>
      <c r="H1298" s="18">
        <v>63.666666666666664</v>
      </c>
      <c r="I1298" s="3">
        <v>42004</v>
      </c>
      <c r="J1298"/>
      <c r="L1298"/>
      <c r="M1298"/>
      <c r="N1298" s="20"/>
      <c r="O1298"/>
      <c r="P1298" s="20"/>
      <c r="Q1298" s="20"/>
      <c r="R1298" s="20"/>
      <c r="S1298" s="20"/>
      <c r="T1298" s="20"/>
    </row>
    <row r="1299" spans="1:21" x14ac:dyDescent="0.25">
      <c r="A1299" s="3">
        <v>42004</v>
      </c>
      <c r="B1299" s="36">
        <v>109</v>
      </c>
      <c r="C1299" t="s">
        <v>2222</v>
      </c>
      <c r="D1299">
        <v>5.0999999999999996</v>
      </c>
      <c r="E1299" s="18">
        <v>123.3333333333333</v>
      </c>
      <c r="F1299" t="s">
        <v>889</v>
      </c>
      <c r="G1299" t="s">
        <v>2223</v>
      </c>
      <c r="H1299" s="18">
        <v>123.3333333333333</v>
      </c>
      <c r="I1299" s="3">
        <v>42004</v>
      </c>
      <c r="J1299"/>
      <c r="L1299"/>
      <c r="M1299"/>
      <c r="N1299" s="20"/>
      <c r="O1299"/>
      <c r="P1299" s="20"/>
      <c r="Q1299" s="20"/>
      <c r="R1299" s="20"/>
      <c r="S1299" s="20"/>
      <c r="T1299" s="20"/>
    </row>
    <row r="1300" spans="1:21" x14ac:dyDescent="0.25">
      <c r="A1300" s="3">
        <v>42013</v>
      </c>
      <c r="B1300" s="36">
        <v>109</v>
      </c>
      <c r="C1300" t="s">
        <v>2226</v>
      </c>
      <c r="D1300">
        <v>6.25</v>
      </c>
      <c r="E1300" s="18">
        <v>200</v>
      </c>
      <c r="F1300" t="s">
        <v>889</v>
      </c>
      <c r="G1300" t="s">
        <v>2227</v>
      </c>
      <c r="H1300" s="18">
        <v>200</v>
      </c>
      <c r="I1300" s="3">
        <v>42013</v>
      </c>
      <c r="J1300"/>
      <c r="L1300"/>
      <c r="M1300"/>
      <c r="N1300" s="20"/>
      <c r="O1300"/>
      <c r="P1300" s="20"/>
      <c r="Q1300" s="20"/>
      <c r="R1300" s="20"/>
      <c r="S1300" s="20"/>
      <c r="T1300" s="20"/>
    </row>
    <row r="1301" spans="1:21" x14ac:dyDescent="0.25">
      <c r="A1301" s="3">
        <v>42013</v>
      </c>
      <c r="B1301" s="36">
        <v>109</v>
      </c>
      <c r="C1301" t="s">
        <v>2215</v>
      </c>
      <c r="D1301">
        <v>6.12</v>
      </c>
      <c r="E1301" s="18">
        <v>204.00000000000011</v>
      </c>
      <c r="F1301" t="s">
        <v>889</v>
      </c>
      <c r="G1301" t="s">
        <v>2216</v>
      </c>
      <c r="H1301" s="18">
        <v>204.00000000000011</v>
      </c>
      <c r="I1301" s="3">
        <v>42013</v>
      </c>
      <c r="J1301"/>
      <c r="L1301"/>
      <c r="M1301"/>
      <c r="N1301" s="20"/>
      <c r="O1301"/>
      <c r="P1301" s="20"/>
      <c r="Q1301" s="20"/>
      <c r="R1301" s="20"/>
      <c r="S1301" s="20"/>
      <c r="T1301" s="20"/>
    </row>
    <row r="1302" spans="1:21" x14ac:dyDescent="0.25">
      <c r="A1302" s="3">
        <v>42041</v>
      </c>
      <c r="B1302">
        <v>109</v>
      </c>
      <c r="C1302" t="s">
        <v>2201</v>
      </c>
      <c r="E1302" s="18">
        <v>314.5</v>
      </c>
      <c r="F1302" t="s">
        <v>889</v>
      </c>
      <c r="G1302" t="s">
        <v>2202</v>
      </c>
      <c r="I1302"/>
      <c r="J1302"/>
      <c r="L1302"/>
      <c r="M1302"/>
      <c r="O1302"/>
      <c r="P1302" s="20"/>
      <c r="Q1302" s="20"/>
      <c r="R1302" s="20"/>
      <c r="S1302" s="20"/>
      <c r="T1302" s="20"/>
    </row>
    <row r="1303" spans="1:21" x14ac:dyDescent="0.25">
      <c r="A1303" s="3">
        <v>42041</v>
      </c>
      <c r="B1303">
        <v>109</v>
      </c>
      <c r="C1303" t="s">
        <v>2239</v>
      </c>
      <c r="E1303" s="18">
        <v>272</v>
      </c>
      <c r="F1303" t="s">
        <v>889</v>
      </c>
      <c r="G1303" t="s">
        <v>2240</v>
      </c>
      <c r="I1303"/>
      <c r="J1303"/>
      <c r="L1303"/>
      <c r="M1303"/>
      <c r="O1303"/>
      <c r="P1303" s="20"/>
      <c r="Q1303" s="20"/>
      <c r="R1303" s="20"/>
      <c r="S1303" s="20"/>
      <c r="T1303" s="20"/>
    </row>
    <row r="1304" spans="1:21" x14ac:dyDescent="0.25">
      <c r="A1304" s="3">
        <v>42041</v>
      </c>
      <c r="B1304">
        <v>109</v>
      </c>
      <c r="C1304" t="s">
        <v>2251</v>
      </c>
      <c r="E1304" s="18">
        <v>989</v>
      </c>
      <c r="F1304" t="s">
        <v>889</v>
      </c>
      <c r="G1304" t="s">
        <v>2233</v>
      </c>
      <c r="I1304"/>
      <c r="J1304"/>
      <c r="L1304"/>
      <c r="M1304"/>
      <c r="O1304"/>
      <c r="P1304" s="20"/>
      <c r="Q1304" s="20"/>
      <c r="R1304" s="20"/>
      <c r="S1304" s="20"/>
      <c r="T1304" s="20"/>
    </row>
    <row r="1305" spans="1:21" x14ac:dyDescent="0.25">
      <c r="A1305" s="3">
        <v>42041</v>
      </c>
      <c r="B1305">
        <v>109</v>
      </c>
      <c r="C1305" t="s">
        <v>2222</v>
      </c>
      <c r="E1305" s="18">
        <v>123.3333333333333</v>
      </c>
      <c r="F1305" t="s">
        <v>889</v>
      </c>
      <c r="G1305" t="s">
        <v>2223</v>
      </c>
      <c r="I1305"/>
      <c r="J1305"/>
      <c r="L1305"/>
      <c r="M1305"/>
      <c r="O1305"/>
      <c r="P1305" s="20"/>
      <c r="Q1305" s="20"/>
      <c r="R1305" s="20"/>
      <c r="S1305" s="20"/>
      <c r="T1305" s="20"/>
    </row>
    <row r="1306" spans="1:21" x14ac:dyDescent="0.25">
      <c r="B1306">
        <v>109</v>
      </c>
      <c r="C1306" t="s">
        <v>2239</v>
      </c>
      <c r="D1306">
        <v>7</v>
      </c>
      <c r="E1306" s="18">
        <v>-625</v>
      </c>
      <c r="F1306" t="s">
        <v>889</v>
      </c>
      <c r="G1306" t="s">
        <v>2252</v>
      </c>
      <c r="I1306"/>
      <c r="J1306"/>
      <c r="L1306"/>
      <c r="M1306"/>
      <c r="O1306"/>
      <c r="P1306" s="20"/>
      <c r="Q1306" s="20"/>
      <c r="R1306" s="20"/>
      <c r="S1306" s="20"/>
      <c r="T1306" s="20"/>
      <c r="U1306" t="s">
        <v>401</v>
      </c>
    </row>
    <row r="1307" spans="1:21" x14ac:dyDescent="0.25">
      <c r="A1307" s="3">
        <v>41705</v>
      </c>
      <c r="B1307" s="36">
        <v>110</v>
      </c>
      <c r="C1307" t="s">
        <v>2253</v>
      </c>
      <c r="E1307" s="18">
        <v>200</v>
      </c>
      <c r="G1307" t="s">
        <v>2254</v>
      </c>
      <c r="H1307" s="18">
        <v>200</v>
      </c>
      <c r="I1307" s="3">
        <v>41705</v>
      </c>
      <c r="J1307"/>
      <c r="L1307"/>
      <c r="M1307"/>
      <c r="N1307" s="20"/>
      <c r="O1307"/>
      <c r="P1307" s="20"/>
      <c r="Q1307" s="20"/>
      <c r="R1307" s="20"/>
      <c r="S1307" s="20"/>
      <c r="T1307" s="20"/>
    </row>
    <row r="1308" spans="1:21" x14ac:dyDescent="0.25">
      <c r="A1308" s="37">
        <v>41712</v>
      </c>
      <c r="B1308" s="36">
        <v>110</v>
      </c>
      <c r="C1308" s="38" t="s">
        <v>2255</v>
      </c>
      <c r="D1308" s="38"/>
      <c r="E1308" s="39">
        <v>550</v>
      </c>
      <c r="F1308" s="38"/>
      <c r="G1308" t="s">
        <v>2256</v>
      </c>
      <c r="H1308" s="18">
        <v>550</v>
      </c>
      <c r="I1308" s="3">
        <v>41712</v>
      </c>
      <c r="J1308"/>
      <c r="L1308"/>
      <c r="M1308"/>
      <c r="N1308" s="40"/>
      <c r="O1308" s="38"/>
      <c r="P1308" s="20"/>
      <c r="Q1308" s="20"/>
      <c r="R1308" s="20"/>
      <c r="S1308" s="20"/>
      <c r="T1308" s="20"/>
    </row>
    <row r="1309" spans="1:21" x14ac:dyDescent="0.25">
      <c r="A1309" s="3">
        <v>41719</v>
      </c>
      <c r="B1309" s="36">
        <v>110</v>
      </c>
      <c r="C1309" t="s">
        <v>2257</v>
      </c>
      <c r="E1309" s="18">
        <v>750</v>
      </c>
      <c r="G1309" t="s">
        <v>2258</v>
      </c>
      <c r="H1309" s="18">
        <v>750</v>
      </c>
      <c r="I1309" s="3">
        <v>41719</v>
      </c>
      <c r="J1309"/>
      <c r="L1309"/>
      <c r="M1309"/>
      <c r="N1309" s="20"/>
      <c r="O1309"/>
      <c r="P1309" s="20"/>
      <c r="Q1309" s="20"/>
      <c r="R1309" s="20"/>
      <c r="S1309" s="20"/>
      <c r="T1309" s="20"/>
    </row>
    <row r="1310" spans="1:21" x14ac:dyDescent="0.25">
      <c r="A1310" s="3">
        <v>41719</v>
      </c>
      <c r="B1310" s="36">
        <v>110</v>
      </c>
      <c r="C1310" t="s">
        <v>2259</v>
      </c>
      <c r="E1310" s="18">
        <v>525</v>
      </c>
      <c r="G1310" t="s">
        <v>2260</v>
      </c>
      <c r="H1310" s="18">
        <v>525</v>
      </c>
      <c r="I1310" s="3">
        <v>41719</v>
      </c>
      <c r="J1310"/>
      <c r="L1310"/>
      <c r="M1310"/>
      <c r="N1310" s="20"/>
      <c r="O1310"/>
      <c r="P1310" s="20"/>
      <c r="Q1310" s="20"/>
      <c r="R1310" s="20"/>
      <c r="S1310" s="20"/>
      <c r="T1310" s="20"/>
    </row>
    <row r="1311" spans="1:21" x14ac:dyDescent="0.25">
      <c r="A1311" s="3">
        <v>41726</v>
      </c>
      <c r="B1311" s="36">
        <v>110</v>
      </c>
      <c r="C1311" t="s">
        <v>2261</v>
      </c>
      <c r="D1311">
        <v>5.75</v>
      </c>
      <c r="E1311" s="18">
        <v>575</v>
      </c>
      <c r="G1311" t="s">
        <v>2262</v>
      </c>
      <c r="H1311" s="18">
        <v>575</v>
      </c>
      <c r="I1311" s="3">
        <v>41726</v>
      </c>
      <c r="J1311"/>
      <c r="L1311"/>
      <c r="M1311"/>
      <c r="N1311" s="20"/>
      <c r="O1311"/>
      <c r="P1311" s="20"/>
      <c r="Q1311" s="20"/>
      <c r="R1311" s="20"/>
      <c r="S1311" s="20"/>
      <c r="T1311" s="20"/>
    </row>
    <row r="1312" spans="1:21" x14ac:dyDescent="0.25">
      <c r="A1312" s="3">
        <v>41726</v>
      </c>
      <c r="B1312" s="36">
        <v>110</v>
      </c>
      <c r="C1312" t="s">
        <v>2263</v>
      </c>
      <c r="D1312">
        <v>5</v>
      </c>
      <c r="E1312" s="18">
        <v>500</v>
      </c>
      <c r="G1312" t="s">
        <v>2264</v>
      </c>
      <c r="H1312" s="18">
        <v>500</v>
      </c>
      <c r="I1312" s="3">
        <v>41726</v>
      </c>
      <c r="J1312"/>
      <c r="L1312"/>
      <c r="M1312"/>
      <c r="N1312" s="20"/>
      <c r="O1312"/>
      <c r="P1312" s="20"/>
      <c r="Q1312" s="20"/>
      <c r="R1312" s="20"/>
      <c r="S1312" s="20"/>
      <c r="T1312" s="20"/>
    </row>
    <row r="1313" spans="1:20" x14ac:dyDescent="0.25">
      <c r="A1313" s="3">
        <v>41726</v>
      </c>
      <c r="B1313" s="36">
        <v>110</v>
      </c>
      <c r="C1313" t="s">
        <v>2265</v>
      </c>
      <c r="D1313">
        <v>7.75</v>
      </c>
      <c r="E1313" s="18">
        <v>775</v>
      </c>
      <c r="G1313" t="s">
        <v>2266</v>
      </c>
      <c r="H1313" s="18">
        <v>775</v>
      </c>
      <c r="I1313" s="3">
        <v>41726</v>
      </c>
      <c r="J1313"/>
      <c r="L1313"/>
      <c r="M1313"/>
      <c r="N1313" s="20"/>
      <c r="O1313"/>
      <c r="P1313" s="20"/>
      <c r="Q1313" s="20"/>
      <c r="R1313" s="20"/>
      <c r="S1313" s="20"/>
      <c r="T1313" s="20"/>
    </row>
    <row r="1314" spans="1:20" x14ac:dyDescent="0.25">
      <c r="A1314" s="3">
        <v>41726</v>
      </c>
      <c r="B1314" s="36">
        <v>110</v>
      </c>
      <c r="C1314" t="s">
        <v>2259</v>
      </c>
      <c r="D1314">
        <v>5.25</v>
      </c>
      <c r="E1314" s="18">
        <v>-525</v>
      </c>
      <c r="G1314" t="s">
        <v>2260</v>
      </c>
      <c r="H1314" s="18" t="s">
        <v>442</v>
      </c>
      <c r="I1314" s="3" t="s">
        <v>442</v>
      </c>
      <c r="J1314"/>
      <c r="L1314"/>
      <c r="M1314"/>
      <c r="N1314" s="20"/>
      <c r="O1314" t="s">
        <v>2267</v>
      </c>
      <c r="P1314" s="20"/>
      <c r="Q1314" s="20"/>
      <c r="R1314" s="20"/>
      <c r="S1314" s="20"/>
      <c r="T1314" s="20"/>
    </row>
    <row r="1315" spans="1:20" x14ac:dyDescent="0.25">
      <c r="A1315" s="3">
        <v>41733</v>
      </c>
      <c r="B1315" s="36">
        <v>110</v>
      </c>
      <c r="C1315" t="s">
        <v>2268</v>
      </c>
      <c r="D1315">
        <v>6.75</v>
      </c>
      <c r="E1315" s="18">
        <v>675</v>
      </c>
      <c r="G1315" t="s">
        <v>2269</v>
      </c>
      <c r="H1315" s="18">
        <v>675</v>
      </c>
      <c r="I1315" s="3">
        <v>41733</v>
      </c>
      <c r="J1315"/>
      <c r="L1315"/>
      <c r="M1315"/>
      <c r="N1315" s="20"/>
      <c r="O1315"/>
      <c r="P1315" s="20"/>
      <c r="Q1315" s="20"/>
      <c r="R1315" s="20"/>
      <c r="S1315" s="20"/>
      <c r="T1315" s="20"/>
    </row>
    <row r="1316" spans="1:20" x14ac:dyDescent="0.25">
      <c r="A1316" s="3">
        <v>41733</v>
      </c>
      <c r="B1316" s="36">
        <v>110</v>
      </c>
      <c r="C1316" t="s">
        <v>2270</v>
      </c>
      <c r="D1316">
        <v>10</v>
      </c>
      <c r="E1316" s="18">
        <v>1000</v>
      </c>
      <c r="G1316" t="s">
        <v>2271</v>
      </c>
      <c r="H1316" s="18">
        <v>1000</v>
      </c>
      <c r="I1316" s="3">
        <v>41733</v>
      </c>
      <c r="J1316"/>
      <c r="L1316"/>
      <c r="M1316"/>
      <c r="N1316" s="20"/>
      <c r="O1316"/>
      <c r="P1316" s="20"/>
      <c r="Q1316" s="20"/>
      <c r="R1316" s="20"/>
      <c r="S1316" s="20"/>
      <c r="T1316" s="20"/>
    </row>
    <row r="1317" spans="1:20" x14ac:dyDescent="0.25">
      <c r="A1317" s="3">
        <v>41733</v>
      </c>
      <c r="B1317" s="36">
        <v>110</v>
      </c>
      <c r="C1317" t="s">
        <v>2272</v>
      </c>
      <c r="D1317">
        <v>7</v>
      </c>
      <c r="E1317" s="18">
        <v>700</v>
      </c>
      <c r="G1317" t="s">
        <v>2273</v>
      </c>
      <c r="H1317" s="18">
        <v>700</v>
      </c>
      <c r="I1317" s="3">
        <v>41733</v>
      </c>
      <c r="J1317"/>
      <c r="L1317"/>
      <c r="M1317"/>
      <c r="N1317" s="20"/>
      <c r="O1317"/>
      <c r="P1317" s="20"/>
      <c r="Q1317" s="20"/>
      <c r="R1317" s="20"/>
      <c r="S1317" s="20"/>
      <c r="T1317" s="20"/>
    </row>
    <row r="1318" spans="1:20" x14ac:dyDescent="0.25">
      <c r="A1318" s="3">
        <v>41740</v>
      </c>
      <c r="B1318" s="36">
        <v>110</v>
      </c>
      <c r="C1318" t="s">
        <v>2274</v>
      </c>
      <c r="D1318">
        <v>7</v>
      </c>
      <c r="E1318" s="18">
        <v>700</v>
      </c>
      <c r="G1318" t="s">
        <v>2275</v>
      </c>
      <c r="H1318" s="18">
        <v>700</v>
      </c>
      <c r="I1318" s="3">
        <v>41740</v>
      </c>
      <c r="J1318"/>
      <c r="L1318"/>
      <c r="M1318"/>
      <c r="N1318" s="20"/>
      <c r="O1318"/>
      <c r="P1318" s="20"/>
      <c r="Q1318" s="20"/>
      <c r="R1318" s="20"/>
      <c r="S1318" s="20"/>
      <c r="T1318" s="20"/>
    </row>
    <row r="1319" spans="1:20" x14ac:dyDescent="0.25">
      <c r="A1319" s="3">
        <v>41740</v>
      </c>
      <c r="B1319" s="36">
        <v>110</v>
      </c>
      <c r="C1319" t="s">
        <v>2276</v>
      </c>
      <c r="D1319">
        <v>10</v>
      </c>
      <c r="E1319" s="18">
        <v>1000</v>
      </c>
      <c r="G1319" t="s">
        <v>2277</v>
      </c>
      <c r="H1319" s="18">
        <v>1000</v>
      </c>
      <c r="I1319" s="3">
        <v>41740</v>
      </c>
      <c r="J1319"/>
      <c r="L1319"/>
      <c r="M1319"/>
      <c r="N1319" s="20"/>
      <c r="O1319"/>
      <c r="P1319" s="20"/>
      <c r="Q1319" s="20"/>
      <c r="R1319" s="20"/>
      <c r="S1319" s="20"/>
      <c r="T1319" s="20"/>
    </row>
    <row r="1320" spans="1:20" x14ac:dyDescent="0.25">
      <c r="A1320" s="3">
        <v>41740</v>
      </c>
      <c r="B1320" s="36">
        <v>110</v>
      </c>
      <c r="C1320" t="s">
        <v>2278</v>
      </c>
      <c r="D1320">
        <v>8.5</v>
      </c>
      <c r="E1320" s="18">
        <v>850</v>
      </c>
      <c r="G1320" t="s">
        <v>2279</v>
      </c>
      <c r="H1320" s="18">
        <v>850</v>
      </c>
      <c r="I1320" s="3">
        <v>41740</v>
      </c>
      <c r="J1320"/>
      <c r="L1320"/>
      <c r="M1320"/>
      <c r="N1320" s="20"/>
      <c r="O1320"/>
      <c r="P1320" s="20"/>
      <c r="Q1320" s="20"/>
      <c r="R1320" s="20"/>
      <c r="S1320" s="20"/>
      <c r="T1320" s="20"/>
    </row>
    <row r="1321" spans="1:20" x14ac:dyDescent="0.25">
      <c r="A1321" s="3">
        <v>41740</v>
      </c>
      <c r="B1321" s="36">
        <v>110</v>
      </c>
      <c r="C1321" t="s">
        <v>2280</v>
      </c>
      <c r="D1321">
        <v>8.5</v>
      </c>
      <c r="E1321" s="18">
        <v>850</v>
      </c>
      <c r="G1321" t="s">
        <v>2281</v>
      </c>
      <c r="H1321" s="18">
        <v>850</v>
      </c>
      <c r="I1321" s="3">
        <v>41740</v>
      </c>
      <c r="J1321"/>
      <c r="L1321"/>
      <c r="M1321"/>
      <c r="N1321" s="20"/>
      <c r="O1321"/>
      <c r="P1321" s="20"/>
      <c r="Q1321" s="20"/>
      <c r="R1321" s="20"/>
      <c r="S1321" s="20"/>
      <c r="T1321" s="20"/>
    </row>
    <row r="1322" spans="1:20" x14ac:dyDescent="0.25">
      <c r="A1322" s="3">
        <v>41740</v>
      </c>
      <c r="B1322" s="36">
        <v>110</v>
      </c>
      <c r="C1322" t="s">
        <v>2282</v>
      </c>
      <c r="D1322">
        <v>2.75</v>
      </c>
      <c r="E1322" s="18">
        <v>275</v>
      </c>
      <c r="G1322" t="s">
        <v>2283</v>
      </c>
      <c r="H1322" s="18">
        <v>275</v>
      </c>
      <c r="I1322" s="3">
        <v>41740</v>
      </c>
      <c r="J1322"/>
      <c r="L1322"/>
      <c r="M1322"/>
      <c r="N1322" s="20"/>
      <c r="O1322"/>
      <c r="P1322" s="20"/>
      <c r="Q1322" s="20"/>
      <c r="R1322" s="20"/>
      <c r="S1322" s="20"/>
      <c r="T1322" s="20"/>
    </row>
    <row r="1323" spans="1:20" x14ac:dyDescent="0.25">
      <c r="A1323" s="3">
        <v>41747</v>
      </c>
      <c r="B1323" s="36">
        <v>110</v>
      </c>
      <c r="C1323" t="s">
        <v>2284</v>
      </c>
      <c r="D1323">
        <v>8.75</v>
      </c>
      <c r="E1323" s="18">
        <v>875</v>
      </c>
      <c r="G1323" t="s">
        <v>2285</v>
      </c>
      <c r="H1323" s="18">
        <v>875</v>
      </c>
      <c r="I1323" s="3">
        <v>41747</v>
      </c>
      <c r="J1323"/>
      <c r="L1323"/>
      <c r="M1323"/>
      <c r="N1323" s="20"/>
      <c r="O1323"/>
      <c r="P1323" s="20"/>
      <c r="Q1323" s="20"/>
      <c r="R1323" s="20"/>
      <c r="S1323" s="20"/>
      <c r="T1323" s="20"/>
    </row>
    <row r="1324" spans="1:20" x14ac:dyDescent="0.25">
      <c r="A1324" s="3">
        <v>41747</v>
      </c>
      <c r="B1324" s="36">
        <v>110</v>
      </c>
      <c r="C1324" t="s">
        <v>2286</v>
      </c>
      <c r="D1324">
        <v>7.25</v>
      </c>
      <c r="E1324" s="18">
        <v>725</v>
      </c>
      <c r="G1324" t="s">
        <v>2287</v>
      </c>
      <c r="H1324" s="18">
        <v>725</v>
      </c>
      <c r="I1324" s="3">
        <v>41747</v>
      </c>
      <c r="J1324"/>
      <c r="L1324"/>
      <c r="M1324"/>
      <c r="N1324" s="20"/>
      <c r="O1324"/>
      <c r="P1324" s="20"/>
      <c r="Q1324" s="20"/>
      <c r="R1324" s="20"/>
      <c r="S1324" s="20"/>
      <c r="T1324" s="20"/>
    </row>
    <row r="1325" spans="1:20" x14ac:dyDescent="0.25">
      <c r="A1325" s="3">
        <v>41753</v>
      </c>
      <c r="B1325" s="36">
        <v>110</v>
      </c>
      <c r="C1325" t="s">
        <v>2261</v>
      </c>
      <c r="D1325">
        <v>5.75</v>
      </c>
      <c r="E1325" s="18">
        <v>-575</v>
      </c>
      <c r="G1325" t="s">
        <v>2262</v>
      </c>
      <c r="H1325" s="18" t="s">
        <v>442</v>
      </c>
      <c r="I1325" s="3" t="s">
        <v>442</v>
      </c>
      <c r="J1325"/>
      <c r="L1325"/>
      <c r="M1325"/>
      <c r="N1325" s="20"/>
      <c r="O1325" t="s">
        <v>949</v>
      </c>
      <c r="P1325" s="20"/>
      <c r="Q1325" s="20"/>
      <c r="R1325" s="20"/>
      <c r="S1325" s="20"/>
      <c r="T1325" s="20"/>
    </row>
    <row r="1326" spans="1:20" x14ac:dyDescent="0.25">
      <c r="A1326" s="3">
        <v>41753</v>
      </c>
      <c r="B1326" s="36">
        <v>110</v>
      </c>
      <c r="C1326" t="s">
        <v>2255</v>
      </c>
      <c r="D1326">
        <v>6.5</v>
      </c>
      <c r="E1326" s="18">
        <v>-650</v>
      </c>
      <c r="G1326" t="s">
        <v>2256</v>
      </c>
      <c r="H1326" s="18" t="s">
        <v>442</v>
      </c>
      <c r="I1326" s="3" t="s">
        <v>442</v>
      </c>
      <c r="J1326"/>
      <c r="L1326"/>
      <c r="M1326"/>
      <c r="N1326" s="20"/>
      <c r="O1326" t="s">
        <v>949</v>
      </c>
      <c r="P1326" s="20"/>
      <c r="Q1326" s="20"/>
      <c r="R1326" s="20"/>
      <c r="S1326" s="20"/>
      <c r="T1326" s="20"/>
    </row>
    <row r="1327" spans="1:20" x14ac:dyDescent="0.25">
      <c r="A1327" s="3">
        <v>41753</v>
      </c>
      <c r="B1327" s="36">
        <v>110</v>
      </c>
      <c r="C1327" t="s">
        <v>2288</v>
      </c>
      <c r="D1327">
        <v>3.25</v>
      </c>
      <c r="E1327" s="18">
        <v>325</v>
      </c>
      <c r="G1327" t="s">
        <v>2289</v>
      </c>
      <c r="H1327" s="18">
        <v>325</v>
      </c>
      <c r="I1327" s="3">
        <v>41753</v>
      </c>
      <c r="J1327"/>
      <c r="L1327"/>
      <c r="M1327"/>
      <c r="N1327" s="20"/>
      <c r="O1327"/>
      <c r="P1327" s="20"/>
      <c r="Q1327" s="20"/>
      <c r="R1327" s="20"/>
      <c r="S1327" s="20"/>
      <c r="T1327" s="20"/>
    </row>
    <row r="1328" spans="1:20" x14ac:dyDescent="0.25">
      <c r="A1328" s="3">
        <v>41753</v>
      </c>
      <c r="B1328" s="36">
        <v>110</v>
      </c>
      <c r="C1328" t="s">
        <v>2290</v>
      </c>
      <c r="D1328">
        <v>4.75</v>
      </c>
      <c r="E1328" s="18">
        <v>475</v>
      </c>
      <c r="G1328" t="s">
        <v>2291</v>
      </c>
      <c r="H1328" s="18">
        <v>475</v>
      </c>
      <c r="I1328" s="3">
        <v>41753</v>
      </c>
      <c r="J1328"/>
      <c r="L1328"/>
      <c r="M1328"/>
      <c r="N1328" s="20"/>
      <c r="O1328"/>
      <c r="P1328" s="20"/>
      <c r="Q1328" s="20"/>
      <c r="R1328" s="20"/>
      <c r="S1328" s="20"/>
      <c r="T1328" s="20"/>
    </row>
    <row r="1329" spans="1:21" x14ac:dyDescent="0.25">
      <c r="A1329" s="3">
        <v>41753</v>
      </c>
      <c r="B1329" s="36">
        <v>110</v>
      </c>
      <c r="C1329" t="s">
        <v>2292</v>
      </c>
      <c r="D1329">
        <v>5.75</v>
      </c>
      <c r="E1329" s="18">
        <v>575</v>
      </c>
      <c r="G1329" t="s">
        <v>2293</v>
      </c>
      <c r="H1329" s="18">
        <v>575</v>
      </c>
      <c r="I1329" s="3">
        <v>41753</v>
      </c>
      <c r="J1329"/>
      <c r="L1329"/>
      <c r="M1329"/>
      <c r="N1329" s="20"/>
      <c r="O1329"/>
      <c r="P1329" s="20"/>
      <c r="Q1329" s="20"/>
      <c r="R1329" s="20"/>
      <c r="S1329" s="20"/>
      <c r="T1329" s="20"/>
    </row>
    <row r="1330" spans="1:21" x14ac:dyDescent="0.25">
      <c r="A1330" s="3">
        <v>41753</v>
      </c>
      <c r="B1330" s="36">
        <v>110</v>
      </c>
      <c r="C1330" t="s">
        <v>2294</v>
      </c>
      <c r="D1330">
        <v>5.5</v>
      </c>
      <c r="E1330" s="18">
        <v>550</v>
      </c>
      <c r="G1330" t="s">
        <v>2295</v>
      </c>
      <c r="H1330" s="18">
        <v>550</v>
      </c>
      <c r="I1330" s="3">
        <v>41753</v>
      </c>
      <c r="J1330"/>
      <c r="L1330"/>
      <c r="M1330"/>
      <c r="N1330" s="20"/>
      <c r="O1330"/>
      <c r="P1330" s="20"/>
      <c r="Q1330" s="20"/>
      <c r="R1330" s="20"/>
      <c r="S1330" s="20"/>
      <c r="T1330" s="20"/>
    </row>
    <row r="1331" spans="1:21" x14ac:dyDescent="0.25">
      <c r="A1331" s="3">
        <v>41761</v>
      </c>
      <c r="B1331" s="36">
        <v>110</v>
      </c>
      <c r="C1331" t="s">
        <v>2290</v>
      </c>
      <c r="D1331">
        <v>4.75</v>
      </c>
      <c r="E1331" s="18">
        <v>475</v>
      </c>
      <c r="G1331" t="s">
        <v>2291</v>
      </c>
      <c r="H1331" s="18">
        <v>475</v>
      </c>
      <c r="I1331" s="3">
        <v>41761</v>
      </c>
      <c r="J1331"/>
      <c r="L1331"/>
      <c r="M1331"/>
      <c r="N1331" s="20"/>
      <c r="O1331"/>
      <c r="P1331" s="20"/>
      <c r="Q1331" s="20"/>
      <c r="R1331" s="20"/>
      <c r="S1331" s="20"/>
      <c r="T1331" s="20"/>
    </row>
    <row r="1332" spans="1:21" x14ac:dyDescent="0.25">
      <c r="A1332" s="3">
        <v>41761</v>
      </c>
      <c r="B1332" s="36">
        <v>110</v>
      </c>
      <c r="C1332" t="s">
        <v>2296</v>
      </c>
      <c r="D1332">
        <v>8</v>
      </c>
      <c r="E1332" s="18">
        <v>800</v>
      </c>
      <c r="G1332" t="s">
        <v>2297</v>
      </c>
      <c r="H1332" s="18">
        <v>800</v>
      </c>
      <c r="I1332" s="3">
        <v>41761</v>
      </c>
      <c r="J1332"/>
      <c r="L1332"/>
      <c r="M1332"/>
      <c r="N1332" s="20"/>
      <c r="O1332"/>
      <c r="P1332" s="20"/>
      <c r="Q1332" s="20"/>
      <c r="R1332" s="20"/>
      <c r="S1332" s="20"/>
      <c r="T1332" s="20"/>
    </row>
    <row r="1333" spans="1:21" x14ac:dyDescent="0.25">
      <c r="A1333" s="3">
        <v>41761</v>
      </c>
      <c r="B1333" s="36">
        <v>110</v>
      </c>
      <c r="C1333" t="s">
        <v>2298</v>
      </c>
      <c r="D1333">
        <v>7.25</v>
      </c>
      <c r="E1333" s="18">
        <v>725</v>
      </c>
      <c r="G1333" t="s">
        <v>2299</v>
      </c>
      <c r="H1333" s="18">
        <v>725</v>
      </c>
      <c r="I1333" s="3">
        <v>41761</v>
      </c>
      <c r="J1333"/>
      <c r="L1333"/>
      <c r="M1333"/>
      <c r="N1333" s="20"/>
      <c r="O1333"/>
      <c r="P1333" s="20"/>
      <c r="Q1333" s="20"/>
      <c r="R1333" s="20"/>
      <c r="S1333" s="20"/>
      <c r="T1333" s="20"/>
    </row>
    <row r="1334" spans="1:21" x14ac:dyDescent="0.25">
      <c r="A1334" s="3">
        <v>41831</v>
      </c>
      <c r="B1334" s="36">
        <v>110</v>
      </c>
      <c r="C1334" t="s">
        <v>2268</v>
      </c>
      <c r="D1334">
        <v>6.75</v>
      </c>
      <c r="E1334" s="18">
        <v>675</v>
      </c>
      <c r="G1334" t="s">
        <v>2269</v>
      </c>
      <c r="H1334" s="18">
        <v>675</v>
      </c>
      <c r="I1334" s="3">
        <v>41831</v>
      </c>
      <c r="J1334"/>
      <c r="L1334"/>
      <c r="M1334"/>
      <c r="N1334" s="20"/>
      <c r="O1334" t="s">
        <v>959</v>
      </c>
      <c r="P1334" s="20"/>
      <c r="Q1334" s="20"/>
      <c r="R1334" s="20"/>
      <c r="S1334" s="20"/>
      <c r="T1334" s="20"/>
    </row>
    <row r="1335" spans="1:21" x14ac:dyDescent="0.25">
      <c r="A1335" s="3">
        <v>41831</v>
      </c>
      <c r="B1335" s="36">
        <v>110</v>
      </c>
      <c r="C1335" t="s">
        <v>2300</v>
      </c>
      <c r="E1335" s="18">
        <v>-100</v>
      </c>
      <c r="G1335" t="s">
        <v>442</v>
      </c>
      <c r="H1335" s="18" t="s">
        <v>442</v>
      </c>
      <c r="I1335" s="3" t="s">
        <v>442</v>
      </c>
      <c r="J1335"/>
      <c r="L1335"/>
      <c r="M1335"/>
      <c r="N1335" s="20"/>
      <c r="O1335" t="s">
        <v>2301</v>
      </c>
      <c r="P1335" s="20"/>
      <c r="Q1335" s="20" t="s">
        <v>401</v>
      </c>
      <c r="R1335" s="20"/>
      <c r="S1335" s="20"/>
      <c r="T1335" s="20"/>
    </row>
    <row r="1336" spans="1:21" x14ac:dyDescent="0.25">
      <c r="A1336" s="3">
        <v>41838</v>
      </c>
      <c r="B1336" s="36">
        <v>110</v>
      </c>
      <c r="C1336" t="s">
        <v>2302</v>
      </c>
      <c r="D1336">
        <v>3.57</v>
      </c>
      <c r="E1336" s="18">
        <v>357</v>
      </c>
      <c r="G1336" t="s">
        <v>2303</v>
      </c>
      <c r="H1336" s="18">
        <v>357</v>
      </c>
      <c r="I1336" s="3">
        <v>41838</v>
      </c>
      <c r="J1336"/>
      <c r="L1336"/>
      <c r="M1336"/>
      <c r="N1336" s="20"/>
      <c r="O1336" t="s">
        <v>931</v>
      </c>
      <c r="P1336" s="20"/>
      <c r="Q1336" s="20"/>
      <c r="R1336" s="20"/>
      <c r="S1336" s="20"/>
      <c r="T1336" s="20"/>
    </row>
    <row r="1337" spans="1:21" x14ac:dyDescent="0.25">
      <c r="A1337" s="3">
        <v>41838</v>
      </c>
      <c r="B1337" s="36">
        <v>110</v>
      </c>
      <c r="C1337" t="s">
        <v>2304</v>
      </c>
      <c r="D1337">
        <v>9.25</v>
      </c>
      <c r="E1337" s="18">
        <v>-826</v>
      </c>
      <c r="G1337" t="s">
        <v>2305</v>
      </c>
      <c r="H1337" s="18" t="s">
        <v>442</v>
      </c>
      <c r="I1337" s="3" t="s">
        <v>442</v>
      </c>
      <c r="J1337"/>
      <c r="L1337"/>
      <c r="M1337"/>
      <c r="N1337" s="20"/>
      <c r="O1337"/>
      <c r="P1337" s="20"/>
      <c r="Q1337" s="20"/>
      <c r="R1337" s="20"/>
      <c r="S1337" s="20"/>
      <c r="T1337" s="20"/>
    </row>
    <row r="1338" spans="1:21" x14ac:dyDescent="0.25">
      <c r="A1338" s="3">
        <v>41838</v>
      </c>
      <c r="B1338" s="36">
        <v>110</v>
      </c>
      <c r="C1338" t="s">
        <v>1482</v>
      </c>
      <c r="E1338" s="18">
        <v>-100</v>
      </c>
      <c r="G1338" t="s">
        <v>442</v>
      </c>
      <c r="H1338" s="18" t="s">
        <v>442</v>
      </c>
      <c r="I1338" s="3" t="s">
        <v>442</v>
      </c>
      <c r="J1338"/>
      <c r="L1338"/>
      <c r="M1338"/>
      <c r="N1338" s="20"/>
      <c r="O1338" t="s">
        <v>1219</v>
      </c>
      <c r="P1338" s="20"/>
      <c r="Q1338" s="20" t="s">
        <v>401</v>
      </c>
      <c r="R1338" s="20"/>
      <c r="S1338" s="20"/>
      <c r="T1338" s="20"/>
    </row>
    <row r="1339" spans="1:21" x14ac:dyDescent="0.25">
      <c r="A1339" s="3">
        <v>41838</v>
      </c>
      <c r="B1339" s="36">
        <v>110</v>
      </c>
      <c r="C1339" t="s">
        <v>2306</v>
      </c>
      <c r="D1339">
        <v>9.69</v>
      </c>
      <c r="E1339" s="18">
        <v>969</v>
      </c>
      <c r="G1339" t="s">
        <v>2307</v>
      </c>
      <c r="H1339" s="18">
        <v>969</v>
      </c>
      <c r="I1339" s="3">
        <v>41838</v>
      </c>
      <c r="J1339"/>
      <c r="L1339"/>
      <c r="M1339"/>
      <c r="N1339" s="20"/>
      <c r="O1339" t="s">
        <v>931</v>
      </c>
      <c r="P1339" s="20"/>
      <c r="Q1339" s="20"/>
      <c r="R1339" s="20"/>
      <c r="S1339" s="20"/>
      <c r="T1339" s="20"/>
    </row>
    <row r="1340" spans="1:21" x14ac:dyDescent="0.25">
      <c r="A1340" s="3">
        <v>42041</v>
      </c>
      <c r="B1340">
        <v>110</v>
      </c>
      <c r="C1340" t="s">
        <v>2308</v>
      </c>
      <c r="D1340">
        <v>9.69</v>
      </c>
      <c r="E1340" s="18">
        <v>969</v>
      </c>
      <c r="F1340" t="s">
        <v>889</v>
      </c>
      <c r="G1340" t="s">
        <v>2309</v>
      </c>
      <c r="I1340"/>
      <c r="J1340"/>
      <c r="L1340"/>
      <c r="M1340"/>
      <c r="O1340"/>
      <c r="P1340" s="20"/>
      <c r="Q1340" s="20"/>
      <c r="R1340" s="20"/>
      <c r="S1340" s="20"/>
      <c r="T1340" s="20"/>
    </row>
    <row r="1341" spans="1:21" x14ac:dyDescent="0.25">
      <c r="B1341">
        <v>110</v>
      </c>
      <c r="C1341" t="s">
        <v>2310</v>
      </c>
      <c r="D1341">
        <v>3.5</v>
      </c>
      <c r="E1341" s="18">
        <v>350</v>
      </c>
      <c r="G1341" t="s">
        <v>2311</v>
      </c>
      <c r="I1341"/>
      <c r="J1341"/>
      <c r="L1341"/>
      <c r="M1341"/>
      <c r="O1341"/>
      <c r="P1341" s="20"/>
      <c r="Q1341" s="20"/>
      <c r="R1341" s="20"/>
      <c r="S1341" s="20"/>
      <c r="T1341" s="20"/>
      <c r="U1341" t="s">
        <v>401</v>
      </c>
    </row>
    <row r="1342" spans="1:21" x14ac:dyDescent="0.25">
      <c r="B1342">
        <v>110</v>
      </c>
      <c r="C1342" t="s">
        <v>2310</v>
      </c>
      <c r="D1342">
        <v>3.8250000000000002</v>
      </c>
      <c r="E1342" s="18">
        <v>-350</v>
      </c>
      <c r="F1342" t="s">
        <v>889</v>
      </c>
      <c r="G1342" t="s">
        <v>2311</v>
      </c>
      <c r="I1342"/>
      <c r="J1342"/>
      <c r="L1342"/>
      <c r="M1342"/>
      <c r="O1342"/>
      <c r="P1342" s="20"/>
      <c r="Q1342" s="20"/>
      <c r="R1342" s="20"/>
      <c r="S1342" s="20"/>
      <c r="T1342" s="20"/>
      <c r="U1342" t="s">
        <v>401</v>
      </c>
    </row>
    <row r="1343" spans="1:21" x14ac:dyDescent="0.25">
      <c r="B1343">
        <v>110</v>
      </c>
      <c r="C1343" t="s">
        <v>2302</v>
      </c>
      <c r="D1343">
        <v>3.57</v>
      </c>
      <c r="E1343" s="18">
        <v>-357</v>
      </c>
      <c r="F1343" t="s">
        <v>889</v>
      </c>
      <c r="G1343" t="s">
        <v>2303</v>
      </c>
      <c r="I1343"/>
      <c r="J1343"/>
      <c r="L1343"/>
      <c r="M1343"/>
      <c r="O1343"/>
      <c r="P1343" s="20"/>
      <c r="Q1343" s="20"/>
      <c r="R1343" s="20"/>
      <c r="S1343" s="20"/>
      <c r="T1343" s="20"/>
      <c r="U1343" t="s">
        <v>401</v>
      </c>
    </row>
    <row r="1344" spans="1:21" x14ac:dyDescent="0.25">
      <c r="B1344">
        <v>110</v>
      </c>
      <c r="C1344" t="s">
        <v>2312</v>
      </c>
      <c r="D1344">
        <v>8.9250000000000007</v>
      </c>
      <c r="E1344" s="18">
        <v>892.50000000000011</v>
      </c>
      <c r="G1344" t="s">
        <v>2313</v>
      </c>
      <c r="I1344"/>
      <c r="J1344"/>
      <c r="L1344"/>
      <c r="M1344"/>
      <c r="O1344"/>
      <c r="P1344" s="20"/>
      <c r="Q1344" s="20"/>
      <c r="R1344" s="20"/>
      <c r="S1344" s="20"/>
      <c r="T1344" s="20"/>
      <c r="U1344" t="s">
        <v>401</v>
      </c>
    </row>
    <row r="1345" spans="2:21" x14ac:dyDescent="0.25">
      <c r="B1345">
        <v>110</v>
      </c>
      <c r="C1345" t="s">
        <v>2312</v>
      </c>
      <c r="D1345">
        <v>8.9250000000000007</v>
      </c>
      <c r="E1345" s="18">
        <v>-892.5</v>
      </c>
      <c r="F1345" t="s">
        <v>889</v>
      </c>
      <c r="G1345" t="s">
        <v>2313</v>
      </c>
      <c r="I1345"/>
      <c r="J1345"/>
      <c r="L1345"/>
      <c r="M1345"/>
      <c r="O1345"/>
      <c r="P1345" s="20"/>
      <c r="Q1345" s="20"/>
      <c r="R1345" s="20"/>
      <c r="S1345" s="20"/>
      <c r="T1345" s="20"/>
      <c r="U1345" t="s">
        <v>401</v>
      </c>
    </row>
    <row r="1346" spans="2:21" x14ac:dyDescent="0.25">
      <c r="B1346">
        <v>110</v>
      </c>
      <c r="C1346" t="s">
        <v>2263</v>
      </c>
      <c r="D1346">
        <v>5</v>
      </c>
      <c r="E1346" s="18">
        <v>-500</v>
      </c>
      <c r="G1346" t="s">
        <v>2264</v>
      </c>
      <c r="I1346"/>
      <c r="J1346"/>
      <c r="L1346"/>
      <c r="M1346"/>
      <c r="O1346"/>
      <c r="P1346" s="20"/>
      <c r="Q1346" s="20"/>
      <c r="R1346" s="20"/>
      <c r="S1346" s="20"/>
      <c r="T1346" s="20"/>
      <c r="U1346" t="s">
        <v>401</v>
      </c>
    </row>
    <row r="1347" spans="2:21" x14ac:dyDescent="0.25">
      <c r="B1347">
        <v>110</v>
      </c>
      <c r="C1347" t="s">
        <v>2314</v>
      </c>
      <c r="D1347">
        <v>6.8849999999999998</v>
      </c>
      <c r="E1347" s="18">
        <v>204</v>
      </c>
      <c r="F1347" t="s">
        <v>889</v>
      </c>
      <c r="G1347" t="s">
        <v>2315</v>
      </c>
      <c r="I1347"/>
      <c r="J1347"/>
      <c r="L1347"/>
      <c r="M1347"/>
      <c r="O1347"/>
      <c r="P1347" s="20"/>
      <c r="Q1347" s="20"/>
      <c r="R1347" s="20"/>
      <c r="S1347" s="20"/>
      <c r="T1347" s="20"/>
      <c r="U1347" t="s">
        <v>401</v>
      </c>
    </row>
    <row r="1348" spans="2:21" x14ac:dyDescent="0.25">
      <c r="B1348">
        <v>110</v>
      </c>
      <c r="C1348" t="s">
        <v>2314</v>
      </c>
      <c r="D1348">
        <v>7.65</v>
      </c>
      <c r="E1348" s="18">
        <v>765</v>
      </c>
      <c r="G1348" t="s">
        <v>2315</v>
      </c>
      <c r="I1348"/>
      <c r="J1348"/>
      <c r="L1348"/>
      <c r="M1348"/>
      <c r="O1348"/>
      <c r="P1348" s="20"/>
      <c r="Q1348" s="20"/>
      <c r="R1348" s="20"/>
      <c r="S1348" s="20"/>
      <c r="T1348" s="20"/>
      <c r="U1348" t="s">
        <v>401</v>
      </c>
    </row>
    <row r="1349" spans="2:21" x14ac:dyDescent="0.25">
      <c r="B1349">
        <v>110</v>
      </c>
      <c r="C1349" t="s">
        <v>2314</v>
      </c>
      <c r="E1349" s="18">
        <v>204</v>
      </c>
      <c r="G1349" t="s">
        <v>2315</v>
      </c>
      <c r="I1349"/>
      <c r="J1349"/>
      <c r="L1349"/>
      <c r="M1349"/>
      <c r="O1349"/>
      <c r="P1349" s="20"/>
      <c r="Q1349" s="20"/>
      <c r="R1349" s="20"/>
      <c r="S1349" s="20"/>
      <c r="T1349" s="20"/>
      <c r="U1349" t="s">
        <v>401</v>
      </c>
    </row>
    <row r="1350" spans="2:21" x14ac:dyDescent="0.25">
      <c r="B1350">
        <v>110</v>
      </c>
      <c r="C1350" t="s">
        <v>2274</v>
      </c>
      <c r="D1350">
        <v>7</v>
      </c>
      <c r="E1350" s="18">
        <v>700</v>
      </c>
      <c r="G1350" t="s">
        <v>2275</v>
      </c>
      <c r="I1350"/>
      <c r="J1350"/>
      <c r="L1350"/>
      <c r="M1350"/>
      <c r="O1350"/>
      <c r="P1350" s="20"/>
      <c r="Q1350" s="20"/>
      <c r="R1350" s="20"/>
      <c r="S1350" s="20"/>
      <c r="T1350" s="20"/>
      <c r="U1350" t="s">
        <v>401</v>
      </c>
    </row>
    <row r="1351" spans="2:21" x14ac:dyDescent="0.25">
      <c r="B1351">
        <v>110</v>
      </c>
      <c r="C1351" t="s">
        <v>2316</v>
      </c>
      <c r="D1351">
        <v>-9.25</v>
      </c>
      <c r="E1351" s="18">
        <v>-925</v>
      </c>
      <c r="G1351" t="s">
        <v>2305</v>
      </c>
      <c r="I1351"/>
      <c r="J1351"/>
      <c r="L1351"/>
      <c r="M1351"/>
      <c r="O1351"/>
      <c r="P1351" s="20"/>
      <c r="Q1351" s="20"/>
      <c r="R1351" s="20"/>
      <c r="S1351" s="20"/>
      <c r="T1351" s="20"/>
      <c r="U1351" t="s">
        <v>401</v>
      </c>
    </row>
    <row r="1352" spans="2:21" x14ac:dyDescent="0.25">
      <c r="B1352">
        <v>110</v>
      </c>
      <c r="C1352" t="s">
        <v>2316</v>
      </c>
      <c r="D1352">
        <v>9.25</v>
      </c>
      <c r="E1352" s="18">
        <v>925</v>
      </c>
      <c r="G1352" t="s">
        <v>2305</v>
      </c>
      <c r="I1352"/>
      <c r="J1352"/>
      <c r="L1352"/>
      <c r="M1352"/>
      <c r="O1352"/>
      <c r="P1352" s="20"/>
      <c r="Q1352" s="20"/>
      <c r="R1352" s="20"/>
      <c r="S1352" s="20"/>
      <c r="T1352" s="20"/>
      <c r="U1352" t="s">
        <v>401</v>
      </c>
    </row>
    <row r="1353" spans="2:21" x14ac:dyDescent="0.25">
      <c r="B1353">
        <v>110</v>
      </c>
      <c r="C1353" t="s">
        <v>2317</v>
      </c>
      <c r="D1353">
        <v>9.25</v>
      </c>
      <c r="E1353" s="18">
        <v>-99</v>
      </c>
      <c r="G1353" t="s">
        <v>2305</v>
      </c>
      <c r="I1353"/>
      <c r="J1353"/>
      <c r="L1353"/>
      <c r="M1353"/>
      <c r="O1353"/>
      <c r="P1353" s="20"/>
      <c r="Q1353" s="20"/>
      <c r="R1353" s="20"/>
      <c r="S1353" s="20"/>
      <c r="T1353" s="20"/>
      <c r="U1353" t="s">
        <v>401</v>
      </c>
    </row>
    <row r="1354" spans="2:21" x14ac:dyDescent="0.25">
      <c r="B1354">
        <v>110</v>
      </c>
      <c r="C1354" t="s">
        <v>2290</v>
      </c>
      <c r="D1354">
        <v>4.75</v>
      </c>
      <c r="E1354" s="18">
        <v>-950</v>
      </c>
      <c r="G1354" t="s">
        <v>2291</v>
      </c>
      <c r="I1354"/>
      <c r="J1354"/>
      <c r="L1354"/>
      <c r="M1354"/>
      <c r="O1354"/>
      <c r="P1354" s="20"/>
      <c r="Q1354" s="20"/>
      <c r="R1354" s="20"/>
      <c r="S1354" s="20"/>
      <c r="T1354" s="20"/>
      <c r="U1354" t="s">
        <v>401</v>
      </c>
    </row>
    <row r="1355" spans="2:21" x14ac:dyDescent="0.25">
      <c r="B1355">
        <v>110</v>
      </c>
      <c r="C1355" t="s">
        <v>2292</v>
      </c>
      <c r="D1355">
        <v>6.375</v>
      </c>
      <c r="E1355" s="18">
        <v>-575</v>
      </c>
      <c r="F1355" t="s">
        <v>889</v>
      </c>
      <c r="G1355" t="s">
        <v>2293</v>
      </c>
      <c r="I1355"/>
      <c r="J1355"/>
      <c r="L1355"/>
      <c r="M1355"/>
      <c r="O1355"/>
      <c r="P1355" s="20"/>
      <c r="Q1355" s="20"/>
      <c r="R1355" s="20"/>
      <c r="S1355" s="20"/>
      <c r="T1355" s="20"/>
      <c r="U1355" t="s">
        <v>401</v>
      </c>
    </row>
    <row r="1356" spans="2:21" x14ac:dyDescent="0.25">
      <c r="B1356">
        <v>110</v>
      </c>
      <c r="C1356" t="s">
        <v>2257</v>
      </c>
      <c r="D1356">
        <v>7.5</v>
      </c>
      <c r="E1356" s="18">
        <v>-750</v>
      </c>
      <c r="G1356" t="s">
        <v>2258</v>
      </c>
      <c r="I1356"/>
      <c r="J1356"/>
      <c r="L1356"/>
      <c r="M1356"/>
      <c r="O1356"/>
      <c r="P1356" s="20"/>
      <c r="Q1356" s="20"/>
      <c r="R1356" s="20"/>
      <c r="S1356" s="20"/>
      <c r="T1356" s="20"/>
      <c r="U1356" t="s">
        <v>401</v>
      </c>
    </row>
    <row r="1357" spans="2:21" x14ac:dyDescent="0.25">
      <c r="B1357">
        <v>110</v>
      </c>
      <c r="C1357" t="s">
        <v>2276</v>
      </c>
      <c r="D1357">
        <v>8.67</v>
      </c>
      <c r="E1357" s="18">
        <v>734</v>
      </c>
      <c r="F1357" t="s">
        <v>889</v>
      </c>
      <c r="G1357" t="s">
        <v>2277</v>
      </c>
      <c r="I1357"/>
      <c r="J1357"/>
      <c r="L1357"/>
      <c r="M1357"/>
      <c r="O1357"/>
      <c r="P1357" s="20"/>
      <c r="Q1357" s="20"/>
      <c r="R1357" s="20"/>
      <c r="S1357" s="20"/>
      <c r="T1357" s="20"/>
      <c r="U1357" t="s">
        <v>401</v>
      </c>
    </row>
    <row r="1358" spans="2:21" x14ac:dyDescent="0.25">
      <c r="B1358">
        <v>110</v>
      </c>
      <c r="C1358" t="s">
        <v>2278</v>
      </c>
      <c r="D1358">
        <v>8.5</v>
      </c>
      <c r="E1358" s="18">
        <v>-850</v>
      </c>
      <c r="G1358" t="s">
        <v>2279</v>
      </c>
      <c r="I1358"/>
      <c r="J1358"/>
      <c r="L1358"/>
      <c r="M1358"/>
      <c r="O1358"/>
      <c r="P1358" s="20"/>
      <c r="Q1358" s="20"/>
      <c r="R1358" s="20"/>
      <c r="S1358" s="20"/>
      <c r="T1358" s="20"/>
      <c r="U1358" t="s">
        <v>401</v>
      </c>
    </row>
    <row r="1359" spans="2:21" x14ac:dyDescent="0.25">
      <c r="B1359">
        <v>110</v>
      </c>
      <c r="C1359" t="s">
        <v>2308</v>
      </c>
      <c r="D1359">
        <v>7.75</v>
      </c>
      <c r="E1359" s="18">
        <v>775</v>
      </c>
      <c r="G1359" t="s">
        <v>2309</v>
      </c>
      <c r="I1359"/>
      <c r="J1359"/>
      <c r="L1359"/>
      <c r="M1359"/>
      <c r="O1359"/>
      <c r="P1359" s="20"/>
      <c r="Q1359" s="20"/>
      <c r="R1359" s="20"/>
      <c r="S1359" s="20"/>
      <c r="T1359" s="20"/>
      <c r="U1359" t="s">
        <v>401</v>
      </c>
    </row>
    <row r="1360" spans="2:21" x14ac:dyDescent="0.25">
      <c r="B1360">
        <v>110</v>
      </c>
      <c r="C1360" t="s">
        <v>2308</v>
      </c>
      <c r="D1360">
        <v>9.69</v>
      </c>
      <c r="E1360" s="18">
        <v>-775</v>
      </c>
      <c r="F1360" t="s">
        <v>889</v>
      </c>
      <c r="G1360" t="s">
        <v>2309</v>
      </c>
      <c r="I1360"/>
      <c r="J1360"/>
      <c r="L1360"/>
      <c r="M1360"/>
      <c r="O1360"/>
      <c r="P1360" s="20"/>
      <c r="Q1360" s="20"/>
      <c r="R1360" s="20"/>
      <c r="S1360" s="20"/>
      <c r="T1360" s="20"/>
      <c r="U1360" t="s">
        <v>401</v>
      </c>
    </row>
    <row r="1361" spans="2:21" x14ac:dyDescent="0.25">
      <c r="B1361">
        <v>110</v>
      </c>
      <c r="C1361" t="s">
        <v>2280</v>
      </c>
      <c r="D1361">
        <v>8.5</v>
      </c>
      <c r="E1361" s="18">
        <v>-850</v>
      </c>
      <c r="G1361" t="s">
        <v>2281</v>
      </c>
      <c r="I1361"/>
      <c r="J1361"/>
      <c r="L1361"/>
      <c r="M1361"/>
      <c r="O1361"/>
      <c r="P1361" s="20"/>
      <c r="Q1361" s="20"/>
      <c r="R1361" s="20"/>
      <c r="S1361" s="20"/>
      <c r="T1361" s="20"/>
      <c r="U1361" t="s">
        <v>401</v>
      </c>
    </row>
    <row r="1362" spans="2:21" x14ac:dyDescent="0.25">
      <c r="B1362">
        <v>110</v>
      </c>
      <c r="C1362" t="s">
        <v>2270</v>
      </c>
      <c r="D1362">
        <v>8.25</v>
      </c>
      <c r="E1362" s="18">
        <v>-1000</v>
      </c>
      <c r="F1362" t="s">
        <v>889</v>
      </c>
      <c r="G1362" t="s">
        <v>2271</v>
      </c>
      <c r="I1362"/>
      <c r="J1362"/>
      <c r="L1362"/>
      <c r="M1362"/>
      <c r="O1362"/>
      <c r="P1362" s="20"/>
      <c r="Q1362" s="20"/>
      <c r="R1362" s="20"/>
      <c r="S1362" s="20"/>
      <c r="T1362" s="20"/>
      <c r="U1362" t="s">
        <v>401</v>
      </c>
    </row>
    <row r="1363" spans="2:21" x14ac:dyDescent="0.25">
      <c r="B1363">
        <v>110</v>
      </c>
      <c r="C1363" t="s">
        <v>2318</v>
      </c>
      <c r="D1363">
        <v>4</v>
      </c>
      <c r="E1363" s="18">
        <v>400</v>
      </c>
      <c r="G1363" t="s">
        <v>2319</v>
      </c>
      <c r="I1363"/>
      <c r="J1363"/>
      <c r="L1363"/>
      <c r="M1363"/>
      <c r="O1363"/>
      <c r="P1363" s="20"/>
      <c r="Q1363" s="20"/>
      <c r="R1363" s="20"/>
      <c r="S1363" s="20"/>
      <c r="T1363" s="20"/>
      <c r="U1363" t="s">
        <v>401</v>
      </c>
    </row>
    <row r="1364" spans="2:21" x14ac:dyDescent="0.25">
      <c r="B1364">
        <v>110</v>
      </c>
      <c r="C1364" t="s">
        <v>2318</v>
      </c>
      <c r="D1364">
        <v>4.08</v>
      </c>
      <c r="E1364" s="18">
        <v>416</v>
      </c>
      <c r="F1364" t="s">
        <v>889</v>
      </c>
      <c r="G1364" t="s">
        <v>2319</v>
      </c>
      <c r="I1364"/>
      <c r="J1364"/>
      <c r="L1364"/>
      <c r="M1364"/>
      <c r="O1364"/>
      <c r="P1364" s="20"/>
      <c r="Q1364" s="20"/>
      <c r="R1364" s="20"/>
      <c r="S1364" s="20"/>
      <c r="T1364" s="20"/>
      <c r="U1364" t="s">
        <v>401</v>
      </c>
    </row>
    <row r="1365" spans="2:21" x14ac:dyDescent="0.25">
      <c r="B1365">
        <v>110</v>
      </c>
      <c r="C1365" t="s">
        <v>2320</v>
      </c>
      <c r="D1365">
        <v>7.14</v>
      </c>
      <c r="E1365" s="18">
        <v>-750</v>
      </c>
      <c r="F1365" t="s">
        <v>889</v>
      </c>
      <c r="G1365" t="s">
        <v>2321</v>
      </c>
      <c r="I1365"/>
      <c r="J1365"/>
      <c r="L1365"/>
      <c r="M1365"/>
      <c r="O1365"/>
      <c r="P1365" s="20"/>
      <c r="Q1365" s="20"/>
      <c r="R1365" s="20"/>
      <c r="S1365" s="20"/>
      <c r="T1365" s="20"/>
      <c r="U1365" t="s">
        <v>401</v>
      </c>
    </row>
    <row r="1366" spans="2:21" x14ac:dyDescent="0.25">
      <c r="B1366">
        <v>110</v>
      </c>
      <c r="C1366" t="s">
        <v>2320</v>
      </c>
      <c r="D1366">
        <v>7.5</v>
      </c>
      <c r="E1366" s="18">
        <v>750</v>
      </c>
      <c r="G1366" t="s">
        <v>2321</v>
      </c>
      <c r="I1366"/>
      <c r="J1366"/>
      <c r="L1366"/>
      <c r="M1366"/>
      <c r="O1366"/>
      <c r="P1366" s="20"/>
      <c r="Q1366" s="20"/>
      <c r="R1366" s="20"/>
      <c r="S1366" s="20"/>
      <c r="T1366" s="20"/>
      <c r="U1366" t="s">
        <v>401</v>
      </c>
    </row>
    <row r="1367" spans="2:21" x14ac:dyDescent="0.25">
      <c r="B1367">
        <v>110</v>
      </c>
      <c r="C1367" t="s">
        <v>2294</v>
      </c>
      <c r="E1367" s="18">
        <v>469.99999999999989</v>
      </c>
      <c r="F1367" t="s">
        <v>889</v>
      </c>
      <c r="G1367" t="s">
        <v>2295</v>
      </c>
      <c r="I1367"/>
      <c r="J1367"/>
      <c r="L1367"/>
      <c r="M1367"/>
      <c r="O1367"/>
      <c r="P1367" s="20"/>
      <c r="Q1367" s="20"/>
      <c r="R1367" s="20"/>
      <c r="S1367" s="20"/>
      <c r="T1367" s="20"/>
      <c r="U1367" t="s">
        <v>401</v>
      </c>
    </row>
    <row r="1368" spans="2:21" x14ac:dyDescent="0.25">
      <c r="B1368">
        <v>110</v>
      </c>
      <c r="C1368" t="s">
        <v>1106</v>
      </c>
      <c r="E1368" s="18">
        <v>-98.8</v>
      </c>
      <c r="F1368" t="s">
        <v>891</v>
      </c>
      <c r="G1368" t="s">
        <v>442</v>
      </c>
      <c r="I1368"/>
      <c r="J1368"/>
      <c r="L1368"/>
      <c r="M1368"/>
      <c r="O1368"/>
      <c r="P1368" s="20"/>
      <c r="Q1368" s="20"/>
      <c r="R1368" s="20"/>
      <c r="S1368" s="20"/>
      <c r="T1368" s="20"/>
      <c r="U1368" t="s">
        <v>401</v>
      </c>
    </row>
    <row r="1369" spans="2:21" x14ac:dyDescent="0.25">
      <c r="B1369">
        <v>110</v>
      </c>
      <c r="C1369" t="s">
        <v>1483</v>
      </c>
      <c r="E1369" s="18">
        <v>-100</v>
      </c>
      <c r="G1369" t="s">
        <v>442</v>
      </c>
      <c r="I1369"/>
      <c r="J1369"/>
      <c r="L1369"/>
      <c r="M1369"/>
      <c r="O1369"/>
      <c r="P1369" s="20"/>
      <c r="Q1369" s="20"/>
      <c r="R1369" s="20"/>
      <c r="S1369" s="20"/>
      <c r="T1369" s="20"/>
      <c r="U1369" t="s">
        <v>401</v>
      </c>
    </row>
    <row r="1370" spans="2:21" x14ac:dyDescent="0.25">
      <c r="B1370">
        <v>110</v>
      </c>
      <c r="C1370" t="s">
        <v>1237</v>
      </c>
      <c r="E1370" s="18">
        <v>-100</v>
      </c>
      <c r="F1370" t="s">
        <v>1484</v>
      </c>
      <c r="G1370" t="s">
        <v>442</v>
      </c>
      <c r="I1370"/>
      <c r="J1370"/>
      <c r="L1370"/>
      <c r="M1370"/>
      <c r="O1370"/>
      <c r="P1370" s="20"/>
      <c r="Q1370" s="20"/>
      <c r="R1370" s="20"/>
      <c r="S1370" s="20"/>
      <c r="T1370" s="20"/>
      <c r="U1370" t="s">
        <v>401</v>
      </c>
    </row>
    <row r="1371" spans="2:21" x14ac:dyDescent="0.25">
      <c r="B1371">
        <v>110</v>
      </c>
      <c r="C1371" t="s">
        <v>2322</v>
      </c>
      <c r="E1371" s="18">
        <v>-57.142857142857146</v>
      </c>
      <c r="G1371" t="s">
        <v>442</v>
      </c>
      <c r="I1371"/>
      <c r="J1371"/>
      <c r="L1371"/>
      <c r="M1371"/>
      <c r="O1371"/>
      <c r="P1371" s="20"/>
      <c r="Q1371" s="20"/>
      <c r="R1371" s="20"/>
      <c r="S1371" s="20"/>
      <c r="T1371" s="20"/>
      <c r="U1371" t="s">
        <v>401</v>
      </c>
    </row>
    <row r="1372" spans="2:21" x14ac:dyDescent="0.25">
      <c r="B1372">
        <v>110</v>
      </c>
      <c r="C1372" t="s">
        <v>1574</v>
      </c>
      <c r="E1372" s="18">
        <v>-100</v>
      </c>
      <c r="G1372" t="s">
        <v>442</v>
      </c>
      <c r="I1372"/>
      <c r="J1372"/>
      <c r="L1372"/>
      <c r="M1372"/>
      <c r="O1372"/>
      <c r="P1372" s="20"/>
      <c r="Q1372" s="20"/>
      <c r="R1372" s="20"/>
      <c r="S1372" s="20"/>
      <c r="T1372" s="20"/>
      <c r="U1372" t="s">
        <v>401</v>
      </c>
    </row>
    <row r="1373" spans="2:21" x14ac:dyDescent="0.25">
      <c r="B1373">
        <v>110</v>
      </c>
      <c r="C1373" t="s">
        <v>1575</v>
      </c>
      <c r="E1373" s="18">
        <v>-100</v>
      </c>
      <c r="G1373" t="s">
        <v>442</v>
      </c>
      <c r="I1373"/>
      <c r="J1373"/>
      <c r="L1373"/>
      <c r="M1373"/>
      <c r="O1373"/>
      <c r="P1373" s="20"/>
      <c r="Q1373" s="20"/>
      <c r="R1373" s="20"/>
      <c r="S1373" s="20"/>
      <c r="T1373" s="20"/>
      <c r="U1373" t="s">
        <v>401</v>
      </c>
    </row>
    <row r="1374" spans="2:21" x14ac:dyDescent="0.25">
      <c r="B1374">
        <v>110</v>
      </c>
      <c r="C1374" t="s">
        <v>2272</v>
      </c>
      <c r="D1374">
        <v>7</v>
      </c>
      <c r="E1374" s="18">
        <v>-700</v>
      </c>
      <c r="F1374" t="s">
        <v>889</v>
      </c>
      <c r="G1374" t="s">
        <v>2273</v>
      </c>
      <c r="I1374"/>
      <c r="J1374"/>
      <c r="L1374"/>
      <c r="M1374"/>
      <c r="O1374"/>
      <c r="P1374" s="20"/>
      <c r="Q1374" s="20"/>
      <c r="R1374" s="20"/>
      <c r="S1374" s="20"/>
      <c r="T1374" s="20"/>
      <c r="U1374" t="s">
        <v>401</v>
      </c>
    </row>
    <row r="1375" spans="2:21" x14ac:dyDescent="0.25">
      <c r="B1375">
        <v>110</v>
      </c>
      <c r="C1375" t="s">
        <v>2323</v>
      </c>
      <c r="D1375">
        <v>5.61</v>
      </c>
      <c r="E1375" s="18">
        <v>561</v>
      </c>
      <c r="G1375" t="s">
        <v>2324</v>
      </c>
      <c r="I1375"/>
      <c r="J1375"/>
      <c r="L1375"/>
      <c r="M1375"/>
      <c r="O1375"/>
      <c r="P1375" s="20"/>
      <c r="Q1375" s="20"/>
      <c r="R1375" s="20"/>
      <c r="S1375" s="20"/>
      <c r="T1375" s="20"/>
      <c r="U1375" t="s">
        <v>401</v>
      </c>
    </row>
    <row r="1376" spans="2:21" x14ac:dyDescent="0.25">
      <c r="B1376">
        <v>110</v>
      </c>
      <c r="C1376" t="s">
        <v>2323</v>
      </c>
      <c r="D1376">
        <v>5.61</v>
      </c>
      <c r="E1376" s="18">
        <v>-561</v>
      </c>
      <c r="F1376" t="s">
        <v>889</v>
      </c>
      <c r="G1376" t="s">
        <v>2324</v>
      </c>
      <c r="I1376"/>
      <c r="J1376"/>
      <c r="L1376"/>
      <c r="M1376"/>
      <c r="O1376"/>
      <c r="P1376" s="20"/>
      <c r="Q1376" s="20"/>
      <c r="R1376" s="20"/>
      <c r="S1376" s="20"/>
      <c r="T1376" s="20"/>
      <c r="U1376" t="s">
        <v>401</v>
      </c>
    </row>
    <row r="1377" spans="1:21" x14ac:dyDescent="0.25">
      <c r="B1377">
        <v>110</v>
      </c>
      <c r="C1377" t="s">
        <v>2296</v>
      </c>
      <c r="D1377">
        <v>8</v>
      </c>
      <c r="E1377" s="18">
        <v>-800</v>
      </c>
      <c r="G1377" t="s">
        <v>2297</v>
      </c>
      <c r="I1377"/>
      <c r="J1377"/>
      <c r="L1377"/>
      <c r="M1377"/>
      <c r="O1377"/>
      <c r="P1377" s="20"/>
      <c r="Q1377" s="20"/>
      <c r="R1377" s="20"/>
      <c r="S1377" s="20"/>
      <c r="T1377" s="20"/>
      <c r="U1377" t="s">
        <v>401</v>
      </c>
    </row>
    <row r="1378" spans="1:21" x14ac:dyDescent="0.25">
      <c r="B1378">
        <v>110</v>
      </c>
      <c r="C1378" t="s">
        <v>2298</v>
      </c>
      <c r="D1378">
        <v>7.25</v>
      </c>
      <c r="E1378" s="18">
        <v>-725</v>
      </c>
      <c r="G1378" t="s">
        <v>2299</v>
      </c>
      <c r="I1378"/>
      <c r="J1378"/>
      <c r="L1378"/>
      <c r="M1378"/>
      <c r="O1378"/>
      <c r="P1378" s="20"/>
      <c r="Q1378" s="20"/>
      <c r="R1378" s="20"/>
      <c r="S1378" s="20"/>
      <c r="T1378" s="20"/>
      <c r="U1378" t="s">
        <v>401</v>
      </c>
    </row>
    <row r="1379" spans="1:21" x14ac:dyDescent="0.25">
      <c r="B1379">
        <v>110</v>
      </c>
      <c r="C1379" t="s">
        <v>2306</v>
      </c>
      <c r="D1379">
        <v>9.69</v>
      </c>
      <c r="E1379" s="18">
        <v>-969</v>
      </c>
      <c r="F1379" t="s">
        <v>889</v>
      </c>
      <c r="G1379" t="s">
        <v>2307</v>
      </c>
      <c r="I1379"/>
      <c r="J1379"/>
      <c r="L1379"/>
      <c r="M1379"/>
      <c r="O1379"/>
      <c r="P1379" s="20"/>
      <c r="Q1379" s="20"/>
      <c r="R1379" s="20"/>
      <c r="S1379" s="20"/>
      <c r="T1379" s="20"/>
      <c r="U1379" t="s">
        <v>401</v>
      </c>
    </row>
    <row r="1380" spans="1:21" x14ac:dyDescent="0.25">
      <c r="A1380" s="3">
        <v>41740</v>
      </c>
      <c r="B1380" s="36">
        <v>111</v>
      </c>
      <c r="C1380" t="s">
        <v>2325</v>
      </c>
      <c r="D1380">
        <v>7.5</v>
      </c>
      <c r="E1380" s="18">
        <v>750</v>
      </c>
      <c r="G1380" t="s">
        <v>2326</v>
      </c>
      <c r="H1380" s="18">
        <v>750</v>
      </c>
      <c r="I1380" s="3">
        <v>41740</v>
      </c>
      <c r="J1380"/>
      <c r="L1380"/>
      <c r="M1380"/>
      <c r="N1380" s="20"/>
      <c r="O1380"/>
      <c r="P1380" s="20"/>
      <c r="Q1380" s="20"/>
      <c r="R1380" s="20"/>
      <c r="S1380" s="20"/>
      <c r="T1380" s="20"/>
    </row>
    <row r="1381" spans="1:21" x14ac:dyDescent="0.25">
      <c r="A1381" s="3">
        <v>41753</v>
      </c>
      <c r="B1381" s="36">
        <v>111</v>
      </c>
      <c r="C1381" t="s">
        <v>2327</v>
      </c>
      <c r="D1381">
        <v>8.5</v>
      </c>
      <c r="E1381" s="18">
        <v>850</v>
      </c>
      <c r="G1381" t="s">
        <v>2328</v>
      </c>
      <c r="H1381" s="18">
        <v>850</v>
      </c>
      <c r="I1381" s="3">
        <v>41753</v>
      </c>
      <c r="J1381"/>
      <c r="L1381"/>
      <c r="M1381"/>
      <c r="N1381" s="20"/>
      <c r="O1381"/>
      <c r="P1381" s="20"/>
      <c r="Q1381" s="20"/>
      <c r="R1381" s="20"/>
      <c r="S1381" s="20"/>
      <c r="T1381" s="20"/>
    </row>
    <row r="1382" spans="1:21" x14ac:dyDescent="0.25">
      <c r="A1382" s="3">
        <v>41761</v>
      </c>
      <c r="B1382" s="36">
        <v>111</v>
      </c>
      <c r="C1382" t="s">
        <v>2329</v>
      </c>
      <c r="D1382">
        <v>10</v>
      </c>
      <c r="E1382" s="18">
        <v>1000</v>
      </c>
      <c r="G1382" t="s">
        <v>2330</v>
      </c>
      <c r="H1382" s="18">
        <v>1000</v>
      </c>
      <c r="I1382" s="3">
        <v>41761</v>
      </c>
      <c r="J1382"/>
      <c r="L1382"/>
      <c r="M1382"/>
      <c r="N1382" s="20"/>
      <c r="O1382"/>
      <c r="P1382" s="20"/>
      <c r="Q1382" s="20"/>
      <c r="R1382" s="20"/>
      <c r="S1382" s="20"/>
      <c r="T1382" s="20"/>
    </row>
    <row r="1383" spans="1:21" x14ac:dyDescent="0.25">
      <c r="A1383" s="3">
        <v>41789</v>
      </c>
      <c r="B1383" s="36">
        <v>111</v>
      </c>
      <c r="C1383" t="s">
        <v>2331</v>
      </c>
      <c r="D1383">
        <v>4.25</v>
      </c>
      <c r="E1383" s="18">
        <v>425</v>
      </c>
      <c r="G1383" t="s">
        <v>2332</v>
      </c>
      <c r="H1383" s="18">
        <v>425</v>
      </c>
      <c r="I1383" s="3">
        <v>41789</v>
      </c>
      <c r="J1383"/>
      <c r="L1383"/>
      <c r="M1383"/>
      <c r="N1383" s="20"/>
      <c r="O1383"/>
      <c r="P1383" s="20"/>
      <c r="Q1383" s="20"/>
      <c r="R1383" s="20"/>
      <c r="S1383" s="20"/>
      <c r="T1383" s="20"/>
    </row>
    <row r="1384" spans="1:21" x14ac:dyDescent="0.25">
      <c r="A1384" s="3">
        <v>41789</v>
      </c>
      <c r="B1384" s="36">
        <v>111</v>
      </c>
      <c r="C1384" t="s">
        <v>2333</v>
      </c>
      <c r="D1384">
        <v>7.75</v>
      </c>
      <c r="E1384" s="18">
        <v>775</v>
      </c>
      <c r="G1384" t="s">
        <v>2334</v>
      </c>
      <c r="H1384" s="18">
        <v>775</v>
      </c>
      <c r="I1384" s="3">
        <v>41789</v>
      </c>
      <c r="J1384"/>
      <c r="L1384"/>
      <c r="M1384"/>
      <c r="N1384" s="20"/>
      <c r="O1384"/>
      <c r="P1384" s="20"/>
      <c r="Q1384" s="20"/>
      <c r="R1384" s="20"/>
      <c r="S1384" s="20"/>
      <c r="T1384" s="20"/>
    </row>
    <row r="1385" spans="1:21" x14ac:dyDescent="0.25">
      <c r="A1385" s="3">
        <v>41796</v>
      </c>
      <c r="B1385" s="36">
        <v>111</v>
      </c>
      <c r="C1385" t="s">
        <v>2335</v>
      </c>
      <c r="D1385">
        <v>7</v>
      </c>
      <c r="E1385" s="18">
        <v>700</v>
      </c>
      <c r="G1385" t="s">
        <v>2336</v>
      </c>
      <c r="H1385" s="18">
        <v>700</v>
      </c>
      <c r="I1385" s="3">
        <v>41796</v>
      </c>
      <c r="J1385"/>
      <c r="L1385"/>
      <c r="M1385"/>
      <c r="N1385" s="20"/>
      <c r="O1385" t="s">
        <v>1555</v>
      </c>
      <c r="P1385" s="20"/>
      <c r="Q1385" s="20"/>
      <c r="R1385" s="20"/>
      <c r="S1385" s="20"/>
      <c r="T1385" s="20"/>
    </row>
    <row r="1386" spans="1:21" x14ac:dyDescent="0.25">
      <c r="B1386">
        <v>111</v>
      </c>
      <c r="C1386" t="s">
        <v>2331</v>
      </c>
      <c r="D1386">
        <v>2.2949999999999999</v>
      </c>
      <c r="E1386" s="18">
        <v>34</v>
      </c>
      <c r="F1386" t="s">
        <v>889</v>
      </c>
      <c r="G1386" t="s">
        <v>2332</v>
      </c>
      <c r="I1386"/>
      <c r="J1386"/>
      <c r="L1386"/>
      <c r="M1386"/>
      <c r="O1386"/>
      <c r="P1386" s="20"/>
      <c r="Q1386" s="20"/>
      <c r="R1386" s="20"/>
      <c r="S1386" s="20"/>
      <c r="T1386" s="20"/>
      <c r="U1386" t="s">
        <v>401</v>
      </c>
    </row>
    <row r="1387" spans="1:21" x14ac:dyDescent="0.25">
      <c r="B1387">
        <v>111</v>
      </c>
      <c r="C1387" t="s">
        <v>2329</v>
      </c>
      <c r="D1387">
        <v>10</v>
      </c>
      <c r="E1387" s="18">
        <v>-1000</v>
      </c>
      <c r="F1387" t="s">
        <v>889</v>
      </c>
      <c r="G1387" t="s">
        <v>2330</v>
      </c>
      <c r="I1387"/>
      <c r="J1387"/>
      <c r="L1387"/>
      <c r="M1387"/>
      <c r="O1387"/>
      <c r="P1387" s="20"/>
      <c r="Q1387" s="20"/>
      <c r="R1387" s="20"/>
      <c r="S1387" s="20"/>
      <c r="T1387" s="20"/>
      <c r="U1387" t="s">
        <v>401</v>
      </c>
    </row>
    <row r="1388" spans="1:21" x14ac:dyDescent="0.25">
      <c r="B1388">
        <v>111</v>
      </c>
      <c r="C1388" t="s">
        <v>2325</v>
      </c>
      <c r="D1388">
        <v>7.5</v>
      </c>
      <c r="E1388" s="18">
        <v>750</v>
      </c>
      <c r="F1388" t="s">
        <v>889</v>
      </c>
      <c r="G1388" t="s">
        <v>2326</v>
      </c>
      <c r="I1388"/>
      <c r="J1388"/>
      <c r="L1388"/>
      <c r="M1388"/>
      <c r="O1388"/>
      <c r="P1388" s="20"/>
      <c r="Q1388" s="20"/>
      <c r="R1388" s="20"/>
      <c r="S1388" s="20"/>
      <c r="T1388" s="20"/>
      <c r="U1388" t="s">
        <v>401</v>
      </c>
    </row>
    <row r="1389" spans="1:21" x14ac:dyDescent="0.25">
      <c r="B1389">
        <v>111</v>
      </c>
      <c r="C1389" t="s">
        <v>2333</v>
      </c>
      <c r="D1389">
        <v>7.75</v>
      </c>
      <c r="E1389" s="18">
        <v>-775</v>
      </c>
      <c r="G1389" t="s">
        <v>2334</v>
      </c>
      <c r="I1389"/>
      <c r="J1389"/>
      <c r="L1389"/>
      <c r="M1389"/>
      <c r="O1389"/>
      <c r="P1389" s="20"/>
      <c r="Q1389" s="20"/>
      <c r="R1389" s="20"/>
      <c r="S1389" s="20"/>
      <c r="T1389" s="20"/>
      <c r="U1389" t="s">
        <v>401</v>
      </c>
    </row>
    <row r="1390" spans="1:21" x14ac:dyDescent="0.25">
      <c r="A1390" s="3">
        <v>41733</v>
      </c>
      <c r="B1390" s="36">
        <v>112</v>
      </c>
      <c r="C1390" t="s">
        <v>2337</v>
      </c>
      <c r="D1390">
        <v>4.5</v>
      </c>
      <c r="E1390" s="18">
        <v>450</v>
      </c>
      <c r="G1390" t="s">
        <v>2338</v>
      </c>
      <c r="H1390" s="18">
        <v>450</v>
      </c>
      <c r="I1390" s="3">
        <v>41733</v>
      </c>
      <c r="J1390"/>
      <c r="L1390"/>
      <c r="M1390"/>
      <c r="N1390" s="20"/>
      <c r="O1390"/>
      <c r="P1390" s="20"/>
      <c r="Q1390" s="20"/>
      <c r="R1390" s="20"/>
      <c r="S1390" s="20"/>
      <c r="T1390" s="20"/>
    </row>
    <row r="1391" spans="1:21" x14ac:dyDescent="0.25">
      <c r="A1391" s="3">
        <v>41746</v>
      </c>
      <c r="B1391" s="36">
        <v>112</v>
      </c>
      <c r="C1391" t="s">
        <v>2339</v>
      </c>
      <c r="D1391">
        <v>2.5</v>
      </c>
      <c r="E1391" s="18">
        <v>250</v>
      </c>
      <c r="G1391" t="s">
        <v>2340</v>
      </c>
      <c r="H1391" s="18">
        <v>250</v>
      </c>
      <c r="I1391" s="3">
        <v>41746</v>
      </c>
      <c r="J1391"/>
      <c r="L1391"/>
      <c r="M1391"/>
      <c r="N1391" s="20"/>
      <c r="O1391"/>
      <c r="P1391" s="20"/>
      <c r="Q1391" s="20"/>
      <c r="R1391" s="20"/>
      <c r="S1391" s="20"/>
      <c r="T1391" s="20"/>
    </row>
    <row r="1392" spans="1:21" x14ac:dyDescent="0.25">
      <c r="A1392" s="3">
        <v>41768</v>
      </c>
      <c r="B1392" s="36">
        <v>112</v>
      </c>
      <c r="C1392" t="s">
        <v>2341</v>
      </c>
      <c r="D1392">
        <v>7</v>
      </c>
      <c r="E1392" s="18">
        <v>700</v>
      </c>
      <c r="G1392" t="s">
        <v>2342</v>
      </c>
      <c r="H1392" s="18">
        <v>700</v>
      </c>
      <c r="I1392" s="3">
        <v>41768</v>
      </c>
      <c r="J1392"/>
      <c r="L1392"/>
      <c r="M1392"/>
      <c r="N1392" s="20"/>
      <c r="O1392"/>
      <c r="P1392" s="20"/>
      <c r="Q1392" s="20"/>
      <c r="R1392" s="20"/>
      <c r="S1392" s="20"/>
      <c r="T1392" s="20"/>
    </row>
    <row r="1393" spans="1:21" x14ac:dyDescent="0.25">
      <c r="A1393" s="3">
        <v>41775</v>
      </c>
      <c r="B1393" s="36">
        <v>112</v>
      </c>
      <c r="C1393" t="s">
        <v>2343</v>
      </c>
      <c r="D1393">
        <v>9.75</v>
      </c>
      <c r="E1393" s="18">
        <v>975</v>
      </c>
      <c r="G1393" t="s">
        <v>2344</v>
      </c>
      <c r="H1393" s="18">
        <v>975</v>
      </c>
      <c r="I1393" s="3">
        <v>41775</v>
      </c>
      <c r="J1393"/>
      <c r="L1393"/>
      <c r="M1393"/>
      <c r="N1393" s="20"/>
      <c r="O1393"/>
      <c r="P1393" s="20"/>
      <c r="Q1393" s="20"/>
      <c r="R1393" s="20"/>
      <c r="S1393" s="20"/>
      <c r="T1393" s="20"/>
    </row>
    <row r="1394" spans="1:21" x14ac:dyDescent="0.25">
      <c r="A1394" s="3">
        <v>41775</v>
      </c>
      <c r="B1394" s="36">
        <v>112</v>
      </c>
      <c r="C1394" t="s">
        <v>2345</v>
      </c>
      <c r="D1394">
        <v>10</v>
      </c>
      <c r="E1394" s="18">
        <v>1000</v>
      </c>
      <c r="G1394" t="s">
        <v>2346</v>
      </c>
      <c r="H1394" s="18">
        <v>1000</v>
      </c>
      <c r="I1394" s="3">
        <v>41775</v>
      </c>
      <c r="J1394"/>
      <c r="L1394"/>
      <c r="M1394"/>
      <c r="N1394" s="20"/>
      <c r="O1394"/>
      <c r="P1394" s="20"/>
      <c r="Q1394" s="20"/>
      <c r="R1394" s="20"/>
      <c r="S1394" s="20"/>
      <c r="T1394" s="20"/>
    </row>
    <row r="1395" spans="1:21" x14ac:dyDescent="0.25">
      <c r="A1395" s="3">
        <v>41810</v>
      </c>
      <c r="B1395" s="36">
        <v>112</v>
      </c>
      <c r="C1395" t="s">
        <v>2341</v>
      </c>
      <c r="D1395">
        <v>7</v>
      </c>
      <c r="E1395" s="18">
        <v>-700</v>
      </c>
      <c r="G1395" t="s">
        <v>2342</v>
      </c>
      <c r="H1395" s="18" t="s">
        <v>442</v>
      </c>
      <c r="I1395" s="3" t="s">
        <v>442</v>
      </c>
      <c r="J1395"/>
      <c r="L1395"/>
      <c r="M1395"/>
      <c r="N1395" s="20"/>
      <c r="O1395" t="s">
        <v>949</v>
      </c>
      <c r="P1395" s="20"/>
      <c r="Q1395" s="20"/>
      <c r="R1395" s="20"/>
      <c r="S1395" s="20"/>
      <c r="T1395" s="20"/>
    </row>
    <row r="1396" spans="1:21" x14ac:dyDescent="0.25">
      <c r="A1396" s="3">
        <v>41810</v>
      </c>
      <c r="B1396" s="36">
        <v>112</v>
      </c>
      <c r="C1396" t="s">
        <v>2347</v>
      </c>
      <c r="D1396">
        <v>5.25</v>
      </c>
      <c r="E1396" s="18">
        <v>525</v>
      </c>
      <c r="G1396" t="s">
        <v>2348</v>
      </c>
      <c r="H1396" s="18">
        <v>525</v>
      </c>
      <c r="I1396" s="3">
        <v>41810</v>
      </c>
      <c r="J1396"/>
      <c r="L1396"/>
      <c r="M1396"/>
      <c r="N1396" s="20"/>
      <c r="O1396"/>
      <c r="P1396" s="20"/>
      <c r="Q1396" s="20"/>
      <c r="R1396" s="20"/>
      <c r="S1396" s="20"/>
      <c r="T1396" s="20"/>
    </row>
    <row r="1397" spans="1:21" x14ac:dyDescent="0.25">
      <c r="A1397" s="3">
        <v>41810</v>
      </c>
      <c r="B1397" s="36">
        <v>112</v>
      </c>
      <c r="C1397" t="s">
        <v>2349</v>
      </c>
      <c r="D1397">
        <v>10</v>
      </c>
      <c r="E1397" s="18">
        <v>1000</v>
      </c>
      <c r="G1397" t="s">
        <v>2350</v>
      </c>
      <c r="H1397" s="18">
        <v>1000</v>
      </c>
      <c r="I1397" s="3">
        <v>41810</v>
      </c>
      <c r="J1397"/>
      <c r="L1397"/>
      <c r="M1397"/>
      <c r="N1397" s="20"/>
      <c r="O1397"/>
      <c r="P1397" s="20"/>
      <c r="Q1397" s="20"/>
      <c r="R1397" s="20"/>
      <c r="S1397" s="20"/>
      <c r="T1397" s="20"/>
    </row>
    <row r="1398" spans="1:21" x14ac:dyDescent="0.25">
      <c r="A1398" s="3">
        <v>41817</v>
      </c>
      <c r="B1398" s="36">
        <v>112</v>
      </c>
      <c r="C1398" t="s">
        <v>2351</v>
      </c>
      <c r="E1398" s="18">
        <v>825</v>
      </c>
      <c r="H1398" s="18" t="s">
        <v>442</v>
      </c>
      <c r="I1398" s="3" t="s">
        <v>442</v>
      </c>
      <c r="J1398"/>
      <c r="L1398"/>
      <c r="M1398"/>
      <c r="N1398" s="20"/>
      <c r="O1398"/>
      <c r="P1398" s="20"/>
      <c r="Q1398" s="20"/>
      <c r="R1398" s="20"/>
      <c r="S1398" s="20" t="s">
        <v>401</v>
      </c>
      <c r="T1398" s="20"/>
    </row>
    <row r="1399" spans="1:21" x14ac:dyDescent="0.25">
      <c r="A1399" s="3">
        <v>41817</v>
      </c>
      <c r="B1399" s="36">
        <v>112</v>
      </c>
      <c r="C1399" t="s">
        <v>2352</v>
      </c>
      <c r="E1399" s="18">
        <v>250</v>
      </c>
      <c r="H1399" s="18" t="s">
        <v>442</v>
      </c>
      <c r="I1399" s="3" t="s">
        <v>442</v>
      </c>
      <c r="J1399"/>
      <c r="L1399"/>
      <c r="M1399"/>
      <c r="N1399" s="20"/>
      <c r="O1399"/>
      <c r="P1399" s="20"/>
      <c r="Q1399" s="20"/>
      <c r="R1399" s="20"/>
      <c r="S1399" s="20" t="s">
        <v>401</v>
      </c>
      <c r="T1399" s="20"/>
    </row>
    <row r="1400" spans="1:21" x14ac:dyDescent="0.25">
      <c r="B1400">
        <v>112</v>
      </c>
      <c r="C1400" t="s">
        <v>2353</v>
      </c>
      <c r="D1400">
        <v>4.59</v>
      </c>
      <c r="E1400" s="18">
        <v>306</v>
      </c>
      <c r="F1400" t="s">
        <v>889</v>
      </c>
      <c r="G1400" t="s">
        <v>2354</v>
      </c>
      <c r="I1400"/>
      <c r="J1400"/>
      <c r="L1400"/>
      <c r="M1400"/>
      <c r="O1400"/>
      <c r="P1400" s="20"/>
      <c r="Q1400" s="20"/>
      <c r="R1400" s="20"/>
      <c r="S1400" s="20"/>
      <c r="T1400" s="20"/>
      <c r="U1400" t="s">
        <v>401</v>
      </c>
    </row>
    <row r="1401" spans="1:21" x14ac:dyDescent="0.25">
      <c r="B1401">
        <v>112</v>
      </c>
      <c r="C1401" t="s">
        <v>2353</v>
      </c>
      <c r="D1401">
        <v>4.59</v>
      </c>
      <c r="E1401" s="18">
        <v>306</v>
      </c>
      <c r="F1401" t="s">
        <v>889</v>
      </c>
      <c r="G1401" t="s">
        <v>2354</v>
      </c>
      <c r="I1401"/>
      <c r="J1401"/>
      <c r="L1401"/>
      <c r="M1401"/>
      <c r="O1401"/>
      <c r="P1401" s="20"/>
      <c r="Q1401" s="20"/>
      <c r="R1401" s="20"/>
      <c r="S1401" s="20"/>
      <c r="T1401" s="20"/>
      <c r="U1401" t="s">
        <v>401</v>
      </c>
    </row>
    <row r="1402" spans="1:21" x14ac:dyDescent="0.25">
      <c r="B1402">
        <v>112</v>
      </c>
      <c r="C1402" t="s">
        <v>2343</v>
      </c>
      <c r="D1402">
        <v>9.69</v>
      </c>
      <c r="E1402" s="18">
        <v>-975</v>
      </c>
      <c r="F1402" t="s">
        <v>889</v>
      </c>
      <c r="G1402" t="s">
        <v>2344</v>
      </c>
      <c r="I1402"/>
      <c r="J1402"/>
      <c r="L1402"/>
      <c r="M1402"/>
      <c r="O1402"/>
      <c r="P1402" s="20"/>
      <c r="Q1402" s="20"/>
      <c r="R1402" s="20"/>
      <c r="S1402" s="20"/>
      <c r="T1402" s="20"/>
      <c r="U1402" t="s">
        <v>401</v>
      </c>
    </row>
    <row r="1403" spans="1:21" x14ac:dyDescent="0.25">
      <c r="B1403">
        <v>112</v>
      </c>
      <c r="C1403" t="s">
        <v>2337</v>
      </c>
      <c r="E1403" s="18">
        <v>450</v>
      </c>
      <c r="F1403" t="s">
        <v>889</v>
      </c>
      <c r="G1403" t="s">
        <v>2338</v>
      </c>
      <c r="I1403"/>
      <c r="J1403"/>
      <c r="L1403"/>
      <c r="M1403"/>
      <c r="O1403"/>
      <c r="P1403" s="20"/>
      <c r="Q1403" s="20"/>
      <c r="R1403" s="20"/>
      <c r="S1403" s="20"/>
      <c r="T1403" s="20"/>
      <c r="U1403" t="s">
        <v>401</v>
      </c>
    </row>
    <row r="1404" spans="1:21" x14ac:dyDescent="0.25">
      <c r="B1404">
        <v>112</v>
      </c>
      <c r="C1404" t="s">
        <v>2345</v>
      </c>
      <c r="D1404">
        <v>7.65</v>
      </c>
      <c r="E1404" s="18">
        <v>-1000</v>
      </c>
      <c r="F1404" t="s">
        <v>889</v>
      </c>
      <c r="G1404" t="s">
        <v>2346</v>
      </c>
      <c r="I1404"/>
      <c r="J1404"/>
      <c r="L1404"/>
      <c r="M1404"/>
      <c r="O1404"/>
      <c r="P1404" s="20"/>
      <c r="Q1404" s="20"/>
      <c r="R1404" s="20"/>
      <c r="S1404" s="20"/>
      <c r="T1404" s="20"/>
      <c r="U1404" t="s">
        <v>401</v>
      </c>
    </row>
    <row r="1405" spans="1:21" x14ac:dyDescent="0.25">
      <c r="B1405">
        <v>112</v>
      </c>
      <c r="C1405" t="s">
        <v>2349</v>
      </c>
      <c r="D1405">
        <v>8.67</v>
      </c>
      <c r="E1405" s="18">
        <v>-1000</v>
      </c>
      <c r="F1405" t="s">
        <v>889</v>
      </c>
      <c r="G1405" t="s">
        <v>2350</v>
      </c>
      <c r="I1405"/>
      <c r="J1405"/>
      <c r="L1405"/>
      <c r="M1405"/>
      <c r="O1405"/>
      <c r="P1405" s="20"/>
      <c r="Q1405" s="20"/>
      <c r="R1405" s="20"/>
      <c r="S1405" s="20"/>
      <c r="T1405" s="20"/>
      <c r="U1405" t="s">
        <v>401</v>
      </c>
    </row>
    <row r="1406" spans="1:21" x14ac:dyDescent="0.25">
      <c r="B1406">
        <v>112</v>
      </c>
      <c r="C1406" t="s">
        <v>2355</v>
      </c>
      <c r="D1406">
        <v>4.59</v>
      </c>
      <c r="E1406" s="18">
        <v>393</v>
      </c>
      <c r="F1406" t="s">
        <v>889</v>
      </c>
      <c r="G1406" t="s">
        <v>2348</v>
      </c>
      <c r="I1406"/>
      <c r="J1406"/>
      <c r="L1406"/>
      <c r="M1406"/>
      <c r="O1406"/>
      <c r="P1406" s="20"/>
      <c r="Q1406" s="20"/>
      <c r="R1406" s="20"/>
      <c r="S1406" s="20"/>
      <c r="T1406" s="20"/>
      <c r="U1406" t="s">
        <v>401</v>
      </c>
    </row>
    <row r="1407" spans="1:21" x14ac:dyDescent="0.25">
      <c r="A1407" s="3">
        <v>41754</v>
      </c>
      <c r="B1407" s="36">
        <v>113</v>
      </c>
      <c r="C1407" t="s">
        <v>2356</v>
      </c>
      <c r="D1407">
        <v>2.5</v>
      </c>
      <c r="E1407" s="18">
        <v>250</v>
      </c>
      <c r="G1407" t="s">
        <v>2357</v>
      </c>
      <c r="H1407" s="18">
        <v>250</v>
      </c>
      <c r="I1407" s="3">
        <v>41754</v>
      </c>
      <c r="J1407"/>
      <c r="L1407"/>
      <c r="M1407"/>
      <c r="N1407" s="20"/>
      <c r="O1407"/>
      <c r="P1407" s="20"/>
      <c r="Q1407" s="20"/>
      <c r="R1407" s="20"/>
      <c r="S1407" s="20"/>
      <c r="T1407" s="20"/>
    </row>
    <row r="1408" spans="1:21" x14ac:dyDescent="0.25">
      <c r="A1408" s="3">
        <v>41754</v>
      </c>
      <c r="B1408" s="36">
        <v>113</v>
      </c>
      <c r="C1408" t="s">
        <v>2358</v>
      </c>
      <c r="D1408">
        <v>4</v>
      </c>
      <c r="E1408" s="18">
        <v>400</v>
      </c>
      <c r="G1408" t="s">
        <v>2359</v>
      </c>
      <c r="H1408" s="18">
        <v>400</v>
      </c>
      <c r="I1408" s="3">
        <v>41754</v>
      </c>
      <c r="J1408"/>
      <c r="L1408"/>
      <c r="M1408"/>
      <c r="N1408" s="20"/>
      <c r="O1408"/>
      <c r="P1408" s="20"/>
      <c r="Q1408" s="20"/>
      <c r="R1408" s="20"/>
      <c r="S1408" s="20"/>
      <c r="T1408" s="20"/>
    </row>
    <row r="1409" spans="1:20" x14ac:dyDescent="0.25">
      <c r="A1409" s="3">
        <v>41762</v>
      </c>
      <c r="B1409" s="36">
        <v>113</v>
      </c>
      <c r="C1409" t="s">
        <v>2360</v>
      </c>
      <c r="D1409">
        <v>10</v>
      </c>
      <c r="E1409" s="18">
        <v>1000</v>
      </c>
      <c r="G1409" t="s">
        <v>2361</v>
      </c>
      <c r="H1409" s="18">
        <v>1000</v>
      </c>
      <c r="I1409" s="3">
        <v>41762</v>
      </c>
      <c r="J1409"/>
      <c r="L1409"/>
      <c r="M1409"/>
      <c r="N1409" s="20"/>
      <c r="O1409"/>
      <c r="P1409" s="20"/>
      <c r="Q1409" s="20"/>
      <c r="R1409" s="20"/>
      <c r="S1409" s="20"/>
      <c r="T1409" s="20"/>
    </row>
    <row r="1410" spans="1:20" x14ac:dyDescent="0.25">
      <c r="A1410" s="3">
        <v>41762</v>
      </c>
      <c r="B1410" s="36">
        <v>113</v>
      </c>
      <c r="C1410" t="s">
        <v>2362</v>
      </c>
      <c r="D1410">
        <v>3.75</v>
      </c>
      <c r="E1410" s="18">
        <v>375</v>
      </c>
      <c r="G1410" t="s">
        <v>2363</v>
      </c>
      <c r="H1410" s="18">
        <v>375</v>
      </c>
      <c r="I1410" s="3">
        <v>41762</v>
      </c>
      <c r="J1410"/>
      <c r="L1410"/>
      <c r="M1410"/>
      <c r="N1410" s="20"/>
      <c r="O1410"/>
      <c r="P1410" s="20"/>
      <c r="Q1410" s="20"/>
      <c r="R1410" s="20"/>
      <c r="S1410" s="20"/>
      <c r="T1410" s="20"/>
    </row>
    <row r="1411" spans="1:20" x14ac:dyDescent="0.25">
      <c r="A1411" s="3">
        <v>41762</v>
      </c>
      <c r="B1411" s="36">
        <v>113</v>
      </c>
      <c r="C1411" t="s">
        <v>2364</v>
      </c>
      <c r="D1411">
        <v>2.75</v>
      </c>
      <c r="E1411" s="18">
        <v>275</v>
      </c>
      <c r="G1411" t="s">
        <v>2365</v>
      </c>
      <c r="H1411" s="18">
        <v>275</v>
      </c>
      <c r="I1411" s="3">
        <v>41762</v>
      </c>
      <c r="J1411"/>
      <c r="L1411"/>
      <c r="M1411"/>
      <c r="N1411" s="20"/>
      <c r="O1411"/>
      <c r="P1411" s="20"/>
      <c r="Q1411" s="20"/>
      <c r="R1411" s="20"/>
      <c r="S1411" s="20"/>
      <c r="T1411" s="20"/>
    </row>
    <row r="1412" spans="1:20" x14ac:dyDescent="0.25">
      <c r="A1412" s="3">
        <v>41768</v>
      </c>
      <c r="B1412" s="36">
        <v>113</v>
      </c>
      <c r="C1412" t="s">
        <v>2366</v>
      </c>
      <c r="D1412">
        <v>4.335</v>
      </c>
      <c r="E1412" s="18">
        <v>433.5</v>
      </c>
      <c r="G1412" t="s">
        <v>2367</v>
      </c>
      <c r="H1412" s="18">
        <v>433.5</v>
      </c>
      <c r="I1412" s="3">
        <v>41768</v>
      </c>
      <c r="J1412"/>
      <c r="L1412"/>
      <c r="M1412"/>
      <c r="N1412" s="20"/>
      <c r="O1412"/>
      <c r="P1412" s="20"/>
      <c r="Q1412" s="20"/>
      <c r="R1412" s="20"/>
      <c r="S1412" s="20"/>
      <c r="T1412" s="20"/>
    </row>
    <row r="1413" spans="1:20" x14ac:dyDescent="0.25">
      <c r="A1413" s="3">
        <v>41775</v>
      </c>
      <c r="B1413" s="36">
        <v>113</v>
      </c>
      <c r="C1413" t="s">
        <v>2368</v>
      </c>
      <c r="D1413">
        <v>7.14</v>
      </c>
      <c r="E1413" s="18">
        <v>714</v>
      </c>
      <c r="G1413" t="s">
        <v>2369</v>
      </c>
      <c r="H1413" s="18">
        <v>714</v>
      </c>
      <c r="I1413" s="3">
        <v>41775</v>
      </c>
      <c r="J1413"/>
      <c r="L1413"/>
      <c r="M1413"/>
      <c r="N1413" s="20"/>
      <c r="O1413"/>
      <c r="P1413" s="20"/>
      <c r="Q1413" s="20"/>
      <c r="R1413" s="20"/>
      <c r="S1413" s="20"/>
      <c r="T1413" s="20"/>
    </row>
    <row r="1414" spans="1:20" x14ac:dyDescent="0.25">
      <c r="A1414" s="3">
        <v>41775</v>
      </c>
      <c r="B1414" s="36">
        <v>113</v>
      </c>
      <c r="C1414" t="s">
        <v>2370</v>
      </c>
      <c r="D1414">
        <v>2.75</v>
      </c>
      <c r="E1414" s="18">
        <v>275</v>
      </c>
      <c r="G1414" t="s">
        <v>2371</v>
      </c>
      <c r="H1414" s="18">
        <v>275</v>
      </c>
      <c r="I1414" s="3">
        <v>41775</v>
      </c>
      <c r="J1414"/>
      <c r="L1414"/>
      <c r="M1414"/>
      <c r="N1414" s="20"/>
      <c r="O1414"/>
      <c r="P1414" s="20"/>
      <c r="Q1414" s="20"/>
      <c r="R1414" s="20"/>
      <c r="S1414" s="20"/>
      <c r="T1414" s="20"/>
    </row>
    <row r="1415" spans="1:20" x14ac:dyDescent="0.25">
      <c r="A1415" s="3">
        <v>41775</v>
      </c>
      <c r="B1415" s="36">
        <v>113</v>
      </c>
      <c r="C1415" t="s">
        <v>2372</v>
      </c>
      <c r="D1415">
        <v>4.08</v>
      </c>
      <c r="E1415" s="18">
        <v>408</v>
      </c>
      <c r="G1415" t="s">
        <v>2373</v>
      </c>
      <c r="H1415" s="18">
        <v>408</v>
      </c>
      <c r="I1415" s="3">
        <v>41775</v>
      </c>
      <c r="J1415"/>
      <c r="L1415"/>
      <c r="M1415"/>
      <c r="N1415" s="20"/>
      <c r="O1415"/>
      <c r="P1415" s="20"/>
      <c r="Q1415" s="20"/>
      <c r="R1415" s="20"/>
      <c r="S1415" s="20"/>
      <c r="T1415" s="20"/>
    </row>
    <row r="1416" spans="1:20" x14ac:dyDescent="0.25">
      <c r="A1416" s="3">
        <v>41775</v>
      </c>
      <c r="B1416" s="36">
        <v>113</v>
      </c>
      <c r="C1416" t="s">
        <v>2374</v>
      </c>
      <c r="D1416">
        <v>3</v>
      </c>
      <c r="E1416" s="18">
        <v>300</v>
      </c>
      <c r="G1416" t="s">
        <v>2375</v>
      </c>
      <c r="H1416" s="18">
        <v>300</v>
      </c>
      <c r="I1416" s="3">
        <v>41775</v>
      </c>
      <c r="J1416"/>
      <c r="L1416"/>
      <c r="M1416"/>
      <c r="N1416" s="20"/>
      <c r="O1416"/>
      <c r="P1416" s="20"/>
      <c r="Q1416" s="20"/>
      <c r="R1416" s="20"/>
      <c r="S1416" s="20"/>
      <c r="T1416" s="20"/>
    </row>
    <row r="1417" spans="1:20" x14ac:dyDescent="0.25">
      <c r="A1417" s="3">
        <v>41775</v>
      </c>
      <c r="B1417" s="36">
        <v>113</v>
      </c>
      <c r="C1417" t="s">
        <v>2376</v>
      </c>
      <c r="D1417">
        <v>2.75</v>
      </c>
      <c r="E1417" s="18">
        <v>275</v>
      </c>
      <c r="G1417" t="s">
        <v>2377</v>
      </c>
      <c r="H1417" s="18">
        <v>275</v>
      </c>
      <c r="I1417" s="3">
        <v>41775</v>
      </c>
      <c r="J1417"/>
      <c r="L1417"/>
      <c r="M1417"/>
      <c r="N1417" s="20"/>
      <c r="O1417"/>
      <c r="P1417" s="20"/>
      <c r="Q1417" s="20"/>
      <c r="R1417" s="20"/>
      <c r="S1417" s="20"/>
      <c r="T1417" s="20"/>
    </row>
    <row r="1418" spans="1:20" x14ac:dyDescent="0.25">
      <c r="A1418" s="3">
        <v>41789</v>
      </c>
      <c r="B1418" s="36">
        <v>113</v>
      </c>
      <c r="C1418" t="s">
        <v>2378</v>
      </c>
      <c r="D1418">
        <v>6</v>
      </c>
      <c r="E1418" s="18">
        <v>600</v>
      </c>
      <c r="G1418" t="s">
        <v>2379</v>
      </c>
      <c r="H1418" s="18">
        <v>600</v>
      </c>
      <c r="I1418" s="3">
        <v>41789</v>
      </c>
      <c r="J1418"/>
      <c r="L1418"/>
      <c r="M1418"/>
      <c r="N1418" s="20"/>
      <c r="O1418"/>
      <c r="P1418" s="20"/>
      <c r="Q1418" s="20"/>
      <c r="R1418" s="20"/>
      <c r="S1418" s="20"/>
      <c r="T1418" s="20"/>
    </row>
    <row r="1419" spans="1:20" x14ac:dyDescent="0.25">
      <c r="A1419" s="3">
        <v>41789</v>
      </c>
      <c r="B1419" s="36">
        <v>113</v>
      </c>
      <c r="C1419" t="s">
        <v>2374</v>
      </c>
      <c r="D1419">
        <v>3</v>
      </c>
      <c r="E1419" s="18">
        <v>-300</v>
      </c>
      <c r="G1419" t="s">
        <v>2375</v>
      </c>
      <c r="H1419" s="18" t="s">
        <v>442</v>
      </c>
      <c r="I1419" s="3" t="s">
        <v>442</v>
      </c>
      <c r="J1419"/>
      <c r="L1419"/>
      <c r="M1419"/>
      <c r="N1419" s="20"/>
      <c r="O1419" t="s">
        <v>949</v>
      </c>
      <c r="P1419" s="20"/>
      <c r="Q1419" s="20"/>
      <c r="R1419" s="20"/>
      <c r="S1419" s="20"/>
      <c r="T1419" s="20"/>
    </row>
    <row r="1420" spans="1:20" x14ac:dyDescent="0.25">
      <c r="A1420" s="3">
        <v>41789</v>
      </c>
      <c r="B1420" s="36">
        <v>113</v>
      </c>
      <c r="C1420" t="s">
        <v>2380</v>
      </c>
      <c r="D1420">
        <v>2.75</v>
      </c>
      <c r="E1420" s="18">
        <v>275</v>
      </c>
      <c r="G1420" t="s">
        <v>2381</v>
      </c>
      <c r="H1420" s="18">
        <v>275</v>
      </c>
      <c r="I1420" s="3">
        <v>41789</v>
      </c>
      <c r="J1420"/>
      <c r="L1420"/>
      <c r="M1420"/>
      <c r="N1420" s="20"/>
      <c r="O1420"/>
      <c r="P1420" s="20"/>
      <c r="Q1420" s="20"/>
      <c r="R1420" s="20"/>
      <c r="S1420" s="20"/>
      <c r="T1420" s="20"/>
    </row>
    <row r="1421" spans="1:20" x14ac:dyDescent="0.25">
      <c r="A1421" s="3">
        <v>41796</v>
      </c>
      <c r="B1421" s="36">
        <v>113</v>
      </c>
      <c r="C1421" t="s">
        <v>2378</v>
      </c>
      <c r="D1421">
        <v>6</v>
      </c>
      <c r="E1421" s="18">
        <v>600</v>
      </c>
      <c r="G1421" t="s">
        <v>2379</v>
      </c>
      <c r="H1421" s="18">
        <v>600</v>
      </c>
      <c r="I1421" s="3">
        <v>41796</v>
      </c>
      <c r="J1421"/>
      <c r="L1421"/>
      <c r="M1421"/>
      <c r="N1421" s="20"/>
      <c r="O1421" t="s">
        <v>1555</v>
      </c>
      <c r="P1421" s="20"/>
      <c r="Q1421" s="20"/>
      <c r="R1421" s="20"/>
      <c r="S1421" s="20"/>
      <c r="T1421" s="20"/>
    </row>
    <row r="1422" spans="1:20" x14ac:dyDescent="0.25">
      <c r="A1422" s="3">
        <v>41796</v>
      </c>
      <c r="B1422" s="36">
        <v>113</v>
      </c>
      <c r="C1422" t="s">
        <v>2382</v>
      </c>
      <c r="D1422">
        <v>2.5</v>
      </c>
      <c r="E1422" s="18">
        <v>250</v>
      </c>
      <c r="G1422" t="s">
        <v>2383</v>
      </c>
      <c r="H1422" s="18">
        <v>250</v>
      </c>
      <c r="I1422" s="3">
        <v>41796</v>
      </c>
      <c r="J1422"/>
      <c r="L1422"/>
      <c r="M1422"/>
      <c r="N1422" s="20"/>
      <c r="O1422" t="s">
        <v>1555</v>
      </c>
      <c r="P1422" s="20"/>
      <c r="Q1422" s="20"/>
      <c r="R1422" s="20"/>
      <c r="S1422" s="20"/>
      <c r="T1422" s="20"/>
    </row>
    <row r="1423" spans="1:20" x14ac:dyDescent="0.25">
      <c r="A1423" s="3">
        <v>41796</v>
      </c>
      <c r="B1423" s="36">
        <v>113</v>
      </c>
      <c r="C1423" t="s">
        <v>2382</v>
      </c>
      <c r="D1423">
        <v>2.5</v>
      </c>
      <c r="E1423" s="18">
        <v>250</v>
      </c>
      <c r="G1423" t="s">
        <v>2383</v>
      </c>
      <c r="H1423" s="18">
        <v>250</v>
      </c>
      <c r="I1423" s="3">
        <v>41796</v>
      </c>
      <c r="J1423"/>
      <c r="L1423"/>
      <c r="M1423"/>
      <c r="N1423" s="20"/>
      <c r="O1423" t="s">
        <v>1555</v>
      </c>
      <c r="P1423" s="20"/>
      <c r="Q1423" s="20"/>
      <c r="R1423" s="20"/>
      <c r="S1423" s="20"/>
      <c r="T1423" s="20"/>
    </row>
    <row r="1424" spans="1:20" x14ac:dyDescent="0.25">
      <c r="A1424" s="3">
        <v>41803</v>
      </c>
      <c r="B1424" s="36">
        <v>113</v>
      </c>
      <c r="C1424" t="s">
        <v>2384</v>
      </c>
      <c r="D1424">
        <v>4.59</v>
      </c>
      <c r="E1424" s="18">
        <v>459</v>
      </c>
      <c r="G1424" t="s">
        <v>2385</v>
      </c>
      <c r="H1424" s="18">
        <v>459</v>
      </c>
      <c r="I1424" s="3">
        <v>41803</v>
      </c>
      <c r="J1424"/>
      <c r="L1424"/>
      <c r="M1424"/>
      <c r="N1424" s="20"/>
      <c r="O1424" t="s">
        <v>905</v>
      </c>
      <c r="P1424" s="20"/>
      <c r="Q1424" s="20"/>
      <c r="R1424" s="20"/>
      <c r="S1424" s="20"/>
      <c r="T1424" s="20"/>
    </row>
    <row r="1425" spans="1:20" x14ac:dyDescent="0.25">
      <c r="A1425" s="3">
        <v>41803</v>
      </c>
      <c r="B1425" s="36">
        <v>113</v>
      </c>
      <c r="C1425" t="s">
        <v>2386</v>
      </c>
      <c r="D1425">
        <v>7</v>
      </c>
      <c r="E1425" s="18">
        <v>700</v>
      </c>
      <c r="G1425" t="s">
        <v>2387</v>
      </c>
      <c r="H1425" s="18">
        <v>700</v>
      </c>
      <c r="I1425" s="3">
        <v>41803</v>
      </c>
      <c r="J1425"/>
      <c r="L1425"/>
      <c r="M1425"/>
      <c r="N1425" s="20"/>
      <c r="O1425" t="s">
        <v>1169</v>
      </c>
      <c r="P1425" s="20"/>
      <c r="Q1425" s="20"/>
      <c r="R1425" s="20"/>
      <c r="S1425" s="20"/>
      <c r="T1425" s="20"/>
    </row>
    <row r="1426" spans="1:20" x14ac:dyDescent="0.25">
      <c r="A1426" s="3">
        <v>41803</v>
      </c>
      <c r="B1426" s="36">
        <v>113</v>
      </c>
      <c r="C1426" t="s">
        <v>2378</v>
      </c>
      <c r="D1426">
        <v>6</v>
      </c>
      <c r="E1426" s="18">
        <v>-600</v>
      </c>
      <c r="G1426" t="s">
        <v>2379</v>
      </c>
      <c r="H1426" s="18" t="s">
        <v>442</v>
      </c>
      <c r="I1426" s="3" t="s">
        <v>442</v>
      </c>
      <c r="J1426"/>
      <c r="L1426"/>
      <c r="M1426"/>
      <c r="N1426" s="20"/>
      <c r="O1426" t="s">
        <v>2388</v>
      </c>
      <c r="P1426" s="20"/>
      <c r="Q1426" s="20"/>
      <c r="R1426" s="20"/>
      <c r="S1426" s="20"/>
      <c r="T1426" s="20"/>
    </row>
    <row r="1427" spans="1:20" x14ac:dyDescent="0.25">
      <c r="A1427" s="3">
        <v>41999</v>
      </c>
      <c r="B1427" s="36">
        <v>113</v>
      </c>
      <c r="C1427" t="s">
        <v>2389</v>
      </c>
      <c r="D1427">
        <v>2.5499999999999998</v>
      </c>
      <c r="E1427" s="18">
        <v>254.99999999999997</v>
      </c>
      <c r="G1427" t="s">
        <v>2390</v>
      </c>
      <c r="H1427" s="18">
        <v>254.99999999999997</v>
      </c>
      <c r="I1427" s="3">
        <v>41999</v>
      </c>
      <c r="J1427"/>
      <c r="L1427"/>
      <c r="M1427"/>
      <c r="N1427" s="20"/>
      <c r="O1427" t="s">
        <v>931</v>
      </c>
      <c r="P1427" s="20"/>
      <c r="Q1427" s="20"/>
      <c r="R1427" s="20"/>
      <c r="S1427" s="20"/>
      <c r="T1427" s="20"/>
    </row>
    <row r="1428" spans="1:20" x14ac:dyDescent="0.25">
      <c r="A1428" s="3">
        <v>41999</v>
      </c>
      <c r="B1428" s="36">
        <v>113</v>
      </c>
      <c r="C1428" t="s">
        <v>2389</v>
      </c>
      <c r="D1428">
        <v>2.5499999999999998</v>
      </c>
      <c r="E1428" s="18">
        <v>254.99999999999994</v>
      </c>
      <c r="F1428" t="s">
        <v>889</v>
      </c>
      <c r="G1428" t="s">
        <v>2390</v>
      </c>
      <c r="H1428" s="18">
        <v>254.99999999999994</v>
      </c>
      <c r="I1428" s="3">
        <v>41999</v>
      </c>
      <c r="J1428"/>
      <c r="L1428"/>
      <c r="M1428"/>
      <c r="N1428" s="20"/>
      <c r="O1428" t="s">
        <v>959</v>
      </c>
      <c r="P1428" s="20"/>
      <c r="Q1428" s="20"/>
      <c r="R1428" s="20"/>
      <c r="S1428" s="20"/>
      <c r="T1428" s="20"/>
    </row>
    <row r="1429" spans="1:20" x14ac:dyDescent="0.25">
      <c r="A1429" s="3">
        <v>41999</v>
      </c>
      <c r="B1429" s="36">
        <v>113</v>
      </c>
      <c r="C1429" t="s">
        <v>2386</v>
      </c>
      <c r="D1429">
        <v>7</v>
      </c>
      <c r="E1429" s="18">
        <v>-700</v>
      </c>
      <c r="G1429" t="s">
        <v>2387</v>
      </c>
      <c r="H1429" s="18" t="s">
        <v>442</v>
      </c>
      <c r="I1429" s="3" t="s">
        <v>442</v>
      </c>
      <c r="J1429"/>
      <c r="L1429"/>
      <c r="M1429"/>
      <c r="N1429" s="20"/>
      <c r="O1429" t="s">
        <v>995</v>
      </c>
      <c r="P1429" s="20"/>
      <c r="Q1429" s="20"/>
      <c r="R1429" s="20"/>
      <c r="S1429" s="20"/>
      <c r="T1429" s="20"/>
    </row>
    <row r="1430" spans="1:20" x14ac:dyDescent="0.25">
      <c r="A1430" s="3">
        <v>41999</v>
      </c>
      <c r="B1430" s="36">
        <v>113</v>
      </c>
      <c r="C1430" t="s">
        <v>2366</v>
      </c>
      <c r="E1430" s="18">
        <v>280.5</v>
      </c>
      <c r="F1430" t="s">
        <v>889</v>
      </c>
      <c r="G1430" t="s">
        <v>2367</v>
      </c>
      <c r="H1430" s="18">
        <v>280.5</v>
      </c>
      <c r="I1430" s="3">
        <v>41999</v>
      </c>
      <c r="J1430"/>
      <c r="L1430"/>
      <c r="M1430"/>
      <c r="N1430" s="20"/>
      <c r="O1430" t="s">
        <v>959</v>
      </c>
      <c r="P1430" s="20"/>
      <c r="Q1430" s="20"/>
      <c r="R1430" s="20"/>
      <c r="S1430" s="20"/>
      <c r="T1430" s="20"/>
    </row>
    <row r="1431" spans="1:20" x14ac:dyDescent="0.25">
      <c r="A1431" s="3">
        <v>41999</v>
      </c>
      <c r="B1431" s="36">
        <v>113</v>
      </c>
      <c r="C1431" t="s">
        <v>2356</v>
      </c>
      <c r="E1431" s="18">
        <v>250</v>
      </c>
      <c r="F1431" t="s">
        <v>889</v>
      </c>
      <c r="G1431" t="s">
        <v>2357</v>
      </c>
      <c r="H1431" s="18">
        <v>250</v>
      </c>
      <c r="I1431" s="3">
        <v>41999</v>
      </c>
      <c r="J1431"/>
      <c r="L1431"/>
      <c r="M1431"/>
      <c r="N1431" s="20"/>
      <c r="O1431" t="s">
        <v>959</v>
      </c>
      <c r="P1431" s="20"/>
      <c r="Q1431" s="20"/>
      <c r="R1431" s="20"/>
      <c r="S1431" s="20"/>
      <c r="T1431" s="20"/>
    </row>
    <row r="1432" spans="1:20" x14ac:dyDescent="0.25">
      <c r="A1432" s="3">
        <v>41999</v>
      </c>
      <c r="B1432" s="36">
        <v>113</v>
      </c>
      <c r="C1432" t="s">
        <v>2360</v>
      </c>
      <c r="D1432">
        <v>6.8849999999999998</v>
      </c>
      <c r="E1432" s="18">
        <v>-1000</v>
      </c>
      <c r="F1432" t="s">
        <v>889</v>
      </c>
      <c r="G1432" t="s">
        <v>2361</v>
      </c>
      <c r="H1432" s="18" t="s">
        <v>442</v>
      </c>
      <c r="I1432" s="3" t="s">
        <v>442</v>
      </c>
      <c r="J1432"/>
      <c r="L1432"/>
      <c r="M1432"/>
      <c r="N1432" s="20"/>
      <c r="O1432"/>
      <c r="P1432" s="20"/>
      <c r="Q1432" s="20"/>
      <c r="R1432" s="20"/>
      <c r="S1432" s="20"/>
      <c r="T1432" s="20"/>
    </row>
    <row r="1433" spans="1:20" x14ac:dyDescent="0.25">
      <c r="A1433" s="3">
        <v>41999</v>
      </c>
      <c r="B1433" s="36">
        <v>113</v>
      </c>
      <c r="C1433" t="s">
        <v>2362</v>
      </c>
      <c r="D1433">
        <v>4.08</v>
      </c>
      <c r="E1433" s="18">
        <v>441</v>
      </c>
      <c r="F1433" t="s">
        <v>889</v>
      </c>
      <c r="G1433" t="s">
        <v>2363</v>
      </c>
      <c r="H1433" s="18">
        <v>441</v>
      </c>
      <c r="I1433" s="3">
        <v>41999</v>
      </c>
      <c r="J1433"/>
      <c r="L1433"/>
      <c r="M1433"/>
      <c r="N1433" s="20"/>
      <c r="O1433" t="s">
        <v>959</v>
      </c>
      <c r="P1433" s="20"/>
      <c r="Q1433" s="20"/>
      <c r="R1433" s="20"/>
      <c r="S1433" s="20"/>
      <c r="T1433" s="20"/>
    </row>
    <row r="1434" spans="1:20" x14ac:dyDescent="0.25">
      <c r="A1434" s="3">
        <v>41999</v>
      </c>
      <c r="B1434" s="36">
        <v>113</v>
      </c>
      <c r="C1434" t="s">
        <v>2374</v>
      </c>
      <c r="D1434">
        <v>0.56999999999999995</v>
      </c>
      <c r="E1434" s="18">
        <v>57</v>
      </c>
      <c r="G1434" t="s">
        <v>2375</v>
      </c>
      <c r="H1434" s="18">
        <v>57</v>
      </c>
      <c r="I1434" s="3">
        <v>41999</v>
      </c>
      <c r="J1434"/>
      <c r="L1434"/>
      <c r="M1434"/>
      <c r="N1434" s="20"/>
      <c r="O1434" t="s">
        <v>2391</v>
      </c>
      <c r="P1434" s="20"/>
      <c r="Q1434" s="20"/>
      <c r="R1434" s="20"/>
      <c r="S1434" s="20"/>
      <c r="T1434" s="20"/>
    </row>
    <row r="1435" spans="1:20" x14ac:dyDescent="0.25">
      <c r="A1435" s="3">
        <v>41999</v>
      </c>
      <c r="B1435" s="36">
        <v>113</v>
      </c>
      <c r="C1435" t="s">
        <v>2374</v>
      </c>
      <c r="D1435">
        <v>3.57</v>
      </c>
      <c r="E1435" s="18">
        <v>-357</v>
      </c>
      <c r="G1435" t="s">
        <v>2375</v>
      </c>
      <c r="H1435" s="18" t="s">
        <v>442</v>
      </c>
      <c r="I1435" s="3" t="s">
        <v>442</v>
      </c>
      <c r="J1435"/>
      <c r="L1435"/>
      <c r="M1435"/>
      <c r="N1435" s="20"/>
      <c r="O1435" t="s">
        <v>1835</v>
      </c>
      <c r="P1435" s="20"/>
      <c r="Q1435" s="20"/>
      <c r="R1435" s="20"/>
      <c r="S1435" s="20"/>
      <c r="T1435" s="20"/>
    </row>
    <row r="1436" spans="1:20" x14ac:dyDescent="0.25">
      <c r="A1436" s="3">
        <v>41999</v>
      </c>
      <c r="B1436" s="36">
        <v>113</v>
      </c>
      <c r="C1436" t="s">
        <v>2358</v>
      </c>
      <c r="D1436">
        <v>4.75</v>
      </c>
      <c r="E1436" s="18">
        <v>550</v>
      </c>
      <c r="F1436" t="s">
        <v>889</v>
      </c>
      <c r="G1436" t="s">
        <v>2359</v>
      </c>
      <c r="H1436" s="18">
        <v>550</v>
      </c>
      <c r="I1436" s="3">
        <v>41999</v>
      </c>
      <c r="J1436"/>
      <c r="L1436"/>
      <c r="M1436"/>
      <c r="N1436" s="20"/>
      <c r="O1436" t="s">
        <v>959</v>
      </c>
      <c r="P1436" s="20"/>
      <c r="Q1436" s="20"/>
      <c r="R1436" s="20"/>
      <c r="S1436" s="20"/>
      <c r="T1436" s="20"/>
    </row>
    <row r="1437" spans="1:20" x14ac:dyDescent="0.25">
      <c r="A1437" s="3">
        <v>41999</v>
      </c>
      <c r="B1437" s="36">
        <v>113</v>
      </c>
      <c r="C1437" t="s">
        <v>2364</v>
      </c>
      <c r="E1437" s="18">
        <v>234.99999999999994</v>
      </c>
      <c r="F1437" t="s">
        <v>889</v>
      </c>
      <c r="G1437" t="s">
        <v>2365</v>
      </c>
      <c r="H1437" s="18">
        <v>234.99999999999994</v>
      </c>
      <c r="I1437" s="3">
        <v>41999</v>
      </c>
      <c r="J1437"/>
      <c r="L1437"/>
      <c r="M1437"/>
      <c r="N1437" s="20"/>
      <c r="O1437" t="s">
        <v>959</v>
      </c>
      <c r="P1437" s="20"/>
      <c r="Q1437" s="20"/>
      <c r="R1437" s="20"/>
      <c r="S1437" s="20"/>
      <c r="T1437" s="20"/>
    </row>
    <row r="1438" spans="1:20" x14ac:dyDescent="0.25">
      <c r="A1438" s="3">
        <v>41999</v>
      </c>
      <c r="B1438" s="36">
        <v>113</v>
      </c>
      <c r="C1438" t="s">
        <v>2376</v>
      </c>
      <c r="D1438">
        <v>2.5499999999999998</v>
      </c>
      <c r="E1438" s="18">
        <v>234.99999999999994</v>
      </c>
      <c r="F1438" t="s">
        <v>889</v>
      </c>
      <c r="G1438" t="s">
        <v>2377</v>
      </c>
      <c r="H1438" s="18">
        <v>234.99999999999994</v>
      </c>
      <c r="I1438" s="3">
        <v>41999</v>
      </c>
      <c r="J1438"/>
      <c r="L1438"/>
      <c r="M1438"/>
      <c r="N1438" s="20"/>
      <c r="O1438" t="s">
        <v>959</v>
      </c>
      <c r="P1438" s="20"/>
      <c r="Q1438" s="20"/>
      <c r="R1438" s="20"/>
      <c r="S1438" s="20"/>
      <c r="T1438" s="20"/>
    </row>
    <row r="1439" spans="1:20" x14ac:dyDescent="0.25">
      <c r="A1439" s="3">
        <v>41999</v>
      </c>
      <c r="B1439" s="36">
        <v>113</v>
      </c>
      <c r="C1439" t="s">
        <v>2380</v>
      </c>
      <c r="D1439">
        <v>2.5499999999999998</v>
      </c>
      <c r="E1439" s="18">
        <v>-275</v>
      </c>
      <c r="F1439" t="s">
        <v>889</v>
      </c>
      <c r="G1439" t="s">
        <v>2381</v>
      </c>
      <c r="H1439" s="18" t="s">
        <v>442</v>
      </c>
      <c r="I1439" s="3" t="s">
        <v>442</v>
      </c>
      <c r="J1439"/>
      <c r="L1439"/>
      <c r="M1439"/>
      <c r="N1439" s="20"/>
      <c r="O1439" t="s">
        <v>2392</v>
      </c>
      <c r="P1439" s="20"/>
      <c r="Q1439" s="20"/>
      <c r="R1439" s="20"/>
      <c r="S1439" s="20"/>
      <c r="T1439" s="20"/>
    </row>
    <row r="1440" spans="1:20" x14ac:dyDescent="0.25">
      <c r="A1440" s="3">
        <v>42041</v>
      </c>
      <c r="B1440">
        <v>113</v>
      </c>
      <c r="C1440" t="s">
        <v>2384</v>
      </c>
      <c r="E1440" s="18">
        <v>119</v>
      </c>
      <c r="F1440" t="s">
        <v>889</v>
      </c>
      <c r="G1440" t="s">
        <v>2385</v>
      </c>
      <c r="I1440"/>
      <c r="J1440"/>
      <c r="L1440"/>
      <c r="M1440"/>
      <c r="O1440"/>
      <c r="P1440" s="20"/>
      <c r="Q1440" s="20"/>
      <c r="R1440" s="20"/>
      <c r="S1440" s="20"/>
      <c r="T1440" s="20"/>
    </row>
    <row r="1441" spans="1:21" x14ac:dyDescent="0.25">
      <c r="A1441" s="3">
        <v>42041</v>
      </c>
      <c r="B1441">
        <v>113</v>
      </c>
      <c r="C1441" t="s">
        <v>2384</v>
      </c>
      <c r="D1441">
        <v>4.08</v>
      </c>
      <c r="E1441" s="18">
        <v>119</v>
      </c>
      <c r="F1441" t="s">
        <v>889</v>
      </c>
      <c r="G1441" t="s">
        <v>2385</v>
      </c>
      <c r="I1441"/>
      <c r="J1441"/>
      <c r="L1441"/>
      <c r="M1441"/>
      <c r="O1441"/>
      <c r="P1441" s="20"/>
      <c r="Q1441" s="20"/>
      <c r="R1441" s="20"/>
      <c r="S1441" s="20"/>
      <c r="T1441" s="20"/>
    </row>
    <row r="1442" spans="1:21" x14ac:dyDescent="0.25">
      <c r="A1442" s="3">
        <v>42041</v>
      </c>
      <c r="B1442">
        <v>113</v>
      </c>
      <c r="C1442" t="s">
        <v>2378</v>
      </c>
      <c r="E1442" s="18">
        <v>38</v>
      </c>
      <c r="F1442" t="s">
        <v>889</v>
      </c>
      <c r="G1442" t="s">
        <v>2379</v>
      </c>
      <c r="I1442"/>
      <c r="J1442"/>
      <c r="L1442"/>
      <c r="M1442"/>
      <c r="O1442"/>
      <c r="P1442" s="20"/>
      <c r="Q1442" s="20"/>
      <c r="R1442" s="20"/>
      <c r="S1442" s="20"/>
      <c r="T1442" s="20"/>
    </row>
    <row r="1443" spans="1:21" x14ac:dyDescent="0.25">
      <c r="A1443" s="3">
        <v>42041</v>
      </c>
      <c r="B1443">
        <v>113</v>
      </c>
      <c r="C1443" t="s">
        <v>2378</v>
      </c>
      <c r="D1443">
        <v>3.57</v>
      </c>
      <c r="E1443" s="18">
        <v>38</v>
      </c>
      <c r="F1443" t="s">
        <v>889</v>
      </c>
      <c r="G1443" t="s">
        <v>2379</v>
      </c>
      <c r="I1443"/>
      <c r="J1443"/>
      <c r="L1443"/>
      <c r="M1443"/>
      <c r="O1443"/>
      <c r="P1443" s="20"/>
      <c r="Q1443" s="20"/>
      <c r="R1443" s="20"/>
      <c r="S1443" s="20"/>
      <c r="T1443" s="20"/>
    </row>
    <row r="1444" spans="1:21" x14ac:dyDescent="0.25">
      <c r="A1444" s="3">
        <v>42041</v>
      </c>
      <c r="B1444">
        <v>113</v>
      </c>
      <c r="C1444" t="s">
        <v>2358</v>
      </c>
      <c r="D1444">
        <v>2.75</v>
      </c>
      <c r="E1444" s="18">
        <v>-400</v>
      </c>
      <c r="F1444" t="s">
        <v>889</v>
      </c>
      <c r="G1444" t="s">
        <v>2359</v>
      </c>
      <c r="I1444"/>
      <c r="J1444"/>
      <c r="L1444"/>
      <c r="M1444"/>
      <c r="O1444"/>
      <c r="P1444" s="20"/>
      <c r="Q1444" s="20"/>
      <c r="R1444" s="20"/>
      <c r="S1444" s="20"/>
      <c r="T1444" s="20"/>
    </row>
    <row r="1445" spans="1:21" x14ac:dyDescent="0.25">
      <c r="A1445" s="3">
        <v>42041</v>
      </c>
      <c r="B1445">
        <v>113</v>
      </c>
      <c r="C1445" t="s">
        <v>2382</v>
      </c>
      <c r="E1445" s="18">
        <v>103.66666666666667</v>
      </c>
      <c r="F1445" t="s">
        <v>889</v>
      </c>
      <c r="G1445" t="s">
        <v>2383</v>
      </c>
      <c r="I1445"/>
      <c r="J1445"/>
      <c r="L1445"/>
      <c r="M1445"/>
      <c r="O1445"/>
      <c r="P1445" s="20"/>
      <c r="Q1445" s="20"/>
      <c r="R1445" s="20"/>
      <c r="S1445" s="20"/>
      <c r="T1445" s="20"/>
    </row>
    <row r="1446" spans="1:21" x14ac:dyDescent="0.25">
      <c r="A1446" s="3">
        <v>42041</v>
      </c>
      <c r="B1446">
        <v>113</v>
      </c>
      <c r="C1446" t="s">
        <v>2382</v>
      </c>
      <c r="D1446">
        <v>2.8050000000000002</v>
      </c>
      <c r="E1446" s="18">
        <v>103.66666666666667</v>
      </c>
      <c r="F1446" t="s">
        <v>889</v>
      </c>
      <c r="G1446" t="s">
        <v>2383</v>
      </c>
      <c r="I1446"/>
      <c r="J1446"/>
      <c r="L1446"/>
      <c r="M1446"/>
      <c r="O1446"/>
      <c r="P1446" s="20"/>
      <c r="Q1446" s="20"/>
      <c r="R1446" s="20"/>
      <c r="S1446" s="20"/>
      <c r="T1446" s="20"/>
    </row>
    <row r="1447" spans="1:21" x14ac:dyDescent="0.25">
      <c r="B1447">
        <v>113</v>
      </c>
      <c r="C1447" t="s">
        <v>2384</v>
      </c>
      <c r="D1447">
        <v>4.08</v>
      </c>
      <c r="E1447" s="18">
        <v>119</v>
      </c>
      <c r="F1447" t="s">
        <v>889</v>
      </c>
      <c r="G1447" t="s">
        <v>2385</v>
      </c>
      <c r="I1447"/>
      <c r="J1447"/>
      <c r="L1447"/>
      <c r="M1447"/>
      <c r="O1447"/>
      <c r="P1447" s="20"/>
      <c r="Q1447" s="20"/>
      <c r="R1447" s="20"/>
      <c r="S1447" s="20"/>
      <c r="T1447" s="20"/>
      <c r="U1447" t="s">
        <v>401</v>
      </c>
    </row>
    <row r="1448" spans="1:21" x14ac:dyDescent="0.25">
      <c r="B1448">
        <v>113</v>
      </c>
      <c r="C1448" t="s">
        <v>2378</v>
      </c>
      <c r="D1448">
        <v>3.57</v>
      </c>
      <c r="E1448" s="18">
        <v>38</v>
      </c>
      <c r="F1448" t="s">
        <v>889</v>
      </c>
      <c r="G1448" t="s">
        <v>2379</v>
      </c>
      <c r="I1448"/>
      <c r="J1448"/>
      <c r="L1448"/>
      <c r="M1448"/>
      <c r="O1448"/>
      <c r="P1448" s="20"/>
      <c r="Q1448" s="20"/>
      <c r="R1448" s="20"/>
      <c r="S1448" s="20"/>
      <c r="T1448" s="20"/>
      <c r="U1448" t="s">
        <v>401</v>
      </c>
    </row>
    <row r="1449" spans="1:21" x14ac:dyDescent="0.25">
      <c r="A1449" s="3">
        <v>41746</v>
      </c>
      <c r="B1449" s="36">
        <v>114</v>
      </c>
      <c r="C1449" t="s">
        <v>2393</v>
      </c>
      <c r="D1449">
        <v>5.5</v>
      </c>
      <c r="E1449" s="18">
        <v>550</v>
      </c>
      <c r="G1449" t="s">
        <v>2394</v>
      </c>
      <c r="H1449" s="18">
        <v>550</v>
      </c>
      <c r="I1449" s="3">
        <v>41746</v>
      </c>
      <c r="J1449"/>
      <c r="L1449"/>
      <c r="M1449"/>
      <c r="N1449" s="20"/>
      <c r="O1449"/>
      <c r="P1449" s="20"/>
      <c r="Q1449" s="20"/>
      <c r="R1449" s="20"/>
      <c r="S1449" s="20"/>
      <c r="T1449" s="20"/>
    </row>
    <row r="1450" spans="1:21" x14ac:dyDescent="0.25">
      <c r="A1450" s="3">
        <v>41753</v>
      </c>
      <c r="B1450" s="36">
        <v>114</v>
      </c>
      <c r="C1450" t="s">
        <v>2395</v>
      </c>
      <c r="D1450">
        <v>3</v>
      </c>
      <c r="E1450" s="18">
        <v>300</v>
      </c>
      <c r="G1450" t="s">
        <v>2396</v>
      </c>
      <c r="H1450" s="18">
        <v>300</v>
      </c>
      <c r="I1450" s="3">
        <v>41753</v>
      </c>
      <c r="J1450"/>
      <c r="L1450"/>
      <c r="M1450"/>
      <c r="N1450" s="20"/>
      <c r="O1450"/>
      <c r="P1450" s="20"/>
      <c r="Q1450" s="20"/>
      <c r="R1450" s="20"/>
      <c r="S1450" s="20"/>
      <c r="T1450" s="20"/>
    </row>
    <row r="1451" spans="1:21" x14ac:dyDescent="0.25">
      <c r="A1451" s="3">
        <v>41753</v>
      </c>
      <c r="B1451" s="36">
        <v>114</v>
      </c>
      <c r="C1451" t="s">
        <v>2397</v>
      </c>
      <c r="D1451">
        <v>5.5</v>
      </c>
      <c r="E1451" s="18">
        <v>550</v>
      </c>
      <c r="G1451" t="s">
        <v>2398</v>
      </c>
      <c r="H1451" s="18">
        <v>550</v>
      </c>
      <c r="I1451" s="3">
        <v>41753</v>
      </c>
      <c r="J1451"/>
      <c r="L1451"/>
      <c r="M1451"/>
      <c r="N1451" s="20"/>
      <c r="O1451"/>
      <c r="P1451" s="20"/>
      <c r="Q1451" s="20"/>
      <c r="R1451" s="20"/>
      <c r="S1451" s="20"/>
      <c r="T1451" s="20"/>
    </row>
    <row r="1452" spans="1:21" x14ac:dyDescent="0.25">
      <c r="A1452" s="3">
        <v>41753</v>
      </c>
      <c r="B1452" s="36">
        <v>114</v>
      </c>
      <c r="C1452" t="s">
        <v>2399</v>
      </c>
      <c r="D1452">
        <v>6.25</v>
      </c>
      <c r="E1452" s="18">
        <v>625</v>
      </c>
      <c r="G1452" t="s">
        <v>2400</v>
      </c>
      <c r="H1452" s="18">
        <v>625</v>
      </c>
      <c r="I1452" s="3">
        <v>41753</v>
      </c>
      <c r="J1452"/>
      <c r="L1452"/>
      <c r="M1452"/>
      <c r="N1452" s="20"/>
      <c r="O1452"/>
      <c r="P1452" s="20"/>
      <c r="Q1452" s="20"/>
      <c r="R1452" s="20"/>
      <c r="S1452" s="20"/>
      <c r="T1452" s="20"/>
    </row>
    <row r="1453" spans="1:21" x14ac:dyDescent="0.25">
      <c r="A1453" s="3">
        <v>41753</v>
      </c>
      <c r="B1453" s="36">
        <v>114</v>
      </c>
      <c r="C1453" t="s">
        <v>2401</v>
      </c>
      <c r="D1453">
        <v>6.25</v>
      </c>
      <c r="E1453" s="18">
        <v>625</v>
      </c>
      <c r="G1453" t="s">
        <v>2402</v>
      </c>
      <c r="H1453" s="18">
        <v>625</v>
      </c>
      <c r="I1453" s="3">
        <v>41753</v>
      </c>
      <c r="J1453"/>
      <c r="L1453"/>
      <c r="M1453"/>
      <c r="N1453" s="20"/>
      <c r="O1453"/>
      <c r="P1453" s="20"/>
      <c r="Q1453" s="20"/>
      <c r="R1453" s="20"/>
      <c r="S1453" s="20"/>
      <c r="T1453" s="20"/>
    </row>
    <row r="1454" spans="1:21" x14ac:dyDescent="0.25">
      <c r="A1454" s="3">
        <v>41753</v>
      </c>
      <c r="B1454" s="36">
        <v>114</v>
      </c>
      <c r="C1454" t="s">
        <v>2403</v>
      </c>
      <c r="D1454">
        <v>6.37</v>
      </c>
      <c r="E1454" s="18">
        <v>637</v>
      </c>
      <c r="G1454" t="s">
        <v>2404</v>
      </c>
      <c r="H1454" s="18">
        <v>637</v>
      </c>
      <c r="I1454" s="3">
        <v>41753</v>
      </c>
      <c r="J1454"/>
      <c r="L1454"/>
      <c r="M1454"/>
      <c r="N1454" s="20"/>
      <c r="O1454"/>
      <c r="P1454" s="20"/>
      <c r="Q1454" s="20"/>
      <c r="R1454" s="20"/>
      <c r="S1454" s="20"/>
      <c r="T1454" s="20"/>
    </row>
    <row r="1455" spans="1:21" x14ac:dyDescent="0.25">
      <c r="A1455" s="3">
        <v>41761</v>
      </c>
      <c r="B1455" s="36">
        <v>114</v>
      </c>
      <c r="C1455" t="s">
        <v>2405</v>
      </c>
      <c r="D1455">
        <v>4.75</v>
      </c>
      <c r="E1455" s="18">
        <v>475</v>
      </c>
      <c r="G1455" t="s">
        <v>2406</v>
      </c>
      <c r="H1455" s="18">
        <v>475</v>
      </c>
      <c r="I1455" s="3">
        <v>41761</v>
      </c>
      <c r="J1455"/>
      <c r="L1455"/>
      <c r="M1455"/>
      <c r="N1455" s="20"/>
      <c r="O1455"/>
      <c r="P1455" s="20"/>
      <c r="Q1455" s="20"/>
      <c r="R1455" s="20"/>
      <c r="S1455" s="20"/>
      <c r="T1455" s="20"/>
    </row>
    <row r="1456" spans="1:21" x14ac:dyDescent="0.25">
      <c r="A1456" s="3">
        <v>41761</v>
      </c>
      <c r="B1456" s="36">
        <v>114</v>
      </c>
      <c r="C1456" t="s">
        <v>2405</v>
      </c>
      <c r="D1456">
        <v>3.75</v>
      </c>
      <c r="E1456" s="18">
        <v>375</v>
      </c>
      <c r="G1456" t="s">
        <v>2407</v>
      </c>
      <c r="H1456" s="18">
        <v>375</v>
      </c>
      <c r="I1456" s="3">
        <v>41761</v>
      </c>
      <c r="J1456"/>
      <c r="L1456"/>
      <c r="M1456"/>
      <c r="N1456" s="20"/>
      <c r="O1456"/>
      <c r="P1456" s="20"/>
      <c r="Q1456" s="20"/>
      <c r="R1456" s="20"/>
      <c r="S1456" s="20"/>
      <c r="T1456" s="20"/>
    </row>
    <row r="1457" spans="1:20" x14ac:dyDescent="0.25">
      <c r="A1457" s="3">
        <v>41761</v>
      </c>
      <c r="B1457" s="36">
        <v>114</v>
      </c>
      <c r="C1457" t="s">
        <v>2408</v>
      </c>
      <c r="D1457">
        <v>6</v>
      </c>
      <c r="E1457" s="18">
        <v>600</v>
      </c>
      <c r="G1457" t="s">
        <v>2409</v>
      </c>
      <c r="H1457" s="18">
        <v>600</v>
      </c>
      <c r="I1457" s="3">
        <v>41761</v>
      </c>
      <c r="J1457"/>
      <c r="L1457"/>
      <c r="M1457"/>
      <c r="N1457" s="20"/>
      <c r="O1457"/>
      <c r="P1457" s="20"/>
      <c r="Q1457" s="20"/>
      <c r="R1457" s="20"/>
      <c r="S1457" s="20"/>
      <c r="T1457" s="20"/>
    </row>
    <row r="1458" spans="1:20" x14ac:dyDescent="0.25">
      <c r="A1458" s="3">
        <v>41761</v>
      </c>
      <c r="B1458" s="36">
        <v>114</v>
      </c>
      <c r="C1458" t="s">
        <v>2410</v>
      </c>
      <c r="D1458">
        <v>7</v>
      </c>
      <c r="E1458" s="18">
        <v>700</v>
      </c>
      <c r="G1458" t="s">
        <v>2411</v>
      </c>
      <c r="H1458" s="18">
        <v>700</v>
      </c>
      <c r="I1458" s="3">
        <v>41761</v>
      </c>
      <c r="J1458"/>
      <c r="L1458"/>
      <c r="M1458"/>
      <c r="N1458" s="20"/>
      <c r="O1458"/>
      <c r="P1458" s="20"/>
      <c r="Q1458" s="20"/>
      <c r="R1458" s="20"/>
      <c r="S1458" s="20"/>
      <c r="T1458" s="20"/>
    </row>
    <row r="1459" spans="1:20" x14ac:dyDescent="0.25">
      <c r="A1459" s="3">
        <v>41761</v>
      </c>
      <c r="B1459" s="36">
        <v>114</v>
      </c>
      <c r="C1459" t="s">
        <v>2410</v>
      </c>
      <c r="D1459">
        <v>6.5</v>
      </c>
      <c r="E1459" s="18">
        <v>650</v>
      </c>
      <c r="G1459" t="s">
        <v>2412</v>
      </c>
      <c r="H1459" s="18">
        <v>650</v>
      </c>
      <c r="I1459" s="3">
        <v>41761</v>
      </c>
      <c r="J1459"/>
      <c r="L1459"/>
      <c r="M1459"/>
      <c r="N1459" s="20"/>
      <c r="O1459"/>
      <c r="P1459" s="20"/>
      <c r="Q1459" s="20"/>
      <c r="R1459" s="20"/>
      <c r="S1459" s="20"/>
      <c r="T1459" s="20"/>
    </row>
    <row r="1460" spans="1:20" x14ac:dyDescent="0.25">
      <c r="A1460" s="3">
        <v>41768</v>
      </c>
      <c r="B1460" s="36">
        <v>114</v>
      </c>
      <c r="C1460" t="s">
        <v>2413</v>
      </c>
      <c r="D1460">
        <v>6.8849999999999998</v>
      </c>
      <c r="E1460" s="18">
        <v>688.5</v>
      </c>
      <c r="G1460" t="s">
        <v>2414</v>
      </c>
      <c r="H1460" s="18">
        <v>688.5</v>
      </c>
      <c r="I1460" s="3">
        <v>41768</v>
      </c>
      <c r="J1460"/>
      <c r="L1460"/>
      <c r="M1460"/>
      <c r="N1460" s="20"/>
      <c r="O1460"/>
      <c r="P1460" s="20"/>
      <c r="Q1460" s="20"/>
      <c r="R1460" s="20"/>
      <c r="S1460" s="20"/>
      <c r="T1460" s="20"/>
    </row>
    <row r="1461" spans="1:20" x14ac:dyDescent="0.25">
      <c r="A1461" s="3">
        <v>41768</v>
      </c>
      <c r="B1461" s="36">
        <v>114</v>
      </c>
      <c r="C1461" t="s">
        <v>2415</v>
      </c>
      <c r="D1461">
        <v>5.61</v>
      </c>
      <c r="E1461" s="18">
        <v>561</v>
      </c>
      <c r="G1461" t="s">
        <v>2416</v>
      </c>
      <c r="H1461" s="18">
        <v>561</v>
      </c>
      <c r="I1461" s="3">
        <v>41768</v>
      </c>
      <c r="J1461"/>
      <c r="L1461"/>
      <c r="M1461"/>
      <c r="N1461" s="20"/>
      <c r="O1461"/>
      <c r="P1461" s="20"/>
      <c r="Q1461" s="20"/>
      <c r="R1461" s="20"/>
      <c r="S1461" s="20"/>
      <c r="T1461" s="20"/>
    </row>
    <row r="1462" spans="1:20" x14ac:dyDescent="0.25">
      <c r="A1462" s="3">
        <v>41768</v>
      </c>
      <c r="B1462" s="36">
        <v>114</v>
      </c>
      <c r="C1462" t="s">
        <v>2417</v>
      </c>
      <c r="D1462">
        <v>3.5</v>
      </c>
      <c r="E1462" s="18">
        <v>350</v>
      </c>
      <c r="G1462" t="s">
        <v>2418</v>
      </c>
      <c r="H1462" s="18">
        <v>350</v>
      </c>
      <c r="I1462" s="3">
        <v>41768</v>
      </c>
      <c r="J1462"/>
      <c r="L1462"/>
      <c r="M1462"/>
      <c r="N1462" s="20"/>
      <c r="O1462"/>
      <c r="P1462" s="20"/>
      <c r="Q1462" s="20"/>
      <c r="R1462" s="20"/>
      <c r="S1462" s="20"/>
      <c r="T1462" s="20"/>
    </row>
    <row r="1463" spans="1:20" x14ac:dyDescent="0.25">
      <c r="A1463" s="3">
        <v>41775</v>
      </c>
      <c r="B1463" s="36">
        <v>114</v>
      </c>
      <c r="C1463" t="s">
        <v>2419</v>
      </c>
      <c r="D1463">
        <v>5.75</v>
      </c>
      <c r="E1463" s="18">
        <v>575</v>
      </c>
      <c r="G1463" t="s">
        <v>2420</v>
      </c>
      <c r="H1463" s="18">
        <v>575</v>
      </c>
      <c r="I1463" s="3">
        <v>41775</v>
      </c>
      <c r="J1463"/>
      <c r="L1463"/>
      <c r="M1463"/>
      <c r="N1463" s="20"/>
      <c r="O1463"/>
      <c r="P1463" s="20"/>
      <c r="Q1463" s="20"/>
      <c r="R1463" s="20"/>
      <c r="S1463" s="20"/>
      <c r="T1463" s="20"/>
    </row>
    <row r="1464" spans="1:20" x14ac:dyDescent="0.25">
      <c r="A1464" s="3">
        <v>41775</v>
      </c>
      <c r="B1464" s="36">
        <v>114</v>
      </c>
      <c r="C1464" t="s">
        <v>2421</v>
      </c>
      <c r="D1464">
        <v>7</v>
      </c>
      <c r="E1464" s="18">
        <v>700</v>
      </c>
      <c r="G1464" t="s">
        <v>2422</v>
      </c>
      <c r="H1464" s="18">
        <v>700</v>
      </c>
      <c r="I1464" s="3">
        <v>41775</v>
      </c>
      <c r="J1464"/>
      <c r="L1464"/>
      <c r="M1464"/>
      <c r="N1464" s="20"/>
      <c r="O1464"/>
      <c r="P1464" s="20"/>
      <c r="Q1464" s="20"/>
      <c r="R1464" s="20"/>
      <c r="S1464" s="20"/>
      <c r="T1464" s="20"/>
    </row>
    <row r="1465" spans="1:20" x14ac:dyDescent="0.25">
      <c r="A1465" s="3">
        <v>41775</v>
      </c>
      <c r="B1465" s="36">
        <v>114</v>
      </c>
      <c r="C1465" t="s">
        <v>2423</v>
      </c>
      <c r="D1465">
        <v>5</v>
      </c>
      <c r="E1465" s="18">
        <v>500</v>
      </c>
      <c r="G1465" t="s">
        <v>2424</v>
      </c>
      <c r="H1465" s="18">
        <v>500</v>
      </c>
      <c r="I1465" s="3">
        <v>41775</v>
      </c>
      <c r="J1465"/>
      <c r="L1465"/>
      <c r="M1465"/>
      <c r="N1465" s="20"/>
      <c r="O1465"/>
      <c r="P1465" s="20"/>
      <c r="Q1465" s="20"/>
      <c r="R1465" s="20"/>
      <c r="S1465" s="20"/>
      <c r="T1465" s="20"/>
    </row>
    <row r="1466" spans="1:20" x14ac:dyDescent="0.25">
      <c r="A1466" s="3">
        <v>41775</v>
      </c>
      <c r="B1466" s="36">
        <v>114</v>
      </c>
      <c r="C1466" t="s">
        <v>2425</v>
      </c>
      <c r="D1466">
        <v>6.25</v>
      </c>
      <c r="E1466" s="18">
        <v>625</v>
      </c>
      <c r="G1466" t="s">
        <v>2426</v>
      </c>
      <c r="H1466" s="18">
        <v>625</v>
      </c>
      <c r="I1466" s="3">
        <v>41775</v>
      </c>
      <c r="J1466"/>
      <c r="L1466"/>
      <c r="M1466"/>
      <c r="N1466" s="20"/>
      <c r="O1466"/>
      <c r="P1466" s="20"/>
      <c r="Q1466" s="20"/>
      <c r="R1466" s="20"/>
      <c r="S1466" s="20"/>
      <c r="T1466" s="20"/>
    </row>
    <row r="1467" spans="1:20" x14ac:dyDescent="0.25">
      <c r="A1467" s="3">
        <v>41782</v>
      </c>
      <c r="B1467" s="36">
        <v>114</v>
      </c>
      <c r="C1467" t="s">
        <v>2427</v>
      </c>
      <c r="D1467">
        <v>8</v>
      </c>
      <c r="E1467" s="18">
        <v>800</v>
      </c>
      <c r="G1467" t="s">
        <v>2428</v>
      </c>
      <c r="H1467" s="18">
        <v>800</v>
      </c>
      <c r="I1467" s="3">
        <v>41782</v>
      </c>
      <c r="J1467"/>
      <c r="L1467"/>
      <c r="M1467"/>
      <c r="N1467" s="20"/>
      <c r="O1467"/>
      <c r="P1467" s="20"/>
      <c r="Q1467" s="20"/>
      <c r="R1467" s="20"/>
      <c r="S1467" s="20"/>
      <c r="T1467" s="20"/>
    </row>
    <row r="1468" spans="1:20" x14ac:dyDescent="0.25">
      <c r="A1468" s="3">
        <v>41782</v>
      </c>
      <c r="B1468" s="36">
        <v>114</v>
      </c>
      <c r="C1468" t="s">
        <v>2429</v>
      </c>
      <c r="D1468">
        <v>5</v>
      </c>
      <c r="E1468" s="18">
        <v>500</v>
      </c>
      <c r="G1468" t="s">
        <v>2430</v>
      </c>
      <c r="H1468" s="18">
        <v>500</v>
      </c>
      <c r="I1468" s="3">
        <v>41782</v>
      </c>
      <c r="J1468"/>
      <c r="L1468"/>
      <c r="M1468"/>
      <c r="N1468" s="20"/>
      <c r="O1468"/>
      <c r="P1468" s="20"/>
      <c r="Q1468" s="20"/>
      <c r="R1468" s="20"/>
      <c r="S1468" s="20"/>
      <c r="T1468" s="20"/>
    </row>
    <row r="1469" spans="1:20" x14ac:dyDescent="0.25">
      <c r="A1469" s="3">
        <v>41782</v>
      </c>
      <c r="B1469" s="36">
        <v>114</v>
      </c>
      <c r="C1469" t="s">
        <v>2431</v>
      </c>
      <c r="D1469">
        <v>5.3550000000000004</v>
      </c>
      <c r="E1469" s="18">
        <v>535.5</v>
      </c>
      <c r="G1469" t="s">
        <v>2432</v>
      </c>
      <c r="H1469" s="18">
        <v>535.5</v>
      </c>
      <c r="I1469" s="3">
        <v>41782</v>
      </c>
      <c r="J1469"/>
      <c r="L1469"/>
      <c r="M1469"/>
      <c r="N1469" s="20"/>
      <c r="O1469"/>
      <c r="P1469" s="20"/>
      <c r="Q1469" s="20"/>
      <c r="R1469" s="20"/>
      <c r="S1469" s="20"/>
      <c r="T1469" s="20"/>
    </row>
    <row r="1470" spans="1:20" x14ac:dyDescent="0.25">
      <c r="A1470" s="3">
        <v>41782</v>
      </c>
      <c r="B1470" s="36">
        <v>114</v>
      </c>
      <c r="C1470" t="s">
        <v>2421</v>
      </c>
      <c r="D1470">
        <v>7</v>
      </c>
      <c r="E1470" s="18">
        <v>-700</v>
      </c>
      <c r="G1470" t="s">
        <v>2422</v>
      </c>
      <c r="H1470" s="18" t="s">
        <v>442</v>
      </c>
      <c r="I1470" s="3" t="s">
        <v>442</v>
      </c>
      <c r="J1470"/>
      <c r="L1470"/>
      <c r="M1470"/>
      <c r="N1470" s="20"/>
      <c r="O1470" t="s">
        <v>949</v>
      </c>
      <c r="P1470" s="20"/>
      <c r="Q1470" s="20"/>
      <c r="R1470" s="20"/>
      <c r="S1470" s="20"/>
      <c r="T1470" s="20"/>
    </row>
    <row r="1471" spans="1:20" x14ac:dyDescent="0.25">
      <c r="A1471" s="3">
        <v>41782</v>
      </c>
      <c r="B1471" s="36">
        <v>114</v>
      </c>
      <c r="C1471" t="s">
        <v>2433</v>
      </c>
      <c r="D1471">
        <v>5.25</v>
      </c>
      <c r="E1471" s="18">
        <v>525</v>
      </c>
      <c r="G1471" t="s">
        <v>2434</v>
      </c>
      <c r="H1471" s="18">
        <v>525</v>
      </c>
      <c r="I1471" s="3">
        <v>41782</v>
      </c>
      <c r="J1471"/>
      <c r="L1471"/>
      <c r="M1471"/>
      <c r="N1471" s="20"/>
      <c r="O1471"/>
      <c r="P1471" s="20"/>
      <c r="Q1471" s="20"/>
      <c r="R1471" s="20"/>
      <c r="S1471" s="20"/>
      <c r="T1471" s="20"/>
    </row>
    <row r="1472" spans="1:20" x14ac:dyDescent="0.25">
      <c r="A1472" s="3">
        <v>41789</v>
      </c>
      <c r="B1472" s="36">
        <v>114</v>
      </c>
      <c r="C1472" t="s">
        <v>2435</v>
      </c>
      <c r="D1472">
        <v>6</v>
      </c>
      <c r="E1472" s="18">
        <v>600</v>
      </c>
      <c r="G1472" t="s">
        <v>2436</v>
      </c>
      <c r="H1472" s="18">
        <v>600</v>
      </c>
      <c r="I1472" s="3">
        <v>41789</v>
      </c>
      <c r="J1472"/>
      <c r="L1472"/>
      <c r="M1472"/>
      <c r="N1472" s="20"/>
      <c r="O1472"/>
      <c r="P1472" s="20"/>
      <c r="Q1472" s="20"/>
      <c r="R1472" s="20"/>
      <c r="S1472" s="20"/>
      <c r="T1472" s="20"/>
    </row>
    <row r="1473" spans="1:20" x14ac:dyDescent="0.25">
      <c r="A1473" s="3">
        <v>41789</v>
      </c>
      <c r="B1473" s="36">
        <v>114</v>
      </c>
      <c r="C1473" t="s">
        <v>2437</v>
      </c>
      <c r="D1473">
        <v>5</v>
      </c>
      <c r="E1473" s="18">
        <v>500</v>
      </c>
      <c r="G1473" t="s">
        <v>2438</v>
      </c>
      <c r="H1473" s="18">
        <v>500</v>
      </c>
      <c r="I1473" s="3">
        <v>41789</v>
      </c>
      <c r="J1473"/>
      <c r="L1473"/>
      <c r="M1473"/>
      <c r="N1473" s="20"/>
      <c r="O1473"/>
      <c r="P1473" s="20"/>
      <c r="Q1473" s="20"/>
      <c r="R1473" s="20"/>
      <c r="S1473" s="20"/>
      <c r="T1473" s="20"/>
    </row>
    <row r="1474" spans="1:20" x14ac:dyDescent="0.25">
      <c r="A1474" s="3">
        <v>41789</v>
      </c>
      <c r="B1474" s="36">
        <v>114</v>
      </c>
      <c r="C1474" t="s">
        <v>2439</v>
      </c>
      <c r="D1474">
        <v>5</v>
      </c>
      <c r="E1474" s="18">
        <v>500</v>
      </c>
      <c r="G1474" t="s">
        <v>2440</v>
      </c>
      <c r="H1474" s="18">
        <v>500</v>
      </c>
      <c r="I1474" s="3">
        <v>41789</v>
      </c>
      <c r="J1474"/>
      <c r="L1474"/>
      <c r="M1474"/>
      <c r="N1474" s="20"/>
      <c r="O1474"/>
      <c r="P1474" s="20"/>
      <c r="Q1474" s="20"/>
      <c r="R1474" s="20"/>
      <c r="S1474" s="20"/>
      <c r="T1474" s="20"/>
    </row>
    <row r="1475" spans="1:20" x14ac:dyDescent="0.25">
      <c r="A1475" s="3">
        <v>41789</v>
      </c>
      <c r="B1475" s="36">
        <v>114</v>
      </c>
      <c r="C1475" t="s">
        <v>2441</v>
      </c>
      <c r="D1475">
        <v>4</v>
      </c>
      <c r="E1475" s="18">
        <v>400</v>
      </c>
      <c r="G1475" t="s">
        <v>2442</v>
      </c>
      <c r="H1475" s="18">
        <v>400</v>
      </c>
      <c r="I1475" s="3">
        <v>41789</v>
      </c>
      <c r="J1475"/>
      <c r="L1475"/>
      <c r="M1475"/>
      <c r="N1475" s="20"/>
      <c r="O1475"/>
      <c r="P1475" s="20"/>
      <c r="Q1475" s="20"/>
      <c r="R1475" s="20"/>
      <c r="S1475" s="20"/>
      <c r="T1475" s="20"/>
    </row>
    <row r="1476" spans="1:20" x14ac:dyDescent="0.25">
      <c r="A1476" s="3">
        <v>41789</v>
      </c>
      <c r="B1476" s="36">
        <v>114</v>
      </c>
      <c r="C1476" t="s">
        <v>2443</v>
      </c>
      <c r="D1476">
        <v>6.75</v>
      </c>
      <c r="E1476" s="18">
        <v>675</v>
      </c>
      <c r="G1476" t="s">
        <v>2444</v>
      </c>
      <c r="H1476" s="18">
        <v>675</v>
      </c>
      <c r="I1476" s="3">
        <v>41789</v>
      </c>
      <c r="J1476"/>
      <c r="L1476"/>
      <c r="M1476"/>
      <c r="N1476" s="20"/>
      <c r="O1476"/>
      <c r="P1476" s="20"/>
      <c r="Q1476" s="20"/>
      <c r="R1476" s="20"/>
      <c r="S1476" s="20"/>
      <c r="T1476" s="20"/>
    </row>
    <row r="1477" spans="1:20" x14ac:dyDescent="0.25">
      <c r="A1477" s="3">
        <v>41789</v>
      </c>
      <c r="B1477" s="36">
        <v>114</v>
      </c>
      <c r="C1477" t="s">
        <v>2445</v>
      </c>
      <c r="D1477">
        <v>8.75</v>
      </c>
      <c r="E1477" s="18">
        <v>875</v>
      </c>
      <c r="G1477" t="s">
        <v>2446</v>
      </c>
      <c r="H1477" s="18">
        <v>875</v>
      </c>
      <c r="I1477" s="3">
        <v>41789</v>
      </c>
      <c r="J1477"/>
      <c r="L1477"/>
      <c r="M1477"/>
      <c r="N1477" s="20"/>
      <c r="O1477"/>
      <c r="P1477" s="20"/>
      <c r="Q1477" s="20"/>
      <c r="R1477" s="20"/>
      <c r="S1477" s="20"/>
      <c r="T1477" s="20"/>
    </row>
    <row r="1478" spans="1:20" x14ac:dyDescent="0.25">
      <c r="A1478" s="3">
        <v>41796</v>
      </c>
      <c r="B1478" s="36">
        <v>114</v>
      </c>
      <c r="C1478" t="s">
        <v>2447</v>
      </c>
      <c r="D1478">
        <v>7</v>
      </c>
      <c r="E1478" s="18">
        <v>700</v>
      </c>
      <c r="G1478" t="s">
        <v>2448</v>
      </c>
      <c r="H1478" s="18">
        <v>700</v>
      </c>
      <c r="I1478" s="3">
        <v>41796</v>
      </c>
      <c r="J1478"/>
      <c r="L1478"/>
      <c r="M1478"/>
      <c r="N1478" s="20"/>
      <c r="O1478" t="s">
        <v>1555</v>
      </c>
      <c r="P1478" s="20"/>
      <c r="Q1478" s="20"/>
      <c r="R1478" s="20"/>
      <c r="S1478" s="20"/>
      <c r="T1478" s="20"/>
    </row>
    <row r="1479" spans="1:20" x14ac:dyDescent="0.25">
      <c r="A1479" s="3">
        <v>41796</v>
      </c>
      <c r="B1479" s="36">
        <v>114</v>
      </c>
      <c r="C1479" t="s">
        <v>2449</v>
      </c>
      <c r="D1479">
        <v>6.25</v>
      </c>
      <c r="E1479" s="18">
        <v>625</v>
      </c>
      <c r="G1479" t="s">
        <v>2450</v>
      </c>
      <c r="H1479" s="18">
        <v>625</v>
      </c>
      <c r="I1479" s="3">
        <v>41796</v>
      </c>
      <c r="J1479"/>
      <c r="L1479"/>
      <c r="M1479"/>
      <c r="N1479" s="20"/>
      <c r="O1479" t="s">
        <v>1555</v>
      </c>
      <c r="P1479" s="20"/>
      <c r="Q1479" s="20"/>
      <c r="R1479" s="20"/>
      <c r="S1479" s="20"/>
      <c r="T1479" s="20"/>
    </row>
    <row r="1480" spans="1:20" x14ac:dyDescent="0.25">
      <c r="A1480" s="3">
        <v>41803</v>
      </c>
      <c r="B1480" s="36">
        <v>114</v>
      </c>
      <c r="C1480" t="s">
        <v>2451</v>
      </c>
      <c r="D1480">
        <v>3.75</v>
      </c>
      <c r="E1480" s="18">
        <v>375</v>
      </c>
      <c r="G1480" t="s">
        <v>2452</v>
      </c>
      <c r="H1480" s="18">
        <v>375</v>
      </c>
      <c r="I1480" s="3">
        <v>41803</v>
      </c>
      <c r="J1480"/>
      <c r="L1480"/>
      <c r="M1480"/>
      <c r="N1480" s="20"/>
      <c r="O1480" t="s">
        <v>1169</v>
      </c>
      <c r="P1480" s="20"/>
      <c r="Q1480" s="20"/>
      <c r="R1480" s="20"/>
      <c r="S1480" s="20"/>
      <c r="T1480" s="20"/>
    </row>
    <row r="1481" spans="1:20" x14ac:dyDescent="0.25">
      <c r="A1481" s="3">
        <v>41803</v>
      </c>
      <c r="B1481" s="36">
        <v>114</v>
      </c>
      <c r="C1481" t="s">
        <v>2453</v>
      </c>
      <c r="D1481">
        <v>2.5</v>
      </c>
      <c r="E1481" s="18">
        <v>250</v>
      </c>
      <c r="G1481" t="s">
        <v>2454</v>
      </c>
      <c r="H1481" s="18">
        <v>250</v>
      </c>
      <c r="I1481" s="3">
        <v>41803</v>
      </c>
      <c r="J1481"/>
      <c r="L1481"/>
      <c r="M1481"/>
      <c r="N1481" s="20"/>
      <c r="O1481" t="s">
        <v>1169</v>
      </c>
      <c r="P1481" s="20"/>
      <c r="Q1481" s="20"/>
      <c r="R1481" s="20"/>
      <c r="S1481" s="20"/>
      <c r="T1481" s="20"/>
    </row>
    <row r="1482" spans="1:20" x14ac:dyDescent="0.25">
      <c r="A1482" s="3">
        <v>41803</v>
      </c>
      <c r="B1482" s="36">
        <v>114</v>
      </c>
      <c r="C1482" t="s">
        <v>2455</v>
      </c>
      <c r="D1482">
        <v>7.25</v>
      </c>
      <c r="E1482" s="18">
        <v>725</v>
      </c>
      <c r="G1482" t="s">
        <v>2456</v>
      </c>
      <c r="H1482" s="18">
        <v>725</v>
      </c>
      <c r="I1482" s="3">
        <v>41803</v>
      </c>
      <c r="J1482"/>
      <c r="L1482"/>
      <c r="M1482"/>
      <c r="N1482" s="20"/>
      <c r="O1482" t="s">
        <v>1169</v>
      </c>
      <c r="P1482" s="20"/>
      <c r="Q1482" s="20"/>
      <c r="R1482" s="20"/>
      <c r="S1482" s="20"/>
      <c r="T1482" s="20"/>
    </row>
    <row r="1483" spans="1:20" x14ac:dyDescent="0.25">
      <c r="A1483" s="3">
        <v>41810</v>
      </c>
      <c r="B1483" s="36">
        <v>114</v>
      </c>
      <c r="C1483" t="s">
        <v>2457</v>
      </c>
      <c r="D1483">
        <v>7</v>
      </c>
      <c r="E1483" s="18">
        <v>700</v>
      </c>
      <c r="G1483" t="s">
        <v>2458</v>
      </c>
      <c r="H1483" s="18">
        <v>700</v>
      </c>
      <c r="I1483" s="3">
        <v>41810</v>
      </c>
      <c r="J1483"/>
      <c r="L1483"/>
      <c r="M1483"/>
      <c r="N1483" s="20"/>
      <c r="O1483" t="s">
        <v>1169</v>
      </c>
      <c r="P1483" s="20"/>
      <c r="Q1483" s="20"/>
      <c r="R1483" s="20"/>
      <c r="S1483" s="20"/>
      <c r="T1483" s="20"/>
    </row>
    <row r="1484" spans="1:20" x14ac:dyDescent="0.25">
      <c r="A1484" s="3">
        <v>41810</v>
      </c>
      <c r="B1484" s="36">
        <v>114</v>
      </c>
      <c r="C1484" t="s">
        <v>2459</v>
      </c>
      <c r="D1484">
        <v>3.25</v>
      </c>
      <c r="E1484" s="18">
        <v>325</v>
      </c>
      <c r="G1484" t="s">
        <v>2460</v>
      </c>
      <c r="H1484" s="18">
        <v>325</v>
      </c>
      <c r="I1484" s="3">
        <v>41810</v>
      </c>
      <c r="J1484"/>
      <c r="L1484"/>
      <c r="M1484"/>
      <c r="N1484" s="20"/>
      <c r="O1484" t="s">
        <v>1169</v>
      </c>
      <c r="P1484" s="20"/>
      <c r="Q1484" s="20"/>
      <c r="R1484" s="20"/>
      <c r="S1484" s="20"/>
      <c r="T1484" s="20"/>
    </row>
    <row r="1485" spans="1:20" x14ac:dyDescent="0.25">
      <c r="A1485" s="3">
        <v>41810</v>
      </c>
      <c r="B1485" s="36">
        <v>114</v>
      </c>
      <c r="C1485" t="s">
        <v>2443</v>
      </c>
      <c r="D1485">
        <v>6.75</v>
      </c>
      <c r="E1485" s="18">
        <v>-675</v>
      </c>
      <c r="G1485" t="s">
        <v>2444</v>
      </c>
      <c r="H1485" s="18" t="s">
        <v>442</v>
      </c>
      <c r="I1485" s="3" t="s">
        <v>442</v>
      </c>
      <c r="J1485"/>
      <c r="L1485"/>
      <c r="M1485"/>
      <c r="N1485" s="20"/>
      <c r="O1485" t="s">
        <v>2461</v>
      </c>
      <c r="P1485" s="20"/>
      <c r="Q1485" s="20"/>
      <c r="R1485" s="20"/>
      <c r="S1485" s="20"/>
      <c r="T1485" s="20"/>
    </row>
    <row r="1486" spans="1:20" x14ac:dyDescent="0.25">
      <c r="A1486" s="3">
        <v>41810</v>
      </c>
      <c r="B1486" s="36">
        <v>114</v>
      </c>
      <c r="C1486" t="s">
        <v>2462</v>
      </c>
      <c r="D1486">
        <v>5.8650000000000002</v>
      </c>
      <c r="E1486" s="18">
        <v>586.5</v>
      </c>
      <c r="G1486" t="s">
        <v>2463</v>
      </c>
      <c r="H1486" s="18">
        <v>586.5</v>
      </c>
      <c r="I1486" s="3">
        <v>41810</v>
      </c>
      <c r="J1486"/>
      <c r="L1486"/>
      <c r="M1486"/>
      <c r="N1486" s="20"/>
      <c r="O1486" t="s">
        <v>931</v>
      </c>
      <c r="P1486" s="20"/>
      <c r="Q1486" s="20"/>
      <c r="R1486" s="20"/>
      <c r="S1486" s="20"/>
      <c r="T1486" s="20"/>
    </row>
    <row r="1487" spans="1:20" x14ac:dyDescent="0.25">
      <c r="A1487" s="3">
        <v>41810</v>
      </c>
      <c r="B1487" s="36">
        <v>114</v>
      </c>
      <c r="C1487" t="s">
        <v>2417</v>
      </c>
      <c r="D1487">
        <v>3.57</v>
      </c>
      <c r="E1487" s="18">
        <v>-357</v>
      </c>
      <c r="G1487" t="s">
        <v>2418</v>
      </c>
      <c r="H1487" s="18" t="s">
        <v>442</v>
      </c>
      <c r="I1487" s="3" t="s">
        <v>442</v>
      </c>
      <c r="J1487"/>
      <c r="L1487"/>
      <c r="M1487"/>
      <c r="N1487" s="20"/>
      <c r="O1487" t="s">
        <v>1767</v>
      </c>
      <c r="P1487" s="20"/>
      <c r="Q1487" s="20"/>
      <c r="R1487" s="20"/>
      <c r="S1487" s="20"/>
      <c r="T1487" s="20"/>
    </row>
    <row r="1488" spans="1:20" x14ac:dyDescent="0.25">
      <c r="A1488" s="3">
        <v>41929</v>
      </c>
      <c r="B1488" s="36">
        <v>114</v>
      </c>
      <c r="C1488" t="s">
        <v>960</v>
      </c>
      <c r="E1488" s="18">
        <v>31.875000000000004</v>
      </c>
      <c r="G1488" t="s">
        <v>442</v>
      </c>
      <c r="H1488" s="18" t="s">
        <v>442</v>
      </c>
      <c r="I1488" s="3" t="s">
        <v>442</v>
      </c>
      <c r="J1488"/>
      <c r="L1488"/>
      <c r="M1488"/>
      <c r="N1488" s="20" t="s">
        <v>401</v>
      </c>
      <c r="O1488"/>
      <c r="P1488" s="20"/>
      <c r="Q1488" s="20"/>
      <c r="R1488" s="20"/>
      <c r="S1488" s="20"/>
      <c r="T1488" s="20"/>
    </row>
    <row r="1489" spans="1:21" x14ac:dyDescent="0.25">
      <c r="A1489" s="3">
        <v>41995</v>
      </c>
      <c r="B1489" s="36">
        <v>114</v>
      </c>
      <c r="C1489" t="s">
        <v>2437</v>
      </c>
      <c r="D1489">
        <v>5.8650000000000002</v>
      </c>
      <c r="E1489" s="18">
        <v>573</v>
      </c>
      <c r="F1489" t="s">
        <v>889</v>
      </c>
      <c r="G1489" t="s">
        <v>2436</v>
      </c>
      <c r="H1489" s="18">
        <v>573</v>
      </c>
      <c r="I1489" s="3">
        <v>41995</v>
      </c>
      <c r="J1489"/>
      <c r="L1489"/>
      <c r="M1489"/>
      <c r="N1489" s="20"/>
      <c r="O1489" t="s">
        <v>959</v>
      </c>
      <c r="P1489" s="20"/>
      <c r="Q1489" s="20"/>
      <c r="R1489" s="20"/>
      <c r="S1489" s="20"/>
      <c r="T1489" s="20"/>
    </row>
    <row r="1490" spans="1:21" x14ac:dyDescent="0.25">
      <c r="A1490" s="3">
        <v>41995</v>
      </c>
      <c r="B1490" s="36">
        <v>114</v>
      </c>
      <c r="C1490" t="s">
        <v>2437</v>
      </c>
      <c r="D1490">
        <v>4.8449999999999998</v>
      </c>
      <c r="E1490" s="18">
        <v>484.5</v>
      </c>
      <c r="F1490" t="s">
        <v>889</v>
      </c>
      <c r="G1490" t="s">
        <v>2438</v>
      </c>
      <c r="H1490" s="18">
        <v>484.5</v>
      </c>
      <c r="I1490" s="3">
        <v>41995</v>
      </c>
      <c r="J1490"/>
      <c r="L1490"/>
      <c r="M1490"/>
      <c r="N1490" s="20"/>
      <c r="O1490"/>
      <c r="P1490" s="20"/>
      <c r="Q1490" s="20"/>
      <c r="R1490" s="20"/>
      <c r="S1490" s="20"/>
      <c r="T1490" s="20"/>
    </row>
    <row r="1491" spans="1:21" x14ac:dyDescent="0.25">
      <c r="A1491" s="3">
        <v>41999</v>
      </c>
      <c r="B1491" s="36">
        <v>114</v>
      </c>
      <c r="C1491" t="s">
        <v>2395</v>
      </c>
      <c r="D1491">
        <v>5</v>
      </c>
      <c r="E1491" s="18">
        <v>700</v>
      </c>
      <c r="F1491" t="s">
        <v>889</v>
      </c>
      <c r="G1491" t="s">
        <v>2396</v>
      </c>
      <c r="H1491" s="18">
        <v>700</v>
      </c>
      <c r="I1491" s="3">
        <v>41999</v>
      </c>
      <c r="J1491"/>
      <c r="L1491"/>
      <c r="M1491"/>
      <c r="N1491" s="20"/>
      <c r="O1491" t="s">
        <v>959</v>
      </c>
      <c r="P1491" s="20"/>
      <c r="Q1491" s="20"/>
      <c r="R1491" s="20"/>
      <c r="S1491" s="20"/>
      <c r="T1491" s="20"/>
    </row>
    <row r="1492" spans="1:21" x14ac:dyDescent="0.25">
      <c r="B1492">
        <v>114</v>
      </c>
      <c r="C1492" t="s">
        <v>2393</v>
      </c>
      <c r="D1492">
        <v>4.75</v>
      </c>
      <c r="E1492" s="18">
        <v>-550</v>
      </c>
      <c r="F1492" t="s">
        <v>889</v>
      </c>
      <c r="G1492" t="s">
        <v>2394</v>
      </c>
      <c r="I1492"/>
      <c r="J1492"/>
      <c r="L1492"/>
      <c r="M1492"/>
      <c r="O1492"/>
      <c r="P1492" s="20"/>
      <c r="Q1492" s="20"/>
      <c r="R1492" s="20"/>
      <c r="S1492" s="20"/>
      <c r="T1492" s="20"/>
      <c r="U1492" t="s">
        <v>401</v>
      </c>
    </row>
    <row r="1493" spans="1:21" x14ac:dyDescent="0.25">
      <c r="B1493">
        <v>114</v>
      </c>
      <c r="C1493" t="s">
        <v>2427</v>
      </c>
      <c r="D1493">
        <v>8.67</v>
      </c>
      <c r="E1493" s="18">
        <v>311.33333333333331</v>
      </c>
      <c r="F1493" t="s">
        <v>889</v>
      </c>
      <c r="G1493" t="s">
        <v>2428</v>
      </c>
      <c r="I1493"/>
      <c r="J1493"/>
      <c r="L1493"/>
      <c r="M1493"/>
      <c r="O1493"/>
      <c r="P1493" s="20"/>
      <c r="Q1493" s="20"/>
      <c r="R1493" s="20"/>
      <c r="S1493" s="20"/>
      <c r="T1493" s="20"/>
      <c r="U1493" t="s">
        <v>401</v>
      </c>
    </row>
    <row r="1494" spans="1:21" x14ac:dyDescent="0.25">
      <c r="B1494">
        <v>114</v>
      </c>
      <c r="C1494" t="s">
        <v>2427</v>
      </c>
      <c r="E1494" s="18">
        <v>311.33333333333331</v>
      </c>
      <c r="G1494" t="s">
        <v>2428</v>
      </c>
      <c r="I1494"/>
      <c r="J1494"/>
      <c r="L1494"/>
      <c r="M1494"/>
      <c r="O1494"/>
      <c r="P1494" s="20"/>
      <c r="Q1494" s="20"/>
      <c r="R1494" s="20"/>
      <c r="S1494" s="20"/>
      <c r="T1494" s="20"/>
      <c r="U1494" t="s">
        <v>401</v>
      </c>
    </row>
    <row r="1495" spans="1:21" x14ac:dyDescent="0.25">
      <c r="B1495">
        <v>114</v>
      </c>
      <c r="C1495" t="s">
        <v>2437</v>
      </c>
      <c r="D1495">
        <v>4.8449999999999998</v>
      </c>
      <c r="E1495" s="18">
        <v>-500</v>
      </c>
      <c r="F1495" t="s">
        <v>889</v>
      </c>
      <c r="G1495" t="s">
        <v>2438</v>
      </c>
      <c r="I1495"/>
      <c r="J1495"/>
      <c r="L1495"/>
      <c r="M1495"/>
      <c r="O1495"/>
      <c r="P1495" s="20"/>
      <c r="Q1495" s="20"/>
      <c r="R1495" s="20"/>
      <c r="S1495" s="20"/>
      <c r="T1495" s="20"/>
      <c r="U1495" t="s">
        <v>401</v>
      </c>
    </row>
    <row r="1496" spans="1:21" x14ac:dyDescent="0.25">
      <c r="B1496">
        <v>114</v>
      </c>
      <c r="C1496" t="s">
        <v>1098</v>
      </c>
      <c r="E1496" s="18">
        <v>133.5</v>
      </c>
      <c r="F1496" t="s">
        <v>889</v>
      </c>
      <c r="G1496" t="s">
        <v>442</v>
      </c>
      <c r="I1496"/>
      <c r="J1496"/>
      <c r="L1496"/>
      <c r="M1496"/>
      <c r="O1496"/>
      <c r="P1496" s="20"/>
      <c r="Q1496" s="20"/>
      <c r="R1496" s="20"/>
      <c r="S1496" s="20"/>
      <c r="T1496" s="20"/>
      <c r="U1496" t="s">
        <v>401</v>
      </c>
    </row>
    <row r="1497" spans="1:21" x14ac:dyDescent="0.25">
      <c r="B1497">
        <v>114</v>
      </c>
      <c r="C1497" t="s">
        <v>2464</v>
      </c>
      <c r="D1497">
        <v>4.59</v>
      </c>
      <c r="E1497" s="18">
        <v>459</v>
      </c>
      <c r="F1497" t="s">
        <v>889</v>
      </c>
      <c r="G1497" t="s">
        <v>2465</v>
      </c>
      <c r="I1497"/>
      <c r="J1497"/>
      <c r="L1497"/>
      <c r="M1497"/>
      <c r="O1497"/>
      <c r="P1497" s="20"/>
      <c r="Q1497" s="20"/>
      <c r="R1497" s="20"/>
      <c r="S1497" s="20"/>
      <c r="T1497" s="20"/>
      <c r="U1497" t="s">
        <v>401</v>
      </c>
    </row>
    <row r="1498" spans="1:21" x14ac:dyDescent="0.25">
      <c r="B1498">
        <v>114</v>
      </c>
      <c r="C1498" t="s">
        <v>2451</v>
      </c>
      <c r="D1498">
        <v>3.3149999999999999</v>
      </c>
      <c r="E1498" s="18">
        <v>96</v>
      </c>
      <c r="F1498" t="s">
        <v>889</v>
      </c>
      <c r="G1498" t="s">
        <v>2452</v>
      </c>
      <c r="I1498"/>
      <c r="J1498"/>
      <c r="L1498"/>
      <c r="M1498"/>
      <c r="O1498"/>
      <c r="P1498" s="20"/>
      <c r="Q1498" s="20"/>
      <c r="R1498" s="20"/>
      <c r="S1498" s="20"/>
      <c r="T1498" s="20"/>
      <c r="U1498" t="s">
        <v>401</v>
      </c>
    </row>
    <row r="1499" spans="1:21" x14ac:dyDescent="0.25">
      <c r="B1499">
        <v>114</v>
      </c>
      <c r="C1499" t="s">
        <v>2451</v>
      </c>
      <c r="E1499" s="18">
        <v>96</v>
      </c>
      <c r="G1499" t="s">
        <v>2452</v>
      </c>
      <c r="I1499"/>
      <c r="J1499"/>
      <c r="L1499"/>
      <c r="M1499"/>
      <c r="O1499"/>
      <c r="P1499" s="20"/>
      <c r="Q1499" s="20"/>
      <c r="R1499" s="20"/>
      <c r="S1499" s="20"/>
      <c r="T1499" s="20"/>
      <c r="U1499" t="s">
        <v>401</v>
      </c>
    </row>
    <row r="1500" spans="1:21" x14ac:dyDescent="0.25">
      <c r="B1500">
        <v>114</v>
      </c>
      <c r="C1500" t="s">
        <v>2466</v>
      </c>
      <c r="E1500" s="18">
        <v>-300</v>
      </c>
      <c r="G1500" t="s">
        <v>2452</v>
      </c>
      <c r="I1500"/>
      <c r="J1500"/>
      <c r="L1500"/>
      <c r="M1500"/>
      <c r="O1500"/>
      <c r="P1500" s="20"/>
      <c r="Q1500" s="20"/>
      <c r="R1500" s="20"/>
      <c r="S1500" s="20"/>
      <c r="T1500" s="20"/>
      <c r="U1500" t="s">
        <v>401</v>
      </c>
    </row>
    <row r="1501" spans="1:21" x14ac:dyDescent="0.25">
      <c r="B1501">
        <v>114</v>
      </c>
      <c r="C1501" t="s">
        <v>2467</v>
      </c>
      <c r="D1501">
        <v>3.3149999999999999</v>
      </c>
      <c r="E1501" s="18">
        <v>138</v>
      </c>
      <c r="F1501" t="s">
        <v>889</v>
      </c>
      <c r="G1501" t="s">
        <v>2434</v>
      </c>
      <c r="I1501"/>
      <c r="J1501"/>
      <c r="L1501"/>
      <c r="M1501"/>
      <c r="O1501"/>
      <c r="P1501" s="20"/>
      <c r="Q1501" s="20"/>
      <c r="R1501" s="20"/>
      <c r="S1501" s="20"/>
      <c r="T1501" s="20"/>
      <c r="U1501" t="s">
        <v>401</v>
      </c>
    </row>
    <row r="1502" spans="1:21" x14ac:dyDescent="0.25">
      <c r="B1502">
        <v>114</v>
      </c>
      <c r="C1502" t="s">
        <v>2413</v>
      </c>
      <c r="D1502">
        <v>6.8849999999999998</v>
      </c>
      <c r="E1502" s="18">
        <v>-688.5</v>
      </c>
      <c r="F1502" t="s">
        <v>889</v>
      </c>
      <c r="G1502" t="s">
        <v>2414</v>
      </c>
      <c r="I1502"/>
      <c r="J1502"/>
      <c r="L1502"/>
      <c r="M1502"/>
      <c r="O1502"/>
      <c r="P1502" s="20"/>
      <c r="Q1502" s="20"/>
      <c r="R1502" s="20"/>
      <c r="S1502" s="20"/>
      <c r="T1502" s="20"/>
      <c r="U1502" t="s">
        <v>401</v>
      </c>
    </row>
    <row r="1503" spans="1:21" x14ac:dyDescent="0.25">
      <c r="B1503">
        <v>114</v>
      </c>
      <c r="C1503" t="s">
        <v>2468</v>
      </c>
      <c r="E1503" s="18">
        <v>612</v>
      </c>
      <c r="F1503" t="s">
        <v>889</v>
      </c>
      <c r="G1503" t="s">
        <v>2469</v>
      </c>
      <c r="I1503"/>
      <c r="J1503"/>
      <c r="L1503"/>
      <c r="M1503"/>
      <c r="O1503"/>
      <c r="P1503" s="20"/>
      <c r="Q1503" s="20"/>
      <c r="R1503" s="20"/>
      <c r="S1503" s="20"/>
      <c r="T1503" s="20"/>
      <c r="U1503" t="s">
        <v>401</v>
      </c>
    </row>
    <row r="1504" spans="1:21" x14ac:dyDescent="0.25">
      <c r="B1504">
        <v>114</v>
      </c>
      <c r="C1504" t="s">
        <v>2439</v>
      </c>
      <c r="D1504">
        <v>5.0999999999999996</v>
      </c>
      <c r="E1504" s="18">
        <v>173.33333333333329</v>
      </c>
      <c r="F1504" t="s">
        <v>889</v>
      </c>
      <c r="G1504" t="s">
        <v>2440</v>
      </c>
      <c r="I1504"/>
      <c r="J1504"/>
      <c r="L1504"/>
      <c r="M1504"/>
      <c r="O1504"/>
      <c r="P1504" s="20"/>
      <c r="Q1504" s="20"/>
      <c r="R1504" s="20"/>
      <c r="S1504" s="20"/>
      <c r="T1504" s="20"/>
      <c r="U1504" t="s">
        <v>401</v>
      </c>
    </row>
    <row r="1505" spans="2:21" x14ac:dyDescent="0.25">
      <c r="B1505">
        <v>114</v>
      </c>
      <c r="C1505" t="s">
        <v>2439</v>
      </c>
      <c r="E1505" s="18">
        <v>173.33333333333329</v>
      </c>
      <c r="G1505" t="s">
        <v>2440</v>
      </c>
      <c r="I1505"/>
      <c r="J1505"/>
      <c r="L1505"/>
      <c r="M1505"/>
      <c r="O1505"/>
      <c r="P1505" s="20"/>
      <c r="Q1505" s="20"/>
      <c r="R1505" s="20"/>
      <c r="S1505" s="20"/>
      <c r="T1505" s="20"/>
      <c r="U1505" t="s">
        <v>401</v>
      </c>
    </row>
    <row r="1506" spans="2:21" x14ac:dyDescent="0.25">
      <c r="B1506">
        <v>114</v>
      </c>
      <c r="C1506" t="s">
        <v>2470</v>
      </c>
      <c r="D1506">
        <v>8.16</v>
      </c>
      <c r="E1506" s="18">
        <v>816</v>
      </c>
      <c r="F1506" t="s">
        <v>889</v>
      </c>
      <c r="G1506" t="s">
        <v>2471</v>
      </c>
      <c r="I1506"/>
      <c r="J1506"/>
      <c r="L1506"/>
      <c r="M1506"/>
      <c r="O1506"/>
      <c r="P1506" s="20"/>
      <c r="Q1506" s="20"/>
      <c r="R1506" s="20"/>
      <c r="S1506" s="20"/>
      <c r="T1506" s="20"/>
      <c r="U1506" t="s">
        <v>401</v>
      </c>
    </row>
    <row r="1507" spans="2:21" x14ac:dyDescent="0.25">
      <c r="B1507">
        <v>114</v>
      </c>
      <c r="C1507" t="s">
        <v>2395</v>
      </c>
      <c r="D1507">
        <v>3.57</v>
      </c>
      <c r="E1507" s="18">
        <v>-286</v>
      </c>
      <c r="F1507" t="s">
        <v>889</v>
      </c>
      <c r="G1507" t="s">
        <v>2396</v>
      </c>
      <c r="I1507"/>
      <c r="J1507"/>
      <c r="L1507"/>
      <c r="M1507"/>
      <c r="O1507"/>
      <c r="P1507" s="20"/>
      <c r="Q1507" s="20"/>
      <c r="R1507" s="20"/>
      <c r="S1507" s="20"/>
      <c r="T1507" s="20"/>
      <c r="U1507" t="s">
        <v>401</v>
      </c>
    </row>
    <row r="1508" spans="2:21" x14ac:dyDescent="0.25">
      <c r="B1508">
        <v>114</v>
      </c>
      <c r="C1508" t="s">
        <v>2431</v>
      </c>
      <c r="D1508">
        <v>5.3550000000000004</v>
      </c>
      <c r="E1508" s="18">
        <v>-535.5</v>
      </c>
      <c r="F1508" t="s">
        <v>889</v>
      </c>
      <c r="G1508" t="s">
        <v>2432</v>
      </c>
      <c r="I1508"/>
      <c r="J1508"/>
      <c r="L1508"/>
      <c r="M1508"/>
      <c r="O1508"/>
      <c r="P1508" s="20"/>
      <c r="Q1508" s="20"/>
      <c r="R1508" s="20"/>
      <c r="S1508" s="20"/>
      <c r="T1508" s="20"/>
      <c r="U1508" t="s">
        <v>401</v>
      </c>
    </row>
    <row r="1509" spans="2:21" x14ac:dyDescent="0.25">
      <c r="B1509">
        <v>114</v>
      </c>
      <c r="C1509" t="s">
        <v>2397</v>
      </c>
      <c r="D1509">
        <v>5.3550000000000004</v>
      </c>
      <c r="E1509" s="18">
        <v>-550</v>
      </c>
      <c r="F1509" t="s">
        <v>889</v>
      </c>
      <c r="G1509" t="s">
        <v>2398</v>
      </c>
      <c r="I1509"/>
      <c r="J1509"/>
      <c r="L1509"/>
      <c r="M1509"/>
      <c r="O1509"/>
      <c r="P1509" s="20"/>
      <c r="Q1509" s="20"/>
      <c r="R1509" s="20"/>
      <c r="S1509" s="20"/>
      <c r="T1509" s="20"/>
      <c r="U1509" t="s">
        <v>401</v>
      </c>
    </row>
    <row r="1510" spans="2:21" x14ac:dyDescent="0.25">
      <c r="B1510">
        <v>114</v>
      </c>
      <c r="C1510" t="s">
        <v>2423</v>
      </c>
      <c r="D1510">
        <v>5.0999999999999996</v>
      </c>
      <c r="E1510" s="18">
        <v>509.99999999999994</v>
      </c>
      <c r="F1510" t="s">
        <v>889</v>
      </c>
      <c r="G1510" t="s">
        <v>2424</v>
      </c>
      <c r="I1510"/>
      <c r="J1510"/>
      <c r="L1510"/>
      <c r="M1510"/>
      <c r="O1510"/>
      <c r="P1510" s="20"/>
      <c r="Q1510" s="20"/>
      <c r="R1510" s="20"/>
      <c r="S1510" s="20"/>
      <c r="T1510" s="20"/>
      <c r="U1510" t="s">
        <v>401</v>
      </c>
    </row>
    <row r="1511" spans="2:21" x14ac:dyDescent="0.25">
      <c r="B1511">
        <v>114</v>
      </c>
      <c r="C1511" t="s">
        <v>2472</v>
      </c>
      <c r="D1511">
        <v>6.375</v>
      </c>
      <c r="E1511" s="18">
        <v>-700</v>
      </c>
      <c r="F1511" t="s">
        <v>889</v>
      </c>
      <c r="G1511" t="s">
        <v>2448</v>
      </c>
      <c r="I1511"/>
      <c r="J1511"/>
      <c r="L1511"/>
      <c r="M1511"/>
      <c r="O1511"/>
      <c r="P1511" s="20"/>
      <c r="Q1511" s="20"/>
      <c r="R1511" s="20"/>
      <c r="S1511" s="20"/>
      <c r="T1511" s="20"/>
      <c r="U1511" t="s">
        <v>401</v>
      </c>
    </row>
    <row r="1512" spans="2:21" x14ac:dyDescent="0.25">
      <c r="B1512">
        <v>114</v>
      </c>
      <c r="C1512" t="s">
        <v>2473</v>
      </c>
      <c r="E1512" s="18">
        <v>-300</v>
      </c>
      <c r="G1512" t="s">
        <v>2469</v>
      </c>
      <c r="I1512"/>
      <c r="J1512"/>
      <c r="L1512"/>
      <c r="M1512"/>
      <c r="O1512"/>
      <c r="P1512" s="20"/>
      <c r="Q1512" s="20"/>
      <c r="R1512" s="20"/>
      <c r="S1512" s="20"/>
      <c r="T1512" s="20"/>
      <c r="U1512" t="s">
        <v>401</v>
      </c>
    </row>
    <row r="1513" spans="2:21" x14ac:dyDescent="0.25">
      <c r="B1513">
        <v>114</v>
      </c>
      <c r="C1513" t="s">
        <v>2425</v>
      </c>
      <c r="D1513">
        <v>6.375</v>
      </c>
      <c r="E1513" s="18">
        <v>216.66666666666666</v>
      </c>
      <c r="F1513" t="s">
        <v>889</v>
      </c>
      <c r="G1513" t="s">
        <v>2426</v>
      </c>
      <c r="I1513"/>
      <c r="J1513"/>
      <c r="L1513"/>
      <c r="M1513"/>
      <c r="O1513"/>
      <c r="P1513" s="20"/>
      <c r="Q1513" s="20"/>
      <c r="R1513" s="20"/>
      <c r="S1513" s="20"/>
      <c r="T1513" s="20"/>
      <c r="U1513" t="s">
        <v>401</v>
      </c>
    </row>
    <row r="1514" spans="2:21" x14ac:dyDescent="0.25">
      <c r="B1514">
        <v>114</v>
      </c>
      <c r="C1514" t="s">
        <v>2425</v>
      </c>
      <c r="E1514" s="18">
        <v>216.66666666666666</v>
      </c>
      <c r="G1514" t="s">
        <v>2426</v>
      </c>
      <c r="I1514"/>
      <c r="J1514"/>
      <c r="L1514"/>
      <c r="M1514"/>
      <c r="O1514"/>
      <c r="P1514" s="20"/>
      <c r="Q1514" s="20"/>
      <c r="R1514" s="20"/>
      <c r="S1514" s="20"/>
      <c r="T1514" s="20"/>
      <c r="U1514" t="s">
        <v>401</v>
      </c>
    </row>
    <row r="1515" spans="2:21" x14ac:dyDescent="0.25">
      <c r="B1515">
        <v>114</v>
      </c>
      <c r="C1515" t="s">
        <v>2474</v>
      </c>
      <c r="D1515">
        <v>3.5</v>
      </c>
      <c r="E1515" s="18">
        <v>459</v>
      </c>
      <c r="F1515" t="s">
        <v>889</v>
      </c>
      <c r="G1515" t="s">
        <v>2475</v>
      </c>
      <c r="I1515"/>
      <c r="J1515"/>
      <c r="L1515"/>
      <c r="M1515"/>
      <c r="O1515"/>
      <c r="P1515" s="20"/>
      <c r="Q1515" s="20"/>
      <c r="R1515" s="20"/>
      <c r="S1515" s="20"/>
      <c r="T1515" s="20"/>
      <c r="U1515" t="s">
        <v>401</v>
      </c>
    </row>
    <row r="1516" spans="2:21" x14ac:dyDescent="0.25">
      <c r="B1516">
        <v>114</v>
      </c>
      <c r="C1516" t="s">
        <v>2417</v>
      </c>
      <c r="D1516">
        <v>3.57</v>
      </c>
      <c r="E1516" s="18">
        <v>357</v>
      </c>
      <c r="F1516" t="s">
        <v>889</v>
      </c>
      <c r="G1516" t="s">
        <v>2418</v>
      </c>
      <c r="I1516"/>
      <c r="J1516"/>
      <c r="L1516"/>
      <c r="M1516"/>
      <c r="O1516"/>
      <c r="P1516" s="20"/>
      <c r="Q1516" s="20"/>
      <c r="R1516" s="20"/>
      <c r="S1516" s="20"/>
      <c r="T1516" s="20"/>
      <c r="U1516" t="s">
        <v>401</v>
      </c>
    </row>
    <row r="1517" spans="2:21" x14ac:dyDescent="0.25">
      <c r="B1517">
        <v>114</v>
      </c>
      <c r="C1517" t="s">
        <v>2417</v>
      </c>
      <c r="D1517">
        <v>3.57</v>
      </c>
      <c r="E1517" s="18">
        <v>-178.5</v>
      </c>
      <c r="F1517" t="s">
        <v>889</v>
      </c>
      <c r="G1517" t="s">
        <v>2418</v>
      </c>
      <c r="I1517"/>
      <c r="J1517"/>
      <c r="L1517"/>
      <c r="M1517"/>
      <c r="O1517"/>
      <c r="P1517" s="20"/>
      <c r="Q1517" s="20"/>
      <c r="R1517" s="20"/>
      <c r="S1517" s="20"/>
      <c r="T1517" s="20"/>
      <c r="U1517" t="s">
        <v>401</v>
      </c>
    </row>
    <row r="1518" spans="2:21" x14ac:dyDescent="0.25">
      <c r="B1518">
        <v>114</v>
      </c>
      <c r="C1518" t="s">
        <v>967</v>
      </c>
      <c r="E1518" s="18">
        <v>-54.83</v>
      </c>
      <c r="F1518" t="s">
        <v>889</v>
      </c>
      <c r="G1518" t="s">
        <v>442</v>
      </c>
      <c r="I1518"/>
      <c r="J1518"/>
      <c r="L1518"/>
      <c r="M1518"/>
      <c r="O1518"/>
      <c r="P1518" s="20"/>
      <c r="Q1518" s="20"/>
      <c r="R1518" s="20"/>
      <c r="S1518" s="20"/>
      <c r="T1518" s="20"/>
      <c r="U1518" t="s">
        <v>401</v>
      </c>
    </row>
    <row r="1519" spans="2:21" x14ac:dyDescent="0.25">
      <c r="B1519">
        <v>114</v>
      </c>
      <c r="C1519" t="s">
        <v>2399</v>
      </c>
      <c r="D1519">
        <v>4.9000000000000004</v>
      </c>
      <c r="E1519" s="18">
        <v>-625</v>
      </c>
      <c r="F1519" t="s">
        <v>889</v>
      </c>
      <c r="G1519" t="s">
        <v>2400</v>
      </c>
      <c r="I1519"/>
      <c r="J1519"/>
      <c r="L1519"/>
      <c r="M1519"/>
      <c r="O1519"/>
      <c r="P1519" s="20"/>
      <c r="Q1519" s="20"/>
      <c r="R1519" s="20"/>
      <c r="S1519" s="20"/>
      <c r="T1519" s="20"/>
      <c r="U1519" t="s">
        <v>401</v>
      </c>
    </row>
    <row r="1520" spans="2:21" x14ac:dyDescent="0.25">
      <c r="B1520">
        <v>114</v>
      </c>
      <c r="C1520" t="s">
        <v>2453</v>
      </c>
      <c r="D1520">
        <v>2.5</v>
      </c>
      <c r="E1520" s="18">
        <v>-250</v>
      </c>
      <c r="G1520" t="s">
        <v>2454</v>
      </c>
      <c r="I1520"/>
      <c r="J1520"/>
      <c r="L1520"/>
      <c r="M1520"/>
      <c r="O1520"/>
      <c r="P1520" s="20"/>
      <c r="Q1520" s="20"/>
      <c r="R1520" s="20"/>
      <c r="S1520" s="20"/>
      <c r="T1520" s="20"/>
      <c r="U1520" t="s">
        <v>401</v>
      </c>
    </row>
    <row r="1521" spans="1:21" x14ac:dyDescent="0.25">
      <c r="B1521">
        <v>114</v>
      </c>
      <c r="C1521" t="s">
        <v>2401</v>
      </c>
      <c r="D1521">
        <v>6.63</v>
      </c>
      <c r="E1521" s="18">
        <v>-625</v>
      </c>
      <c r="F1521" t="s">
        <v>889</v>
      </c>
      <c r="G1521" t="s">
        <v>2402</v>
      </c>
      <c r="I1521"/>
      <c r="J1521"/>
      <c r="L1521"/>
      <c r="M1521"/>
      <c r="O1521"/>
      <c r="P1521" s="20"/>
      <c r="Q1521" s="20"/>
      <c r="R1521" s="20"/>
      <c r="S1521" s="20"/>
      <c r="T1521" s="20"/>
      <c r="U1521" t="s">
        <v>401</v>
      </c>
    </row>
    <row r="1522" spans="1:21" x14ac:dyDescent="0.25">
      <c r="B1522">
        <v>114</v>
      </c>
      <c r="C1522" t="s">
        <v>2445</v>
      </c>
      <c r="D1522">
        <v>8.67</v>
      </c>
      <c r="E1522" s="18">
        <v>286.33333333333331</v>
      </c>
      <c r="F1522" t="s">
        <v>889</v>
      </c>
      <c r="G1522" t="s">
        <v>2446</v>
      </c>
      <c r="I1522"/>
      <c r="J1522"/>
      <c r="L1522"/>
      <c r="M1522"/>
      <c r="O1522"/>
      <c r="P1522" s="20"/>
      <c r="Q1522" s="20"/>
      <c r="R1522" s="20"/>
      <c r="S1522" s="20"/>
      <c r="T1522" s="20"/>
      <c r="U1522" t="s">
        <v>401</v>
      </c>
    </row>
    <row r="1523" spans="1:21" x14ac:dyDescent="0.25">
      <c r="B1523">
        <v>114</v>
      </c>
      <c r="C1523" t="s">
        <v>2445</v>
      </c>
      <c r="E1523" s="18">
        <v>286.33333333333331</v>
      </c>
      <c r="G1523" t="s">
        <v>2446</v>
      </c>
      <c r="I1523"/>
      <c r="J1523"/>
      <c r="L1523"/>
      <c r="M1523"/>
      <c r="O1523"/>
      <c r="P1523" s="20"/>
      <c r="Q1523" s="20"/>
      <c r="R1523" s="20"/>
      <c r="S1523" s="20"/>
      <c r="T1523" s="20"/>
      <c r="U1523" t="s">
        <v>401</v>
      </c>
    </row>
    <row r="1524" spans="1:21" x14ac:dyDescent="0.25">
      <c r="B1524">
        <v>114</v>
      </c>
      <c r="C1524" t="s">
        <v>2408</v>
      </c>
      <c r="D1524">
        <v>6</v>
      </c>
      <c r="E1524" s="18">
        <v>-600</v>
      </c>
      <c r="G1524" t="s">
        <v>2409</v>
      </c>
      <c r="I1524"/>
      <c r="J1524"/>
      <c r="L1524"/>
      <c r="M1524"/>
      <c r="O1524"/>
      <c r="P1524" s="20"/>
      <c r="Q1524" s="20"/>
      <c r="R1524" s="20"/>
      <c r="S1524" s="20"/>
      <c r="T1524" s="20"/>
      <c r="U1524" t="s">
        <v>401</v>
      </c>
    </row>
    <row r="1525" spans="1:21" x14ac:dyDescent="0.25">
      <c r="B1525">
        <v>114</v>
      </c>
      <c r="C1525" t="s">
        <v>2476</v>
      </c>
      <c r="D1525">
        <v>4</v>
      </c>
      <c r="E1525" s="18">
        <v>-400</v>
      </c>
      <c r="F1525" t="s">
        <v>889</v>
      </c>
      <c r="G1525" t="s">
        <v>2477</v>
      </c>
      <c r="I1525"/>
      <c r="J1525"/>
      <c r="L1525"/>
      <c r="M1525"/>
      <c r="O1525"/>
      <c r="P1525" s="20"/>
      <c r="Q1525" s="20"/>
      <c r="R1525" s="20"/>
      <c r="S1525" s="20"/>
      <c r="T1525" s="20"/>
      <c r="U1525" t="s">
        <v>401</v>
      </c>
    </row>
    <row r="1526" spans="1:21" x14ac:dyDescent="0.25">
      <c r="B1526">
        <v>114</v>
      </c>
      <c r="C1526" t="s">
        <v>2476</v>
      </c>
      <c r="D1526">
        <v>4.25</v>
      </c>
      <c r="E1526" s="18">
        <v>400</v>
      </c>
      <c r="F1526" t="s">
        <v>889</v>
      </c>
      <c r="G1526" t="s">
        <v>2477</v>
      </c>
      <c r="I1526"/>
      <c r="J1526"/>
      <c r="L1526"/>
      <c r="M1526"/>
      <c r="O1526"/>
      <c r="P1526" s="20"/>
      <c r="Q1526" s="20"/>
      <c r="R1526" s="20"/>
      <c r="S1526" s="20"/>
      <c r="T1526" s="20"/>
      <c r="U1526" t="s">
        <v>401</v>
      </c>
    </row>
    <row r="1527" spans="1:21" x14ac:dyDescent="0.25">
      <c r="B1527">
        <v>114</v>
      </c>
      <c r="C1527" t="s">
        <v>2410</v>
      </c>
      <c r="D1527">
        <v>6.5</v>
      </c>
      <c r="E1527" s="18">
        <v>-650</v>
      </c>
      <c r="G1527" t="s">
        <v>2412</v>
      </c>
      <c r="I1527"/>
      <c r="J1527"/>
      <c r="L1527"/>
      <c r="M1527"/>
      <c r="O1527"/>
      <c r="P1527" s="20"/>
      <c r="Q1527" s="20"/>
      <c r="R1527" s="20"/>
      <c r="S1527" s="20"/>
      <c r="T1527" s="20"/>
      <c r="U1527" t="s">
        <v>401</v>
      </c>
    </row>
    <row r="1528" spans="1:21" x14ac:dyDescent="0.25">
      <c r="A1528" s="3">
        <v>41775</v>
      </c>
      <c r="B1528" s="36">
        <v>116</v>
      </c>
      <c r="C1528" t="s">
        <v>2478</v>
      </c>
      <c r="D1528">
        <v>7.25</v>
      </c>
      <c r="E1528" s="18">
        <v>725</v>
      </c>
      <c r="G1528" t="s">
        <v>2479</v>
      </c>
      <c r="H1528" s="18">
        <v>725</v>
      </c>
      <c r="I1528" s="3">
        <v>41775</v>
      </c>
      <c r="J1528"/>
      <c r="L1528"/>
      <c r="M1528"/>
      <c r="N1528" s="20"/>
      <c r="O1528"/>
      <c r="P1528" s="20"/>
      <c r="Q1528" s="20"/>
      <c r="R1528" s="20"/>
      <c r="S1528" s="20"/>
      <c r="T1528" s="20"/>
    </row>
    <row r="1529" spans="1:21" x14ac:dyDescent="0.25">
      <c r="A1529" s="3">
        <v>41782</v>
      </c>
      <c r="B1529" s="36">
        <v>116</v>
      </c>
      <c r="C1529" t="s">
        <v>2480</v>
      </c>
      <c r="D1529">
        <v>6.12</v>
      </c>
      <c r="E1529" s="18">
        <v>612</v>
      </c>
      <c r="G1529" t="s">
        <v>2481</v>
      </c>
      <c r="H1529" s="18">
        <v>612</v>
      </c>
      <c r="I1529" s="3">
        <v>41782</v>
      </c>
      <c r="J1529"/>
      <c r="L1529"/>
      <c r="M1529"/>
      <c r="N1529" s="20"/>
      <c r="O1529"/>
      <c r="P1529" s="20"/>
      <c r="Q1529" s="20"/>
      <c r="R1529" s="20"/>
      <c r="S1529" s="20"/>
      <c r="T1529" s="20"/>
    </row>
    <row r="1530" spans="1:21" x14ac:dyDescent="0.25">
      <c r="A1530" s="3">
        <v>41782</v>
      </c>
      <c r="B1530" s="36">
        <v>116</v>
      </c>
      <c r="C1530" t="s">
        <v>2482</v>
      </c>
      <c r="D1530">
        <v>3.75</v>
      </c>
      <c r="E1530" s="18">
        <v>375</v>
      </c>
      <c r="G1530" t="s">
        <v>2483</v>
      </c>
      <c r="H1530" s="18">
        <v>375</v>
      </c>
      <c r="I1530" s="3">
        <v>41782</v>
      </c>
      <c r="J1530"/>
      <c r="L1530"/>
      <c r="M1530"/>
      <c r="N1530" s="20"/>
      <c r="O1530"/>
      <c r="P1530" s="20"/>
      <c r="Q1530" s="20"/>
      <c r="R1530" s="20"/>
      <c r="S1530" s="20"/>
      <c r="T1530" s="20"/>
    </row>
    <row r="1531" spans="1:21" x14ac:dyDescent="0.25">
      <c r="A1531" s="3">
        <v>41782</v>
      </c>
      <c r="B1531" s="36">
        <v>116</v>
      </c>
      <c r="C1531" t="s">
        <v>2484</v>
      </c>
      <c r="D1531">
        <v>9</v>
      </c>
      <c r="E1531" s="18">
        <v>900</v>
      </c>
      <c r="G1531" t="s">
        <v>2485</v>
      </c>
      <c r="H1531" s="18">
        <v>900</v>
      </c>
      <c r="I1531" s="3">
        <v>41782</v>
      </c>
      <c r="J1531"/>
      <c r="L1531"/>
      <c r="M1531"/>
      <c r="N1531" s="20"/>
      <c r="O1531"/>
      <c r="P1531" s="20"/>
      <c r="Q1531" s="20"/>
      <c r="R1531" s="20"/>
      <c r="S1531" s="20"/>
      <c r="T1531" s="20"/>
    </row>
    <row r="1532" spans="1:21" x14ac:dyDescent="0.25">
      <c r="A1532" s="3">
        <v>41796</v>
      </c>
      <c r="B1532" s="36">
        <v>116</v>
      </c>
      <c r="C1532" t="s">
        <v>2486</v>
      </c>
      <c r="D1532">
        <v>6.5</v>
      </c>
      <c r="E1532" s="18">
        <v>650</v>
      </c>
      <c r="G1532" t="s">
        <v>2487</v>
      </c>
      <c r="H1532" s="18">
        <v>650</v>
      </c>
      <c r="I1532" s="3">
        <v>41796</v>
      </c>
      <c r="J1532"/>
      <c r="L1532"/>
      <c r="M1532"/>
      <c r="N1532" s="20"/>
      <c r="O1532"/>
      <c r="P1532" s="20"/>
      <c r="Q1532" s="20"/>
      <c r="R1532" s="20"/>
      <c r="S1532" s="20"/>
      <c r="T1532" s="20"/>
    </row>
    <row r="1533" spans="1:21" x14ac:dyDescent="0.25">
      <c r="A1533" s="3">
        <v>41803</v>
      </c>
      <c r="B1533" s="36">
        <v>116</v>
      </c>
      <c r="C1533" t="s">
        <v>2488</v>
      </c>
      <c r="D1533">
        <v>5.75</v>
      </c>
      <c r="E1533" s="18">
        <v>575</v>
      </c>
      <c r="G1533" t="s">
        <v>2489</v>
      </c>
      <c r="H1533" s="18">
        <v>575</v>
      </c>
      <c r="I1533" s="3">
        <v>41803</v>
      </c>
      <c r="J1533"/>
      <c r="L1533"/>
      <c r="M1533"/>
      <c r="N1533" s="20"/>
      <c r="O1533" t="s">
        <v>1169</v>
      </c>
      <c r="P1533" s="20"/>
      <c r="Q1533" s="20"/>
      <c r="R1533" s="20"/>
      <c r="S1533" s="20"/>
      <c r="T1533" s="20"/>
    </row>
    <row r="1534" spans="1:21" x14ac:dyDescent="0.25">
      <c r="A1534" s="3">
        <v>41845</v>
      </c>
      <c r="B1534" s="36">
        <v>116</v>
      </c>
      <c r="C1534" t="s">
        <v>2490</v>
      </c>
      <c r="D1534">
        <v>9</v>
      </c>
      <c r="E1534" s="18">
        <v>900</v>
      </c>
      <c r="G1534" t="s">
        <v>2491</v>
      </c>
      <c r="H1534" s="18">
        <v>900</v>
      </c>
      <c r="I1534" s="3">
        <v>41845</v>
      </c>
      <c r="J1534"/>
      <c r="L1534"/>
      <c r="M1534"/>
      <c r="N1534" s="20"/>
      <c r="O1534"/>
      <c r="P1534" s="20"/>
      <c r="Q1534" s="20"/>
      <c r="R1534" s="20"/>
      <c r="S1534" s="20"/>
      <c r="T1534" s="20"/>
    </row>
    <row r="1535" spans="1:21" x14ac:dyDescent="0.25">
      <c r="B1535">
        <v>116</v>
      </c>
      <c r="C1535" t="s">
        <v>2490</v>
      </c>
      <c r="D1535">
        <v>9</v>
      </c>
      <c r="E1535" s="18">
        <v>-900</v>
      </c>
      <c r="F1535" t="s">
        <v>889</v>
      </c>
      <c r="G1535" t="s">
        <v>2491</v>
      </c>
      <c r="I1535"/>
      <c r="J1535"/>
      <c r="L1535"/>
      <c r="M1535"/>
      <c r="O1535"/>
      <c r="P1535" s="20"/>
      <c r="Q1535" s="20"/>
      <c r="R1535" s="20"/>
      <c r="S1535" s="20"/>
      <c r="T1535" s="20"/>
      <c r="U1535" t="s">
        <v>401</v>
      </c>
    </row>
    <row r="1536" spans="1:21" x14ac:dyDescent="0.25">
      <c r="B1536">
        <v>116</v>
      </c>
      <c r="C1536" t="s">
        <v>2486</v>
      </c>
      <c r="D1536">
        <v>6.5</v>
      </c>
      <c r="E1536" s="18">
        <v>-650</v>
      </c>
      <c r="F1536" t="s">
        <v>889</v>
      </c>
      <c r="G1536" t="s">
        <v>2487</v>
      </c>
      <c r="I1536"/>
      <c r="J1536"/>
      <c r="L1536"/>
      <c r="M1536"/>
      <c r="O1536"/>
      <c r="P1536" s="20"/>
      <c r="Q1536" s="20"/>
      <c r="R1536" s="20"/>
      <c r="S1536" s="20"/>
      <c r="T1536" s="20"/>
      <c r="U1536" t="s">
        <v>401</v>
      </c>
    </row>
    <row r="1537" spans="1:21" x14ac:dyDescent="0.25">
      <c r="B1537">
        <v>116</v>
      </c>
      <c r="C1537" t="s">
        <v>2480</v>
      </c>
      <c r="D1537">
        <v>6.12</v>
      </c>
      <c r="E1537" s="18">
        <v>-612</v>
      </c>
      <c r="F1537" t="s">
        <v>889</v>
      </c>
      <c r="G1537" t="s">
        <v>2481</v>
      </c>
      <c r="I1537"/>
      <c r="J1537"/>
      <c r="L1537"/>
      <c r="M1537"/>
      <c r="O1537"/>
      <c r="P1537" s="20"/>
      <c r="Q1537" s="20"/>
      <c r="R1537" s="20"/>
      <c r="S1537" s="20"/>
      <c r="T1537" s="20"/>
      <c r="U1537" t="s">
        <v>401</v>
      </c>
    </row>
    <row r="1538" spans="1:21" x14ac:dyDescent="0.25">
      <c r="B1538">
        <v>116</v>
      </c>
      <c r="C1538" t="s">
        <v>2482</v>
      </c>
      <c r="D1538">
        <v>3.57</v>
      </c>
      <c r="E1538" s="18">
        <v>-375</v>
      </c>
      <c r="F1538" t="s">
        <v>889</v>
      </c>
      <c r="G1538" t="s">
        <v>2483</v>
      </c>
      <c r="I1538"/>
      <c r="J1538"/>
      <c r="L1538"/>
      <c r="M1538"/>
      <c r="O1538"/>
      <c r="P1538" s="20"/>
      <c r="Q1538" s="20"/>
      <c r="R1538" s="20"/>
      <c r="S1538" s="20"/>
      <c r="T1538" s="20"/>
      <c r="U1538" t="s">
        <v>401</v>
      </c>
    </row>
    <row r="1539" spans="1:21" x14ac:dyDescent="0.25">
      <c r="B1539">
        <v>116</v>
      </c>
      <c r="C1539" t="s">
        <v>2488</v>
      </c>
      <c r="D1539">
        <v>5.75</v>
      </c>
      <c r="E1539" s="18">
        <v>-575</v>
      </c>
      <c r="G1539" t="s">
        <v>2489</v>
      </c>
      <c r="I1539"/>
      <c r="J1539"/>
      <c r="L1539"/>
      <c r="M1539"/>
      <c r="O1539"/>
      <c r="P1539" s="20"/>
      <c r="Q1539" s="20"/>
      <c r="R1539" s="20"/>
      <c r="S1539" s="20"/>
      <c r="T1539" s="20"/>
      <c r="U1539" t="s">
        <v>401</v>
      </c>
    </row>
    <row r="1540" spans="1:21" x14ac:dyDescent="0.25">
      <c r="B1540">
        <v>116</v>
      </c>
      <c r="C1540" t="s">
        <v>2492</v>
      </c>
      <c r="D1540" t="s">
        <v>442</v>
      </c>
      <c r="E1540" s="18">
        <v>-371.42849999999999</v>
      </c>
      <c r="F1540" t="s">
        <v>891</v>
      </c>
      <c r="G1540" t="s">
        <v>442</v>
      </c>
      <c r="I1540"/>
      <c r="J1540"/>
      <c r="L1540"/>
      <c r="M1540"/>
      <c r="O1540"/>
      <c r="P1540" s="20"/>
      <c r="Q1540" s="20"/>
      <c r="R1540" s="20"/>
      <c r="S1540" s="20"/>
      <c r="T1540" s="20"/>
      <c r="U1540" t="s">
        <v>401</v>
      </c>
    </row>
    <row r="1541" spans="1:21" x14ac:dyDescent="0.25">
      <c r="B1541">
        <v>116</v>
      </c>
      <c r="C1541" t="s">
        <v>2478</v>
      </c>
      <c r="D1541">
        <v>7.14</v>
      </c>
      <c r="E1541" s="18">
        <v>-725</v>
      </c>
      <c r="F1541" t="s">
        <v>889</v>
      </c>
      <c r="G1541" t="s">
        <v>2479</v>
      </c>
      <c r="I1541"/>
      <c r="J1541"/>
      <c r="L1541"/>
      <c r="M1541"/>
      <c r="O1541"/>
      <c r="P1541" s="20"/>
      <c r="Q1541" s="20"/>
      <c r="R1541" s="20"/>
      <c r="S1541" s="20"/>
      <c r="T1541" s="20"/>
      <c r="U1541" t="s">
        <v>401</v>
      </c>
    </row>
    <row r="1542" spans="1:21" x14ac:dyDescent="0.25">
      <c r="B1542">
        <v>116</v>
      </c>
      <c r="C1542" t="s">
        <v>2484</v>
      </c>
      <c r="D1542">
        <v>9.69</v>
      </c>
      <c r="E1542" s="18">
        <v>346</v>
      </c>
      <c r="F1542" t="s">
        <v>889</v>
      </c>
      <c r="G1542" t="s">
        <v>2485</v>
      </c>
      <c r="I1542"/>
      <c r="J1542"/>
      <c r="L1542"/>
      <c r="M1542"/>
      <c r="O1542"/>
      <c r="P1542" s="20"/>
      <c r="Q1542" s="20"/>
      <c r="R1542" s="20"/>
      <c r="S1542" s="20"/>
      <c r="T1542" s="20"/>
      <c r="U1542" t="s">
        <v>401</v>
      </c>
    </row>
    <row r="1543" spans="1:21" x14ac:dyDescent="0.25">
      <c r="B1543">
        <v>116</v>
      </c>
      <c r="C1543" t="s">
        <v>2484</v>
      </c>
      <c r="D1543">
        <v>9.69</v>
      </c>
      <c r="E1543" s="18">
        <v>346</v>
      </c>
      <c r="F1543" t="s">
        <v>889</v>
      </c>
      <c r="G1543" t="s">
        <v>2485</v>
      </c>
      <c r="I1543"/>
      <c r="J1543"/>
      <c r="L1543"/>
      <c r="M1543"/>
      <c r="O1543"/>
      <c r="P1543" s="20"/>
      <c r="Q1543" s="20"/>
      <c r="R1543" s="20"/>
      <c r="S1543" s="20"/>
      <c r="T1543" s="20"/>
      <c r="U1543" t="s">
        <v>401</v>
      </c>
    </row>
    <row r="1544" spans="1:21" x14ac:dyDescent="0.25">
      <c r="A1544" s="3">
        <v>41775</v>
      </c>
      <c r="B1544" s="36">
        <v>117</v>
      </c>
      <c r="C1544" t="s">
        <v>2493</v>
      </c>
      <c r="D1544">
        <v>4.8449999999999998</v>
      </c>
      <c r="E1544" s="18">
        <v>484.5</v>
      </c>
      <c r="G1544" t="s">
        <v>2494</v>
      </c>
      <c r="H1544" s="18">
        <v>484.5</v>
      </c>
      <c r="I1544" s="3">
        <v>41775</v>
      </c>
      <c r="J1544"/>
      <c r="L1544"/>
      <c r="M1544"/>
      <c r="N1544" s="20"/>
      <c r="O1544"/>
      <c r="P1544" s="20"/>
      <c r="Q1544" s="20"/>
      <c r="R1544" s="20"/>
      <c r="S1544" s="20"/>
      <c r="T1544" s="20"/>
    </row>
    <row r="1545" spans="1:21" x14ac:dyDescent="0.25">
      <c r="A1545" s="3">
        <v>41775</v>
      </c>
      <c r="B1545" s="36">
        <v>117</v>
      </c>
      <c r="C1545" t="s">
        <v>2495</v>
      </c>
      <c r="D1545">
        <v>5.25</v>
      </c>
      <c r="E1545" s="18">
        <v>525</v>
      </c>
      <c r="G1545" t="s">
        <v>2496</v>
      </c>
      <c r="H1545" s="18">
        <v>525</v>
      </c>
      <c r="I1545" s="3">
        <v>41775</v>
      </c>
      <c r="J1545"/>
      <c r="L1545"/>
      <c r="M1545"/>
      <c r="N1545" s="20"/>
      <c r="O1545"/>
      <c r="P1545" s="20"/>
      <c r="Q1545" s="20"/>
      <c r="R1545" s="20"/>
      <c r="S1545" s="20"/>
      <c r="T1545" s="20"/>
    </row>
    <row r="1546" spans="1:21" x14ac:dyDescent="0.25">
      <c r="A1546" s="57">
        <v>41831</v>
      </c>
      <c r="B1546" s="42">
        <v>117</v>
      </c>
      <c r="C1546" s="45" t="s">
        <v>1156</v>
      </c>
      <c r="D1546" s="45">
        <v>7.5</v>
      </c>
      <c r="E1546" s="58">
        <v>-750</v>
      </c>
      <c r="F1546" s="45"/>
      <c r="G1546" s="45" t="s">
        <v>1157</v>
      </c>
      <c r="H1546" s="18" t="s">
        <v>442</v>
      </c>
      <c r="I1546" s="3" t="s">
        <v>442</v>
      </c>
      <c r="J1546" s="45"/>
      <c r="K1546" s="45"/>
      <c r="L1546" s="45"/>
      <c r="M1546" s="45"/>
      <c r="N1546" s="45"/>
      <c r="O1546" s="45"/>
      <c r="P1546" s="20"/>
      <c r="Q1546" s="20"/>
      <c r="R1546" s="20"/>
      <c r="S1546" s="20"/>
      <c r="T1546" s="20"/>
    </row>
    <row r="1547" spans="1:21" x14ac:dyDescent="0.25">
      <c r="A1547" s="3">
        <v>41831</v>
      </c>
      <c r="B1547" s="36">
        <v>117</v>
      </c>
      <c r="C1547" t="s">
        <v>2497</v>
      </c>
      <c r="D1547">
        <v>4.25</v>
      </c>
      <c r="E1547" s="18">
        <v>425</v>
      </c>
      <c r="G1547" t="s">
        <v>2498</v>
      </c>
      <c r="H1547" s="18">
        <v>425</v>
      </c>
      <c r="I1547" s="3">
        <v>41831</v>
      </c>
      <c r="J1547"/>
      <c r="L1547"/>
      <c r="M1547"/>
      <c r="N1547" s="20"/>
      <c r="O1547" t="s">
        <v>1169</v>
      </c>
      <c r="P1547" s="20"/>
      <c r="Q1547" s="20"/>
      <c r="R1547" s="20"/>
      <c r="S1547" s="20"/>
      <c r="T1547" s="20"/>
    </row>
    <row r="1548" spans="1:21" x14ac:dyDescent="0.25">
      <c r="A1548" s="3">
        <v>41831</v>
      </c>
      <c r="B1548" s="36">
        <v>117</v>
      </c>
      <c r="C1548" t="s">
        <v>2497</v>
      </c>
      <c r="D1548">
        <v>4.25</v>
      </c>
      <c r="E1548" s="18">
        <v>-425</v>
      </c>
      <c r="G1548" t="s">
        <v>2498</v>
      </c>
      <c r="H1548" s="18" t="s">
        <v>442</v>
      </c>
      <c r="I1548" s="3" t="s">
        <v>442</v>
      </c>
      <c r="J1548"/>
      <c r="L1548"/>
      <c r="M1548"/>
      <c r="N1548" s="20"/>
      <c r="O1548" t="s">
        <v>933</v>
      </c>
      <c r="P1548" s="20"/>
      <c r="Q1548" s="20"/>
      <c r="R1548" s="20"/>
      <c r="S1548" s="20"/>
      <c r="T1548" s="20"/>
    </row>
    <row r="1549" spans="1:21" x14ac:dyDescent="0.25">
      <c r="A1549" s="3">
        <v>41831</v>
      </c>
      <c r="B1549" s="36">
        <v>117</v>
      </c>
      <c r="C1549" t="s">
        <v>2499</v>
      </c>
      <c r="D1549">
        <v>7.5</v>
      </c>
      <c r="E1549" s="18">
        <v>750</v>
      </c>
      <c r="G1549" t="s">
        <v>2500</v>
      </c>
      <c r="H1549" s="18">
        <v>750</v>
      </c>
      <c r="I1549" s="3">
        <v>41831</v>
      </c>
      <c r="J1549"/>
      <c r="L1549"/>
      <c r="M1549"/>
      <c r="N1549" s="20"/>
      <c r="O1549" t="s">
        <v>1169</v>
      </c>
      <c r="P1549" s="20"/>
      <c r="Q1549" s="20"/>
      <c r="R1549" s="20"/>
      <c r="S1549" s="20"/>
      <c r="T1549" s="20"/>
    </row>
    <row r="1550" spans="1:21" x14ac:dyDescent="0.25">
      <c r="A1550" s="57">
        <v>41831</v>
      </c>
      <c r="B1550" s="42">
        <v>117</v>
      </c>
      <c r="C1550" s="45" t="s">
        <v>1172</v>
      </c>
      <c r="D1550" s="45">
        <v>9.18</v>
      </c>
      <c r="E1550" s="58">
        <v>918</v>
      </c>
      <c r="F1550" s="45"/>
      <c r="G1550" s="45" t="s">
        <v>1173</v>
      </c>
      <c r="H1550" s="18">
        <v>918</v>
      </c>
      <c r="I1550" s="3">
        <v>41831</v>
      </c>
      <c r="J1550" s="45"/>
      <c r="K1550" s="45"/>
      <c r="L1550" s="45"/>
      <c r="M1550" s="45"/>
      <c r="N1550" s="45"/>
      <c r="O1550" s="45" t="s">
        <v>917</v>
      </c>
      <c r="P1550" s="20"/>
      <c r="Q1550" s="20"/>
      <c r="R1550" s="20"/>
      <c r="S1550" s="20"/>
      <c r="T1550" s="20"/>
    </row>
    <row r="1551" spans="1:21" x14ac:dyDescent="0.25">
      <c r="A1551" s="3">
        <v>41831</v>
      </c>
      <c r="B1551" s="36">
        <v>117</v>
      </c>
      <c r="C1551" t="s">
        <v>2501</v>
      </c>
      <c r="D1551">
        <v>10.199999999999999</v>
      </c>
      <c r="E1551" s="18">
        <v>1019.9999999999999</v>
      </c>
      <c r="G1551" t="s">
        <v>2502</v>
      </c>
      <c r="H1551" s="18">
        <v>1019.9999999999999</v>
      </c>
      <c r="I1551" s="3">
        <v>41831</v>
      </c>
      <c r="J1551"/>
      <c r="L1551"/>
      <c r="M1551"/>
      <c r="N1551" s="20"/>
      <c r="O1551" t="s">
        <v>931</v>
      </c>
      <c r="P1551" s="20"/>
      <c r="Q1551" s="20"/>
      <c r="R1551" s="20"/>
      <c r="S1551" s="20"/>
      <c r="T1551" s="20"/>
    </row>
    <row r="1552" spans="1:21" x14ac:dyDescent="0.25">
      <c r="A1552" s="3">
        <v>41831</v>
      </c>
      <c r="B1552" s="36">
        <v>117</v>
      </c>
      <c r="C1552" t="s">
        <v>1838</v>
      </c>
      <c r="E1552" s="18">
        <v>200</v>
      </c>
      <c r="G1552" t="s">
        <v>442</v>
      </c>
      <c r="H1552" s="18" t="s">
        <v>442</v>
      </c>
      <c r="I1552" s="3" t="s">
        <v>442</v>
      </c>
      <c r="J1552"/>
      <c r="L1552"/>
      <c r="M1552"/>
      <c r="N1552" s="20"/>
      <c r="O1552"/>
      <c r="P1552" s="20"/>
      <c r="Q1552" s="20"/>
      <c r="R1552" s="20"/>
      <c r="S1552" s="20" t="s">
        <v>401</v>
      </c>
      <c r="T1552" s="20"/>
    </row>
    <row r="1553" spans="1:20" x14ac:dyDescent="0.25">
      <c r="A1553" s="3">
        <v>41831</v>
      </c>
      <c r="B1553" s="36">
        <v>117</v>
      </c>
      <c r="C1553" t="s">
        <v>1574</v>
      </c>
      <c r="E1553" s="18">
        <v>-100</v>
      </c>
      <c r="G1553" t="s">
        <v>442</v>
      </c>
      <c r="H1553" s="18" t="s">
        <v>442</v>
      </c>
      <c r="I1553" s="3" t="s">
        <v>442</v>
      </c>
      <c r="J1553"/>
      <c r="L1553"/>
      <c r="M1553"/>
      <c r="N1553" s="20"/>
      <c r="O1553" t="s">
        <v>1839</v>
      </c>
      <c r="P1553" s="20"/>
      <c r="Q1553" s="20" t="s">
        <v>401</v>
      </c>
      <c r="R1553" s="20"/>
      <c r="S1553" s="20"/>
      <c r="T1553" s="20"/>
    </row>
    <row r="1554" spans="1:20" x14ac:dyDescent="0.25">
      <c r="A1554" s="3">
        <v>41831</v>
      </c>
      <c r="B1554" s="36">
        <v>117</v>
      </c>
      <c r="C1554" t="s">
        <v>1575</v>
      </c>
      <c r="E1554" s="18">
        <v>-100</v>
      </c>
      <c r="G1554" t="s">
        <v>442</v>
      </c>
      <c r="H1554" s="18" t="s">
        <v>442</v>
      </c>
      <c r="I1554" s="3" t="s">
        <v>442</v>
      </c>
      <c r="J1554"/>
      <c r="L1554"/>
      <c r="M1554"/>
      <c r="N1554" s="20"/>
      <c r="O1554" t="s">
        <v>1851</v>
      </c>
      <c r="P1554" s="20"/>
      <c r="Q1554" s="20" t="s">
        <v>401</v>
      </c>
      <c r="R1554" s="20"/>
      <c r="S1554" s="20"/>
      <c r="T1554" s="20"/>
    </row>
    <row r="1555" spans="1:20" x14ac:dyDescent="0.25">
      <c r="A1555" s="3">
        <v>41831</v>
      </c>
      <c r="B1555" s="36">
        <v>117</v>
      </c>
      <c r="C1555" t="s">
        <v>2503</v>
      </c>
      <c r="E1555" s="18">
        <v>-185.71428571428572</v>
      </c>
      <c r="G1555" t="s">
        <v>442</v>
      </c>
      <c r="H1555" s="18" t="s">
        <v>442</v>
      </c>
      <c r="I1555" s="3" t="s">
        <v>442</v>
      </c>
      <c r="J1555"/>
      <c r="L1555"/>
      <c r="M1555"/>
      <c r="N1555" s="20"/>
      <c r="O1555" t="s">
        <v>2504</v>
      </c>
      <c r="P1555" s="20"/>
      <c r="Q1555" s="20" t="s">
        <v>401</v>
      </c>
      <c r="R1555" s="20"/>
      <c r="S1555" s="20"/>
      <c r="T1555" s="20"/>
    </row>
    <row r="1556" spans="1:20" x14ac:dyDescent="0.25">
      <c r="A1556" s="3">
        <v>41831</v>
      </c>
      <c r="B1556" s="36">
        <v>117</v>
      </c>
      <c r="C1556" t="s">
        <v>1071</v>
      </c>
      <c r="E1556" s="18">
        <v>-150</v>
      </c>
      <c r="G1556" t="s">
        <v>442</v>
      </c>
      <c r="H1556" s="18" t="s">
        <v>442</v>
      </c>
      <c r="I1556" s="3" t="s">
        <v>442</v>
      </c>
      <c r="J1556"/>
      <c r="L1556"/>
      <c r="M1556"/>
      <c r="N1556" s="20"/>
      <c r="O1556"/>
      <c r="P1556" s="20"/>
      <c r="Q1556" s="20" t="s">
        <v>401</v>
      </c>
      <c r="R1556" s="20"/>
      <c r="S1556" s="20"/>
      <c r="T1556" s="20"/>
    </row>
    <row r="1557" spans="1:20" x14ac:dyDescent="0.25">
      <c r="A1557" s="3">
        <v>41831</v>
      </c>
      <c r="B1557" s="36">
        <v>117</v>
      </c>
      <c r="C1557" t="s">
        <v>1342</v>
      </c>
      <c r="E1557" s="18">
        <v>-694.4</v>
      </c>
      <c r="G1557" t="s">
        <v>442</v>
      </c>
      <c r="H1557" s="18" t="s">
        <v>442</v>
      </c>
      <c r="I1557" s="3" t="s">
        <v>442</v>
      </c>
      <c r="J1557"/>
      <c r="L1557"/>
      <c r="M1557"/>
      <c r="N1557" s="20"/>
      <c r="O1557" t="s">
        <v>2154</v>
      </c>
      <c r="P1557" s="20"/>
      <c r="Q1557" s="20" t="s">
        <v>401</v>
      </c>
      <c r="R1557" s="20"/>
      <c r="S1557" s="20"/>
      <c r="T1557" s="20"/>
    </row>
    <row r="1558" spans="1:20" x14ac:dyDescent="0.25">
      <c r="A1558" s="3">
        <v>41831</v>
      </c>
      <c r="B1558" s="36">
        <v>117</v>
      </c>
      <c r="C1558" t="s">
        <v>2495</v>
      </c>
      <c r="D1558">
        <v>5.25</v>
      </c>
      <c r="E1558" s="18">
        <v>-525</v>
      </c>
      <c r="G1558" t="s">
        <v>2496</v>
      </c>
      <c r="H1558" s="18" t="s">
        <v>442</v>
      </c>
      <c r="I1558" s="3" t="s">
        <v>442</v>
      </c>
      <c r="J1558"/>
      <c r="L1558"/>
      <c r="M1558"/>
      <c r="N1558" s="20"/>
      <c r="O1558" t="s">
        <v>995</v>
      </c>
      <c r="P1558" s="20"/>
      <c r="Q1558" s="20"/>
      <c r="R1558" s="20"/>
      <c r="S1558" s="20"/>
      <c r="T1558" s="20"/>
    </row>
    <row r="1559" spans="1:20" x14ac:dyDescent="0.25">
      <c r="A1559" s="3">
        <v>41831</v>
      </c>
      <c r="B1559" s="36">
        <v>117</v>
      </c>
      <c r="C1559" t="s">
        <v>2505</v>
      </c>
      <c r="D1559">
        <v>3.5</v>
      </c>
      <c r="E1559" s="18">
        <v>350</v>
      </c>
      <c r="G1559" t="s">
        <v>2506</v>
      </c>
      <c r="H1559" s="18">
        <v>350</v>
      </c>
      <c r="I1559" s="3">
        <v>41831</v>
      </c>
      <c r="J1559"/>
      <c r="L1559"/>
      <c r="M1559"/>
      <c r="N1559" s="20"/>
      <c r="O1559"/>
      <c r="P1559" s="20"/>
      <c r="Q1559" s="20"/>
      <c r="R1559" s="20"/>
      <c r="S1559" s="20"/>
      <c r="T1559" s="20"/>
    </row>
    <row r="1560" spans="1:20" x14ac:dyDescent="0.25">
      <c r="A1560" s="46">
        <v>41831</v>
      </c>
      <c r="B1560" s="36">
        <v>117</v>
      </c>
      <c r="C1560" s="47" t="s">
        <v>2507</v>
      </c>
      <c r="D1560" s="47"/>
      <c r="E1560" s="48">
        <v>757.00428571428608</v>
      </c>
      <c r="F1560" s="47"/>
      <c r="G1560" s="20"/>
      <c r="H1560" s="18" t="s">
        <v>442</v>
      </c>
      <c r="I1560" s="3" t="s">
        <v>442</v>
      </c>
      <c r="J1560" s="20"/>
      <c r="K1560" s="20"/>
      <c r="L1560" s="20"/>
      <c r="M1560" s="20"/>
      <c r="N1560" s="20"/>
      <c r="O1560" s="47" t="s">
        <v>2508</v>
      </c>
      <c r="P1560" s="20"/>
      <c r="Q1560" s="20"/>
      <c r="R1560" s="20"/>
      <c r="S1560" s="20" t="s">
        <v>401</v>
      </c>
      <c r="T1560" s="20"/>
    </row>
    <row r="1561" spans="1:20" x14ac:dyDescent="0.25">
      <c r="A1561" s="3">
        <v>41838</v>
      </c>
      <c r="B1561" s="36">
        <v>117</v>
      </c>
      <c r="C1561" t="s">
        <v>2509</v>
      </c>
      <c r="E1561" s="18">
        <v>33.333333333333336</v>
      </c>
      <c r="G1561" t="s">
        <v>442</v>
      </c>
      <c r="H1561" s="18" t="s">
        <v>442</v>
      </c>
      <c r="I1561" s="3" t="s">
        <v>442</v>
      </c>
      <c r="J1561"/>
      <c r="L1561"/>
      <c r="M1561"/>
      <c r="N1561" s="20"/>
      <c r="O1561"/>
      <c r="P1561" s="20"/>
      <c r="Q1561" s="20" t="s">
        <v>401</v>
      </c>
      <c r="R1561" s="20"/>
      <c r="S1561" s="20"/>
      <c r="T1561" s="20"/>
    </row>
    <row r="1562" spans="1:20" x14ac:dyDescent="0.25">
      <c r="A1562" s="3">
        <v>41838</v>
      </c>
      <c r="B1562" s="36">
        <v>117</v>
      </c>
      <c r="C1562" t="s">
        <v>2510</v>
      </c>
      <c r="E1562" s="18">
        <v>100</v>
      </c>
      <c r="G1562" t="s">
        <v>442</v>
      </c>
      <c r="H1562" s="18" t="s">
        <v>442</v>
      </c>
      <c r="I1562" s="3" t="s">
        <v>442</v>
      </c>
      <c r="J1562"/>
      <c r="L1562"/>
      <c r="M1562"/>
      <c r="N1562" s="20"/>
      <c r="O1562"/>
      <c r="P1562" s="20"/>
      <c r="Q1562" s="20" t="s">
        <v>401</v>
      </c>
      <c r="R1562" s="20"/>
      <c r="S1562" s="20"/>
      <c r="T1562" s="20"/>
    </row>
    <row r="1563" spans="1:20" x14ac:dyDescent="0.25">
      <c r="A1563" s="3">
        <v>41866</v>
      </c>
      <c r="B1563" s="36">
        <v>117</v>
      </c>
      <c r="C1563" t="s">
        <v>954</v>
      </c>
      <c r="E1563" s="18">
        <v>45</v>
      </c>
      <c r="G1563" t="s">
        <v>442</v>
      </c>
      <c r="H1563" s="18" t="s">
        <v>442</v>
      </c>
      <c r="I1563" s="3" t="s">
        <v>442</v>
      </c>
      <c r="J1563"/>
      <c r="L1563"/>
      <c r="M1563"/>
      <c r="N1563" s="20" t="s">
        <v>401</v>
      </c>
      <c r="O1563"/>
      <c r="P1563" s="20"/>
      <c r="Q1563" s="20"/>
      <c r="R1563" s="20"/>
      <c r="S1563" s="20"/>
      <c r="T1563" s="20"/>
    </row>
    <row r="1564" spans="1:20" x14ac:dyDescent="0.25">
      <c r="A1564" s="3">
        <v>41929</v>
      </c>
      <c r="B1564" s="36">
        <v>117</v>
      </c>
      <c r="C1564" t="s">
        <v>1098</v>
      </c>
      <c r="E1564" s="18">
        <v>663.9</v>
      </c>
      <c r="F1564" t="s">
        <v>888</v>
      </c>
      <c r="G1564" t="s">
        <v>442</v>
      </c>
      <c r="H1564" s="18" t="s">
        <v>442</v>
      </c>
      <c r="I1564" s="3" t="s">
        <v>442</v>
      </c>
      <c r="J1564"/>
      <c r="L1564"/>
      <c r="M1564"/>
      <c r="N1564" s="20" t="s">
        <v>401</v>
      </c>
      <c r="O1564"/>
      <c r="P1564" s="20"/>
      <c r="Q1564" s="20"/>
      <c r="R1564" s="20"/>
      <c r="S1564" s="20"/>
      <c r="T1564" s="20"/>
    </row>
    <row r="1565" spans="1:20" x14ac:dyDescent="0.25">
      <c r="A1565" s="57">
        <v>41929</v>
      </c>
      <c r="B1565" s="42">
        <v>117</v>
      </c>
      <c r="C1565" s="45" t="s">
        <v>1172</v>
      </c>
      <c r="D1565" s="45">
        <v>9.18</v>
      </c>
      <c r="E1565" s="58">
        <v>-918</v>
      </c>
      <c r="F1565" s="45" t="s">
        <v>889</v>
      </c>
      <c r="G1565" s="45" t="s">
        <v>1173</v>
      </c>
      <c r="H1565" s="18" t="s">
        <v>442</v>
      </c>
      <c r="I1565" s="3" t="s">
        <v>442</v>
      </c>
      <c r="J1565" s="45"/>
      <c r="K1565" s="45"/>
      <c r="L1565" s="45"/>
      <c r="M1565" s="45"/>
      <c r="N1565" s="45"/>
      <c r="O1565" s="45"/>
      <c r="P1565" s="20"/>
      <c r="Q1565" s="20"/>
      <c r="R1565" s="20"/>
      <c r="S1565" s="20"/>
      <c r="T1565" s="20"/>
    </row>
    <row r="1566" spans="1:20" x14ac:dyDescent="0.25">
      <c r="A1566" s="3">
        <v>41929</v>
      </c>
      <c r="B1566" s="36">
        <v>117</v>
      </c>
      <c r="C1566" t="s">
        <v>2501</v>
      </c>
      <c r="E1566" s="18">
        <v>1019.9999999999998</v>
      </c>
      <c r="F1566" t="s">
        <v>889</v>
      </c>
      <c r="G1566" t="s">
        <v>2502</v>
      </c>
      <c r="H1566" s="18">
        <v>1019.9999999999998</v>
      </c>
      <c r="I1566" s="3">
        <v>41929</v>
      </c>
      <c r="J1566"/>
      <c r="L1566"/>
      <c r="M1566"/>
      <c r="N1566" s="20"/>
      <c r="O1566" t="s">
        <v>959</v>
      </c>
      <c r="P1566" s="20"/>
      <c r="Q1566" s="20"/>
      <c r="R1566" s="20"/>
      <c r="S1566" s="20"/>
      <c r="T1566" s="20"/>
    </row>
    <row r="1567" spans="1:20" x14ac:dyDescent="0.25">
      <c r="A1567" s="3">
        <v>41929</v>
      </c>
      <c r="B1567" s="36">
        <v>117</v>
      </c>
      <c r="C1567" t="s">
        <v>2505</v>
      </c>
      <c r="D1567">
        <v>3.3149999999999999</v>
      </c>
      <c r="E1567" s="18">
        <v>-350</v>
      </c>
      <c r="F1567" t="s">
        <v>889</v>
      </c>
      <c r="G1567" t="s">
        <v>2506</v>
      </c>
      <c r="H1567" s="18" t="s">
        <v>442</v>
      </c>
      <c r="I1567" s="3" t="s">
        <v>442</v>
      </c>
      <c r="J1567"/>
      <c r="L1567"/>
      <c r="M1567"/>
      <c r="N1567" s="20"/>
      <c r="O1567"/>
      <c r="P1567" s="20"/>
      <c r="Q1567" s="20"/>
      <c r="R1567" s="20"/>
      <c r="S1567" s="20"/>
      <c r="T1567" s="20"/>
    </row>
    <row r="1568" spans="1:20" x14ac:dyDescent="0.25">
      <c r="A1568" s="3">
        <v>41995</v>
      </c>
      <c r="B1568" s="36">
        <v>117</v>
      </c>
      <c r="C1568" t="s">
        <v>967</v>
      </c>
      <c r="E1568" s="18">
        <v>75</v>
      </c>
      <c r="F1568" t="s">
        <v>889</v>
      </c>
      <c r="G1568" t="s">
        <v>442</v>
      </c>
      <c r="H1568" s="18" t="s">
        <v>442</v>
      </c>
      <c r="I1568" s="3" t="s">
        <v>442</v>
      </c>
      <c r="J1568"/>
      <c r="L1568"/>
      <c r="M1568"/>
      <c r="N1568" s="40" t="s">
        <v>401</v>
      </c>
      <c r="O1568"/>
      <c r="P1568" s="20"/>
      <c r="Q1568" s="20"/>
      <c r="R1568" s="20"/>
      <c r="S1568" s="20"/>
      <c r="T1568" s="20"/>
    </row>
    <row r="1569" spans="1:20" x14ac:dyDescent="0.25">
      <c r="A1569" s="3">
        <v>41789</v>
      </c>
      <c r="B1569" s="36">
        <v>118</v>
      </c>
      <c r="C1569" t="s">
        <v>2511</v>
      </c>
      <c r="D1569">
        <v>9.25</v>
      </c>
      <c r="E1569" s="18">
        <v>925</v>
      </c>
      <c r="G1569" t="s">
        <v>2512</v>
      </c>
      <c r="H1569" s="18">
        <v>925</v>
      </c>
      <c r="I1569" s="3">
        <v>41789</v>
      </c>
      <c r="J1569"/>
      <c r="L1569"/>
      <c r="M1569"/>
      <c r="N1569" s="20"/>
      <c r="O1569"/>
      <c r="P1569" s="20"/>
      <c r="Q1569" s="20"/>
      <c r="R1569" s="20"/>
      <c r="S1569" s="20"/>
      <c r="T1569" s="20"/>
    </row>
    <row r="1570" spans="1:20" x14ac:dyDescent="0.25">
      <c r="A1570" s="3">
        <v>41789</v>
      </c>
      <c r="B1570" s="36">
        <v>118</v>
      </c>
      <c r="C1570" t="s">
        <v>2513</v>
      </c>
      <c r="D1570">
        <v>6.8849999999999998</v>
      </c>
      <c r="E1570" s="18">
        <v>688.5</v>
      </c>
      <c r="G1570" t="s">
        <v>2514</v>
      </c>
      <c r="H1570" s="18">
        <v>688.5</v>
      </c>
      <c r="I1570" s="3">
        <v>41789</v>
      </c>
      <c r="J1570"/>
      <c r="L1570"/>
      <c r="M1570"/>
      <c r="N1570" s="20"/>
      <c r="O1570"/>
      <c r="P1570" s="20"/>
      <c r="Q1570" s="20"/>
      <c r="R1570" s="20"/>
      <c r="S1570" s="20"/>
      <c r="T1570" s="20"/>
    </row>
    <row r="1571" spans="1:20" x14ac:dyDescent="0.25">
      <c r="A1571" s="3">
        <v>41789</v>
      </c>
      <c r="B1571" s="36">
        <v>118</v>
      </c>
      <c r="C1571" t="s">
        <v>2515</v>
      </c>
      <c r="D1571">
        <v>3.8250000000000002</v>
      </c>
      <c r="E1571" s="18">
        <v>382.5</v>
      </c>
      <c r="G1571" t="s">
        <v>2516</v>
      </c>
      <c r="H1571" s="18">
        <v>382.5</v>
      </c>
      <c r="I1571" s="3">
        <v>41789</v>
      </c>
      <c r="J1571"/>
      <c r="L1571"/>
      <c r="M1571"/>
      <c r="N1571" s="20"/>
      <c r="O1571"/>
      <c r="P1571" s="20"/>
      <c r="Q1571" s="20"/>
      <c r="R1571" s="20"/>
      <c r="S1571" s="20"/>
      <c r="T1571" s="20"/>
    </row>
    <row r="1572" spans="1:20" x14ac:dyDescent="0.25">
      <c r="A1572" s="3">
        <v>41789</v>
      </c>
      <c r="B1572" s="36">
        <v>118</v>
      </c>
      <c r="C1572" t="s">
        <v>2517</v>
      </c>
      <c r="D1572">
        <v>5.75</v>
      </c>
      <c r="E1572" s="18">
        <v>575</v>
      </c>
      <c r="G1572" t="s">
        <v>2518</v>
      </c>
      <c r="H1572" s="18">
        <v>575</v>
      </c>
      <c r="I1572" s="3">
        <v>41789</v>
      </c>
      <c r="J1572"/>
      <c r="L1572"/>
      <c r="M1572"/>
      <c r="N1572" s="20"/>
      <c r="O1572"/>
      <c r="P1572" s="20"/>
      <c r="Q1572" s="20"/>
      <c r="R1572" s="20"/>
      <c r="S1572" s="20"/>
      <c r="T1572" s="20"/>
    </row>
    <row r="1573" spans="1:20" x14ac:dyDescent="0.25">
      <c r="A1573" s="3">
        <v>41789</v>
      </c>
      <c r="B1573" s="36">
        <v>118</v>
      </c>
      <c r="C1573" t="s">
        <v>2519</v>
      </c>
      <c r="D1573">
        <v>5.25</v>
      </c>
      <c r="E1573" s="18">
        <v>525</v>
      </c>
      <c r="G1573" t="s">
        <v>2520</v>
      </c>
      <c r="H1573" s="18">
        <v>525</v>
      </c>
      <c r="I1573" s="3">
        <v>41789</v>
      </c>
      <c r="J1573"/>
      <c r="L1573"/>
      <c r="M1573"/>
      <c r="N1573" s="20"/>
      <c r="O1573"/>
      <c r="P1573" s="20"/>
      <c r="Q1573" s="20"/>
      <c r="R1573" s="20"/>
      <c r="S1573" s="20"/>
      <c r="T1573" s="20"/>
    </row>
    <row r="1574" spans="1:20" x14ac:dyDescent="0.25">
      <c r="A1574" s="3">
        <v>41789</v>
      </c>
      <c r="B1574" s="36">
        <v>118</v>
      </c>
      <c r="C1574" t="s">
        <v>1072</v>
      </c>
      <c r="E1574" s="18">
        <v>-305.45999999999998</v>
      </c>
      <c r="G1574" t="s">
        <v>442</v>
      </c>
      <c r="H1574" s="18" t="s">
        <v>442</v>
      </c>
      <c r="I1574" s="3" t="s">
        <v>442</v>
      </c>
      <c r="J1574"/>
      <c r="L1574"/>
      <c r="M1574"/>
      <c r="N1574" s="20"/>
      <c r="O1574" t="s">
        <v>1967</v>
      </c>
      <c r="P1574" s="20"/>
      <c r="Q1574" s="20" t="s">
        <v>401</v>
      </c>
      <c r="R1574" s="20"/>
      <c r="S1574" s="20"/>
      <c r="T1574" s="20"/>
    </row>
    <row r="1575" spans="1:20" x14ac:dyDescent="0.25">
      <c r="A1575" s="3">
        <v>41796</v>
      </c>
      <c r="B1575" s="36">
        <v>118</v>
      </c>
      <c r="C1575" t="s">
        <v>2521</v>
      </c>
      <c r="D1575">
        <v>9.9450000000000003</v>
      </c>
      <c r="E1575" s="18">
        <v>994.5</v>
      </c>
      <c r="G1575" t="s">
        <v>2522</v>
      </c>
      <c r="H1575" s="18">
        <v>994.5</v>
      </c>
      <c r="I1575" s="3">
        <v>41796</v>
      </c>
      <c r="J1575"/>
      <c r="L1575"/>
      <c r="M1575"/>
      <c r="N1575" s="20"/>
      <c r="O1575"/>
      <c r="P1575" s="20"/>
      <c r="Q1575" s="20"/>
      <c r="R1575" s="20"/>
      <c r="S1575" s="20"/>
      <c r="T1575" s="20"/>
    </row>
    <row r="1576" spans="1:20" x14ac:dyDescent="0.25">
      <c r="A1576" s="3">
        <v>41796</v>
      </c>
      <c r="B1576" s="36">
        <v>118</v>
      </c>
      <c r="C1576" t="s">
        <v>2513</v>
      </c>
      <c r="D1576">
        <v>6.8849999999999998</v>
      </c>
      <c r="E1576" s="18">
        <v>688.5</v>
      </c>
      <c r="G1576" t="s">
        <v>2514</v>
      </c>
      <c r="H1576" s="18">
        <v>688.5</v>
      </c>
      <c r="I1576" s="3">
        <v>41796</v>
      </c>
      <c r="J1576"/>
      <c r="L1576"/>
      <c r="M1576"/>
      <c r="N1576" s="20"/>
      <c r="O1576"/>
      <c r="P1576" s="20"/>
      <c r="Q1576" s="20"/>
      <c r="R1576" s="20"/>
      <c r="S1576" s="20"/>
      <c r="T1576" s="20"/>
    </row>
    <row r="1577" spans="1:20" x14ac:dyDescent="0.25">
      <c r="A1577" s="3">
        <v>41796</v>
      </c>
      <c r="B1577" s="36">
        <v>118</v>
      </c>
      <c r="C1577" t="s">
        <v>2515</v>
      </c>
      <c r="D1577">
        <v>3.8250000000000002</v>
      </c>
      <c r="E1577" s="18">
        <v>382.5</v>
      </c>
      <c r="G1577" t="s">
        <v>2516</v>
      </c>
      <c r="H1577" s="18">
        <v>382.5</v>
      </c>
      <c r="I1577" s="3">
        <v>41796</v>
      </c>
      <c r="J1577"/>
      <c r="L1577"/>
      <c r="M1577"/>
      <c r="N1577" s="20"/>
      <c r="O1577"/>
      <c r="P1577" s="20"/>
      <c r="Q1577" s="20"/>
      <c r="R1577" s="20"/>
      <c r="S1577" s="20"/>
      <c r="T1577" s="20"/>
    </row>
    <row r="1578" spans="1:20" x14ac:dyDescent="0.25">
      <c r="A1578" s="3">
        <v>42041</v>
      </c>
      <c r="B1578" s="56">
        <v>118</v>
      </c>
      <c r="C1578" s="64" t="s">
        <v>2511</v>
      </c>
      <c r="D1578" s="64">
        <v>9.25</v>
      </c>
      <c r="E1578" s="65">
        <v>-925</v>
      </c>
      <c r="F1578" s="64"/>
      <c r="G1578" s="64" t="s">
        <v>2512</v>
      </c>
      <c r="I1578"/>
      <c r="J1578"/>
      <c r="L1578"/>
      <c r="M1578"/>
      <c r="O1578"/>
      <c r="P1578" s="20"/>
      <c r="Q1578" s="20"/>
      <c r="R1578" s="20"/>
      <c r="S1578" s="20"/>
      <c r="T1578" s="20"/>
    </row>
    <row r="1579" spans="1:20" x14ac:dyDescent="0.25">
      <c r="A1579" s="3">
        <v>42041</v>
      </c>
      <c r="B1579" s="56">
        <v>118</v>
      </c>
      <c r="C1579" s="64" t="s">
        <v>2521</v>
      </c>
      <c r="D1579" s="64"/>
      <c r="E1579" s="65">
        <v>841.5</v>
      </c>
      <c r="F1579" s="64" t="s">
        <v>889</v>
      </c>
      <c r="G1579" s="64" t="s">
        <v>2522</v>
      </c>
      <c r="I1579"/>
      <c r="J1579"/>
      <c r="L1579"/>
      <c r="M1579"/>
      <c r="O1579"/>
      <c r="P1579" s="20"/>
      <c r="Q1579" s="20"/>
      <c r="R1579" s="20"/>
      <c r="S1579" s="20"/>
      <c r="T1579" s="20"/>
    </row>
    <row r="1580" spans="1:20" x14ac:dyDescent="0.25">
      <c r="A1580" s="3">
        <v>42041</v>
      </c>
      <c r="B1580">
        <v>118</v>
      </c>
      <c r="C1580" t="s">
        <v>2515</v>
      </c>
      <c r="E1580" s="18">
        <v>127.5</v>
      </c>
      <c r="F1580" t="s">
        <v>889</v>
      </c>
      <c r="G1580" t="s">
        <v>2516</v>
      </c>
      <c r="I1580"/>
      <c r="J1580"/>
      <c r="L1580"/>
      <c r="M1580"/>
      <c r="O1580"/>
      <c r="P1580" s="20"/>
      <c r="Q1580" s="20"/>
      <c r="R1580" s="20"/>
      <c r="S1580" s="20"/>
      <c r="T1580" s="20"/>
    </row>
    <row r="1581" spans="1:20" x14ac:dyDescent="0.25">
      <c r="A1581" s="3">
        <v>42041</v>
      </c>
      <c r="B1581">
        <v>118</v>
      </c>
      <c r="C1581" t="s">
        <v>2515</v>
      </c>
      <c r="D1581">
        <v>3.8250000000000002</v>
      </c>
      <c r="E1581" s="18">
        <v>127.5</v>
      </c>
      <c r="F1581" t="s">
        <v>889</v>
      </c>
      <c r="G1581" t="s">
        <v>2516</v>
      </c>
      <c r="I1581"/>
      <c r="J1581"/>
      <c r="L1581"/>
      <c r="M1581"/>
      <c r="O1581"/>
      <c r="P1581" s="20"/>
      <c r="Q1581" s="20"/>
      <c r="R1581" s="20"/>
      <c r="S1581" s="20"/>
      <c r="T1581" s="20"/>
    </row>
    <row r="1582" spans="1:20" x14ac:dyDescent="0.25">
      <c r="A1582" s="3">
        <v>42041</v>
      </c>
      <c r="B1582" s="56">
        <v>118</v>
      </c>
      <c r="C1582" s="64" t="s">
        <v>2517</v>
      </c>
      <c r="D1582" s="64">
        <v>5.75</v>
      </c>
      <c r="E1582" s="65">
        <v>-575</v>
      </c>
      <c r="F1582" s="64"/>
      <c r="G1582" s="64" t="s">
        <v>2518</v>
      </c>
      <c r="I1582"/>
      <c r="J1582"/>
      <c r="L1582"/>
      <c r="M1582"/>
      <c r="O1582"/>
      <c r="P1582" s="20"/>
      <c r="Q1582" s="20"/>
      <c r="R1582" s="20"/>
      <c r="S1582" s="20"/>
      <c r="T1582" s="20"/>
    </row>
    <row r="1583" spans="1:20" x14ac:dyDescent="0.25">
      <c r="A1583" s="3">
        <v>42041</v>
      </c>
      <c r="B1583">
        <v>118</v>
      </c>
      <c r="C1583" t="s">
        <v>2523</v>
      </c>
      <c r="E1583" s="18">
        <v>225</v>
      </c>
      <c r="F1583" t="s">
        <v>889</v>
      </c>
      <c r="G1583" t="s">
        <v>2524</v>
      </c>
      <c r="I1583"/>
      <c r="J1583"/>
      <c r="L1583"/>
      <c r="M1583"/>
      <c r="O1583"/>
      <c r="P1583" s="20"/>
      <c r="Q1583" s="20"/>
      <c r="R1583" s="20"/>
      <c r="S1583" s="20"/>
      <c r="T1583" s="20"/>
    </row>
    <row r="1584" spans="1:20" x14ac:dyDescent="0.25">
      <c r="A1584" s="3">
        <v>42041</v>
      </c>
      <c r="B1584">
        <v>118</v>
      </c>
      <c r="C1584" t="s">
        <v>2523</v>
      </c>
      <c r="D1584">
        <v>6.75</v>
      </c>
      <c r="E1584" s="18">
        <v>225</v>
      </c>
      <c r="F1584" t="s">
        <v>889</v>
      </c>
      <c r="G1584" t="s">
        <v>2524</v>
      </c>
      <c r="I1584"/>
      <c r="J1584"/>
      <c r="L1584"/>
      <c r="M1584"/>
      <c r="O1584"/>
      <c r="P1584" s="20"/>
      <c r="Q1584" s="20"/>
      <c r="R1584" s="20"/>
      <c r="S1584" s="20"/>
      <c r="T1584" s="20"/>
    </row>
    <row r="1585" spans="1:20" x14ac:dyDescent="0.25">
      <c r="A1585" s="3">
        <v>42041</v>
      </c>
      <c r="B1585" s="56">
        <v>118</v>
      </c>
      <c r="C1585" s="64" t="s">
        <v>2523</v>
      </c>
      <c r="D1585" s="64">
        <v>6.75</v>
      </c>
      <c r="E1585" s="65">
        <v>675</v>
      </c>
      <c r="F1585" s="64" t="s">
        <v>889</v>
      </c>
      <c r="G1585" s="64" t="s">
        <v>2524</v>
      </c>
      <c r="I1585"/>
      <c r="J1585"/>
      <c r="L1585"/>
      <c r="M1585"/>
      <c r="O1585"/>
      <c r="P1585" s="20"/>
      <c r="Q1585" s="20"/>
      <c r="R1585" s="20"/>
      <c r="S1585" s="20"/>
      <c r="T1585" s="20"/>
    </row>
    <row r="1586" spans="1:20" x14ac:dyDescent="0.25">
      <c r="A1586" s="3">
        <v>42041</v>
      </c>
      <c r="B1586" s="56">
        <v>118</v>
      </c>
      <c r="C1586" s="64" t="s">
        <v>2519</v>
      </c>
      <c r="D1586" s="64">
        <v>5.25</v>
      </c>
      <c r="E1586" s="65">
        <v>-525</v>
      </c>
      <c r="F1586" s="64"/>
      <c r="G1586" s="64" t="s">
        <v>2520</v>
      </c>
      <c r="I1586"/>
      <c r="J1586"/>
      <c r="L1586"/>
      <c r="M1586"/>
      <c r="O1586"/>
      <c r="P1586" s="20"/>
      <c r="Q1586" s="20"/>
      <c r="R1586" s="20"/>
      <c r="S1586" s="20"/>
      <c r="T1586" s="20"/>
    </row>
    <row r="1587" spans="1:20" x14ac:dyDescent="0.25">
      <c r="A1587" s="3">
        <v>41789</v>
      </c>
      <c r="B1587" s="36">
        <v>119</v>
      </c>
      <c r="C1587" t="s">
        <v>2525</v>
      </c>
      <c r="D1587">
        <v>7.9050000000000002</v>
      </c>
      <c r="E1587" s="18">
        <v>790.5</v>
      </c>
      <c r="F1587" t="s">
        <v>889</v>
      </c>
      <c r="G1587" t="s">
        <v>2526</v>
      </c>
      <c r="H1587" s="18">
        <v>790.5</v>
      </c>
      <c r="I1587" s="3">
        <v>41789</v>
      </c>
      <c r="J1587"/>
      <c r="L1587"/>
      <c r="M1587"/>
      <c r="N1587" s="20"/>
      <c r="O1587"/>
      <c r="P1587" s="20"/>
      <c r="Q1587" s="20"/>
      <c r="R1587" s="20"/>
      <c r="S1587" s="20"/>
      <c r="T1587" s="20"/>
    </row>
    <row r="1588" spans="1:20" x14ac:dyDescent="0.25">
      <c r="A1588" s="3">
        <v>41789</v>
      </c>
      <c r="B1588" s="36">
        <v>119</v>
      </c>
      <c r="C1588" t="s">
        <v>2527</v>
      </c>
      <c r="D1588">
        <v>9.25</v>
      </c>
      <c r="E1588" s="18">
        <v>925</v>
      </c>
      <c r="F1588" t="s">
        <v>889</v>
      </c>
      <c r="G1588" t="s">
        <v>2528</v>
      </c>
      <c r="H1588" s="18">
        <v>925</v>
      </c>
      <c r="I1588" s="3">
        <v>41789</v>
      </c>
      <c r="J1588"/>
      <c r="L1588"/>
      <c r="M1588"/>
      <c r="N1588" s="20"/>
      <c r="O1588"/>
      <c r="P1588" s="20"/>
      <c r="Q1588" s="20"/>
      <c r="R1588" s="20"/>
      <c r="S1588" s="20"/>
      <c r="T1588" s="20"/>
    </row>
    <row r="1589" spans="1:20" x14ac:dyDescent="0.25">
      <c r="A1589" s="3">
        <v>41789</v>
      </c>
      <c r="B1589" s="36">
        <v>119</v>
      </c>
      <c r="C1589" t="s">
        <v>2529</v>
      </c>
      <c r="D1589">
        <v>6.25</v>
      </c>
      <c r="E1589" s="18">
        <v>625</v>
      </c>
      <c r="F1589" t="s">
        <v>889</v>
      </c>
      <c r="G1589" t="s">
        <v>2530</v>
      </c>
      <c r="H1589" s="18">
        <v>625</v>
      </c>
      <c r="I1589" s="3">
        <v>41789</v>
      </c>
      <c r="J1589"/>
      <c r="L1589"/>
      <c r="M1589"/>
      <c r="N1589" s="20"/>
      <c r="O1589"/>
      <c r="P1589" s="20"/>
      <c r="Q1589" s="20"/>
      <c r="R1589" s="20"/>
      <c r="S1589" s="20"/>
      <c r="T1589" s="20"/>
    </row>
    <row r="1590" spans="1:20" x14ac:dyDescent="0.25">
      <c r="A1590" s="3">
        <v>41789</v>
      </c>
      <c r="B1590" s="36">
        <v>119</v>
      </c>
      <c r="C1590" t="s">
        <v>2531</v>
      </c>
      <c r="D1590">
        <v>4.8449999999999998</v>
      </c>
      <c r="E1590" s="18">
        <v>484.5</v>
      </c>
      <c r="F1590" t="s">
        <v>889</v>
      </c>
      <c r="G1590" t="s">
        <v>2532</v>
      </c>
      <c r="H1590" s="18">
        <v>484.5</v>
      </c>
      <c r="I1590" s="3">
        <v>41789</v>
      </c>
      <c r="J1590"/>
      <c r="L1590"/>
      <c r="M1590"/>
      <c r="N1590" s="20"/>
      <c r="O1590"/>
      <c r="P1590" s="20"/>
      <c r="Q1590" s="20"/>
      <c r="R1590" s="20"/>
      <c r="S1590" s="20"/>
      <c r="T1590" s="20"/>
    </row>
    <row r="1591" spans="1:20" x14ac:dyDescent="0.25">
      <c r="A1591" s="3">
        <v>41789</v>
      </c>
      <c r="B1591" s="36">
        <v>119</v>
      </c>
      <c r="C1591" t="s">
        <v>2533</v>
      </c>
      <c r="D1591">
        <v>6</v>
      </c>
      <c r="E1591" s="18">
        <v>600</v>
      </c>
      <c r="F1591" t="s">
        <v>889</v>
      </c>
      <c r="G1591" t="s">
        <v>2534</v>
      </c>
      <c r="H1591" s="18">
        <v>600</v>
      </c>
      <c r="I1591" s="3">
        <v>41789</v>
      </c>
      <c r="J1591"/>
      <c r="L1591"/>
      <c r="M1591"/>
      <c r="N1591" s="20"/>
      <c r="O1591"/>
      <c r="P1591" s="20"/>
      <c r="Q1591" s="20"/>
      <c r="R1591" s="20"/>
      <c r="S1591" s="20"/>
      <c r="T1591" s="20"/>
    </row>
    <row r="1592" spans="1:20" x14ac:dyDescent="0.25">
      <c r="A1592" s="3">
        <v>41789</v>
      </c>
      <c r="B1592" s="36">
        <v>119</v>
      </c>
      <c r="C1592" t="s">
        <v>1342</v>
      </c>
      <c r="E1592" s="18">
        <v>-631.28</v>
      </c>
      <c r="F1592" t="s">
        <v>889</v>
      </c>
      <c r="G1592" t="s">
        <v>442</v>
      </c>
      <c r="H1592" s="18" t="s">
        <v>442</v>
      </c>
      <c r="I1592" s="3" t="s">
        <v>442</v>
      </c>
      <c r="J1592"/>
      <c r="L1592"/>
      <c r="M1592"/>
      <c r="N1592" s="20"/>
      <c r="O1592" t="s">
        <v>2154</v>
      </c>
      <c r="P1592" s="20"/>
      <c r="Q1592" s="20" t="s">
        <v>401</v>
      </c>
      <c r="R1592" s="20"/>
      <c r="S1592" s="20"/>
      <c r="T1592" s="20"/>
    </row>
    <row r="1593" spans="1:20" x14ac:dyDescent="0.25">
      <c r="A1593" s="3">
        <v>41789</v>
      </c>
      <c r="B1593" s="36">
        <v>119</v>
      </c>
      <c r="C1593" t="s">
        <v>2535</v>
      </c>
      <c r="D1593">
        <v>9.25</v>
      </c>
      <c r="E1593" s="18">
        <v>925</v>
      </c>
      <c r="F1593" t="s">
        <v>889</v>
      </c>
      <c r="G1593" t="s">
        <v>2536</v>
      </c>
      <c r="H1593" s="18">
        <v>925</v>
      </c>
      <c r="I1593" s="3">
        <v>41789</v>
      </c>
      <c r="J1593"/>
      <c r="L1593"/>
      <c r="M1593"/>
      <c r="N1593" s="20"/>
      <c r="O1593"/>
      <c r="P1593" s="20"/>
      <c r="Q1593" s="20"/>
      <c r="R1593" s="20"/>
      <c r="S1593" s="20"/>
      <c r="T1593" s="20"/>
    </row>
    <row r="1594" spans="1:20" x14ac:dyDescent="0.25">
      <c r="A1594" s="3">
        <v>41789</v>
      </c>
      <c r="B1594" s="36">
        <v>119</v>
      </c>
      <c r="C1594" t="s">
        <v>2537</v>
      </c>
      <c r="D1594">
        <v>5.8650000000000002</v>
      </c>
      <c r="E1594" s="18">
        <v>586.5</v>
      </c>
      <c r="F1594" t="s">
        <v>889</v>
      </c>
      <c r="G1594" t="s">
        <v>2538</v>
      </c>
      <c r="H1594" s="18">
        <v>586.5</v>
      </c>
      <c r="I1594" s="3">
        <v>41789</v>
      </c>
      <c r="J1594"/>
      <c r="L1594"/>
      <c r="M1594"/>
      <c r="N1594" s="20"/>
      <c r="O1594"/>
      <c r="P1594" s="20"/>
      <c r="Q1594" s="20"/>
      <c r="R1594" s="20"/>
      <c r="S1594" s="20"/>
      <c r="T1594" s="20"/>
    </row>
    <row r="1595" spans="1:20" x14ac:dyDescent="0.25">
      <c r="A1595" s="3">
        <v>41796</v>
      </c>
      <c r="B1595" s="36">
        <v>119</v>
      </c>
      <c r="C1595" t="s">
        <v>2539</v>
      </c>
      <c r="D1595">
        <v>7.5</v>
      </c>
      <c r="E1595" s="18">
        <v>750</v>
      </c>
      <c r="F1595" t="s">
        <v>889</v>
      </c>
      <c r="G1595" t="s">
        <v>2540</v>
      </c>
      <c r="H1595" s="18">
        <v>750</v>
      </c>
      <c r="I1595" s="3">
        <v>41796</v>
      </c>
      <c r="J1595"/>
      <c r="L1595"/>
      <c r="M1595"/>
      <c r="N1595" s="20"/>
      <c r="O1595" t="s">
        <v>1555</v>
      </c>
      <c r="P1595" s="20"/>
      <c r="Q1595" s="20"/>
      <c r="R1595" s="20"/>
      <c r="S1595" s="20"/>
      <c r="T1595" s="20"/>
    </row>
    <row r="1596" spans="1:20" x14ac:dyDescent="0.25">
      <c r="A1596" s="3">
        <v>41796</v>
      </c>
      <c r="B1596" s="36">
        <v>119</v>
      </c>
      <c r="C1596" t="s">
        <v>2541</v>
      </c>
      <c r="D1596">
        <v>4</v>
      </c>
      <c r="E1596" s="18">
        <v>400</v>
      </c>
      <c r="F1596" t="s">
        <v>889</v>
      </c>
      <c r="G1596" t="s">
        <v>2542</v>
      </c>
      <c r="H1596" s="18">
        <v>400</v>
      </c>
      <c r="I1596" s="3">
        <v>41796</v>
      </c>
      <c r="J1596"/>
      <c r="L1596"/>
      <c r="M1596"/>
      <c r="N1596" s="20"/>
      <c r="O1596" t="s">
        <v>1555</v>
      </c>
      <c r="P1596" s="20"/>
      <c r="Q1596" s="20"/>
      <c r="R1596" s="20"/>
      <c r="S1596" s="20"/>
      <c r="T1596" s="20"/>
    </row>
    <row r="1597" spans="1:20" x14ac:dyDescent="0.25">
      <c r="A1597" s="3">
        <v>41796</v>
      </c>
      <c r="B1597" s="36">
        <v>119</v>
      </c>
      <c r="C1597" t="s">
        <v>1071</v>
      </c>
      <c r="E1597" s="18">
        <v>-150</v>
      </c>
      <c r="F1597" t="s">
        <v>889</v>
      </c>
      <c r="G1597" t="s">
        <v>442</v>
      </c>
      <c r="H1597" s="18" t="s">
        <v>442</v>
      </c>
      <c r="I1597" s="3" t="s">
        <v>442</v>
      </c>
      <c r="J1597"/>
      <c r="L1597"/>
      <c r="M1597"/>
      <c r="N1597" s="20"/>
      <c r="O1597"/>
      <c r="P1597" s="20"/>
      <c r="Q1597" s="20" t="s">
        <v>401</v>
      </c>
      <c r="R1597" s="20"/>
      <c r="S1597" s="20"/>
      <c r="T1597" s="20"/>
    </row>
    <row r="1598" spans="1:20" x14ac:dyDescent="0.25">
      <c r="A1598" s="3">
        <v>41803</v>
      </c>
      <c r="B1598" s="36">
        <v>119</v>
      </c>
      <c r="C1598" t="s">
        <v>2543</v>
      </c>
      <c r="D1598">
        <v>4.5</v>
      </c>
      <c r="E1598" s="18">
        <v>450</v>
      </c>
      <c r="F1598" t="s">
        <v>889</v>
      </c>
      <c r="G1598" t="s">
        <v>2544</v>
      </c>
      <c r="H1598" s="18">
        <v>450</v>
      </c>
      <c r="I1598" s="3">
        <v>41803</v>
      </c>
      <c r="J1598"/>
      <c r="L1598"/>
      <c r="M1598"/>
      <c r="N1598" s="20"/>
      <c r="O1598" t="s">
        <v>1169</v>
      </c>
      <c r="P1598" s="20"/>
      <c r="Q1598" s="20"/>
      <c r="R1598" s="20"/>
      <c r="S1598" s="20"/>
      <c r="T1598" s="20"/>
    </row>
    <row r="1599" spans="1:20" x14ac:dyDescent="0.25">
      <c r="A1599" s="3">
        <v>41803</v>
      </c>
      <c r="B1599" s="36">
        <v>119</v>
      </c>
      <c r="C1599" t="s">
        <v>2545</v>
      </c>
      <c r="D1599">
        <v>10</v>
      </c>
      <c r="E1599" s="18">
        <v>1000</v>
      </c>
      <c r="F1599" t="s">
        <v>889</v>
      </c>
      <c r="G1599" t="s">
        <v>2546</v>
      </c>
      <c r="H1599" s="18">
        <v>1000</v>
      </c>
      <c r="I1599" s="3">
        <v>41803</v>
      </c>
      <c r="J1599"/>
      <c r="L1599"/>
      <c r="M1599"/>
      <c r="N1599" s="20"/>
      <c r="O1599" t="s">
        <v>1169</v>
      </c>
      <c r="P1599" s="20"/>
      <c r="Q1599" s="20"/>
      <c r="R1599" s="20"/>
      <c r="S1599" s="20"/>
      <c r="T1599" s="20"/>
    </row>
    <row r="1600" spans="1:20" x14ac:dyDescent="0.25">
      <c r="A1600" s="3">
        <v>41803</v>
      </c>
      <c r="B1600" s="36">
        <v>119</v>
      </c>
      <c r="C1600" t="s">
        <v>2547</v>
      </c>
      <c r="D1600">
        <v>6</v>
      </c>
      <c r="E1600" s="18">
        <v>600</v>
      </c>
      <c r="F1600" t="s">
        <v>889</v>
      </c>
      <c r="G1600" t="s">
        <v>2548</v>
      </c>
      <c r="H1600" s="18">
        <v>600</v>
      </c>
      <c r="I1600" s="3">
        <v>41803</v>
      </c>
      <c r="J1600"/>
      <c r="L1600"/>
      <c r="M1600"/>
      <c r="N1600" s="20"/>
      <c r="O1600" t="s">
        <v>1169</v>
      </c>
      <c r="P1600" s="20"/>
      <c r="Q1600" s="20"/>
      <c r="R1600" s="20"/>
      <c r="S1600" s="20"/>
      <c r="T1600" s="20"/>
    </row>
    <row r="1601" spans="1:21" x14ac:dyDescent="0.25">
      <c r="A1601" s="3">
        <v>41803</v>
      </c>
      <c r="B1601" s="36">
        <v>119</v>
      </c>
      <c r="C1601" t="s">
        <v>2547</v>
      </c>
      <c r="D1601">
        <v>4</v>
      </c>
      <c r="E1601" s="18">
        <v>400</v>
      </c>
      <c r="F1601" t="s">
        <v>889</v>
      </c>
      <c r="G1601" t="s">
        <v>2549</v>
      </c>
      <c r="H1601" s="18">
        <v>400</v>
      </c>
      <c r="I1601" s="3">
        <v>41803</v>
      </c>
      <c r="J1601"/>
      <c r="L1601"/>
      <c r="M1601"/>
      <c r="N1601" s="20"/>
      <c r="O1601" t="s">
        <v>1169</v>
      </c>
      <c r="P1601" s="20"/>
      <c r="Q1601" s="20"/>
      <c r="R1601" s="20"/>
      <c r="S1601" s="20"/>
      <c r="T1601" s="20"/>
    </row>
    <row r="1602" spans="1:21" x14ac:dyDescent="0.25">
      <c r="A1602" s="3">
        <v>41831</v>
      </c>
      <c r="B1602" s="36">
        <v>119</v>
      </c>
      <c r="C1602" t="s">
        <v>2550</v>
      </c>
      <c r="D1602">
        <v>4.75</v>
      </c>
      <c r="E1602" s="18">
        <v>475</v>
      </c>
      <c r="F1602" t="s">
        <v>889</v>
      </c>
      <c r="G1602" t="s">
        <v>2551</v>
      </c>
      <c r="H1602" s="18">
        <v>475</v>
      </c>
      <c r="I1602" s="3">
        <v>41831</v>
      </c>
      <c r="J1602"/>
      <c r="L1602"/>
      <c r="M1602"/>
      <c r="N1602" s="20"/>
      <c r="O1602" t="s">
        <v>917</v>
      </c>
      <c r="P1602" s="20"/>
      <c r="Q1602" s="20"/>
      <c r="R1602" s="20"/>
      <c r="S1602" s="20"/>
      <c r="T1602" s="20"/>
    </row>
    <row r="1603" spans="1:21" x14ac:dyDescent="0.25">
      <c r="A1603" s="3">
        <v>41831</v>
      </c>
      <c r="B1603" s="36">
        <v>119</v>
      </c>
      <c r="C1603" t="s">
        <v>1845</v>
      </c>
      <c r="E1603" s="18">
        <v>-226.6532258</v>
      </c>
      <c r="F1603" t="s">
        <v>889</v>
      </c>
      <c r="G1603" t="s">
        <v>442</v>
      </c>
      <c r="H1603" s="18" t="s">
        <v>442</v>
      </c>
      <c r="I1603" s="3" t="s">
        <v>442</v>
      </c>
      <c r="J1603"/>
      <c r="L1603"/>
      <c r="M1603"/>
      <c r="N1603" s="20"/>
      <c r="O1603" t="s">
        <v>1090</v>
      </c>
      <c r="P1603" s="20"/>
      <c r="Q1603" s="20" t="s">
        <v>401</v>
      </c>
      <c r="R1603" s="20"/>
      <c r="S1603" s="20"/>
      <c r="T1603" s="20"/>
    </row>
    <row r="1604" spans="1:21" x14ac:dyDescent="0.25">
      <c r="A1604" s="3">
        <v>41859</v>
      </c>
      <c r="B1604" s="36">
        <v>119</v>
      </c>
      <c r="C1604" t="s">
        <v>2552</v>
      </c>
      <c r="E1604" s="18">
        <v>1000</v>
      </c>
      <c r="F1604" t="s">
        <v>889</v>
      </c>
      <c r="G1604" t="s">
        <v>442</v>
      </c>
      <c r="H1604" s="18" t="s">
        <v>442</v>
      </c>
      <c r="I1604" s="3" t="s">
        <v>442</v>
      </c>
      <c r="J1604"/>
      <c r="L1604"/>
      <c r="M1604"/>
      <c r="N1604" s="20"/>
      <c r="O1604" t="s">
        <v>2553</v>
      </c>
      <c r="P1604" s="20"/>
      <c r="Q1604" s="20"/>
      <c r="R1604" s="20"/>
      <c r="S1604" s="20"/>
      <c r="T1604" s="20" t="s">
        <v>401</v>
      </c>
    </row>
    <row r="1605" spans="1:21" x14ac:dyDescent="0.25">
      <c r="A1605" s="3">
        <v>41866</v>
      </c>
      <c r="B1605" s="36">
        <v>119</v>
      </c>
      <c r="C1605" t="s">
        <v>2554</v>
      </c>
      <c r="D1605">
        <v>13.515000000000001</v>
      </c>
      <c r="E1605" s="18">
        <v>1351.5</v>
      </c>
      <c r="F1605" t="s">
        <v>889</v>
      </c>
      <c r="G1605" t="s">
        <v>2555</v>
      </c>
      <c r="H1605" s="18">
        <v>1351.5</v>
      </c>
      <c r="I1605" s="3">
        <v>41866</v>
      </c>
      <c r="J1605"/>
      <c r="L1605"/>
      <c r="M1605"/>
      <c r="N1605" s="20"/>
      <c r="O1605"/>
      <c r="P1605" s="20"/>
      <c r="Q1605" s="20"/>
      <c r="R1605" s="20"/>
      <c r="S1605" s="20"/>
      <c r="T1605" s="20"/>
    </row>
    <row r="1606" spans="1:21" x14ac:dyDescent="0.25">
      <c r="A1606" s="3">
        <v>41866</v>
      </c>
      <c r="B1606" s="36">
        <v>119</v>
      </c>
      <c r="C1606" t="s">
        <v>2556</v>
      </c>
      <c r="D1606">
        <v>6.12</v>
      </c>
      <c r="E1606" s="18">
        <v>-612</v>
      </c>
      <c r="F1606" t="s">
        <v>889</v>
      </c>
      <c r="G1606" t="s">
        <v>2557</v>
      </c>
      <c r="H1606" s="18" t="s">
        <v>442</v>
      </c>
      <c r="I1606" s="3" t="s">
        <v>442</v>
      </c>
      <c r="J1606"/>
      <c r="L1606"/>
      <c r="M1606"/>
      <c r="N1606" s="20"/>
      <c r="O1606"/>
      <c r="P1606" s="20"/>
      <c r="Q1606" s="20"/>
      <c r="R1606" s="20"/>
      <c r="S1606" s="20"/>
      <c r="T1606" s="20"/>
    </row>
    <row r="1607" spans="1:21" x14ac:dyDescent="0.25">
      <c r="A1607" s="3">
        <v>41866</v>
      </c>
      <c r="B1607" s="36">
        <v>119</v>
      </c>
      <c r="C1607" t="s">
        <v>1480</v>
      </c>
      <c r="E1607" s="18">
        <v>-339.97983870000002</v>
      </c>
      <c r="F1607" t="s">
        <v>891</v>
      </c>
      <c r="G1607" t="s">
        <v>442</v>
      </c>
      <c r="H1607" s="18" t="s">
        <v>442</v>
      </c>
      <c r="I1607" s="3" t="s">
        <v>442</v>
      </c>
      <c r="J1607"/>
      <c r="L1607"/>
      <c r="M1607"/>
      <c r="N1607" s="20"/>
      <c r="O1607" t="s">
        <v>1481</v>
      </c>
      <c r="P1607" s="20"/>
      <c r="Q1607" s="20" t="s">
        <v>401</v>
      </c>
      <c r="R1607" s="20"/>
      <c r="S1607" s="20"/>
      <c r="T1607" s="20"/>
    </row>
    <row r="1608" spans="1:21" x14ac:dyDescent="0.25">
      <c r="B1608">
        <v>119</v>
      </c>
      <c r="C1608" t="s">
        <v>2558</v>
      </c>
      <c r="E1608" s="18">
        <v>-113.32749999999999</v>
      </c>
      <c r="G1608" t="s">
        <v>442</v>
      </c>
      <c r="I1608"/>
      <c r="J1608"/>
      <c r="L1608"/>
      <c r="M1608"/>
      <c r="O1608"/>
      <c r="P1608" s="20"/>
      <c r="Q1608" s="20"/>
      <c r="R1608" s="20"/>
      <c r="S1608" s="20"/>
      <c r="T1608" s="20"/>
      <c r="U1608" t="s">
        <v>401</v>
      </c>
    </row>
    <row r="1609" spans="1:21" x14ac:dyDescent="0.25">
      <c r="B1609">
        <v>119</v>
      </c>
      <c r="C1609" t="s">
        <v>2559</v>
      </c>
      <c r="D1609">
        <v>6.8849999999999998</v>
      </c>
      <c r="E1609" s="18">
        <v>688.5</v>
      </c>
      <c r="G1609" t="s">
        <v>2560</v>
      </c>
      <c r="I1609"/>
      <c r="J1609"/>
      <c r="L1609"/>
      <c r="M1609"/>
      <c r="O1609"/>
      <c r="P1609" s="20"/>
      <c r="Q1609" s="20"/>
      <c r="R1609" s="20"/>
      <c r="S1609" s="20"/>
      <c r="T1609" s="20"/>
      <c r="U1609" t="s">
        <v>401</v>
      </c>
    </row>
    <row r="1610" spans="1:21" x14ac:dyDescent="0.25">
      <c r="B1610">
        <v>119</v>
      </c>
      <c r="C1610" t="s">
        <v>2559</v>
      </c>
      <c r="D1610">
        <v>6.8849999999999998</v>
      </c>
      <c r="E1610" s="18">
        <v>688.5</v>
      </c>
      <c r="F1610" t="s">
        <v>889</v>
      </c>
      <c r="G1610" t="s">
        <v>2560</v>
      </c>
      <c r="I1610"/>
      <c r="J1610"/>
      <c r="L1610"/>
      <c r="M1610"/>
      <c r="O1610"/>
      <c r="P1610" s="20"/>
      <c r="Q1610" s="20"/>
      <c r="R1610" s="20"/>
      <c r="S1610" s="20"/>
      <c r="T1610" s="20"/>
      <c r="U1610" t="s">
        <v>401</v>
      </c>
    </row>
    <row r="1611" spans="1:21" x14ac:dyDescent="0.25">
      <c r="B1611">
        <v>119</v>
      </c>
      <c r="C1611" t="s">
        <v>2543</v>
      </c>
      <c r="D1611">
        <v>4.59</v>
      </c>
      <c r="E1611" s="18">
        <v>-450</v>
      </c>
      <c r="G1611" t="s">
        <v>2544</v>
      </c>
      <c r="I1611"/>
      <c r="J1611"/>
      <c r="L1611"/>
      <c r="M1611"/>
      <c r="O1611"/>
      <c r="P1611" s="20"/>
      <c r="Q1611" s="20"/>
      <c r="R1611" s="20"/>
      <c r="S1611" s="20"/>
      <c r="T1611" s="20"/>
      <c r="U1611" t="s">
        <v>401</v>
      </c>
    </row>
    <row r="1612" spans="1:21" x14ac:dyDescent="0.25">
      <c r="B1612">
        <v>119</v>
      </c>
      <c r="C1612" t="s">
        <v>2554</v>
      </c>
      <c r="D1612">
        <v>11.22</v>
      </c>
      <c r="E1612" s="18">
        <v>-1351.5</v>
      </c>
      <c r="F1612" t="s">
        <v>889</v>
      </c>
      <c r="G1612" t="s">
        <v>2555</v>
      </c>
      <c r="I1612"/>
      <c r="J1612"/>
      <c r="L1612"/>
      <c r="M1612"/>
      <c r="O1612"/>
      <c r="P1612" s="20"/>
      <c r="Q1612" s="20"/>
      <c r="R1612" s="20"/>
      <c r="S1612" s="20"/>
      <c r="T1612" s="20"/>
      <c r="U1612" t="s">
        <v>401</v>
      </c>
    </row>
    <row r="1613" spans="1:21" x14ac:dyDescent="0.25">
      <c r="B1613">
        <v>119</v>
      </c>
      <c r="C1613" t="s">
        <v>2556</v>
      </c>
      <c r="D1613">
        <v>6.12</v>
      </c>
      <c r="E1613" s="18">
        <v>612</v>
      </c>
      <c r="F1613" t="s">
        <v>889</v>
      </c>
      <c r="G1613" t="s">
        <v>2557</v>
      </c>
      <c r="I1613"/>
      <c r="J1613"/>
      <c r="L1613"/>
      <c r="M1613"/>
      <c r="O1613"/>
      <c r="P1613" s="20"/>
      <c r="Q1613" s="20"/>
      <c r="R1613" s="20"/>
      <c r="S1613" s="20"/>
      <c r="T1613" s="20"/>
      <c r="U1613" t="s">
        <v>401</v>
      </c>
    </row>
    <row r="1614" spans="1:21" x14ac:dyDescent="0.25">
      <c r="B1614">
        <v>119</v>
      </c>
      <c r="C1614" t="s">
        <v>2545</v>
      </c>
      <c r="D1614">
        <v>9.69</v>
      </c>
      <c r="E1614" s="18">
        <v>-1000</v>
      </c>
      <c r="F1614" t="s">
        <v>889</v>
      </c>
      <c r="G1614" t="s">
        <v>2546</v>
      </c>
      <c r="I1614"/>
      <c r="J1614"/>
      <c r="L1614"/>
      <c r="M1614"/>
      <c r="O1614"/>
      <c r="P1614" s="20"/>
      <c r="Q1614" s="20"/>
      <c r="R1614" s="20"/>
      <c r="S1614" s="20"/>
      <c r="T1614" s="20"/>
      <c r="U1614" t="s">
        <v>401</v>
      </c>
    </row>
    <row r="1615" spans="1:21" x14ac:dyDescent="0.25">
      <c r="B1615">
        <v>119</v>
      </c>
      <c r="C1615" t="s">
        <v>2539</v>
      </c>
      <c r="D1615">
        <v>7.5</v>
      </c>
      <c r="E1615" s="18">
        <v>-750</v>
      </c>
      <c r="G1615" t="s">
        <v>2540</v>
      </c>
      <c r="I1615"/>
      <c r="J1615"/>
      <c r="L1615"/>
      <c r="M1615"/>
      <c r="O1615"/>
      <c r="P1615" s="20"/>
      <c r="Q1615" s="20"/>
      <c r="R1615" s="20"/>
      <c r="S1615" s="20"/>
      <c r="T1615" s="20"/>
      <c r="U1615" t="s">
        <v>401</v>
      </c>
    </row>
    <row r="1616" spans="1:21" x14ac:dyDescent="0.25">
      <c r="B1616">
        <v>119</v>
      </c>
      <c r="C1616" t="s">
        <v>2525</v>
      </c>
      <c r="D1616">
        <v>7.9050000000000002</v>
      </c>
      <c r="E1616" s="18">
        <v>-790.5</v>
      </c>
      <c r="G1616" t="s">
        <v>2526</v>
      </c>
      <c r="I1616"/>
      <c r="J1616"/>
      <c r="L1616"/>
      <c r="M1616"/>
      <c r="O1616"/>
      <c r="P1616" s="20"/>
      <c r="Q1616" s="20"/>
      <c r="R1616" s="20"/>
      <c r="S1616" s="20"/>
      <c r="T1616" s="20"/>
      <c r="U1616" t="s">
        <v>401</v>
      </c>
    </row>
    <row r="1617" spans="2:21" x14ac:dyDescent="0.25">
      <c r="B1617">
        <v>119</v>
      </c>
      <c r="C1617" t="s">
        <v>2527</v>
      </c>
      <c r="D1617">
        <v>4.335</v>
      </c>
      <c r="E1617" s="18">
        <v>-58</v>
      </c>
      <c r="F1617" t="s">
        <v>889</v>
      </c>
      <c r="G1617" t="s">
        <v>2528</v>
      </c>
      <c r="I1617"/>
      <c r="J1617"/>
      <c r="L1617"/>
      <c r="M1617"/>
      <c r="O1617"/>
      <c r="P1617" s="20"/>
      <c r="Q1617" s="20"/>
      <c r="R1617" s="20"/>
      <c r="S1617" s="20"/>
      <c r="T1617" s="20"/>
      <c r="U1617" t="s">
        <v>401</v>
      </c>
    </row>
    <row r="1618" spans="2:21" x14ac:dyDescent="0.25">
      <c r="B1618">
        <v>119</v>
      </c>
      <c r="C1618" t="s">
        <v>2561</v>
      </c>
      <c r="D1618">
        <v>8.67</v>
      </c>
      <c r="E1618" s="18">
        <v>867</v>
      </c>
      <c r="G1618" t="s">
        <v>2562</v>
      </c>
      <c r="I1618"/>
      <c r="J1618"/>
      <c r="L1618"/>
      <c r="M1618"/>
      <c r="O1618"/>
      <c r="P1618" s="20"/>
      <c r="Q1618" s="20"/>
      <c r="R1618" s="20"/>
      <c r="S1618" s="20"/>
      <c r="T1618" s="20"/>
      <c r="U1618" t="s">
        <v>401</v>
      </c>
    </row>
    <row r="1619" spans="2:21" x14ac:dyDescent="0.25">
      <c r="B1619">
        <v>119</v>
      </c>
      <c r="C1619" t="s">
        <v>2561</v>
      </c>
      <c r="D1619">
        <v>8.67</v>
      </c>
      <c r="E1619" s="18">
        <v>-867</v>
      </c>
      <c r="F1619" t="s">
        <v>889</v>
      </c>
      <c r="G1619" t="s">
        <v>2562</v>
      </c>
      <c r="I1619"/>
      <c r="J1619"/>
      <c r="L1619"/>
      <c r="M1619"/>
      <c r="O1619"/>
      <c r="P1619" s="20"/>
      <c r="Q1619" s="20"/>
      <c r="R1619" s="20"/>
      <c r="S1619" s="20"/>
      <c r="T1619" s="20"/>
      <c r="U1619" t="s">
        <v>401</v>
      </c>
    </row>
    <row r="1620" spans="2:21" x14ac:dyDescent="0.25">
      <c r="B1620">
        <v>119</v>
      </c>
      <c r="C1620" t="s">
        <v>2563</v>
      </c>
      <c r="D1620">
        <v>10.199999999999999</v>
      </c>
      <c r="E1620" s="18">
        <v>1019.9999999999999</v>
      </c>
      <c r="F1620" t="s">
        <v>889</v>
      </c>
      <c r="G1620" t="s">
        <v>2564</v>
      </c>
      <c r="I1620"/>
      <c r="J1620"/>
      <c r="L1620"/>
      <c r="M1620"/>
      <c r="O1620"/>
      <c r="P1620" s="20"/>
      <c r="Q1620" s="20"/>
      <c r="R1620" s="20"/>
      <c r="S1620" s="20"/>
      <c r="T1620" s="20"/>
      <c r="U1620" t="s">
        <v>401</v>
      </c>
    </row>
    <row r="1621" spans="2:21" x14ac:dyDescent="0.25">
      <c r="B1621">
        <v>119</v>
      </c>
      <c r="C1621" t="s">
        <v>2563</v>
      </c>
      <c r="D1621">
        <v>10.199999999999999</v>
      </c>
      <c r="E1621" s="18">
        <v>-1020</v>
      </c>
      <c r="F1621" t="s">
        <v>889</v>
      </c>
      <c r="G1621" t="s">
        <v>2564</v>
      </c>
      <c r="I1621"/>
      <c r="J1621"/>
      <c r="L1621"/>
      <c r="M1621"/>
      <c r="O1621"/>
      <c r="P1621" s="20"/>
      <c r="Q1621" s="20"/>
      <c r="R1621" s="20"/>
      <c r="S1621" s="20"/>
      <c r="T1621" s="20"/>
      <c r="U1621" t="s">
        <v>401</v>
      </c>
    </row>
    <row r="1622" spans="2:21" x14ac:dyDescent="0.25">
      <c r="B1622">
        <v>119</v>
      </c>
      <c r="C1622" t="s">
        <v>2529</v>
      </c>
      <c r="D1622">
        <v>6.12</v>
      </c>
      <c r="E1622" s="18">
        <v>599</v>
      </c>
      <c r="F1622" t="s">
        <v>889</v>
      </c>
      <c r="G1622" t="s">
        <v>2530</v>
      </c>
      <c r="I1622"/>
      <c r="J1622"/>
      <c r="L1622"/>
      <c r="M1622"/>
      <c r="O1622"/>
      <c r="P1622" s="20"/>
      <c r="Q1622" s="20"/>
      <c r="R1622" s="20"/>
      <c r="S1622" s="20"/>
      <c r="T1622" s="20"/>
      <c r="U1622" t="s">
        <v>401</v>
      </c>
    </row>
    <row r="1623" spans="2:21" x14ac:dyDescent="0.25">
      <c r="B1623">
        <v>119</v>
      </c>
      <c r="C1623" t="s">
        <v>2565</v>
      </c>
      <c r="D1623">
        <v>5.3550000000000004</v>
      </c>
      <c r="E1623" s="18">
        <v>-535.5</v>
      </c>
      <c r="F1623" t="s">
        <v>889</v>
      </c>
      <c r="G1623" t="s">
        <v>2566</v>
      </c>
      <c r="I1623"/>
      <c r="J1623"/>
      <c r="L1623"/>
      <c r="M1623"/>
      <c r="O1623"/>
      <c r="P1623" s="20"/>
      <c r="Q1623" s="20"/>
      <c r="R1623" s="20"/>
      <c r="S1623" s="20"/>
      <c r="T1623" s="20"/>
      <c r="U1623" t="s">
        <v>401</v>
      </c>
    </row>
    <row r="1624" spans="2:21" x14ac:dyDescent="0.25">
      <c r="B1624">
        <v>119</v>
      </c>
      <c r="C1624" t="s">
        <v>2565</v>
      </c>
      <c r="D1624">
        <v>6</v>
      </c>
      <c r="E1624" s="18">
        <v>535.5</v>
      </c>
      <c r="F1624" t="s">
        <v>889</v>
      </c>
      <c r="G1624" t="s">
        <v>2566</v>
      </c>
      <c r="I1624"/>
      <c r="J1624"/>
      <c r="L1624"/>
      <c r="M1624"/>
      <c r="O1624"/>
      <c r="P1624" s="20"/>
      <c r="Q1624" s="20"/>
      <c r="R1624" s="20"/>
      <c r="S1624" s="20"/>
      <c r="T1624" s="20"/>
      <c r="U1624" t="s">
        <v>401</v>
      </c>
    </row>
    <row r="1625" spans="2:21" x14ac:dyDescent="0.25">
      <c r="B1625">
        <v>119</v>
      </c>
      <c r="C1625" t="s">
        <v>2531</v>
      </c>
      <c r="D1625">
        <v>4.8449999999999998</v>
      </c>
      <c r="E1625" s="18">
        <v>484.5</v>
      </c>
      <c r="F1625" t="s">
        <v>889</v>
      </c>
      <c r="G1625" t="s">
        <v>2532</v>
      </c>
      <c r="I1625"/>
      <c r="J1625"/>
      <c r="L1625"/>
      <c r="M1625"/>
      <c r="O1625"/>
      <c r="P1625" s="20"/>
      <c r="Q1625" s="20"/>
      <c r="R1625" s="20"/>
      <c r="S1625" s="20"/>
      <c r="T1625" s="20"/>
      <c r="U1625" t="s">
        <v>401</v>
      </c>
    </row>
    <row r="1626" spans="2:21" x14ac:dyDescent="0.25">
      <c r="B1626">
        <v>119</v>
      </c>
      <c r="C1626" t="s">
        <v>2567</v>
      </c>
      <c r="D1626">
        <v>4.8449999999999998</v>
      </c>
      <c r="E1626" s="18">
        <v>484.5</v>
      </c>
      <c r="F1626" t="s">
        <v>889</v>
      </c>
      <c r="G1626" t="s">
        <v>2568</v>
      </c>
      <c r="I1626"/>
      <c r="J1626"/>
      <c r="L1626"/>
      <c r="M1626"/>
      <c r="O1626"/>
      <c r="P1626" s="20"/>
      <c r="Q1626" s="20"/>
      <c r="R1626" s="20"/>
      <c r="S1626" s="20"/>
      <c r="T1626" s="20"/>
      <c r="U1626" t="s">
        <v>401</v>
      </c>
    </row>
    <row r="1627" spans="2:21" x14ac:dyDescent="0.25">
      <c r="B1627">
        <v>119</v>
      </c>
      <c r="C1627" t="s">
        <v>2567</v>
      </c>
      <c r="D1627">
        <v>4.8449999999999998</v>
      </c>
      <c r="E1627" s="18">
        <v>-484.5</v>
      </c>
      <c r="F1627" t="s">
        <v>889</v>
      </c>
      <c r="G1627" t="s">
        <v>2568</v>
      </c>
      <c r="I1627"/>
      <c r="J1627"/>
      <c r="L1627"/>
      <c r="M1627"/>
      <c r="O1627"/>
      <c r="P1627" s="20"/>
      <c r="Q1627" s="20"/>
      <c r="R1627" s="20"/>
      <c r="S1627" s="20"/>
      <c r="T1627" s="20"/>
      <c r="U1627" t="s">
        <v>401</v>
      </c>
    </row>
    <row r="1628" spans="2:21" x14ac:dyDescent="0.25">
      <c r="B1628">
        <v>119</v>
      </c>
      <c r="C1628" t="s">
        <v>2569</v>
      </c>
      <c r="D1628">
        <v>5.0999999999999996</v>
      </c>
      <c r="E1628" s="18">
        <v>509.99999999999994</v>
      </c>
      <c r="G1628" t="s">
        <v>2570</v>
      </c>
      <c r="I1628"/>
      <c r="J1628"/>
      <c r="L1628"/>
      <c r="M1628"/>
      <c r="O1628"/>
      <c r="P1628" s="20"/>
      <c r="Q1628" s="20"/>
      <c r="R1628" s="20"/>
      <c r="S1628" s="20"/>
      <c r="T1628" s="20"/>
      <c r="U1628" t="s">
        <v>401</v>
      </c>
    </row>
    <row r="1629" spans="2:21" x14ac:dyDescent="0.25">
      <c r="B1629">
        <v>119</v>
      </c>
      <c r="C1629" t="s">
        <v>2569</v>
      </c>
      <c r="D1629">
        <v>5.0999999999999996</v>
      </c>
      <c r="E1629" s="18">
        <v>169.99999999999997</v>
      </c>
      <c r="F1629" t="s">
        <v>889</v>
      </c>
      <c r="G1629" t="s">
        <v>2570</v>
      </c>
      <c r="I1629"/>
      <c r="J1629"/>
      <c r="L1629"/>
      <c r="M1629"/>
      <c r="O1629"/>
      <c r="P1629" s="20"/>
      <c r="Q1629" s="20"/>
      <c r="R1629" s="20"/>
      <c r="S1629" s="20"/>
      <c r="T1629" s="20"/>
      <c r="U1629" t="s">
        <v>401</v>
      </c>
    </row>
    <row r="1630" spans="2:21" x14ac:dyDescent="0.25">
      <c r="B1630">
        <v>119</v>
      </c>
      <c r="C1630" t="s">
        <v>2569</v>
      </c>
      <c r="D1630">
        <v>5.0999999999999996</v>
      </c>
      <c r="E1630" s="18">
        <v>169.99999999999997</v>
      </c>
      <c r="F1630" t="s">
        <v>889</v>
      </c>
      <c r="G1630" t="s">
        <v>2570</v>
      </c>
      <c r="I1630"/>
      <c r="J1630"/>
      <c r="L1630"/>
      <c r="M1630"/>
      <c r="O1630"/>
      <c r="P1630" s="20"/>
      <c r="Q1630" s="20"/>
      <c r="R1630" s="20"/>
      <c r="S1630" s="20"/>
      <c r="T1630" s="20"/>
      <c r="U1630" t="s">
        <v>401</v>
      </c>
    </row>
    <row r="1631" spans="2:21" x14ac:dyDescent="0.25">
      <c r="B1631">
        <v>119</v>
      </c>
      <c r="C1631" t="s">
        <v>2541</v>
      </c>
      <c r="D1631">
        <v>4.59</v>
      </c>
      <c r="E1631" s="18">
        <v>518</v>
      </c>
      <c r="F1631" t="s">
        <v>889</v>
      </c>
      <c r="G1631" t="s">
        <v>2542</v>
      </c>
      <c r="I1631"/>
      <c r="J1631"/>
      <c r="L1631"/>
      <c r="M1631"/>
      <c r="O1631"/>
      <c r="P1631" s="20"/>
      <c r="Q1631" s="20"/>
      <c r="R1631" s="20"/>
      <c r="S1631" s="20"/>
      <c r="T1631" s="20"/>
      <c r="U1631" t="s">
        <v>401</v>
      </c>
    </row>
    <row r="1632" spans="2:21" x14ac:dyDescent="0.25">
      <c r="B1632">
        <v>119</v>
      </c>
      <c r="C1632" t="s">
        <v>2550</v>
      </c>
      <c r="D1632">
        <v>4.75</v>
      </c>
      <c r="E1632" s="18">
        <v>158.33333333333334</v>
      </c>
      <c r="F1632" t="s">
        <v>889</v>
      </c>
      <c r="G1632" t="s">
        <v>2551</v>
      </c>
      <c r="I1632"/>
      <c r="J1632"/>
      <c r="L1632"/>
      <c r="M1632"/>
      <c r="O1632"/>
      <c r="P1632" s="20"/>
      <c r="Q1632" s="20"/>
      <c r="R1632" s="20"/>
      <c r="S1632" s="20"/>
      <c r="T1632" s="20"/>
      <c r="U1632" t="s">
        <v>401</v>
      </c>
    </row>
    <row r="1633" spans="2:21" x14ac:dyDescent="0.25">
      <c r="B1633">
        <v>119</v>
      </c>
      <c r="C1633" t="s">
        <v>2550</v>
      </c>
      <c r="D1633">
        <v>4.75</v>
      </c>
      <c r="E1633" s="18">
        <v>158.33333333333334</v>
      </c>
      <c r="F1633" t="s">
        <v>889</v>
      </c>
      <c r="G1633" t="s">
        <v>2551</v>
      </c>
      <c r="I1633"/>
      <c r="J1633"/>
      <c r="L1633"/>
      <c r="M1633"/>
      <c r="O1633"/>
      <c r="P1633" s="20"/>
      <c r="Q1633" s="20"/>
      <c r="R1633" s="20"/>
      <c r="S1633" s="20"/>
      <c r="T1633" s="20"/>
      <c r="U1633" t="s">
        <v>401</v>
      </c>
    </row>
    <row r="1634" spans="2:21" x14ac:dyDescent="0.25">
      <c r="B1634">
        <v>119</v>
      </c>
      <c r="C1634" t="s">
        <v>2533</v>
      </c>
      <c r="D1634">
        <v>6.12</v>
      </c>
      <c r="E1634" s="18">
        <v>208</v>
      </c>
      <c r="F1634" t="s">
        <v>889</v>
      </c>
      <c r="G1634" t="s">
        <v>2534</v>
      </c>
      <c r="I1634"/>
      <c r="J1634"/>
      <c r="L1634"/>
      <c r="M1634"/>
      <c r="O1634"/>
      <c r="P1634" s="20"/>
      <c r="Q1634" s="20"/>
      <c r="R1634" s="20"/>
      <c r="S1634" s="20"/>
      <c r="T1634" s="20"/>
      <c r="U1634" t="s">
        <v>401</v>
      </c>
    </row>
    <row r="1635" spans="2:21" x14ac:dyDescent="0.25">
      <c r="B1635">
        <v>119</v>
      </c>
      <c r="C1635" t="s">
        <v>2533</v>
      </c>
      <c r="D1635">
        <v>6.12</v>
      </c>
      <c r="E1635" s="18">
        <v>208</v>
      </c>
      <c r="F1635" t="s">
        <v>889</v>
      </c>
      <c r="G1635" t="s">
        <v>2534</v>
      </c>
      <c r="I1635"/>
      <c r="J1635"/>
      <c r="L1635"/>
      <c r="M1635"/>
      <c r="O1635"/>
      <c r="P1635" s="20"/>
      <c r="Q1635" s="20"/>
      <c r="R1635" s="20"/>
      <c r="S1635" s="20"/>
      <c r="T1635" s="20"/>
      <c r="U1635" t="s">
        <v>401</v>
      </c>
    </row>
    <row r="1636" spans="2:21" x14ac:dyDescent="0.25">
      <c r="B1636">
        <v>119</v>
      </c>
      <c r="C1636" t="s">
        <v>2571</v>
      </c>
      <c r="E1636" s="18">
        <v>-1000</v>
      </c>
      <c r="F1636" t="s">
        <v>889</v>
      </c>
      <c r="G1636" t="s">
        <v>442</v>
      </c>
      <c r="I1636"/>
      <c r="J1636"/>
      <c r="L1636"/>
      <c r="M1636"/>
      <c r="O1636"/>
      <c r="P1636" s="20"/>
      <c r="Q1636" s="20"/>
      <c r="R1636" s="20"/>
      <c r="S1636" s="20"/>
      <c r="T1636" s="20"/>
      <c r="U1636" t="s">
        <v>401</v>
      </c>
    </row>
    <row r="1637" spans="2:21" x14ac:dyDescent="0.25">
      <c r="B1637">
        <v>119</v>
      </c>
      <c r="C1637" t="s">
        <v>2572</v>
      </c>
      <c r="E1637" s="18">
        <v>-301.125</v>
      </c>
      <c r="G1637" t="s">
        <v>442</v>
      </c>
      <c r="I1637"/>
      <c r="J1637"/>
      <c r="L1637"/>
      <c r="M1637"/>
      <c r="O1637"/>
      <c r="P1637" s="20"/>
      <c r="Q1637" s="20"/>
      <c r="R1637" s="20"/>
      <c r="S1637" s="20"/>
      <c r="T1637" s="20"/>
      <c r="U1637" t="s">
        <v>401</v>
      </c>
    </row>
    <row r="1638" spans="2:21" x14ac:dyDescent="0.25">
      <c r="B1638">
        <v>119</v>
      </c>
      <c r="C1638" t="s">
        <v>1106</v>
      </c>
      <c r="E1638" s="18">
        <v>-339.97983870000002</v>
      </c>
      <c r="F1638" t="s">
        <v>891</v>
      </c>
      <c r="G1638" t="s">
        <v>442</v>
      </c>
      <c r="I1638"/>
      <c r="J1638"/>
      <c r="L1638"/>
      <c r="M1638"/>
      <c r="O1638"/>
      <c r="P1638" s="20"/>
      <c r="Q1638" s="20"/>
      <c r="R1638" s="20"/>
      <c r="S1638" s="20"/>
      <c r="T1638" s="20"/>
      <c r="U1638" t="s">
        <v>401</v>
      </c>
    </row>
    <row r="1639" spans="2:21" x14ac:dyDescent="0.25">
      <c r="B1639">
        <v>119</v>
      </c>
      <c r="C1639" t="s">
        <v>1269</v>
      </c>
      <c r="E1639" s="18">
        <v>-689.67338710000001</v>
      </c>
      <c r="F1639" t="s">
        <v>891</v>
      </c>
      <c r="G1639" t="s">
        <v>442</v>
      </c>
      <c r="I1639"/>
      <c r="J1639"/>
      <c r="L1639"/>
      <c r="M1639"/>
      <c r="O1639"/>
      <c r="P1639" s="20"/>
      <c r="Q1639" s="20"/>
      <c r="R1639" s="20"/>
      <c r="S1639" s="20"/>
      <c r="T1639" s="20"/>
      <c r="U1639" t="s">
        <v>401</v>
      </c>
    </row>
    <row r="1640" spans="2:21" x14ac:dyDescent="0.25">
      <c r="B1640">
        <v>119</v>
      </c>
      <c r="C1640" t="s">
        <v>1509</v>
      </c>
      <c r="E1640" s="18">
        <v>-343.21774190000002</v>
      </c>
      <c r="F1640" t="s">
        <v>891</v>
      </c>
      <c r="G1640" t="s">
        <v>442</v>
      </c>
      <c r="I1640"/>
      <c r="J1640"/>
      <c r="L1640"/>
      <c r="M1640"/>
      <c r="O1640"/>
      <c r="P1640" s="20"/>
      <c r="Q1640" s="20"/>
      <c r="R1640" s="20"/>
      <c r="S1640" s="20"/>
      <c r="T1640" s="20"/>
      <c r="U1640" t="s">
        <v>401</v>
      </c>
    </row>
    <row r="1641" spans="2:21" x14ac:dyDescent="0.25">
      <c r="B1641">
        <v>119</v>
      </c>
      <c r="C1641" t="s">
        <v>1108</v>
      </c>
      <c r="E1641" s="18">
        <v>-339.97983870000002</v>
      </c>
      <c r="F1641" t="s">
        <v>891</v>
      </c>
      <c r="G1641" t="s">
        <v>442</v>
      </c>
      <c r="I1641"/>
      <c r="J1641"/>
      <c r="L1641"/>
      <c r="M1641"/>
      <c r="O1641"/>
      <c r="P1641" s="20"/>
      <c r="Q1641" s="20"/>
      <c r="R1641" s="20"/>
      <c r="S1641" s="20"/>
      <c r="T1641" s="20"/>
      <c r="U1641" t="s">
        <v>401</v>
      </c>
    </row>
    <row r="1642" spans="2:21" x14ac:dyDescent="0.25">
      <c r="B1642">
        <v>119</v>
      </c>
      <c r="C1642" t="s">
        <v>2573</v>
      </c>
      <c r="E1642" s="18">
        <v>-346.5</v>
      </c>
      <c r="F1642" t="s">
        <v>891</v>
      </c>
      <c r="G1642" t="s">
        <v>442</v>
      </c>
      <c r="I1642"/>
      <c r="J1642"/>
      <c r="L1642"/>
      <c r="M1642"/>
      <c r="O1642"/>
      <c r="P1642" s="20"/>
      <c r="Q1642" s="20"/>
      <c r="R1642" s="20"/>
      <c r="S1642" s="20"/>
      <c r="T1642" s="20"/>
      <c r="U1642" t="s">
        <v>401</v>
      </c>
    </row>
    <row r="1643" spans="2:21" x14ac:dyDescent="0.25">
      <c r="B1643">
        <v>119</v>
      </c>
      <c r="C1643" t="s">
        <v>1483</v>
      </c>
      <c r="E1643" s="18">
        <v>-339.97983870000002</v>
      </c>
      <c r="G1643" t="s">
        <v>442</v>
      </c>
      <c r="I1643"/>
      <c r="J1643"/>
      <c r="L1643"/>
      <c r="M1643"/>
      <c r="O1643"/>
      <c r="P1643" s="20"/>
      <c r="Q1643" s="20"/>
      <c r="R1643" s="20"/>
      <c r="S1643" s="20"/>
      <c r="T1643" s="20"/>
      <c r="U1643" t="s">
        <v>401</v>
      </c>
    </row>
    <row r="1644" spans="2:21" x14ac:dyDescent="0.25">
      <c r="B1644">
        <v>119</v>
      </c>
      <c r="C1644" t="s">
        <v>1237</v>
      </c>
      <c r="E1644" s="18">
        <v>-339.97983870000002</v>
      </c>
      <c r="F1644" t="s">
        <v>1484</v>
      </c>
      <c r="G1644" t="s">
        <v>442</v>
      </c>
      <c r="I1644"/>
      <c r="J1644"/>
      <c r="L1644"/>
      <c r="M1644"/>
      <c r="O1644"/>
      <c r="P1644" s="20"/>
      <c r="Q1644" s="20"/>
      <c r="R1644" s="20"/>
      <c r="S1644" s="20"/>
      <c r="T1644" s="20"/>
      <c r="U1644" t="s">
        <v>401</v>
      </c>
    </row>
    <row r="1645" spans="2:21" x14ac:dyDescent="0.25">
      <c r="B1645">
        <v>119</v>
      </c>
      <c r="C1645" t="s">
        <v>2574</v>
      </c>
      <c r="E1645" s="18">
        <v>-97.146428571428601</v>
      </c>
      <c r="G1645" t="s">
        <v>442</v>
      </c>
      <c r="I1645"/>
      <c r="J1645"/>
      <c r="L1645"/>
      <c r="M1645"/>
      <c r="O1645"/>
      <c r="P1645" s="20"/>
      <c r="Q1645" s="20"/>
      <c r="R1645" s="20"/>
      <c r="S1645" s="20"/>
      <c r="T1645" s="20"/>
      <c r="U1645" t="s">
        <v>401</v>
      </c>
    </row>
    <row r="1646" spans="2:21" x14ac:dyDescent="0.25">
      <c r="B1646">
        <v>119</v>
      </c>
      <c r="C1646" t="s">
        <v>2191</v>
      </c>
      <c r="E1646" s="18">
        <v>-327.02822579999997</v>
      </c>
      <c r="G1646" t="s">
        <v>442</v>
      </c>
      <c r="I1646"/>
      <c r="J1646"/>
      <c r="L1646"/>
      <c r="M1646"/>
      <c r="O1646"/>
      <c r="P1646" s="20"/>
      <c r="Q1646" s="20"/>
      <c r="R1646" s="20"/>
      <c r="S1646" s="20"/>
      <c r="T1646" s="20"/>
      <c r="U1646" t="s">
        <v>401</v>
      </c>
    </row>
    <row r="1647" spans="2:21" x14ac:dyDescent="0.25">
      <c r="B1647">
        <v>119</v>
      </c>
      <c r="C1647" t="s">
        <v>2193</v>
      </c>
      <c r="E1647" s="18">
        <v>-66.916666669999998</v>
      </c>
      <c r="G1647" t="s">
        <v>442</v>
      </c>
      <c r="I1647"/>
      <c r="J1647"/>
      <c r="L1647"/>
      <c r="M1647"/>
      <c r="O1647"/>
      <c r="P1647" s="20"/>
      <c r="Q1647" s="20"/>
      <c r="R1647" s="20"/>
      <c r="S1647" s="20"/>
      <c r="T1647" s="20"/>
      <c r="U1647" t="s">
        <v>401</v>
      </c>
    </row>
    <row r="1648" spans="2:21" x14ac:dyDescent="0.25">
      <c r="B1648">
        <v>119</v>
      </c>
      <c r="C1648" t="s">
        <v>1299</v>
      </c>
      <c r="E1648" s="18">
        <v>-346.5</v>
      </c>
      <c r="F1648" t="s">
        <v>891</v>
      </c>
      <c r="G1648" t="s">
        <v>442</v>
      </c>
      <c r="I1648"/>
      <c r="J1648"/>
      <c r="L1648"/>
      <c r="M1648"/>
      <c r="O1648"/>
      <c r="P1648" s="20"/>
      <c r="Q1648" s="20"/>
      <c r="R1648" s="20"/>
      <c r="S1648" s="20"/>
      <c r="T1648" s="20"/>
      <c r="U1648" t="s">
        <v>401</v>
      </c>
    </row>
    <row r="1649" spans="1:21" x14ac:dyDescent="0.25">
      <c r="B1649">
        <v>119</v>
      </c>
      <c r="C1649" t="s">
        <v>1304</v>
      </c>
      <c r="E1649" s="18">
        <v>-346.5</v>
      </c>
      <c r="F1649" t="s">
        <v>891</v>
      </c>
      <c r="G1649" t="s">
        <v>442</v>
      </c>
      <c r="I1649"/>
      <c r="J1649"/>
      <c r="L1649"/>
      <c r="M1649"/>
      <c r="O1649"/>
      <c r="P1649" s="20"/>
      <c r="Q1649" s="20"/>
      <c r="R1649" s="20"/>
      <c r="S1649" s="20"/>
      <c r="T1649" s="20"/>
      <c r="U1649" t="s">
        <v>401</v>
      </c>
    </row>
    <row r="1650" spans="1:21" x14ac:dyDescent="0.25">
      <c r="B1650">
        <v>119</v>
      </c>
      <c r="C1650" t="s">
        <v>1312</v>
      </c>
      <c r="E1650" s="18">
        <v>-346.5</v>
      </c>
      <c r="F1650" t="s">
        <v>891</v>
      </c>
      <c r="G1650" t="s">
        <v>442</v>
      </c>
      <c r="I1650"/>
      <c r="J1650"/>
      <c r="L1650"/>
      <c r="M1650"/>
      <c r="O1650"/>
      <c r="P1650" s="20"/>
      <c r="Q1650" s="20"/>
      <c r="R1650" s="20"/>
      <c r="S1650" s="20"/>
      <c r="T1650" s="20"/>
      <c r="U1650" t="s">
        <v>401</v>
      </c>
    </row>
    <row r="1651" spans="1:21" x14ac:dyDescent="0.25">
      <c r="B1651">
        <v>119</v>
      </c>
      <c r="C1651" t="s">
        <v>1282</v>
      </c>
      <c r="E1651" s="18">
        <v>-231</v>
      </c>
      <c r="F1651" t="s">
        <v>891</v>
      </c>
      <c r="G1651" t="s">
        <v>442</v>
      </c>
      <c r="I1651"/>
      <c r="J1651"/>
      <c r="L1651"/>
      <c r="M1651"/>
      <c r="O1651"/>
      <c r="P1651" s="20"/>
      <c r="Q1651" s="20"/>
      <c r="R1651" s="20"/>
      <c r="S1651" s="20"/>
      <c r="T1651" s="20"/>
      <c r="U1651" t="s">
        <v>401</v>
      </c>
    </row>
    <row r="1652" spans="1:21" x14ac:dyDescent="0.25">
      <c r="B1652">
        <v>119</v>
      </c>
      <c r="C1652" t="s">
        <v>1292</v>
      </c>
      <c r="E1652" s="18">
        <v>-231</v>
      </c>
      <c r="F1652" t="s">
        <v>891</v>
      </c>
      <c r="G1652" t="s">
        <v>442</v>
      </c>
      <c r="I1652"/>
      <c r="J1652"/>
      <c r="L1652"/>
      <c r="M1652"/>
      <c r="O1652"/>
      <c r="P1652" s="20"/>
      <c r="Q1652" s="20"/>
      <c r="R1652" s="20"/>
      <c r="S1652" s="20"/>
      <c r="T1652" s="20"/>
      <c r="U1652" t="s">
        <v>401</v>
      </c>
    </row>
    <row r="1653" spans="1:21" x14ac:dyDescent="0.25">
      <c r="B1653">
        <v>119</v>
      </c>
      <c r="C1653" t="s">
        <v>1300</v>
      </c>
      <c r="E1653" s="18">
        <v>-346.5</v>
      </c>
      <c r="F1653" t="s">
        <v>891</v>
      </c>
      <c r="G1653" t="s">
        <v>442</v>
      </c>
      <c r="I1653"/>
      <c r="J1653"/>
      <c r="L1653"/>
      <c r="M1653"/>
      <c r="O1653"/>
      <c r="P1653" s="20"/>
      <c r="Q1653" s="20"/>
      <c r="R1653" s="20"/>
      <c r="S1653" s="20"/>
      <c r="T1653" s="20"/>
      <c r="U1653" t="s">
        <v>401</v>
      </c>
    </row>
    <row r="1654" spans="1:21" x14ac:dyDescent="0.25">
      <c r="B1654">
        <v>119</v>
      </c>
      <c r="C1654" t="s">
        <v>2575</v>
      </c>
      <c r="E1654" s="18">
        <v>-351.3125</v>
      </c>
      <c r="F1654" t="s">
        <v>891</v>
      </c>
      <c r="G1654" t="s">
        <v>442</v>
      </c>
      <c r="I1654"/>
      <c r="J1654"/>
      <c r="L1654"/>
      <c r="M1654"/>
      <c r="O1654"/>
      <c r="P1654" s="20"/>
      <c r="Q1654" s="20"/>
      <c r="R1654" s="20"/>
      <c r="S1654" s="20"/>
      <c r="T1654" s="20"/>
      <c r="U1654" t="s">
        <v>401</v>
      </c>
    </row>
    <row r="1655" spans="1:21" x14ac:dyDescent="0.25">
      <c r="B1655">
        <v>119</v>
      </c>
      <c r="C1655" t="s">
        <v>1117</v>
      </c>
      <c r="E1655" s="18">
        <v>-354.3125</v>
      </c>
      <c r="F1655" t="s">
        <v>891</v>
      </c>
      <c r="G1655" t="s">
        <v>442</v>
      </c>
      <c r="I1655"/>
      <c r="J1655"/>
      <c r="L1655"/>
      <c r="M1655"/>
      <c r="O1655"/>
      <c r="P1655" s="20"/>
      <c r="Q1655" s="20"/>
      <c r="R1655" s="20"/>
      <c r="S1655" s="20"/>
      <c r="T1655" s="20"/>
      <c r="U1655" t="s">
        <v>401</v>
      </c>
    </row>
    <row r="1656" spans="1:21" x14ac:dyDescent="0.25">
      <c r="B1656">
        <v>119</v>
      </c>
      <c r="C1656" t="s">
        <v>1111</v>
      </c>
      <c r="E1656" s="18">
        <v>-351.3125</v>
      </c>
      <c r="F1656" t="s">
        <v>891</v>
      </c>
      <c r="G1656" t="s">
        <v>442</v>
      </c>
      <c r="I1656"/>
      <c r="J1656"/>
      <c r="L1656"/>
      <c r="M1656"/>
      <c r="O1656"/>
      <c r="P1656" s="20"/>
      <c r="Q1656" s="20"/>
      <c r="R1656" s="20"/>
      <c r="S1656" s="20"/>
      <c r="T1656" s="20"/>
      <c r="U1656" t="s">
        <v>401</v>
      </c>
    </row>
    <row r="1657" spans="1:21" x14ac:dyDescent="0.25">
      <c r="B1657">
        <v>119</v>
      </c>
      <c r="C1657" t="s">
        <v>1283</v>
      </c>
      <c r="E1657" s="18">
        <v>-231</v>
      </c>
      <c r="F1657" t="s">
        <v>891</v>
      </c>
      <c r="G1657" t="s">
        <v>442</v>
      </c>
      <c r="I1657"/>
      <c r="J1657"/>
      <c r="L1657"/>
      <c r="M1657"/>
      <c r="O1657"/>
      <c r="P1657" s="20"/>
      <c r="Q1657" s="20"/>
      <c r="R1657" s="20"/>
      <c r="S1657" s="20"/>
      <c r="T1657" s="20"/>
      <c r="U1657" t="s">
        <v>401</v>
      </c>
    </row>
    <row r="1658" spans="1:21" x14ac:dyDescent="0.25">
      <c r="B1658">
        <v>119</v>
      </c>
      <c r="C1658" t="s">
        <v>2535</v>
      </c>
      <c r="D1658">
        <v>5.0999999999999996</v>
      </c>
      <c r="E1658" s="18">
        <v>31.666666666666629</v>
      </c>
      <c r="F1658" t="s">
        <v>889</v>
      </c>
      <c r="G1658" t="s">
        <v>2536</v>
      </c>
      <c r="I1658"/>
      <c r="J1658"/>
      <c r="L1658"/>
      <c r="M1658"/>
      <c r="O1658"/>
      <c r="P1658" s="20"/>
      <c r="Q1658" s="20"/>
      <c r="R1658" s="20"/>
      <c r="S1658" s="20"/>
      <c r="T1658" s="20"/>
      <c r="U1658" t="s">
        <v>401</v>
      </c>
    </row>
    <row r="1659" spans="1:21" x14ac:dyDescent="0.25">
      <c r="B1659">
        <v>119</v>
      </c>
      <c r="C1659" t="s">
        <v>2535</v>
      </c>
      <c r="D1659">
        <v>5.0999999999999996</v>
      </c>
      <c r="E1659" s="18">
        <v>31.666666666666629</v>
      </c>
      <c r="F1659" t="s">
        <v>889</v>
      </c>
      <c r="G1659" t="s">
        <v>2536</v>
      </c>
      <c r="I1659"/>
      <c r="J1659"/>
      <c r="L1659"/>
      <c r="M1659"/>
      <c r="O1659"/>
      <c r="P1659" s="20"/>
      <c r="Q1659" s="20"/>
      <c r="R1659" s="20"/>
      <c r="S1659" s="20"/>
      <c r="T1659" s="20"/>
      <c r="U1659" t="s">
        <v>401</v>
      </c>
    </row>
    <row r="1660" spans="1:21" x14ac:dyDescent="0.25">
      <c r="B1660">
        <v>119</v>
      </c>
      <c r="C1660" t="s">
        <v>2547</v>
      </c>
      <c r="D1660">
        <v>4.08</v>
      </c>
      <c r="E1660" s="18">
        <v>216</v>
      </c>
      <c r="F1660" t="s">
        <v>889</v>
      </c>
      <c r="G1660" t="s">
        <v>2549</v>
      </c>
      <c r="I1660"/>
      <c r="J1660"/>
      <c r="L1660"/>
      <c r="M1660"/>
      <c r="O1660"/>
      <c r="P1660" s="20"/>
      <c r="Q1660" s="20"/>
      <c r="R1660" s="20"/>
      <c r="S1660" s="20"/>
      <c r="T1660" s="20"/>
      <c r="U1660" t="s">
        <v>401</v>
      </c>
    </row>
    <row r="1661" spans="1:21" x14ac:dyDescent="0.25">
      <c r="B1661">
        <v>119</v>
      </c>
      <c r="C1661" t="s">
        <v>2547</v>
      </c>
      <c r="D1661">
        <v>6.12</v>
      </c>
      <c r="E1661" s="18">
        <v>824</v>
      </c>
      <c r="F1661" t="s">
        <v>889</v>
      </c>
      <c r="G1661" t="s">
        <v>2548</v>
      </c>
      <c r="I1661"/>
      <c r="J1661"/>
      <c r="L1661"/>
      <c r="M1661"/>
      <c r="O1661"/>
      <c r="P1661" s="20"/>
      <c r="Q1661" s="20"/>
      <c r="R1661" s="20"/>
      <c r="S1661" s="20"/>
      <c r="T1661" s="20"/>
      <c r="U1661" t="s">
        <v>401</v>
      </c>
    </row>
    <row r="1662" spans="1:21" x14ac:dyDescent="0.25">
      <c r="B1662">
        <v>119</v>
      </c>
      <c r="C1662" t="s">
        <v>2537</v>
      </c>
      <c r="D1662">
        <v>5.8650000000000002</v>
      </c>
      <c r="E1662" s="18">
        <v>195.5</v>
      </c>
      <c r="F1662" t="s">
        <v>889</v>
      </c>
      <c r="G1662" t="s">
        <v>2538</v>
      </c>
      <c r="I1662"/>
      <c r="J1662"/>
      <c r="L1662"/>
      <c r="M1662"/>
      <c r="O1662"/>
      <c r="P1662" s="20"/>
      <c r="Q1662" s="20"/>
      <c r="R1662" s="20"/>
      <c r="S1662" s="20"/>
      <c r="T1662" s="20"/>
      <c r="U1662" t="s">
        <v>401</v>
      </c>
    </row>
    <row r="1663" spans="1:21" x14ac:dyDescent="0.25">
      <c r="B1663">
        <v>119</v>
      </c>
      <c r="C1663" t="s">
        <v>2537</v>
      </c>
      <c r="D1663">
        <v>5.8650000000000002</v>
      </c>
      <c r="E1663" s="18">
        <v>195.5</v>
      </c>
      <c r="F1663" t="s">
        <v>889</v>
      </c>
      <c r="G1663" t="s">
        <v>2538</v>
      </c>
      <c r="I1663"/>
      <c r="J1663"/>
      <c r="L1663"/>
      <c r="M1663"/>
      <c r="O1663"/>
      <c r="P1663" s="20"/>
      <c r="Q1663" s="20"/>
      <c r="R1663" s="20"/>
      <c r="S1663" s="20"/>
      <c r="T1663" s="20"/>
      <c r="U1663" t="s">
        <v>401</v>
      </c>
    </row>
    <row r="1664" spans="1:21" x14ac:dyDescent="0.25">
      <c r="A1664" s="3">
        <v>41789</v>
      </c>
      <c r="B1664" s="36">
        <v>120</v>
      </c>
      <c r="C1664" t="s">
        <v>2576</v>
      </c>
      <c r="D1664">
        <v>7</v>
      </c>
      <c r="E1664" s="18">
        <v>700</v>
      </c>
      <c r="G1664" t="s">
        <v>2577</v>
      </c>
      <c r="H1664" s="18">
        <v>700</v>
      </c>
      <c r="I1664" s="3">
        <v>41789</v>
      </c>
      <c r="J1664"/>
      <c r="L1664"/>
      <c r="M1664"/>
      <c r="N1664" s="20"/>
      <c r="O1664"/>
      <c r="P1664" s="20"/>
      <c r="Q1664" s="20"/>
      <c r="R1664" s="20"/>
      <c r="S1664" s="20"/>
      <c r="T1664" s="20"/>
    </row>
    <row r="1665" spans="1:21" x14ac:dyDescent="0.25">
      <c r="A1665" s="3">
        <v>41796</v>
      </c>
      <c r="B1665" s="36">
        <v>120</v>
      </c>
      <c r="C1665" t="s">
        <v>2578</v>
      </c>
      <c r="D1665">
        <v>7.75</v>
      </c>
      <c r="E1665" s="18">
        <v>775</v>
      </c>
      <c r="G1665" t="s">
        <v>2579</v>
      </c>
      <c r="H1665" s="18">
        <v>775</v>
      </c>
      <c r="I1665" s="3">
        <v>41796</v>
      </c>
      <c r="J1665"/>
      <c r="L1665"/>
      <c r="M1665"/>
      <c r="N1665" s="20"/>
      <c r="O1665" t="s">
        <v>1555</v>
      </c>
      <c r="P1665" s="20"/>
      <c r="Q1665" s="20"/>
      <c r="R1665" s="20"/>
      <c r="S1665" s="20"/>
      <c r="T1665" s="20"/>
    </row>
    <row r="1666" spans="1:21" x14ac:dyDescent="0.25">
      <c r="A1666" s="3">
        <v>41796</v>
      </c>
      <c r="B1666" s="36">
        <v>120</v>
      </c>
      <c r="C1666" t="s">
        <v>2580</v>
      </c>
      <c r="D1666">
        <v>3</v>
      </c>
      <c r="E1666" s="18">
        <v>300</v>
      </c>
      <c r="G1666" t="s">
        <v>2581</v>
      </c>
      <c r="H1666" s="18">
        <v>300</v>
      </c>
      <c r="I1666" s="3">
        <v>41796</v>
      </c>
      <c r="J1666"/>
      <c r="L1666"/>
      <c r="M1666"/>
      <c r="N1666" s="20"/>
      <c r="O1666" t="s">
        <v>1555</v>
      </c>
      <c r="P1666" s="20"/>
      <c r="Q1666" s="20"/>
      <c r="R1666" s="20"/>
      <c r="S1666" s="20"/>
      <c r="T1666" s="20"/>
    </row>
    <row r="1667" spans="1:21" x14ac:dyDescent="0.25">
      <c r="A1667" s="3">
        <v>41796</v>
      </c>
      <c r="B1667" s="36">
        <v>120</v>
      </c>
      <c r="C1667" t="s">
        <v>2582</v>
      </c>
      <c r="D1667">
        <v>10</v>
      </c>
      <c r="E1667" s="18">
        <v>1000</v>
      </c>
      <c r="G1667" t="s">
        <v>2583</v>
      </c>
      <c r="H1667" s="18">
        <v>1000</v>
      </c>
      <c r="I1667" s="3">
        <v>41796</v>
      </c>
      <c r="J1667"/>
      <c r="L1667"/>
      <c r="M1667"/>
      <c r="N1667" s="20"/>
      <c r="O1667" t="s">
        <v>1555</v>
      </c>
      <c r="P1667" s="20"/>
      <c r="Q1667" s="20"/>
      <c r="R1667" s="20"/>
      <c r="S1667" s="20"/>
      <c r="T1667" s="20"/>
    </row>
    <row r="1668" spans="1:21" x14ac:dyDescent="0.25">
      <c r="A1668" s="3">
        <v>41796</v>
      </c>
      <c r="B1668" s="36">
        <v>120</v>
      </c>
      <c r="C1668" t="s">
        <v>1071</v>
      </c>
      <c r="E1668" s="18">
        <v>-150</v>
      </c>
      <c r="G1668" t="s">
        <v>442</v>
      </c>
      <c r="H1668" s="18" t="s">
        <v>442</v>
      </c>
      <c r="I1668" s="3" t="s">
        <v>442</v>
      </c>
      <c r="J1668"/>
      <c r="L1668"/>
      <c r="M1668"/>
      <c r="N1668" s="20"/>
      <c r="O1668"/>
      <c r="P1668" s="20"/>
      <c r="Q1668" s="20" t="s">
        <v>401</v>
      </c>
      <c r="R1668" s="20"/>
      <c r="S1668" s="20"/>
      <c r="T1668" s="20"/>
    </row>
    <row r="1669" spans="1:21" x14ac:dyDescent="0.25">
      <c r="A1669" s="3">
        <v>41796</v>
      </c>
      <c r="B1669" s="36">
        <v>120</v>
      </c>
      <c r="C1669" s="64" t="s">
        <v>1072</v>
      </c>
      <c r="E1669" s="18">
        <v>-570.19000000000005</v>
      </c>
      <c r="H1669" s="18" t="s">
        <v>442</v>
      </c>
      <c r="I1669" s="3" t="s">
        <v>442</v>
      </c>
      <c r="J1669"/>
      <c r="L1669"/>
      <c r="M1669"/>
      <c r="N1669" s="20"/>
      <c r="O1669"/>
      <c r="P1669" s="20"/>
      <c r="Q1669" s="20" t="s">
        <v>401</v>
      </c>
      <c r="R1669" s="20"/>
      <c r="S1669" s="20"/>
      <c r="T1669" s="20"/>
    </row>
    <row r="1670" spans="1:21" x14ac:dyDescent="0.25">
      <c r="A1670" s="3">
        <v>41817</v>
      </c>
      <c r="B1670" s="36">
        <v>120</v>
      </c>
      <c r="C1670" t="s">
        <v>1838</v>
      </c>
      <c r="E1670" s="18">
        <v>200</v>
      </c>
      <c r="G1670" t="s">
        <v>442</v>
      </c>
      <c r="H1670" s="18" t="s">
        <v>442</v>
      </c>
      <c r="I1670" s="3" t="s">
        <v>442</v>
      </c>
      <c r="J1670"/>
      <c r="L1670"/>
      <c r="M1670"/>
      <c r="N1670" s="20"/>
      <c r="O1670"/>
      <c r="P1670" s="20"/>
      <c r="Q1670" s="20"/>
      <c r="R1670" s="20"/>
      <c r="S1670" s="20" t="s">
        <v>401</v>
      </c>
      <c r="T1670" s="20"/>
    </row>
    <row r="1671" spans="1:21" x14ac:dyDescent="0.25">
      <c r="A1671" s="3">
        <v>41823</v>
      </c>
      <c r="B1671" s="36">
        <v>120</v>
      </c>
      <c r="C1671" t="s">
        <v>2584</v>
      </c>
      <c r="D1671">
        <v>2</v>
      </c>
      <c r="E1671" s="18">
        <v>200</v>
      </c>
      <c r="G1671" t="s">
        <v>442</v>
      </c>
      <c r="H1671" s="18" t="s">
        <v>442</v>
      </c>
      <c r="I1671" s="3" t="s">
        <v>442</v>
      </c>
      <c r="J1671"/>
      <c r="L1671"/>
      <c r="M1671"/>
      <c r="N1671" s="20"/>
      <c r="O1671"/>
      <c r="P1671" s="20"/>
      <c r="Q1671" s="20"/>
      <c r="R1671" s="20" t="s">
        <v>401</v>
      </c>
      <c r="S1671" s="20"/>
      <c r="T1671" s="20"/>
    </row>
    <row r="1672" spans="1:21" x14ac:dyDescent="0.25">
      <c r="A1672" s="3">
        <v>41823</v>
      </c>
      <c r="B1672" s="36">
        <v>120</v>
      </c>
      <c r="C1672" t="s">
        <v>2585</v>
      </c>
      <c r="D1672">
        <v>8.4149999999999991</v>
      </c>
      <c r="E1672" s="18">
        <v>841.49999999999989</v>
      </c>
      <c r="G1672" t="s">
        <v>2586</v>
      </c>
      <c r="H1672" s="18">
        <v>841.49999999999989</v>
      </c>
      <c r="I1672" s="3">
        <v>41823</v>
      </c>
      <c r="J1672"/>
      <c r="L1672"/>
      <c r="M1672"/>
      <c r="N1672" s="20"/>
      <c r="O1672" t="s">
        <v>917</v>
      </c>
      <c r="P1672" s="20"/>
      <c r="Q1672" s="20"/>
      <c r="R1672" s="20"/>
      <c r="S1672" s="20"/>
      <c r="T1672" s="20"/>
    </row>
    <row r="1673" spans="1:21" x14ac:dyDescent="0.25">
      <c r="A1673" s="3">
        <v>41873</v>
      </c>
      <c r="B1673" s="36">
        <v>120</v>
      </c>
      <c r="C1673" t="s">
        <v>2587</v>
      </c>
      <c r="D1673">
        <v>12</v>
      </c>
      <c r="E1673" s="18">
        <v>1200</v>
      </c>
      <c r="F1673" t="s">
        <v>889</v>
      </c>
      <c r="G1673" t="s">
        <v>2588</v>
      </c>
      <c r="H1673" s="18">
        <v>1200</v>
      </c>
      <c r="I1673" s="3">
        <v>41873</v>
      </c>
      <c r="J1673"/>
      <c r="L1673"/>
      <c r="M1673"/>
      <c r="N1673" s="20"/>
      <c r="O1673"/>
      <c r="P1673" s="20"/>
      <c r="Q1673" s="20"/>
      <c r="R1673" s="20"/>
      <c r="S1673" s="20"/>
      <c r="T1673" s="20"/>
    </row>
    <row r="1674" spans="1:21" x14ac:dyDescent="0.25">
      <c r="B1674">
        <v>120</v>
      </c>
      <c r="C1674" t="s">
        <v>2587</v>
      </c>
      <c r="D1674">
        <v>12</v>
      </c>
      <c r="E1674" s="18">
        <v>400</v>
      </c>
      <c r="F1674" t="s">
        <v>889</v>
      </c>
      <c r="G1674" t="s">
        <v>2588</v>
      </c>
      <c r="I1674"/>
      <c r="J1674"/>
      <c r="L1674"/>
      <c r="M1674"/>
      <c r="O1674"/>
      <c r="P1674" s="20"/>
      <c r="Q1674" s="20"/>
      <c r="R1674" s="20"/>
      <c r="S1674" s="20"/>
      <c r="T1674" s="20"/>
      <c r="U1674" t="s">
        <v>401</v>
      </c>
    </row>
    <row r="1675" spans="1:21" x14ac:dyDescent="0.25">
      <c r="B1675">
        <v>120</v>
      </c>
      <c r="C1675" t="s">
        <v>2587</v>
      </c>
      <c r="D1675">
        <v>12</v>
      </c>
      <c r="E1675" s="18">
        <v>400</v>
      </c>
      <c r="F1675" t="s">
        <v>889</v>
      </c>
      <c r="G1675" t="s">
        <v>2588</v>
      </c>
      <c r="I1675"/>
      <c r="J1675"/>
      <c r="L1675"/>
      <c r="M1675"/>
      <c r="O1675"/>
      <c r="P1675" s="20"/>
      <c r="Q1675" s="20"/>
      <c r="R1675" s="20"/>
      <c r="S1675" s="20"/>
      <c r="T1675" s="20"/>
      <c r="U1675" t="s">
        <v>401</v>
      </c>
    </row>
    <row r="1676" spans="1:21" x14ac:dyDescent="0.25">
      <c r="B1676">
        <v>120</v>
      </c>
      <c r="C1676" t="s">
        <v>2589</v>
      </c>
      <c r="E1676" s="18">
        <v>-8.93</v>
      </c>
      <c r="G1676" t="s">
        <v>2583</v>
      </c>
      <c r="I1676"/>
      <c r="J1676"/>
      <c r="L1676"/>
      <c r="M1676"/>
      <c r="O1676"/>
      <c r="P1676" s="20"/>
      <c r="Q1676" s="20"/>
      <c r="R1676" s="20"/>
      <c r="S1676" s="20"/>
      <c r="T1676" s="20"/>
      <c r="U1676" t="s">
        <v>401</v>
      </c>
    </row>
    <row r="1677" spans="1:21" x14ac:dyDescent="0.25">
      <c r="B1677">
        <v>120</v>
      </c>
      <c r="C1677" t="s">
        <v>2578</v>
      </c>
      <c r="D1677">
        <v>5.0999999999999996</v>
      </c>
      <c r="E1677" s="18">
        <v>-775</v>
      </c>
      <c r="F1677" t="s">
        <v>889</v>
      </c>
      <c r="G1677" t="s">
        <v>2579</v>
      </c>
      <c r="I1677"/>
      <c r="J1677"/>
      <c r="L1677"/>
      <c r="M1677"/>
      <c r="O1677"/>
      <c r="P1677" s="20"/>
      <c r="Q1677" s="20"/>
      <c r="R1677" s="20"/>
      <c r="S1677" s="20"/>
      <c r="T1677" s="20"/>
      <c r="U1677" t="s">
        <v>401</v>
      </c>
    </row>
    <row r="1678" spans="1:21" x14ac:dyDescent="0.25">
      <c r="B1678">
        <v>120</v>
      </c>
      <c r="C1678" t="s">
        <v>2578</v>
      </c>
      <c r="D1678">
        <v>5.0999999999999996</v>
      </c>
      <c r="E1678" s="18">
        <v>509.99999999999994</v>
      </c>
      <c r="F1678" t="s">
        <v>889</v>
      </c>
      <c r="G1678" t="s">
        <v>2579</v>
      </c>
      <c r="I1678"/>
      <c r="J1678"/>
      <c r="L1678"/>
      <c r="M1678"/>
      <c r="O1678"/>
      <c r="P1678" s="20"/>
      <c r="Q1678" s="20"/>
      <c r="R1678" s="20"/>
      <c r="S1678" s="20"/>
      <c r="T1678" s="20"/>
      <c r="U1678" t="s">
        <v>401</v>
      </c>
    </row>
    <row r="1679" spans="1:21" x14ac:dyDescent="0.25">
      <c r="B1679">
        <v>120</v>
      </c>
      <c r="C1679" t="s">
        <v>2590</v>
      </c>
      <c r="E1679" s="18">
        <v>-300</v>
      </c>
      <c r="G1679" t="s">
        <v>2579</v>
      </c>
      <c r="I1679"/>
      <c r="J1679"/>
      <c r="L1679"/>
      <c r="M1679"/>
      <c r="O1679"/>
      <c r="P1679" s="20"/>
      <c r="Q1679" s="20"/>
      <c r="R1679" s="20"/>
      <c r="S1679" s="20"/>
      <c r="T1679" s="20"/>
      <c r="U1679" t="s">
        <v>401</v>
      </c>
    </row>
    <row r="1680" spans="1:21" x14ac:dyDescent="0.25">
      <c r="B1680">
        <v>120</v>
      </c>
      <c r="C1680" t="s">
        <v>2591</v>
      </c>
      <c r="D1680">
        <v>2</v>
      </c>
      <c r="E1680" s="18">
        <v>-200</v>
      </c>
      <c r="G1680" t="s">
        <v>442</v>
      </c>
      <c r="I1680"/>
      <c r="J1680"/>
      <c r="L1680"/>
      <c r="M1680"/>
      <c r="O1680"/>
      <c r="P1680" s="20"/>
      <c r="Q1680" s="20"/>
      <c r="R1680" s="20"/>
      <c r="S1680" s="20"/>
      <c r="T1680" s="20"/>
      <c r="U1680" t="s">
        <v>401</v>
      </c>
    </row>
    <row r="1681" spans="1:21" x14ac:dyDescent="0.25">
      <c r="B1681">
        <v>120</v>
      </c>
      <c r="C1681" t="s">
        <v>2580</v>
      </c>
      <c r="D1681">
        <v>3</v>
      </c>
      <c r="E1681" s="18">
        <v>-300</v>
      </c>
      <c r="G1681" t="s">
        <v>2581</v>
      </c>
      <c r="I1681"/>
      <c r="J1681"/>
      <c r="L1681"/>
      <c r="M1681"/>
      <c r="O1681"/>
      <c r="P1681" s="20"/>
      <c r="Q1681" s="20"/>
      <c r="R1681" s="20"/>
      <c r="S1681" s="20"/>
      <c r="T1681" s="20"/>
      <c r="U1681" t="s">
        <v>401</v>
      </c>
    </row>
    <row r="1682" spans="1:21" x14ac:dyDescent="0.25">
      <c r="B1682">
        <v>120</v>
      </c>
      <c r="C1682" t="s">
        <v>2576</v>
      </c>
      <c r="D1682">
        <v>7</v>
      </c>
      <c r="E1682" s="18">
        <v>-700</v>
      </c>
      <c r="G1682" t="s">
        <v>2577</v>
      </c>
      <c r="I1682"/>
      <c r="J1682"/>
      <c r="L1682"/>
      <c r="M1682"/>
      <c r="O1682"/>
      <c r="P1682" s="20"/>
      <c r="Q1682" s="20"/>
      <c r="R1682" s="20"/>
      <c r="S1682" s="20"/>
      <c r="T1682" s="20"/>
      <c r="U1682" t="s">
        <v>401</v>
      </c>
    </row>
    <row r="1683" spans="1:21" x14ac:dyDescent="0.25">
      <c r="B1683">
        <v>120</v>
      </c>
      <c r="C1683" t="s">
        <v>2592</v>
      </c>
      <c r="D1683">
        <v>4.8449999999999998</v>
      </c>
      <c r="E1683" s="18">
        <v>484.5</v>
      </c>
      <c r="F1683" t="s">
        <v>889</v>
      </c>
      <c r="G1683" t="s">
        <v>2593</v>
      </c>
      <c r="I1683"/>
      <c r="J1683"/>
      <c r="L1683"/>
      <c r="M1683"/>
      <c r="O1683"/>
      <c r="P1683" s="20"/>
      <c r="Q1683" s="20"/>
      <c r="R1683" s="20"/>
      <c r="S1683" s="20"/>
      <c r="T1683" s="20"/>
      <c r="U1683" t="s">
        <v>401</v>
      </c>
    </row>
    <row r="1684" spans="1:21" x14ac:dyDescent="0.25">
      <c r="B1684">
        <v>120</v>
      </c>
      <c r="C1684" t="s">
        <v>2592</v>
      </c>
      <c r="D1684">
        <v>4.8449999999999998</v>
      </c>
      <c r="E1684" s="18">
        <v>-484.5</v>
      </c>
      <c r="F1684" t="s">
        <v>889</v>
      </c>
      <c r="G1684" t="s">
        <v>2593</v>
      </c>
      <c r="I1684"/>
      <c r="J1684"/>
      <c r="L1684"/>
      <c r="M1684"/>
      <c r="O1684"/>
      <c r="P1684" s="20"/>
      <c r="Q1684" s="20"/>
      <c r="R1684" s="20"/>
      <c r="S1684" s="20"/>
      <c r="T1684" s="20"/>
      <c r="U1684" t="s">
        <v>401</v>
      </c>
    </row>
    <row r="1685" spans="1:21" x14ac:dyDescent="0.25">
      <c r="B1685">
        <v>120</v>
      </c>
      <c r="C1685" t="s">
        <v>2585</v>
      </c>
      <c r="D1685">
        <v>8.4149999999999991</v>
      </c>
      <c r="E1685" s="18">
        <v>841.49999999999977</v>
      </c>
      <c r="F1685" t="s">
        <v>889</v>
      </c>
      <c r="G1685" t="s">
        <v>2586</v>
      </c>
      <c r="I1685"/>
      <c r="J1685"/>
      <c r="L1685"/>
      <c r="M1685"/>
      <c r="O1685"/>
      <c r="P1685" s="20"/>
      <c r="Q1685" s="20"/>
      <c r="R1685" s="20"/>
      <c r="S1685" s="20"/>
      <c r="T1685" s="20"/>
      <c r="U1685" t="s">
        <v>401</v>
      </c>
    </row>
    <row r="1686" spans="1:21" x14ac:dyDescent="0.25">
      <c r="B1686">
        <v>120</v>
      </c>
      <c r="C1686" t="s">
        <v>2582</v>
      </c>
      <c r="D1686">
        <v>11.22</v>
      </c>
      <c r="E1686" s="18">
        <v>-1000</v>
      </c>
      <c r="F1686" t="s">
        <v>889</v>
      </c>
      <c r="G1686" t="s">
        <v>2583</v>
      </c>
      <c r="I1686"/>
      <c r="J1686"/>
      <c r="L1686"/>
      <c r="M1686"/>
      <c r="O1686"/>
      <c r="P1686" s="20"/>
      <c r="Q1686" s="20"/>
      <c r="R1686" s="20"/>
      <c r="S1686" s="20"/>
      <c r="T1686" s="20"/>
      <c r="U1686" t="s">
        <v>401</v>
      </c>
    </row>
    <row r="1687" spans="1:21" x14ac:dyDescent="0.25">
      <c r="B1687">
        <v>120</v>
      </c>
      <c r="C1687" t="s">
        <v>2594</v>
      </c>
      <c r="E1687" s="18">
        <v>-300</v>
      </c>
      <c r="G1687" t="s">
        <v>2583</v>
      </c>
      <c r="I1687"/>
      <c r="J1687"/>
      <c r="L1687"/>
      <c r="M1687"/>
      <c r="O1687"/>
      <c r="P1687" s="20"/>
      <c r="Q1687" s="20"/>
      <c r="R1687" s="20"/>
      <c r="S1687" s="20"/>
      <c r="T1687" s="20"/>
      <c r="U1687" t="s">
        <v>401</v>
      </c>
    </row>
    <row r="1688" spans="1:21" x14ac:dyDescent="0.25">
      <c r="B1688">
        <v>120</v>
      </c>
      <c r="C1688" t="s">
        <v>2595</v>
      </c>
      <c r="D1688" t="s">
        <v>442</v>
      </c>
      <c r="E1688" s="18">
        <v>400</v>
      </c>
      <c r="F1688" t="s">
        <v>891</v>
      </c>
      <c r="G1688" t="s">
        <v>442</v>
      </c>
      <c r="I1688"/>
      <c r="J1688"/>
      <c r="L1688"/>
      <c r="M1688"/>
      <c r="O1688"/>
      <c r="P1688" s="20"/>
      <c r="Q1688" s="20"/>
      <c r="R1688" s="20"/>
      <c r="S1688" s="20"/>
      <c r="T1688" s="20"/>
      <c r="U1688" t="s">
        <v>401</v>
      </c>
    </row>
    <row r="1689" spans="1:21" x14ac:dyDescent="0.25">
      <c r="B1689">
        <v>120</v>
      </c>
      <c r="C1689" t="s">
        <v>2596</v>
      </c>
      <c r="E1689" s="18">
        <v>-235.71428571428572</v>
      </c>
      <c r="G1689" t="s">
        <v>442</v>
      </c>
      <c r="I1689"/>
      <c r="J1689"/>
      <c r="L1689"/>
      <c r="M1689"/>
      <c r="O1689"/>
      <c r="P1689" s="20"/>
      <c r="Q1689" s="20"/>
      <c r="R1689" s="20"/>
      <c r="S1689" s="20"/>
      <c r="T1689" s="20"/>
      <c r="U1689" t="s">
        <v>401</v>
      </c>
    </row>
    <row r="1690" spans="1:21" x14ac:dyDescent="0.25">
      <c r="B1690">
        <v>120</v>
      </c>
      <c r="C1690" t="s">
        <v>2597</v>
      </c>
      <c r="D1690">
        <v>5.0999999999999996</v>
      </c>
      <c r="E1690" s="18">
        <v>509.99999999999994</v>
      </c>
      <c r="F1690" t="s">
        <v>889</v>
      </c>
      <c r="G1690" t="s">
        <v>2579</v>
      </c>
      <c r="I1690"/>
      <c r="J1690"/>
      <c r="L1690"/>
      <c r="M1690"/>
      <c r="O1690"/>
      <c r="P1690" s="20"/>
      <c r="Q1690" s="20"/>
      <c r="R1690" s="20"/>
      <c r="S1690" s="20"/>
      <c r="T1690" s="20"/>
      <c r="U1690" t="s">
        <v>401</v>
      </c>
    </row>
    <row r="1691" spans="1:21" x14ac:dyDescent="0.25">
      <c r="A1691" s="3">
        <v>42041</v>
      </c>
      <c r="B1691">
        <v>121</v>
      </c>
      <c r="C1691" t="s">
        <v>2598</v>
      </c>
      <c r="E1691" s="18">
        <v>1.3833333333333637</v>
      </c>
      <c r="F1691" t="s">
        <v>889</v>
      </c>
      <c r="G1691" t="s">
        <v>2599</v>
      </c>
      <c r="I1691"/>
      <c r="J1691"/>
      <c r="L1691"/>
      <c r="M1691"/>
      <c r="O1691"/>
      <c r="P1691" s="20"/>
      <c r="Q1691" s="20"/>
      <c r="R1691" s="20"/>
      <c r="S1691" s="20"/>
      <c r="T1691" s="20"/>
    </row>
    <row r="1692" spans="1:21" x14ac:dyDescent="0.25">
      <c r="A1692" s="3">
        <v>42041</v>
      </c>
      <c r="B1692">
        <v>121</v>
      </c>
      <c r="C1692" t="s">
        <v>2600</v>
      </c>
      <c r="E1692" s="18">
        <v>198.89999999999998</v>
      </c>
      <c r="F1692" t="s">
        <v>889</v>
      </c>
      <c r="G1692" t="s">
        <v>2601</v>
      </c>
      <c r="I1692"/>
      <c r="J1692"/>
      <c r="L1692"/>
      <c r="M1692"/>
      <c r="O1692"/>
      <c r="P1692" s="20"/>
      <c r="Q1692" s="20"/>
      <c r="R1692" s="20"/>
      <c r="S1692" s="20"/>
      <c r="T1692" s="20"/>
    </row>
    <row r="1693" spans="1:21" x14ac:dyDescent="0.25">
      <c r="A1693" s="3">
        <v>42041</v>
      </c>
      <c r="B1693">
        <v>121</v>
      </c>
      <c r="C1693" t="s">
        <v>2602</v>
      </c>
      <c r="E1693" s="18">
        <v>506.2</v>
      </c>
      <c r="F1693" t="s">
        <v>891</v>
      </c>
      <c r="I1693"/>
      <c r="J1693"/>
      <c r="L1693"/>
      <c r="M1693"/>
      <c r="O1693"/>
      <c r="P1693" s="20" t="s">
        <v>401</v>
      </c>
      <c r="Q1693" s="20"/>
      <c r="R1693" s="20"/>
      <c r="S1693" s="20"/>
      <c r="T1693" s="20"/>
    </row>
    <row r="1694" spans="1:21" x14ac:dyDescent="0.25">
      <c r="B1694">
        <v>122</v>
      </c>
      <c r="C1694" t="s">
        <v>2603</v>
      </c>
      <c r="D1694">
        <v>4.5</v>
      </c>
      <c r="E1694" s="18">
        <v>450</v>
      </c>
      <c r="G1694" t="s">
        <v>2604</v>
      </c>
      <c r="I1694"/>
      <c r="J1694"/>
      <c r="L1694"/>
      <c r="M1694"/>
      <c r="O1694"/>
      <c r="P1694" s="20"/>
      <c r="Q1694" s="20"/>
      <c r="R1694" s="20"/>
      <c r="S1694" s="20"/>
      <c r="T1694" s="20"/>
      <c r="U1694" t="s">
        <v>401</v>
      </c>
    </row>
    <row r="1695" spans="1:21" x14ac:dyDescent="0.25">
      <c r="B1695">
        <v>122</v>
      </c>
      <c r="C1695" t="s">
        <v>2603</v>
      </c>
      <c r="D1695">
        <v>4.5</v>
      </c>
      <c r="E1695" s="18">
        <v>-450</v>
      </c>
      <c r="F1695" t="s">
        <v>889</v>
      </c>
      <c r="G1695" t="s">
        <v>2604</v>
      </c>
      <c r="I1695"/>
      <c r="J1695"/>
      <c r="L1695"/>
      <c r="M1695"/>
      <c r="O1695"/>
      <c r="P1695" s="20"/>
      <c r="Q1695" s="20"/>
      <c r="R1695" s="20"/>
      <c r="S1695" s="20"/>
      <c r="T1695" s="20"/>
      <c r="U1695" t="s">
        <v>401</v>
      </c>
    </row>
    <row r="1696" spans="1:21" x14ac:dyDescent="0.25">
      <c r="B1696">
        <v>122</v>
      </c>
      <c r="C1696" t="s">
        <v>1838</v>
      </c>
      <c r="E1696" s="18">
        <v>200</v>
      </c>
      <c r="G1696" t="s">
        <v>442</v>
      </c>
      <c r="I1696"/>
      <c r="J1696"/>
      <c r="L1696"/>
      <c r="M1696"/>
      <c r="O1696"/>
      <c r="P1696" s="20"/>
      <c r="Q1696" s="20"/>
      <c r="R1696" s="20"/>
      <c r="S1696" s="20"/>
      <c r="T1696" s="20"/>
      <c r="U1696" t="s">
        <v>401</v>
      </c>
    </row>
    <row r="1697" spans="1:21" x14ac:dyDescent="0.25">
      <c r="B1697">
        <v>122</v>
      </c>
      <c r="C1697" t="s">
        <v>1071</v>
      </c>
      <c r="E1697" s="18">
        <v>-150</v>
      </c>
      <c r="G1697" t="s">
        <v>442</v>
      </c>
      <c r="I1697"/>
      <c r="J1697"/>
      <c r="L1697"/>
      <c r="M1697"/>
      <c r="O1697"/>
      <c r="P1697" s="20"/>
      <c r="Q1697" s="20"/>
      <c r="R1697" s="20"/>
      <c r="S1697" s="20"/>
      <c r="T1697" s="20"/>
      <c r="U1697" t="s">
        <v>401</v>
      </c>
    </row>
    <row r="1698" spans="1:21" x14ac:dyDescent="0.25">
      <c r="B1698">
        <v>122</v>
      </c>
      <c r="C1698" t="s">
        <v>1072</v>
      </c>
      <c r="E1698" s="18">
        <v>-570.19000000000005</v>
      </c>
      <c r="G1698" t="s">
        <v>442</v>
      </c>
      <c r="I1698"/>
      <c r="J1698"/>
      <c r="L1698"/>
      <c r="M1698"/>
      <c r="O1698"/>
      <c r="P1698" s="20"/>
      <c r="Q1698" s="20"/>
      <c r="R1698" s="20"/>
      <c r="S1698" s="20"/>
      <c r="T1698" s="20"/>
      <c r="U1698" t="s">
        <v>401</v>
      </c>
    </row>
    <row r="1699" spans="1:21" x14ac:dyDescent="0.25">
      <c r="A1699" s="3">
        <v>41803</v>
      </c>
      <c r="B1699" s="36">
        <v>123</v>
      </c>
      <c r="C1699" t="s">
        <v>2605</v>
      </c>
      <c r="D1699">
        <v>5.75</v>
      </c>
      <c r="E1699" s="18">
        <v>575</v>
      </c>
      <c r="G1699" t="s">
        <v>2606</v>
      </c>
      <c r="H1699" s="18">
        <v>575</v>
      </c>
      <c r="I1699" s="3">
        <v>41803</v>
      </c>
      <c r="J1699"/>
      <c r="L1699"/>
      <c r="M1699"/>
      <c r="N1699" s="20"/>
      <c r="O1699" t="s">
        <v>1169</v>
      </c>
      <c r="P1699" s="20"/>
      <c r="Q1699" s="20"/>
      <c r="R1699" s="20"/>
      <c r="S1699" s="20"/>
      <c r="T1699" s="20"/>
    </row>
    <row r="1700" spans="1:21" x14ac:dyDescent="0.25">
      <c r="B1700">
        <v>123</v>
      </c>
      <c r="C1700" t="s">
        <v>2605</v>
      </c>
      <c r="D1700">
        <v>5.8650000000000002</v>
      </c>
      <c r="E1700" s="18">
        <v>598</v>
      </c>
      <c r="F1700" t="s">
        <v>889</v>
      </c>
      <c r="G1700" t="s">
        <v>2606</v>
      </c>
      <c r="I1700"/>
      <c r="J1700"/>
      <c r="L1700"/>
      <c r="M1700"/>
      <c r="O1700"/>
      <c r="P1700" s="20"/>
      <c r="Q1700" s="20"/>
      <c r="R1700" s="20"/>
      <c r="S1700" s="20"/>
      <c r="T1700" s="20"/>
      <c r="U1700" t="s">
        <v>401</v>
      </c>
    </row>
    <row r="1701" spans="1:21" x14ac:dyDescent="0.25">
      <c r="B1701">
        <v>123</v>
      </c>
      <c r="C1701" t="s">
        <v>2584</v>
      </c>
      <c r="E1701" s="18">
        <v>-200</v>
      </c>
      <c r="G1701" t="s">
        <v>442</v>
      </c>
      <c r="I1701"/>
      <c r="J1701"/>
      <c r="L1701"/>
      <c r="M1701"/>
      <c r="O1701"/>
      <c r="P1701" s="20"/>
      <c r="Q1701" s="20"/>
      <c r="R1701" s="20"/>
      <c r="S1701" s="20"/>
      <c r="T1701" s="20"/>
      <c r="U1701" t="s">
        <v>401</v>
      </c>
    </row>
    <row r="1702" spans="1:21" x14ac:dyDescent="0.25">
      <c r="B1702">
        <v>123</v>
      </c>
      <c r="C1702" t="s">
        <v>2607</v>
      </c>
      <c r="D1702">
        <v>3.5</v>
      </c>
      <c r="E1702" s="18">
        <v>350</v>
      </c>
      <c r="G1702" t="s">
        <v>2608</v>
      </c>
      <c r="I1702"/>
      <c r="J1702"/>
      <c r="L1702"/>
      <c r="M1702"/>
      <c r="O1702"/>
      <c r="P1702" s="20"/>
      <c r="Q1702" s="20"/>
      <c r="R1702" s="20"/>
      <c r="S1702" s="20"/>
      <c r="T1702" s="20"/>
      <c r="U1702" t="s">
        <v>401</v>
      </c>
    </row>
    <row r="1703" spans="1:21" x14ac:dyDescent="0.25">
      <c r="B1703">
        <v>123</v>
      </c>
      <c r="C1703" t="s">
        <v>2607</v>
      </c>
      <c r="D1703">
        <v>3.5</v>
      </c>
      <c r="E1703" s="18">
        <v>-350</v>
      </c>
      <c r="G1703" t="s">
        <v>2608</v>
      </c>
      <c r="I1703"/>
      <c r="J1703"/>
      <c r="L1703"/>
      <c r="M1703"/>
      <c r="O1703"/>
      <c r="P1703" s="20"/>
      <c r="Q1703" s="20"/>
      <c r="R1703" s="20"/>
      <c r="S1703" s="20"/>
      <c r="T1703" s="20"/>
      <c r="U1703" t="s">
        <v>401</v>
      </c>
    </row>
    <row r="1704" spans="1:21" x14ac:dyDescent="0.25">
      <c r="B1704">
        <v>123</v>
      </c>
      <c r="C1704" t="s">
        <v>1574</v>
      </c>
      <c r="E1704" s="18">
        <v>-100</v>
      </c>
      <c r="G1704" t="s">
        <v>442</v>
      </c>
      <c r="I1704"/>
      <c r="J1704"/>
      <c r="L1704"/>
      <c r="M1704"/>
      <c r="O1704"/>
      <c r="P1704" s="20"/>
      <c r="Q1704" s="20"/>
      <c r="R1704" s="20"/>
      <c r="S1704" s="20"/>
      <c r="T1704" s="20"/>
      <c r="U1704" t="s">
        <v>401</v>
      </c>
    </row>
    <row r="1705" spans="1:21" x14ac:dyDescent="0.25">
      <c r="B1705">
        <v>123</v>
      </c>
      <c r="C1705" t="s">
        <v>1575</v>
      </c>
      <c r="E1705" s="18">
        <v>-100</v>
      </c>
      <c r="G1705" t="s">
        <v>442</v>
      </c>
      <c r="I1705"/>
      <c r="J1705"/>
      <c r="L1705"/>
      <c r="M1705"/>
      <c r="O1705"/>
      <c r="P1705" s="20"/>
      <c r="Q1705" s="20"/>
      <c r="R1705" s="20"/>
      <c r="S1705" s="20"/>
      <c r="T1705" s="20"/>
      <c r="U1705" t="s">
        <v>401</v>
      </c>
    </row>
    <row r="1706" spans="1:21" x14ac:dyDescent="0.25">
      <c r="B1706">
        <v>123</v>
      </c>
      <c r="C1706" t="s">
        <v>1071</v>
      </c>
      <c r="E1706" s="18">
        <v>-150</v>
      </c>
      <c r="G1706" t="s">
        <v>442</v>
      </c>
      <c r="I1706"/>
      <c r="J1706"/>
      <c r="L1706"/>
      <c r="M1706"/>
      <c r="O1706"/>
      <c r="P1706" s="20"/>
      <c r="Q1706" s="20"/>
      <c r="R1706" s="20"/>
      <c r="S1706" s="20"/>
      <c r="T1706" s="20"/>
      <c r="U1706" t="s">
        <v>401</v>
      </c>
    </row>
    <row r="1707" spans="1:21" x14ac:dyDescent="0.25">
      <c r="B1707">
        <v>123</v>
      </c>
      <c r="C1707" t="s">
        <v>1072</v>
      </c>
      <c r="E1707" s="18">
        <v>-529.46</v>
      </c>
      <c r="G1707" t="s">
        <v>442</v>
      </c>
      <c r="I1707"/>
      <c r="J1707"/>
      <c r="L1707"/>
      <c r="M1707"/>
      <c r="O1707"/>
      <c r="P1707" s="20"/>
      <c r="Q1707" s="20"/>
      <c r="R1707" s="20"/>
      <c r="S1707" s="20"/>
      <c r="T1707" s="20"/>
      <c r="U1707" t="s">
        <v>401</v>
      </c>
    </row>
    <row r="1708" spans="1:21" x14ac:dyDescent="0.25">
      <c r="A1708" s="3">
        <v>41782</v>
      </c>
      <c r="B1708" s="36">
        <v>125</v>
      </c>
      <c r="C1708" t="s">
        <v>2609</v>
      </c>
      <c r="D1708">
        <v>10</v>
      </c>
      <c r="E1708" s="18">
        <v>1000</v>
      </c>
      <c r="G1708" t="s">
        <v>2610</v>
      </c>
      <c r="H1708" s="18">
        <v>1000</v>
      </c>
      <c r="I1708" s="3">
        <v>41782</v>
      </c>
      <c r="J1708"/>
      <c r="L1708"/>
      <c r="M1708"/>
      <c r="N1708" s="20"/>
      <c r="O1708"/>
      <c r="P1708" s="20"/>
      <c r="Q1708" s="20"/>
      <c r="R1708" s="20"/>
      <c r="S1708" s="20"/>
      <c r="T1708" s="20"/>
    </row>
    <row r="1709" spans="1:21" x14ac:dyDescent="0.25">
      <c r="A1709" s="3">
        <v>41796</v>
      </c>
      <c r="B1709" s="36">
        <v>125</v>
      </c>
      <c r="C1709" t="s">
        <v>2611</v>
      </c>
      <c r="D1709">
        <v>8</v>
      </c>
      <c r="E1709" s="18">
        <v>800</v>
      </c>
      <c r="G1709" t="s">
        <v>2612</v>
      </c>
      <c r="H1709" s="18">
        <v>800</v>
      </c>
      <c r="I1709" s="3">
        <v>41796</v>
      </c>
      <c r="J1709"/>
      <c r="L1709"/>
      <c r="M1709"/>
      <c r="N1709" s="20"/>
      <c r="O1709"/>
      <c r="P1709" s="20"/>
      <c r="Q1709" s="20"/>
      <c r="R1709" s="20"/>
      <c r="S1709" s="20"/>
      <c r="T1709" s="20"/>
    </row>
    <row r="1710" spans="1:21" x14ac:dyDescent="0.25">
      <c r="A1710" s="3">
        <v>41796</v>
      </c>
      <c r="B1710" s="36">
        <v>125</v>
      </c>
      <c r="C1710" t="s">
        <v>1071</v>
      </c>
      <c r="E1710" s="18">
        <v>-150</v>
      </c>
      <c r="G1710" t="s">
        <v>442</v>
      </c>
      <c r="H1710" s="18" t="s">
        <v>442</v>
      </c>
      <c r="I1710" s="3" t="s">
        <v>442</v>
      </c>
      <c r="J1710"/>
      <c r="L1710"/>
      <c r="M1710"/>
      <c r="N1710" s="20"/>
      <c r="O1710"/>
      <c r="P1710" s="20"/>
      <c r="Q1710" s="20" t="s">
        <v>401</v>
      </c>
      <c r="R1710" s="20"/>
      <c r="S1710" s="20"/>
      <c r="T1710" s="20"/>
    </row>
    <row r="1711" spans="1:21" x14ac:dyDescent="0.25">
      <c r="A1711" s="3">
        <v>41796</v>
      </c>
      <c r="B1711" s="36">
        <v>125</v>
      </c>
      <c r="C1711" t="s">
        <v>1072</v>
      </c>
      <c r="E1711" s="18">
        <v>-529.46</v>
      </c>
      <c r="G1711" t="s">
        <v>442</v>
      </c>
      <c r="H1711" s="18" t="s">
        <v>442</v>
      </c>
      <c r="I1711" s="3" t="s">
        <v>442</v>
      </c>
      <c r="J1711"/>
      <c r="L1711"/>
      <c r="M1711"/>
      <c r="N1711" s="20"/>
      <c r="O1711" t="s">
        <v>1967</v>
      </c>
      <c r="P1711" s="20"/>
      <c r="Q1711" s="20" t="s">
        <v>401</v>
      </c>
      <c r="R1711" s="20"/>
      <c r="S1711" s="20"/>
      <c r="T1711" s="20"/>
    </row>
    <row r="1712" spans="1:21" x14ac:dyDescent="0.25">
      <c r="A1712" s="3">
        <v>41810</v>
      </c>
      <c r="B1712" s="36">
        <v>125</v>
      </c>
      <c r="C1712" t="s">
        <v>1973</v>
      </c>
      <c r="E1712" s="18">
        <v>-300</v>
      </c>
      <c r="G1712" t="s">
        <v>442</v>
      </c>
      <c r="H1712" s="18" t="s">
        <v>442</v>
      </c>
      <c r="I1712" s="3" t="s">
        <v>442</v>
      </c>
      <c r="J1712"/>
      <c r="L1712"/>
      <c r="M1712"/>
      <c r="N1712" s="20"/>
      <c r="O1712" t="s">
        <v>1974</v>
      </c>
      <c r="P1712" s="20"/>
      <c r="Q1712" s="20" t="s">
        <v>401</v>
      </c>
      <c r="R1712" s="20"/>
      <c r="S1712" s="20"/>
      <c r="T1712" s="20"/>
    </row>
    <row r="1713" spans="1:21" x14ac:dyDescent="0.25">
      <c r="A1713" s="3">
        <v>41810</v>
      </c>
      <c r="B1713" s="36">
        <v>125</v>
      </c>
      <c r="C1713" t="s">
        <v>2613</v>
      </c>
      <c r="D1713">
        <v>5.25</v>
      </c>
      <c r="E1713" s="18">
        <v>525</v>
      </c>
      <c r="G1713" t="s">
        <v>2614</v>
      </c>
      <c r="H1713" s="18">
        <v>525</v>
      </c>
      <c r="I1713" s="3">
        <v>41810</v>
      </c>
      <c r="J1713"/>
      <c r="L1713"/>
      <c r="M1713"/>
      <c r="N1713" s="20"/>
      <c r="O1713" t="s">
        <v>1169</v>
      </c>
      <c r="P1713" s="20"/>
      <c r="Q1713" s="20"/>
      <c r="R1713" s="20"/>
      <c r="S1713" s="20"/>
      <c r="T1713" s="20"/>
    </row>
    <row r="1714" spans="1:21" x14ac:dyDescent="0.25">
      <c r="A1714" s="3">
        <v>41817</v>
      </c>
      <c r="B1714" s="36">
        <v>125</v>
      </c>
      <c r="C1714" t="s">
        <v>1838</v>
      </c>
      <c r="E1714" s="18">
        <v>200</v>
      </c>
      <c r="G1714" t="s">
        <v>442</v>
      </c>
      <c r="H1714" s="18" t="s">
        <v>442</v>
      </c>
      <c r="I1714" s="3" t="s">
        <v>442</v>
      </c>
      <c r="J1714"/>
      <c r="L1714"/>
      <c r="M1714"/>
      <c r="N1714" s="20"/>
      <c r="O1714"/>
      <c r="P1714" s="20"/>
      <c r="Q1714" s="20"/>
      <c r="R1714" s="20"/>
      <c r="S1714" s="20" t="s">
        <v>401</v>
      </c>
      <c r="T1714" s="20"/>
    </row>
    <row r="1715" spans="1:21" x14ac:dyDescent="0.25">
      <c r="A1715" s="3">
        <v>41817</v>
      </c>
      <c r="B1715" s="36">
        <v>125</v>
      </c>
      <c r="C1715" t="s">
        <v>1574</v>
      </c>
      <c r="E1715" s="18">
        <v>-100</v>
      </c>
      <c r="G1715" t="s">
        <v>442</v>
      </c>
      <c r="H1715" s="18" t="s">
        <v>442</v>
      </c>
      <c r="I1715" s="3" t="s">
        <v>442</v>
      </c>
      <c r="J1715"/>
      <c r="L1715"/>
      <c r="M1715"/>
      <c r="N1715" s="20"/>
      <c r="O1715" t="s">
        <v>1839</v>
      </c>
      <c r="P1715" s="20"/>
      <c r="Q1715" s="20" t="s">
        <v>401</v>
      </c>
      <c r="R1715" s="20"/>
      <c r="S1715" s="20"/>
      <c r="T1715" s="20"/>
    </row>
    <row r="1716" spans="1:21" x14ac:dyDescent="0.25">
      <c r="B1716">
        <v>125</v>
      </c>
      <c r="C1716" t="s">
        <v>2584</v>
      </c>
      <c r="E1716" s="18">
        <v>-200</v>
      </c>
      <c r="G1716" t="s">
        <v>442</v>
      </c>
      <c r="I1716"/>
      <c r="J1716"/>
      <c r="L1716"/>
      <c r="M1716"/>
      <c r="O1716"/>
      <c r="P1716" s="20"/>
      <c r="Q1716" s="20"/>
      <c r="R1716" s="20"/>
      <c r="S1716" s="20"/>
      <c r="T1716" s="20"/>
      <c r="U1716" t="s">
        <v>401</v>
      </c>
    </row>
    <row r="1717" spans="1:21" x14ac:dyDescent="0.25">
      <c r="B1717">
        <v>125</v>
      </c>
      <c r="C1717" t="s">
        <v>1575</v>
      </c>
      <c r="E1717" s="18">
        <v>-100</v>
      </c>
      <c r="G1717" t="s">
        <v>442</v>
      </c>
      <c r="I1717"/>
      <c r="J1717"/>
      <c r="L1717"/>
      <c r="M1717"/>
      <c r="O1717"/>
      <c r="P1717" s="20"/>
      <c r="Q1717" s="20"/>
      <c r="R1717" s="20"/>
      <c r="S1717" s="20"/>
      <c r="T1717" s="20"/>
      <c r="U1717" t="s">
        <v>401</v>
      </c>
    </row>
    <row r="1718" spans="1:21" x14ac:dyDescent="0.25">
      <c r="B1718">
        <v>125</v>
      </c>
      <c r="C1718" t="s">
        <v>2613</v>
      </c>
      <c r="D1718">
        <v>5.3550000000000004</v>
      </c>
      <c r="E1718" s="18">
        <v>546</v>
      </c>
      <c r="F1718" t="s">
        <v>889</v>
      </c>
      <c r="G1718" t="s">
        <v>2614</v>
      </c>
      <c r="I1718"/>
      <c r="J1718"/>
      <c r="L1718"/>
      <c r="M1718"/>
      <c r="O1718"/>
      <c r="P1718" s="20"/>
      <c r="Q1718" s="20"/>
      <c r="R1718" s="20"/>
      <c r="S1718" s="20"/>
      <c r="T1718" s="20"/>
      <c r="U1718" t="s">
        <v>401</v>
      </c>
    </row>
    <row r="1719" spans="1:21" x14ac:dyDescent="0.25">
      <c r="B1719">
        <v>125</v>
      </c>
      <c r="C1719" t="s">
        <v>2609</v>
      </c>
      <c r="D1719">
        <v>9.9450000000000003</v>
      </c>
      <c r="E1719" s="18">
        <v>-1000</v>
      </c>
      <c r="F1719" t="s">
        <v>889</v>
      </c>
      <c r="G1719" t="s">
        <v>2610</v>
      </c>
      <c r="I1719"/>
      <c r="J1719"/>
      <c r="L1719"/>
      <c r="M1719"/>
      <c r="O1719"/>
      <c r="P1719" s="20"/>
      <c r="Q1719" s="20"/>
      <c r="R1719" s="20"/>
      <c r="S1719" s="20"/>
      <c r="T1719" s="20"/>
      <c r="U1719" t="s">
        <v>401</v>
      </c>
    </row>
    <row r="1720" spans="1:21" x14ac:dyDescent="0.25">
      <c r="A1720" s="37">
        <v>41712</v>
      </c>
      <c r="B1720" s="36">
        <v>130</v>
      </c>
      <c r="C1720" s="38" t="s">
        <v>2615</v>
      </c>
      <c r="D1720" s="38"/>
      <c r="E1720" s="39">
        <v>925</v>
      </c>
      <c r="F1720" s="38"/>
      <c r="G1720" t="s">
        <v>2616</v>
      </c>
      <c r="H1720" s="18">
        <v>925</v>
      </c>
      <c r="I1720" s="3">
        <v>41712</v>
      </c>
      <c r="J1720"/>
      <c r="L1720"/>
      <c r="M1720"/>
      <c r="N1720" s="40"/>
      <c r="O1720" s="38"/>
      <c r="P1720" s="20"/>
      <c r="Q1720" s="20"/>
      <c r="R1720" s="20"/>
      <c r="S1720" s="20"/>
      <c r="T1720" s="20"/>
    </row>
    <row r="1721" spans="1:21" x14ac:dyDescent="0.25">
      <c r="A1721" s="3">
        <v>41726</v>
      </c>
      <c r="B1721" s="36">
        <v>130</v>
      </c>
      <c r="C1721" t="s">
        <v>2617</v>
      </c>
      <c r="D1721">
        <v>6.25</v>
      </c>
      <c r="E1721" s="18">
        <v>625</v>
      </c>
      <c r="G1721" t="s">
        <v>2618</v>
      </c>
      <c r="H1721" s="18">
        <v>625</v>
      </c>
      <c r="I1721" s="3">
        <v>41726</v>
      </c>
      <c r="J1721"/>
      <c r="L1721"/>
      <c r="M1721"/>
      <c r="N1721" s="20"/>
      <c r="O1721"/>
      <c r="P1721" s="20"/>
      <c r="Q1721" s="20"/>
      <c r="R1721" s="20"/>
      <c r="S1721" s="20"/>
      <c r="T1721" s="20"/>
    </row>
    <row r="1722" spans="1:21" x14ac:dyDescent="0.25">
      <c r="A1722" s="3">
        <v>41789</v>
      </c>
      <c r="B1722" s="36">
        <v>130</v>
      </c>
      <c r="C1722" t="s">
        <v>2619</v>
      </c>
      <c r="D1722">
        <v>8.5</v>
      </c>
      <c r="E1722" s="18">
        <v>850</v>
      </c>
      <c r="G1722" t="s">
        <v>2620</v>
      </c>
      <c r="H1722" s="18">
        <v>850</v>
      </c>
      <c r="I1722" s="3">
        <v>41789</v>
      </c>
      <c r="J1722"/>
      <c r="L1722"/>
      <c r="M1722"/>
      <c r="N1722" s="20"/>
      <c r="O1722"/>
      <c r="P1722" s="20"/>
      <c r="Q1722" s="20"/>
      <c r="R1722" s="20"/>
      <c r="S1722" s="20"/>
      <c r="T1722" s="20"/>
    </row>
    <row r="1723" spans="1:21" x14ac:dyDescent="0.25">
      <c r="A1723" s="3">
        <v>41796</v>
      </c>
      <c r="B1723" s="36">
        <v>130</v>
      </c>
      <c r="C1723" t="s">
        <v>2619</v>
      </c>
      <c r="D1723">
        <v>-1.87</v>
      </c>
      <c r="E1723" s="18">
        <v>-187</v>
      </c>
      <c r="G1723" t="s">
        <v>2620</v>
      </c>
      <c r="H1723" s="18" t="s">
        <v>442</v>
      </c>
      <c r="I1723" s="3" t="s">
        <v>442</v>
      </c>
      <c r="J1723"/>
      <c r="L1723"/>
      <c r="M1723"/>
      <c r="N1723" s="20"/>
      <c r="O1723" t="s">
        <v>905</v>
      </c>
      <c r="P1723" s="20"/>
      <c r="Q1723" s="20"/>
      <c r="R1723" s="20"/>
      <c r="S1723" s="20"/>
      <c r="T1723" s="20"/>
    </row>
    <row r="1724" spans="1:21" x14ac:dyDescent="0.25">
      <c r="A1724" s="3">
        <v>41796</v>
      </c>
      <c r="B1724" s="36">
        <v>130</v>
      </c>
      <c r="C1724" t="s">
        <v>2621</v>
      </c>
      <c r="D1724">
        <v>4</v>
      </c>
      <c r="E1724" s="18">
        <v>400</v>
      </c>
      <c r="G1724" t="s">
        <v>2622</v>
      </c>
      <c r="H1724" s="18">
        <v>400</v>
      </c>
      <c r="I1724" s="3">
        <v>41796</v>
      </c>
      <c r="J1724"/>
      <c r="L1724"/>
      <c r="M1724"/>
      <c r="N1724" s="20"/>
      <c r="O1724" t="s">
        <v>1555</v>
      </c>
      <c r="P1724" s="20"/>
      <c r="Q1724" s="20"/>
      <c r="R1724" s="20"/>
      <c r="S1724" s="20"/>
      <c r="T1724" s="20"/>
    </row>
    <row r="1725" spans="1:21" x14ac:dyDescent="0.25">
      <c r="A1725" s="3">
        <v>41796</v>
      </c>
      <c r="B1725" s="36">
        <v>130</v>
      </c>
      <c r="C1725" t="s">
        <v>2623</v>
      </c>
      <c r="D1725">
        <v>4.25</v>
      </c>
      <c r="E1725" s="18">
        <v>425</v>
      </c>
      <c r="G1725" t="s">
        <v>2624</v>
      </c>
      <c r="H1725" s="18">
        <v>425</v>
      </c>
      <c r="I1725" s="3">
        <v>41796</v>
      </c>
      <c r="J1725"/>
      <c r="L1725"/>
      <c r="M1725"/>
      <c r="N1725" s="20"/>
      <c r="O1725" t="s">
        <v>1555</v>
      </c>
      <c r="P1725" s="20"/>
      <c r="Q1725" s="20"/>
      <c r="R1725" s="20"/>
      <c r="S1725" s="20"/>
      <c r="T1725" s="20"/>
    </row>
    <row r="1726" spans="1:21" x14ac:dyDescent="0.25">
      <c r="A1726" s="3">
        <v>41796</v>
      </c>
      <c r="B1726" s="36">
        <v>130</v>
      </c>
      <c r="C1726" t="s">
        <v>2625</v>
      </c>
      <c r="D1726">
        <v>10</v>
      </c>
      <c r="E1726" s="18">
        <v>1000</v>
      </c>
      <c r="G1726" t="s">
        <v>2626</v>
      </c>
      <c r="H1726" s="18">
        <v>1000</v>
      </c>
      <c r="I1726" s="3">
        <v>41796</v>
      </c>
      <c r="J1726"/>
      <c r="L1726"/>
      <c r="M1726"/>
      <c r="N1726" s="20"/>
      <c r="O1726" t="s">
        <v>1555</v>
      </c>
      <c r="P1726" s="20"/>
      <c r="Q1726" s="20"/>
      <c r="R1726" s="20"/>
      <c r="S1726" s="20"/>
      <c r="T1726" s="20"/>
    </row>
    <row r="1727" spans="1:21" x14ac:dyDescent="0.25">
      <c r="A1727" s="3">
        <v>41796</v>
      </c>
      <c r="B1727" s="36">
        <v>130</v>
      </c>
      <c r="C1727" t="s">
        <v>2627</v>
      </c>
      <c r="D1727">
        <v>4</v>
      </c>
      <c r="E1727" s="18">
        <v>400</v>
      </c>
      <c r="G1727" t="s">
        <v>2628</v>
      </c>
      <c r="H1727" s="18">
        <v>400</v>
      </c>
      <c r="I1727" s="3">
        <v>41796</v>
      </c>
      <c r="J1727"/>
      <c r="L1727"/>
      <c r="M1727"/>
      <c r="N1727" s="20"/>
      <c r="O1727" t="s">
        <v>1555</v>
      </c>
      <c r="P1727" s="20"/>
      <c r="Q1727" s="20"/>
      <c r="R1727" s="20"/>
      <c r="S1727" s="20"/>
      <c r="T1727" s="20"/>
    </row>
    <row r="1728" spans="1:21" x14ac:dyDescent="0.25">
      <c r="A1728" s="3">
        <v>41803</v>
      </c>
      <c r="B1728" s="36">
        <v>130</v>
      </c>
      <c r="C1728" t="s">
        <v>2629</v>
      </c>
      <c r="D1728">
        <v>6.25</v>
      </c>
      <c r="E1728" s="18">
        <v>625</v>
      </c>
      <c r="G1728" t="s">
        <v>2630</v>
      </c>
      <c r="H1728" s="18">
        <v>625</v>
      </c>
      <c r="I1728" s="3">
        <v>41803</v>
      </c>
      <c r="J1728"/>
      <c r="L1728"/>
      <c r="M1728"/>
      <c r="N1728" s="20"/>
      <c r="O1728" t="s">
        <v>1169</v>
      </c>
      <c r="P1728" s="20"/>
      <c r="Q1728" s="20"/>
      <c r="R1728" s="20"/>
      <c r="S1728" s="20"/>
      <c r="T1728" s="20"/>
    </row>
    <row r="1729" spans="1:21" x14ac:dyDescent="0.25">
      <c r="A1729" s="3">
        <v>41803</v>
      </c>
      <c r="B1729" s="36">
        <v>130</v>
      </c>
      <c r="C1729" t="s">
        <v>2631</v>
      </c>
      <c r="D1729">
        <v>2.8050000000000002</v>
      </c>
      <c r="E1729" s="18">
        <v>280.5</v>
      </c>
      <c r="G1729" t="s">
        <v>2632</v>
      </c>
      <c r="H1729" s="18">
        <v>280.5</v>
      </c>
      <c r="I1729" s="3">
        <v>41803</v>
      </c>
      <c r="J1729"/>
      <c r="L1729"/>
      <c r="M1729"/>
      <c r="N1729" s="20"/>
      <c r="O1729" t="s">
        <v>931</v>
      </c>
      <c r="P1729" s="20"/>
      <c r="Q1729" s="20"/>
      <c r="R1729" s="20"/>
      <c r="S1729" s="20"/>
      <c r="T1729" s="20"/>
    </row>
    <row r="1730" spans="1:21" x14ac:dyDescent="0.25">
      <c r="A1730" s="3">
        <v>41803</v>
      </c>
      <c r="B1730" s="36">
        <v>130</v>
      </c>
      <c r="C1730" t="s">
        <v>2633</v>
      </c>
      <c r="D1730">
        <v>4</v>
      </c>
      <c r="E1730" s="18">
        <v>400</v>
      </c>
      <c r="G1730" t="s">
        <v>2634</v>
      </c>
      <c r="H1730" s="18">
        <v>400</v>
      </c>
      <c r="I1730" s="3">
        <v>41803</v>
      </c>
      <c r="J1730"/>
      <c r="L1730"/>
      <c r="M1730"/>
      <c r="N1730" s="20"/>
      <c r="O1730" t="s">
        <v>1169</v>
      </c>
      <c r="P1730" s="20"/>
      <c r="Q1730" s="20"/>
      <c r="R1730" s="20"/>
      <c r="S1730" s="20"/>
      <c r="T1730" s="20"/>
    </row>
    <row r="1731" spans="1:21" x14ac:dyDescent="0.25">
      <c r="A1731" s="3">
        <v>41831</v>
      </c>
      <c r="B1731" s="36">
        <v>130</v>
      </c>
      <c r="C1731" t="s">
        <v>2635</v>
      </c>
      <c r="D1731">
        <v>7.65</v>
      </c>
      <c r="E1731" s="18">
        <v>765</v>
      </c>
      <c r="G1731" t="s">
        <v>2636</v>
      </c>
      <c r="H1731" s="18">
        <v>765</v>
      </c>
      <c r="I1731" s="3">
        <v>41831</v>
      </c>
      <c r="J1731"/>
      <c r="L1731"/>
      <c r="M1731"/>
      <c r="N1731" s="20"/>
      <c r="O1731" t="s">
        <v>1009</v>
      </c>
      <c r="P1731" s="20"/>
      <c r="Q1731" s="20"/>
      <c r="R1731" s="20"/>
      <c r="S1731" s="20"/>
      <c r="T1731" s="20"/>
    </row>
    <row r="1732" spans="1:21" x14ac:dyDescent="0.25">
      <c r="A1732" s="3">
        <v>41831</v>
      </c>
      <c r="B1732" s="36">
        <v>130</v>
      </c>
      <c r="C1732" t="s">
        <v>2637</v>
      </c>
      <c r="E1732" s="18">
        <v>-300</v>
      </c>
      <c r="G1732" t="s">
        <v>2622</v>
      </c>
      <c r="H1732" s="18" t="s">
        <v>442</v>
      </c>
      <c r="I1732" s="3" t="s">
        <v>442</v>
      </c>
      <c r="J1732"/>
      <c r="L1732"/>
      <c r="M1732"/>
      <c r="N1732" s="20"/>
      <c r="O1732" t="s">
        <v>2638</v>
      </c>
      <c r="P1732" s="20"/>
      <c r="Q1732" s="20"/>
      <c r="R1732" s="20"/>
      <c r="S1732" s="20"/>
      <c r="T1732" s="20"/>
    </row>
    <row r="1733" spans="1:21" x14ac:dyDescent="0.25">
      <c r="B1733">
        <v>130</v>
      </c>
      <c r="C1733" t="s">
        <v>2635</v>
      </c>
      <c r="D1733">
        <v>7.65</v>
      </c>
      <c r="E1733" s="18">
        <v>-765</v>
      </c>
      <c r="F1733" t="s">
        <v>889</v>
      </c>
      <c r="G1733" t="s">
        <v>2636</v>
      </c>
      <c r="I1733"/>
      <c r="J1733"/>
      <c r="L1733"/>
      <c r="M1733"/>
      <c r="O1733"/>
      <c r="P1733" s="20"/>
      <c r="Q1733" s="20"/>
      <c r="R1733" s="20"/>
      <c r="S1733" s="20"/>
      <c r="T1733" s="20"/>
      <c r="U1733" t="s">
        <v>401</v>
      </c>
    </row>
    <row r="1734" spans="1:21" x14ac:dyDescent="0.25">
      <c r="B1734">
        <v>130</v>
      </c>
      <c r="C1734" t="s">
        <v>2629</v>
      </c>
      <c r="D1734">
        <v>6.25</v>
      </c>
      <c r="E1734" s="18">
        <v>-625</v>
      </c>
      <c r="G1734" t="s">
        <v>2630</v>
      </c>
      <c r="I1734"/>
      <c r="J1734"/>
      <c r="L1734"/>
      <c r="M1734"/>
      <c r="O1734"/>
      <c r="P1734" s="20"/>
      <c r="Q1734" s="20"/>
      <c r="R1734" s="20"/>
      <c r="S1734" s="20"/>
      <c r="T1734" s="20"/>
      <c r="U1734" t="s">
        <v>401</v>
      </c>
    </row>
    <row r="1735" spans="1:21" x14ac:dyDescent="0.25">
      <c r="B1735">
        <v>130</v>
      </c>
      <c r="C1735" t="s">
        <v>2623</v>
      </c>
      <c r="D1735">
        <v>4.25</v>
      </c>
      <c r="E1735" s="18">
        <v>-425</v>
      </c>
      <c r="G1735" t="s">
        <v>2624</v>
      </c>
      <c r="I1735"/>
      <c r="J1735"/>
      <c r="L1735"/>
      <c r="M1735"/>
      <c r="O1735"/>
      <c r="P1735" s="20"/>
      <c r="Q1735" s="20"/>
      <c r="R1735" s="20"/>
      <c r="S1735" s="20"/>
      <c r="T1735" s="20"/>
      <c r="U1735" t="s">
        <v>401</v>
      </c>
    </row>
    <row r="1736" spans="1:21" x14ac:dyDescent="0.25">
      <c r="B1736">
        <v>130</v>
      </c>
      <c r="C1736" t="s">
        <v>2625</v>
      </c>
      <c r="D1736">
        <v>10</v>
      </c>
      <c r="E1736" s="18">
        <v>-1000</v>
      </c>
      <c r="G1736" t="s">
        <v>2626</v>
      </c>
      <c r="I1736"/>
      <c r="J1736"/>
      <c r="L1736"/>
      <c r="M1736"/>
      <c r="O1736"/>
      <c r="P1736" s="20"/>
      <c r="Q1736" s="20"/>
      <c r="R1736" s="20"/>
      <c r="S1736" s="20"/>
      <c r="T1736" s="20"/>
      <c r="U1736" t="s">
        <v>401</v>
      </c>
    </row>
    <row r="1737" spans="1:21" x14ac:dyDescent="0.25">
      <c r="B1737">
        <v>130</v>
      </c>
      <c r="C1737" t="s">
        <v>2639</v>
      </c>
      <c r="E1737" s="18">
        <v>-300</v>
      </c>
      <c r="G1737" t="s">
        <v>2634</v>
      </c>
      <c r="I1737"/>
      <c r="J1737"/>
      <c r="L1737"/>
      <c r="M1737"/>
      <c r="O1737"/>
      <c r="P1737" s="20"/>
      <c r="Q1737" s="20"/>
      <c r="R1737" s="20"/>
      <c r="S1737" s="20"/>
      <c r="T1737" s="20"/>
      <c r="U1737" t="s">
        <v>401</v>
      </c>
    </row>
    <row r="1738" spans="1:21" x14ac:dyDescent="0.25">
      <c r="B1738">
        <v>130</v>
      </c>
      <c r="C1738" t="s">
        <v>2627</v>
      </c>
      <c r="D1738">
        <v>4</v>
      </c>
      <c r="E1738" s="18">
        <v>-400</v>
      </c>
      <c r="G1738" t="s">
        <v>2628</v>
      </c>
      <c r="I1738"/>
      <c r="J1738"/>
      <c r="L1738"/>
      <c r="M1738"/>
      <c r="O1738"/>
      <c r="P1738" s="20"/>
      <c r="Q1738" s="20"/>
      <c r="R1738" s="20"/>
      <c r="S1738" s="20"/>
      <c r="T1738" s="20"/>
      <c r="U1738" t="s">
        <v>401</v>
      </c>
    </row>
    <row r="1739" spans="1:21" x14ac:dyDescent="0.25">
      <c r="A1739" s="3">
        <v>41782</v>
      </c>
      <c r="B1739" s="36">
        <v>133</v>
      </c>
      <c r="C1739" t="s">
        <v>2640</v>
      </c>
      <c r="D1739">
        <v>5.5</v>
      </c>
      <c r="E1739" s="18">
        <v>687.5</v>
      </c>
      <c r="G1739" t="s">
        <v>2641</v>
      </c>
      <c r="H1739" s="18">
        <v>687.5</v>
      </c>
      <c r="I1739" s="3">
        <v>41782</v>
      </c>
      <c r="J1739"/>
      <c r="L1739"/>
      <c r="M1739"/>
      <c r="N1739" s="20"/>
      <c r="O1739" t="s">
        <v>1158</v>
      </c>
      <c r="P1739" s="20"/>
      <c r="Q1739" s="20"/>
      <c r="R1739" s="20"/>
      <c r="S1739" s="20"/>
      <c r="T1739" s="20"/>
    </row>
    <row r="1740" spans="1:21" x14ac:dyDescent="0.25">
      <c r="A1740" s="3">
        <v>41803</v>
      </c>
      <c r="B1740" s="36">
        <v>133</v>
      </c>
      <c r="C1740" t="s">
        <v>2642</v>
      </c>
      <c r="D1740">
        <v>9.9450000000000003</v>
      </c>
      <c r="E1740" s="18">
        <v>1243.125</v>
      </c>
      <c r="G1740" t="s">
        <v>2643</v>
      </c>
      <c r="H1740" s="18">
        <v>1243.125</v>
      </c>
      <c r="I1740" s="3">
        <v>41803</v>
      </c>
      <c r="J1740"/>
      <c r="L1740"/>
      <c r="M1740"/>
      <c r="N1740" s="20"/>
      <c r="O1740" t="s">
        <v>2644</v>
      </c>
      <c r="P1740" s="20"/>
      <c r="Q1740" s="20"/>
      <c r="R1740" s="20"/>
      <c r="S1740" s="20"/>
      <c r="T1740" s="20"/>
    </row>
    <row r="1741" spans="1:21" x14ac:dyDescent="0.25">
      <c r="A1741" s="3">
        <v>41810</v>
      </c>
      <c r="B1741" s="36">
        <v>133</v>
      </c>
      <c r="C1741" t="s">
        <v>2645</v>
      </c>
      <c r="D1741">
        <v>10</v>
      </c>
      <c r="E1741" s="18">
        <v>1250</v>
      </c>
      <c r="G1741" t="s">
        <v>2646</v>
      </c>
      <c r="H1741" s="18">
        <v>1250</v>
      </c>
      <c r="I1741" s="3">
        <v>41810</v>
      </c>
      <c r="J1741"/>
      <c r="L1741"/>
      <c r="M1741"/>
      <c r="N1741" s="20"/>
      <c r="O1741" t="s">
        <v>931</v>
      </c>
      <c r="P1741" s="20"/>
      <c r="Q1741" s="20"/>
      <c r="R1741" s="20"/>
      <c r="S1741" s="20"/>
      <c r="T1741" s="20"/>
    </row>
    <row r="1742" spans="1:21" x14ac:dyDescent="0.25">
      <c r="A1742" s="3">
        <v>41810</v>
      </c>
      <c r="B1742" s="36">
        <v>133</v>
      </c>
      <c r="C1742" t="s">
        <v>926</v>
      </c>
      <c r="E1742" s="18">
        <v>281.25</v>
      </c>
      <c r="G1742" t="s">
        <v>442</v>
      </c>
      <c r="H1742" s="18" t="s">
        <v>442</v>
      </c>
      <c r="I1742" s="3" t="s">
        <v>442</v>
      </c>
      <c r="J1742"/>
      <c r="L1742"/>
      <c r="M1742"/>
      <c r="N1742" s="40" t="s">
        <v>401</v>
      </c>
      <c r="O1742"/>
      <c r="P1742" s="20"/>
      <c r="Q1742" s="20"/>
      <c r="R1742" s="20"/>
      <c r="S1742" s="20"/>
      <c r="T1742" s="20"/>
    </row>
    <row r="1743" spans="1:21" x14ac:dyDescent="0.25">
      <c r="A1743" s="3">
        <v>41817</v>
      </c>
      <c r="B1743" s="36">
        <v>133</v>
      </c>
      <c r="C1743" t="s">
        <v>2647</v>
      </c>
      <c r="D1743">
        <v>3.75</v>
      </c>
      <c r="E1743" s="18">
        <v>375</v>
      </c>
      <c r="G1743" t="s">
        <v>2648</v>
      </c>
      <c r="H1743" s="18">
        <v>375</v>
      </c>
      <c r="I1743" s="3">
        <v>41817</v>
      </c>
      <c r="J1743"/>
      <c r="L1743"/>
      <c r="M1743"/>
      <c r="N1743" s="20"/>
      <c r="O1743" t="s">
        <v>905</v>
      </c>
      <c r="P1743" s="20"/>
      <c r="Q1743" s="20"/>
      <c r="R1743" s="20"/>
      <c r="S1743" s="20"/>
      <c r="T1743" s="20"/>
    </row>
    <row r="1744" spans="1:21" x14ac:dyDescent="0.25">
      <c r="A1744" s="3">
        <v>41817</v>
      </c>
      <c r="B1744" s="36">
        <v>133</v>
      </c>
      <c r="C1744" t="s">
        <v>2649</v>
      </c>
      <c r="E1744" s="18">
        <v>173.63</v>
      </c>
      <c r="H1744" s="18" t="s">
        <v>442</v>
      </c>
      <c r="I1744" s="3" t="s">
        <v>442</v>
      </c>
      <c r="J1744"/>
      <c r="L1744"/>
      <c r="M1744"/>
      <c r="N1744" s="20"/>
      <c r="O1744"/>
      <c r="P1744" s="20" t="s">
        <v>401</v>
      </c>
      <c r="Q1744" s="20"/>
      <c r="R1744" s="20"/>
      <c r="S1744" s="20"/>
      <c r="T1744" s="20"/>
    </row>
    <row r="1745" spans="1:20" x14ac:dyDescent="0.25">
      <c r="A1745" s="3">
        <v>41817</v>
      </c>
      <c r="B1745" s="36">
        <v>133</v>
      </c>
      <c r="C1745" t="s">
        <v>2650</v>
      </c>
      <c r="E1745" s="18">
        <v>-240.55</v>
      </c>
      <c r="G1745" t="s">
        <v>442</v>
      </c>
      <c r="H1745" s="18" t="s">
        <v>442</v>
      </c>
      <c r="I1745" s="3" t="s">
        <v>442</v>
      </c>
      <c r="J1745"/>
      <c r="L1745"/>
      <c r="M1745"/>
      <c r="N1745" s="20"/>
      <c r="O1745" t="s">
        <v>2651</v>
      </c>
      <c r="P1745" s="20"/>
      <c r="Q1745" s="20" t="s">
        <v>401</v>
      </c>
      <c r="R1745" s="20"/>
      <c r="S1745" s="20"/>
      <c r="T1745" s="20"/>
    </row>
    <row r="1746" spans="1:20" x14ac:dyDescent="0.25">
      <c r="A1746" s="3">
        <v>41824</v>
      </c>
      <c r="B1746" s="36">
        <v>133</v>
      </c>
      <c r="C1746" t="s">
        <v>2652</v>
      </c>
      <c r="D1746">
        <v>8.5</v>
      </c>
      <c r="E1746" s="18">
        <v>850</v>
      </c>
      <c r="G1746" t="s">
        <v>2653</v>
      </c>
      <c r="H1746" s="18">
        <v>850</v>
      </c>
      <c r="I1746" s="3">
        <v>41824</v>
      </c>
      <c r="J1746"/>
      <c r="L1746"/>
      <c r="M1746"/>
      <c r="N1746" s="20"/>
      <c r="O1746" t="s">
        <v>917</v>
      </c>
      <c r="P1746" s="20"/>
      <c r="Q1746" s="20"/>
      <c r="R1746" s="20"/>
      <c r="S1746" s="20"/>
      <c r="T1746" s="20"/>
    </row>
    <row r="1747" spans="1:20" x14ac:dyDescent="0.25">
      <c r="A1747" s="3">
        <v>41824</v>
      </c>
      <c r="B1747" s="36">
        <v>133</v>
      </c>
      <c r="C1747" t="s">
        <v>1486</v>
      </c>
      <c r="E1747" s="18">
        <v>-216.495</v>
      </c>
      <c r="G1747" t="s">
        <v>442</v>
      </c>
      <c r="H1747" s="18" t="s">
        <v>442</v>
      </c>
      <c r="I1747" s="3" t="s">
        <v>442</v>
      </c>
      <c r="J1747"/>
      <c r="L1747"/>
      <c r="M1747"/>
      <c r="N1747" s="20"/>
      <c r="O1747" t="s">
        <v>2654</v>
      </c>
      <c r="P1747" s="20"/>
      <c r="Q1747" s="20" t="s">
        <v>401</v>
      </c>
      <c r="R1747" s="20"/>
      <c r="S1747" s="20"/>
      <c r="T1747" s="20"/>
    </row>
    <row r="1748" spans="1:20" x14ac:dyDescent="0.25">
      <c r="A1748" s="3">
        <v>41824</v>
      </c>
      <c r="B1748" s="36">
        <v>133</v>
      </c>
      <c r="C1748" t="s">
        <v>2655</v>
      </c>
      <c r="D1748">
        <v>10</v>
      </c>
      <c r="E1748" s="18">
        <v>1000</v>
      </c>
      <c r="G1748" t="s">
        <v>2656</v>
      </c>
      <c r="H1748" s="18">
        <v>1000</v>
      </c>
      <c r="I1748" s="3">
        <v>41824</v>
      </c>
      <c r="J1748"/>
      <c r="L1748"/>
      <c r="M1748"/>
      <c r="N1748" s="20"/>
      <c r="O1748" t="s">
        <v>917</v>
      </c>
      <c r="P1748" s="20"/>
      <c r="Q1748" s="20"/>
      <c r="R1748" s="20"/>
      <c r="S1748" s="20"/>
      <c r="T1748" s="20"/>
    </row>
    <row r="1749" spans="1:20" x14ac:dyDescent="0.25">
      <c r="A1749" s="3">
        <v>41831</v>
      </c>
      <c r="B1749" s="36">
        <v>133</v>
      </c>
      <c r="C1749" t="s">
        <v>2657</v>
      </c>
      <c r="D1749">
        <v>5.75</v>
      </c>
      <c r="E1749" s="18">
        <v>575</v>
      </c>
      <c r="G1749" t="s">
        <v>2658</v>
      </c>
      <c r="H1749" s="18">
        <v>575</v>
      </c>
      <c r="I1749" s="3">
        <v>41831</v>
      </c>
      <c r="J1749"/>
      <c r="L1749"/>
      <c r="M1749"/>
      <c r="N1749" s="20"/>
      <c r="O1749" t="s">
        <v>931</v>
      </c>
      <c r="P1749" s="20"/>
      <c r="Q1749" s="20"/>
      <c r="R1749" s="20"/>
      <c r="S1749" s="20"/>
      <c r="T1749" s="20"/>
    </row>
    <row r="1750" spans="1:20" x14ac:dyDescent="0.25">
      <c r="A1750" s="3">
        <v>41831</v>
      </c>
      <c r="B1750" s="36">
        <v>133</v>
      </c>
      <c r="C1750" t="s">
        <v>1845</v>
      </c>
      <c r="E1750" s="18">
        <v>-162.95322580000001</v>
      </c>
      <c r="G1750" t="s">
        <v>442</v>
      </c>
      <c r="H1750" s="18" t="s">
        <v>442</v>
      </c>
      <c r="I1750" s="3" t="s">
        <v>442</v>
      </c>
      <c r="J1750"/>
      <c r="L1750"/>
      <c r="M1750"/>
      <c r="N1750" s="20"/>
      <c r="O1750" t="s">
        <v>1090</v>
      </c>
      <c r="P1750" s="20"/>
      <c r="Q1750" s="20" t="s">
        <v>401</v>
      </c>
      <c r="R1750" s="20"/>
      <c r="S1750" s="20"/>
      <c r="T1750" s="20"/>
    </row>
    <row r="1751" spans="1:20" x14ac:dyDescent="0.25">
      <c r="A1751" s="3">
        <v>41838</v>
      </c>
      <c r="B1751" s="36">
        <v>133</v>
      </c>
      <c r="C1751" t="s">
        <v>2659</v>
      </c>
      <c r="E1751" s="18">
        <v>10.85</v>
      </c>
      <c r="H1751" s="18" t="s">
        <v>442</v>
      </c>
      <c r="I1751" s="3" t="s">
        <v>442</v>
      </c>
      <c r="J1751"/>
      <c r="L1751"/>
      <c r="M1751"/>
      <c r="N1751" s="20"/>
      <c r="O1751"/>
      <c r="P1751" s="20" t="s">
        <v>401</v>
      </c>
      <c r="Q1751" s="20"/>
      <c r="R1751" s="20"/>
      <c r="S1751" s="20"/>
      <c r="T1751" s="20"/>
    </row>
    <row r="1752" spans="1:20" x14ac:dyDescent="0.25">
      <c r="A1752" s="3">
        <v>41838</v>
      </c>
      <c r="B1752" s="36">
        <v>133</v>
      </c>
      <c r="C1752" t="s">
        <v>2660</v>
      </c>
      <c r="D1752">
        <v>2.04</v>
      </c>
      <c r="E1752" s="18">
        <v>204</v>
      </c>
      <c r="G1752" t="s">
        <v>2661</v>
      </c>
      <c r="H1752" s="18">
        <v>204</v>
      </c>
      <c r="I1752" s="3">
        <v>41838</v>
      </c>
      <c r="J1752"/>
      <c r="L1752"/>
      <c r="M1752"/>
      <c r="N1752" s="20"/>
      <c r="O1752"/>
      <c r="P1752" s="20"/>
      <c r="Q1752" s="20"/>
      <c r="R1752" s="20"/>
      <c r="S1752" s="20"/>
      <c r="T1752" s="20"/>
    </row>
    <row r="1753" spans="1:20" x14ac:dyDescent="0.25">
      <c r="A1753" s="3">
        <v>41838</v>
      </c>
      <c r="B1753" s="36">
        <v>133</v>
      </c>
      <c r="C1753" t="s">
        <v>946</v>
      </c>
      <c r="E1753" s="18">
        <v>307.5</v>
      </c>
      <c r="G1753" t="s">
        <v>442</v>
      </c>
      <c r="H1753" s="18" t="s">
        <v>442</v>
      </c>
      <c r="I1753" s="3" t="s">
        <v>442</v>
      </c>
      <c r="J1753"/>
      <c r="L1753"/>
      <c r="M1753"/>
      <c r="N1753" s="20" t="s">
        <v>401</v>
      </c>
      <c r="O1753"/>
      <c r="P1753" s="20"/>
      <c r="Q1753" s="20"/>
      <c r="R1753" s="20"/>
      <c r="S1753" s="20"/>
      <c r="T1753" s="20"/>
    </row>
    <row r="1754" spans="1:20" x14ac:dyDescent="0.25">
      <c r="A1754" s="3">
        <v>41838</v>
      </c>
      <c r="B1754" s="36">
        <v>133</v>
      </c>
      <c r="C1754" t="s">
        <v>2662</v>
      </c>
      <c r="E1754" s="18">
        <v>75</v>
      </c>
      <c r="G1754" t="s">
        <v>442</v>
      </c>
      <c r="H1754" s="18" t="s">
        <v>442</v>
      </c>
      <c r="I1754" s="3" t="s">
        <v>442</v>
      </c>
      <c r="J1754"/>
      <c r="L1754"/>
      <c r="M1754"/>
      <c r="N1754" s="20"/>
      <c r="O1754"/>
      <c r="P1754" s="20" t="s">
        <v>401</v>
      </c>
      <c r="Q1754" s="20"/>
      <c r="R1754" s="20"/>
      <c r="S1754" s="20"/>
      <c r="T1754" s="20"/>
    </row>
    <row r="1755" spans="1:20" x14ac:dyDescent="0.25">
      <c r="A1755" s="3">
        <v>41838</v>
      </c>
      <c r="B1755" s="36">
        <v>133</v>
      </c>
      <c r="C1755" t="s">
        <v>1482</v>
      </c>
      <c r="E1755" s="18">
        <v>-162.95322580000001</v>
      </c>
      <c r="G1755" t="s">
        <v>442</v>
      </c>
      <c r="H1755" s="18" t="s">
        <v>442</v>
      </c>
      <c r="I1755" s="3" t="s">
        <v>442</v>
      </c>
      <c r="J1755"/>
      <c r="L1755"/>
      <c r="M1755"/>
      <c r="N1755" s="20"/>
      <c r="O1755" t="s">
        <v>1219</v>
      </c>
      <c r="P1755" s="20"/>
      <c r="Q1755" s="20" t="s">
        <v>401</v>
      </c>
      <c r="R1755" s="20"/>
      <c r="S1755" s="20"/>
      <c r="T1755" s="20"/>
    </row>
    <row r="1756" spans="1:20" x14ac:dyDescent="0.25">
      <c r="A1756" s="3">
        <v>41845</v>
      </c>
      <c r="B1756" s="36">
        <v>133</v>
      </c>
      <c r="C1756" t="s">
        <v>941</v>
      </c>
      <c r="E1756" s="18">
        <v>400.65</v>
      </c>
      <c r="H1756" s="18" t="s">
        <v>442</v>
      </c>
      <c r="I1756" s="3" t="s">
        <v>442</v>
      </c>
      <c r="J1756"/>
      <c r="L1756"/>
      <c r="M1756"/>
      <c r="N1756" s="20"/>
      <c r="O1756"/>
      <c r="P1756" s="20" t="s">
        <v>401</v>
      </c>
      <c r="Q1756" s="20"/>
      <c r="R1756" s="20"/>
      <c r="S1756" s="20"/>
      <c r="T1756" s="20"/>
    </row>
    <row r="1757" spans="1:20" x14ac:dyDescent="0.25">
      <c r="A1757" s="3">
        <v>41845</v>
      </c>
      <c r="B1757" s="36">
        <v>133</v>
      </c>
      <c r="C1757" t="s">
        <v>2663</v>
      </c>
      <c r="E1757" s="18">
        <v>831.26</v>
      </c>
      <c r="H1757" s="18" t="s">
        <v>442</v>
      </c>
      <c r="I1757" s="3" t="s">
        <v>442</v>
      </c>
      <c r="J1757"/>
      <c r="L1757"/>
      <c r="M1757"/>
      <c r="N1757" s="20"/>
      <c r="O1757" t="s">
        <v>1228</v>
      </c>
      <c r="P1757" s="20" t="s">
        <v>401</v>
      </c>
      <c r="Q1757" s="20"/>
      <c r="R1757" s="20"/>
      <c r="S1757" s="20"/>
      <c r="T1757" s="20"/>
    </row>
    <row r="1758" spans="1:20" x14ac:dyDescent="0.25">
      <c r="A1758" s="3">
        <v>41845</v>
      </c>
      <c r="B1758" s="36">
        <v>133</v>
      </c>
      <c r="C1758" t="s">
        <v>1483</v>
      </c>
      <c r="E1758" s="18">
        <v>-162.95322580000001</v>
      </c>
      <c r="G1758" t="s">
        <v>442</v>
      </c>
      <c r="H1758" s="18" t="s">
        <v>442</v>
      </c>
      <c r="I1758" s="3" t="s">
        <v>442</v>
      </c>
      <c r="J1758"/>
      <c r="L1758"/>
      <c r="M1758"/>
      <c r="N1758" s="20"/>
      <c r="O1758" t="s">
        <v>1228</v>
      </c>
      <c r="P1758" s="20"/>
      <c r="Q1758" s="20" t="s">
        <v>401</v>
      </c>
      <c r="R1758" s="20"/>
      <c r="S1758" s="20"/>
      <c r="T1758" s="20"/>
    </row>
    <row r="1759" spans="1:20" x14ac:dyDescent="0.25">
      <c r="A1759" s="3">
        <v>41851</v>
      </c>
      <c r="B1759" s="36">
        <v>133</v>
      </c>
      <c r="C1759" t="s">
        <v>2664</v>
      </c>
      <c r="D1759">
        <v>11</v>
      </c>
      <c r="E1759" s="18">
        <v>1100</v>
      </c>
      <c r="F1759" t="s">
        <v>889</v>
      </c>
      <c r="G1759" t="s">
        <v>2665</v>
      </c>
      <c r="H1759" s="18">
        <v>1100</v>
      </c>
      <c r="I1759" s="3">
        <v>41851</v>
      </c>
      <c r="J1759"/>
      <c r="L1759"/>
      <c r="M1759"/>
      <c r="N1759" s="20"/>
      <c r="O1759" t="s">
        <v>931</v>
      </c>
      <c r="P1759" s="20"/>
      <c r="Q1759" s="20"/>
      <c r="R1759" s="20"/>
      <c r="S1759" s="20"/>
      <c r="T1759" s="20"/>
    </row>
    <row r="1760" spans="1:20" x14ac:dyDescent="0.25">
      <c r="A1760" s="3">
        <v>41851</v>
      </c>
      <c r="B1760" s="36">
        <v>133</v>
      </c>
      <c r="C1760" t="s">
        <v>2666</v>
      </c>
      <c r="D1760">
        <v>10</v>
      </c>
      <c r="E1760" s="18">
        <v>1000</v>
      </c>
      <c r="F1760" t="s">
        <v>889</v>
      </c>
      <c r="G1760" t="s">
        <v>2667</v>
      </c>
      <c r="H1760" s="18">
        <v>1000</v>
      </c>
      <c r="I1760" s="3">
        <v>41851</v>
      </c>
      <c r="J1760"/>
      <c r="L1760"/>
      <c r="M1760"/>
      <c r="N1760" s="20"/>
      <c r="O1760" t="s">
        <v>931</v>
      </c>
      <c r="P1760" s="20"/>
      <c r="Q1760" s="20"/>
      <c r="R1760" s="20"/>
      <c r="S1760" s="20"/>
      <c r="T1760" s="20"/>
    </row>
    <row r="1761" spans="1:20" x14ac:dyDescent="0.25">
      <c r="A1761" s="3">
        <v>41851</v>
      </c>
      <c r="B1761" s="36">
        <v>133</v>
      </c>
      <c r="C1761" t="s">
        <v>2668</v>
      </c>
      <c r="E1761" s="18">
        <v>475</v>
      </c>
      <c r="F1761" t="s">
        <v>889</v>
      </c>
      <c r="H1761" s="18" t="s">
        <v>442</v>
      </c>
      <c r="I1761" s="3" t="s">
        <v>442</v>
      </c>
      <c r="J1761"/>
      <c r="L1761"/>
      <c r="M1761"/>
      <c r="N1761" s="20"/>
      <c r="O1761"/>
      <c r="P1761" s="20" t="s">
        <v>401</v>
      </c>
      <c r="Q1761" s="20"/>
      <c r="R1761" s="20"/>
      <c r="S1761" s="20"/>
      <c r="T1761" s="20"/>
    </row>
    <row r="1762" spans="1:20" x14ac:dyDescent="0.25">
      <c r="A1762" s="3">
        <v>41851</v>
      </c>
      <c r="B1762" s="36">
        <v>133</v>
      </c>
      <c r="C1762" t="s">
        <v>1108</v>
      </c>
      <c r="E1762" s="18">
        <v>-162.95322580000001</v>
      </c>
      <c r="F1762" t="s">
        <v>889</v>
      </c>
      <c r="G1762" t="s">
        <v>442</v>
      </c>
      <c r="H1762" s="18" t="s">
        <v>442</v>
      </c>
      <c r="I1762" s="3" t="s">
        <v>442</v>
      </c>
      <c r="J1762"/>
      <c r="L1762"/>
      <c r="M1762"/>
      <c r="N1762" s="20"/>
      <c r="O1762" t="s">
        <v>1109</v>
      </c>
      <c r="P1762" s="20"/>
      <c r="Q1762" s="20" t="s">
        <v>401</v>
      </c>
      <c r="R1762" s="20"/>
      <c r="S1762" s="20"/>
      <c r="T1762" s="20"/>
    </row>
    <row r="1763" spans="1:20" x14ac:dyDescent="0.25">
      <c r="A1763" s="3">
        <v>41851</v>
      </c>
      <c r="B1763" s="36">
        <v>133</v>
      </c>
      <c r="C1763" t="s">
        <v>1237</v>
      </c>
      <c r="E1763" s="18">
        <v>-162.95322580000001</v>
      </c>
      <c r="F1763" t="s">
        <v>1484</v>
      </c>
      <c r="G1763" t="s">
        <v>442</v>
      </c>
      <c r="H1763" s="18" t="s">
        <v>442</v>
      </c>
      <c r="I1763" s="3" t="s">
        <v>442</v>
      </c>
      <c r="J1763"/>
      <c r="L1763"/>
      <c r="M1763"/>
      <c r="N1763" s="20"/>
      <c r="O1763" t="s">
        <v>1238</v>
      </c>
      <c r="P1763" s="20"/>
      <c r="Q1763" s="20" t="s">
        <v>401</v>
      </c>
      <c r="R1763" s="20"/>
      <c r="S1763" s="20"/>
      <c r="T1763" s="20"/>
    </row>
    <row r="1764" spans="1:20" x14ac:dyDescent="0.25">
      <c r="A1764" s="3">
        <v>41866</v>
      </c>
      <c r="B1764" s="36">
        <v>133</v>
      </c>
      <c r="C1764" t="s">
        <v>954</v>
      </c>
      <c r="E1764" s="18">
        <v>3407.5</v>
      </c>
      <c r="G1764" t="s">
        <v>442</v>
      </c>
      <c r="H1764" s="18" t="s">
        <v>442</v>
      </c>
      <c r="I1764" s="3" t="s">
        <v>442</v>
      </c>
      <c r="J1764"/>
      <c r="L1764"/>
      <c r="M1764"/>
      <c r="N1764" s="20" t="s">
        <v>401</v>
      </c>
      <c r="O1764"/>
      <c r="P1764" s="20"/>
      <c r="Q1764" s="20"/>
      <c r="R1764" s="20"/>
      <c r="S1764" s="20"/>
      <c r="T1764" s="20"/>
    </row>
    <row r="1765" spans="1:20" x14ac:dyDescent="0.25">
      <c r="A1765" s="3">
        <v>41873</v>
      </c>
      <c r="B1765" s="36">
        <v>133</v>
      </c>
      <c r="C1765" t="s">
        <v>2660</v>
      </c>
      <c r="D1765">
        <v>2.04</v>
      </c>
      <c r="E1765" s="18">
        <v>-204</v>
      </c>
      <c r="F1765" t="s">
        <v>889</v>
      </c>
      <c r="G1765" t="s">
        <v>2661</v>
      </c>
      <c r="H1765" s="18" t="s">
        <v>442</v>
      </c>
      <c r="I1765" s="3" t="s">
        <v>442</v>
      </c>
      <c r="J1765"/>
      <c r="L1765"/>
      <c r="M1765"/>
      <c r="N1765" s="20"/>
      <c r="O1765"/>
      <c r="P1765" s="20"/>
      <c r="Q1765" s="20"/>
      <c r="R1765" s="20"/>
      <c r="S1765" s="20"/>
      <c r="T1765" s="20"/>
    </row>
    <row r="1766" spans="1:20" x14ac:dyDescent="0.25">
      <c r="A1766" s="3">
        <v>41873</v>
      </c>
      <c r="B1766" s="36">
        <v>133</v>
      </c>
      <c r="C1766" t="s">
        <v>2669</v>
      </c>
      <c r="D1766">
        <v>19</v>
      </c>
      <c r="E1766" s="18">
        <v>1900</v>
      </c>
      <c r="F1766" t="s">
        <v>889</v>
      </c>
      <c r="G1766" t="s">
        <v>2670</v>
      </c>
      <c r="H1766" s="18">
        <v>1900</v>
      </c>
      <c r="I1766" s="3">
        <v>41873</v>
      </c>
      <c r="J1766"/>
      <c r="L1766"/>
      <c r="M1766"/>
      <c r="N1766" s="20"/>
      <c r="O1766"/>
      <c r="P1766" s="20"/>
      <c r="Q1766" s="20"/>
      <c r="R1766" s="20"/>
      <c r="S1766" s="20"/>
      <c r="T1766" s="20"/>
    </row>
    <row r="1767" spans="1:20" x14ac:dyDescent="0.25">
      <c r="A1767" s="3">
        <v>41873</v>
      </c>
      <c r="B1767" s="36">
        <v>133</v>
      </c>
      <c r="C1767" t="s">
        <v>2671</v>
      </c>
      <c r="E1767" s="18">
        <v>150</v>
      </c>
      <c r="F1767" t="s">
        <v>891</v>
      </c>
      <c r="H1767" s="18" t="s">
        <v>442</v>
      </c>
      <c r="I1767" s="3" t="s">
        <v>442</v>
      </c>
      <c r="J1767"/>
      <c r="L1767"/>
      <c r="M1767"/>
      <c r="N1767" s="20"/>
      <c r="O1767" t="s">
        <v>2672</v>
      </c>
      <c r="P1767" s="20" t="s">
        <v>401</v>
      </c>
      <c r="Q1767" s="20"/>
      <c r="R1767" s="20"/>
      <c r="S1767" s="20"/>
      <c r="T1767" s="20"/>
    </row>
    <row r="1768" spans="1:20" x14ac:dyDescent="0.25">
      <c r="A1768" s="3">
        <v>41873</v>
      </c>
      <c r="B1768" s="36">
        <v>133</v>
      </c>
      <c r="C1768" t="s">
        <v>1480</v>
      </c>
      <c r="E1768" s="18">
        <v>-162.95322580000001</v>
      </c>
      <c r="F1768" t="s">
        <v>891</v>
      </c>
      <c r="G1768" t="s">
        <v>442</v>
      </c>
      <c r="H1768" s="18" t="s">
        <v>442</v>
      </c>
      <c r="I1768" s="3" t="s">
        <v>442</v>
      </c>
      <c r="J1768"/>
      <c r="L1768"/>
      <c r="M1768"/>
      <c r="N1768" s="20"/>
      <c r="O1768" t="s">
        <v>1481</v>
      </c>
      <c r="P1768" s="20"/>
      <c r="Q1768" s="20" t="s">
        <v>401</v>
      </c>
      <c r="R1768" s="20"/>
      <c r="S1768" s="20"/>
      <c r="T1768" s="20"/>
    </row>
    <row r="1769" spans="1:20" x14ac:dyDescent="0.25">
      <c r="A1769" s="3">
        <v>41879</v>
      </c>
      <c r="B1769" s="36">
        <v>133</v>
      </c>
      <c r="C1769" t="s">
        <v>2673</v>
      </c>
      <c r="D1769">
        <v>10</v>
      </c>
      <c r="E1769" s="18">
        <v>600</v>
      </c>
      <c r="F1769" t="s">
        <v>889</v>
      </c>
      <c r="G1769" t="s">
        <v>2674</v>
      </c>
      <c r="H1769" s="18">
        <v>600</v>
      </c>
      <c r="I1769" s="3">
        <v>41879</v>
      </c>
      <c r="J1769"/>
      <c r="L1769"/>
      <c r="M1769"/>
      <c r="N1769" s="20"/>
      <c r="O1769"/>
      <c r="P1769" s="20"/>
      <c r="Q1769" s="20"/>
      <c r="R1769" s="20"/>
      <c r="S1769" s="20"/>
      <c r="T1769" s="20"/>
    </row>
    <row r="1770" spans="1:20" x14ac:dyDescent="0.25">
      <c r="A1770" s="3">
        <v>41879</v>
      </c>
      <c r="B1770" s="36">
        <v>133</v>
      </c>
      <c r="C1770" t="s">
        <v>2675</v>
      </c>
      <c r="E1770" s="18">
        <v>2198.21</v>
      </c>
      <c r="F1770" t="s">
        <v>891</v>
      </c>
      <c r="H1770" s="18" t="s">
        <v>442</v>
      </c>
      <c r="I1770" s="3" t="s">
        <v>442</v>
      </c>
      <c r="J1770"/>
      <c r="L1770"/>
      <c r="M1770"/>
      <c r="N1770" s="20"/>
      <c r="O1770" t="s">
        <v>2675</v>
      </c>
      <c r="P1770" s="20" t="s">
        <v>401</v>
      </c>
      <c r="Q1770" s="20"/>
      <c r="R1770" s="20"/>
      <c r="S1770" s="20"/>
      <c r="T1770" s="20"/>
    </row>
    <row r="1771" spans="1:20" x14ac:dyDescent="0.25">
      <c r="A1771" s="3">
        <v>41879</v>
      </c>
      <c r="B1771" s="36">
        <v>133</v>
      </c>
      <c r="C1771" t="s">
        <v>2676</v>
      </c>
      <c r="E1771" s="18">
        <v>314.98</v>
      </c>
      <c r="F1771" t="s">
        <v>891</v>
      </c>
      <c r="H1771" s="18" t="s">
        <v>442</v>
      </c>
      <c r="I1771" s="3" t="s">
        <v>442</v>
      </c>
      <c r="J1771"/>
      <c r="L1771"/>
      <c r="M1771"/>
      <c r="N1771" s="20"/>
      <c r="O1771" t="s">
        <v>2676</v>
      </c>
      <c r="P1771" s="20" t="s">
        <v>401</v>
      </c>
      <c r="Q1771" s="20"/>
      <c r="R1771" s="20"/>
      <c r="S1771" s="20"/>
      <c r="T1771" s="20"/>
    </row>
    <row r="1772" spans="1:20" x14ac:dyDescent="0.25">
      <c r="A1772" s="3">
        <v>41886</v>
      </c>
      <c r="B1772" s="36">
        <v>133</v>
      </c>
      <c r="C1772" t="s">
        <v>2677</v>
      </c>
      <c r="E1772" s="18">
        <v>354.05</v>
      </c>
      <c r="F1772" t="s">
        <v>891</v>
      </c>
      <c r="H1772" s="18" t="s">
        <v>442</v>
      </c>
      <c r="I1772" s="3" t="s">
        <v>442</v>
      </c>
      <c r="J1772"/>
      <c r="L1772"/>
      <c r="M1772"/>
      <c r="N1772" s="20"/>
      <c r="O1772"/>
      <c r="P1772" s="20" t="s">
        <v>401</v>
      </c>
      <c r="Q1772" s="20"/>
      <c r="R1772" s="20"/>
      <c r="S1772" s="20"/>
      <c r="T1772" s="20"/>
    </row>
    <row r="1773" spans="1:20" x14ac:dyDescent="0.25">
      <c r="A1773" s="3">
        <v>41901</v>
      </c>
      <c r="B1773" s="36">
        <v>133</v>
      </c>
      <c r="C1773" t="s">
        <v>1098</v>
      </c>
      <c r="E1773" s="18">
        <v>3933.8</v>
      </c>
      <c r="F1773" t="s">
        <v>888</v>
      </c>
      <c r="G1773" t="s">
        <v>442</v>
      </c>
      <c r="H1773" s="18" t="s">
        <v>442</v>
      </c>
      <c r="I1773" s="3" t="s">
        <v>442</v>
      </c>
      <c r="J1773"/>
      <c r="L1773"/>
      <c r="M1773"/>
      <c r="N1773" s="20" t="s">
        <v>401</v>
      </c>
      <c r="O1773"/>
      <c r="P1773" s="20"/>
      <c r="Q1773" s="20"/>
      <c r="R1773" s="20"/>
      <c r="S1773" s="20"/>
      <c r="T1773" s="20"/>
    </row>
    <row r="1774" spans="1:20" x14ac:dyDescent="0.25">
      <c r="A1774" s="3">
        <v>41901</v>
      </c>
      <c r="B1774" s="36">
        <v>133</v>
      </c>
      <c r="C1774" t="s">
        <v>2652</v>
      </c>
      <c r="D1774">
        <v>8.5</v>
      </c>
      <c r="E1774" s="18">
        <v>-850</v>
      </c>
      <c r="F1774" t="s">
        <v>889</v>
      </c>
      <c r="G1774" t="s">
        <v>2653</v>
      </c>
      <c r="H1774" s="18" t="s">
        <v>442</v>
      </c>
      <c r="I1774" s="3" t="s">
        <v>442</v>
      </c>
      <c r="J1774"/>
      <c r="L1774"/>
      <c r="M1774"/>
      <c r="N1774" s="20"/>
      <c r="O1774"/>
      <c r="P1774" s="20"/>
      <c r="Q1774" s="20"/>
      <c r="R1774" s="20"/>
      <c r="S1774" s="20"/>
      <c r="T1774" s="20"/>
    </row>
    <row r="1775" spans="1:20" x14ac:dyDescent="0.25">
      <c r="A1775" s="3">
        <v>41901</v>
      </c>
      <c r="B1775" s="36">
        <v>133</v>
      </c>
      <c r="C1775" t="s">
        <v>2645</v>
      </c>
      <c r="D1775">
        <v>7.65</v>
      </c>
      <c r="E1775" s="18">
        <v>-1250</v>
      </c>
      <c r="F1775" t="s">
        <v>889</v>
      </c>
      <c r="G1775" t="s">
        <v>2646</v>
      </c>
      <c r="H1775" s="18" t="s">
        <v>442</v>
      </c>
      <c r="I1775" s="3" t="s">
        <v>442</v>
      </c>
      <c r="J1775"/>
      <c r="L1775"/>
      <c r="M1775"/>
      <c r="N1775" s="20"/>
      <c r="O1775"/>
      <c r="P1775" s="20"/>
      <c r="Q1775" s="20"/>
      <c r="R1775" s="20"/>
      <c r="S1775" s="20"/>
      <c r="T1775" s="20"/>
    </row>
    <row r="1776" spans="1:20" x14ac:dyDescent="0.25">
      <c r="A1776" s="3">
        <v>41901</v>
      </c>
      <c r="B1776" s="36">
        <v>133</v>
      </c>
      <c r="C1776" t="s">
        <v>1106</v>
      </c>
      <c r="E1776" s="18">
        <v>-162.95322580000001</v>
      </c>
      <c r="F1776" t="s">
        <v>891</v>
      </c>
      <c r="G1776" t="s">
        <v>442</v>
      </c>
      <c r="H1776" s="18" t="s">
        <v>442</v>
      </c>
      <c r="I1776" s="3" t="s">
        <v>442</v>
      </c>
      <c r="J1776"/>
      <c r="L1776"/>
      <c r="M1776"/>
      <c r="N1776" s="20"/>
      <c r="O1776" t="s">
        <v>1107</v>
      </c>
      <c r="P1776" s="20"/>
      <c r="Q1776" s="20" t="s">
        <v>401</v>
      </c>
      <c r="R1776" s="20"/>
      <c r="S1776" s="20"/>
      <c r="T1776" s="20"/>
    </row>
    <row r="1777" spans="1:20" x14ac:dyDescent="0.25">
      <c r="A1777" s="3">
        <v>41901</v>
      </c>
      <c r="B1777" s="36">
        <v>133</v>
      </c>
      <c r="C1777" t="s">
        <v>1106</v>
      </c>
      <c r="E1777" s="18">
        <v>-162.95322580000001</v>
      </c>
      <c r="F1777" t="s">
        <v>889</v>
      </c>
      <c r="G1777" t="s">
        <v>442</v>
      </c>
      <c r="H1777" s="18" t="s">
        <v>442</v>
      </c>
      <c r="I1777" s="3" t="s">
        <v>442</v>
      </c>
      <c r="J1777"/>
      <c r="L1777"/>
      <c r="M1777"/>
      <c r="N1777" s="20"/>
      <c r="O1777"/>
      <c r="P1777" s="20"/>
      <c r="Q1777" s="20" t="s">
        <v>401</v>
      </c>
      <c r="R1777" s="20"/>
      <c r="S1777" s="20"/>
      <c r="T1777" s="20"/>
    </row>
    <row r="1778" spans="1:20" x14ac:dyDescent="0.25">
      <c r="A1778" s="3">
        <v>41901</v>
      </c>
      <c r="B1778" s="36">
        <v>133</v>
      </c>
      <c r="C1778" t="s">
        <v>2678</v>
      </c>
      <c r="E1778" s="18">
        <v>-87.296370969999998</v>
      </c>
      <c r="F1778" t="s">
        <v>891</v>
      </c>
      <c r="G1778" t="s">
        <v>442</v>
      </c>
      <c r="H1778" s="18" t="s">
        <v>442</v>
      </c>
      <c r="I1778" s="3" t="s">
        <v>442</v>
      </c>
      <c r="J1778"/>
      <c r="L1778"/>
      <c r="M1778"/>
      <c r="N1778" s="20"/>
      <c r="O1778"/>
      <c r="P1778" s="20"/>
      <c r="Q1778" s="20" t="s">
        <v>401</v>
      </c>
      <c r="R1778" s="20"/>
      <c r="S1778" s="20"/>
      <c r="T1778" s="20"/>
    </row>
    <row r="1779" spans="1:20" x14ac:dyDescent="0.25">
      <c r="A1779" s="3">
        <v>41907</v>
      </c>
      <c r="B1779" s="36">
        <v>133</v>
      </c>
      <c r="C1779" t="s">
        <v>2679</v>
      </c>
      <c r="E1779" s="18">
        <v>162.94999999999999</v>
      </c>
      <c r="F1779" t="s">
        <v>889</v>
      </c>
      <c r="G1779" t="s">
        <v>442</v>
      </c>
      <c r="H1779" s="18" t="s">
        <v>442</v>
      </c>
      <c r="I1779" s="3" t="s">
        <v>442</v>
      </c>
      <c r="J1779"/>
      <c r="L1779"/>
      <c r="M1779"/>
      <c r="N1779" s="20"/>
      <c r="O1779"/>
      <c r="P1779" s="20"/>
      <c r="Q1779" s="20" t="s">
        <v>401</v>
      </c>
      <c r="R1779" s="20"/>
      <c r="S1779" s="20"/>
      <c r="T1779" s="20"/>
    </row>
    <row r="1780" spans="1:20" x14ac:dyDescent="0.25">
      <c r="A1780" s="3">
        <v>41918</v>
      </c>
      <c r="B1780" s="36">
        <v>133</v>
      </c>
      <c r="C1780" t="s">
        <v>2680</v>
      </c>
      <c r="D1780">
        <v>7.75</v>
      </c>
      <c r="E1780" s="18">
        <v>775</v>
      </c>
      <c r="F1780" t="s">
        <v>889</v>
      </c>
      <c r="G1780" t="s">
        <v>2681</v>
      </c>
      <c r="H1780" s="18">
        <v>775</v>
      </c>
      <c r="I1780" s="3">
        <v>41918</v>
      </c>
      <c r="J1780"/>
      <c r="L1780"/>
      <c r="M1780"/>
      <c r="N1780" s="20"/>
      <c r="O1780"/>
      <c r="P1780" s="20"/>
      <c r="Q1780" s="20"/>
      <c r="R1780" s="20"/>
      <c r="S1780" s="20"/>
      <c r="T1780" s="20"/>
    </row>
    <row r="1781" spans="1:20" x14ac:dyDescent="0.25">
      <c r="A1781" s="3">
        <v>41936</v>
      </c>
      <c r="B1781" s="36">
        <v>133</v>
      </c>
      <c r="C1781" t="s">
        <v>2664</v>
      </c>
      <c r="D1781">
        <v>11</v>
      </c>
      <c r="E1781" s="18">
        <v>-1100</v>
      </c>
      <c r="F1781" t="s">
        <v>889</v>
      </c>
      <c r="G1781" t="s">
        <v>2665</v>
      </c>
      <c r="H1781" s="18" t="s">
        <v>442</v>
      </c>
      <c r="I1781" s="3" t="s">
        <v>442</v>
      </c>
      <c r="J1781"/>
      <c r="L1781"/>
      <c r="M1781"/>
      <c r="N1781" s="20"/>
      <c r="O1781"/>
      <c r="P1781" s="20"/>
      <c r="Q1781" s="20"/>
      <c r="R1781" s="20"/>
      <c r="S1781" s="20"/>
      <c r="T1781" s="20"/>
    </row>
    <row r="1782" spans="1:20" x14ac:dyDescent="0.25">
      <c r="A1782" s="3">
        <v>41936</v>
      </c>
      <c r="B1782" s="36">
        <v>133</v>
      </c>
      <c r="C1782" t="s">
        <v>2640</v>
      </c>
      <c r="D1782">
        <v>5.5</v>
      </c>
      <c r="E1782" s="18">
        <v>-550</v>
      </c>
      <c r="F1782" t="s">
        <v>889</v>
      </c>
      <c r="G1782" t="s">
        <v>2641</v>
      </c>
      <c r="H1782" s="18" t="s">
        <v>442</v>
      </c>
      <c r="I1782" s="3" t="s">
        <v>442</v>
      </c>
      <c r="J1782"/>
      <c r="L1782"/>
      <c r="M1782"/>
      <c r="N1782" s="20"/>
      <c r="O1782"/>
      <c r="P1782" s="20"/>
      <c r="Q1782" s="20"/>
      <c r="R1782" s="20"/>
      <c r="S1782" s="20"/>
      <c r="T1782" s="20"/>
    </row>
    <row r="1783" spans="1:20" x14ac:dyDescent="0.25">
      <c r="A1783" s="3">
        <v>41936</v>
      </c>
      <c r="B1783" s="36">
        <v>133</v>
      </c>
      <c r="C1783" t="s">
        <v>2682</v>
      </c>
      <c r="D1783">
        <v>8.5</v>
      </c>
      <c r="E1783" s="18">
        <v>918</v>
      </c>
      <c r="F1783" t="s">
        <v>889</v>
      </c>
      <c r="G1783" t="s">
        <v>2683</v>
      </c>
      <c r="H1783" s="18">
        <v>918</v>
      </c>
      <c r="I1783" s="3">
        <v>41936</v>
      </c>
      <c r="J1783"/>
      <c r="L1783"/>
      <c r="M1783"/>
      <c r="N1783" s="20"/>
      <c r="O1783"/>
      <c r="P1783" s="20"/>
      <c r="Q1783" s="20"/>
      <c r="R1783" s="20"/>
      <c r="S1783" s="20"/>
      <c r="T1783" s="20"/>
    </row>
    <row r="1784" spans="1:20" x14ac:dyDescent="0.25">
      <c r="A1784" s="3">
        <v>41936</v>
      </c>
      <c r="B1784" s="36">
        <v>133</v>
      </c>
      <c r="C1784" t="s">
        <v>2684</v>
      </c>
      <c r="E1784" s="18">
        <v>75</v>
      </c>
      <c r="F1784" t="s">
        <v>889</v>
      </c>
      <c r="H1784" s="18" t="s">
        <v>442</v>
      </c>
      <c r="I1784" s="3" t="s">
        <v>442</v>
      </c>
      <c r="J1784"/>
      <c r="L1784"/>
      <c r="M1784"/>
      <c r="N1784" s="20"/>
      <c r="O1784"/>
      <c r="P1784" s="20" t="s">
        <v>401</v>
      </c>
      <c r="Q1784" s="20"/>
      <c r="R1784" s="20"/>
      <c r="S1784" s="20"/>
      <c r="T1784" s="20"/>
    </row>
    <row r="1785" spans="1:20" x14ac:dyDescent="0.25">
      <c r="A1785" s="3">
        <v>41936</v>
      </c>
      <c r="B1785" s="36">
        <v>133</v>
      </c>
      <c r="C1785" t="s">
        <v>2662</v>
      </c>
      <c r="E1785" s="18">
        <v>75</v>
      </c>
      <c r="F1785" t="s">
        <v>891</v>
      </c>
      <c r="H1785" s="18" t="s">
        <v>442</v>
      </c>
      <c r="I1785" s="3" t="s">
        <v>442</v>
      </c>
      <c r="J1785"/>
      <c r="L1785"/>
      <c r="M1785"/>
      <c r="N1785" s="20"/>
      <c r="O1785"/>
      <c r="P1785" s="20" t="s">
        <v>401</v>
      </c>
      <c r="Q1785" s="20"/>
      <c r="R1785" s="20"/>
      <c r="S1785" s="20"/>
      <c r="T1785" s="20"/>
    </row>
    <row r="1786" spans="1:20" x14ac:dyDescent="0.25">
      <c r="A1786" s="3">
        <v>41936</v>
      </c>
      <c r="B1786" s="36">
        <v>133</v>
      </c>
      <c r="C1786" t="s">
        <v>960</v>
      </c>
      <c r="E1786" s="18">
        <v>951.15000000000009</v>
      </c>
      <c r="F1786" t="s">
        <v>889</v>
      </c>
      <c r="H1786" s="18" t="s">
        <v>442</v>
      </c>
      <c r="I1786" s="3" t="s">
        <v>442</v>
      </c>
      <c r="J1786"/>
      <c r="L1786"/>
      <c r="M1786"/>
      <c r="N1786" s="20" t="s">
        <v>401</v>
      </c>
      <c r="O1786"/>
      <c r="P1786" s="20"/>
      <c r="Q1786" s="20"/>
      <c r="R1786" s="20"/>
      <c r="S1786" s="20"/>
      <c r="T1786" s="20"/>
    </row>
    <row r="1787" spans="1:20" x14ac:dyDescent="0.25">
      <c r="A1787" s="3">
        <v>41950</v>
      </c>
      <c r="B1787" s="36">
        <v>133</v>
      </c>
      <c r="C1787" t="s">
        <v>2645</v>
      </c>
      <c r="D1787">
        <v>7.65</v>
      </c>
      <c r="E1787" s="18">
        <v>765</v>
      </c>
      <c r="F1787" t="s">
        <v>889</v>
      </c>
      <c r="G1787" t="s">
        <v>2646</v>
      </c>
      <c r="H1787" s="18">
        <v>765</v>
      </c>
      <c r="I1787" s="3">
        <v>41950</v>
      </c>
      <c r="J1787"/>
      <c r="L1787"/>
      <c r="M1787"/>
      <c r="N1787" s="20"/>
      <c r="O1787"/>
      <c r="P1787" s="20"/>
      <c r="Q1787" s="20"/>
      <c r="R1787" s="20"/>
      <c r="S1787" s="20"/>
      <c r="T1787" s="20"/>
    </row>
    <row r="1788" spans="1:20" x14ac:dyDescent="0.25">
      <c r="A1788" s="3">
        <v>41957</v>
      </c>
      <c r="B1788" s="36">
        <v>133</v>
      </c>
      <c r="C1788" t="s">
        <v>2657</v>
      </c>
      <c r="D1788">
        <v>5.75</v>
      </c>
      <c r="E1788" s="18">
        <v>431.25000000000011</v>
      </c>
      <c r="F1788" t="s">
        <v>889</v>
      </c>
      <c r="G1788" t="s">
        <v>2658</v>
      </c>
      <c r="H1788" s="18">
        <v>431.25000000000011</v>
      </c>
      <c r="I1788" s="3">
        <v>41957</v>
      </c>
      <c r="J1788"/>
      <c r="L1788"/>
      <c r="M1788"/>
      <c r="N1788" s="20"/>
      <c r="O1788" t="s">
        <v>959</v>
      </c>
      <c r="P1788" s="20"/>
      <c r="Q1788" s="20"/>
      <c r="R1788" s="20"/>
      <c r="S1788" s="20"/>
      <c r="T1788" s="20"/>
    </row>
    <row r="1789" spans="1:20" x14ac:dyDescent="0.25">
      <c r="A1789" s="3">
        <v>41957</v>
      </c>
      <c r="B1789" s="36">
        <v>133</v>
      </c>
      <c r="C1789" t="s">
        <v>2673</v>
      </c>
      <c r="D1789">
        <v>6</v>
      </c>
      <c r="E1789" s="18">
        <v>-600</v>
      </c>
      <c r="F1789" t="s">
        <v>889</v>
      </c>
      <c r="G1789" t="s">
        <v>2674</v>
      </c>
      <c r="H1789" s="18" t="s">
        <v>442</v>
      </c>
      <c r="I1789" s="3" t="s">
        <v>442</v>
      </c>
      <c r="J1789"/>
      <c r="L1789"/>
      <c r="M1789"/>
      <c r="N1789" s="20"/>
      <c r="O1789"/>
      <c r="P1789" s="20"/>
      <c r="Q1789" s="20"/>
      <c r="R1789" s="20"/>
      <c r="S1789" s="20"/>
      <c r="T1789" s="20"/>
    </row>
    <row r="1790" spans="1:20" x14ac:dyDescent="0.25">
      <c r="A1790" s="3">
        <v>41957</v>
      </c>
      <c r="B1790" s="36">
        <v>133</v>
      </c>
      <c r="C1790" t="s">
        <v>2655</v>
      </c>
      <c r="D1790">
        <v>10</v>
      </c>
      <c r="E1790" s="18">
        <v>1500</v>
      </c>
      <c r="F1790" t="s">
        <v>889</v>
      </c>
      <c r="G1790" t="s">
        <v>2656</v>
      </c>
      <c r="H1790" s="18">
        <v>1500</v>
      </c>
      <c r="I1790" s="3">
        <v>41957</v>
      </c>
      <c r="J1790"/>
      <c r="L1790"/>
      <c r="M1790"/>
      <c r="N1790" s="20"/>
      <c r="O1790" t="s">
        <v>959</v>
      </c>
      <c r="P1790" s="20"/>
      <c r="Q1790" s="20"/>
      <c r="R1790" s="20"/>
      <c r="S1790" s="20"/>
      <c r="T1790" s="20"/>
    </row>
    <row r="1791" spans="1:20" x14ac:dyDescent="0.25">
      <c r="A1791" s="3">
        <v>41964</v>
      </c>
      <c r="B1791" s="36">
        <v>133</v>
      </c>
      <c r="C1791" t="s">
        <v>963</v>
      </c>
      <c r="E1791" s="18">
        <v>9.5700000000000216</v>
      </c>
      <c r="F1791" t="s">
        <v>889</v>
      </c>
      <c r="G1791" t="s">
        <v>442</v>
      </c>
      <c r="H1791" s="18" t="s">
        <v>442</v>
      </c>
      <c r="I1791" s="3" t="s">
        <v>442</v>
      </c>
      <c r="J1791"/>
      <c r="L1791"/>
      <c r="M1791"/>
      <c r="N1791" s="40" t="s">
        <v>401</v>
      </c>
      <c r="O1791"/>
      <c r="P1791" s="20"/>
      <c r="Q1791" s="20"/>
      <c r="R1791" s="20"/>
      <c r="S1791" s="20"/>
      <c r="T1791" s="20"/>
    </row>
    <row r="1792" spans="1:20" x14ac:dyDescent="0.25">
      <c r="A1792" s="3">
        <v>42004</v>
      </c>
      <c r="B1792" s="36">
        <v>133</v>
      </c>
      <c r="C1792" t="s">
        <v>2680</v>
      </c>
      <c r="D1792">
        <v>7.75</v>
      </c>
      <c r="E1792" s="18">
        <v>387.5</v>
      </c>
      <c r="F1792" t="s">
        <v>889</v>
      </c>
      <c r="G1792" t="s">
        <v>2681</v>
      </c>
      <c r="H1792" s="18">
        <v>387.5</v>
      </c>
      <c r="I1792" s="3">
        <v>42004</v>
      </c>
      <c r="J1792"/>
      <c r="L1792"/>
      <c r="M1792"/>
      <c r="N1792" s="20"/>
      <c r="O1792"/>
      <c r="P1792" s="20"/>
      <c r="Q1792" s="20"/>
      <c r="R1792" s="20"/>
      <c r="S1792" s="20"/>
      <c r="T1792" s="20"/>
    </row>
    <row r="1793" spans="1:20" x14ac:dyDescent="0.25">
      <c r="A1793" s="3">
        <v>42004</v>
      </c>
      <c r="B1793" s="36">
        <v>133</v>
      </c>
      <c r="C1793" t="s">
        <v>967</v>
      </c>
      <c r="E1793" s="18">
        <v>-96.349999999999966</v>
      </c>
      <c r="F1793" t="s">
        <v>889</v>
      </c>
      <c r="G1793" t="s">
        <v>442</v>
      </c>
      <c r="H1793" s="18" t="s">
        <v>442</v>
      </c>
      <c r="I1793" s="3" t="s">
        <v>442</v>
      </c>
      <c r="J1793"/>
      <c r="L1793"/>
      <c r="M1793"/>
      <c r="N1793" s="40" t="s">
        <v>401</v>
      </c>
      <c r="O1793"/>
      <c r="P1793" s="20"/>
      <c r="Q1793" s="20"/>
      <c r="R1793" s="20"/>
      <c r="S1793" s="20"/>
      <c r="T1793" s="20"/>
    </row>
    <row r="1794" spans="1:20" x14ac:dyDescent="0.25">
      <c r="A1794" s="3">
        <v>42013</v>
      </c>
      <c r="B1794" s="36">
        <v>133</v>
      </c>
      <c r="C1794" t="s">
        <v>2642</v>
      </c>
      <c r="D1794">
        <v>8.67</v>
      </c>
      <c r="E1794" s="18">
        <v>924.375</v>
      </c>
      <c r="F1794" t="s">
        <v>889</v>
      </c>
      <c r="G1794" t="s">
        <v>2643</v>
      </c>
      <c r="H1794" s="18">
        <v>924.375</v>
      </c>
      <c r="I1794" s="3">
        <v>42013</v>
      </c>
      <c r="J1794"/>
      <c r="L1794"/>
      <c r="M1794"/>
      <c r="N1794" s="20"/>
      <c r="O1794"/>
      <c r="P1794" s="20"/>
      <c r="Q1794" s="20"/>
      <c r="R1794" s="20"/>
      <c r="S1794" s="20"/>
      <c r="T1794" s="20"/>
    </row>
    <row r="1795" spans="1:20" x14ac:dyDescent="0.25">
      <c r="A1795" s="3">
        <v>42027</v>
      </c>
      <c r="B1795" s="36">
        <v>133</v>
      </c>
      <c r="C1795" t="s">
        <v>2685</v>
      </c>
      <c r="D1795" s="55">
        <v>19</v>
      </c>
      <c r="E1795" s="18">
        <v>2850</v>
      </c>
      <c r="F1795" t="s">
        <v>889</v>
      </c>
      <c r="G1795" t="s">
        <v>2670</v>
      </c>
      <c r="H1795" s="18">
        <v>2850</v>
      </c>
      <c r="I1795" s="3">
        <v>42027</v>
      </c>
      <c r="J1795"/>
      <c r="L1795"/>
      <c r="M1795"/>
      <c r="N1795" s="20"/>
      <c r="O1795"/>
      <c r="P1795" s="20"/>
      <c r="Q1795" s="20"/>
      <c r="R1795" s="20"/>
      <c r="S1795" s="20"/>
      <c r="T1795" s="20"/>
    </row>
    <row r="1796" spans="1:20" x14ac:dyDescent="0.25">
      <c r="A1796" s="32">
        <v>42034</v>
      </c>
      <c r="B1796" s="56">
        <v>133</v>
      </c>
      <c r="C1796" s="20" t="s">
        <v>974</v>
      </c>
      <c r="D1796" s="20"/>
      <c r="E1796" s="18">
        <v>157.20666666666668</v>
      </c>
      <c r="F1796" s="33" t="s">
        <v>889</v>
      </c>
      <c r="G1796" s="33"/>
      <c r="H1796" s="18"/>
      <c r="J1796"/>
      <c r="L1796"/>
      <c r="M1796"/>
      <c r="N1796" s="20" t="s">
        <v>401</v>
      </c>
      <c r="O1796"/>
      <c r="P1796" s="20"/>
      <c r="Q1796" s="20"/>
      <c r="R1796" s="20"/>
      <c r="S1796" s="20"/>
      <c r="T1796" s="20"/>
    </row>
    <row r="1797" spans="1:20" x14ac:dyDescent="0.25">
      <c r="A1797" s="3">
        <v>42034</v>
      </c>
      <c r="B1797">
        <v>133</v>
      </c>
      <c r="C1797" s="20" t="s">
        <v>2686</v>
      </c>
      <c r="D1797" s="20">
        <v>15.5</v>
      </c>
      <c r="E1797" s="59">
        <v>2875</v>
      </c>
      <c r="F1797" s="20" t="s">
        <v>889</v>
      </c>
      <c r="G1797" t="s">
        <v>2667</v>
      </c>
      <c r="H1797" s="18"/>
      <c r="J1797"/>
      <c r="L1797"/>
      <c r="M1797"/>
      <c r="N1797" s="20"/>
      <c r="O1797"/>
      <c r="P1797" s="20"/>
      <c r="Q1797" s="20"/>
      <c r="R1797" s="20"/>
      <c r="S1797" s="20"/>
      <c r="T1797" s="20"/>
    </row>
    <row r="1798" spans="1:20" x14ac:dyDescent="0.25">
      <c r="A1798" s="3">
        <v>42041</v>
      </c>
      <c r="B1798">
        <v>133</v>
      </c>
      <c r="C1798" t="s">
        <v>2680</v>
      </c>
      <c r="E1798" s="18">
        <v>387.5</v>
      </c>
      <c r="F1798" t="s">
        <v>889</v>
      </c>
      <c r="G1798" t="s">
        <v>2681</v>
      </c>
      <c r="I1798"/>
      <c r="J1798"/>
      <c r="L1798"/>
      <c r="M1798"/>
      <c r="O1798"/>
      <c r="P1798" s="20"/>
      <c r="Q1798" s="20"/>
      <c r="R1798" s="20"/>
      <c r="S1798" s="20"/>
      <c r="T1798" s="20"/>
    </row>
    <row r="1799" spans="1:20" x14ac:dyDescent="0.25">
      <c r="A1799" s="3">
        <v>41803</v>
      </c>
      <c r="B1799" s="36">
        <v>134</v>
      </c>
      <c r="C1799" t="s">
        <v>2687</v>
      </c>
      <c r="E1799" s="18">
        <v>500</v>
      </c>
      <c r="G1799" t="s">
        <v>442</v>
      </c>
      <c r="H1799" s="18" t="s">
        <v>442</v>
      </c>
      <c r="I1799" s="3" t="s">
        <v>442</v>
      </c>
      <c r="J1799"/>
      <c r="L1799"/>
      <c r="M1799"/>
      <c r="N1799" s="20"/>
      <c r="O1799"/>
      <c r="P1799" s="20"/>
      <c r="Q1799" s="20"/>
      <c r="R1799" s="20"/>
      <c r="S1799" s="20"/>
      <c r="T1799" s="20" t="s">
        <v>401</v>
      </c>
    </row>
    <row r="1800" spans="1:20" x14ac:dyDescent="0.25">
      <c r="A1800" s="3">
        <v>41823</v>
      </c>
      <c r="B1800" s="36">
        <v>134</v>
      </c>
      <c r="C1800" t="s">
        <v>2688</v>
      </c>
      <c r="D1800">
        <v>5.25</v>
      </c>
      <c r="E1800" s="18">
        <v>525</v>
      </c>
      <c r="G1800" t="s">
        <v>2689</v>
      </c>
      <c r="H1800" s="18">
        <v>525</v>
      </c>
      <c r="I1800" s="3">
        <v>41823</v>
      </c>
      <c r="J1800"/>
      <c r="L1800"/>
      <c r="M1800"/>
      <c r="N1800" s="20"/>
      <c r="O1800" t="s">
        <v>1009</v>
      </c>
      <c r="P1800" s="20"/>
      <c r="Q1800" s="20"/>
      <c r="R1800" s="20"/>
      <c r="S1800" s="20"/>
      <c r="T1800" s="20"/>
    </row>
    <row r="1801" spans="1:20" x14ac:dyDescent="0.25">
      <c r="A1801" s="3">
        <v>41823</v>
      </c>
      <c r="B1801" s="36">
        <v>134</v>
      </c>
      <c r="C1801" t="s">
        <v>2690</v>
      </c>
      <c r="D1801">
        <v>12.25</v>
      </c>
      <c r="E1801" s="18">
        <v>1225</v>
      </c>
      <c r="G1801" t="s">
        <v>2691</v>
      </c>
      <c r="H1801" s="18">
        <v>1225</v>
      </c>
      <c r="I1801" s="3">
        <v>41823</v>
      </c>
      <c r="J1801"/>
      <c r="L1801"/>
      <c r="M1801"/>
      <c r="N1801" s="20"/>
      <c r="O1801" t="s">
        <v>1009</v>
      </c>
      <c r="P1801" s="20"/>
      <c r="Q1801" s="20"/>
      <c r="R1801" s="20"/>
      <c r="S1801" s="20"/>
      <c r="T1801" s="20"/>
    </row>
    <row r="1802" spans="1:20" x14ac:dyDescent="0.25">
      <c r="A1802" s="3">
        <v>41823</v>
      </c>
      <c r="B1802" s="36">
        <v>134</v>
      </c>
      <c r="C1802" t="s">
        <v>2687</v>
      </c>
      <c r="E1802" s="18">
        <v>-500</v>
      </c>
      <c r="G1802" t="s">
        <v>442</v>
      </c>
      <c r="H1802" s="18" t="s">
        <v>442</v>
      </c>
      <c r="I1802" s="3" t="s">
        <v>442</v>
      </c>
      <c r="J1802"/>
      <c r="L1802"/>
      <c r="M1802"/>
      <c r="N1802" s="20"/>
      <c r="O1802"/>
      <c r="P1802" s="20"/>
      <c r="Q1802" s="20"/>
      <c r="R1802" s="20"/>
      <c r="S1802" s="20"/>
      <c r="T1802" s="20" t="s">
        <v>401</v>
      </c>
    </row>
    <row r="1803" spans="1:20" x14ac:dyDescent="0.25">
      <c r="A1803" s="3">
        <v>41823</v>
      </c>
      <c r="B1803" s="36">
        <v>134</v>
      </c>
      <c r="C1803" t="s">
        <v>2692</v>
      </c>
      <c r="D1803">
        <v>4</v>
      </c>
      <c r="E1803" s="18">
        <v>400</v>
      </c>
      <c r="G1803" t="s">
        <v>2693</v>
      </c>
      <c r="H1803" s="18">
        <v>400</v>
      </c>
      <c r="I1803" s="3">
        <v>41823</v>
      </c>
      <c r="J1803"/>
      <c r="L1803"/>
      <c r="M1803"/>
      <c r="N1803" s="20"/>
      <c r="O1803"/>
      <c r="P1803" s="20"/>
      <c r="Q1803" s="20"/>
      <c r="R1803" s="20"/>
      <c r="S1803" s="20"/>
      <c r="T1803" s="20"/>
    </row>
    <row r="1804" spans="1:20" x14ac:dyDescent="0.25">
      <c r="A1804" s="3">
        <v>41845</v>
      </c>
      <c r="B1804" s="36">
        <v>134</v>
      </c>
      <c r="C1804" t="s">
        <v>2692</v>
      </c>
      <c r="D1804">
        <v>4</v>
      </c>
      <c r="E1804" s="18">
        <v>-400</v>
      </c>
      <c r="G1804" t="s">
        <v>2693</v>
      </c>
      <c r="H1804" s="18" t="s">
        <v>442</v>
      </c>
      <c r="I1804" s="3" t="s">
        <v>442</v>
      </c>
      <c r="J1804"/>
      <c r="L1804"/>
      <c r="M1804"/>
      <c r="N1804" s="20"/>
      <c r="O1804" t="s">
        <v>947</v>
      </c>
      <c r="P1804" s="20"/>
      <c r="Q1804" s="20"/>
      <c r="R1804" s="20"/>
      <c r="S1804" s="20"/>
      <c r="T1804" s="20"/>
    </row>
    <row r="1805" spans="1:20" x14ac:dyDescent="0.25">
      <c r="A1805" s="3">
        <v>41845</v>
      </c>
      <c r="B1805" s="36">
        <v>134</v>
      </c>
      <c r="C1805" t="s">
        <v>2694</v>
      </c>
      <c r="D1805">
        <v>9.5</v>
      </c>
      <c r="E1805" s="18">
        <v>950</v>
      </c>
      <c r="G1805" t="s">
        <v>2695</v>
      </c>
      <c r="H1805" s="18">
        <v>950</v>
      </c>
      <c r="I1805" s="3">
        <v>41845</v>
      </c>
      <c r="J1805"/>
      <c r="L1805"/>
      <c r="M1805"/>
      <c r="N1805" s="20"/>
      <c r="O1805" t="s">
        <v>931</v>
      </c>
      <c r="P1805" s="20"/>
      <c r="Q1805" s="20"/>
      <c r="R1805" s="20"/>
      <c r="S1805" s="20"/>
      <c r="T1805" s="20"/>
    </row>
    <row r="1806" spans="1:20" x14ac:dyDescent="0.25">
      <c r="A1806" s="3">
        <v>41851</v>
      </c>
      <c r="B1806" s="36">
        <v>134</v>
      </c>
      <c r="C1806" t="s">
        <v>2696</v>
      </c>
      <c r="D1806">
        <v>9</v>
      </c>
      <c r="E1806" s="18">
        <v>900</v>
      </c>
      <c r="F1806" t="s">
        <v>889</v>
      </c>
      <c r="G1806" t="s">
        <v>2697</v>
      </c>
      <c r="H1806" s="18">
        <v>900</v>
      </c>
      <c r="I1806" s="3">
        <v>41851</v>
      </c>
      <c r="J1806"/>
      <c r="L1806"/>
      <c r="M1806"/>
      <c r="N1806" s="20"/>
      <c r="O1806" t="s">
        <v>931</v>
      </c>
      <c r="P1806" s="20"/>
      <c r="Q1806" s="20"/>
      <c r="R1806" s="20"/>
      <c r="S1806" s="20"/>
      <c r="T1806" s="20"/>
    </row>
    <row r="1807" spans="1:20" x14ac:dyDescent="0.25">
      <c r="A1807" s="3">
        <v>41851</v>
      </c>
      <c r="B1807" s="36">
        <v>134</v>
      </c>
      <c r="C1807" t="s">
        <v>2698</v>
      </c>
      <c r="D1807">
        <v>5.5</v>
      </c>
      <c r="E1807" s="18">
        <v>550</v>
      </c>
      <c r="F1807" t="s">
        <v>889</v>
      </c>
      <c r="G1807" t="s">
        <v>2699</v>
      </c>
      <c r="H1807" s="18">
        <v>550</v>
      </c>
      <c r="I1807" s="3">
        <v>41851</v>
      </c>
      <c r="J1807"/>
      <c r="L1807"/>
      <c r="M1807"/>
      <c r="N1807" s="20"/>
      <c r="O1807" t="s">
        <v>931</v>
      </c>
      <c r="P1807" s="20"/>
      <c r="Q1807" s="20"/>
      <c r="R1807" s="20"/>
      <c r="S1807" s="20"/>
      <c r="T1807" s="20"/>
    </row>
    <row r="1808" spans="1:20" x14ac:dyDescent="0.25">
      <c r="A1808" s="3">
        <v>41851</v>
      </c>
      <c r="B1808" s="36">
        <v>134</v>
      </c>
      <c r="C1808" t="s">
        <v>1482</v>
      </c>
      <c r="E1808" s="18">
        <v>-162.95322580000001</v>
      </c>
      <c r="G1808" t="s">
        <v>442</v>
      </c>
      <c r="H1808" s="18" t="s">
        <v>442</v>
      </c>
      <c r="I1808" s="3" t="s">
        <v>442</v>
      </c>
      <c r="J1808"/>
      <c r="L1808"/>
      <c r="M1808"/>
      <c r="N1808" s="20"/>
      <c r="O1808" t="s">
        <v>1219</v>
      </c>
      <c r="P1808" s="20"/>
      <c r="Q1808" s="20" t="s">
        <v>401</v>
      </c>
      <c r="R1808" s="20"/>
      <c r="S1808" s="20"/>
      <c r="T1808" s="20"/>
    </row>
    <row r="1809" spans="1:21" x14ac:dyDescent="0.25">
      <c r="A1809" s="3">
        <v>41851</v>
      </c>
      <c r="B1809" s="36">
        <v>134</v>
      </c>
      <c r="C1809" t="s">
        <v>1483</v>
      </c>
      <c r="E1809" s="18">
        <v>-162.95322580000001</v>
      </c>
      <c r="F1809" t="s">
        <v>2700</v>
      </c>
      <c r="G1809" t="s">
        <v>442</v>
      </c>
      <c r="H1809" s="18" t="s">
        <v>442</v>
      </c>
      <c r="I1809" s="3" t="s">
        <v>442</v>
      </c>
      <c r="J1809"/>
      <c r="L1809"/>
      <c r="M1809"/>
      <c r="N1809" s="20"/>
      <c r="O1809" t="s">
        <v>1228</v>
      </c>
      <c r="P1809" s="20"/>
      <c r="Q1809" s="20" t="s">
        <v>401</v>
      </c>
      <c r="R1809" s="20"/>
      <c r="S1809" s="20"/>
      <c r="T1809" s="20"/>
    </row>
    <row r="1810" spans="1:21" x14ac:dyDescent="0.25">
      <c r="A1810" s="3">
        <v>41851</v>
      </c>
      <c r="B1810" s="36">
        <v>134</v>
      </c>
      <c r="C1810" t="s">
        <v>1237</v>
      </c>
      <c r="E1810" s="18">
        <v>-162.95322580000001</v>
      </c>
      <c r="F1810" t="s">
        <v>1484</v>
      </c>
      <c r="G1810" t="s">
        <v>442</v>
      </c>
      <c r="H1810" s="18" t="s">
        <v>442</v>
      </c>
      <c r="I1810" s="3" t="s">
        <v>442</v>
      </c>
      <c r="J1810"/>
      <c r="L1810"/>
      <c r="M1810"/>
      <c r="N1810" s="20"/>
      <c r="O1810" t="s">
        <v>1238</v>
      </c>
      <c r="P1810" s="20"/>
      <c r="Q1810" s="20" t="s">
        <v>401</v>
      </c>
      <c r="R1810" s="20"/>
      <c r="S1810" s="20"/>
      <c r="T1810" s="20"/>
    </row>
    <row r="1811" spans="1:21" x14ac:dyDescent="0.25">
      <c r="A1811" s="3">
        <v>41877</v>
      </c>
      <c r="B1811" s="36">
        <v>134</v>
      </c>
      <c r="C1811" t="s">
        <v>2701</v>
      </c>
      <c r="E1811" s="18">
        <v>1000</v>
      </c>
      <c r="G1811" t="s">
        <v>442</v>
      </c>
      <c r="H1811" s="18" t="s">
        <v>442</v>
      </c>
      <c r="I1811" s="3" t="s">
        <v>442</v>
      </c>
      <c r="J1811"/>
      <c r="L1811"/>
      <c r="M1811"/>
      <c r="N1811" s="20"/>
      <c r="O1811"/>
      <c r="P1811" s="20"/>
      <c r="Q1811" s="20"/>
      <c r="R1811" s="20"/>
      <c r="S1811" s="20"/>
      <c r="T1811" s="20" t="s">
        <v>401</v>
      </c>
    </row>
    <row r="1812" spans="1:21" x14ac:dyDescent="0.25">
      <c r="A1812" s="3">
        <v>41929</v>
      </c>
      <c r="B1812" s="36">
        <v>134</v>
      </c>
      <c r="C1812" t="s">
        <v>2702</v>
      </c>
      <c r="E1812" s="18">
        <v>254.98</v>
      </c>
      <c r="F1812" t="s">
        <v>891</v>
      </c>
      <c r="H1812" s="18" t="s">
        <v>442</v>
      </c>
      <c r="I1812" s="3" t="s">
        <v>442</v>
      </c>
      <c r="J1812"/>
      <c r="L1812"/>
      <c r="M1812"/>
      <c r="N1812" s="20"/>
      <c r="O1812"/>
      <c r="P1812" s="20" t="s">
        <v>401</v>
      </c>
      <c r="Q1812" s="20"/>
      <c r="R1812" s="20"/>
      <c r="S1812" s="20"/>
      <c r="T1812" s="20"/>
    </row>
    <row r="1813" spans="1:21" x14ac:dyDescent="0.25">
      <c r="B1813">
        <v>134</v>
      </c>
      <c r="C1813" t="s">
        <v>2703</v>
      </c>
      <c r="D1813">
        <v>3.75</v>
      </c>
      <c r="E1813" s="18">
        <v>375</v>
      </c>
      <c r="F1813" t="s">
        <v>889</v>
      </c>
      <c r="G1813" t="s">
        <v>2704</v>
      </c>
      <c r="I1813"/>
      <c r="J1813"/>
      <c r="L1813"/>
      <c r="M1813"/>
      <c r="O1813"/>
      <c r="P1813" s="20"/>
      <c r="Q1813" s="20"/>
      <c r="R1813" s="20"/>
      <c r="S1813" s="20"/>
      <c r="T1813" s="20"/>
      <c r="U1813" t="s">
        <v>401</v>
      </c>
    </row>
    <row r="1814" spans="1:21" x14ac:dyDescent="0.25">
      <c r="B1814">
        <v>134</v>
      </c>
      <c r="C1814" t="s">
        <v>2703</v>
      </c>
      <c r="D1814">
        <v>3.75</v>
      </c>
      <c r="E1814" s="18">
        <v>375</v>
      </c>
      <c r="F1814" t="s">
        <v>889</v>
      </c>
      <c r="G1814" t="s">
        <v>2704</v>
      </c>
      <c r="I1814"/>
      <c r="J1814"/>
      <c r="L1814"/>
      <c r="M1814"/>
      <c r="O1814"/>
      <c r="P1814" s="20"/>
      <c r="Q1814" s="20"/>
      <c r="R1814" s="20"/>
      <c r="S1814" s="20"/>
      <c r="T1814" s="20"/>
      <c r="U1814" t="s">
        <v>401</v>
      </c>
    </row>
    <row r="1815" spans="1:21" x14ac:dyDescent="0.25">
      <c r="B1815">
        <v>134</v>
      </c>
      <c r="C1815" t="s">
        <v>2705</v>
      </c>
      <c r="D1815">
        <v>9</v>
      </c>
      <c r="E1815" s="18">
        <v>900</v>
      </c>
      <c r="F1815" t="s">
        <v>889</v>
      </c>
      <c r="G1815" t="s">
        <v>2706</v>
      </c>
      <c r="I1815"/>
      <c r="J1815"/>
      <c r="L1815"/>
      <c r="M1815"/>
      <c r="O1815"/>
      <c r="P1815" s="20"/>
      <c r="Q1815" s="20"/>
      <c r="R1815" s="20"/>
      <c r="S1815" s="20"/>
      <c r="T1815" s="20"/>
      <c r="U1815" t="s">
        <v>401</v>
      </c>
    </row>
    <row r="1816" spans="1:21" x14ac:dyDescent="0.25">
      <c r="B1816">
        <v>134</v>
      </c>
      <c r="C1816" t="s">
        <v>2705</v>
      </c>
      <c r="D1816">
        <v>9</v>
      </c>
      <c r="E1816" s="18">
        <v>-900</v>
      </c>
      <c r="F1816" t="s">
        <v>889</v>
      </c>
      <c r="G1816" t="s">
        <v>2706</v>
      </c>
      <c r="I1816"/>
      <c r="J1816"/>
      <c r="L1816"/>
      <c r="M1816"/>
      <c r="O1816"/>
      <c r="P1816" s="20"/>
      <c r="Q1816" s="20"/>
      <c r="R1816" s="20"/>
      <c r="S1816" s="20"/>
      <c r="T1816" s="20"/>
      <c r="U1816" t="s">
        <v>401</v>
      </c>
    </row>
    <row r="1817" spans="1:21" x14ac:dyDescent="0.25">
      <c r="B1817">
        <v>134</v>
      </c>
      <c r="C1817" t="s">
        <v>2707</v>
      </c>
      <c r="D1817">
        <v>5.25</v>
      </c>
      <c r="E1817" s="18">
        <v>525</v>
      </c>
      <c r="F1817" t="s">
        <v>889</v>
      </c>
      <c r="G1817" t="s">
        <v>2708</v>
      </c>
      <c r="I1817"/>
      <c r="J1817"/>
      <c r="L1817"/>
      <c r="M1817"/>
      <c r="O1817"/>
      <c r="P1817" s="20"/>
      <c r="Q1817" s="20"/>
      <c r="R1817" s="20"/>
      <c r="S1817" s="20"/>
      <c r="T1817" s="20"/>
      <c r="U1817" t="s">
        <v>401</v>
      </c>
    </row>
    <row r="1818" spans="1:21" x14ac:dyDescent="0.25">
      <c r="B1818">
        <v>134</v>
      </c>
      <c r="C1818" t="s">
        <v>2707</v>
      </c>
      <c r="D1818">
        <v>5.25</v>
      </c>
      <c r="E1818" s="18">
        <v>-525</v>
      </c>
      <c r="F1818" t="s">
        <v>889</v>
      </c>
      <c r="G1818" t="s">
        <v>2708</v>
      </c>
      <c r="I1818"/>
      <c r="J1818"/>
      <c r="L1818"/>
      <c r="M1818"/>
      <c r="O1818"/>
      <c r="P1818" s="20"/>
      <c r="Q1818" s="20"/>
      <c r="R1818" s="20"/>
      <c r="S1818" s="20"/>
      <c r="T1818" s="20"/>
      <c r="U1818" t="s">
        <v>401</v>
      </c>
    </row>
    <row r="1819" spans="1:21" x14ac:dyDescent="0.25">
      <c r="B1819">
        <v>134</v>
      </c>
      <c r="C1819" t="s">
        <v>2688</v>
      </c>
      <c r="D1819">
        <v>5.25</v>
      </c>
      <c r="E1819" s="18">
        <v>-525</v>
      </c>
      <c r="F1819" t="s">
        <v>889</v>
      </c>
      <c r="G1819" t="s">
        <v>2689</v>
      </c>
      <c r="I1819"/>
      <c r="J1819"/>
      <c r="L1819"/>
      <c r="M1819"/>
      <c r="O1819"/>
      <c r="P1819" s="20"/>
      <c r="Q1819" s="20"/>
      <c r="R1819" s="20"/>
      <c r="S1819" s="20"/>
      <c r="T1819" s="20"/>
      <c r="U1819" t="s">
        <v>401</v>
      </c>
    </row>
    <row r="1820" spans="1:21" x14ac:dyDescent="0.25">
      <c r="B1820">
        <v>134</v>
      </c>
      <c r="C1820" t="s">
        <v>2047</v>
      </c>
      <c r="D1820">
        <v>2</v>
      </c>
      <c r="E1820" s="18">
        <v>-200</v>
      </c>
      <c r="F1820" t="s">
        <v>891</v>
      </c>
      <c r="G1820" t="s">
        <v>442</v>
      </c>
      <c r="I1820"/>
      <c r="J1820"/>
      <c r="L1820"/>
      <c r="M1820"/>
      <c r="O1820"/>
      <c r="P1820" s="20"/>
      <c r="Q1820" s="20"/>
      <c r="R1820" s="20"/>
      <c r="S1820" s="20"/>
      <c r="T1820" s="20"/>
      <c r="U1820" t="s">
        <v>401</v>
      </c>
    </row>
    <row r="1821" spans="1:21" x14ac:dyDescent="0.25">
      <c r="B1821">
        <v>134</v>
      </c>
      <c r="C1821" t="s">
        <v>2696</v>
      </c>
      <c r="D1821">
        <v>9</v>
      </c>
      <c r="E1821" s="18">
        <v>-900</v>
      </c>
      <c r="F1821" t="s">
        <v>889</v>
      </c>
      <c r="G1821" t="s">
        <v>2697</v>
      </c>
      <c r="I1821"/>
      <c r="J1821"/>
      <c r="L1821"/>
      <c r="M1821"/>
      <c r="O1821"/>
      <c r="P1821" s="20"/>
      <c r="Q1821" s="20"/>
      <c r="R1821" s="20"/>
      <c r="S1821" s="20"/>
      <c r="T1821" s="20"/>
      <c r="U1821" t="s">
        <v>401</v>
      </c>
    </row>
    <row r="1822" spans="1:21" x14ac:dyDescent="0.25">
      <c r="B1822">
        <v>134</v>
      </c>
      <c r="C1822" t="s">
        <v>2698</v>
      </c>
      <c r="D1822">
        <v>5.5</v>
      </c>
      <c r="E1822" s="18">
        <v>183.33333333333334</v>
      </c>
      <c r="F1822" t="s">
        <v>889</v>
      </c>
      <c r="G1822" t="s">
        <v>2699</v>
      </c>
      <c r="I1822"/>
      <c r="J1822"/>
      <c r="L1822"/>
      <c r="M1822"/>
      <c r="O1822"/>
      <c r="P1822" s="20"/>
      <c r="Q1822" s="20"/>
      <c r="R1822" s="20"/>
      <c r="S1822" s="20"/>
      <c r="T1822" s="20"/>
      <c r="U1822" t="s">
        <v>401</v>
      </c>
    </row>
    <row r="1823" spans="1:21" x14ac:dyDescent="0.25">
      <c r="B1823">
        <v>134</v>
      </c>
      <c r="C1823" t="s">
        <v>2690</v>
      </c>
      <c r="D1823">
        <v>12.25</v>
      </c>
      <c r="E1823" s="18">
        <v>-1225</v>
      </c>
      <c r="F1823" t="s">
        <v>889</v>
      </c>
      <c r="G1823" t="s">
        <v>2691</v>
      </c>
      <c r="I1823"/>
      <c r="J1823"/>
      <c r="L1823"/>
      <c r="M1823"/>
      <c r="O1823"/>
      <c r="P1823" s="20"/>
      <c r="Q1823" s="20"/>
      <c r="R1823" s="20"/>
      <c r="S1823" s="20"/>
      <c r="T1823" s="20"/>
      <c r="U1823" t="s">
        <v>401</v>
      </c>
    </row>
    <row r="1824" spans="1:21" x14ac:dyDescent="0.25">
      <c r="B1824">
        <v>134</v>
      </c>
      <c r="C1824" t="s">
        <v>963</v>
      </c>
      <c r="E1824" s="18">
        <v>15.3</v>
      </c>
      <c r="F1824" t="s">
        <v>889</v>
      </c>
      <c r="G1824" t="s">
        <v>442</v>
      </c>
      <c r="I1824"/>
      <c r="J1824"/>
      <c r="L1824"/>
      <c r="M1824"/>
      <c r="O1824"/>
      <c r="P1824" s="20"/>
      <c r="Q1824" s="20"/>
      <c r="R1824" s="20"/>
      <c r="S1824" s="20"/>
      <c r="T1824" s="20"/>
      <c r="U1824" t="s">
        <v>401</v>
      </c>
    </row>
    <row r="1825" spans="1:21" x14ac:dyDescent="0.25">
      <c r="B1825">
        <v>134</v>
      </c>
      <c r="C1825" t="s">
        <v>2701</v>
      </c>
      <c r="E1825" s="18">
        <v>-1000</v>
      </c>
      <c r="G1825" t="s">
        <v>442</v>
      </c>
      <c r="I1825"/>
      <c r="J1825"/>
      <c r="L1825"/>
      <c r="M1825"/>
      <c r="O1825"/>
      <c r="P1825" s="20"/>
      <c r="Q1825" s="20"/>
      <c r="R1825" s="20"/>
      <c r="S1825" s="20"/>
      <c r="T1825" s="20"/>
      <c r="U1825" t="s">
        <v>401</v>
      </c>
    </row>
    <row r="1826" spans="1:21" x14ac:dyDescent="0.25">
      <c r="B1826">
        <v>134</v>
      </c>
      <c r="C1826" t="s">
        <v>2709</v>
      </c>
      <c r="D1826">
        <v>6.75</v>
      </c>
      <c r="E1826" s="18">
        <v>675</v>
      </c>
      <c r="F1826" t="s">
        <v>889</v>
      </c>
      <c r="G1826" t="s">
        <v>2710</v>
      </c>
      <c r="I1826"/>
      <c r="J1826"/>
      <c r="L1826"/>
      <c r="M1826"/>
      <c r="O1826"/>
      <c r="P1826" s="20"/>
      <c r="Q1826" s="20"/>
      <c r="R1826" s="20"/>
      <c r="S1826" s="20"/>
      <c r="T1826" s="20"/>
      <c r="U1826" t="s">
        <v>401</v>
      </c>
    </row>
    <row r="1827" spans="1:21" x14ac:dyDescent="0.25">
      <c r="B1827">
        <v>134</v>
      </c>
      <c r="C1827" t="s">
        <v>1480</v>
      </c>
      <c r="E1827" s="18">
        <v>-162.95322580000001</v>
      </c>
      <c r="F1827" t="s">
        <v>891</v>
      </c>
      <c r="G1827" t="s">
        <v>442</v>
      </c>
      <c r="I1827"/>
      <c r="J1827"/>
      <c r="L1827"/>
      <c r="M1827"/>
      <c r="O1827"/>
      <c r="P1827" s="20"/>
      <c r="Q1827" s="20"/>
      <c r="R1827" s="20"/>
      <c r="S1827" s="20"/>
      <c r="T1827" s="20"/>
      <c r="U1827" t="s">
        <v>401</v>
      </c>
    </row>
    <row r="1828" spans="1:21" x14ac:dyDescent="0.25">
      <c r="B1828">
        <v>134</v>
      </c>
      <c r="C1828" t="s">
        <v>1106</v>
      </c>
      <c r="E1828" s="18">
        <v>-162.95322580000001</v>
      </c>
      <c r="F1828" t="s">
        <v>891</v>
      </c>
      <c r="G1828" t="s">
        <v>442</v>
      </c>
      <c r="I1828"/>
      <c r="J1828"/>
      <c r="L1828"/>
      <c r="M1828"/>
      <c r="O1828"/>
      <c r="P1828" s="20"/>
      <c r="Q1828" s="20"/>
      <c r="R1828" s="20"/>
      <c r="S1828" s="20"/>
      <c r="T1828" s="20"/>
      <c r="U1828" t="s">
        <v>401</v>
      </c>
    </row>
    <row r="1829" spans="1:21" x14ac:dyDescent="0.25">
      <c r="B1829">
        <v>134</v>
      </c>
      <c r="C1829" t="s">
        <v>1108</v>
      </c>
      <c r="E1829" s="18">
        <v>-162.95322580000001</v>
      </c>
      <c r="F1829" t="s">
        <v>891</v>
      </c>
      <c r="G1829" t="s">
        <v>442</v>
      </c>
      <c r="I1829"/>
      <c r="J1829"/>
      <c r="L1829"/>
      <c r="M1829"/>
      <c r="O1829"/>
      <c r="P1829" s="20"/>
      <c r="Q1829" s="20"/>
      <c r="R1829" s="20"/>
      <c r="S1829" s="20"/>
      <c r="T1829" s="20"/>
      <c r="U1829" t="s">
        <v>401</v>
      </c>
    </row>
    <row r="1830" spans="1:21" x14ac:dyDescent="0.25">
      <c r="B1830">
        <v>134</v>
      </c>
      <c r="C1830" t="s">
        <v>1845</v>
      </c>
      <c r="E1830" s="18">
        <v>-162.95322580000001</v>
      </c>
      <c r="G1830" t="s">
        <v>442</v>
      </c>
      <c r="I1830"/>
      <c r="J1830"/>
      <c r="L1830"/>
      <c r="M1830"/>
      <c r="O1830"/>
      <c r="P1830" s="20"/>
      <c r="Q1830" s="20"/>
      <c r="R1830" s="20"/>
      <c r="S1830" s="20"/>
      <c r="T1830" s="20"/>
      <c r="U1830" t="s">
        <v>401</v>
      </c>
    </row>
    <row r="1831" spans="1:21" x14ac:dyDescent="0.25">
      <c r="B1831">
        <v>134</v>
      </c>
      <c r="C1831" t="s">
        <v>2650</v>
      </c>
      <c r="E1831" s="18">
        <v>-240.55</v>
      </c>
      <c r="G1831" t="s">
        <v>442</v>
      </c>
      <c r="I1831"/>
      <c r="J1831"/>
      <c r="L1831"/>
      <c r="M1831"/>
      <c r="O1831"/>
      <c r="P1831" s="20"/>
      <c r="Q1831" s="20"/>
      <c r="R1831" s="20"/>
      <c r="S1831" s="20"/>
      <c r="T1831" s="20"/>
      <c r="U1831" t="s">
        <v>401</v>
      </c>
    </row>
    <row r="1832" spans="1:21" x14ac:dyDescent="0.25">
      <c r="B1832">
        <v>134</v>
      </c>
      <c r="C1832" t="s">
        <v>1486</v>
      </c>
      <c r="E1832" s="18">
        <v>-216.495</v>
      </c>
      <c r="G1832" t="s">
        <v>442</v>
      </c>
      <c r="I1832"/>
      <c r="J1832"/>
      <c r="L1832"/>
      <c r="M1832"/>
      <c r="O1832"/>
      <c r="P1832" s="20"/>
      <c r="Q1832" s="20"/>
      <c r="R1832" s="20"/>
      <c r="S1832" s="20"/>
      <c r="T1832" s="20"/>
      <c r="U1832" t="s">
        <v>401</v>
      </c>
    </row>
    <row r="1833" spans="1:21" x14ac:dyDescent="0.25">
      <c r="B1833">
        <v>134</v>
      </c>
      <c r="C1833" t="s">
        <v>960</v>
      </c>
      <c r="E1833" s="18">
        <v>116.25</v>
      </c>
      <c r="I1833"/>
      <c r="J1833"/>
      <c r="L1833"/>
      <c r="M1833"/>
      <c r="O1833"/>
      <c r="P1833" s="20"/>
      <c r="Q1833" s="20"/>
      <c r="R1833" s="20"/>
      <c r="S1833" s="20"/>
      <c r="T1833" s="20"/>
      <c r="U1833" t="s">
        <v>401</v>
      </c>
    </row>
    <row r="1834" spans="1:21" x14ac:dyDescent="0.25">
      <c r="B1834">
        <v>134</v>
      </c>
      <c r="C1834" t="s">
        <v>2694</v>
      </c>
      <c r="D1834">
        <v>9.69</v>
      </c>
      <c r="E1834" s="18">
        <v>988</v>
      </c>
      <c r="F1834" t="s">
        <v>889</v>
      </c>
      <c r="G1834" t="s">
        <v>2695</v>
      </c>
      <c r="I1834"/>
      <c r="J1834"/>
      <c r="L1834"/>
      <c r="M1834"/>
      <c r="O1834"/>
      <c r="P1834" s="20"/>
      <c r="Q1834" s="20"/>
      <c r="R1834" s="20"/>
      <c r="S1834" s="20"/>
      <c r="T1834" s="20"/>
      <c r="U1834" t="s">
        <v>401</v>
      </c>
    </row>
    <row r="1835" spans="1:21" x14ac:dyDescent="0.25">
      <c r="B1835">
        <v>134</v>
      </c>
      <c r="C1835" t="s">
        <v>2711</v>
      </c>
      <c r="D1835">
        <v>9.69</v>
      </c>
      <c r="E1835" s="18">
        <v>-988</v>
      </c>
      <c r="F1835" t="s">
        <v>889</v>
      </c>
      <c r="G1835" t="s">
        <v>2695</v>
      </c>
      <c r="I1835"/>
      <c r="J1835"/>
      <c r="L1835"/>
      <c r="M1835"/>
      <c r="O1835"/>
      <c r="P1835" s="20"/>
      <c r="Q1835" s="20"/>
      <c r="R1835" s="20"/>
      <c r="S1835" s="20"/>
      <c r="T1835" s="20"/>
      <c r="U1835" t="s">
        <v>401</v>
      </c>
    </row>
    <row r="1836" spans="1:21" x14ac:dyDescent="0.25">
      <c r="B1836">
        <v>134</v>
      </c>
      <c r="C1836" t="s">
        <v>2712</v>
      </c>
      <c r="D1836">
        <v>9.5</v>
      </c>
      <c r="E1836" s="18">
        <v>-950</v>
      </c>
      <c r="F1836" t="s">
        <v>889</v>
      </c>
      <c r="G1836" t="s">
        <v>2695</v>
      </c>
      <c r="I1836"/>
      <c r="J1836"/>
      <c r="L1836"/>
      <c r="M1836"/>
      <c r="O1836"/>
      <c r="P1836" s="20"/>
      <c r="Q1836" s="20"/>
      <c r="R1836" s="20"/>
      <c r="S1836" s="20"/>
      <c r="T1836" s="20"/>
      <c r="U1836" t="s">
        <v>401</v>
      </c>
    </row>
    <row r="1837" spans="1:21" x14ac:dyDescent="0.25">
      <c r="A1837" s="3">
        <v>42041</v>
      </c>
      <c r="B1837">
        <v>136</v>
      </c>
      <c r="C1837" t="s">
        <v>2713</v>
      </c>
      <c r="E1837" s="18">
        <v>333.33333333333331</v>
      </c>
      <c r="F1837" t="s">
        <v>889</v>
      </c>
      <c r="G1837" t="s">
        <v>2714</v>
      </c>
      <c r="I1837"/>
      <c r="J1837"/>
      <c r="L1837"/>
      <c r="M1837"/>
      <c r="O1837"/>
      <c r="P1837" s="20"/>
      <c r="Q1837" s="20"/>
      <c r="R1837" s="20"/>
      <c r="S1837" s="20"/>
      <c r="T1837" s="20"/>
    </row>
    <row r="1838" spans="1:21" x14ac:dyDescent="0.25">
      <c r="A1838" s="3">
        <v>42041</v>
      </c>
      <c r="B1838">
        <v>136</v>
      </c>
      <c r="C1838" t="s">
        <v>2715</v>
      </c>
      <c r="E1838" s="18">
        <v>195.5</v>
      </c>
      <c r="F1838" t="s">
        <v>889</v>
      </c>
      <c r="G1838" t="s">
        <v>2716</v>
      </c>
      <c r="I1838"/>
      <c r="J1838"/>
      <c r="L1838"/>
      <c r="M1838"/>
      <c r="O1838"/>
      <c r="P1838" s="20"/>
      <c r="Q1838" s="20"/>
      <c r="R1838" s="20"/>
      <c r="S1838" s="20"/>
      <c r="T1838" s="20"/>
    </row>
    <row r="1839" spans="1:21" x14ac:dyDescent="0.25">
      <c r="A1839" s="3">
        <v>42041</v>
      </c>
      <c r="B1839">
        <v>136</v>
      </c>
      <c r="C1839" t="s">
        <v>2717</v>
      </c>
      <c r="E1839" s="18">
        <v>93.5</v>
      </c>
      <c r="F1839" t="s">
        <v>889</v>
      </c>
      <c r="G1839" t="s">
        <v>2718</v>
      </c>
      <c r="I1839"/>
      <c r="J1839"/>
      <c r="L1839"/>
      <c r="M1839"/>
      <c r="O1839"/>
      <c r="P1839" s="20"/>
      <c r="Q1839" s="20"/>
      <c r="R1839" s="20"/>
      <c r="S1839" s="20"/>
      <c r="T1839" s="20"/>
    </row>
    <row r="1840" spans="1:21" x14ac:dyDescent="0.25">
      <c r="A1840" s="3">
        <v>42041</v>
      </c>
      <c r="B1840">
        <v>136</v>
      </c>
      <c r="C1840" t="s">
        <v>2719</v>
      </c>
      <c r="E1840" s="18">
        <v>221</v>
      </c>
      <c r="F1840" t="s">
        <v>889</v>
      </c>
      <c r="G1840" t="s">
        <v>2720</v>
      </c>
      <c r="I1840"/>
      <c r="J1840"/>
      <c r="L1840"/>
      <c r="M1840"/>
      <c r="O1840"/>
      <c r="P1840" s="20"/>
      <c r="Q1840" s="20"/>
      <c r="R1840" s="20"/>
      <c r="S1840" s="20"/>
      <c r="T1840" s="20"/>
    </row>
    <row r="1841" spans="1:20" x14ac:dyDescent="0.25">
      <c r="A1841" s="3">
        <v>42041</v>
      </c>
      <c r="B1841">
        <v>136</v>
      </c>
      <c r="C1841" t="s">
        <v>2721</v>
      </c>
      <c r="E1841" s="18">
        <v>374</v>
      </c>
      <c r="F1841" t="s">
        <v>889</v>
      </c>
      <c r="G1841" t="s">
        <v>2722</v>
      </c>
      <c r="I1841"/>
      <c r="J1841"/>
      <c r="L1841"/>
      <c r="M1841"/>
      <c r="O1841"/>
      <c r="P1841" s="20"/>
      <c r="Q1841" s="20"/>
      <c r="R1841" s="20"/>
      <c r="S1841" s="20"/>
      <c r="T1841" s="20"/>
    </row>
    <row r="1842" spans="1:20" x14ac:dyDescent="0.25">
      <c r="A1842" s="3">
        <v>42041</v>
      </c>
      <c r="B1842">
        <v>136</v>
      </c>
      <c r="C1842" t="s">
        <v>2723</v>
      </c>
      <c r="E1842" s="18">
        <v>191.66666666666666</v>
      </c>
      <c r="F1842" t="s">
        <v>889</v>
      </c>
      <c r="G1842" t="s">
        <v>2724</v>
      </c>
      <c r="I1842"/>
      <c r="J1842"/>
      <c r="L1842"/>
      <c r="M1842"/>
      <c r="O1842"/>
      <c r="P1842" s="20"/>
      <c r="Q1842" s="20"/>
      <c r="R1842" s="20"/>
      <c r="S1842" s="20"/>
      <c r="T1842" s="20"/>
    </row>
    <row r="1843" spans="1:20" x14ac:dyDescent="0.25">
      <c r="A1843" s="3">
        <v>42041</v>
      </c>
      <c r="B1843">
        <v>136</v>
      </c>
      <c r="C1843" t="s">
        <v>2725</v>
      </c>
      <c r="E1843" s="18">
        <v>263.5</v>
      </c>
      <c r="F1843" t="s">
        <v>889</v>
      </c>
      <c r="G1843" t="s">
        <v>2726</v>
      </c>
      <c r="I1843"/>
      <c r="J1843"/>
      <c r="L1843"/>
      <c r="M1843"/>
      <c r="O1843"/>
      <c r="P1843" s="20"/>
      <c r="Q1843" s="20"/>
      <c r="R1843" s="20"/>
      <c r="S1843" s="20"/>
      <c r="T1843" s="20"/>
    </row>
    <row r="1844" spans="1:20" x14ac:dyDescent="0.25">
      <c r="A1844" s="3">
        <v>42041</v>
      </c>
      <c r="B1844">
        <v>136</v>
      </c>
      <c r="C1844" t="s">
        <v>2727</v>
      </c>
      <c r="E1844" s="18">
        <v>221</v>
      </c>
      <c r="F1844" t="s">
        <v>889</v>
      </c>
      <c r="G1844" t="s">
        <v>2728</v>
      </c>
      <c r="I1844"/>
      <c r="J1844"/>
      <c r="L1844"/>
      <c r="M1844"/>
      <c r="O1844"/>
      <c r="P1844" s="20"/>
      <c r="Q1844" s="20"/>
      <c r="R1844" s="20"/>
      <c r="S1844" s="20"/>
      <c r="T1844" s="20"/>
    </row>
    <row r="1845" spans="1:20" x14ac:dyDescent="0.25">
      <c r="A1845" s="3">
        <v>42041</v>
      </c>
      <c r="B1845">
        <v>136</v>
      </c>
      <c r="C1845" t="s">
        <v>2729</v>
      </c>
      <c r="E1845" s="18">
        <v>-1500</v>
      </c>
      <c r="F1845" t="s">
        <v>891</v>
      </c>
      <c r="I1845"/>
      <c r="J1845"/>
      <c r="L1845"/>
      <c r="M1845"/>
      <c r="O1845"/>
      <c r="P1845" s="20"/>
      <c r="Q1845" s="20" t="s">
        <v>401</v>
      </c>
      <c r="R1845" s="20"/>
      <c r="S1845" s="20"/>
      <c r="T1845" s="20"/>
    </row>
    <row r="1846" spans="1:20" x14ac:dyDescent="0.25">
      <c r="A1846" s="3">
        <v>42041</v>
      </c>
      <c r="B1846">
        <v>136</v>
      </c>
      <c r="C1846" t="s">
        <v>2730</v>
      </c>
      <c r="E1846" s="18">
        <v>169.99999999999997</v>
      </c>
      <c r="F1846" t="s">
        <v>889</v>
      </c>
      <c r="G1846" t="s">
        <v>2731</v>
      </c>
      <c r="I1846"/>
      <c r="J1846"/>
      <c r="L1846"/>
      <c r="M1846"/>
      <c r="O1846"/>
      <c r="P1846" s="20"/>
      <c r="Q1846" s="20"/>
      <c r="R1846" s="20"/>
      <c r="S1846" s="20"/>
      <c r="T1846" s="20"/>
    </row>
    <row r="1847" spans="1:20" x14ac:dyDescent="0.25">
      <c r="A1847" s="3">
        <v>42041</v>
      </c>
      <c r="B1847">
        <v>136</v>
      </c>
      <c r="C1847" t="s">
        <v>2732</v>
      </c>
      <c r="E1847" s="18">
        <v>382.5</v>
      </c>
      <c r="F1847" t="s">
        <v>889</v>
      </c>
      <c r="G1847" t="s">
        <v>2733</v>
      </c>
      <c r="I1847"/>
      <c r="J1847"/>
      <c r="L1847"/>
      <c r="M1847"/>
      <c r="O1847"/>
      <c r="P1847" s="20"/>
      <c r="Q1847" s="20"/>
      <c r="R1847" s="20"/>
      <c r="S1847" s="20"/>
      <c r="T1847" s="20"/>
    </row>
    <row r="1848" spans="1:20" x14ac:dyDescent="0.25">
      <c r="A1848" s="3">
        <v>42041</v>
      </c>
      <c r="B1848">
        <v>136</v>
      </c>
      <c r="C1848" t="s">
        <v>2734</v>
      </c>
      <c r="E1848" s="18">
        <v>246.5</v>
      </c>
      <c r="F1848" t="s">
        <v>889</v>
      </c>
      <c r="G1848" t="s">
        <v>2735</v>
      </c>
      <c r="I1848"/>
      <c r="J1848"/>
      <c r="L1848"/>
      <c r="M1848"/>
      <c r="O1848"/>
      <c r="P1848" s="20"/>
      <c r="Q1848" s="20"/>
      <c r="R1848" s="20"/>
      <c r="S1848" s="20"/>
      <c r="T1848" s="20"/>
    </row>
    <row r="1849" spans="1:20" x14ac:dyDescent="0.25">
      <c r="A1849" s="3">
        <v>42041</v>
      </c>
      <c r="B1849">
        <v>136</v>
      </c>
      <c r="C1849" t="s">
        <v>2736</v>
      </c>
      <c r="E1849" s="18">
        <v>119</v>
      </c>
      <c r="F1849" t="s">
        <v>889</v>
      </c>
      <c r="G1849" t="s">
        <v>2737</v>
      </c>
      <c r="I1849"/>
      <c r="J1849"/>
      <c r="L1849"/>
      <c r="M1849"/>
      <c r="O1849"/>
      <c r="P1849" s="20"/>
      <c r="Q1849" s="20"/>
      <c r="R1849" s="20"/>
      <c r="S1849" s="20"/>
      <c r="T1849" s="20"/>
    </row>
    <row r="1850" spans="1:20" x14ac:dyDescent="0.25">
      <c r="A1850" s="3">
        <v>42041</v>
      </c>
      <c r="B1850">
        <v>136</v>
      </c>
      <c r="C1850" t="s">
        <v>2738</v>
      </c>
      <c r="E1850" s="18">
        <v>195.5</v>
      </c>
      <c r="F1850" t="s">
        <v>889</v>
      </c>
      <c r="G1850" t="s">
        <v>2739</v>
      </c>
      <c r="I1850"/>
      <c r="J1850"/>
      <c r="L1850"/>
      <c r="M1850"/>
      <c r="O1850"/>
      <c r="P1850" s="20"/>
      <c r="Q1850" s="20"/>
      <c r="R1850" s="20"/>
      <c r="S1850" s="20"/>
      <c r="T1850" s="20"/>
    </row>
    <row r="1851" spans="1:20" x14ac:dyDescent="0.25">
      <c r="A1851" s="3">
        <v>42041</v>
      </c>
      <c r="B1851">
        <v>136</v>
      </c>
      <c r="C1851" t="s">
        <v>2740</v>
      </c>
      <c r="E1851" s="18">
        <v>120.66666666666667</v>
      </c>
      <c r="F1851" t="s">
        <v>889</v>
      </c>
      <c r="G1851" t="s">
        <v>2741</v>
      </c>
      <c r="I1851"/>
      <c r="J1851"/>
      <c r="L1851"/>
      <c r="M1851"/>
      <c r="O1851"/>
      <c r="P1851" s="20"/>
      <c r="Q1851" s="20"/>
      <c r="R1851" s="20"/>
      <c r="S1851" s="20"/>
      <c r="T1851" s="20"/>
    </row>
    <row r="1852" spans="1:20" x14ac:dyDescent="0.25">
      <c r="A1852" s="3">
        <v>41796</v>
      </c>
      <c r="B1852" s="36">
        <v>137</v>
      </c>
      <c r="C1852" t="s">
        <v>2742</v>
      </c>
      <c r="D1852">
        <v>3.75</v>
      </c>
      <c r="E1852" s="18">
        <v>375</v>
      </c>
      <c r="G1852" t="s">
        <v>2743</v>
      </c>
      <c r="H1852" s="18">
        <v>375</v>
      </c>
      <c r="I1852" s="3">
        <v>41796</v>
      </c>
      <c r="J1852"/>
      <c r="L1852"/>
      <c r="M1852"/>
      <c r="N1852" s="20"/>
      <c r="O1852"/>
      <c r="P1852" s="20"/>
      <c r="Q1852" s="20"/>
      <c r="R1852" s="20"/>
      <c r="S1852" s="20"/>
      <c r="T1852" s="20"/>
    </row>
    <row r="1853" spans="1:20" x14ac:dyDescent="0.25">
      <c r="A1853" s="57">
        <v>41796</v>
      </c>
      <c r="B1853" s="42">
        <v>137</v>
      </c>
      <c r="C1853" s="45" t="s">
        <v>2474</v>
      </c>
      <c r="D1853" s="45">
        <v>3.5</v>
      </c>
      <c r="E1853" s="58">
        <v>350</v>
      </c>
      <c r="F1853" s="45"/>
      <c r="G1853" s="45" t="s">
        <v>2475</v>
      </c>
      <c r="H1853" s="18">
        <v>350</v>
      </c>
      <c r="I1853" s="3">
        <v>41796</v>
      </c>
      <c r="J1853" s="45"/>
      <c r="K1853" s="45"/>
      <c r="L1853" s="45"/>
      <c r="M1853" s="45"/>
      <c r="N1853" s="45"/>
      <c r="O1853" s="45" t="s">
        <v>2744</v>
      </c>
      <c r="P1853" s="20"/>
      <c r="Q1853" s="20"/>
      <c r="R1853" s="20"/>
      <c r="S1853" s="20"/>
      <c r="T1853" s="20"/>
    </row>
    <row r="1854" spans="1:20" x14ac:dyDescent="0.25">
      <c r="A1854" s="3">
        <v>41803</v>
      </c>
      <c r="B1854" s="36">
        <v>137</v>
      </c>
      <c r="C1854" t="s">
        <v>2745</v>
      </c>
      <c r="D1854">
        <v>6.75</v>
      </c>
      <c r="E1854" s="18">
        <v>675</v>
      </c>
      <c r="G1854" t="s">
        <v>2746</v>
      </c>
      <c r="H1854" s="18">
        <v>675</v>
      </c>
      <c r="I1854" s="3">
        <v>41803</v>
      </c>
      <c r="J1854"/>
      <c r="L1854"/>
      <c r="M1854"/>
      <c r="N1854" s="20"/>
      <c r="O1854" t="s">
        <v>1169</v>
      </c>
      <c r="P1854" s="20"/>
      <c r="Q1854" s="20"/>
      <c r="R1854" s="20"/>
      <c r="S1854" s="20"/>
      <c r="T1854" s="20"/>
    </row>
    <row r="1855" spans="1:20" x14ac:dyDescent="0.25">
      <c r="A1855" s="3">
        <v>41803</v>
      </c>
      <c r="B1855" s="36">
        <v>137</v>
      </c>
      <c r="C1855" t="s">
        <v>2747</v>
      </c>
      <c r="D1855">
        <v>4.5</v>
      </c>
      <c r="E1855" s="18">
        <v>450</v>
      </c>
      <c r="G1855" t="s">
        <v>2748</v>
      </c>
      <c r="H1855" s="18">
        <v>450</v>
      </c>
      <c r="I1855" s="3">
        <v>41803</v>
      </c>
      <c r="J1855"/>
      <c r="L1855"/>
      <c r="M1855"/>
      <c r="N1855" s="20"/>
      <c r="O1855" t="s">
        <v>1169</v>
      </c>
      <c r="P1855" s="20"/>
      <c r="Q1855" s="20"/>
      <c r="R1855" s="20"/>
      <c r="S1855" s="20"/>
      <c r="T1855" s="20"/>
    </row>
    <row r="1856" spans="1:20" x14ac:dyDescent="0.25">
      <c r="A1856" s="3">
        <v>41803</v>
      </c>
      <c r="B1856" s="36">
        <v>137</v>
      </c>
      <c r="C1856" t="s">
        <v>2749</v>
      </c>
      <c r="D1856">
        <v>6</v>
      </c>
      <c r="E1856" s="18">
        <v>600</v>
      </c>
      <c r="G1856" t="s">
        <v>2750</v>
      </c>
      <c r="H1856" s="18">
        <v>600</v>
      </c>
      <c r="I1856" s="3">
        <v>41803</v>
      </c>
      <c r="J1856"/>
      <c r="L1856"/>
      <c r="M1856"/>
      <c r="N1856" s="20"/>
      <c r="O1856" t="s">
        <v>1169</v>
      </c>
      <c r="P1856" s="20"/>
      <c r="Q1856" s="20"/>
      <c r="R1856" s="20"/>
      <c r="S1856" s="20"/>
      <c r="T1856" s="20"/>
    </row>
    <row r="1857" spans="1:21" x14ac:dyDescent="0.25">
      <c r="A1857" s="3">
        <v>41803</v>
      </c>
      <c r="B1857" s="36">
        <v>137</v>
      </c>
      <c r="C1857" t="s">
        <v>2751</v>
      </c>
      <c r="D1857">
        <v>7</v>
      </c>
      <c r="E1857" s="18">
        <v>700</v>
      </c>
      <c r="G1857" t="s">
        <v>2752</v>
      </c>
      <c r="H1857" s="18">
        <v>700</v>
      </c>
      <c r="I1857" s="3">
        <v>41803</v>
      </c>
      <c r="J1857"/>
      <c r="L1857"/>
      <c r="M1857"/>
      <c r="N1857" s="20"/>
      <c r="O1857" t="s">
        <v>1169</v>
      </c>
      <c r="P1857" s="20"/>
      <c r="Q1857" s="20"/>
      <c r="R1857" s="20"/>
      <c r="S1857" s="20"/>
      <c r="T1857" s="20"/>
    </row>
    <row r="1858" spans="1:21" x14ac:dyDescent="0.25">
      <c r="A1858" s="3">
        <v>41803</v>
      </c>
      <c r="B1858" s="36">
        <v>137</v>
      </c>
      <c r="C1858" t="s">
        <v>2753</v>
      </c>
      <c r="D1858">
        <v>2.5</v>
      </c>
      <c r="E1858" s="18">
        <v>250</v>
      </c>
      <c r="G1858" t="s">
        <v>2754</v>
      </c>
      <c r="H1858" s="18">
        <v>250</v>
      </c>
      <c r="I1858" s="3">
        <v>41803</v>
      </c>
      <c r="J1858"/>
      <c r="L1858"/>
      <c r="M1858"/>
      <c r="N1858" s="20"/>
      <c r="O1858" t="s">
        <v>1169</v>
      </c>
      <c r="P1858" s="20"/>
      <c r="Q1858" s="20"/>
      <c r="R1858" s="20"/>
      <c r="S1858" s="20"/>
      <c r="T1858" s="20"/>
    </row>
    <row r="1859" spans="1:21" x14ac:dyDescent="0.25">
      <c r="A1859" s="3">
        <v>41803</v>
      </c>
      <c r="B1859" s="36">
        <v>137</v>
      </c>
      <c r="C1859" t="s">
        <v>2755</v>
      </c>
      <c r="D1859">
        <v>3</v>
      </c>
      <c r="E1859" s="18">
        <v>300</v>
      </c>
      <c r="G1859" t="s">
        <v>2756</v>
      </c>
      <c r="H1859" s="18">
        <v>300</v>
      </c>
      <c r="I1859" s="3">
        <v>41803</v>
      </c>
      <c r="J1859"/>
      <c r="L1859"/>
      <c r="M1859"/>
      <c r="N1859" s="20"/>
      <c r="O1859" t="s">
        <v>1169</v>
      </c>
      <c r="P1859" s="20"/>
      <c r="Q1859" s="20"/>
      <c r="R1859" s="20"/>
      <c r="S1859" s="20"/>
      <c r="T1859" s="20"/>
    </row>
    <row r="1860" spans="1:21" x14ac:dyDescent="0.25">
      <c r="A1860" s="3">
        <v>41803</v>
      </c>
      <c r="B1860" s="36">
        <v>137</v>
      </c>
      <c r="C1860" t="s">
        <v>2757</v>
      </c>
      <c r="D1860">
        <v>2.75</v>
      </c>
      <c r="E1860" s="18">
        <v>275</v>
      </c>
      <c r="G1860" t="s">
        <v>2758</v>
      </c>
      <c r="H1860" s="18">
        <v>275</v>
      </c>
      <c r="I1860" s="3">
        <v>41803</v>
      </c>
      <c r="J1860"/>
      <c r="L1860"/>
      <c r="M1860"/>
      <c r="N1860" s="20"/>
      <c r="O1860" t="s">
        <v>1169</v>
      </c>
      <c r="P1860" s="20"/>
      <c r="Q1860" s="20"/>
      <c r="R1860" s="20"/>
      <c r="S1860" s="20"/>
      <c r="T1860" s="20"/>
    </row>
    <row r="1861" spans="1:21" x14ac:dyDescent="0.25">
      <c r="A1861" s="3">
        <v>41803</v>
      </c>
      <c r="B1861" s="36">
        <v>137</v>
      </c>
      <c r="C1861" t="s">
        <v>2759</v>
      </c>
      <c r="D1861">
        <v>7.25</v>
      </c>
      <c r="E1861" s="18">
        <v>725</v>
      </c>
      <c r="G1861" t="s">
        <v>2760</v>
      </c>
      <c r="H1861" s="18">
        <v>725</v>
      </c>
      <c r="I1861" s="3">
        <v>41803</v>
      </c>
      <c r="J1861"/>
      <c r="L1861"/>
      <c r="M1861"/>
      <c r="N1861" s="20"/>
      <c r="O1861" t="s">
        <v>1169</v>
      </c>
      <c r="P1861" s="20"/>
      <c r="Q1861" s="20"/>
      <c r="R1861" s="20"/>
      <c r="S1861" s="20"/>
      <c r="T1861" s="20"/>
    </row>
    <row r="1862" spans="1:21" x14ac:dyDescent="0.25">
      <c r="A1862" s="3">
        <v>41803</v>
      </c>
      <c r="B1862" s="36">
        <v>137</v>
      </c>
      <c r="C1862" t="s">
        <v>2761</v>
      </c>
      <c r="D1862">
        <v>5.25</v>
      </c>
      <c r="E1862" s="18">
        <v>525</v>
      </c>
      <c r="G1862" t="s">
        <v>2762</v>
      </c>
      <c r="H1862" s="18">
        <v>525</v>
      </c>
      <c r="I1862" s="3">
        <v>41803</v>
      </c>
      <c r="J1862"/>
      <c r="L1862"/>
      <c r="M1862"/>
      <c r="N1862" s="20"/>
      <c r="O1862" t="s">
        <v>1169</v>
      </c>
      <c r="P1862" s="20"/>
      <c r="Q1862" s="20"/>
      <c r="R1862" s="20"/>
      <c r="S1862" s="20"/>
      <c r="T1862" s="20"/>
    </row>
    <row r="1863" spans="1:21" x14ac:dyDescent="0.25">
      <c r="A1863" s="3">
        <v>41803</v>
      </c>
      <c r="B1863" s="36">
        <v>137</v>
      </c>
      <c r="C1863" t="s">
        <v>2763</v>
      </c>
      <c r="D1863">
        <v>5.75</v>
      </c>
      <c r="E1863" s="18">
        <v>575</v>
      </c>
      <c r="G1863" t="s">
        <v>2764</v>
      </c>
      <c r="H1863" s="18">
        <v>575</v>
      </c>
      <c r="I1863" s="3">
        <v>41803</v>
      </c>
      <c r="J1863"/>
      <c r="L1863"/>
      <c r="M1863"/>
      <c r="N1863" s="20"/>
      <c r="O1863" t="s">
        <v>1169</v>
      </c>
      <c r="P1863" s="20"/>
      <c r="Q1863" s="20"/>
      <c r="R1863" s="20"/>
      <c r="S1863" s="20"/>
      <c r="T1863" s="20"/>
    </row>
    <row r="1864" spans="1:21" x14ac:dyDescent="0.25">
      <c r="A1864" s="3">
        <v>41803</v>
      </c>
      <c r="B1864" s="36">
        <v>137</v>
      </c>
      <c r="C1864" t="s">
        <v>2765</v>
      </c>
      <c r="D1864">
        <v>5.5</v>
      </c>
      <c r="E1864" s="18">
        <v>550</v>
      </c>
      <c r="G1864" t="s">
        <v>2766</v>
      </c>
      <c r="H1864" s="18">
        <v>550</v>
      </c>
      <c r="I1864" s="3">
        <v>41803</v>
      </c>
      <c r="J1864"/>
      <c r="L1864"/>
      <c r="M1864"/>
      <c r="N1864" s="20"/>
      <c r="O1864" t="s">
        <v>1169</v>
      </c>
      <c r="P1864" s="20"/>
      <c r="Q1864" s="20"/>
      <c r="R1864" s="20"/>
      <c r="S1864" s="20"/>
      <c r="T1864" s="20"/>
    </row>
    <row r="1865" spans="1:21" x14ac:dyDescent="0.25">
      <c r="A1865" s="3">
        <v>41810</v>
      </c>
      <c r="B1865" s="36">
        <v>137</v>
      </c>
      <c r="C1865" t="s">
        <v>2767</v>
      </c>
      <c r="D1865">
        <v>9.9450000000000003</v>
      </c>
      <c r="E1865" s="18">
        <v>994.5</v>
      </c>
      <c r="G1865" t="s">
        <v>2768</v>
      </c>
      <c r="H1865" s="18">
        <v>994.5</v>
      </c>
      <c r="I1865" s="3">
        <v>41810</v>
      </c>
      <c r="J1865"/>
      <c r="L1865"/>
      <c r="M1865"/>
      <c r="N1865" s="20"/>
      <c r="O1865" t="s">
        <v>905</v>
      </c>
      <c r="P1865" s="20"/>
      <c r="Q1865" s="20"/>
      <c r="R1865" s="20"/>
      <c r="S1865" s="20"/>
      <c r="T1865" s="20"/>
    </row>
    <row r="1866" spans="1:21" x14ac:dyDescent="0.25">
      <c r="A1866" s="3">
        <v>41810</v>
      </c>
      <c r="B1866" s="36">
        <v>137</v>
      </c>
      <c r="C1866" t="s">
        <v>2769</v>
      </c>
      <c r="E1866" s="18">
        <v>-71.428571428571431</v>
      </c>
      <c r="G1866" t="s">
        <v>442</v>
      </c>
      <c r="H1866" s="18" t="s">
        <v>442</v>
      </c>
      <c r="I1866" s="3" t="s">
        <v>442</v>
      </c>
      <c r="J1866"/>
      <c r="L1866"/>
      <c r="M1866"/>
      <c r="N1866" s="20"/>
      <c r="O1866" t="s">
        <v>2770</v>
      </c>
      <c r="P1866" s="20"/>
      <c r="Q1866" s="20" t="s">
        <v>401</v>
      </c>
      <c r="R1866" s="20"/>
      <c r="S1866" s="20"/>
      <c r="T1866" s="20"/>
    </row>
    <row r="1867" spans="1:21" x14ac:dyDescent="0.25">
      <c r="B1867">
        <v>137</v>
      </c>
      <c r="C1867" t="s">
        <v>2747</v>
      </c>
      <c r="D1867">
        <v>4.59</v>
      </c>
      <c r="E1867" s="18">
        <v>-450</v>
      </c>
      <c r="F1867" t="s">
        <v>889</v>
      </c>
      <c r="G1867" t="s">
        <v>2748</v>
      </c>
      <c r="I1867"/>
      <c r="J1867"/>
      <c r="L1867"/>
      <c r="M1867"/>
      <c r="O1867"/>
      <c r="P1867" s="20"/>
      <c r="Q1867" s="20"/>
      <c r="R1867" s="20"/>
      <c r="S1867" s="20"/>
      <c r="T1867" s="20"/>
      <c r="U1867" t="s">
        <v>401</v>
      </c>
    </row>
    <row r="1868" spans="1:21" x14ac:dyDescent="0.25">
      <c r="B1868">
        <v>137</v>
      </c>
      <c r="C1868" t="s">
        <v>2771</v>
      </c>
      <c r="D1868">
        <v>4.335</v>
      </c>
      <c r="E1868" s="18">
        <v>267</v>
      </c>
      <c r="F1868" t="s">
        <v>889</v>
      </c>
      <c r="G1868" t="s">
        <v>2750</v>
      </c>
      <c r="I1868"/>
      <c r="J1868"/>
      <c r="L1868"/>
      <c r="M1868"/>
      <c r="O1868"/>
      <c r="P1868" s="20"/>
      <c r="Q1868" s="20"/>
      <c r="R1868" s="20"/>
      <c r="S1868" s="20"/>
      <c r="T1868" s="20"/>
      <c r="U1868" t="s">
        <v>401</v>
      </c>
    </row>
    <row r="1869" spans="1:21" x14ac:dyDescent="0.25">
      <c r="B1869">
        <v>137</v>
      </c>
      <c r="C1869" t="s">
        <v>2584</v>
      </c>
      <c r="E1869" s="18">
        <v>-200</v>
      </c>
      <c r="F1869" t="s">
        <v>2047</v>
      </c>
      <c r="G1869" t="s">
        <v>442</v>
      </c>
      <c r="I1869"/>
      <c r="J1869"/>
      <c r="L1869"/>
      <c r="M1869"/>
      <c r="O1869"/>
      <c r="P1869" s="20"/>
      <c r="Q1869" s="20"/>
      <c r="R1869" s="20"/>
      <c r="S1869" s="20"/>
      <c r="T1869" s="20"/>
      <c r="U1869" t="s">
        <v>401</v>
      </c>
    </row>
    <row r="1870" spans="1:21" x14ac:dyDescent="0.25">
      <c r="B1870">
        <v>137</v>
      </c>
      <c r="C1870" t="s">
        <v>2753</v>
      </c>
      <c r="D1870">
        <v>2.04</v>
      </c>
      <c r="E1870" s="18">
        <v>-250</v>
      </c>
      <c r="F1870" t="s">
        <v>889</v>
      </c>
      <c r="G1870" t="s">
        <v>2754</v>
      </c>
      <c r="I1870"/>
      <c r="J1870"/>
      <c r="L1870"/>
      <c r="M1870"/>
      <c r="O1870"/>
      <c r="P1870" s="20"/>
      <c r="Q1870" s="20"/>
      <c r="R1870" s="20"/>
      <c r="S1870" s="20"/>
      <c r="T1870" s="20"/>
      <c r="U1870" t="s">
        <v>401</v>
      </c>
    </row>
    <row r="1871" spans="1:21" x14ac:dyDescent="0.25">
      <c r="B1871">
        <v>137</v>
      </c>
      <c r="C1871" t="s">
        <v>2742</v>
      </c>
      <c r="D1871">
        <v>3.57</v>
      </c>
      <c r="E1871" s="18">
        <v>-375</v>
      </c>
      <c r="F1871" t="s">
        <v>889</v>
      </c>
      <c r="G1871" t="s">
        <v>2743</v>
      </c>
      <c r="I1871"/>
      <c r="J1871"/>
      <c r="L1871"/>
      <c r="M1871"/>
      <c r="O1871"/>
      <c r="P1871" s="20"/>
      <c r="Q1871" s="20"/>
      <c r="R1871" s="20"/>
      <c r="S1871" s="20"/>
      <c r="T1871" s="20"/>
      <c r="U1871" t="s">
        <v>401</v>
      </c>
    </row>
    <row r="1872" spans="1:21" x14ac:dyDescent="0.25">
      <c r="B1872">
        <v>137</v>
      </c>
      <c r="C1872" t="s">
        <v>2474</v>
      </c>
      <c r="D1872">
        <v>3.5</v>
      </c>
      <c r="E1872" s="18">
        <v>-350</v>
      </c>
      <c r="F1872" t="s">
        <v>889</v>
      </c>
      <c r="G1872" t="s">
        <v>2475</v>
      </c>
      <c r="I1872"/>
      <c r="J1872"/>
      <c r="L1872"/>
      <c r="M1872"/>
      <c r="O1872"/>
      <c r="P1872" s="20"/>
      <c r="Q1872" s="20"/>
      <c r="R1872" s="20"/>
      <c r="S1872" s="20"/>
      <c r="T1872" s="20"/>
      <c r="U1872" t="s">
        <v>401</v>
      </c>
    </row>
    <row r="1873" spans="1:21" x14ac:dyDescent="0.25">
      <c r="B1873">
        <v>137</v>
      </c>
      <c r="C1873" t="s">
        <v>2755</v>
      </c>
      <c r="D1873">
        <v>3.06</v>
      </c>
      <c r="E1873" s="18">
        <v>-300</v>
      </c>
      <c r="F1873" t="s">
        <v>889</v>
      </c>
      <c r="G1873" t="s">
        <v>2756</v>
      </c>
      <c r="I1873"/>
      <c r="J1873"/>
      <c r="L1873"/>
      <c r="M1873"/>
      <c r="O1873"/>
      <c r="P1873" s="20"/>
      <c r="Q1873" s="20"/>
      <c r="R1873" s="20"/>
      <c r="S1873" s="20"/>
      <c r="T1873" s="20"/>
      <c r="U1873" t="s">
        <v>401</v>
      </c>
    </row>
    <row r="1874" spans="1:21" x14ac:dyDescent="0.25">
      <c r="B1874">
        <v>137</v>
      </c>
      <c r="C1874" t="s">
        <v>2772</v>
      </c>
      <c r="D1874">
        <v>4</v>
      </c>
      <c r="E1874" s="18">
        <v>400</v>
      </c>
      <c r="F1874" t="s">
        <v>889</v>
      </c>
      <c r="G1874" t="s">
        <v>2773</v>
      </c>
      <c r="I1874"/>
      <c r="J1874"/>
      <c r="L1874"/>
      <c r="M1874"/>
      <c r="O1874"/>
      <c r="P1874" s="20"/>
      <c r="Q1874" s="20"/>
      <c r="R1874" s="20"/>
      <c r="S1874" s="20"/>
      <c r="T1874" s="20"/>
      <c r="U1874" t="s">
        <v>401</v>
      </c>
    </row>
    <row r="1875" spans="1:21" x14ac:dyDescent="0.25">
      <c r="B1875">
        <v>137</v>
      </c>
      <c r="C1875" t="s">
        <v>2772</v>
      </c>
      <c r="D1875">
        <v>4</v>
      </c>
      <c r="E1875" s="18">
        <v>-400</v>
      </c>
      <c r="F1875" t="s">
        <v>889</v>
      </c>
      <c r="G1875" t="s">
        <v>2773</v>
      </c>
      <c r="I1875"/>
      <c r="J1875"/>
      <c r="L1875"/>
      <c r="M1875"/>
      <c r="O1875"/>
      <c r="P1875" s="20"/>
      <c r="Q1875" s="20"/>
      <c r="R1875" s="20"/>
      <c r="S1875" s="20"/>
      <c r="T1875" s="20"/>
      <c r="U1875" t="s">
        <v>401</v>
      </c>
    </row>
    <row r="1876" spans="1:21" x14ac:dyDescent="0.25">
      <c r="B1876">
        <v>137</v>
      </c>
      <c r="C1876" t="s">
        <v>2757</v>
      </c>
      <c r="D1876">
        <v>2.5499999999999998</v>
      </c>
      <c r="E1876" s="18">
        <v>-275</v>
      </c>
      <c r="F1876" t="s">
        <v>889</v>
      </c>
      <c r="G1876" t="s">
        <v>2758</v>
      </c>
      <c r="I1876"/>
      <c r="J1876"/>
      <c r="L1876"/>
      <c r="M1876"/>
      <c r="O1876"/>
      <c r="P1876" s="20"/>
      <c r="Q1876" s="20"/>
      <c r="R1876" s="20"/>
      <c r="S1876" s="20"/>
      <c r="T1876" s="20"/>
      <c r="U1876" t="s">
        <v>401</v>
      </c>
    </row>
    <row r="1877" spans="1:21" x14ac:dyDescent="0.25">
      <c r="B1877">
        <v>137</v>
      </c>
      <c r="C1877" t="s">
        <v>2759</v>
      </c>
      <c r="D1877">
        <v>7.25</v>
      </c>
      <c r="E1877" s="18">
        <v>-725</v>
      </c>
      <c r="G1877" t="s">
        <v>2760</v>
      </c>
      <c r="I1877"/>
      <c r="J1877"/>
      <c r="L1877"/>
      <c r="M1877"/>
      <c r="O1877"/>
      <c r="P1877" s="20"/>
      <c r="Q1877" s="20"/>
      <c r="R1877" s="20"/>
      <c r="S1877" s="20"/>
      <c r="T1877" s="20"/>
      <c r="U1877" t="s">
        <v>401</v>
      </c>
    </row>
    <row r="1878" spans="1:21" x14ac:dyDescent="0.25">
      <c r="B1878">
        <v>137</v>
      </c>
      <c r="C1878" t="s">
        <v>1845</v>
      </c>
      <c r="E1878" s="18">
        <v>-100</v>
      </c>
      <c r="G1878" t="s">
        <v>442</v>
      </c>
      <c r="I1878"/>
      <c r="J1878"/>
      <c r="L1878"/>
      <c r="M1878"/>
      <c r="O1878"/>
      <c r="P1878" s="20"/>
      <c r="Q1878" s="20"/>
      <c r="R1878" s="20"/>
      <c r="S1878" s="20"/>
      <c r="T1878" s="20"/>
      <c r="U1878" t="s">
        <v>401</v>
      </c>
    </row>
    <row r="1879" spans="1:21" x14ac:dyDescent="0.25">
      <c r="B1879">
        <v>137</v>
      </c>
      <c r="C1879" t="s">
        <v>1574</v>
      </c>
      <c r="E1879" s="18">
        <v>-100</v>
      </c>
      <c r="G1879" t="s">
        <v>442</v>
      </c>
      <c r="I1879"/>
      <c r="J1879"/>
      <c r="L1879"/>
      <c r="M1879"/>
      <c r="O1879"/>
      <c r="P1879" s="20"/>
      <c r="Q1879" s="20"/>
      <c r="R1879" s="20"/>
      <c r="S1879" s="20"/>
      <c r="T1879" s="20"/>
      <c r="U1879" t="s">
        <v>401</v>
      </c>
    </row>
    <row r="1880" spans="1:21" x14ac:dyDescent="0.25">
      <c r="B1880">
        <v>137</v>
      </c>
      <c r="C1880" t="s">
        <v>1575</v>
      </c>
      <c r="E1880" s="18">
        <v>-100</v>
      </c>
      <c r="G1880" t="s">
        <v>442</v>
      </c>
      <c r="I1880"/>
      <c r="J1880"/>
      <c r="L1880"/>
      <c r="M1880"/>
      <c r="O1880"/>
      <c r="P1880" s="20"/>
      <c r="Q1880" s="20"/>
      <c r="R1880" s="20"/>
      <c r="S1880" s="20"/>
      <c r="T1880" s="20"/>
      <c r="U1880" t="s">
        <v>401</v>
      </c>
    </row>
    <row r="1881" spans="1:21" x14ac:dyDescent="0.25">
      <c r="B1881">
        <v>137</v>
      </c>
      <c r="C1881" t="s">
        <v>2763</v>
      </c>
      <c r="D1881">
        <v>5.61</v>
      </c>
      <c r="E1881" s="18">
        <v>-575</v>
      </c>
      <c r="F1881" t="s">
        <v>889</v>
      </c>
      <c r="G1881" t="s">
        <v>2764</v>
      </c>
      <c r="I1881"/>
      <c r="J1881"/>
      <c r="L1881"/>
      <c r="M1881"/>
      <c r="O1881"/>
      <c r="P1881" s="20"/>
      <c r="Q1881" s="20"/>
      <c r="R1881" s="20"/>
      <c r="S1881" s="20"/>
      <c r="T1881" s="20"/>
      <c r="U1881" t="s">
        <v>401</v>
      </c>
    </row>
    <row r="1882" spans="1:21" x14ac:dyDescent="0.25">
      <c r="B1882">
        <v>137</v>
      </c>
      <c r="C1882" t="s">
        <v>2765</v>
      </c>
      <c r="D1882">
        <v>5.8650000000000002</v>
      </c>
      <c r="E1882" s="18">
        <v>-550</v>
      </c>
      <c r="F1882" t="s">
        <v>889</v>
      </c>
      <c r="G1882" t="s">
        <v>2766</v>
      </c>
      <c r="I1882"/>
      <c r="J1882"/>
      <c r="L1882"/>
      <c r="M1882"/>
      <c r="O1882"/>
      <c r="P1882" s="20"/>
      <c r="Q1882" s="20"/>
      <c r="R1882" s="20"/>
      <c r="S1882" s="20"/>
      <c r="T1882" s="20"/>
      <c r="U1882" t="s">
        <v>401</v>
      </c>
    </row>
    <row r="1883" spans="1:21" x14ac:dyDescent="0.25">
      <c r="B1883">
        <v>137</v>
      </c>
      <c r="C1883" t="s">
        <v>2774</v>
      </c>
      <c r="D1883">
        <v>6.8849999999999998</v>
      </c>
      <c r="E1883" s="18">
        <v>702</v>
      </c>
      <c r="F1883" t="s">
        <v>889</v>
      </c>
      <c r="G1883" t="s">
        <v>2746</v>
      </c>
      <c r="I1883"/>
      <c r="J1883"/>
      <c r="L1883"/>
      <c r="M1883"/>
      <c r="O1883"/>
      <c r="P1883" s="20"/>
      <c r="Q1883" s="20"/>
      <c r="R1883" s="20"/>
      <c r="S1883" s="20"/>
      <c r="T1883" s="20"/>
      <c r="U1883" t="s">
        <v>401</v>
      </c>
    </row>
    <row r="1884" spans="1:21" x14ac:dyDescent="0.25">
      <c r="A1884" s="3">
        <v>41796</v>
      </c>
      <c r="B1884" s="36">
        <v>138</v>
      </c>
      <c r="C1884" t="s">
        <v>2775</v>
      </c>
      <c r="D1884">
        <v>3.5</v>
      </c>
      <c r="E1884" s="18">
        <v>350</v>
      </c>
      <c r="G1884" t="s">
        <v>2776</v>
      </c>
      <c r="H1884" s="18">
        <v>350</v>
      </c>
      <c r="I1884" s="3">
        <v>41796</v>
      </c>
      <c r="J1884"/>
      <c r="L1884"/>
      <c r="M1884"/>
      <c r="N1884" s="20"/>
      <c r="O1884" t="s">
        <v>905</v>
      </c>
      <c r="P1884" s="20"/>
      <c r="Q1884" s="20"/>
      <c r="R1884" s="20"/>
      <c r="S1884" s="20"/>
      <c r="T1884" s="20"/>
    </row>
    <row r="1885" spans="1:21" x14ac:dyDescent="0.25">
      <c r="A1885" s="3">
        <v>41796</v>
      </c>
      <c r="B1885" s="36">
        <v>138</v>
      </c>
      <c r="C1885" t="s">
        <v>2777</v>
      </c>
      <c r="D1885">
        <v>5</v>
      </c>
      <c r="E1885" s="18">
        <v>500</v>
      </c>
      <c r="G1885" t="s">
        <v>2778</v>
      </c>
      <c r="H1885" s="18">
        <v>500</v>
      </c>
      <c r="I1885" s="3">
        <v>41796</v>
      </c>
      <c r="J1885"/>
      <c r="L1885"/>
      <c r="M1885"/>
      <c r="N1885" s="20"/>
      <c r="O1885" t="s">
        <v>905</v>
      </c>
      <c r="P1885" s="20"/>
      <c r="Q1885" s="20"/>
      <c r="R1885" s="20"/>
      <c r="S1885" s="20"/>
      <c r="T1885" s="20"/>
    </row>
    <row r="1886" spans="1:21" x14ac:dyDescent="0.25">
      <c r="A1886" s="3">
        <v>41796</v>
      </c>
      <c r="B1886" s="36">
        <v>138</v>
      </c>
      <c r="C1886" t="s">
        <v>2779</v>
      </c>
      <c r="D1886">
        <v>6.75</v>
      </c>
      <c r="E1886" s="18">
        <v>675</v>
      </c>
      <c r="G1886" t="s">
        <v>2780</v>
      </c>
      <c r="H1886" s="18">
        <v>675</v>
      </c>
      <c r="I1886" s="3">
        <v>41796</v>
      </c>
      <c r="J1886"/>
      <c r="L1886"/>
      <c r="M1886"/>
      <c r="N1886" s="20"/>
      <c r="O1886" t="s">
        <v>905</v>
      </c>
      <c r="P1886" s="20"/>
      <c r="Q1886" s="20"/>
      <c r="R1886" s="20"/>
      <c r="S1886" s="20"/>
      <c r="T1886" s="20"/>
    </row>
    <row r="1887" spans="1:21" x14ac:dyDescent="0.25">
      <c r="A1887" s="3">
        <v>41796</v>
      </c>
      <c r="B1887" s="36">
        <v>138</v>
      </c>
      <c r="C1887" t="s">
        <v>2781</v>
      </c>
      <c r="D1887">
        <v>4.08</v>
      </c>
      <c r="E1887" s="18">
        <v>408</v>
      </c>
      <c r="G1887" t="s">
        <v>2782</v>
      </c>
      <c r="H1887" s="18">
        <v>408</v>
      </c>
      <c r="I1887" s="3">
        <v>41796</v>
      </c>
      <c r="J1887"/>
      <c r="L1887"/>
      <c r="M1887"/>
      <c r="N1887" s="20"/>
      <c r="O1887" t="s">
        <v>905</v>
      </c>
      <c r="P1887" s="20"/>
      <c r="Q1887" s="20"/>
      <c r="R1887" s="20"/>
      <c r="S1887" s="20"/>
      <c r="T1887" s="20"/>
    </row>
    <row r="1888" spans="1:21" x14ac:dyDescent="0.25">
      <c r="A1888" s="46">
        <v>41806</v>
      </c>
      <c r="B1888" s="36">
        <v>138</v>
      </c>
      <c r="C1888" s="47" t="s">
        <v>1313</v>
      </c>
      <c r="D1888" s="47"/>
      <c r="E1888" s="48">
        <v>2675</v>
      </c>
      <c r="F1888" s="47"/>
      <c r="G1888" s="20"/>
      <c r="H1888" s="18" t="s">
        <v>442</v>
      </c>
      <c r="I1888" s="3" t="s">
        <v>442</v>
      </c>
      <c r="J1888" s="20"/>
      <c r="K1888" s="20"/>
      <c r="L1888" s="20"/>
      <c r="M1888" s="20"/>
      <c r="N1888" s="20"/>
      <c r="O1888" s="47"/>
      <c r="P1888" s="20"/>
      <c r="Q1888" s="20"/>
      <c r="R1888" s="20"/>
      <c r="S1888" s="20" t="s">
        <v>401</v>
      </c>
      <c r="T1888" s="20"/>
    </row>
    <row r="1889" spans="1:20" x14ac:dyDescent="0.25">
      <c r="A1889" s="3">
        <v>41810</v>
      </c>
      <c r="B1889" s="36">
        <v>138</v>
      </c>
      <c r="C1889" t="s">
        <v>2783</v>
      </c>
      <c r="D1889">
        <v>9.25</v>
      </c>
      <c r="E1889" s="18">
        <v>925</v>
      </c>
      <c r="G1889" t="s">
        <v>2784</v>
      </c>
      <c r="H1889" s="18">
        <v>925</v>
      </c>
      <c r="I1889" s="3">
        <v>41810</v>
      </c>
      <c r="J1889"/>
      <c r="L1889"/>
      <c r="M1889"/>
      <c r="N1889" s="20"/>
      <c r="O1889" t="s">
        <v>2785</v>
      </c>
      <c r="P1889" s="20"/>
      <c r="Q1889" s="20"/>
      <c r="R1889" s="20"/>
      <c r="S1889" s="20"/>
      <c r="T1889" s="20"/>
    </row>
    <row r="1890" spans="1:20" x14ac:dyDescent="0.25">
      <c r="A1890" s="3">
        <v>41810</v>
      </c>
      <c r="B1890" s="36">
        <v>138</v>
      </c>
      <c r="C1890" t="s">
        <v>2786</v>
      </c>
      <c r="D1890">
        <v>4.25</v>
      </c>
      <c r="E1890" s="18">
        <v>425</v>
      </c>
      <c r="G1890" t="s">
        <v>2787</v>
      </c>
      <c r="H1890" s="18">
        <v>425</v>
      </c>
      <c r="I1890" s="3">
        <v>41810</v>
      </c>
      <c r="J1890"/>
      <c r="L1890"/>
      <c r="M1890"/>
      <c r="N1890" s="20"/>
      <c r="O1890" t="s">
        <v>1555</v>
      </c>
      <c r="P1890" s="20"/>
      <c r="Q1890" s="20"/>
      <c r="R1890" s="20"/>
      <c r="S1890" s="20"/>
      <c r="T1890" s="20"/>
    </row>
    <row r="1891" spans="1:20" x14ac:dyDescent="0.25">
      <c r="A1891" s="3">
        <v>41810</v>
      </c>
      <c r="B1891" s="36">
        <v>138</v>
      </c>
      <c r="C1891" t="s">
        <v>2788</v>
      </c>
      <c r="D1891">
        <v>5.61</v>
      </c>
      <c r="E1891" s="18">
        <v>561</v>
      </c>
      <c r="G1891" t="s">
        <v>2789</v>
      </c>
      <c r="H1891" s="18">
        <v>561</v>
      </c>
      <c r="I1891" s="3">
        <v>41810</v>
      </c>
      <c r="J1891"/>
      <c r="L1891"/>
      <c r="M1891"/>
      <c r="N1891" s="20"/>
      <c r="O1891" t="s">
        <v>905</v>
      </c>
      <c r="P1891" s="20"/>
      <c r="Q1891" s="20"/>
      <c r="R1891" s="20"/>
      <c r="S1891" s="20"/>
      <c r="T1891" s="20"/>
    </row>
    <row r="1892" spans="1:20" x14ac:dyDescent="0.25">
      <c r="A1892" s="3">
        <v>41810</v>
      </c>
      <c r="B1892" s="36">
        <v>138</v>
      </c>
      <c r="C1892" t="s">
        <v>2790</v>
      </c>
      <c r="D1892">
        <v>3.75</v>
      </c>
      <c r="E1892" s="18">
        <v>375</v>
      </c>
      <c r="G1892" t="s">
        <v>2791</v>
      </c>
      <c r="H1892" s="18">
        <v>375</v>
      </c>
      <c r="I1892" s="3">
        <v>41810</v>
      </c>
      <c r="J1892"/>
      <c r="L1892"/>
      <c r="M1892"/>
      <c r="N1892" s="20"/>
      <c r="O1892" t="s">
        <v>2785</v>
      </c>
      <c r="P1892" s="20"/>
      <c r="Q1892" s="20"/>
      <c r="R1892" s="20"/>
      <c r="S1892" s="20"/>
      <c r="T1892" s="20"/>
    </row>
    <row r="1893" spans="1:20" x14ac:dyDescent="0.25">
      <c r="A1893" s="3">
        <v>41810</v>
      </c>
      <c r="B1893" s="36">
        <v>138</v>
      </c>
      <c r="C1893" t="s">
        <v>2790</v>
      </c>
      <c r="D1893">
        <v>4.335</v>
      </c>
      <c r="E1893" s="18">
        <v>433.5</v>
      </c>
      <c r="G1893" t="s">
        <v>2792</v>
      </c>
      <c r="H1893" s="18">
        <v>433.5</v>
      </c>
      <c r="I1893" s="3">
        <v>41810</v>
      </c>
      <c r="J1893"/>
      <c r="L1893"/>
      <c r="M1893"/>
      <c r="N1893" s="20"/>
      <c r="O1893" t="s">
        <v>2785</v>
      </c>
      <c r="P1893" s="20"/>
      <c r="Q1893" s="20"/>
      <c r="R1893" s="20"/>
      <c r="S1893" s="20"/>
      <c r="T1893" s="20"/>
    </row>
    <row r="1894" spans="1:20" x14ac:dyDescent="0.25">
      <c r="A1894" s="3">
        <v>41831</v>
      </c>
      <c r="B1894" s="36">
        <v>138</v>
      </c>
      <c r="C1894" t="s">
        <v>2793</v>
      </c>
      <c r="D1894">
        <v>4.59</v>
      </c>
      <c r="E1894" s="18">
        <v>459</v>
      </c>
      <c r="G1894" t="s">
        <v>2794</v>
      </c>
      <c r="H1894" s="18">
        <v>459</v>
      </c>
      <c r="I1894" s="3">
        <v>41831</v>
      </c>
      <c r="J1894"/>
      <c r="L1894"/>
      <c r="M1894"/>
      <c r="N1894" s="20"/>
      <c r="O1894" t="s">
        <v>1009</v>
      </c>
      <c r="P1894" s="20"/>
      <c r="Q1894" s="20"/>
      <c r="R1894" s="20"/>
      <c r="S1894" s="20"/>
      <c r="T1894" s="20"/>
    </row>
    <row r="1895" spans="1:20" x14ac:dyDescent="0.25">
      <c r="A1895" s="3">
        <v>41831</v>
      </c>
      <c r="B1895" s="36">
        <v>138</v>
      </c>
      <c r="C1895" t="s">
        <v>2795</v>
      </c>
      <c r="D1895">
        <v>6.12</v>
      </c>
      <c r="E1895" s="18">
        <v>612</v>
      </c>
      <c r="G1895" t="s">
        <v>2796</v>
      </c>
      <c r="H1895" s="18">
        <v>612</v>
      </c>
      <c r="I1895" s="3">
        <v>41831</v>
      </c>
      <c r="J1895"/>
      <c r="L1895"/>
      <c r="M1895"/>
      <c r="N1895" s="20"/>
      <c r="O1895" t="s">
        <v>1009</v>
      </c>
      <c r="P1895" s="20"/>
      <c r="Q1895" s="20"/>
      <c r="R1895" s="20"/>
      <c r="S1895" s="20"/>
      <c r="T1895" s="20"/>
    </row>
    <row r="1896" spans="1:20" x14ac:dyDescent="0.25">
      <c r="A1896" s="3">
        <v>41831</v>
      </c>
      <c r="B1896" s="36">
        <v>138</v>
      </c>
      <c r="C1896" t="s">
        <v>2786</v>
      </c>
      <c r="D1896">
        <v>4.25</v>
      </c>
      <c r="E1896" s="18">
        <v>-425</v>
      </c>
      <c r="G1896" t="s">
        <v>2787</v>
      </c>
      <c r="H1896" s="18" t="s">
        <v>442</v>
      </c>
      <c r="I1896" s="3" t="s">
        <v>442</v>
      </c>
      <c r="J1896"/>
      <c r="L1896"/>
      <c r="M1896"/>
      <c r="N1896" s="20"/>
      <c r="O1896" t="s">
        <v>2797</v>
      </c>
      <c r="P1896" s="20"/>
      <c r="Q1896" s="20"/>
      <c r="R1896" s="20"/>
      <c r="S1896" s="20"/>
      <c r="T1896" s="20"/>
    </row>
    <row r="1897" spans="1:20" x14ac:dyDescent="0.25">
      <c r="A1897" s="3">
        <v>41838</v>
      </c>
      <c r="B1897" s="36">
        <v>138</v>
      </c>
      <c r="C1897" t="s">
        <v>2798</v>
      </c>
      <c r="D1897">
        <v>13.515000000000001</v>
      </c>
      <c r="E1897" s="18">
        <v>1351.5</v>
      </c>
      <c r="G1897" t="s">
        <v>2799</v>
      </c>
      <c r="H1897" s="18">
        <v>1351.5</v>
      </c>
      <c r="I1897" s="3">
        <v>41838</v>
      </c>
      <c r="J1897"/>
      <c r="L1897"/>
      <c r="M1897"/>
      <c r="N1897" s="20"/>
      <c r="O1897" t="s">
        <v>931</v>
      </c>
      <c r="P1897" s="20"/>
      <c r="Q1897" s="20"/>
      <c r="R1897" s="20"/>
      <c r="S1897" s="20"/>
      <c r="T1897" s="20"/>
    </row>
    <row r="1898" spans="1:20" x14ac:dyDescent="0.25">
      <c r="A1898" s="3">
        <v>41838</v>
      </c>
      <c r="B1898" s="36">
        <v>138</v>
      </c>
      <c r="C1898" t="s">
        <v>2800</v>
      </c>
      <c r="D1898">
        <v>6.8849999999999998</v>
      </c>
      <c r="E1898" s="18">
        <v>688.5</v>
      </c>
      <c r="G1898" t="s">
        <v>2801</v>
      </c>
      <c r="H1898" s="18">
        <v>688.5</v>
      </c>
      <c r="I1898" s="3">
        <v>41838</v>
      </c>
      <c r="J1898"/>
      <c r="L1898"/>
      <c r="M1898"/>
      <c r="N1898" s="20"/>
      <c r="O1898" t="s">
        <v>931</v>
      </c>
      <c r="P1898" s="20"/>
      <c r="Q1898" s="20"/>
      <c r="R1898" s="20"/>
      <c r="S1898" s="20"/>
      <c r="T1898" s="20"/>
    </row>
    <row r="1899" spans="1:20" x14ac:dyDescent="0.25">
      <c r="A1899" s="3">
        <v>41845</v>
      </c>
      <c r="B1899" s="36">
        <v>138</v>
      </c>
      <c r="C1899" t="s">
        <v>2802</v>
      </c>
      <c r="D1899">
        <v>4.25</v>
      </c>
      <c r="E1899" s="18">
        <v>425</v>
      </c>
      <c r="G1899" t="s">
        <v>2803</v>
      </c>
      <c r="H1899" s="18">
        <v>425</v>
      </c>
      <c r="I1899" s="3">
        <v>41845</v>
      </c>
      <c r="J1899"/>
      <c r="L1899"/>
      <c r="M1899"/>
      <c r="N1899" s="20"/>
      <c r="O1899" t="s">
        <v>1004</v>
      </c>
      <c r="P1899" s="20"/>
      <c r="Q1899" s="20"/>
      <c r="R1899" s="20"/>
      <c r="S1899" s="20"/>
      <c r="T1899" s="20"/>
    </row>
    <row r="1900" spans="1:20" x14ac:dyDescent="0.25">
      <c r="A1900" s="3">
        <v>41845</v>
      </c>
      <c r="B1900" s="36">
        <v>138</v>
      </c>
      <c r="C1900" t="s">
        <v>2800</v>
      </c>
      <c r="D1900">
        <v>6.25</v>
      </c>
      <c r="E1900" s="18">
        <v>625</v>
      </c>
      <c r="G1900" t="s">
        <v>2804</v>
      </c>
      <c r="H1900" s="18">
        <v>625</v>
      </c>
      <c r="I1900" s="3">
        <v>41845</v>
      </c>
      <c r="J1900"/>
      <c r="L1900"/>
      <c r="M1900"/>
      <c r="N1900" s="20"/>
      <c r="O1900" t="s">
        <v>1004</v>
      </c>
      <c r="P1900" s="20"/>
      <c r="Q1900" s="20"/>
      <c r="R1900" s="20"/>
      <c r="S1900" s="20"/>
      <c r="T1900" s="20"/>
    </row>
    <row r="1901" spans="1:20" x14ac:dyDescent="0.25">
      <c r="A1901" s="3">
        <v>41851</v>
      </c>
      <c r="B1901" s="36">
        <v>138</v>
      </c>
      <c r="C1901" t="s">
        <v>341</v>
      </c>
      <c r="D1901">
        <v>6</v>
      </c>
      <c r="E1901" s="18">
        <v>600</v>
      </c>
      <c r="F1901" t="s">
        <v>889</v>
      </c>
      <c r="G1901" t="s">
        <v>2805</v>
      </c>
      <c r="H1901" s="18">
        <v>600</v>
      </c>
      <c r="I1901" s="3">
        <v>41851</v>
      </c>
      <c r="J1901"/>
      <c r="L1901"/>
      <c r="M1901"/>
      <c r="N1901" s="20"/>
      <c r="O1901" t="s">
        <v>931</v>
      </c>
      <c r="P1901" s="20"/>
      <c r="Q1901" s="20"/>
      <c r="R1901" s="20"/>
      <c r="S1901" s="20"/>
      <c r="T1901" s="20"/>
    </row>
    <row r="1902" spans="1:20" x14ac:dyDescent="0.25">
      <c r="A1902" s="3">
        <v>41851</v>
      </c>
      <c r="B1902" s="36">
        <v>138</v>
      </c>
      <c r="C1902" t="s">
        <v>2004</v>
      </c>
      <c r="D1902">
        <v>9.18</v>
      </c>
      <c r="E1902" s="18">
        <v>918</v>
      </c>
      <c r="F1902" t="s">
        <v>889</v>
      </c>
      <c r="G1902" t="s">
        <v>2806</v>
      </c>
      <c r="H1902" s="18">
        <v>918</v>
      </c>
      <c r="I1902" s="3">
        <v>41851</v>
      </c>
      <c r="J1902"/>
      <c r="L1902"/>
      <c r="M1902"/>
      <c r="N1902" s="20"/>
      <c r="O1902" t="s">
        <v>931</v>
      </c>
      <c r="P1902" s="20"/>
      <c r="Q1902" s="20"/>
      <c r="R1902" s="20"/>
      <c r="S1902" s="20"/>
      <c r="T1902" s="20"/>
    </row>
    <row r="1903" spans="1:20" x14ac:dyDescent="0.25">
      <c r="A1903" s="3">
        <v>41851</v>
      </c>
      <c r="B1903" s="36">
        <v>138</v>
      </c>
      <c r="C1903" t="s">
        <v>2807</v>
      </c>
      <c r="D1903">
        <v>5.61</v>
      </c>
      <c r="E1903" s="18">
        <v>-625</v>
      </c>
      <c r="F1903" t="s">
        <v>889</v>
      </c>
      <c r="G1903" t="s">
        <v>2808</v>
      </c>
      <c r="H1903" s="18" t="s">
        <v>442</v>
      </c>
      <c r="I1903" s="3" t="s">
        <v>442</v>
      </c>
      <c r="J1903"/>
      <c r="L1903"/>
      <c r="M1903"/>
      <c r="N1903" s="20"/>
      <c r="O1903" t="s">
        <v>2392</v>
      </c>
      <c r="P1903" s="20"/>
      <c r="Q1903" s="20"/>
      <c r="R1903" s="20"/>
      <c r="S1903" s="20"/>
      <c r="T1903" s="20"/>
    </row>
    <row r="1904" spans="1:20" x14ac:dyDescent="0.25">
      <c r="A1904" s="3">
        <v>42013</v>
      </c>
      <c r="B1904" s="36">
        <v>138</v>
      </c>
      <c r="C1904" t="s">
        <v>2775</v>
      </c>
      <c r="D1904">
        <v>4.08</v>
      </c>
      <c r="E1904" s="18">
        <v>-350</v>
      </c>
      <c r="F1904" t="s">
        <v>889</v>
      </c>
      <c r="G1904" t="s">
        <v>2776</v>
      </c>
      <c r="H1904" s="18" t="s">
        <v>442</v>
      </c>
      <c r="I1904" s="3" t="s">
        <v>442</v>
      </c>
      <c r="J1904"/>
      <c r="L1904"/>
      <c r="M1904"/>
      <c r="N1904" s="20"/>
      <c r="O1904"/>
      <c r="P1904" s="20"/>
      <c r="Q1904" s="20"/>
      <c r="R1904" s="20"/>
      <c r="S1904" s="20"/>
      <c r="T1904" s="20"/>
    </row>
    <row r="1905" spans="1:20" x14ac:dyDescent="0.25">
      <c r="A1905" s="3">
        <v>42013</v>
      </c>
      <c r="B1905" s="36">
        <v>138</v>
      </c>
      <c r="C1905" t="s">
        <v>2793</v>
      </c>
      <c r="D1905">
        <v>4.59</v>
      </c>
      <c r="E1905" s="18">
        <v>-459</v>
      </c>
      <c r="F1905" t="s">
        <v>889</v>
      </c>
      <c r="G1905" t="s">
        <v>2794</v>
      </c>
      <c r="H1905" s="18" t="s">
        <v>442</v>
      </c>
      <c r="I1905" s="3" t="s">
        <v>442</v>
      </c>
      <c r="J1905"/>
      <c r="L1905"/>
      <c r="M1905"/>
      <c r="N1905" s="20"/>
      <c r="O1905"/>
      <c r="P1905" s="20"/>
      <c r="Q1905" s="20"/>
      <c r="R1905" s="20"/>
      <c r="S1905" s="20"/>
      <c r="T1905" s="20"/>
    </row>
    <row r="1906" spans="1:20" x14ac:dyDescent="0.25">
      <c r="A1906" s="3">
        <v>42013</v>
      </c>
      <c r="B1906" s="36">
        <v>138</v>
      </c>
      <c r="C1906" t="s">
        <v>341</v>
      </c>
      <c r="D1906">
        <v>6</v>
      </c>
      <c r="E1906" s="18">
        <v>-600</v>
      </c>
      <c r="F1906" t="s">
        <v>889</v>
      </c>
      <c r="G1906" t="s">
        <v>2805</v>
      </c>
      <c r="H1906" s="18" t="s">
        <v>442</v>
      </c>
      <c r="I1906" s="3" t="s">
        <v>442</v>
      </c>
      <c r="J1906"/>
      <c r="L1906"/>
      <c r="M1906"/>
      <c r="N1906" s="20"/>
      <c r="O1906" t="s">
        <v>1241</v>
      </c>
      <c r="P1906" s="20"/>
      <c r="Q1906" s="20"/>
      <c r="R1906" s="20"/>
      <c r="S1906" s="20"/>
      <c r="T1906" s="20"/>
    </row>
    <row r="1907" spans="1:20" x14ac:dyDescent="0.25">
      <c r="A1907" s="3">
        <v>42013</v>
      </c>
      <c r="B1907" s="36">
        <v>138</v>
      </c>
      <c r="C1907" t="s">
        <v>2777</v>
      </c>
      <c r="D1907">
        <v>5.0999999999999996</v>
      </c>
      <c r="E1907" s="18">
        <v>519.99999999999989</v>
      </c>
      <c r="F1907" t="s">
        <v>889</v>
      </c>
      <c r="G1907" t="s">
        <v>2778</v>
      </c>
      <c r="H1907" s="18">
        <v>519.99999999999989</v>
      </c>
      <c r="I1907" s="3">
        <v>42013</v>
      </c>
      <c r="J1907"/>
      <c r="L1907"/>
      <c r="M1907"/>
      <c r="N1907" s="20"/>
      <c r="O1907" t="s">
        <v>959</v>
      </c>
      <c r="P1907" s="20"/>
      <c r="Q1907" s="20"/>
      <c r="R1907" s="20"/>
      <c r="S1907" s="20"/>
      <c r="T1907" s="20"/>
    </row>
    <row r="1908" spans="1:20" x14ac:dyDescent="0.25">
      <c r="A1908" s="3">
        <v>42013</v>
      </c>
      <c r="B1908" s="36">
        <v>138</v>
      </c>
      <c r="C1908" t="s">
        <v>2798</v>
      </c>
      <c r="D1908">
        <v>13.515000000000001</v>
      </c>
      <c r="E1908" s="18">
        <v>1351.5</v>
      </c>
      <c r="F1908" t="s">
        <v>889</v>
      </c>
      <c r="G1908" t="s">
        <v>2799</v>
      </c>
      <c r="H1908" s="18">
        <v>1351.5</v>
      </c>
      <c r="I1908" s="3">
        <v>42013</v>
      </c>
      <c r="J1908"/>
      <c r="L1908"/>
      <c r="M1908"/>
      <c r="N1908" s="20"/>
      <c r="O1908" t="s">
        <v>959</v>
      </c>
      <c r="P1908" s="20"/>
      <c r="Q1908" s="20"/>
      <c r="R1908" s="20"/>
      <c r="S1908" s="20"/>
      <c r="T1908" s="20"/>
    </row>
    <row r="1909" spans="1:20" x14ac:dyDescent="0.25">
      <c r="A1909" s="3">
        <v>42013</v>
      </c>
      <c r="B1909" s="36">
        <v>138</v>
      </c>
      <c r="C1909" t="s">
        <v>2783</v>
      </c>
      <c r="D1909">
        <v>5.8650000000000002</v>
      </c>
      <c r="E1909" s="18">
        <v>248</v>
      </c>
      <c r="F1909" t="s">
        <v>889</v>
      </c>
      <c r="G1909" t="s">
        <v>2784</v>
      </c>
      <c r="H1909" s="18">
        <v>248</v>
      </c>
      <c r="I1909" s="3">
        <v>42013</v>
      </c>
      <c r="J1909"/>
      <c r="L1909"/>
      <c r="M1909"/>
      <c r="N1909" s="20"/>
      <c r="O1909"/>
      <c r="P1909" s="20"/>
      <c r="Q1909" s="20"/>
      <c r="R1909" s="20"/>
      <c r="S1909" s="20"/>
      <c r="T1909" s="20"/>
    </row>
    <row r="1910" spans="1:20" x14ac:dyDescent="0.25">
      <c r="A1910" s="3">
        <v>42013</v>
      </c>
      <c r="B1910" s="36">
        <v>138</v>
      </c>
      <c r="C1910" t="s">
        <v>2795</v>
      </c>
      <c r="D1910">
        <v>6.12</v>
      </c>
      <c r="E1910" s="18">
        <v>612</v>
      </c>
      <c r="F1910" t="s">
        <v>889</v>
      </c>
      <c r="G1910" t="s">
        <v>2796</v>
      </c>
      <c r="H1910" s="18">
        <v>612</v>
      </c>
      <c r="I1910" s="3">
        <v>42013</v>
      </c>
      <c r="J1910"/>
      <c r="L1910"/>
      <c r="M1910"/>
      <c r="N1910" s="20"/>
      <c r="O1910" t="s">
        <v>959</v>
      </c>
      <c r="P1910" s="20"/>
      <c r="Q1910" s="20"/>
      <c r="R1910" s="20"/>
      <c r="S1910" s="20"/>
      <c r="T1910" s="20"/>
    </row>
    <row r="1911" spans="1:20" x14ac:dyDescent="0.25">
      <c r="A1911" s="3">
        <v>42013</v>
      </c>
      <c r="B1911" s="36">
        <v>138</v>
      </c>
      <c r="C1911" t="s">
        <v>2809</v>
      </c>
      <c r="D1911">
        <v>3</v>
      </c>
      <c r="E1911" s="18">
        <v>-300</v>
      </c>
      <c r="F1911" t="s">
        <v>889</v>
      </c>
      <c r="G1911" t="s">
        <v>2810</v>
      </c>
      <c r="H1911" s="18" t="s">
        <v>442</v>
      </c>
      <c r="I1911" s="3" t="s">
        <v>442</v>
      </c>
      <c r="J1911"/>
      <c r="L1911"/>
      <c r="M1911"/>
      <c r="N1911" s="20"/>
      <c r="O1911"/>
      <c r="P1911" s="20"/>
      <c r="Q1911" s="20"/>
      <c r="R1911" s="20"/>
      <c r="S1911" s="20"/>
      <c r="T1911" s="20"/>
    </row>
    <row r="1912" spans="1:20" x14ac:dyDescent="0.25">
      <c r="A1912" s="3">
        <v>42013</v>
      </c>
      <c r="B1912" s="36">
        <v>138</v>
      </c>
      <c r="C1912" t="s">
        <v>2802</v>
      </c>
      <c r="D1912">
        <v>4.25</v>
      </c>
      <c r="E1912" s="18">
        <v>-425</v>
      </c>
      <c r="F1912" t="s">
        <v>889</v>
      </c>
      <c r="G1912" t="s">
        <v>2803</v>
      </c>
      <c r="H1912" s="18" t="s">
        <v>442</v>
      </c>
      <c r="I1912" s="3" t="s">
        <v>442</v>
      </c>
      <c r="J1912"/>
      <c r="L1912"/>
      <c r="M1912"/>
      <c r="N1912" s="20"/>
      <c r="O1912"/>
      <c r="P1912" s="20"/>
      <c r="Q1912" s="20"/>
      <c r="R1912" s="20"/>
      <c r="S1912" s="20"/>
      <c r="T1912" s="20"/>
    </row>
    <row r="1913" spans="1:20" x14ac:dyDescent="0.25">
      <c r="A1913" s="3">
        <v>42013</v>
      </c>
      <c r="B1913" s="36">
        <v>138</v>
      </c>
      <c r="C1913" t="s">
        <v>2811</v>
      </c>
      <c r="D1913">
        <v>5.61</v>
      </c>
      <c r="E1913" s="18">
        <v>182.33333333333334</v>
      </c>
      <c r="F1913" t="s">
        <v>889</v>
      </c>
      <c r="G1913" t="s">
        <v>2812</v>
      </c>
      <c r="H1913" s="18">
        <v>182.33333333333334</v>
      </c>
      <c r="I1913" s="3">
        <v>42013</v>
      </c>
      <c r="J1913"/>
      <c r="L1913"/>
      <c r="M1913"/>
      <c r="N1913" s="20"/>
      <c r="O1913"/>
      <c r="P1913" s="20"/>
      <c r="Q1913" s="20"/>
      <c r="R1913" s="20"/>
      <c r="S1913" s="20"/>
      <c r="T1913" s="20"/>
    </row>
    <row r="1914" spans="1:20" x14ac:dyDescent="0.25">
      <c r="A1914" s="3">
        <v>42013</v>
      </c>
      <c r="B1914" s="36">
        <v>138</v>
      </c>
      <c r="C1914" t="s">
        <v>2813</v>
      </c>
      <c r="D1914">
        <v>5.3550000000000004</v>
      </c>
      <c r="E1914" s="18">
        <v>-550</v>
      </c>
      <c r="F1914" t="s">
        <v>889</v>
      </c>
      <c r="G1914" t="s">
        <v>2814</v>
      </c>
      <c r="H1914" s="18" t="s">
        <v>442</v>
      </c>
      <c r="I1914" s="3" t="s">
        <v>442</v>
      </c>
      <c r="J1914"/>
      <c r="L1914"/>
      <c r="M1914"/>
      <c r="N1914" s="20"/>
      <c r="O1914"/>
      <c r="P1914" s="20"/>
      <c r="Q1914" s="20"/>
      <c r="R1914" s="20"/>
      <c r="S1914" s="20"/>
      <c r="T1914" s="20"/>
    </row>
    <row r="1915" spans="1:20" x14ac:dyDescent="0.25">
      <c r="A1915" s="3">
        <v>42013</v>
      </c>
      <c r="B1915" s="36">
        <v>138</v>
      </c>
      <c r="C1915" t="s">
        <v>2779</v>
      </c>
      <c r="D1915">
        <v>7.14</v>
      </c>
      <c r="E1915" s="18">
        <v>-675</v>
      </c>
      <c r="F1915" t="s">
        <v>889</v>
      </c>
      <c r="G1915" t="s">
        <v>2780</v>
      </c>
      <c r="H1915" s="18" t="s">
        <v>442</v>
      </c>
      <c r="I1915" s="3" t="s">
        <v>442</v>
      </c>
      <c r="J1915"/>
      <c r="L1915"/>
      <c r="M1915"/>
      <c r="N1915" s="20"/>
      <c r="O1915"/>
      <c r="P1915" s="20"/>
      <c r="Q1915" s="20"/>
      <c r="R1915" s="20"/>
      <c r="S1915" s="20"/>
      <c r="T1915" s="20"/>
    </row>
    <row r="1916" spans="1:20" x14ac:dyDescent="0.25">
      <c r="A1916" s="3">
        <v>42013</v>
      </c>
      <c r="B1916" s="36">
        <v>138</v>
      </c>
      <c r="C1916" t="s">
        <v>2815</v>
      </c>
      <c r="D1916">
        <v>6</v>
      </c>
      <c r="E1916" s="18">
        <v>191.66666666666666</v>
      </c>
      <c r="F1916" t="s">
        <v>889</v>
      </c>
      <c r="G1916" t="s">
        <v>2816</v>
      </c>
      <c r="H1916" s="18">
        <v>191.66666666666666</v>
      </c>
      <c r="I1916" s="3">
        <v>42013</v>
      </c>
      <c r="J1916"/>
      <c r="L1916"/>
      <c r="M1916"/>
      <c r="N1916" s="20"/>
      <c r="O1916"/>
      <c r="P1916" s="20"/>
      <c r="Q1916" s="20"/>
      <c r="R1916" s="20"/>
      <c r="S1916" s="20"/>
      <c r="T1916" s="20"/>
    </row>
    <row r="1917" spans="1:20" x14ac:dyDescent="0.25">
      <c r="A1917" s="3">
        <v>42013</v>
      </c>
      <c r="B1917" s="36">
        <v>138</v>
      </c>
      <c r="C1917" t="s">
        <v>2817</v>
      </c>
      <c r="D1917">
        <v>3.8250000000000002</v>
      </c>
      <c r="E1917" s="18">
        <v>382.5</v>
      </c>
      <c r="F1917" t="s">
        <v>889</v>
      </c>
      <c r="G1917" t="s">
        <v>2818</v>
      </c>
      <c r="H1917" s="18">
        <v>382.5</v>
      </c>
      <c r="I1917" s="3">
        <v>42013</v>
      </c>
      <c r="J1917"/>
      <c r="L1917"/>
      <c r="M1917"/>
      <c r="N1917" s="20"/>
      <c r="O1917"/>
      <c r="P1917" s="20"/>
      <c r="Q1917" s="20"/>
      <c r="R1917" s="20"/>
      <c r="S1917" s="20"/>
      <c r="T1917" s="20"/>
    </row>
    <row r="1918" spans="1:20" x14ac:dyDescent="0.25">
      <c r="A1918" s="3">
        <v>42013</v>
      </c>
      <c r="B1918" s="36">
        <v>138</v>
      </c>
      <c r="C1918" t="s">
        <v>2800</v>
      </c>
      <c r="D1918">
        <v>6.8849999999999998</v>
      </c>
      <c r="E1918" s="18">
        <v>-688.5</v>
      </c>
      <c r="F1918" t="s">
        <v>889</v>
      </c>
      <c r="G1918" t="s">
        <v>2801</v>
      </c>
      <c r="H1918" s="18" t="s">
        <v>442</v>
      </c>
      <c r="I1918" s="3" t="s">
        <v>442</v>
      </c>
      <c r="J1918"/>
      <c r="L1918"/>
      <c r="M1918"/>
      <c r="N1918" s="20"/>
      <c r="O1918"/>
      <c r="P1918" s="20"/>
      <c r="Q1918" s="20"/>
      <c r="R1918" s="20"/>
      <c r="S1918" s="20"/>
      <c r="T1918" s="20"/>
    </row>
    <row r="1919" spans="1:20" x14ac:dyDescent="0.25">
      <c r="A1919" s="3">
        <v>42013</v>
      </c>
      <c r="B1919" s="36">
        <v>138</v>
      </c>
      <c r="C1919" t="s">
        <v>2800</v>
      </c>
      <c r="D1919">
        <v>6.25</v>
      </c>
      <c r="E1919" s="18">
        <v>561.5</v>
      </c>
      <c r="F1919" t="s">
        <v>889</v>
      </c>
      <c r="G1919" t="s">
        <v>2804</v>
      </c>
      <c r="H1919" s="18">
        <v>561.5</v>
      </c>
      <c r="I1919" s="3">
        <v>42013</v>
      </c>
      <c r="J1919"/>
      <c r="L1919"/>
      <c r="M1919"/>
      <c r="N1919" s="20"/>
      <c r="O1919"/>
      <c r="P1919" s="20"/>
      <c r="Q1919" s="20"/>
      <c r="R1919" s="20"/>
      <c r="S1919" s="20"/>
      <c r="T1919" s="20"/>
    </row>
    <row r="1920" spans="1:20" x14ac:dyDescent="0.25">
      <c r="A1920" s="3">
        <v>42041</v>
      </c>
      <c r="B1920">
        <v>138</v>
      </c>
      <c r="C1920" t="s">
        <v>2811</v>
      </c>
      <c r="E1920" s="18">
        <v>182.33333333333334</v>
      </c>
      <c r="F1920" t="s">
        <v>889</v>
      </c>
      <c r="G1920" t="s">
        <v>2812</v>
      </c>
      <c r="I1920"/>
      <c r="J1920"/>
      <c r="L1920"/>
      <c r="M1920"/>
      <c r="O1920"/>
      <c r="P1920" s="20"/>
      <c r="Q1920" s="20"/>
      <c r="R1920" s="20"/>
      <c r="S1920" s="20"/>
      <c r="T1920" s="20"/>
    </row>
    <row r="1921" spans="1:20" x14ac:dyDescent="0.25">
      <c r="A1921" s="3">
        <v>42041</v>
      </c>
      <c r="B1921">
        <v>138</v>
      </c>
      <c r="C1921" t="s">
        <v>2815</v>
      </c>
      <c r="E1921" s="18">
        <v>191.66666666666666</v>
      </c>
      <c r="F1921" t="s">
        <v>889</v>
      </c>
      <c r="G1921" t="s">
        <v>2816</v>
      </c>
      <c r="I1921"/>
      <c r="J1921"/>
      <c r="L1921"/>
      <c r="M1921"/>
      <c r="O1921"/>
      <c r="P1921" s="20"/>
      <c r="Q1921" s="20"/>
      <c r="R1921" s="20"/>
      <c r="S1921" s="20"/>
      <c r="T1921" s="20"/>
    </row>
    <row r="1922" spans="1:20" x14ac:dyDescent="0.25">
      <c r="A1922" s="3">
        <v>41775</v>
      </c>
      <c r="B1922" s="36">
        <v>139</v>
      </c>
      <c r="C1922" t="s">
        <v>2819</v>
      </c>
      <c r="D1922">
        <v>5.5</v>
      </c>
      <c r="E1922" s="18">
        <v>550</v>
      </c>
      <c r="G1922" t="s">
        <v>2820</v>
      </c>
      <c r="H1922" s="18">
        <v>550</v>
      </c>
      <c r="I1922" s="3">
        <v>41775</v>
      </c>
      <c r="J1922"/>
      <c r="L1922"/>
      <c r="M1922"/>
      <c r="N1922" s="20"/>
      <c r="O1922"/>
      <c r="P1922" s="20"/>
      <c r="Q1922" s="20"/>
      <c r="R1922" s="20"/>
      <c r="S1922" s="20"/>
      <c r="T1922" s="20"/>
    </row>
    <row r="1923" spans="1:20" x14ac:dyDescent="0.25">
      <c r="A1923" s="3">
        <v>41782</v>
      </c>
      <c r="B1923" s="36">
        <v>139</v>
      </c>
      <c r="C1923" t="s">
        <v>2821</v>
      </c>
      <c r="D1923">
        <v>8.25</v>
      </c>
      <c r="E1923" s="18">
        <v>825</v>
      </c>
      <c r="G1923" t="s">
        <v>2822</v>
      </c>
      <c r="H1923" s="18">
        <v>825</v>
      </c>
      <c r="I1923" s="3">
        <v>41782</v>
      </c>
      <c r="J1923"/>
      <c r="L1923"/>
      <c r="M1923"/>
      <c r="N1923" s="20"/>
      <c r="O1923"/>
      <c r="P1923" s="20"/>
      <c r="Q1923" s="20"/>
      <c r="R1923" s="20"/>
      <c r="S1923" s="20"/>
      <c r="T1923" s="20"/>
    </row>
    <row r="1924" spans="1:20" x14ac:dyDescent="0.25">
      <c r="A1924" s="3">
        <v>41796</v>
      </c>
      <c r="B1924" s="36">
        <v>139</v>
      </c>
      <c r="C1924" t="s">
        <v>2823</v>
      </c>
      <c r="D1924">
        <v>9.9450000000000003</v>
      </c>
      <c r="E1924" s="18">
        <v>994.5</v>
      </c>
      <c r="G1924" t="s">
        <v>2824</v>
      </c>
      <c r="H1924" s="18">
        <v>994.5</v>
      </c>
      <c r="I1924" s="3">
        <v>41796</v>
      </c>
      <c r="J1924"/>
      <c r="L1924"/>
      <c r="M1924"/>
      <c r="N1924" s="20"/>
      <c r="O1924" t="s">
        <v>917</v>
      </c>
      <c r="P1924" s="20"/>
      <c r="Q1924" s="20"/>
      <c r="R1924" s="20"/>
      <c r="S1924" s="20"/>
      <c r="T1924" s="20"/>
    </row>
    <row r="1925" spans="1:20" x14ac:dyDescent="0.25">
      <c r="A1925" s="3">
        <v>41796</v>
      </c>
      <c r="B1925" s="36">
        <v>139</v>
      </c>
      <c r="C1925" t="s">
        <v>2825</v>
      </c>
      <c r="D1925">
        <v>5.75</v>
      </c>
      <c r="E1925" s="18">
        <v>575</v>
      </c>
      <c r="G1925" t="s">
        <v>2826</v>
      </c>
      <c r="H1925" s="18">
        <v>575</v>
      </c>
      <c r="I1925" s="3">
        <v>41796</v>
      </c>
      <c r="J1925"/>
      <c r="L1925"/>
      <c r="M1925"/>
      <c r="N1925" s="20"/>
      <c r="O1925" t="s">
        <v>1555</v>
      </c>
      <c r="P1925" s="20"/>
      <c r="Q1925" s="20"/>
      <c r="R1925" s="20"/>
      <c r="S1925" s="20"/>
      <c r="T1925" s="20"/>
    </row>
    <row r="1926" spans="1:20" x14ac:dyDescent="0.25">
      <c r="A1926" s="3">
        <v>41796</v>
      </c>
      <c r="B1926" s="36">
        <v>139</v>
      </c>
      <c r="C1926" t="s">
        <v>2827</v>
      </c>
      <c r="D1926">
        <v>8.75</v>
      </c>
      <c r="E1926" s="18">
        <v>875</v>
      </c>
      <c r="G1926" t="s">
        <v>2828</v>
      </c>
      <c r="H1926" s="18">
        <v>875</v>
      </c>
      <c r="I1926" s="3">
        <v>41796</v>
      </c>
      <c r="J1926"/>
      <c r="L1926"/>
      <c r="M1926"/>
      <c r="N1926" s="20"/>
      <c r="O1926" t="s">
        <v>1555</v>
      </c>
      <c r="P1926" s="20"/>
      <c r="Q1926" s="20"/>
      <c r="R1926" s="20"/>
      <c r="S1926" s="20"/>
      <c r="T1926" s="20"/>
    </row>
    <row r="1927" spans="1:20" x14ac:dyDescent="0.25">
      <c r="A1927" s="3">
        <v>41803</v>
      </c>
      <c r="B1927" s="36">
        <v>139</v>
      </c>
      <c r="C1927" t="s">
        <v>2829</v>
      </c>
      <c r="D1927">
        <v>5.5</v>
      </c>
      <c r="E1927" s="18">
        <v>550</v>
      </c>
      <c r="G1927" t="s">
        <v>2830</v>
      </c>
      <c r="H1927" s="18">
        <v>550</v>
      </c>
      <c r="I1927" s="3">
        <v>41803</v>
      </c>
      <c r="J1927"/>
      <c r="L1927"/>
      <c r="M1927"/>
      <c r="N1927" s="20"/>
      <c r="O1927" t="s">
        <v>1169</v>
      </c>
      <c r="P1927" s="20"/>
      <c r="Q1927" s="20"/>
      <c r="R1927" s="20"/>
      <c r="S1927" s="20"/>
      <c r="T1927" s="20"/>
    </row>
    <row r="1928" spans="1:20" x14ac:dyDescent="0.25">
      <c r="A1928" s="3">
        <v>41810</v>
      </c>
      <c r="B1928" s="36">
        <v>139</v>
      </c>
      <c r="C1928" t="s">
        <v>2831</v>
      </c>
      <c r="D1928">
        <v>9.25</v>
      </c>
      <c r="E1928" s="18">
        <v>925</v>
      </c>
      <c r="G1928" t="s">
        <v>2832</v>
      </c>
      <c r="H1928" s="18">
        <v>925</v>
      </c>
      <c r="I1928" s="3">
        <v>41810</v>
      </c>
      <c r="J1928"/>
      <c r="L1928"/>
      <c r="M1928"/>
      <c r="N1928" s="20"/>
      <c r="O1928"/>
      <c r="P1928" s="20"/>
      <c r="Q1928" s="20"/>
      <c r="R1928" s="20"/>
      <c r="S1928" s="20"/>
      <c r="T1928" s="20"/>
    </row>
    <row r="1929" spans="1:20" x14ac:dyDescent="0.25">
      <c r="A1929" s="3">
        <v>41957</v>
      </c>
      <c r="B1929" s="36">
        <v>139</v>
      </c>
      <c r="C1929" t="s">
        <v>2823</v>
      </c>
      <c r="D1929">
        <v>9.9450000000000003</v>
      </c>
      <c r="E1929" s="18">
        <v>-994.5</v>
      </c>
      <c r="F1929" t="s">
        <v>889</v>
      </c>
      <c r="G1929" t="s">
        <v>2824</v>
      </c>
      <c r="H1929" s="18" t="s">
        <v>442</v>
      </c>
      <c r="I1929" s="3" t="s">
        <v>442</v>
      </c>
      <c r="J1929"/>
      <c r="L1929"/>
      <c r="M1929"/>
      <c r="N1929" s="20"/>
      <c r="O1929"/>
      <c r="P1929" s="20"/>
      <c r="Q1929" s="20"/>
      <c r="R1929" s="20"/>
      <c r="S1929" s="20"/>
      <c r="T1929" s="20"/>
    </row>
    <row r="1930" spans="1:20" x14ac:dyDescent="0.25">
      <c r="A1930" s="3">
        <v>41957</v>
      </c>
      <c r="B1930" s="36">
        <v>139</v>
      </c>
      <c r="C1930" t="s">
        <v>2833</v>
      </c>
      <c r="D1930">
        <v>3.06</v>
      </c>
      <c r="E1930" s="18">
        <v>306</v>
      </c>
      <c r="G1930" t="s">
        <v>2834</v>
      </c>
      <c r="H1930" s="18">
        <v>306</v>
      </c>
      <c r="I1930" s="3">
        <v>41957</v>
      </c>
      <c r="J1930"/>
      <c r="L1930"/>
      <c r="M1930"/>
      <c r="N1930" s="20"/>
      <c r="O1930" t="s">
        <v>1004</v>
      </c>
      <c r="P1930" s="20"/>
      <c r="Q1930" s="20"/>
      <c r="R1930" s="20"/>
      <c r="S1930" s="20"/>
      <c r="T1930" s="20"/>
    </row>
    <row r="1931" spans="1:20" x14ac:dyDescent="0.25">
      <c r="A1931" s="3">
        <v>41957</v>
      </c>
      <c r="B1931" s="36">
        <v>139</v>
      </c>
      <c r="C1931" t="s">
        <v>2819</v>
      </c>
      <c r="D1931">
        <v>4.08</v>
      </c>
      <c r="E1931" s="18">
        <v>-550</v>
      </c>
      <c r="F1931" t="s">
        <v>889</v>
      </c>
      <c r="G1931" t="s">
        <v>2820</v>
      </c>
      <c r="H1931" s="18" t="s">
        <v>442</v>
      </c>
      <c r="I1931" s="3" t="s">
        <v>442</v>
      </c>
      <c r="J1931"/>
      <c r="L1931"/>
      <c r="M1931"/>
      <c r="N1931" s="20"/>
      <c r="O1931"/>
      <c r="P1931" s="20"/>
      <c r="Q1931" s="20"/>
      <c r="R1931" s="20"/>
      <c r="S1931" s="20"/>
      <c r="T1931" s="20"/>
    </row>
    <row r="1932" spans="1:20" x14ac:dyDescent="0.25">
      <c r="A1932" s="3">
        <v>41957</v>
      </c>
      <c r="B1932" s="36">
        <v>139</v>
      </c>
      <c r="C1932" t="s">
        <v>2819</v>
      </c>
      <c r="D1932">
        <v>4.08</v>
      </c>
      <c r="E1932" s="18">
        <v>-550</v>
      </c>
      <c r="F1932" t="s">
        <v>889</v>
      </c>
      <c r="G1932" t="s">
        <v>2820</v>
      </c>
      <c r="H1932" s="18" t="s">
        <v>442</v>
      </c>
      <c r="I1932" s="3" t="s">
        <v>442</v>
      </c>
      <c r="J1932"/>
      <c r="L1932"/>
      <c r="M1932"/>
      <c r="N1932" s="20"/>
      <c r="O1932"/>
      <c r="P1932" s="20"/>
      <c r="Q1932" s="20"/>
      <c r="R1932" s="20"/>
      <c r="S1932" s="20"/>
      <c r="T1932" s="20"/>
    </row>
    <row r="1933" spans="1:20" x14ac:dyDescent="0.25">
      <c r="A1933" s="3">
        <v>41957</v>
      </c>
      <c r="B1933" s="36">
        <v>139</v>
      </c>
      <c r="C1933" t="s">
        <v>2819</v>
      </c>
      <c r="D1933">
        <v>4.08</v>
      </c>
      <c r="E1933" s="18">
        <v>550</v>
      </c>
      <c r="F1933" t="s">
        <v>889</v>
      </c>
      <c r="G1933" t="s">
        <v>2820</v>
      </c>
      <c r="H1933" s="18">
        <v>550</v>
      </c>
      <c r="I1933" s="3">
        <v>41957</v>
      </c>
      <c r="J1933"/>
      <c r="L1933"/>
      <c r="M1933"/>
      <c r="N1933" s="20"/>
      <c r="O1933" t="s">
        <v>1272</v>
      </c>
      <c r="P1933" s="20"/>
      <c r="Q1933" s="20"/>
      <c r="R1933" s="20"/>
      <c r="S1933" s="20"/>
      <c r="T1933" s="20"/>
    </row>
    <row r="1934" spans="1:20" x14ac:dyDescent="0.25">
      <c r="A1934" s="3">
        <v>41957</v>
      </c>
      <c r="B1934" s="36">
        <v>139</v>
      </c>
      <c r="C1934" t="s">
        <v>2825</v>
      </c>
      <c r="D1934">
        <v>5.75</v>
      </c>
      <c r="E1934" s="18">
        <v>-575</v>
      </c>
      <c r="G1934" t="s">
        <v>2826</v>
      </c>
      <c r="H1934" s="18" t="s">
        <v>442</v>
      </c>
      <c r="I1934" s="3" t="s">
        <v>442</v>
      </c>
      <c r="J1934"/>
      <c r="L1934"/>
      <c r="M1934"/>
      <c r="N1934" s="20"/>
      <c r="O1934" t="s">
        <v>2835</v>
      </c>
      <c r="P1934" s="20"/>
      <c r="Q1934" s="20"/>
      <c r="R1934" s="20"/>
      <c r="S1934" s="20"/>
      <c r="T1934" s="20"/>
    </row>
    <row r="1935" spans="1:20" x14ac:dyDescent="0.25">
      <c r="A1935" s="3">
        <v>41957</v>
      </c>
      <c r="B1935" s="36">
        <v>139</v>
      </c>
      <c r="C1935" t="s">
        <v>2831</v>
      </c>
      <c r="D1935">
        <v>7.3949999999999996</v>
      </c>
      <c r="E1935" s="18">
        <v>-925</v>
      </c>
      <c r="F1935" t="s">
        <v>889</v>
      </c>
      <c r="G1935" t="s">
        <v>2832</v>
      </c>
      <c r="H1935" s="18" t="s">
        <v>442</v>
      </c>
      <c r="I1935" s="3" t="s">
        <v>442</v>
      </c>
      <c r="J1935"/>
      <c r="L1935"/>
      <c r="M1935"/>
      <c r="N1935" s="20"/>
      <c r="O1935"/>
      <c r="P1935" s="20"/>
      <c r="Q1935" s="20"/>
      <c r="R1935" s="20"/>
      <c r="S1935" s="20"/>
      <c r="T1935" s="20"/>
    </row>
    <row r="1936" spans="1:20" x14ac:dyDescent="0.25">
      <c r="A1936" s="3">
        <v>41957</v>
      </c>
      <c r="B1936" s="36">
        <v>139</v>
      </c>
      <c r="C1936" t="s">
        <v>2831</v>
      </c>
      <c r="D1936">
        <v>7.3949999999999996</v>
      </c>
      <c r="E1936" s="18">
        <v>739.5</v>
      </c>
      <c r="F1936" t="s">
        <v>889</v>
      </c>
      <c r="G1936" t="s">
        <v>2832</v>
      </c>
      <c r="H1936" s="18">
        <v>739.5</v>
      </c>
      <c r="I1936" s="3">
        <v>41957</v>
      </c>
      <c r="J1936"/>
      <c r="L1936"/>
      <c r="M1936"/>
      <c r="N1936" s="20"/>
      <c r="O1936"/>
      <c r="P1936" s="20"/>
      <c r="Q1936" s="20"/>
      <c r="R1936" s="20"/>
      <c r="S1936" s="20"/>
      <c r="T1936" s="20"/>
    </row>
    <row r="1937" spans="1:21" x14ac:dyDescent="0.25">
      <c r="A1937" s="3">
        <v>41957</v>
      </c>
      <c r="B1937" s="36">
        <v>139</v>
      </c>
      <c r="C1937" t="s">
        <v>2827</v>
      </c>
      <c r="D1937">
        <v>7.14</v>
      </c>
      <c r="E1937" s="18">
        <v>-714</v>
      </c>
      <c r="G1937" t="s">
        <v>2828</v>
      </c>
      <c r="H1937" s="18" t="s">
        <v>442</v>
      </c>
      <c r="I1937" s="3" t="s">
        <v>442</v>
      </c>
      <c r="J1937"/>
      <c r="L1937"/>
      <c r="M1937"/>
      <c r="N1937" s="20"/>
      <c r="O1937" t="s">
        <v>2836</v>
      </c>
      <c r="P1937" s="20"/>
      <c r="Q1937" s="20"/>
      <c r="R1937" s="20"/>
      <c r="S1937" s="20"/>
      <c r="T1937" s="20"/>
    </row>
    <row r="1938" spans="1:21" x14ac:dyDescent="0.25">
      <c r="A1938" s="3">
        <v>41957</v>
      </c>
      <c r="B1938" s="36">
        <v>139</v>
      </c>
      <c r="C1938" t="s">
        <v>2829</v>
      </c>
      <c r="D1938">
        <v>5.61</v>
      </c>
      <c r="E1938" s="18">
        <v>-550</v>
      </c>
      <c r="G1938" t="s">
        <v>2830</v>
      </c>
      <c r="H1938" s="18" t="s">
        <v>442</v>
      </c>
      <c r="I1938" s="3" t="s">
        <v>442</v>
      </c>
      <c r="J1938"/>
      <c r="L1938"/>
      <c r="M1938"/>
      <c r="N1938" s="20"/>
      <c r="O1938" t="s">
        <v>949</v>
      </c>
      <c r="P1938" s="20"/>
      <c r="Q1938" s="20"/>
      <c r="R1938" s="20"/>
      <c r="S1938" s="20"/>
      <c r="T1938" s="20"/>
    </row>
    <row r="1939" spans="1:21" x14ac:dyDescent="0.25">
      <c r="B1939">
        <v>139</v>
      </c>
      <c r="C1939" t="s">
        <v>2833</v>
      </c>
      <c r="D1939">
        <v>3.06</v>
      </c>
      <c r="E1939" s="18">
        <v>306</v>
      </c>
      <c r="F1939" t="s">
        <v>889</v>
      </c>
      <c r="G1939" t="s">
        <v>2834</v>
      </c>
      <c r="I1939"/>
      <c r="J1939"/>
      <c r="L1939"/>
      <c r="M1939"/>
      <c r="O1939"/>
      <c r="P1939" s="20"/>
      <c r="Q1939" s="20"/>
      <c r="R1939" s="20"/>
      <c r="S1939" s="20"/>
      <c r="T1939" s="20"/>
      <c r="U1939" t="s">
        <v>401</v>
      </c>
    </row>
    <row r="1940" spans="1:21" x14ac:dyDescent="0.25">
      <c r="B1940">
        <v>139</v>
      </c>
      <c r="C1940" t="s">
        <v>2831</v>
      </c>
      <c r="D1940">
        <v>7.3949999999999996</v>
      </c>
      <c r="E1940" s="18">
        <v>-61.833333333333336</v>
      </c>
      <c r="F1940" t="s">
        <v>889</v>
      </c>
      <c r="G1940" t="s">
        <v>2832</v>
      </c>
      <c r="I1940"/>
      <c r="J1940"/>
      <c r="L1940"/>
      <c r="M1940"/>
      <c r="O1940"/>
      <c r="P1940" s="20"/>
      <c r="Q1940" s="20"/>
      <c r="R1940" s="20"/>
      <c r="S1940" s="20"/>
      <c r="T1940" s="20"/>
      <c r="U1940" t="s">
        <v>401</v>
      </c>
    </row>
    <row r="1941" spans="1:21" x14ac:dyDescent="0.25">
      <c r="B1941">
        <v>139</v>
      </c>
      <c r="C1941" t="s">
        <v>2831</v>
      </c>
      <c r="E1941" s="18">
        <v>-61.833333333333336</v>
      </c>
      <c r="G1941" t="s">
        <v>2832</v>
      </c>
      <c r="I1941"/>
      <c r="J1941"/>
      <c r="L1941"/>
      <c r="M1941"/>
      <c r="O1941"/>
      <c r="P1941" s="20"/>
      <c r="Q1941" s="20"/>
      <c r="R1941" s="20"/>
      <c r="S1941" s="20"/>
      <c r="T1941" s="20"/>
      <c r="U1941" t="s">
        <v>401</v>
      </c>
    </row>
    <row r="1942" spans="1:21" x14ac:dyDescent="0.25">
      <c r="B1942">
        <v>139</v>
      </c>
      <c r="C1942" t="s">
        <v>2827</v>
      </c>
      <c r="E1942" s="18">
        <v>-161</v>
      </c>
      <c r="F1942" t="s">
        <v>889</v>
      </c>
      <c r="G1942" t="s">
        <v>2828</v>
      </c>
      <c r="I1942"/>
      <c r="J1942"/>
      <c r="L1942"/>
      <c r="M1942"/>
      <c r="O1942"/>
      <c r="P1942" s="20"/>
      <c r="Q1942" s="20"/>
      <c r="R1942" s="20"/>
      <c r="S1942" s="20"/>
      <c r="T1942" s="20"/>
      <c r="U1942" t="s">
        <v>401</v>
      </c>
    </row>
    <row r="1943" spans="1:21" x14ac:dyDescent="0.25">
      <c r="B1943">
        <v>139</v>
      </c>
      <c r="C1943" t="s">
        <v>2837</v>
      </c>
      <c r="E1943" s="18">
        <v>450</v>
      </c>
      <c r="F1943" t="s">
        <v>889</v>
      </c>
      <c r="G1943" t="s">
        <v>2822</v>
      </c>
      <c r="I1943"/>
      <c r="J1943"/>
      <c r="L1943"/>
      <c r="M1943"/>
      <c r="O1943"/>
      <c r="P1943" s="20"/>
      <c r="Q1943" s="20"/>
      <c r="R1943" s="20"/>
      <c r="S1943" s="20"/>
      <c r="T1943" s="20"/>
      <c r="U1943" t="s">
        <v>401</v>
      </c>
    </row>
    <row r="1944" spans="1:21" x14ac:dyDescent="0.25">
      <c r="A1944" s="3">
        <v>41789</v>
      </c>
      <c r="B1944" s="36">
        <v>140</v>
      </c>
      <c r="C1944" t="s">
        <v>2838</v>
      </c>
      <c r="D1944">
        <v>6</v>
      </c>
      <c r="E1944" s="18">
        <v>600</v>
      </c>
      <c r="G1944" t="s">
        <v>2839</v>
      </c>
      <c r="H1944" s="18">
        <v>600</v>
      </c>
      <c r="I1944" s="3">
        <v>41789</v>
      </c>
      <c r="J1944"/>
      <c r="L1944"/>
      <c r="M1944"/>
      <c r="N1944" s="20"/>
      <c r="O1944"/>
      <c r="P1944" s="20"/>
      <c r="Q1944" s="20"/>
      <c r="R1944" s="20"/>
      <c r="S1944" s="20"/>
      <c r="T1944" s="20"/>
    </row>
    <row r="1945" spans="1:21" x14ac:dyDescent="0.25">
      <c r="A1945" s="3">
        <v>41789</v>
      </c>
      <c r="B1945" s="36">
        <v>140</v>
      </c>
      <c r="C1945" t="s">
        <v>2840</v>
      </c>
      <c r="D1945">
        <v>9.5</v>
      </c>
      <c r="E1945" s="18">
        <v>950</v>
      </c>
      <c r="G1945" t="s">
        <v>2841</v>
      </c>
      <c r="H1945" s="18">
        <v>950</v>
      </c>
      <c r="I1945" s="3">
        <v>41789</v>
      </c>
      <c r="J1945"/>
      <c r="L1945"/>
      <c r="M1945"/>
      <c r="N1945" s="20"/>
      <c r="O1945"/>
      <c r="P1945" s="20"/>
      <c r="Q1945" s="20"/>
      <c r="R1945" s="20"/>
      <c r="S1945" s="20"/>
      <c r="T1945" s="20"/>
    </row>
    <row r="1946" spans="1:21" x14ac:dyDescent="0.25">
      <c r="A1946" s="3">
        <v>41789</v>
      </c>
      <c r="B1946" s="36">
        <v>140</v>
      </c>
      <c r="C1946" t="s">
        <v>1072</v>
      </c>
      <c r="E1946" s="18">
        <v>-158.21</v>
      </c>
      <c r="G1946" t="s">
        <v>442</v>
      </c>
      <c r="H1946" s="18" t="s">
        <v>442</v>
      </c>
      <c r="I1946" s="3" t="s">
        <v>442</v>
      </c>
      <c r="J1946"/>
      <c r="L1946"/>
      <c r="M1946"/>
      <c r="N1946" s="20"/>
      <c r="O1946" t="s">
        <v>2842</v>
      </c>
      <c r="P1946" s="20"/>
      <c r="Q1946" s="20" t="s">
        <v>401</v>
      </c>
      <c r="R1946" s="20"/>
      <c r="S1946" s="20"/>
      <c r="T1946" s="20"/>
    </row>
    <row r="1947" spans="1:21" x14ac:dyDescent="0.25">
      <c r="A1947" s="3">
        <v>41789</v>
      </c>
      <c r="B1947" s="36">
        <v>140</v>
      </c>
      <c r="C1947" t="s">
        <v>2843</v>
      </c>
      <c r="D1947">
        <v>10</v>
      </c>
      <c r="E1947" s="18">
        <v>1000</v>
      </c>
      <c r="G1947" t="s">
        <v>2844</v>
      </c>
      <c r="H1947" s="18">
        <v>1000</v>
      </c>
      <c r="I1947" s="3">
        <v>41789</v>
      </c>
      <c r="J1947"/>
      <c r="L1947"/>
      <c r="M1947"/>
      <c r="N1947" s="20"/>
      <c r="O1947"/>
      <c r="P1947" s="20"/>
      <c r="Q1947" s="20"/>
      <c r="R1947" s="20"/>
      <c r="S1947" s="20"/>
      <c r="T1947" s="20"/>
    </row>
    <row r="1948" spans="1:21" x14ac:dyDescent="0.25">
      <c r="A1948" s="3">
        <v>41796</v>
      </c>
      <c r="B1948" s="36">
        <v>140</v>
      </c>
      <c r="C1948" t="s">
        <v>2845</v>
      </c>
      <c r="D1948">
        <v>10</v>
      </c>
      <c r="E1948" s="18">
        <v>1000</v>
      </c>
      <c r="G1948" t="s">
        <v>2846</v>
      </c>
      <c r="H1948" s="18">
        <v>1000</v>
      </c>
      <c r="I1948" s="3">
        <v>41796</v>
      </c>
      <c r="J1948"/>
      <c r="L1948"/>
      <c r="M1948"/>
      <c r="N1948" s="20"/>
      <c r="O1948" t="s">
        <v>1169</v>
      </c>
      <c r="P1948" s="20"/>
      <c r="Q1948" s="20"/>
      <c r="R1948" s="20"/>
      <c r="S1948" s="20"/>
      <c r="T1948" s="20"/>
    </row>
    <row r="1949" spans="1:21" x14ac:dyDescent="0.25">
      <c r="A1949" s="3">
        <v>41796</v>
      </c>
      <c r="B1949" s="36">
        <v>140</v>
      </c>
      <c r="C1949" t="s">
        <v>2847</v>
      </c>
      <c r="D1949">
        <v>10</v>
      </c>
      <c r="E1949" s="18">
        <v>1000</v>
      </c>
      <c r="G1949" t="s">
        <v>2848</v>
      </c>
      <c r="H1949" s="18">
        <v>1000</v>
      </c>
      <c r="I1949" s="3">
        <v>41796</v>
      </c>
      <c r="J1949"/>
      <c r="L1949"/>
      <c r="M1949"/>
      <c r="N1949" s="20"/>
      <c r="O1949" t="s">
        <v>1169</v>
      </c>
      <c r="P1949" s="20"/>
      <c r="Q1949" s="20"/>
      <c r="R1949" s="20"/>
      <c r="S1949" s="20"/>
      <c r="T1949" s="20"/>
    </row>
    <row r="1950" spans="1:21" x14ac:dyDescent="0.25">
      <c r="A1950" s="3">
        <v>41796</v>
      </c>
      <c r="B1950" s="36">
        <v>140</v>
      </c>
      <c r="C1950" t="s">
        <v>2849</v>
      </c>
      <c r="D1950">
        <v>9.25</v>
      </c>
      <c r="E1950" s="18">
        <v>925</v>
      </c>
      <c r="G1950" t="s">
        <v>2850</v>
      </c>
      <c r="H1950" s="18">
        <v>925</v>
      </c>
      <c r="I1950" s="3">
        <v>41796</v>
      </c>
      <c r="J1950"/>
      <c r="L1950"/>
      <c r="M1950"/>
      <c r="N1950" s="20"/>
      <c r="O1950" t="s">
        <v>1169</v>
      </c>
      <c r="P1950" s="20"/>
      <c r="Q1950" s="20"/>
      <c r="R1950" s="20"/>
      <c r="S1950" s="20"/>
      <c r="T1950" s="20"/>
    </row>
    <row r="1951" spans="1:21" x14ac:dyDescent="0.25">
      <c r="A1951" s="3">
        <v>41796</v>
      </c>
      <c r="B1951" s="36">
        <v>140</v>
      </c>
      <c r="C1951" t="s">
        <v>2851</v>
      </c>
      <c r="D1951">
        <v>4.25</v>
      </c>
      <c r="E1951" s="18">
        <v>425</v>
      </c>
      <c r="G1951" t="s">
        <v>2852</v>
      </c>
      <c r="H1951" s="18">
        <v>425</v>
      </c>
      <c r="I1951" s="3">
        <v>41796</v>
      </c>
      <c r="J1951"/>
      <c r="L1951"/>
      <c r="M1951"/>
      <c r="N1951" s="20"/>
      <c r="O1951" t="s">
        <v>1169</v>
      </c>
      <c r="P1951" s="20"/>
      <c r="Q1951" s="20"/>
      <c r="R1951" s="20"/>
      <c r="S1951" s="20"/>
      <c r="T1951" s="20"/>
    </row>
    <row r="1952" spans="1:21" x14ac:dyDescent="0.25">
      <c r="A1952" s="3">
        <v>41796</v>
      </c>
      <c r="B1952" s="36">
        <v>140</v>
      </c>
      <c r="C1952" t="s">
        <v>2853</v>
      </c>
      <c r="D1952">
        <v>5.25</v>
      </c>
      <c r="E1952" s="18">
        <v>525</v>
      </c>
      <c r="G1952" t="s">
        <v>2854</v>
      </c>
      <c r="H1952" s="18">
        <v>525</v>
      </c>
      <c r="I1952" s="3">
        <v>41796</v>
      </c>
      <c r="J1952"/>
      <c r="L1952"/>
      <c r="M1952"/>
      <c r="N1952" s="20"/>
      <c r="O1952" t="s">
        <v>1169</v>
      </c>
      <c r="P1952" s="20"/>
      <c r="Q1952" s="20"/>
      <c r="R1952" s="20"/>
      <c r="S1952" s="20"/>
      <c r="T1952" s="20"/>
    </row>
    <row r="1953" spans="1:20" x14ac:dyDescent="0.25">
      <c r="A1953" s="3">
        <v>41803</v>
      </c>
      <c r="B1953" s="36">
        <v>140</v>
      </c>
      <c r="C1953" t="s">
        <v>2855</v>
      </c>
      <c r="D1953">
        <v>4.5</v>
      </c>
      <c r="E1953" s="18">
        <v>450</v>
      </c>
      <c r="G1953" t="s">
        <v>2856</v>
      </c>
      <c r="H1953" s="18">
        <v>450</v>
      </c>
      <c r="I1953" s="3">
        <v>41803</v>
      </c>
      <c r="J1953"/>
      <c r="L1953"/>
      <c r="M1953"/>
      <c r="N1953" s="20"/>
      <c r="O1953" t="s">
        <v>1169</v>
      </c>
      <c r="P1953" s="20"/>
      <c r="Q1953" s="20"/>
      <c r="R1953" s="20"/>
      <c r="S1953" s="20"/>
      <c r="T1953" s="20"/>
    </row>
    <row r="1954" spans="1:20" x14ac:dyDescent="0.25">
      <c r="A1954" s="3">
        <v>41803</v>
      </c>
      <c r="B1954" s="36">
        <v>140</v>
      </c>
      <c r="C1954" t="s">
        <v>2857</v>
      </c>
      <c r="D1954">
        <v>10</v>
      </c>
      <c r="E1954" s="18">
        <v>1000</v>
      </c>
      <c r="G1954" t="s">
        <v>2858</v>
      </c>
      <c r="H1954" s="18">
        <v>1000</v>
      </c>
      <c r="I1954" s="3">
        <v>41803</v>
      </c>
      <c r="J1954"/>
      <c r="L1954"/>
      <c r="M1954"/>
      <c r="N1954" s="20"/>
      <c r="O1954" t="s">
        <v>1169</v>
      </c>
      <c r="P1954" s="20"/>
      <c r="Q1954" s="20"/>
      <c r="R1954" s="20"/>
      <c r="S1954" s="20"/>
      <c r="T1954" s="20"/>
    </row>
    <row r="1955" spans="1:20" x14ac:dyDescent="0.25">
      <c r="A1955" s="3">
        <v>41803</v>
      </c>
      <c r="B1955" s="36">
        <v>140</v>
      </c>
      <c r="C1955" t="s">
        <v>2859</v>
      </c>
      <c r="D1955">
        <v>2.75</v>
      </c>
      <c r="E1955" s="18">
        <v>275</v>
      </c>
      <c r="G1955" t="s">
        <v>2860</v>
      </c>
      <c r="H1955" s="18">
        <v>275</v>
      </c>
      <c r="I1955" s="3">
        <v>41803</v>
      </c>
      <c r="J1955"/>
      <c r="L1955"/>
      <c r="M1955"/>
      <c r="N1955" s="20"/>
      <c r="O1955" t="s">
        <v>1169</v>
      </c>
      <c r="P1955" s="20"/>
      <c r="Q1955" s="20"/>
      <c r="R1955" s="20"/>
      <c r="S1955" s="20"/>
      <c r="T1955" s="20"/>
    </row>
    <row r="1956" spans="1:20" x14ac:dyDescent="0.25">
      <c r="A1956" s="3">
        <v>41810</v>
      </c>
      <c r="B1956" s="36">
        <v>140</v>
      </c>
      <c r="C1956" t="s">
        <v>2861</v>
      </c>
      <c r="D1956">
        <v>6.75</v>
      </c>
      <c r="E1956" s="18">
        <v>675</v>
      </c>
      <c r="G1956" t="s">
        <v>2862</v>
      </c>
      <c r="H1956" s="18">
        <v>675</v>
      </c>
      <c r="I1956" s="3">
        <v>41810</v>
      </c>
      <c r="J1956"/>
      <c r="L1956"/>
      <c r="M1956"/>
      <c r="N1956" s="20"/>
      <c r="O1956" t="s">
        <v>1169</v>
      </c>
      <c r="P1956" s="20"/>
      <c r="Q1956" s="20"/>
      <c r="R1956" s="20"/>
      <c r="S1956" s="20"/>
      <c r="T1956" s="20"/>
    </row>
    <row r="1957" spans="1:20" x14ac:dyDescent="0.25">
      <c r="A1957" s="3">
        <v>41810</v>
      </c>
      <c r="B1957" s="36">
        <v>140</v>
      </c>
      <c r="C1957" t="s">
        <v>2863</v>
      </c>
      <c r="D1957">
        <v>3.75</v>
      </c>
      <c r="E1957" s="18">
        <v>375</v>
      </c>
      <c r="G1957" t="s">
        <v>2864</v>
      </c>
      <c r="H1957" s="18">
        <v>375</v>
      </c>
      <c r="I1957" s="3">
        <v>41810</v>
      </c>
      <c r="J1957"/>
      <c r="L1957"/>
      <c r="M1957"/>
      <c r="N1957" s="20"/>
      <c r="O1957" t="s">
        <v>1169</v>
      </c>
      <c r="P1957" s="20"/>
      <c r="Q1957" s="20"/>
      <c r="R1957" s="20"/>
      <c r="S1957" s="20"/>
      <c r="T1957" s="20"/>
    </row>
    <row r="1958" spans="1:20" x14ac:dyDescent="0.25">
      <c r="A1958" s="3">
        <v>41810</v>
      </c>
      <c r="B1958" s="36">
        <v>140</v>
      </c>
      <c r="C1958" t="s">
        <v>2843</v>
      </c>
      <c r="D1958">
        <v>10</v>
      </c>
      <c r="E1958" s="18">
        <v>-1000</v>
      </c>
      <c r="G1958" t="s">
        <v>2844</v>
      </c>
      <c r="H1958" s="18" t="s">
        <v>442</v>
      </c>
      <c r="I1958" s="3" t="s">
        <v>442</v>
      </c>
      <c r="J1958"/>
      <c r="L1958"/>
      <c r="M1958"/>
      <c r="N1958" s="20"/>
      <c r="O1958" t="s">
        <v>2865</v>
      </c>
      <c r="P1958" s="20"/>
      <c r="Q1958" s="20"/>
      <c r="R1958" s="20"/>
      <c r="S1958" s="20"/>
      <c r="T1958" s="20"/>
    </row>
    <row r="1959" spans="1:20" x14ac:dyDescent="0.25">
      <c r="A1959" s="3">
        <v>41810</v>
      </c>
      <c r="B1959" s="36">
        <v>140</v>
      </c>
      <c r="C1959" t="s">
        <v>2866</v>
      </c>
      <c r="D1959">
        <v>10</v>
      </c>
      <c r="E1959" s="18">
        <v>1000</v>
      </c>
      <c r="G1959" t="s">
        <v>2867</v>
      </c>
      <c r="H1959" s="18">
        <v>1000</v>
      </c>
      <c r="I1959" s="3">
        <v>41810</v>
      </c>
      <c r="J1959"/>
      <c r="L1959"/>
      <c r="M1959"/>
      <c r="N1959" s="20"/>
      <c r="O1959" t="s">
        <v>1169</v>
      </c>
      <c r="P1959" s="20"/>
      <c r="Q1959" s="20"/>
      <c r="R1959" s="20"/>
      <c r="S1959" s="20"/>
      <c r="T1959" s="20"/>
    </row>
    <row r="1960" spans="1:20" x14ac:dyDescent="0.25">
      <c r="A1960" s="3">
        <v>41823</v>
      </c>
      <c r="B1960" s="36">
        <v>140</v>
      </c>
      <c r="C1960" t="s">
        <v>2845</v>
      </c>
      <c r="D1960">
        <v>8.67</v>
      </c>
      <c r="E1960" s="18">
        <v>-867</v>
      </c>
      <c r="G1960" t="s">
        <v>2846</v>
      </c>
      <c r="H1960" s="18" t="s">
        <v>442</v>
      </c>
      <c r="I1960" s="3" t="s">
        <v>442</v>
      </c>
      <c r="J1960"/>
      <c r="L1960"/>
      <c r="M1960"/>
      <c r="N1960" s="20"/>
      <c r="O1960" t="s">
        <v>949</v>
      </c>
      <c r="P1960" s="20"/>
      <c r="Q1960" s="20"/>
      <c r="R1960" s="20"/>
      <c r="S1960" s="20"/>
      <c r="T1960" s="20"/>
    </row>
    <row r="1961" spans="1:20" x14ac:dyDescent="0.25">
      <c r="A1961" s="3">
        <v>41823</v>
      </c>
      <c r="B1961" s="36">
        <v>140</v>
      </c>
      <c r="C1961" t="s">
        <v>1838</v>
      </c>
      <c r="E1961" s="18">
        <v>819</v>
      </c>
      <c r="G1961" t="s">
        <v>442</v>
      </c>
      <c r="H1961" s="18" t="s">
        <v>442</v>
      </c>
      <c r="I1961" s="3" t="s">
        <v>442</v>
      </c>
      <c r="J1961"/>
      <c r="L1961"/>
      <c r="M1961"/>
      <c r="N1961" s="20"/>
      <c r="O1961"/>
      <c r="P1961" s="20"/>
      <c r="Q1961" s="20"/>
      <c r="R1961" s="20"/>
      <c r="S1961" s="20" t="s">
        <v>401</v>
      </c>
      <c r="T1961" s="20"/>
    </row>
    <row r="1962" spans="1:20" x14ac:dyDescent="0.25">
      <c r="A1962" s="3">
        <v>41823</v>
      </c>
      <c r="B1962" s="36">
        <v>140</v>
      </c>
      <c r="C1962" t="s">
        <v>2868</v>
      </c>
      <c r="D1962">
        <v>10.455</v>
      </c>
      <c r="E1962" s="18">
        <v>1045.5</v>
      </c>
      <c r="G1962" t="s">
        <v>2869</v>
      </c>
      <c r="H1962" s="18">
        <v>1045.5</v>
      </c>
      <c r="I1962" s="3">
        <v>41823</v>
      </c>
      <c r="J1962"/>
      <c r="L1962"/>
      <c r="M1962"/>
      <c r="N1962" s="20"/>
      <c r="O1962" t="s">
        <v>1009</v>
      </c>
      <c r="P1962" s="20"/>
      <c r="Q1962" s="20"/>
      <c r="R1962" s="20"/>
      <c r="S1962" s="20"/>
      <c r="T1962" s="20"/>
    </row>
    <row r="1963" spans="1:20" x14ac:dyDescent="0.25">
      <c r="A1963" s="3">
        <v>41831</v>
      </c>
      <c r="B1963" s="36">
        <v>140</v>
      </c>
      <c r="C1963" t="s">
        <v>2584</v>
      </c>
      <c r="D1963">
        <v>2</v>
      </c>
      <c r="E1963" s="18">
        <v>-200</v>
      </c>
      <c r="G1963" t="s">
        <v>442</v>
      </c>
      <c r="H1963" s="18" t="s">
        <v>442</v>
      </c>
      <c r="I1963" s="3" t="s">
        <v>442</v>
      </c>
      <c r="J1963"/>
      <c r="L1963"/>
      <c r="M1963"/>
      <c r="N1963" s="20"/>
      <c r="O1963"/>
      <c r="P1963" s="20"/>
      <c r="Q1963" s="20"/>
      <c r="R1963" s="20" t="s">
        <v>401</v>
      </c>
      <c r="S1963" s="20"/>
      <c r="T1963" s="20"/>
    </row>
    <row r="1964" spans="1:20" x14ac:dyDescent="0.25">
      <c r="A1964" s="3">
        <v>41831</v>
      </c>
      <c r="B1964" s="36">
        <v>140</v>
      </c>
      <c r="C1964" t="s">
        <v>2870</v>
      </c>
      <c r="D1964">
        <v>8.9250000000000007</v>
      </c>
      <c r="E1964" s="18">
        <v>892.50000000000011</v>
      </c>
      <c r="G1964" t="s">
        <v>2871</v>
      </c>
      <c r="H1964" s="18">
        <v>892.50000000000011</v>
      </c>
      <c r="I1964" s="3">
        <v>41831</v>
      </c>
      <c r="J1964"/>
      <c r="L1964"/>
      <c r="M1964"/>
      <c r="N1964" s="20"/>
      <c r="O1964" t="s">
        <v>931</v>
      </c>
      <c r="P1964" s="20"/>
      <c r="Q1964" s="20"/>
      <c r="R1964" s="20"/>
      <c r="S1964" s="20"/>
      <c r="T1964" s="20"/>
    </row>
    <row r="1965" spans="1:20" x14ac:dyDescent="0.25">
      <c r="A1965" s="3">
        <v>41851</v>
      </c>
      <c r="B1965" s="36">
        <v>140</v>
      </c>
      <c r="C1965" t="s">
        <v>2872</v>
      </c>
      <c r="D1965">
        <v>10.5</v>
      </c>
      <c r="E1965" s="18">
        <v>1050</v>
      </c>
      <c r="F1965" t="s">
        <v>889</v>
      </c>
      <c r="G1965" t="s">
        <v>2873</v>
      </c>
      <c r="H1965" s="18">
        <v>1050</v>
      </c>
      <c r="I1965" s="3">
        <v>41851</v>
      </c>
      <c r="J1965"/>
      <c r="L1965"/>
      <c r="M1965"/>
      <c r="N1965" s="20"/>
      <c r="O1965" t="s">
        <v>931</v>
      </c>
      <c r="P1965" s="20"/>
      <c r="Q1965" s="20"/>
      <c r="R1965" s="20"/>
      <c r="S1965" s="20"/>
      <c r="T1965" s="20"/>
    </row>
    <row r="1966" spans="1:20" x14ac:dyDescent="0.25">
      <c r="A1966" s="3">
        <v>41851</v>
      </c>
      <c r="B1966" s="36">
        <v>140</v>
      </c>
      <c r="C1966" t="s">
        <v>2866</v>
      </c>
      <c r="D1966">
        <v>8.16</v>
      </c>
      <c r="E1966" s="18">
        <v>-1000</v>
      </c>
      <c r="G1966" t="s">
        <v>2867</v>
      </c>
      <c r="H1966" s="18" t="s">
        <v>442</v>
      </c>
      <c r="I1966" s="3" t="s">
        <v>442</v>
      </c>
      <c r="J1966"/>
      <c r="L1966"/>
      <c r="M1966"/>
      <c r="N1966" s="20"/>
      <c r="O1966" t="s">
        <v>949</v>
      </c>
      <c r="P1966" s="20"/>
      <c r="Q1966" s="20"/>
      <c r="R1966" s="20"/>
      <c r="S1966" s="20"/>
      <c r="T1966" s="20"/>
    </row>
    <row r="1967" spans="1:20" x14ac:dyDescent="0.25">
      <c r="A1967" s="3">
        <v>41866</v>
      </c>
      <c r="B1967" s="36">
        <v>140</v>
      </c>
      <c r="C1967" t="s">
        <v>954</v>
      </c>
      <c r="E1967" s="18">
        <v>127.13</v>
      </c>
      <c r="G1967" t="s">
        <v>442</v>
      </c>
      <c r="H1967" s="18" t="s">
        <v>442</v>
      </c>
      <c r="I1967" s="3" t="s">
        <v>442</v>
      </c>
      <c r="J1967"/>
      <c r="L1967"/>
      <c r="M1967"/>
      <c r="N1967" s="20" t="s">
        <v>401</v>
      </c>
      <c r="O1967"/>
      <c r="P1967" s="20"/>
      <c r="Q1967" s="20"/>
      <c r="R1967" s="20"/>
      <c r="S1967" s="20"/>
      <c r="T1967" s="20"/>
    </row>
    <row r="1968" spans="1:20" x14ac:dyDescent="0.25">
      <c r="A1968" s="3">
        <v>42041</v>
      </c>
      <c r="B1968">
        <v>140</v>
      </c>
      <c r="C1968" t="s">
        <v>2838</v>
      </c>
      <c r="D1968">
        <v>6.63</v>
      </c>
      <c r="E1968" s="18">
        <v>726</v>
      </c>
      <c r="F1968" t="s">
        <v>889</v>
      </c>
      <c r="G1968" t="s">
        <v>2839</v>
      </c>
      <c r="I1968"/>
      <c r="J1968"/>
      <c r="L1968"/>
      <c r="M1968"/>
      <c r="O1968"/>
      <c r="P1968" s="20"/>
      <c r="Q1968" s="20"/>
      <c r="R1968" s="20"/>
      <c r="S1968" s="20"/>
      <c r="T1968" s="20"/>
    </row>
    <row r="1969" spans="1:20" x14ac:dyDescent="0.25">
      <c r="A1969" s="3">
        <v>42041</v>
      </c>
      <c r="B1969">
        <v>140</v>
      </c>
      <c r="C1969" t="s">
        <v>969</v>
      </c>
      <c r="E1969" s="18">
        <v>30</v>
      </c>
      <c r="F1969" t="s">
        <v>889</v>
      </c>
      <c r="I1969"/>
      <c r="J1969"/>
      <c r="L1969"/>
      <c r="M1969"/>
      <c r="N1969" s="40" t="s">
        <v>401</v>
      </c>
      <c r="O1969"/>
      <c r="P1969" s="20"/>
      <c r="Q1969" s="20"/>
      <c r="R1969" s="20"/>
      <c r="S1969" s="20"/>
      <c r="T1969" s="20"/>
    </row>
    <row r="1970" spans="1:20" x14ac:dyDescent="0.25">
      <c r="A1970" s="3">
        <v>42041</v>
      </c>
      <c r="B1970">
        <v>140</v>
      </c>
      <c r="C1970" t="s">
        <v>2857</v>
      </c>
      <c r="D1970">
        <v>9.9450000000000003</v>
      </c>
      <c r="E1970" s="18">
        <v>329.66666666666669</v>
      </c>
      <c r="F1970" t="s">
        <v>889</v>
      </c>
      <c r="G1970" t="s">
        <v>2858</v>
      </c>
      <c r="I1970"/>
      <c r="J1970"/>
      <c r="L1970"/>
      <c r="M1970"/>
      <c r="O1970"/>
      <c r="P1970" s="20"/>
      <c r="Q1970" s="20"/>
      <c r="R1970" s="20"/>
      <c r="S1970" s="20"/>
      <c r="T1970" s="20"/>
    </row>
    <row r="1971" spans="1:20" x14ac:dyDescent="0.25">
      <c r="A1971" s="3">
        <v>42041</v>
      </c>
      <c r="B1971">
        <v>140</v>
      </c>
      <c r="C1971" t="s">
        <v>2857</v>
      </c>
      <c r="E1971" s="18">
        <v>329.66666666666669</v>
      </c>
      <c r="F1971" t="s">
        <v>889</v>
      </c>
      <c r="G1971" t="s">
        <v>2858</v>
      </c>
      <c r="I1971"/>
      <c r="J1971"/>
      <c r="L1971"/>
      <c r="M1971"/>
      <c r="O1971"/>
      <c r="P1971" s="20"/>
      <c r="Q1971" s="20"/>
      <c r="R1971" s="20"/>
      <c r="S1971" s="20"/>
      <c r="T1971" s="20"/>
    </row>
    <row r="1972" spans="1:20" x14ac:dyDescent="0.25">
      <c r="A1972" s="3">
        <v>42041</v>
      </c>
      <c r="B1972">
        <v>140</v>
      </c>
      <c r="C1972" s="20" t="s">
        <v>2874</v>
      </c>
      <c r="E1972" s="18">
        <v>-2597.25</v>
      </c>
      <c r="F1972" t="s">
        <v>889</v>
      </c>
      <c r="I1972"/>
      <c r="J1972"/>
      <c r="L1972"/>
      <c r="M1972"/>
      <c r="O1972"/>
      <c r="P1972" s="20"/>
      <c r="Q1972" s="20"/>
      <c r="R1972" s="20" t="s">
        <v>401</v>
      </c>
      <c r="S1972" s="20"/>
      <c r="T1972" s="20"/>
    </row>
    <row r="1973" spans="1:20" x14ac:dyDescent="0.25">
      <c r="A1973" s="3">
        <v>42041</v>
      </c>
      <c r="B1973">
        <v>140</v>
      </c>
      <c r="C1973" s="20" t="s">
        <v>2875</v>
      </c>
      <c r="E1973" s="18">
        <v>-0.37000000000000455</v>
      </c>
      <c r="F1973" t="s">
        <v>889</v>
      </c>
      <c r="I1973"/>
      <c r="J1973"/>
      <c r="L1973"/>
      <c r="M1973"/>
      <c r="O1973"/>
      <c r="P1973" s="20"/>
      <c r="Q1973" s="20"/>
      <c r="R1973" s="20" t="s">
        <v>401</v>
      </c>
      <c r="S1973" s="20"/>
      <c r="T1973" s="20"/>
    </row>
    <row r="1974" spans="1:20" x14ac:dyDescent="0.25">
      <c r="A1974" s="3">
        <v>42041</v>
      </c>
      <c r="B1974">
        <v>140</v>
      </c>
      <c r="C1974" t="s">
        <v>2876</v>
      </c>
      <c r="E1974" s="18">
        <v>753</v>
      </c>
      <c r="F1974" t="s">
        <v>889</v>
      </c>
      <c r="G1974" t="s">
        <v>2862</v>
      </c>
      <c r="I1974"/>
      <c r="J1974"/>
      <c r="L1974"/>
      <c r="M1974"/>
      <c r="O1974"/>
      <c r="P1974" s="20"/>
      <c r="Q1974" s="20"/>
      <c r="R1974" s="20"/>
      <c r="S1974" s="20"/>
      <c r="T1974" s="20"/>
    </row>
    <row r="1975" spans="1:20" x14ac:dyDescent="0.25">
      <c r="A1975" s="3">
        <v>42041</v>
      </c>
      <c r="B1975">
        <v>140</v>
      </c>
      <c r="C1975" t="s">
        <v>974</v>
      </c>
      <c r="E1975" s="18">
        <v>137.08333333333334</v>
      </c>
      <c r="F1975" t="s">
        <v>889</v>
      </c>
      <c r="I1975"/>
      <c r="J1975"/>
      <c r="L1975"/>
      <c r="M1975"/>
      <c r="N1975" s="20" t="s">
        <v>401</v>
      </c>
      <c r="O1975"/>
      <c r="P1975" s="20"/>
      <c r="Q1975" s="20"/>
      <c r="R1975" s="20"/>
      <c r="S1975" s="20"/>
      <c r="T1975" s="20"/>
    </row>
    <row r="1976" spans="1:20" x14ac:dyDescent="0.25">
      <c r="A1976" s="3">
        <v>42041</v>
      </c>
      <c r="B1976">
        <v>140</v>
      </c>
      <c r="C1976" t="s">
        <v>2849</v>
      </c>
      <c r="D1976">
        <v>9.18</v>
      </c>
      <c r="E1976" s="18">
        <v>911</v>
      </c>
      <c r="F1976" t="s">
        <v>889</v>
      </c>
      <c r="G1976" t="s">
        <v>2850</v>
      </c>
      <c r="I1976"/>
      <c r="J1976"/>
      <c r="L1976"/>
      <c r="M1976"/>
      <c r="O1976"/>
      <c r="P1976" s="20"/>
      <c r="Q1976" s="20"/>
      <c r="R1976" s="20"/>
      <c r="S1976" s="20"/>
      <c r="T1976" s="20"/>
    </row>
    <row r="1977" spans="1:20" x14ac:dyDescent="0.25">
      <c r="A1977" s="3">
        <v>41803</v>
      </c>
      <c r="B1977" s="36">
        <v>141</v>
      </c>
      <c r="C1977" t="s">
        <v>2877</v>
      </c>
      <c r="D1977">
        <v>2.5499999999999998</v>
      </c>
      <c r="E1977" s="18">
        <v>254.99999999999997</v>
      </c>
      <c r="G1977" t="s">
        <v>2878</v>
      </c>
      <c r="H1977" s="18">
        <v>254.99999999999997</v>
      </c>
      <c r="I1977" s="3">
        <v>41803</v>
      </c>
      <c r="J1977"/>
      <c r="L1977"/>
      <c r="M1977"/>
      <c r="N1977" s="20"/>
      <c r="O1977"/>
      <c r="P1977" s="20"/>
      <c r="Q1977" s="20"/>
      <c r="R1977" s="20"/>
      <c r="S1977" s="20"/>
      <c r="T1977" s="20"/>
    </row>
    <row r="1978" spans="1:20" x14ac:dyDescent="0.25">
      <c r="A1978" s="3">
        <v>41803</v>
      </c>
      <c r="B1978" s="36">
        <v>141</v>
      </c>
      <c r="C1978" t="s">
        <v>2879</v>
      </c>
      <c r="D1978">
        <v>6.5</v>
      </c>
      <c r="E1978" s="18">
        <v>650</v>
      </c>
      <c r="G1978" t="s">
        <v>2880</v>
      </c>
      <c r="H1978" s="18">
        <v>650</v>
      </c>
      <c r="I1978" s="3">
        <v>41803</v>
      </c>
      <c r="J1978"/>
      <c r="L1978"/>
      <c r="M1978"/>
      <c r="N1978" s="20"/>
      <c r="O1978" t="s">
        <v>1169</v>
      </c>
      <c r="P1978" s="20"/>
      <c r="Q1978" s="20"/>
      <c r="R1978" s="20"/>
      <c r="S1978" s="20"/>
      <c r="T1978" s="20"/>
    </row>
    <row r="1979" spans="1:20" x14ac:dyDescent="0.25">
      <c r="A1979" s="3">
        <v>41810</v>
      </c>
      <c r="B1979" s="36">
        <v>141</v>
      </c>
      <c r="C1979" t="s">
        <v>2881</v>
      </c>
      <c r="D1979">
        <v>3.75</v>
      </c>
      <c r="E1979" s="18">
        <v>375</v>
      </c>
      <c r="G1979" t="s">
        <v>2882</v>
      </c>
      <c r="H1979" s="18">
        <v>375</v>
      </c>
      <c r="I1979" s="3">
        <v>41810</v>
      </c>
      <c r="J1979"/>
      <c r="L1979"/>
      <c r="M1979"/>
      <c r="N1979" s="20"/>
      <c r="O1979" t="s">
        <v>1169</v>
      </c>
      <c r="P1979" s="20"/>
      <c r="Q1979" s="20"/>
      <c r="R1979" s="20"/>
      <c r="S1979" s="20"/>
      <c r="T1979" s="20"/>
    </row>
    <row r="1980" spans="1:20" x14ac:dyDescent="0.25">
      <c r="A1980" s="3">
        <v>41810</v>
      </c>
      <c r="B1980" s="36">
        <v>141</v>
      </c>
      <c r="C1980" t="s">
        <v>2883</v>
      </c>
      <c r="D1980">
        <v>4.75</v>
      </c>
      <c r="E1980" s="18">
        <v>475</v>
      </c>
      <c r="G1980" t="s">
        <v>2884</v>
      </c>
      <c r="H1980" s="18">
        <v>475</v>
      </c>
      <c r="I1980" s="3">
        <v>41810</v>
      </c>
      <c r="J1980"/>
      <c r="L1980"/>
      <c r="M1980"/>
      <c r="N1980" s="20"/>
      <c r="O1980" t="s">
        <v>1169</v>
      </c>
      <c r="P1980" s="20"/>
      <c r="Q1980" s="20"/>
      <c r="R1980" s="20"/>
      <c r="S1980" s="20"/>
      <c r="T1980" s="20"/>
    </row>
    <row r="1981" spans="1:20" x14ac:dyDescent="0.25">
      <c r="A1981" s="3">
        <v>41810</v>
      </c>
      <c r="B1981" s="36">
        <v>141</v>
      </c>
      <c r="C1981" t="s">
        <v>2885</v>
      </c>
      <c r="D1981">
        <v>6</v>
      </c>
      <c r="E1981" s="18">
        <v>600</v>
      </c>
      <c r="G1981" t="s">
        <v>2886</v>
      </c>
      <c r="H1981" s="18">
        <v>600</v>
      </c>
      <c r="I1981" s="3">
        <v>41810</v>
      </c>
      <c r="J1981"/>
      <c r="L1981"/>
      <c r="M1981"/>
      <c r="N1981" s="20"/>
      <c r="O1981" t="s">
        <v>1169</v>
      </c>
      <c r="P1981" s="20"/>
      <c r="Q1981" s="20"/>
      <c r="R1981" s="20"/>
      <c r="S1981" s="20"/>
      <c r="T1981" s="20"/>
    </row>
    <row r="1982" spans="1:20" x14ac:dyDescent="0.25">
      <c r="A1982" s="3">
        <v>41810</v>
      </c>
      <c r="B1982" s="36">
        <v>141</v>
      </c>
      <c r="C1982" t="s">
        <v>2887</v>
      </c>
      <c r="D1982">
        <v>7.5</v>
      </c>
      <c r="E1982" s="18">
        <v>750</v>
      </c>
      <c r="G1982" t="s">
        <v>2888</v>
      </c>
      <c r="H1982" s="18">
        <v>750</v>
      </c>
      <c r="I1982" s="3">
        <v>41810</v>
      </c>
      <c r="J1982"/>
      <c r="L1982"/>
      <c r="M1982"/>
      <c r="N1982" s="20"/>
      <c r="O1982" t="s">
        <v>1169</v>
      </c>
      <c r="P1982" s="20"/>
      <c r="Q1982" s="20"/>
      <c r="R1982" s="20"/>
      <c r="S1982" s="20"/>
      <c r="T1982" s="20"/>
    </row>
    <row r="1983" spans="1:20" x14ac:dyDescent="0.25">
      <c r="A1983" s="3">
        <v>41851</v>
      </c>
      <c r="B1983" s="36">
        <v>141</v>
      </c>
      <c r="C1983" t="s">
        <v>2889</v>
      </c>
      <c r="D1983">
        <v>8.67</v>
      </c>
      <c r="E1983" s="18">
        <v>867</v>
      </c>
      <c r="F1983" t="s">
        <v>889</v>
      </c>
      <c r="G1983" t="s">
        <v>2890</v>
      </c>
      <c r="H1983" s="18">
        <v>867</v>
      </c>
      <c r="I1983" s="3">
        <v>41851</v>
      </c>
      <c r="J1983"/>
      <c r="L1983"/>
      <c r="M1983"/>
      <c r="N1983" s="20"/>
      <c r="O1983" t="s">
        <v>931</v>
      </c>
      <c r="P1983" s="20"/>
      <c r="Q1983" s="20"/>
      <c r="R1983" s="20"/>
      <c r="S1983" s="20"/>
      <c r="T1983" s="20"/>
    </row>
    <row r="1984" spans="1:20" x14ac:dyDescent="0.25">
      <c r="A1984" s="3">
        <v>41851</v>
      </c>
      <c r="B1984" s="36">
        <v>141</v>
      </c>
      <c r="C1984" t="s">
        <v>2877</v>
      </c>
      <c r="D1984">
        <v>4.59</v>
      </c>
      <c r="E1984" s="18">
        <v>459</v>
      </c>
      <c r="G1984" t="s">
        <v>2891</v>
      </c>
      <c r="H1984" s="18">
        <v>459</v>
      </c>
      <c r="I1984" s="3">
        <v>41851</v>
      </c>
      <c r="J1984"/>
      <c r="L1984"/>
      <c r="M1984"/>
      <c r="N1984" s="20"/>
      <c r="O1984" t="s">
        <v>931</v>
      </c>
      <c r="P1984" s="20"/>
      <c r="Q1984" s="20"/>
      <c r="R1984" s="20"/>
      <c r="S1984" s="20"/>
      <c r="T1984" s="20"/>
    </row>
    <row r="1985" spans="1:20" x14ac:dyDescent="0.25">
      <c r="A1985" s="3">
        <v>41851</v>
      </c>
      <c r="B1985" s="36">
        <v>141</v>
      </c>
      <c r="C1985" t="s">
        <v>2879</v>
      </c>
      <c r="D1985">
        <v>6.5</v>
      </c>
      <c r="E1985" s="18">
        <v>-650</v>
      </c>
      <c r="G1985" t="s">
        <v>2880</v>
      </c>
      <c r="H1985" s="18" t="s">
        <v>442</v>
      </c>
      <c r="I1985" s="3" t="s">
        <v>442</v>
      </c>
      <c r="J1985"/>
      <c r="L1985"/>
      <c r="M1985"/>
      <c r="N1985" s="20"/>
      <c r="O1985" t="s">
        <v>2892</v>
      </c>
      <c r="P1985" s="20"/>
      <c r="Q1985" s="20"/>
      <c r="R1985" s="20"/>
      <c r="S1985" s="20"/>
      <c r="T1985" s="20"/>
    </row>
    <row r="1986" spans="1:20" x14ac:dyDescent="0.25">
      <c r="A1986" s="3">
        <v>41873</v>
      </c>
      <c r="B1986" s="36">
        <v>141</v>
      </c>
      <c r="C1986" t="s">
        <v>2893</v>
      </c>
      <c r="D1986">
        <v>3.06</v>
      </c>
      <c r="E1986" s="18">
        <v>306</v>
      </c>
      <c r="F1986" t="s">
        <v>889</v>
      </c>
      <c r="G1986" t="s">
        <v>2894</v>
      </c>
      <c r="H1986" s="18">
        <v>306</v>
      </c>
      <c r="I1986" s="3">
        <v>41873</v>
      </c>
      <c r="J1986"/>
      <c r="L1986"/>
      <c r="M1986"/>
      <c r="N1986" s="20"/>
      <c r="O1986"/>
      <c r="P1986" s="20"/>
      <c r="Q1986" s="20"/>
      <c r="R1986" s="20"/>
      <c r="S1986" s="20"/>
      <c r="T1986" s="20"/>
    </row>
    <row r="1987" spans="1:20" x14ac:dyDescent="0.25">
      <c r="A1987" s="3">
        <v>41999</v>
      </c>
      <c r="B1987" s="36">
        <v>141</v>
      </c>
      <c r="C1987" t="s">
        <v>2893</v>
      </c>
      <c r="D1987">
        <v>3.06</v>
      </c>
      <c r="E1987" s="18">
        <v>-306</v>
      </c>
      <c r="F1987" t="s">
        <v>889</v>
      </c>
      <c r="G1987" t="s">
        <v>2894</v>
      </c>
      <c r="H1987" s="18" t="s">
        <v>442</v>
      </c>
      <c r="I1987" s="3" t="s">
        <v>442</v>
      </c>
      <c r="J1987"/>
      <c r="L1987"/>
      <c r="M1987"/>
      <c r="N1987" s="20"/>
      <c r="O1987"/>
      <c r="P1987" s="20"/>
      <c r="Q1987" s="20"/>
      <c r="R1987" s="20"/>
      <c r="S1987" s="20"/>
      <c r="T1987" s="20"/>
    </row>
    <row r="1988" spans="1:20" x14ac:dyDescent="0.25">
      <c r="A1988" s="3">
        <v>41999</v>
      </c>
      <c r="B1988" s="36">
        <v>141</v>
      </c>
      <c r="C1988" t="s">
        <v>2885</v>
      </c>
      <c r="D1988">
        <v>5.3550000000000004</v>
      </c>
      <c r="E1988" s="18">
        <v>471</v>
      </c>
      <c r="F1988" t="s">
        <v>889</v>
      </c>
      <c r="G1988" t="s">
        <v>2886</v>
      </c>
      <c r="H1988" s="18">
        <v>471</v>
      </c>
      <c r="I1988" s="3">
        <v>41999</v>
      </c>
      <c r="J1988"/>
      <c r="L1988"/>
      <c r="M1988"/>
      <c r="N1988" s="20"/>
      <c r="O1988" t="s">
        <v>959</v>
      </c>
      <c r="P1988" s="20"/>
      <c r="Q1988" s="20"/>
      <c r="R1988" s="20"/>
      <c r="S1988" s="20"/>
      <c r="T1988" s="20"/>
    </row>
    <row r="1989" spans="1:20" x14ac:dyDescent="0.25">
      <c r="A1989" s="3">
        <v>42013</v>
      </c>
      <c r="B1989" s="36">
        <v>141</v>
      </c>
      <c r="C1989" t="s">
        <v>2885</v>
      </c>
      <c r="D1989">
        <v>5.61</v>
      </c>
      <c r="E1989" s="18">
        <v>51</v>
      </c>
      <c r="F1989" t="s">
        <v>889</v>
      </c>
      <c r="G1989" t="s">
        <v>2886</v>
      </c>
      <c r="H1989" s="18">
        <v>51</v>
      </c>
      <c r="I1989" s="3">
        <v>42013</v>
      </c>
      <c r="J1989"/>
      <c r="L1989"/>
      <c r="M1989"/>
      <c r="N1989" s="20"/>
      <c r="O1989"/>
      <c r="P1989" s="20"/>
      <c r="Q1989" s="20"/>
      <c r="R1989" s="20"/>
      <c r="S1989" s="20"/>
      <c r="T1989" s="20"/>
    </row>
    <row r="1990" spans="1:20" x14ac:dyDescent="0.25">
      <c r="A1990" s="3">
        <v>41782</v>
      </c>
      <c r="B1990" s="36">
        <v>142</v>
      </c>
      <c r="C1990" t="s">
        <v>2895</v>
      </c>
      <c r="D1990">
        <v>7</v>
      </c>
      <c r="E1990" s="18">
        <v>700</v>
      </c>
      <c r="G1990" t="s">
        <v>2896</v>
      </c>
      <c r="H1990" s="18">
        <v>700</v>
      </c>
      <c r="I1990" s="3">
        <v>41782</v>
      </c>
      <c r="J1990"/>
      <c r="L1990"/>
      <c r="M1990"/>
      <c r="N1990" s="20"/>
      <c r="O1990"/>
      <c r="P1990" s="20"/>
      <c r="Q1990" s="20"/>
      <c r="R1990" s="20"/>
      <c r="S1990" s="20"/>
      <c r="T1990" s="20"/>
    </row>
    <row r="1991" spans="1:20" x14ac:dyDescent="0.25">
      <c r="A1991" s="3">
        <v>41789</v>
      </c>
      <c r="B1991" s="36">
        <v>142</v>
      </c>
      <c r="C1991" t="s">
        <v>2897</v>
      </c>
      <c r="D1991">
        <v>5.61</v>
      </c>
      <c r="E1991" s="18">
        <v>561</v>
      </c>
      <c r="G1991" t="s">
        <v>2898</v>
      </c>
      <c r="H1991" s="18">
        <v>561</v>
      </c>
      <c r="I1991" s="3">
        <v>41789</v>
      </c>
      <c r="J1991"/>
      <c r="L1991"/>
      <c r="M1991"/>
      <c r="N1991" s="20"/>
      <c r="O1991"/>
      <c r="P1991" s="20"/>
      <c r="Q1991" s="20"/>
      <c r="R1991" s="20"/>
      <c r="S1991" s="20"/>
      <c r="T1991" s="20"/>
    </row>
    <row r="1992" spans="1:20" x14ac:dyDescent="0.25">
      <c r="A1992" s="3">
        <v>41789</v>
      </c>
      <c r="B1992" s="36">
        <v>142</v>
      </c>
      <c r="C1992" t="s">
        <v>2899</v>
      </c>
      <c r="D1992">
        <v>9</v>
      </c>
      <c r="E1992" s="18">
        <v>900</v>
      </c>
      <c r="G1992" t="s">
        <v>2900</v>
      </c>
      <c r="H1992" s="18">
        <v>900</v>
      </c>
      <c r="I1992" s="3">
        <v>41789</v>
      </c>
      <c r="J1992"/>
      <c r="L1992"/>
      <c r="M1992"/>
      <c r="N1992" s="20"/>
      <c r="O1992"/>
      <c r="P1992" s="20"/>
      <c r="Q1992" s="20"/>
      <c r="R1992" s="20"/>
      <c r="S1992" s="20"/>
      <c r="T1992" s="20"/>
    </row>
    <row r="1993" spans="1:20" x14ac:dyDescent="0.25">
      <c r="A1993" s="3">
        <v>41789</v>
      </c>
      <c r="B1993" s="36">
        <v>142</v>
      </c>
      <c r="C1993" t="s">
        <v>2901</v>
      </c>
      <c r="D1993">
        <v>4.25</v>
      </c>
      <c r="E1993" s="18">
        <v>425</v>
      </c>
      <c r="G1993" t="s">
        <v>2902</v>
      </c>
      <c r="H1993" s="18">
        <v>425</v>
      </c>
      <c r="I1993" s="3">
        <v>41789</v>
      </c>
      <c r="J1993"/>
      <c r="L1993"/>
      <c r="M1993"/>
      <c r="N1993" s="20"/>
      <c r="O1993"/>
      <c r="P1993" s="20"/>
      <c r="Q1993" s="20"/>
      <c r="R1993" s="20"/>
      <c r="S1993" s="20"/>
      <c r="T1993" s="20"/>
    </row>
    <row r="1994" spans="1:20" x14ac:dyDescent="0.25">
      <c r="A1994" s="3">
        <v>41796</v>
      </c>
      <c r="B1994" s="36">
        <v>142</v>
      </c>
      <c r="C1994" t="s">
        <v>2903</v>
      </c>
      <c r="D1994">
        <v>5</v>
      </c>
      <c r="E1994" s="18">
        <v>500</v>
      </c>
      <c r="G1994" t="s">
        <v>2904</v>
      </c>
      <c r="H1994" s="18">
        <v>500</v>
      </c>
      <c r="I1994" s="3">
        <v>41796</v>
      </c>
      <c r="J1994"/>
      <c r="L1994"/>
      <c r="M1994"/>
      <c r="N1994" s="20"/>
      <c r="O1994" t="s">
        <v>1169</v>
      </c>
      <c r="P1994" s="20"/>
      <c r="Q1994" s="20"/>
      <c r="R1994" s="20"/>
      <c r="S1994" s="20"/>
      <c r="T1994" s="20"/>
    </row>
    <row r="1995" spans="1:20" x14ac:dyDescent="0.25">
      <c r="A1995" s="3">
        <v>41796</v>
      </c>
      <c r="B1995" s="36">
        <v>142</v>
      </c>
      <c r="C1995" t="s">
        <v>2905</v>
      </c>
      <c r="D1995">
        <v>4</v>
      </c>
      <c r="E1995" s="18">
        <v>400</v>
      </c>
      <c r="G1995" t="s">
        <v>2906</v>
      </c>
      <c r="H1995" s="18">
        <v>400</v>
      </c>
      <c r="I1995" s="3">
        <v>41796</v>
      </c>
      <c r="J1995"/>
      <c r="L1995"/>
      <c r="M1995"/>
      <c r="N1995" s="20"/>
      <c r="O1995" t="s">
        <v>1169</v>
      </c>
      <c r="P1995" s="20"/>
      <c r="Q1995" s="20"/>
      <c r="R1995" s="20"/>
      <c r="S1995" s="20"/>
      <c r="T1995" s="20"/>
    </row>
    <row r="1996" spans="1:20" x14ac:dyDescent="0.25">
      <c r="A1996" s="3">
        <v>41796</v>
      </c>
      <c r="B1996" s="36">
        <v>142</v>
      </c>
      <c r="C1996" t="s">
        <v>2907</v>
      </c>
      <c r="D1996">
        <v>6.25</v>
      </c>
      <c r="E1996" s="18">
        <v>625</v>
      </c>
      <c r="G1996" t="s">
        <v>2908</v>
      </c>
      <c r="H1996" s="18">
        <v>625</v>
      </c>
      <c r="I1996" s="3">
        <v>41796</v>
      </c>
      <c r="J1996"/>
      <c r="L1996"/>
      <c r="M1996"/>
      <c r="N1996" s="20"/>
      <c r="O1996" t="s">
        <v>1169</v>
      </c>
      <c r="P1996" s="20"/>
      <c r="Q1996" s="20"/>
      <c r="R1996" s="20"/>
      <c r="S1996" s="20"/>
      <c r="T1996" s="20"/>
    </row>
    <row r="1997" spans="1:20" x14ac:dyDescent="0.25">
      <c r="A1997" s="3">
        <v>41796</v>
      </c>
      <c r="B1997" s="36">
        <v>142</v>
      </c>
      <c r="C1997" t="s">
        <v>2909</v>
      </c>
      <c r="D1997">
        <v>9.5</v>
      </c>
      <c r="E1997" s="18">
        <v>950</v>
      </c>
      <c r="G1997" t="s">
        <v>2910</v>
      </c>
      <c r="H1997" s="18">
        <v>950</v>
      </c>
      <c r="I1997" s="3">
        <v>41796</v>
      </c>
      <c r="J1997"/>
      <c r="L1997"/>
      <c r="M1997"/>
      <c r="N1997" s="20"/>
      <c r="O1997" t="s">
        <v>1169</v>
      </c>
      <c r="P1997" s="20"/>
      <c r="Q1997" s="20"/>
      <c r="R1997" s="20"/>
      <c r="S1997" s="20"/>
      <c r="T1997" s="20"/>
    </row>
    <row r="1998" spans="1:20" x14ac:dyDescent="0.25">
      <c r="A1998" s="3">
        <v>41796</v>
      </c>
      <c r="B1998" s="36">
        <v>142</v>
      </c>
      <c r="C1998" t="s">
        <v>2911</v>
      </c>
      <c r="D1998">
        <v>8.25</v>
      </c>
      <c r="E1998" s="18">
        <v>825</v>
      </c>
      <c r="G1998" t="s">
        <v>2912</v>
      </c>
      <c r="H1998" s="18">
        <v>825</v>
      </c>
      <c r="I1998" s="3">
        <v>41796</v>
      </c>
      <c r="J1998"/>
      <c r="L1998"/>
      <c r="M1998"/>
      <c r="N1998" s="20"/>
      <c r="O1998" t="s">
        <v>1169</v>
      </c>
      <c r="P1998" s="20"/>
      <c r="Q1998" s="20"/>
      <c r="R1998" s="20"/>
      <c r="S1998" s="20"/>
      <c r="T1998" s="20"/>
    </row>
    <row r="1999" spans="1:20" x14ac:dyDescent="0.25">
      <c r="A1999" s="3">
        <v>41813</v>
      </c>
      <c r="B1999" s="36">
        <v>142</v>
      </c>
      <c r="C1999" t="s">
        <v>2903</v>
      </c>
      <c r="D1999">
        <v>5</v>
      </c>
      <c r="E1999" s="18">
        <v>500</v>
      </c>
      <c r="G1999" t="s">
        <v>2904</v>
      </c>
      <c r="H1999" s="18">
        <v>500</v>
      </c>
      <c r="I1999" s="3">
        <v>41813</v>
      </c>
      <c r="J1999"/>
      <c r="L1999"/>
      <c r="M1999"/>
      <c r="N1999" s="20"/>
      <c r="O1999" t="s">
        <v>2913</v>
      </c>
      <c r="P1999" s="20"/>
      <c r="Q1999" s="20"/>
      <c r="R1999" s="20"/>
      <c r="S1999" s="20"/>
      <c r="T1999" s="20"/>
    </row>
    <row r="2000" spans="1:20" x14ac:dyDescent="0.25">
      <c r="A2000" s="3">
        <v>41831</v>
      </c>
      <c r="B2000" s="36">
        <v>142</v>
      </c>
      <c r="C2000" t="s">
        <v>2914</v>
      </c>
      <c r="D2000">
        <v>4.5</v>
      </c>
      <c r="E2000" s="18">
        <v>450</v>
      </c>
      <c r="G2000" t="s">
        <v>2915</v>
      </c>
      <c r="H2000" s="18">
        <v>450</v>
      </c>
      <c r="I2000" s="3">
        <v>41831</v>
      </c>
      <c r="J2000"/>
      <c r="L2000"/>
      <c r="M2000"/>
      <c r="N2000" s="20"/>
      <c r="O2000" t="s">
        <v>931</v>
      </c>
      <c r="P2000" s="20"/>
      <c r="Q2000" s="20"/>
      <c r="R2000" s="20"/>
      <c r="S2000" s="20"/>
      <c r="T2000" s="20"/>
    </row>
    <row r="2001" spans="1:21" x14ac:dyDescent="0.25">
      <c r="A2001" s="3">
        <v>41831</v>
      </c>
      <c r="B2001" s="36">
        <v>142</v>
      </c>
      <c r="C2001" t="s">
        <v>2916</v>
      </c>
      <c r="D2001">
        <v>3.06</v>
      </c>
      <c r="E2001" s="18">
        <v>306</v>
      </c>
      <c r="G2001" t="s">
        <v>2917</v>
      </c>
      <c r="H2001" s="18">
        <v>306</v>
      </c>
      <c r="I2001" s="3">
        <v>41831</v>
      </c>
      <c r="J2001"/>
      <c r="L2001"/>
      <c r="M2001"/>
      <c r="N2001" s="20"/>
      <c r="O2001" t="s">
        <v>931</v>
      </c>
      <c r="P2001" s="20"/>
      <c r="Q2001" s="20"/>
      <c r="R2001" s="20"/>
      <c r="S2001" s="20"/>
      <c r="T2001" s="20"/>
    </row>
    <row r="2002" spans="1:21" x14ac:dyDescent="0.25">
      <c r="A2002" s="3">
        <v>41831</v>
      </c>
      <c r="B2002" s="36">
        <v>142</v>
      </c>
      <c r="C2002" t="s">
        <v>2918</v>
      </c>
      <c r="E2002" s="18">
        <v>-156</v>
      </c>
      <c r="G2002" t="s">
        <v>2900</v>
      </c>
      <c r="H2002" s="18" t="s">
        <v>442</v>
      </c>
      <c r="I2002" s="3" t="s">
        <v>442</v>
      </c>
      <c r="J2002"/>
      <c r="L2002"/>
      <c r="M2002"/>
      <c r="N2002" s="20"/>
      <c r="O2002" t="s">
        <v>2919</v>
      </c>
      <c r="P2002" s="20"/>
      <c r="Q2002" s="20"/>
      <c r="R2002" s="20"/>
      <c r="S2002" s="20"/>
      <c r="T2002" s="20"/>
    </row>
    <row r="2003" spans="1:21" x14ac:dyDescent="0.25">
      <c r="A2003" s="3">
        <v>41831</v>
      </c>
      <c r="B2003" s="36">
        <v>142</v>
      </c>
      <c r="C2003" t="s">
        <v>1845</v>
      </c>
      <c r="E2003" s="18">
        <v>-100</v>
      </c>
      <c r="G2003" t="s">
        <v>442</v>
      </c>
      <c r="H2003" s="18" t="s">
        <v>442</v>
      </c>
      <c r="I2003" s="3" t="s">
        <v>442</v>
      </c>
      <c r="J2003"/>
      <c r="L2003"/>
      <c r="M2003"/>
      <c r="N2003" s="20"/>
      <c r="O2003" t="s">
        <v>2920</v>
      </c>
      <c r="P2003" s="20"/>
      <c r="Q2003" s="20" t="s">
        <v>401</v>
      </c>
      <c r="R2003" s="20"/>
      <c r="S2003" s="20"/>
      <c r="T2003" s="20"/>
    </row>
    <row r="2004" spans="1:21" x14ac:dyDescent="0.25">
      <c r="A2004" s="3">
        <v>41838</v>
      </c>
      <c r="B2004" s="36">
        <v>142</v>
      </c>
      <c r="C2004" t="s">
        <v>2921</v>
      </c>
      <c r="D2004">
        <v>5.8650000000000002</v>
      </c>
      <c r="E2004" s="18">
        <v>586.5</v>
      </c>
      <c r="G2004" t="s">
        <v>2922</v>
      </c>
      <c r="H2004" s="18">
        <v>586.5</v>
      </c>
      <c r="I2004" s="3">
        <v>41838</v>
      </c>
      <c r="J2004"/>
      <c r="L2004"/>
      <c r="M2004"/>
      <c r="N2004" s="20"/>
      <c r="O2004"/>
      <c r="P2004" s="20"/>
      <c r="Q2004" s="20"/>
      <c r="R2004" s="20"/>
      <c r="S2004" s="20"/>
      <c r="T2004" s="20"/>
    </row>
    <row r="2005" spans="1:21" x14ac:dyDescent="0.25">
      <c r="A2005" s="3">
        <v>41838</v>
      </c>
      <c r="B2005" s="36">
        <v>142</v>
      </c>
      <c r="C2005" t="s">
        <v>1482</v>
      </c>
      <c r="E2005" s="18">
        <v>-100</v>
      </c>
      <c r="G2005" t="s">
        <v>442</v>
      </c>
      <c r="H2005" s="18" t="s">
        <v>442</v>
      </c>
      <c r="I2005" s="3" t="s">
        <v>442</v>
      </c>
      <c r="J2005"/>
      <c r="L2005"/>
      <c r="M2005"/>
      <c r="N2005" s="20"/>
      <c r="O2005" t="s">
        <v>1219</v>
      </c>
      <c r="P2005" s="20"/>
      <c r="Q2005" s="20" t="s">
        <v>401</v>
      </c>
      <c r="R2005" s="20"/>
      <c r="S2005" s="20"/>
      <c r="T2005" s="20"/>
    </row>
    <row r="2006" spans="1:21" x14ac:dyDescent="0.25">
      <c r="A2006" s="3">
        <v>41886</v>
      </c>
      <c r="B2006" s="36">
        <v>142</v>
      </c>
      <c r="C2006" t="s">
        <v>2914</v>
      </c>
      <c r="D2006">
        <v>4.59</v>
      </c>
      <c r="E2006" s="18">
        <v>-450</v>
      </c>
      <c r="F2006" t="s">
        <v>889</v>
      </c>
      <c r="G2006" t="s">
        <v>2915</v>
      </c>
      <c r="H2006" s="18" t="s">
        <v>442</v>
      </c>
      <c r="I2006" s="3" t="s">
        <v>442</v>
      </c>
      <c r="J2006"/>
      <c r="L2006"/>
      <c r="M2006"/>
      <c r="N2006" s="20"/>
      <c r="O2006" t="s">
        <v>2923</v>
      </c>
      <c r="P2006" s="20"/>
      <c r="Q2006" s="20"/>
      <c r="R2006" s="20"/>
      <c r="S2006" s="20"/>
      <c r="T2006" s="20"/>
    </row>
    <row r="2007" spans="1:21" x14ac:dyDescent="0.25">
      <c r="A2007" s="3">
        <v>41886</v>
      </c>
      <c r="B2007" s="36">
        <v>142</v>
      </c>
      <c r="C2007" t="s">
        <v>2921</v>
      </c>
      <c r="D2007">
        <v>5.8650000000000002</v>
      </c>
      <c r="E2007" s="18">
        <v>586.5</v>
      </c>
      <c r="F2007" t="s">
        <v>889</v>
      </c>
      <c r="G2007" t="s">
        <v>2922</v>
      </c>
      <c r="H2007" s="18">
        <v>586.5</v>
      </c>
      <c r="I2007" s="3">
        <v>41886</v>
      </c>
      <c r="J2007"/>
      <c r="L2007"/>
      <c r="M2007"/>
      <c r="N2007" s="20"/>
      <c r="O2007"/>
      <c r="P2007" s="20"/>
      <c r="Q2007" s="20"/>
      <c r="R2007" s="20"/>
      <c r="S2007" s="20"/>
      <c r="T2007" s="20"/>
    </row>
    <row r="2008" spans="1:21" x14ac:dyDescent="0.25">
      <c r="A2008" s="3">
        <v>41886</v>
      </c>
      <c r="B2008" s="36">
        <v>142</v>
      </c>
      <c r="C2008" t="s">
        <v>1106</v>
      </c>
      <c r="E2008" s="18">
        <v>-98.8</v>
      </c>
      <c r="F2008" t="s">
        <v>891</v>
      </c>
      <c r="G2008" t="s">
        <v>442</v>
      </c>
      <c r="H2008" s="18" t="s">
        <v>442</v>
      </c>
      <c r="I2008" s="3" t="s">
        <v>442</v>
      </c>
      <c r="J2008"/>
      <c r="L2008"/>
      <c r="M2008"/>
      <c r="N2008" s="20"/>
      <c r="O2008" t="s">
        <v>1107</v>
      </c>
      <c r="P2008" s="20"/>
      <c r="Q2008" s="20" t="s">
        <v>401</v>
      </c>
      <c r="R2008" s="20"/>
      <c r="S2008" s="20"/>
      <c r="T2008" s="20"/>
    </row>
    <row r="2009" spans="1:21" x14ac:dyDescent="0.25">
      <c r="A2009" s="3">
        <v>41886</v>
      </c>
      <c r="B2009" s="36">
        <v>142</v>
      </c>
      <c r="C2009" t="s">
        <v>1237</v>
      </c>
      <c r="E2009" s="18">
        <v>-100</v>
      </c>
      <c r="F2009" t="s">
        <v>1484</v>
      </c>
      <c r="G2009" t="s">
        <v>442</v>
      </c>
      <c r="H2009" s="18" t="s">
        <v>442</v>
      </c>
      <c r="I2009" s="3" t="s">
        <v>442</v>
      </c>
      <c r="J2009"/>
      <c r="L2009"/>
      <c r="M2009"/>
      <c r="N2009" s="20"/>
      <c r="O2009" t="s">
        <v>1238</v>
      </c>
      <c r="P2009" s="20"/>
      <c r="Q2009" s="20" t="s">
        <v>401</v>
      </c>
      <c r="R2009" s="20"/>
      <c r="S2009" s="20"/>
      <c r="T2009" s="20"/>
    </row>
    <row r="2010" spans="1:21" x14ac:dyDescent="0.25">
      <c r="A2010" s="3">
        <v>41886</v>
      </c>
      <c r="B2010" s="36">
        <v>142</v>
      </c>
      <c r="C2010" t="s">
        <v>2924</v>
      </c>
      <c r="D2010">
        <v>8.5</v>
      </c>
      <c r="E2010" s="18">
        <v>850</v>
      </c>
      <c r="F2010" t="s">
        <v>889</v>
      </c>
      <c r="G2010" t="s">
        <v>2925</v>
      </c>
      <c r="H2010" s="18">
        <v>850</v>
      </c>
      <c r="I2010" s="3">
        <v>41886</v>
      </c>
      <c r="J2010"/>
      <c r="L2010"/>
      <c r="M2010"/>
      <c r="N2010" s="20"/>
      <c r="O2010" t="s">
        <v>2926</v>
      </c>
      <c r="P2010" s="20"/>
      <c r="Q2010" s="20"/>
      <c r="R2010" s="20"/>
      <c r="S2010" s="20"/>
      <c r="T2010" s="20"/>
    </row>
    <row r="2011" spans="1:21" x14ac:dyDescent="0.25">
      <c r="B2011">
        <v>142</v>
      </c>
      <c r="C2011" t="s">
        <v>2897</v>
      </c>
      <c r="D2011">
        <v>5.61</v>
      </c>
      <c r="E2011" s="18">
        <v>187</v>
      </c>
      <c r="F2011" t="s">
        <v>889</v>
      </c>
      <c r="G2011" t="s">
        <v>2898</v>
      </c>
      <c r="I2011"/>
      <c r="J2011"/>
      <c r="L2011"/>
      <c r="M2011"/>
      <c r="O2011"/>
      <c r="P2011" s="20"/>
      <c r="Q2011" s="20"/>
      <c r="R2011" s="20"/>
      <c r="S2011" s="20"/>
      <c r="T2011" s="20"/>
      <c r="U2011" t="s">
        <v>401</v>
      </c>
    </row>
    <row r="2012" spans="1:21" x14ac:dyDescent="0.25">
      <c r="B2012">
        <v>142</v>
      </c>
      <c r="C2012" t="s">
        <v>2897</v>
      </c>
      <c r="E2012" s="18">
        <v>374</v>
      </c>
      <c r="G2012" t="s">
        <v>2898</v>
      </c>
      <c r="I2012"/>
      <c r="J2012"/>
      <c r="L2012"/>
      <c r="M2012"/>
      <c r="O2012"/>
      <c r="P2012" s="20"/>
      <c r="Q2012" s="20"/>
      <c r="R2012" s="20"/>
      <c r="S2012" s="20"/>
      <c r="T2012" s="20"/>
      <c r="U2012" t="s">
        <v>401</v>
      </c>
    </row>
    <row r="2013" spans="1:21" x14ac:dyDescent="0.25">
      <c r="B2013">
        <v>142</v>
      </c>
      <c r="C2013" t="s">
        <v>2927</v>
      </c>
      <c r="D2013">
        <v>9</v>
      </c>
      <c r="E2013" s="18">
        <v>-744</v>
      </c>
      <c r="G2013" t="s">
        <v>2900</v>
      </c>
      <c r="I2013"/>
      <c r="J2013"/>
      <c r="L2013"/>
      <c r="M2013"/>
      <c r="O2013"/>
      <c r="P2013" s="20"/>
      <c r="Q2013" s="20"/>
      <c r="R2013" s="20"/>
      <c r="S2013" s="20"/>
      <c r="T2013" s="20"/>
      <c r="U2013" t="s">
        <v>401</v>
      </c>
    </row>
    <row r="2014" spans="1:21" x14ac:dyDescent="0.25">
      <c r="B2014">
        <v>142</v>
      </c>
      <c r="C2014" t="s">
        <v>2901</v>
      </c>
      <c r="D2014">
        <v>4.08</v>
      </c>
      <c r="E2014" s="18">
        <v>130.33333333333334</v>
      </c>
      <c r="F2014" t="s">
        <v>889</v>
      </c>
      <c r="G2014" t="s">
        <v>2902</v>
      </c>
      <c r="I2014"/>
      <c r="J2014"/>
      <c r="L2014"/>
      <c r="M2014"/>
      <c r="O2014"/>
      <c r="P2014" s="20"/>
      <c r="Q2014" s="20"/>
      <c r="R2014" s="20"/>
      <c r="S2014" s="20"/>
      <c r="T2014" s="20"/>
      <c r="U2014" t="s">
        <v>401</v>
      </c>
    </row>
    <row r="2015" spans="1:21" x14ac:dyDescent="0.25">
      <c r="B2015">
        <v>142</v>
      </c>
      <c r="C2015" t="s">
        <v>2901</v>
      </c>
      <c r="E2015" s="18">
        <v>272</v>
      </c>
      <c r="G2015" t="s">
        <v>2902</v>
      </c>
      <c r="I2015"/>
      <c r="J2015"/>
      <c r="L2015"/>
      <c r="M2015"/>
      <c r="O2015"/>
      <c r="P2015" s="20"/>
      <c r="Q2015" s="20"/>
      <c r="R2015" s="20"/>
      <c r="S2015" s="20"/>
      <c r="T2015" s="20"/>
      <c r="U2015" t="s">
        <v>401</v>
      </c>
    </row>
    <row r="2016" spans="1:21" x14ac:dyDescent="0.25">
      <c r="B2016">
        <v>142</v>
      </c>
      <c r="C2016" t="s">
        <v>2921</v>
      </c>
      <c r="D2016">
        <v>5.8650000000000002</v>
      </c>
      <c r="E2016" s="18">
        <v>-586.5</v>
      </c>
      <c r="F2016" t="s">
        <v>889</v>
      </c>
      <c r="G2016" t="s">
        <v>2922</v>
      </c>
      <c r="I2016"/>
      <c r="J2016"/>
      <c r="L2016"/>
      <c r="M2016"/>
      <c r="O2016"/>
      <c r="P2016" s="20"/>
      <c r="Q2016" s="20"/>
      <c r="R2016" s="20"/>
      <c r="S2016" s="20"/>
      <c r="T2016" s="20"/>
      <c r="U2016" t="s">
        <v>401</v>
      </c>
    </row>
    <row r="2017" spans="1:21" x14ac:dyDescent="0.25">
      <c r="B2017">
        <v>142</v>
      </c>
      <c r="C2017" t="s">
        <v>2921</v>
      </c>
      <c r="D2017">
        <v>5.8650000000000002</v>
      </c>
      <c r="E2017" s="18">
        <v>-586.5</v>
      </c>
      <c r="F2017" t="s">
        <v>889</v>
      </c>
      <c r="G2017" t="s">
        <v>2922</v>
      </c>
      <c r="I2017"/>
      <c r="J2017"/>
      <c r="L2017"/>
      <c r="M2017"/>
      <c r="O2017"/>
      <c r="P2017" s="20"/>
      <c r="Q2017" s="20"/>
      <c r="R2017" s="20"/>
      <c r="S2017" s="20"/>
      <c r="T2017" s="20"/>
      <c r="U2017" t="s">
        <v>401</v>
      </c>
    </row>
    <row r="2018" spans="1:21" x14ac:dyDescent="0.25">
      <c r="B2018">
        <v>142</v>
      </c>
      <c r="C2018" t="s">
        <v>1483</v>
      </c>
      <c r="E2018" s="18">
        <v>-100</v>
      </c>
      <c r="G2018" t="s">
        <v>442</v>
      </c>
      <c r="I2018"/>
      <c r="J2018"/>
      <c r="L2018"/>
      <c r="M2018"/>
      <c r="O2018"/>
      <c r="P2018" s="20"/>
      <c r="Q2018" s="20"/>
      <c r="R2018" s="20"/>
      <c r="S2018" s="20"/>
      <c r="T2018" s="20"/>
      <c r="U2018" t="s">
        <v>401</v>
      </c>
    </row>
    <row r="2019" spans="1:21" x14ac:dyDescent="0.25">
      <c r="B2019">
        <v>142</v>
      </c>
      <c r="C2019" t="s">
        <v>2928</v>
      </c>
      <c r="E2019" s="18">
        <v>-143</v>
      </c>
      <c r="G2019" t="s">
        <v>442</v>
      </c>
      <c r="I2019"/>
      <c r="J2019"/>
      <c r="L2019"/>
      <c r="M2019"/>
      <c r="O2019"/>
      <c r="P2019" s="20"/>
      <c r="Q2019" s="20"/>
      <c r="R2019" s="20"/>
      <c r="S2019" s="20"/>
      <c r="T2019" s="20"/>
      <c r="U2019" t="s">
        <v>401</v>
      </c>
    </row>
    <row r="2020" spans="1:21" x14ac:dyDescent="0.25">
      <c r="B2020">
        <v>142</v>
      </c>
      <c r="C2020" t="s">
        <v>1574</v>
      </c>
      <c r="E2020" s="18">
        <v>-100</v>
      </c>
      <c r="G2020" t="s">
        <v>442</v>
      </c>
      <c r="I2020"/>
      <c r="J2020"/>
      <c r="L2020"/>
      <c r="M2020"/>
      <c r="O2020"/>
      <c r="P2020" s="20"/>
      <c r="Q2020" s="20"/>
      <c r="R2020" s="20"/>
      <c r="S2020" s="20"/>
      <c r="T2020" s="20"/>
      <c r="U2020" t="s">
        <v>401</v>
      </c>
    </row>
    <row r="2021" spans="1:21" x14ac:dyDescent="0.25">
      <c r="B2021">
        <v>142</v>
      </c>
      <c r="C2021" t="s">
        <v>1575</v>
      </c>
      <c r="E2021" s="18">
        <v>-100</v>
      </c>
      <c r="G2021" t="s">
        <v>442</v>
      </c>
      <c r="I2021"/>
      <c r="J2021"/>
      <c r="L2021"/>
      <c r="M2021"/>
      <c r="O2021"/>
      <c r="P2021" s="20"/>
      <c r="Q2021" s="20"/>
      <c r="R2021" s="20"/>
      <c r="S2021" s="20"/>
      <c r="T2021" s="20"/>
      <c r="U2021" t="s">
        <v>401</v>
      </c>
    </row>
    <row r="2022" spans="1:21" x14ac:dyDescent="0.25">
      <c r="B2022">
        <v>142</v>
      </c>
      <c r="C2022" t="s">
        <v>2924</v>
      </c>
      <c r="D2022">
        <v>8.5</v>
      </c>
      <c r="E2022" s="18">
        <v>-850</v>
      </c>
      <c r="F2022" t="s">
        <v>889</v>
      </c>
      <c r="G2022" t="s">
        <v>2925</v>
      </c>
      <c r="I2022"/>
      <c r="J2022"/>
      <c r="L2022"/>
      <c r="M2022"/>
      <c r="O2022"/>
      <c r="P2022" s="20"/>
      <c r="Q2022" s="20"/>
      <c r="R2022" s="20"/>
      <c r="S2022" s="20"/>
      <c r="T2022" s="20"/>
      <c r="U2022" t="s">
        <v>401</v>
      </c>
    </row>
    <row r="2023" spans="1:21" x14ac:dyDescent="0.25">
      <c r="A2023" s="3">
        <v>41782</v>
      </c>
      <c r="B2023" s="36">
        <v>143</v>
      </c>
      <c r="C2023" t="s">
        <v>2929</v>
      </c>
      <c r="D2023">
        <v>3.75</v>
      </c>
      <c r="E2023" s="18">
        <v>375</v>
      </c>
      <c r="G2023" t="s">
        <v>2930</v>
      </c>
      <c r="H2023" s="18">
        <v>375</v>
      </c>
      <c r="I2023" s="3">
        <v>41782</v>
      </c>
      <c r="J2023"/>
      <c r="L2023"/>
      <c r="M2023"/>
      <c r="N2023" s="20"/>
      <c r="O2023"/>
      <c r="P2023" s="20"/>
      <c r="Q2023" s="20"/>
      <c r="R2023" s="20"/>
      <c r="S2023" s="20"/>
      <c r="T2023" s="20"/>
    </row>
    <row r="2024" spans="1:21" x14ac:dyDescent="0.25">
      <c r="A2024" s="3">
        <v>41782</v>
      </c>
      <c r="B2024" s="36">
        <v>143</v>
      </c>
      <c r="C2024" t="s">
        <v>2931</v>
      </c>
      <c r="D2024">
        <v>7.75</v>
      </c>
      <c r="E2024" s="18">
        <v>775</v>
      </c>
      <c r="G2024" t="s">
        <v>2932</v>
      </c>
      <c r="H2024" s="18">
        <v>775</v>
      </c>
      <c r="I2024" s="3">
        <v>41782</v>
      </c>
      <c r="J2024"/>
      <c r="L2024"/>
      <c r="M2024"/>
      <c r="N2024" s="20"/>
      <c r="O2024"/>
      <c r="P2024" s="20"/>
      <c r="Q2024" s="20"/>
      <c r="R2024" s="20"/>
      <c r="S2024" s="20"/>
      <c r="T2024" s="20"/>
    </row>
    <row r="2025" spans="1:21" x14ac:dyDescent="0.25">
      <c r="A2025" s="3">
        <v>41782</v>
      </c>
      <c r="B2025" s="36">
        <v>143</v>
      </c>
      <c r="C2025" t="s">
        <v>2933</v>
      </c>
      <c r="D2025">
        <v>4.75</v>
      </c>
      <c r="E2025" s="18">
        <v>475</v>
      </c>
      <c r="G2025" t="s">
        <v>2934</v>
      </c>
      <c r="H2025" s="18">
        <v>475</v>
      </c>
      <c r="I2025" s="3">
        <v>41782</v>
      </c>
      <c r="J2025"/>
      <c r="L2025"/>
      <c r="M2025"/>
      <c r="N2025" s="20"/>
      <c r="O2025"/>
      <c r="P2025" s="20"/>
      <c r="Q2025" s="20"/>
      <c r="R2025" s="20"/>
      <c r="S2025" s="20"/>
      <c r="T2025" s="20"/>
    </row>
    <row r="2026" spans="1:21" x14ac:dyDescent="0.25">
      <c r="A2026" s="3">
        <v>41782</v>
      </c>
      <c r="B2026" s="36">
        <v>143</v>
      </c>
      <c r="C2026" t="s">
        <v>2935</v>
      </c>
      <c r="D2026">
        <v>5</v>
      </c>
      <c r="E2026" s="18">
        <v>500</v>
      </c>
      <c r="G2026" t="s">
        <v>2936</v>
      </c>
      <c r="H2026" s="18">
        <v>500</v>
      </c>
      <c r="I2026" s="3">
        <v>41782</v>
      </c>
      <c r="J2026"/>
      <c r="L2026"/>
      <c r="M2026"/>
      <c r="N2026" s="20"/>
      <c r="O2026"/>
      <c r="P2026" s="20"/>
      <c r="Q2026" s="20"/>
      <c r="R2026" s="20"/>
      <c r="S2026" s="20"/>
      <c r="T2026" s="20"/>
    </row>
    <row r="2027" spans="1:21" x14ac:dyDescent="0.25">
      <c r="A2027" s="3">
        <v>41782</v>
      </c>
      <c r="B2027" s="36">
        <v>143</v>
      </c>
      <c r="C2027" t="s">
        <v>2937</v>
      </c>
      <c r="D2027">
        <v>8.9250000000000007</v>
      </c>
      <c r="E2027" s="18">
        <v>892.50000000000011</v>
      </c>
      <c r="G2027" t="s">
        <v>2938</v>
      </c>
      <c r="H2027" s="18">
        <v>892.50000000000011</v>
      </c>
      <c r="I2027" s="3">
        <v>41782</v>
      </c>
      <c r="J2027"/>
      <c r="L2027"/>
      <c r="M2027"/>
      <c r="N2027" s="20"/>
      <c r="O2027"/>
      <c r="P2027" s="20"/>
      <c r="Q2027" s="20"/>
      <c r="R2027" s="20"/>
      <c r="S2027" s="20"/>
      <c r="T2027" s="20"/>
    </row>
    <row r="2028" spans="1:21" x14ac:dyDescent="0.25">
      <c r="A2028" s="3">
        <v>41796</v>
      </c>
      <c r="B2028" s="36">
        <v>143</v>
      </c>
      <c r="C2028" t="s">
        <v>2939</v>
      </c>
      <c r="D2028">
        <v>5.75</v>
      </c>
      <c r="E2028" s="18">
        <v>575</v>
      </c>
      <c r="G2028" t="s">
        <v>2940</v>
      </c>
      <c r="H2028" s="18">
        <v>575</v>
      </c>
      <c r="I2028" s="3">
        <v>41796</v>
      </c>
      <c r="J2028"/>
      <c r="L2028"/>
      <c r="M2028"/>
      <c r="N2028" s="20"/>
      <c r="O2028"/>
      <c r="P2028" s="20"/>
      <c r="Q2028" s="20"/>
      <c r="R2028" s="20"/>
      <c r="S2028" s="20"/>
      <c r="T2028" s="20"/>
    </row>
    <row r="2029" spans="1:21" x14ac:dyDescent="0.25">
      <c r="A2029" s="3">
        <v>41796</v>
      </c>
      <c r="B2029" s="36">
        <v>143</v>
      </c>
      <c r="C2029" t="s">
        <v>2941</v>
      </c>
      <c r="D2029">
        <v>8.67</v>
      </c>
      <c r="E2029" s="18">
        <v>867</v>
      </c>
      <c r="G2029" t="s">
        <v>2942</v>
      </c>
      <c r="H2029" s="18">
        <v>867</v>
      </c>
      <c r="I2029" s="3">
        <v>41796</v>
      </c>
      <c r="J2029"/>
      <c r="L2029"/>
      <c r="M2029"/>
      <c r="N2029" s="20"/>
      <c r="O2029"/>
      <c r="P2029" s="20"/>
      <c r="Q2029" s="20"/>
      <c r="R2029" s="20"/>
      <c r="S2029" s="20"/>
      <c r="T2029" s="20"/>
    </row>
    <row r="2030" spans="1:21" x14ac:dyDescent="0.25">
      <c r="A2030" s="3">
        <v>41803</v>
      </c>
      <c r="B2030" s="36">
        <v>143</v>
      </c>
      <c r="C2030" t="s">
        <v>2943</v>
      </c>
      <c r="D2030">
        <v>7</v>
      </c>
      <c r="E2030" s="18">
        <v>700</v>
      </c>
      <c r="G2030" t="s">
        <v>2944</v>
      </c>
      <c r="H2030" s="18">
        <v>700</v>
      </c>
      <c r="I2030" s="3">
        <v>41803</v>
      </c>
      <c r="J2030"/>
      <c r="L2030"/>
      <c r="M2030"/>
      <c r="N2030" s="20"/>
      <c r="O2030" t="s">
        <v>1169</v>
      </c>
      <c r="P2030" s="20"/>
      <c r="Q2030" s="20"/>
      <c r="R2030" s="20"/>
      <c r="S2030" s="20"/>
      <c r="T2030" s="20"/>
    </row>
    <row r="2031" spans="1:21" x14ac:dyDescent="0.25">
      <c r="A2031" s="3">
        <v>41803</v>
      </c>
      <c r="B2031" s="36">
        <v>143</v>
      </c>
      <c r="C2031" t="s">
        <v>2945</v>
      </c>
      <c r="D2031">
        <v>8.75</v>
      </c>
      <c r="E2031" s="18">
        <v>875</v>
      </c>
      <c r="G2031" t="s">
        <v>2946</v>
      </c>
      <c r="H2031" s="18">
        <v>875</v>
      </c>
      <c r="I2031" s="3">
        <v>41803</v>
      </c>
      <c r="J2031"/>
      <c r="L2031"/>
      <c r="M2031"/>
      <c r="N2031" s="20"/>
      <c r="O2031" t="s">
        <v>1169</v>
      </c>
      <c r="P2031" s="20"/>
      <c r="Q2031" s="20"/>
      <c r="R2031" s="20"/>
      <c r="S2031" s="20"/>
      <c r="T2031" s="20"/>
    </row>
    <row r="2032" spans="1:21" x14ac:dyDescent="0.25">
      <c r="A2032" s="3">
        <v>41810</v>
      </c>
      <c r="B2032" s="36">
        <v>143</v>
      </c>
      <c r="C2032" t="s">
        <v>2947</v>
      </c>
      <c r="D2032">
        <v>3.5</v>
      </c>
      <c r="E2032" s="18">
        <v>350</v>
      </c>
      <c r="G2032" t="s">
        <v>2948</v>
      </c>
      <c r="H2032" s="18">
        <v>350</v>
      </c>
      <c r="I2032" s="3">
        <v>41810</v>
      </c>
      <c r="J2032"/>
      <c r="L2032"/>
      <c r="M2032"/>
      <c r="N2032" s="20"/>
      <c r="O2032" t="s">
        <v>1169</v>
      </c>
      <c r="P2032" s="20"/>
      <c r="Q2032" s="20"/>
      <c r="R2032" s="20"/>
      <c r="S2032" s="20"/>
      <c r="T2032" s="20"/>
    </row>
    <row r="2033" spans="1:21" x14ac:dyDescent="0.25">
      <c r="A2033" s="3">
        <v>41810</v>
      </c>
      <c r="B2033" s="36">
        <v>143</v>
      </c>
      <c r="C2033" t="s">
        <v>2949</v>
      </c>
      <c r="D2033">
        <v>10</v>
      </c>
      <c r="E2033" s="18">
        <v>1000</v>
      </c>
      <c r="G2033" t="s">
        <v>2950</v>
      </c>
      <c r="H2033" s="18">
        <v>1000</v>
      </c>
      <c r="I2033" s="3">
        <v>41810</v>
      </c>
      <c r="J2033"/>
      <c r="L2033"/>
      <c r="M2033"/>
      <c r="N2033" s="20"/>
      <c r="O2033" t="s">
        <v>1169</v>
      </c>
      <c r="P2033" s="20"/>
      <c r="Q2033" s="20"/>
      <c r="R2033" s="20"/>
      <c r="S2033" s="20"/>
      <c r="T2033" s="20"/>
    </row>
    <row r="2034" spans="1:21" x14ac:dyDescent="0.25">
      <c r="A2034" s="3">
        <v>41810</v>
      </c>
      <c r="B2034" s="36">
        <v>143</v>
      </c>
      <c r="C2034" t="s">
        <v>2951</v>
      </c>
      <c r="D2034">
        <v>10</v>
      </c>
      <c r="E2034" s="18">
        <v>1000</v>
      </c>
      <c r="G2034" t="s">
        <v>2952</v>
      </c>
      <c r="H2034" s="18">
        <v>1000</v>
      </c>
      <c r="I2034" s="3">
        <v>41810</v>
      </c>
      <c r="J2034"/>
      <c r="L2034"/>
      <c r="M2034"/>
      <c r="N2034" s="20"/>
      <c r="O2034" t="s">
        <v>1169</v>
      </c>
      <c r="P2034" s="20"/>
      <c r="Q2034" s="20"/>
      <c r="R2034" s="20"/>
      <c r="S2034" s="20"/>
      <c r="T2034" s="20"/>
    </row>
    <row r="2035" spans="1:21" x14ac:dyDescent="0.25">
      <c r="A2035" s="3">
        <v>41817</v>
      </c>
      <c r="B2035" s="36">
        <v>143</v>
      </c>
      <c r="C2035" t="s">
        <v>2953</v>
      </c>
      <c r="D2035">
        <v>5.75</v>
      </c>
      <c r="E2035" s="18">
        <v>-500</v>
      </c>
      <c r="G2035" t="s">
        <v>2940</v>
      </c>
      <c r="H2035" s="18" t="s">
        <v>442</v>
      </c>
      <c r="I2035" s="3" t="s">
        <v>442</v>
      </c>
      <c r="J2035"/>
      <c r="L2035"/>
      <c r="M2035"/>
      <c r="N2035" s="20"/>
      <c r="O2035" t="s">
        <v>2954</v>
      </c>
      <c r="P2035" s="20"/>
      <c r="Q2035" s="20"/>
      <c r="R2035" s="20"/>
      <c r="S2035" s="20"/>
      <c r="T2035" s="20"/>
    </row>
    <row r="2036" spans="1:21" x14ac:dyDescent="0.25">
      <c r="A2036" s="3">
        <v>41845</v>
      </c>
      <c r="B2036" s="36">
        <v>143</v>
      </c>
      <c r="C2036" t="s">
        <v>2955</v>
      </c>
      <c r="D2036">
        <v>4</v>
      </c>
      <c r="E2036" s="18">
        <v>400</v>
      </c>
      <c r="G2036" t="s">
        <v>2956</v>
      </c>
      <c r="H2036" s="18">
        <v>400</v>
      </c>
      <c r="I2036" s="3">
        <v>41845</v>
      </c>
      <c r="J2036"/>
      <c r="L2036"/>
      <c r="M2036"/>
      <c r="N2036" s="20"/>
      <c r="O2036" t="s">
        <v>931</v>
      </c>
      <c r="P2036" s="20"/>
      <c r="Q2036" s="20"/>
      <c r="R2036" s="20"/>
      <c r="S2036" s="20"/>
      <c r="T2036" s="20"/>
    </row>
    <row r="2037" spans="1:21" x14ac:dyDescent="0.25">
      <c r="A2037" s="3">
        <v>41845</v>
      </c>
      <c r="B2037" s="36">
        <v>143</v>
      </c>
      <c r="C2037" t="s">
        <v>2957</v>
      </c>
      <c r="D2037">
        <v>6.63</v>
      </c>
      <c r="E2037" s="18">
        <v>663</v>
      </c>
      <c r="G2037" t="s">
        <v>2958</v>
      </c>
      <c r="H2037" s="18">
        <v>663</v>
      </c>
      <c r="I2037" s="3">
        <v>41845</v>
      </c>
      <c r="J2037"/>
      <c r="L2037"/>
      <c r="M2037"/>
      <c r="N2037" s="20"/>
      <c r="O2037" t="s">
        <v>931</v>
      </c>
      <c r="P2037" s="20"/>
      <c r="Q2037" s="20"/>
      <c r="R2037" s="20"/>
      <c r="S2037" s="20"/>
      <c r="T2037" s="20"/>
    </row>
    <row r="2038" spans="1:21" x14ac:dyDescent="0.25">
      <c r="B2038">
        <v>143</v>
      </c>
      <c r="C2038" t="s">
        <v>2929</v>
      </c>
      <c r="D2038">
        <v>3.8250000000000002</v>
      </c>
      <c r="E2038" s="18">
        <v>390</v>
      </c>
      <c r="F2038" t="s">
        <v>889</v>
      </c>
      <c r="G2038" t="s">
        <v>2930</v>
      </c>
      <c r="I2038"/>
      <c r="J2038"/>
      <c r="L2038"/>
      <c r="M2038"/>
      <c r="O2038"/>
      <c r="P2038" s="20"/>
      <c r="Q2038" s="20"/>
      <c r="R2038" s="20"/>
      <c r="S2038" s="20"/>
      <c r="T2038" s="20"/>
      <c r="U2038" t="s">
        <v>401</v>
      </c>
    </row>
    <row r="2039" spans="1:21" x14ac:dyDescent="0.25">
      <c r="B2039">
        <v>143</v>
      </c>
      <c r="C2039" t="s">
        <v>2959</v>
      </c>
      <c r="D2039">
        <v>5.75</v>
      </c>
      <c r="E2039" s="18">
        <v>-75</v>
      </c>
      <c r="G2039" t="s">
        <v>2940</v>
      </c>
      <c r="I2039"/>
      <c r="J2039"/>
      <c r="L2039"/>
      <c r="M2039"/>
      <c r="O2039"/>
      <c r="P2039" s="20"/>
      <c r="Q2039" s="20"/>
      <c r="R2039" s="20"/>
      <c r="S2039" s="20"/>
      <c r="T2039" s="20"/>
      <c r="U2039" t="s">
        <v>401</v>
      </c>
    </row>
    <row r="2040" spans="1:21" x14ac:dyDescent="0.25">
      <c r="B2040">
        <v>143</v>
      </c>
      <c r="C2040" t="s">
        <v>2960</v>
      </c>
      <c r="D2040">
        <v>3.5</v>
      </c>
      <c r="E2040" s="18">
        <v>350</v>
      </c>
      <c r="G2040" t="s">
        <v>2961</v>
      </c>
      <c r="I2040"/>
      <c r="J2040"/>
      <c r="L2040"/>
      <c r="M2040"/>
      <c r="O2040"/>
      <c r="P2040" s="20"/>
      <c r="Q2040" s="20"/>
      <c r="R2040" s="20"/>
      <c r="S2040" s="20"/>
      <c r="T2040" s="20"/>
      <c r="U2040" t="s">
        <v>401</v>
      </c>
    </row>
    <row r="2041" spans="1:21" x14ac:dyDescent="0.25">
      <c r="B2041">
        <v>143</v>
      </c>
      <c r="C2041" t="s">
        <v>2960</v>
      </c>
      <c r="D2041">
        <v>3.5</v>
      </c>
      <c r="E2041" s="18">
        <v>116.66666666666667</v>
      </c>
      <c r="F2041" t="s">
        <v>889</v>
      </c>
      <c r="G2041" t="s">
        <v>2961</v>
      </c>
      <c r="I2041"/>
      <c r="J2041"/>
      <c r="L2041"/>
      <c r="M2041"/>
      <c r="O2041"/>
      <c r="P2041" s="20"/>
      <c r="Q2041" s="20"/>
      <c r="R2041" s="20"/>
      <c r="S2041" s="20"/>
      <c r="T2041" s="20"/>
      <c r="U2041" t="s">
        <v>401</v>
      </c>
    </row>
    <row r="2042" spans="1:21" x14ac:dyDescent="0.25">
      <c r="B2042">
        <v>143</v>
      </c>
      <c r="C2042" t="s">
        <v>2960</v>
      </c>
      <c r="D2042">
        <v>3.5</v>
      </c>
      <c r="E2042" s="18">
        <v>116.66666666666667</v>
      </c>
      <c r="F2042" t="s">
        <v>889</v>
      </c>
      <c r="G2042" t="s">
        <v>2961</v>
      </c>
      <c r="I2042"/>
      <c r="J2042"/>
      <c r="L2042"/>
      <c r="M2042"/>
      <c r="O2042"/>
      <c r="P2042" s="20"/>
      <c r="Q2042" s="20"/>
      <c r="R2042" s="20"/>
      <c r="S2042" s="20"/>
      <c r="T2042" s="20"/>
      <c r="U2042" t="s">
        <v>401</v>
      </c>
    </row>
    <row r="2043" spans="1:21" x14ac:dyDescent="0.25">
      <c r="B2043">
        <v>143</v>
      </c>
      <c r="C2043" t="s">
        <v>2947</v>
      </c>
      <c r="D2043">
        <v>3.57</v>
      </c>
      <c r="E2043" s="18">
        <v>364</v>
      </c>
      <c r="F2043" t="s">
        <v>889</v>
      </c>
      <c r="G2043" t="s">
        <v>2948</v>
      </c>
      <c r="I2043"/>
      <c r="J2043"/>
      <c r="L2043"/>
      <c r="M2043"/>
      <c r="O2043"/>
      <c r="P2043" s="20"/>
      <c r="Q2043" s="20"/>
      <c r="R2043" s="20"/>
      <c r="S2043" s="20"/>
      <c r="T2043" s="20"/>
      <c r="U2043" t="s">
        <v>401</v>
      </c>
    </row>
    <row r="2044" spans="1:21" x14ac:dyDescent="0.25">
      <c r="B2044">
        <v>143</v>
      </c>
      <c r="C2044" t="s">
        <v>2955</v>
      </c>
      <c r="D2044">
        <v>4</v>
      </c>
      <c r="E2044" s="18">
        <v>-400</v>
      </c>
      <c r="F2044" t="s">
        <v>889</v>
      </c>
      <c r="G2044" t="s">
        <v>2956</v>
      </c>
      <c r="I2044"/>
      <c r="J2044"/>
      <c r="L2044"/>
      <c r="M2044"/>
      <c r="O2044"/>
      <c r="P2044" s="20"/>
      <c r="Q2044" s="20"/>
      <c r="R2044" s="20"/>
      <c r="S2044" s="20"/>
      <c r="T2044" s="20"/>
      <c r="U2044" t="s">
        <v>401</v>
      </c>
    </row>
    <row r="2045" spans="1:21" x14ac:dyDescent="0.25">
      <c r="B2045">
        <v>143</v>
      </c>
      <c r="C2045" t="s">
        <v>2949</v>
      </c>
      <c r="D2045">
        <v>10</v>
      </c>
      <c r="E2045" s="18">
        <v>-1000</v>
      </c>
      <c r="G2045" t="s">
        <v>2950</v>
      </c>
      <c r="I2045"/>
      <c r="J2045"/>
      <c r="L2045"/>
      <c r="M2045"/>
      <c r="O2045"/>
      <c r="P2045" s="20"/>
      <c r="Q2045" s="20"/>
      <c r="R2045" s="20"/>
      <c r="S2045" s="20"/>
      <c r="T2045" s="20"/>
      <c r="U2045" t="s">
        <v>401</v>
      </c>
    </row>
    <row r="2046" spans="1:21" x14ac:dyDescent="0.25">
      <c r="B2046">
        <v>143</v>
      </c>
      <c r="C2046" t="s">
        <v>2941</v>
      </c>
      <c r="D2046">
        <v>8.67</v>
      </c>
      <c r="E2046" s="18">
        <v>-867</v>
      </c>
      <c r="G2046" t="s">
        <v>2942</v>
      </c>
      <c r="I2046"/>
      <c r="J2046"/>
      <c r="L2046"/>
      <c r="M2046"/>
      <c r="O2046"/>
      <c r="P2046" s="20"/>
      <c r="Q2046" s="20"/>
      <c r="R2046" s="20"/>
      <c r="S2046" s="20"/>
      <c r="T2046" s="20"/>
      <c r="U2046" t="s">
        <v>401</v>
      </c>
    </row>
    <row r="2047" spans="1:21" x14ac:dyDescent="0.25">
      <c r="B2047">
        <v>143</v>
      </c>
      <c r="C2047" t="s">
        <v>2957</v>
      </c>
      <c r="D2047">
        <v>6.63</v>
      </c>
      <c r="E2047" s="18">
        <v>221</v>
      </c>
      <c r="F2047" t="s">
        <v>889</v>
      </c>
      <c r="G2047" t="s">
        <v>2958</v>
      </c>
      <c r="I2047"/>
      <c r="J2047"/>
      <c r="L2047"/>
      <c r="M2047"/>
      <c r="O2047"/>
      <c r="P2047" s="20"/>
      <c r="Q2047" s="20"/>
      <c r="R2047" s="20"/>
      <c r="S2047" s="20"/>
      <c r="T2047" s="20"/>
      <c r="U2047" t="s">
        <v>401</v>
      </c>
    </row>
    <row r="2048" spans="1:21" x14ac:dyDescent="0.25">
      <c r="B2048">
        <v>143</v>
      </c>
      <c r="C2048" t="s">
        <v>2957</v>
      </c>
      <c r="D2048">
        <v>6.63</v>
      </c>
      <c r="E2048" s="18">
        <v>221</v>
      </c>
      <c r="F2048" t="s">
        <v>889</v>
      </c>
      <c r="G2048" t="s">
        <v>2958</v>
      </c>
      <c r="I2048"/>
      <c r="J2048"/>
      <c r="L2048"/>
      <c r="M2048"/>
      <c r="O2048"/>
      <c r="P2048" s="20"/>
      <c r="Q2048" s="20"/>
      <c r="R2048" s="20"/>
      <c r="S2048" s="20"/>
      <c r="T2048" s="20"/>
      <c r="U2048" t="s">
        <v>401</v>
      </c>
    </row>
    <row r="2049" spans="1:21" x14ac:dyDescent="0.25">
      <c r="B2049">
        <v>143</v>
      </c>
      <c r="C2049" t="s">
        <v>2937</v>
      </c>
      <c r="E2049" s="18">
        <v>892.50000000000023</v>
      </c>
      <c r="F2049" t="s">
        <v>889</v>
      </c>
      <c r="G2049" t="s">
        <v>2938</v>
      </c>
      <c r="I2049"/>
      <c r="J2049"/>
      <c r="L2049"/>
      <c r="M2049"/>
      <c r="O2049"/>
      <c r="P2049" s="20"/>
      <c r="Q2049" s="20"/>
      <c r="R2049" s="20"/>
      <c r="S2049" s="20"/>
      <c r="T2049" s="20"/>
      <c r="U2049" t="s">
        <v>401</v>
      </c>
    </row>
    <row r="2050" spans="1:21" x14ac:dyDescent="0.25">
      <c r="B2050">
        <v>143</v>
      </c>
      <c r="C2050" t="s">
        <v>2943</v>
      </c>
      <c r="D2050">
        <v>7</v>
      </c>
      <c r="E2050" s="18">
        <v>-700</v>
      </c>
      <c r="G2050" t="s">
        <v>2944</v>
      </c>
      <c r="I2050"/>
      <c r="J2050"/>
      <c r="L2050"/>
      <c r="M2050"/>
      <c r="O2050"/>
      <c r="P2050" s="20"/>
      <c r="Q2050" s="20"/>
      <c r="R2050" s="20"/>
      <c r="S2050" s="20"/>
      <c r="T2050" s="20"/>
      <c r="U2050" t="s">
        <v>401</v>
      </c>
    </row>
    <row r="2051" spans="1:21" x14ac:dyDescent="0.25">
      <c r="B2051">
        <v>143</v>
      </c>
      <c r="C2051" t="s">
        <v>2951</v>
      </c>
      <c r="D2051">
        <v>10</v>
      </c>
      <c r="E2051" s="18">
        <v>-1000</v>
      </c>
      <c r="G2051" t="s">
        <v>2952</v>
      </c>
      <c r="I2051"/>
      <c r="J2051"/>
      <c r="L2051"/>
      <c r="M2051"/>
      <c r="O2051"/>
      <c r="P2051" s="20"/>
      <c r="Q2051" s="20"/>
      <c r="R2051" s="20"/>
      <c r="S2051" s="20"/>
      <c r="T2051" s="20"/>
      <c r="U2051" t="s">
        <v>401</v>
      </c>
    </row>
    <row r="2052" spans="1:21" x14ac:dyDescent="0.25">
      <c r="B2052">
        <v>145</v>
      </c>
      <c r="C2052" t="s">
        <v>2962</v>
      </c>
      <c r="D2052">
        <v>3.5</v>
      </c>
      <c r="E2052" s="18">
        <v>350</v>
      </c>
      <c r="G2052" t="s">
        <v>2963</v>
      </c>
      <c r="I2052"/>
      <c r="J2052"/>
      <c r="L2052"/>
      <c r="M2052"/>
      <c r="O2052"/>
      <c r="P2052" s="20"/>
      <c r="Q2052" s="20"/>
      <c r="R2052" s="20"/>
      <c r="S2052" s="20"/>
      <c r="T2052" s="20"/>
      <c r="U2052" t="s">
        <v>401</v>
      </c>
    </row>
    <row r="2053" spans="1:21" x14ac:dyDescent="0.25">
      <c r="A2053" s="3">
        <v>41782</v>
      </c>
      <c r="B2053" s="36">
        <v>146</v>
      </c>
      <c r="C2053" t="s">
        <v>2964</v>
      </c>
      <c r="D2053">
        <v>5.8650000000000002</v>
      </c>
      <c r="E2053" s="18">
        <v>586.5</v>
      </c>
      <c r="G2053" t="s">
        <v>2965</v>
      </c>
      <c r="H2053" s="18">
        <v>586.5</v>
      </c>
      <c r="I2053" s="3">
        <v>41782</v>
      </c>
      <c r="J2053"/>
      <c r="L2053"/>
      <c r="M2053"/>
      <c r="N2053" s="20"/>
      <c r="O2053"/>
      <c r="P2053" s="20"/>
      <c r="Q2053" s="20"/>
      <c r="R2053" s="20"/>
      <c r="S2053" s="20"/>
      <c r="T2053" s="20"/>
    </row>
    <row r="2054" spans="1:21" x14ac:dyDescent="0.25">
      <c r="A2054" s="3">
        <v>41803</v>
      </c>
      <c r="B2054" s="36">
        <v>146</v>
      </c>
      <c r="C2054" t="s">
        <v>2966</v>
      </c>
      <c r="D2054">
        <v>4.75</v>
      </c>
      <c r="E2054" s="18">
        <v>475</v>
      </c>
      <c r="G2054" t="s">
        <v>2967</v>
      </c>
      <c r="H2054" s="18">
        <v>475</v>
      </c>
      <c r="I2054" s="3">
        <v>41803</v>
      </c>
      <c r="J2054"/>
      <c r="L2054"/>
      <c r="M2054"/>
      <c r="N2054" s="20"/>
      <c r="O2054" t="s">
        <v>1169</v>
      </c>
      <c r="P2054" s="20"/>
      <c r="Q2054" s="20"/>
      <c r="R2054" s="20"/>
      <c r="S2054" s="20"/>
      <c r="T2054" s="20"/>
    </row>
    <row r="2055" spans="1:21" x14ac:dyDescent="0.25">
      <c r="A2055" s="3">
        <v>41810</v>
      </c>
      <c r="B2055" s="36">
        <v>146</v>
      </c>
      <c r="C2055" t="s">
        <v>2968</v>
      </c>
      <c r="D2055">
        <v>10</v>
      </c>
      <c r="E2055" s="18">
        <v>1000</v>
      </c>
      <c r="G2055" t="s">
        <v>2969</v>
      </c>
      <c r="H2055" s="18">
        <v>1000</v>
      </c>
      <c r="I2055" s="3">
        <v>41810</v>
      </c>
      <c r="J2055"/>
      <c r="L2055"/>
      <c r="M2055"/>
      <c r="N2055" s="20"/>
      <c r="O2055" t="s">
        <v>1555</v>
      </c>
      <c r="P2055" s="20"/>
      <c r="Q2055" s="20"/>
      <c r="R2055" s="20"/>
      <c r="S2055" s="20"/>
      <c r="T2055" s="20"/>
    </row>
    <row r="2056" spans="1:21" x14ac:dyDescent="0.25">
      <c r="A2056" s="3">
        <v>41810</v>
      </c>
      <c r="B2056" s="36">
        <v>146</v>
      </c>
      <c r="C2056" t="s">
        <v>2970</v>
      </c>
      <c r="D2056">
        <v>2.5</v>
      </c>
      <c r="E2056" s="18">
        <v>250</v>
      </c>
      <c r="G2056" t="s">
        <v>2971</v>
      </c>
      <c r="H2056" s="18">
        <v>250</v>
      </c>
      <c r="I2056" s="3">
        <v>41810</v>
      </c>
      <c r="J2056"/>
      <c r="L2056"/>
      <c r="M2056"/>
      <c r="N2056" s="20"/>
      <c r="O2056" t="s">
        <v>1555</v>
      </c>
      <c r="P2056" s="20"/>
      <c r="Q2056" s="20"/>
      <c r="R2056" s="20"/>
      <c r="S2056" s="20"/>
      <c r="T2056" s="20"/>
    </row>
    <row r="2057" spans="1:21" x14ac:dyDescent="0.25">
      <c r="A2057" s="3">
        <v>41810</v>
      </c>
      <c r="B2057" s="36">
        <v>146</v>
      </c>
      <c r="C2057" t="s">
        <v>2972</v>
      </c>
      <c r="D2057">
        <v>3.5</v>
      </c>
      <c r="E2057" s="18">
        <v>350</v>
      </c>
      <c r="G2057" t="s">
        <v>2973</v>
      </c>
      <c r="H2057" s="18">
        <v>350</v>
      </c>
      <c r="I2057" s="3">
        <v>41810</v>
      </c>
      <c r="J2057"/>
      <c r="L2057"/>
      <c r="M2057"/>
      <c r="N2057" s="20"/>
      <c r="O2057" t="s">
        <v>1555</v>
      </c>
      <c r="P2057" s="20"/>
      <c r="Q2057" s="20"/>
      <c r="R2057" s="20"/>
      <c r="S2057" s="20"/>
      <c r="T2057" s="20"/>
    </row>
    <row r="2058" spans="1:21" x14ac:dyDescent="0.25">
      <c r="A2058" s="3">
        <v>41838</v>
      </c>
      <c r="B2058" s="36">
        <v>146</v>
      </c>
      <c r="C2058" t="s">
        <v>2968</v>
      </c>
      <c r="D2058">
        <v>6.8849999999999998</v>
      </c>
      <c r="E2058" s="18">
        <v>688.5</v>
      </c>
      <c r="G2058" t="s">
        <v>2969</v>
      </c>
      <c r="H2058" s="18">
        <v>688.5</v>
      </c>
      <c r="I2058" s="3">
        <v>41838</v>
      </c>
      <c r="J2058"/>
      <c r="L2058"/>
      <c r="M2058"/>
      <c r="N2058" s="20"/>
      <c r="O2058" t="s">
        <v>931</v>
      </c>
      <c r="P2058" s="20"/>
      <c r="Q2058" s="20"/>
      <c r="R2058" s="20"/>
      <c r="S2058" s="20"/>
      <c r="T2058" s="20"/>
    </row>
    <row r="2059" spans="1:21" x14ac:dyDescent="0.25">
      <c r="A2059" s="3">
        <v>41838</v>
      </c>
      <c r="B2059" s="36">
        <v>146</v>
      </c>
      <c r="C2059" t="s">
        <v>2974</v>
      </c>
      <c r="E2059" s="18">
        <v>-188.5</v>
      </c>
      <c r="G2059" t="s">
        <v>2971</v>
      </c>
      <c r="H2059" s="18" t="s">
        <v>442</v>
      </c>
      <c r="I2059" s="3" t="s">
        <v>442</v>
      </c>
      <c r="J2059"/>
      <c r="L2059"/>
      <c r="M2059"/>
      <c r="N2059" s="20"/>
      <c r="O2059"/>
      <c r="P2059" s="20"/>
      <c r="Q2059" s="20"/>
      <c r="R2059" s="20"/>
      <c r="S2059" s="20"/>
      <c r="T2059" s="20"/>
    </row>
    <row r="2060" spans="1:21" x14ac:dyDescent="0.25">
      <c r="B2060">
        <v>146</v>
      </c>
      <c r="C2060" t="s">
        <v>2966</v>
      </c>
      <c r="D2060">
        <v>4.8449999999999998</v>
      </c>
      <c r="E2060" s="18">
        <v>-475</v>
      </c>
      <c r="F2060" t="s">
        <v>889</v>
      </c>
      <c r="G2060" t="s">
        <v>2967</v>
      </c>
      <c r="I2060"/>
      <c r="J2060"/>
      <c r="L2060"/>
      <c r="M2060"/>
      <c r="O2060"/>
      <c r="P2060" s="20"/>
      <c r="Q2060" s="20"/>
      <c r="R2060" s="20"/>
      <c r="S2060" s="20"/>
      <c r="T2060" s="20"/>
      <c r="U2060" t="s">
        <v>401</v>
      </c>
    </row>
    <row r="2061" spans="1:21" x14ac:dyDescent="0.25">
      <c r="B2061">
        <v>146</v>
      </c>
      <c r="C2061" t="s">
        <v>2968</v>
      </c>
      <c r="D2061">
        <v>6.8849999999999998</v>
      </c>
      <c r="E2061" s="18">
        <v>-1688.5</v>
      </c>
      <c r="F2061" t="s">
        <v>889</v>
      </c>
      <c r="G2061" t="s">
        <v>2969</v>
      </c>
      <c r="I2061"/>
      <c r="J2061"/>
      <c r="L2061"/>
      <c r="M2061"/>
      <c r="O2061"/>
      <c r="P2061" s="20"/>
      <c r="Q2061" s="20"/>
      <c r="R2061" s="20"/>
      <c r="S2061" s="20"/>
      <c r="T2061" s="20"/>
      <c r="U2061" t="s">
        <v>401</v>
      </c>
    </row>
    <row r="2062" spans="1:21" x14ac:dyDescent="0.25">
      <c r="B2062">
        <v>146</v>
      </c>
      <c r="C2062" t="s">
        <v>2964</v>
      </c>
      <c r="D2062">
        <v>5.8650000000000002</v>
      </c>
      <c r="E2062" s="18">
        <v>-586.5</v>
      </c>
      <c r="F2062" t="s">
        <v>889</v>
      </c>
      <c r="G2062" t="s">
        <v>2965</v>
      </c>
      <c r="I2062"/>
      <c r="J2062"/>
      <c r="L2062"/>
      <c r="M2062"/>
      <c r="O2062"/>
      <c r="P2062" s="20"/>
      <c r="Q2062" s="20"/>
      <c r="R2062" s="20"/>
      <c r="S2062" s="20"/>
      <c r="T2062" s="20"/>
      <c r="U2062" t="s">
        <v>401</v>
      </c>
    </row>
    <row r="2063" spans="1:21" x14ac:dyDescent="0.25">
      <c r="B2063">
        <v>146</v>
      </c>
      <c r="C2063" t="s">
        <v>2975</v>
      </c>
      <c r="D2063">
        <v>3.8250000000000002</v>
      </c>
      <c r="E2063" s="18">
        <v>-61.5</v>
      </c>
      <c r="G2063" t="s">
        <v>2971</v>
      </c>
      <c r="I2063"/>
      <c r="J2063"/>
      <c r="L2063"/>
      <c r="M2063"/>
      <c r="O2063"/>
      <c r="P2063" s="20"/>
      <c r="Q2063" s="20"/>
      <c r="R2063" s="20"/>
      <c r="S2063" s="20"/>
      <c r="T2063" s="20"/>
      <c r="U2063" t="s">
        <v>401</v>
      </c>
    </row>
    <row r="2064" spans="1:21" x14ac:dyDescent="0.25">
      <c r="B2064">
        <v>146</v>
      </c>
      <c r="C2064" t="s">
        <v>2972</v>
      </c>
      <c r="D2064">
        <v>3.5</v>
      </c>
      <c r="E2064" s="18">
        <v>-350</v>
      </c>
      <c r="G2064" t="s">
        <v>2973</v>
      </c>
      <c r="I2064"/>
      <c r="J2064"/>
      <c r="L2064"/>
      <c r="M2064"/>
      <c r="O2064"/>
      <c r="P2064" s="20"/>
      <c r="Q2064" s="20"/>
      <c r="R2064" s="20"/>
      <c r="S2064" s="20"/>
      <c r="T2064" s="20"/>
      <c r="U2064" t="s">
        <v>401</v>
      </c>
    </row>
    <row r="2065" spans="1:20" x14ac:dyDescent="0.25">
      <c r="A2065" s="3">
        <v>41796</v>
      </c>
      <c r="B2065" s="36">
        <v>147</v>
      </c>
      <c r="C2065" t="s">
        <v>2976</v>
      </c>
      <c r="D2065">
        <v>6.5</v>
      </c>
      <c r="E2065" s="18">
        <v>650</v>
      </c>
      <c r="G2065" t="s">
        <v>2977</v>
      </c>
      <c r="H2065" s="18">
        <v>650</v>
      </c>
      <c r="I2065" s="3">
        <v>41796</v>
      </c>
      <c r="J2065"/>
      <c r="L2065"/>
      <c r="M2065"/>
      <c r="N2065" s="20"/>
      <c r="O2065" t="s">
        <v>2744</v>
      </c>
      <c r="P2065" s="20"/>
      <c r="Q2065" s="20"/>
      <c r="R2065" s="20"/>
      <c r="S2065" s="20"/>
      <c r="T2065" s="20"/>
    </row>
    <row r="2066" spans="1:20" x14ac:dyDescent="0.25">
      <c r="A2066" s="3">
        <v>41796</v>
      </c>
      <c r="B2066" s="36">
        <v>147</v>
      </c>
      <c r="C2066" t="s">
        <v>2978</v>
      </c>
      <c r="D2066">
        <v>6</v>
      </c>
      <c r="E2066" s="18">
        <v>600</v>
      </c>
      <c r="G2066" t="s">
        <v>2979</v>
      </c>
      <c r="H2066" s="18">
        <v>600</v>
      </c>
      <c r="I2066" s="3">
        <v>41796</v>
      </c>
      <c r="J2066"/>
      <c r="L2066"/>
      <c r="M2066"/>
      <c r="N2066" s="20"/>
      <c r="O2066" t="s">
        <v>2744</v>
      </c>
      <c r="P2066" s="20"/>
      <c r="Q2066" s="20"/>
      <c r="R2066" s="20"/>
      <c r="S2066" s="20"/>
      <c r="T2066" s="20"/>
    </row>
    <row r="2067" spans="1:20" x14ac:dyDescent="0.25">
      <c r="A2067" s="3">
        <v>41803</v>
      </c>
      <c r="B2067" s="36">
        <v>147</v>
      </c>
      <c r="C2067" t="s">
        <v>2980</v>
      </c>
      <c r="D2067">
        <v>6.5</v>
      </c>
      <c r="E2067" s="18">
        <v>650</v>
      </c>
      <c r="G2067" t="s">
        <v>2981</v>
      </c>
      <c r="H2067" s="18">
        <v>650</v>
      </c>
      <c r="I2067" s="3">
        <v>41803</v>
      </c>
      <c r="J2067"/>
      <c r="L2067"/>
      <c r="M2067"/>
      <c r="N2067" s="20"/>
      <c r="O2067" t="s">
        <v>1169</v>
      </c>
      <c r="P2067" s="20"/>
      <c r="Q2067" s="20"/>
      <c r="R2067" s="20"/>
      <c r="S2067" s="20"/>
      <c r="T2067" s="20"/>
    </row>
    <row r="2068" spans="1:20" x14ac:dyDescent="0.25">
      <c r="A2068" s="3">
        <v>42027</v>
      </c>
      <c r="B2068" s="36">
        <v>147</v>
      </c>
      <c r="C2068" t="s">
        <v>2982</v>
      </c>
      <c r="D2068" s="55">
        <v>4.8449999999999998</v>
      </c>
      <c r="E2068" s="18">
        <v>319</v>
      </c>
      <c r="F2068" t="s">
        <v>889</v>
      </c>
      <c r="G2068" t="s">
        <v>2981</v>
      </c>
      <c r="H2068" s="18">
        <v>319</v>
      </c>
      <c r="I2068" s="3">
        <v>42027</v>
      </c>
      <c r="J2068"/>
      <c r="L2068"/>
      <c r="M2068"/>
      <c r="N2068" s="20"/>
      <c r="O2068"/>
      <c r="P2068" s="20"/>
      <c r="Q2068" s="20"/>
      <c r="R2068" s="20"/>
      <c r="S2068" s="20"/>
      <c r="T2068" s="20"/>
    </row>
    <row r="2069" spans="1:20" x14ac:dyDescent="0.25">
      <c r="A2069" s="3">
        <v>41817</v>
      </c>
      <c r="B2069" s="36">
        <v>148</v>
      </c>
      <c r="C2069" t="s">
        <v>2983</v>
      </c>
      <c r="D2069">
        <v>6.12</v>
      </c>
      <c r="E2069" s="18">
        <v>612</v>
      </c>
      <c r="G2069" t="s">
        <v>2984</v>
      </c>
      <c r="H2069" s="18">
        <v>612</v>
      </c>
      <c r="I2069" s="3">
        <v>41817</v>
      </c>
      <c r="J2069"/>
      <c r="L2069"/>
      <c r="M2069"/>
      <c r="N2069" s="20"/>
      <c r="O2069" t="s">
        <v>931</v>
      </c>
      <c r="P2069" s="20"/>
      <c r="Q2069" s="20"/>
      <c r="R2069" s="20"/>
      <c r="S2069" s="20"/>
      <c r="T2069" s="20"/>
    </row>
    <row r="2070" spans="1:20" x14ac:dyDescent="0.25">
      <c r="A2070" s="3">
        <v>41838</v>
      </c>
      <c r="B2070" s="36">
        <v>148</v>
      </c>
      <c r="C2070" t="s">
        <v>2985</v>
      </c>
      <c r="D2070">
        <v>4.59</v>
      </c>
      <c r="E2070" s="18">
        <v>459</v>
      </c>
      <c r="G2070" t="s">
        <v>2986</v>
      </c>
      <c r="H2070" s="18">
        <v>459</v>
      </c>
      <c r="I2070" s="3">
        <v>41838</v>
      </c>
      <c r="J2070"/>
      <c r="L2070"/>
      <c r="M2070"/>
      <c r="N2070" s="20"/>
      <c r="O2070" t="s">
        <v>931</v>
      </c>
      <c r="P2070" s="20"/>
      <c r="Q2070" s="20"/>
      <c r="R2070" s="20"/>
      <c r="S2070" s="20"/>
      <c r="T2070" s="20"/>
    </row>
    <row r="2071" spans="1:20" x14ac:dyDescent="0.25">
      <c r="A2071" s="3">
        <v>42004</v>
      </c>
      <c r="B2071" s="36">
        <v>148</v>
      </c>
      <c r="C2071" t="s">
        <v>2987</v>
      </c>
      <c r="D2071">
        <v>3.8250000000000002</v>
      </c>
      <c r="E2071" s="18">
        <v>382.5</v>
      </c>
      <c r="G2071" t="s">
        <v>2988</v>
      </c>
      <c r="H2071" s="18">
        <v>382.5</v>
      </c>
      <c r="I2071" s="3">
        <v>42004</v>
      </c>
      <c r="J2071"/>
      <c r="L2071"/>
      <c r="M2071"/>
      <c r="N2071" s="20"/>
      <c r="O2071" t="s">
        <v>917</v>
      </c>
      <c r="P2071" s="20"/>
      <c r="Q2071" s="20"/>
      <c r="R2071" s="20"/>
      <c r="S2071" s="20"/>
      <c r="T2071" s="20"/>
    </row>
    <row r="2072" spans="1:20" x14ac:dyDescent="0.25">
      <c r="A2072" s="3">
        <v>42004</v>
      </c>
      <c r="B2072" s="36">
        <v>148</v>
      </c>
      <c r="C2072" t="s">
        <v>2987</v>
      </c>
      <c r="D2072">
        <v>3.8250000000000002</v>
      </c>
      <c r="E2072" s="18">
        <v>-382.5</v>
      </c>
      <c r="F2072" t="s">
        <v>889</v>
      </c>
      <c r="G2072" t="s">
        <v>2988</v>
      </c>
      <c r="H2072" s="18" t="s">
        <v>442</v>
      </c>
      <c r="I2072" s="3" t="s">
        <v>442</v>
      </c>
      <c r="J2072"/>
      <c r="L2072"/>
      <c r="M2072"/>
      <c r="N2072" s="20"/>
      <c r="O2072"/>
      <c r="P2072" s="20"/>
      <c r="Q2072" s="20"/>
      <c r="R2072" s="20"/>
      <c r="S2072" s="20"/>
      <c r="T2072" s="20"/>
    </row>
    <row r="2073" spans="1:20" x14ac:dyDescent="0.25">
      <c r="A2073" s="3">
        <v>42004</v>
      </c>
      <c r="B2073" s="36">
        <v>148</v>
      </c>
      <c r="C2073" t="s">
        <v>2985</v>
      </c>
      <c r="D2073">
        <v>4.59</v>
      </c>
      <c r="E2073" s="18">
        <v>153</v>
      </c>
      <c r="F2073" t="s">
        <v>889</v>
      </c>
      <c r="G2073" t="s">
        <v>2986</v>
      </c>
      <c r="H2073" s="18">
        <v>153</v>
      </c>
      <c r="I2073" s="3">
        <v>42004</v>
      </c>
      <c r="J2073"/>
      <c r="L2073"/>
      <c r="M2073"/>
      <c r="N2073" s="20"/>
      <c r="O2073"/>
      <c r="P2073" s="20"/>
      <c r="Q2073" s="20"/>
      <c r="R2073" s="20"/>
      <c r="S2073" s="20"/>
      <c r="T2073" s="20"/>
    </row>
    <row r="2074" spans="1:20" x14ac:dyDescent="0.25">
      <c r="A2074" s="3">
        <v>42004</v>
      </c>
      <c r="B2074" s="36">
        <v>148</v>
      </c>
      <c r="C2074" t="s">
        <v>2989</v>
      </c>
      <c r="D2074">
        <v>5.0999999999999996</v>
      </c>
      <c r="E2074" s="18">
        <v>509.99999999999994</v>
      </c>
      <c r="F2074" t="s">
        <v>889</v>
      </c>
      <c r="G2074" t="s">
        <v>2990</v>
      </c>
      <c r="H2074" s="18">
        <v>509.99999999999994</v>
      </c>
      <c r="I2074" s="3">
        <v>42004</v>
      </c>
      <c r="J2074"/>
      <c r="L2074"/>
      <c r="M2074"/>
      <c r="N2074" s="20"/>
      <c r="O2074"/>
      <c r="P2074" s="20"/>
      <c r="Q2074" s="20"/>
      <c r="R2074" s="20"/>
      <c r="S2074" s="20"/>
      <c r="T2074" s="20"/>
    </row>
    <row r="2075" spans="1:20" x14ac:dyDescent="0.25">
      <c r="A2075" s="3">
        <v>42004</v>
      </c>
      <c r="B2075" s="36">
        <v>148</v>
      </c>
      <c r="C2075" t="s">
        <v>2983</v>
      </c>
      <c r="D2075">
        <v>6.12</v>
      </c>
      <c r="E2075" s="18">
        <v>-612</v>
      </c>
      <c r="G2075" t="s">
        <v>2984</v>
      </c>
      <c r="H2075" s="18" t="s">
        <v>442</v>
      </c>
      <c r="I2075" s="3" t="s">
        <v>442</v>
      </c>
      <c r="J2075"/>
      <c r="L2075"/>
      <c r="M2075"/>
      <c r="N2075" s="20"/>
      <c r="O2075" t="s">
        <v>2797</v>
      </c>
      <c r="P2075" s="20"/>
      <c r="Q2075" s="20"/>
      <c r="R2075" s="20"/>
      <c r="S2075" s="20"/>
      <c r="T2075" s="20"/>
    </row>
    <row r="2076" spans="1:20" x14ac:dyDescent="0.25">
      <c r="A2076" s="3">
        <v>42041</v>
      </c>
      <c r="B2076">
        <v>148</v>
      </c>
      <c r="C2076" t="s">
        <v>2985</v>
      </c>
      <c r="E2076" s="18">
        <v>153</v>
      </c>
      <c r="F2076" t="s">
        <v>889</v>
      </c>
      <c r="G2076" t="s">
        <v>2986</v>
      </c>
      <c r="I2076"/>
      <c r="J2076"/>
      <c r="L2076"/>
      <c r="M2076"/>
      <c r="O2076"/>
      <c r="P2076" s="20"/>
      <c r="Q2076" s="20"/>
      <c r="R2076" s="20"/>
      <c r="S2076" s="20"/>
      <c r="T2076" s="20"/>
    </row>
    <row r="2077" spans="1:20" x14ac:dyDescent="0.25">
      <c r="A2077" s="3">
        <v>41803</v>
      </c>
      <c r="B2077" s="36">
        <v>149</v>
      </c>
      <c r="C2077" t="s">
        <v>2991</v>
      </c>
      <c r="D2077">
        <v>5.75</v>
      </c>
      <c r="E2077" s="18">
        <v>575</v>
      </c>
      <c r="G2077" t="s">
        <v>2992</v>
      </c>
      <c r="H2077" s="18">
        <v>575</v>
      </c>
      <c r="I2077" s="3">
        <v>41803</v>
      </c>
      <c r="J2077"/>
      <c r="L2077"/>
      <c r="M2077"/>
      <c r="N2077" s="20"/>
      <c r="O2077" t="s">
        <v>1169</v>
      </c>
      <c r="P2077" s="20"/>
      <c r="Q2077" s="20"/>
      <c r="R2077" s="20"/>
      <c r="S2077" s="20"/>
      <c r="T2077" s="20"/>
    </row>
    <row r="2078" spans="1:20" x14ac:dyDescent="0.25">
      <c r="A2078" s="3">
        <v>41810</v>
      </c>
      <c r="B2078" s="36">
        <v>149</v>
      </c>
      <c r="C2078" t="s">
        <v>2993</v>
      </c>
      <c r="D2078">
        <v>5.75</v>
      </c>
      <c r="E2078" s="18">
        <v>575</v>
      </c>
      <c r="G2078" t="s">
        <v>2994</v>
      </c>
      <c r="H2078" s="18">
        <v>575</v>
      </c>
      <c r="I2078" s="3">
        <v>41810</v>
      </c>
      <c r="J2078"/>
      <c r="L2078"/>
      <c r="M2078"/>
      <c r="N2078" s="20"/>
      <c r="O2078" t="s">
        <v>1169</v>
      </c>
      <c r="P2078" s="20"/>
      <c r="Q2078" s="20"/>
      <c r="R2078" s="20"/>
      <c r="S2078" s="20"/>
      <c r="T2078" s="20"/>
    </row>
    <row r="2079" spans="1:20" x14ac:dyDescent="0.25">
      <c r="A2079" s="3">
        <v>41810</v>
      </c>
      <c r="B2079" s="36">
        <v>149</v>
      </c>
      <c r="C2079" t="s">
        <v>2995</v>
      </c>
      <c r="D2079">
        <v>7.25</v>
      </c>
      <c r="E2079" s="18">
        <v>725</v>
      </c>
      <c r="G2079" t="s">
        <v>2996</v>
      </c>
      <c r="H2079" s="18">
        <v>725</v>
      </c>
      <c r="I2079" s="3">
        <v>41810</v>
      </c>
      <c r="J2079"/>
      <c r="L2079"/>
      <c r="M2079"/>
      <c r="N2079" s="20"/>
      <c r="O2079" t="s">
        <v>1169</v>
      </c>
      <c r="P2079" s="20"/>
      <c r="Q2079" s="20"/>
      <c r="R2079" s="20"/>
      <c r="S2079" s="20"/>
      <c r="T2079" s="20"/>
    </row>
    <row r="2080" spans="1:20" x14ac:dyDescent="0.25">
      <c r="A2080" s="3">
        <v>41880</v>
      </c>
      <c r="B2080" s="36">
        <v>149</v>
      </c>
      <c r="C2080" t="s">
        <v>2995</v>
      </c>
      <c r="D2080">
        <v>7.3949999999999996</v>
      </c>
      <c r="E2080" s="18">
        <v>-725</v>
      </c>
      <c r="F2080" t="s">
        <v>889</v>
      </c>
      <c r="G2080" t="s">
        <v>2996</v>
      </c>
      <c r="H2080" s="18" t="s">
        <v>442</v>
      </c>
      <c r="I2080" s="3" t="s">
        <v>442</v>
      </c>
      <c r="J2080"/>
      <c r="L2080"/>
      <c r="M2080"/>
      <c r="N2080" s="20"/>
      <c r="O2080"/>
      <c r="P2080" s="20"/>
      <c r="Q2080" s="20"/>
      <c r="R2080" s="20"/>
      <c r="S2080" s="20"/>
      <c r="T2080" s="20"/>
    </row>
    <row r="2081" spans="1:21" x14ac:dyDescent="0.25">
      <c r="A2081" s="3">
        <v>41957</v>
      </c>
      <c r="B2081" s="36">
        <v>149</v>
      </c>
      <c r="C2081" t="s">
        <v>2993</v>
      </c>
      <c r="D2081">
        <v>6.63</v>
      </c>
      <c r="E2081" s="18">
        <v>751</v>
      </c>
      <c r="F2081" t="s">
        <v>889</v>
      </c>
      <c r="G2081" t="s">
        <v>2994</v>
      </c>
      <c r="H2081" s="18">
        <v>751</v>
      </c>
      <c r="I2081" s="3">
        <v>41957</v>
      </c>
      <c r="J2081"/>
      <c r="L2081"/>
      <c r="M2081"/>
      <c r="N2081" s="20"/>
      <c r="O2081" t="s">
        <v>959</v>
      </c>
      <c r="P2081" s="20"/>
      <c r="Q2081" s="20"/>
      <c r="R2081" s="20"/>
      <c r="S2081" s="20"/>
      <c r="T2081" s="20"/>
    </row>
    <row r="2082" spans="1:21" x14ac:dyDescent="0.25">
      <c r="A2082" s="3">
        <v>41971</v>
      </c>
      <c r="B2082" s="36">
        <v>149</v>
      </c>
      <c r="C2082" t="s">
        <v>2997</v>
      </c>
      <c r="D2082">
        <v>6.375</v>
      </c>
      <c r="E2082" s="18">
        <v>637.5</v>
      </c>
      <c r="F2082" t="s">
        <v>889</v>
      </c>
      <c r="G2082" t="s">
        <v>2998</v>
      </c>
      <c r="H2082" s="18">
        <v>637.5</v>
      </c>
      <c r="I2082" s="3">
        <v>41971</v>
      </c>
      <c r="J2082"/>
      <c r="L2082"/>
      <c r="M2082"/>
      <c r="N2082" s="20"/>
      <c r="O2082"/>
      <c r="P2082" s="20"/>
      <c r="Q2082" s="20"/>
      <c r="R2082" s="20"/>
      <c r="S2082" s="20"/>
      <c r="T2082" s="20"/>
    </row>
    <row r="2083" spans="1:21" x14ac:dyDescent="0.25">
      <c r="A2083" s="3">
        <v>41985</v>
      </c>
      <c r="B2083" s="36">
        <v>149</v>
      </c>
      <c r="C2083" t="s">
        <v>2991</v>
      </c>
      <c r="D2083">
        <v>5.61</v>
      </c>
      <c r="E2083" s="18">
        <v>547</v>
      </c>
      <c r="F2083" t="s">
        <v>889</v>
      </c>
      <c r="G2083" t="s">
        <v>2992</v>
      </c>
      <c r="H2083" s="18">
        <v>547</v>
      </c>
      <c r="I2083" s="3">
        <v>41985</v>
      </c>
      <c r="J2083"/>
      <c r="L2083"/>
      <c r="M2083"/>
      <c r="N2083" s="20"/>
      <c r="O2083" t="s">
        <v>959</v>
      </c>
      <c r="P2083" s="20"/>
      <c r="Q2083" s="20"/>
      <c r="R2083" s="20"/>
      <c r="S2083" s="20"/>
      <c r="T2083" s="20"/>
    </row>
    <row r="2084" spans="1:21" x14ac:dyDescent="0.25">
      <c r="A2084" s="3">
        <v>41803</v>
      </c>
      <c r="B2084" s="36">
        <v>150</v>
      </c>
      <c r="C2084" t="s">
        <v>2999</v>
      </c>
      <c r="D2084">
        <v>10</v>
      </c>
      <c r="E2084" s="18">
        <v>1000</v>
      </c>
      <c r="G2084" t="s">
        <v>3000</v>
      </c>
      <c r="H2084" s="18">
        <v>1000</v>
      </c>
      <c r="I2084" s="3">
        <v>41803</v>
      </c>
      <c r="J2084"/>
      <c r="L2084"/>
      <c r="M2084"/>
      <c r="N2084" s="20"/>
      <c r="O2084" t="s">
        <v>1169</v>
      </c>
      <c r="P2084" s="20"/>
      <c r="Q2084" s="20"/>
      <c r="R2084" s="20"/>
      <c r="S2084" s="20"/>
      <c r="T2084" s="20"/>
    </row>
    <row r="2085" spans="1:21" x14ac:dyDescent="0.25">
      <c r="A2085" s="3">
        <v>41803</v>
      </c>
      <c r="B2085" s="36">
        <v>151</v>
      </c>
      <c r="C2085" t="s">
        <v>3001</v>
      </c>
      <c r="D2085">
        <v>5.5</v>
      </c>
      <c r="E2085" s="18">
        <v>550</v>
      </c>
      <c r="G2085" t="s">
        <v>3002</v>
      </c>
      <c r="H2085" s="18">
        <v>550</v>
      </c>
      <c r="I2085" s="3">
        <v>41803</v>
      </c>
      <c r="J2085"/>
      <c r="L2085"/>
      <c r="M2085"/>
      <c r="N2085" s="20"/>
      <c r="O2085" t="s">
        <v>1169</v>
      </c>
      <c r="P2085" s="20"/>
      <c r="Q2085" s="20"/>
      <c r="R2085" s="20"/>
      <c r="S2085" s="20"/>
      <c r="T2085" s="20"/>
    </row>
    <row r="2086" spans="1:21" x14ac:dyDescent="0.25">
      <c r="A2086" s="3">
        <v>41803</v>
      </c>
      <c r="B2086" s="36">
        <v>151</v>
      </c>
      <c r="C2086" t="s">
        <v>3003</v>
      </c>
      <c r="D2086">
        <v>3.75</v>
      </c>
      <c r="E2086" s="18">
        <v>375</v>
      </c>
      <c r="G2086" t="s">
        <v>3004</v>
      </c>
      <c r="H2086" s="18">
        <v>375</v>
      </c>
      <c r="I2086" s="3">
        <v>41803</v>
      </c>
      <c r="J2086"/>
      <c r="L2086"/>
      <c r="M2086"/>
      <c r="N2086" s="20"/>
      <c r="O2086" t="s">
        <v>1169</v>
      </c>
      <c r="P2086" s="20"/>
      <c r="Q2086" s="20"/>
      <c r="R2086" s="20"/>
      <c r="S2086" s="20"/>
      <c r="T2086" s="20"/>
    </row>
    <row r="2087" spans="1:21" x14ac:dyDescent="0.25">
      <c r="A2087" s="3">
        <v>41803</v>
      </c>
      <c r="B2087" s="36">
        <v>151</v>
      </c>
      <c r="C2087" t="s">
        <v>3005</v>
      </c>
      <c r="D2087">
        <v>5.5</v>
      </c>
      <c r="E2087" s="18">
        <v>550</v>
      </c>
      <c r="G2087" t="s">
        <v>3006</v>
      </c>
      <c r="H2087" s="18">
        <v>550</v>
      </c>
      <c r="I2087" s="3">
        <v>41803</v>
      </c>
      <c r="J2087"/>
      <c r="L2087"/>
      <c r="M2087"/>
      <c r="N2087" s="20"/>
      <c r="O2087" t="s">
        <v>1169</v>
      </c>
      <c r="P2087" s="20"/>
      <c r="Q2087" s="20"/>
      <c r="R2087" s="20"/>
      <c r="S2087" s="20"/>
      <c r="T2087" s="20"/>
    </row>
    <row r="2088" spans="1:21" x14ac:dyDescent="0.25">
      <c r="A2088" s="3">
        <v>41810</v>
      </c>
      <c r="B2088" s="36">
        <v>151</v>
      </c>
      <c r="C2088" t="s">
        <v>3007</v>
      </c>
      <c r="D2088">
        <v>3</v>
      </c>
      <c r="E2088" s="18">
        <v>300</v>
      </c>
      <c r="G2088" t="s">
        <v>3008</v>
      </c>
      <c r="H2088" s="18">
        <v>300</v>
      </c>
      <c r="I2088" s="3">
        <v>41810</v>
      </c>
      <c r="J2088"/>
      <c r="L2088"/>
      <c r="M2088"/>
      <c r="N2088" s="20"/>
      <c r="O2088" t="s">
        <v>1169</v>
      </c>
      <c r="P2088" s="20"/>
      <c r="Q2088" s="20"/>
      <c r="R2088" s="20"/>
      <c r="S2088" s="20"/>
      <c r="T2088" s="20"/>
    </row>
    <row r="2089" spans="1:21" x14ac:dyDescent="0.25">
      <c r="A2089" s="3">
        <v>41810</v>
      </c>
      <c r="B2089" s="36">
        <v>151</v>
      </c>
      <c r="C2089" t="s">
        <v>3009</v>
      </c>
      <c r="D2089">
        <v>4</v>
      </c>
      <c r="E2089" s="18">
        <v>400</v>
      </c>
      <c r="G2089" t="s">
        <v>3010</v>
      </c>
      <c r="H2089" s="18">
        <v>400</v>
      </c>
      <c r="I2089" s="3">
        <v>41810</v>
      </c>
      <c r="J2089"/>
      <c r="L2089"/>
      <c r="M2089"/>
      <c r="N2089" s="20"/>
      <c r="O2089" t="s">
        <v>1169</v>
      </c>
      <c r="P2089" s="20"/>
      <c r="Q2089" s="20"/>
      <c r="R2089" s="20"/>
      <c r="S2089" s="20"/>
      <c r="T2089" s="20"/>
    </row>
    <row r="2090" spans="1:21" x14ac:dyDescent="0.25">
      <c r="A2090" s="3">
        <v>41810</v>
      </c>
      <c r="B2090" s="36">
        <v>151</v>
      </c>
      <c r="C2090" t="s">
        <v>3011</v>
      </c>
      <c r="D2090">
        <v>7</v>
      </c>
      <c r="E2090" s="18">
        <v>700</v>
      </c>
      <c r="G2090" t="s">
        <v>3012</v>
      </c>
      <c r="H2090" s="18">
        <v>700</v>
      </c>
      <c r="I2090" s="3">
        <v>41810</v>
      </c>
      <c r="J2090"/>
      <c r="L2090"/>
      <c r="M2090"/>
      <c r="N2090" s="20"/>
      <c r="O2090" t="s">
        <v>1169</v>
      </c>
      <c r="P2090" s="20"/>
      <c r="Q2090" s="20"/>
      <c r="R2090" s="20"/>
      <c r="S2090" s="20"/>
      <c r="T2090" s="20"/>
    </row>
    <row r="2091" spans="1:21" x14ac:dyDescent="0.25">
      <c r="B2091">
        <v>151</v>
      </c>
      <c r="C2091" t="s">
        <v>3007</v>
      </c>
      <c r="D2091">
        <v>2.8050000000000002</v>
      </c>
      <c r="E2091" s="18">
        <v>87</v>
      </c>
      <c r="F2091" t="s">
        <v>889</v>
      </c>
      <c r="G2091" t="s">
        <v>3008</v>
      </c>
      <c r="I2091"/>
      <c r="J2091"/>
      <c r="L2091"/>
      <c r="M2091"/>
      <c r="O2091"/>
      <c r="P2091" s="20"/>
      <c r="Q2091" s="20"/>
      <c r="R2091" s="20"/>
      <c r="S2091" s="20"/>
      <c r="T2091" s="20"/>
      <c r="U2091" t="s">
        <v>401</v>
      </c>
    </row>
    <row r="2092" spans="1:21" x14ac:dyDescent="0.25">
      <c r="B2092">
        <v>151</v>
      </c>
      <c r="C2092" t="s">
        <v>3001</v>
      </c>
      <c r="D2092">
        <v>5.5</v>
      </c>
      <c r="E2092" s="18">
        <v>-550</v>
      </c>
      <c r="G2092" t="s">
        <v>3002</v>
      </c>
      <c r="I2092"/>
      <c r="J2092"/>
      <c r="L2092"/>
      <c r="M2092"/>
      <c r="O2092"/>
      <c r="P2092" s="20"/>
      <c r="Q2092" s="20"/>
      <c r="R2092" s="20"/>
      <c r="S2092" s="20"/>
      <c r="T2092" s="20"/>
      <c r="U2092" t="s">
        <v>401</v>
      </c>
    </row>
    <row r="2093" spans="1:21" x14ac:dyDescent="0.25">
      <c r="B2093">
        <v>151</v>
      </c>
      <c r="C2093" t="s">
        <v>3009</v>
      </c>
      <c r="D2093">
        <v>4</v>
      </c>
      <c r="E2093" s="18">
        <v>-400</v>
      </c>
      <c r="G2093" t="s">
        <v>3010</v>
      </c>
      <c r="I2093"/>
      <c r="J2093"/>
      <c r="L2093"/>
      <c r="M2093"/>
      <c r="O2093"/>
      <c r="P2093" s="20"/>
      <c r="Q2093" s="20"/>
      <c r="R2093" s="20"/>
      <c r="S2093" s="20"/>
      <c r="T2093" s="20"/>
      <c r="U2093" t="s">
        <v>401</v>
      </c>
    </row>
    <row r="2094" spans="1:21" x14ac:dyDescent="0.25">
      <c r="B2094">
        <v>151</v>
      </c>
      <c r="C2094" t="s">
        <v>3003</v>
      </c>
      <c r="D2094">
        <v>4.59</v>
      </c>
      <c r="E2094" s="18">
        <v>181</v>
      </c>
      <c r="F2094" t="s">
        <v>889</v>
      </c>
      <c r="G2094" t="s">
        <v>3004</v>
      </c>
      <c r="I2094"/>
      <c r="J2094"/>
      <c r="L2094"/>
      <c r="M2094"/>
      <c r="O2094"/>
      <c r="P2094" s="20"/>
      <c r="Q2094" s="20"/>
      <c r="R2094" s="20"/>
      <c r="S2094" s="20"/>
      <c r="T2094" s="20"/>
      <c r="U2094" t="s">
        <v>401</v>
      </c>
    </row>
    <row r="2095" spans="1:21" x14ac:dyDescent="0.25">
      <c r="B2095">
        <v>151</v>
      </c>
      <c r="C2095" t="s">
        <v>3005</v>
      </c>
      <c r="D2095">
        <v>5.5</v>
      </c>
      <c r="E2095" s="18">
        <v>-550</v>
      </c>
      <c r="F2095" t="s">
        <v>889</v>
      </c>
      <c r="G2095" t="s">
        <v>3006</v>
      </c>
      <c r="I2095"/>
      <c r="J2095"/>
      <c r="L2095"/>
      <c r="M2095"/>
      <c r="O2095"/>
      <c r="P2095" s="20"/>
      <c r="Q2095" s="20"/>
      <c r="R2095" s="20"/>
      <c r="S2095" s="20"/>
      <c r="T2095" s="20"/>
      <c r="U2095" t="s">
        <v>401</v>
      </c>
    </row>
    <row r="2096" spans="1:21" x14ac:dyDescent="0.25">
      <c r="B2096">
        <v>151</v>
      </c>
      <c r="C2096" t="s">
        <v>3011</v>
      </c>
      <c r="D2096">
        <v>6.8849999999999998</v>
      </c>
      <c r="E2096" s="18">
        <v>225.66666666666666</v>
      </c>
      <c r="F2096" t="s">
        <v>889</v>
      </c>
      <c r="G2096" t="s">
        <v>3012</v>
      </c>
      <c r="I2096"/>
      <c r="J2096"/>
      <c r="L2096"/>
      <c r="M2096"/>
      <c r="O2096"/>
      <c r="P2096" s="20"/>
      <c r="Q2096" s="20"/>
      <c r="R2096" s="20"/>
      <c r="S2096" s="20"/>
      <c r="T2096" s="20"/>
      <c r="U2096" t="s">
        <v>401</v>
      </c>
    </row>
    <row r="2097" spans="1:20" x14ac:dyDescent="0.25">
      <c r="A2097" s="3">
        <v>41796</v>
      </c>
      <c r="B2097" s="36">
        <v>152</v>
      </c>
      <c r="C2097" t="s">
        <v>3013</v>
      </c>
      <c r="D2097">
        <v>6.25</v>
      </c>
      <c r="E2097" s="18">
        <v>625</v>
      </c>
      <c r="G2097" t="s">
        <v>3014</v>
      </c>
      <c r="H2097" s="18">
        <v>625</v>
      </c>
      <c r="I2097" s="3">
        <v>41796</v>
      </c>
      <c r="J2097"/>
      <c r="L2097"/>
      <c r="M2097"/>
      <c r="N2097" s="20"/>
      <c r="O2097"/>
      <c r="P2097" s="20"/>
      <c r="Q2097" s="20"/>
      <c r="R2097" s="20"/>
      <c r="S2097" s="20"/>
      <c r="T2097" s="20"/>
    </row>
    <row r="2098" spans="1:20" x14ac:dyDescent="0.25">
      <c r="A2098" s="3">
        <v>41810</v>
      </c>
      <c r="B2098" s="36">
        <v>152</v>
      </c>
      <c r="C2098" t="s">
        <v>3015</v>
      </c>
      <c r="D2098">
        <v>4.25</v>
      </c>
      <c r="E2098" s="18">
        <v>425</v>
      </c>
      <c r="G2098" t="s">
        <v>3016</v>
      </c>
      <c r="H2098" s="18">
        <v>425</v>
      </c>
      <c r="I2098" s="3">
        <v>41810</v>
      </c>
      <c r="J2098"/>
      <c r="L2098"/>
      <c r="M2098"/>
      <c r="N2098" s="20"/>
      <c r="O2098" t="s">
        <v>1169</v>
      </c>
      <c r="P2098" s="20"/>
      <c r="Q2098" s="20"/>
      <c r="R2098" s="20"/>
      <c r="S2098" s="20"/>
      <c r="T2098" s="20"/>
    </row>
    <row r="2099" spans="1:20" x14ac:dyDescent="0.25">
      <c r="A2099" s="3">
        <v>41810</v>
      </c>
      <c r="B2099" s="36">
        <v>152</v>
      </c>
      <c r="C2099" t="s">
        <v>3017</v>
      </c>
      <c r="D2099">
        <v>9</v>
      </c>
      <c r="E2099" s="18">
        <v>900</v>
      </c>
      <c r="G2099" t="s">
        <v>3018</v>
      </c>
      <c r="H2099" s="18">
        <v>900</v>
      </c>
      <c r="I2099" s="3">
        <v>41810</v>
      </c>
      <c r="J2099"/>
      <c r="L2099"/>
      <c r="M2099"/>
      <c r="N2099" s="20"/>
      <c r="O2099" t="s">
        <v>1169</v>
      </c>
      <c r="P2099" s="20"/>
      <c r="Q2099" s="20"/>
      <c r="R2099" s="20"/>
      <c r="S2099" s="20"/>
      <c r="T2099" s="20"/>
    </row>
    <row r="2100" spans="1:20" x14ac:dyDescent="0.25">
      <c r="A2100" s="3">
        <v>41845</v>
      </c>
      <c r="B2100" s="36">
        <v>152</v>
      </c>
      <c r="C2100" t="s">
        <v>3019</v>
      </c>
      <c r="D2100">
        <v>12.24</v>
      </c>
      <c r="E2100" s="18">
        <v>1224</v>
      </c>
      <c r="G2100" t="s">
        <v>3020</v>
      </c>
      <c r="H2100" s="18">
        <v>1224</v>
      </c>
      <c r="I2100" s="3">
        <v>41845</v>
      </c>
      <c r="J2100"/>
      <c r="L2100"/>
      <c r="M2100"/>
      <c r="N2100" s="20"/>
      <c r="O2100" t="s">
        <v>931</v>
      </c>
      <c r="P2100" s="20"/>
      <c r="Q2100" s="20"/>
      <c r="R2100" s="20"/>
      <c r="S2100" s="20"/>
      <c r="T2100" s="20"/>
    </row>
    <row r="2101" spans="1:20" x14ac:dyDescent="0.25">
      <c r="A2101" s="3">
        <v>41845</v>
      </c>
      <c r="B2101" s="36">
        <v>152</v>
      </c>
      <c r="C2101" t="s">
        <v>1838</v>
      </c>
      <c r="E2101" s="18">
        <v>200</v>
      </c>
      <c r="G2101" t="s">
        <v>442</v>
      </c>
      <c r="H2101" s="18" t="s">
        <v>442</v>
      </c>
      <c r="I2101" s="3" t="s">
        <v>442</v>
      </c>
      <c r="J2101"/>
      <c r="L2101"/>
      <c r="M2101"/>
      <c r="N2101" s="20"/>
      <c r="O2101"/>
      <c r="P2101" s="20"/>
      <c r="Q2101" s="20"/>
      <c r="R2101" s="20"/>
      <c r="S2101" s="20" t="s">
        <v>401</v>
      </c>
      <c r="T2101" s="20"/>
    </row>
    <row r="2102" spans="1:20" x14ac:dyDescent="0.25">
      <c r="A2102" s="3">
        <v>41859</v>
      </c>
      <c r="B2102" s="36">
        <v>152</v>
      </c>
      <c r="C2102" t="s">
        <v>3021</v>
      </c>
      <c r="D2102" t="s">
        <v>442</v>
      </c>
      <c r="E2102" s="18">
        <v>-171.42857142857099</v>
      </c>
      <c r="F2102" t="s">
        <v>891</v>
      </c>
      <c r="G2102" t="s">
        <v>442</v>
      </c>
      <c r="H2102" s="18" t="s">
        <v>442</v>
      </c>
      <c r="I2102" s="3" t="s">
        <v>442</v>
      </c>
      <c r="J2102"/>
      <c r="L2102"/>
      <c r="M2102"/>
      <c r="N2102" s="20"/>
      <c r="O2102" t="s">
        <v>3022</v>
      </c>
      <c r="P2102" s="20"/>
      <c r="Q2102" s="20" t="s">
        <v>401</v>
      </c>
      <c r="R2102" s="20"/>
      <c r="S2102" s="20"/>
      <c r="T2102" s="20"/>
    </row>
    <row r="2103" spans="1:20" x14ac:dyDescent="0.25">
      <c r="A2103" s="3">
        <v>41873</v>
      </c>
      <c r="B2103" s="36">
        <v>152</v>
      </c>
      <c r="C2103" t="s">
        <v>3023</v>
      </c>
      <c r="D2103">
        <v>14.28</v>
      </c>
      <c r="E2103" s="18">
        <v>1428</v>
      </c>
      <c r="F2103" t="s">
        <v>889</v>
      </c>
      <c r="G2103" t="s">
        <v>3024</v>
      </c>
      <c r="H2103" s="18">
        <v>1428</v>
      </c>
      <c r="I2103" s="3">
        <v>41873</v>
      </c>
      <c r="J2103"/>
      <c r="L2103"/>
      <c r="M2103"/>
      <c r="N2103" s="20"/>
      <c r="O2103"/>
      <c r="P2103" s="20"/>
      <c r="Q2103" s="20"/>
      <c r="R2103" s="20"/>
      <c r="S2103" s="20"/>
      <c r="T2103" s="20"/>
    </row>
    <row r="2104" spans="1:20" x14ac:dyDescent="0.25">
      <c r="A2104" s="3">
        <v>41879</v>
      </c>
      <c r="B2104" s="36">
        <v>152</v>
      </c>
      <c r="C2104" t="s">
        <v>3025</v>
      </c>
      <c r="D2104">
        <v>4.75</v>
      </c>
      <c r="E2104" s="18">
        <v>484.5</v>
      </c>
      <c r="F2104" t="s">
        <v>889</v>
      </c>
      <c r="G2104" t="s">
        <v>3026</v>
      </c>
      <c r="H2104" s="18">
        <v>484.5</v>
      </c>
      <c r="I2104" s="3">
        <v>41879</v>
      </c>
      <c r="J2104"/>
      <c r="L2104"/>
      <c r="M2104"/>
      <c r="N2104" s="20"/>
      <c r="O2104"/>
      <c r="P2104" s="20"/>
      <c r="Q2104" s="20"/>
      <c r="R2104" s="20"/>
      <c r="S2104" s="20"/>
      <c r="T2104" s="20"/>
    </row>
    <row r="2105" spans="1:20" x14ac:dyDescent="0.25">
      <c r="A2105" s="3">
        <v>41985</v>
      </c>
      <c r="B2105" s="36">
        <v>152</v>
      </c>
      <c r="C2105" t="s">
        <v>3019</v>
      </c>
      <c r="D2105">
        <v>12.24</v>
      </c>
      <c r="E2105" s="18">
        <v>1224</v>
      </c>
      <c r="F2105" t="s">
        <v>889</v>
      </c>
      <c r="G2105" t="s">
        <v>3020</v>
      </c>
      <c r="H2105" s="18">
        <v>1224</v>
      </c>
      <c r="I2105" s="3">
        <v>41985</v>
      </c>
      <c r="J2105"/>
      <c r="L2105"/>
      <c r="M2105"/>
      <c r="N2105" s="20"/>
      <c r="O2105" t="s">
        <v>959</v>
      </c>
      <c r="P2105" s="20"/>
      <c r="Q2105" s="20"/>
      <c r="R2105" s="20"/>
      <c r="S2105" s="20"/>
      <c r="T2105" s="20"/>
    </row>
    <row r="2106" spans="1:20" x14ac:dyDescent="0.25">
      <c r="A2106" s="3">
        <v>41985</v>
      </c>
      <c r="B2106" s="36">
        <v>152</v>
      </c>
      <c r="C2106" t="s">
        <v>3015</v>
      </c>
      <c r="D2106">
        <v>4.75</v>
      </c>
      <c r="E2106" s="18">
        <v>-425</v>
      </c>
      <c r="F2106" t="s">
        <v>889</v>
      </c>
      <c r="G2106" t="s">
        <v>3016</v>
      </c>
      <c r="H2106" s="18" t="s">
        <v>442</v>
      </c>
      <c r="I2106" s="3" t="s">
        <v>442</v>
      </c>
      <c r="J2106"/>
      <c r="L2106"/>
      <c r="M2106"/>
      <c r="N2106" s="20"/>
      <c r="O2106"/>
      <c r="P2106" s="20"/>
      <c r="Q2106" s="20"/>
      <c r="R2106" s="20"/>
      <c r="S2106" s="20"/>
      <c r="T2106" s="20"/>
    </row>
    <row r="2107" spans="1:20" x14ac:dyDescent="0.25">
      <c r="A2107" s="3">
        <v>41985</v>
      </c>
      <c r="B2107" s="36">
        <v>152</v>
      </c>
      <c r="C2107" t="s">
        <v>3025</v>
      </c>
      <c r="D2107">
        <v>4.8449999999999998</v>
      </c>
      <c r="E2107" s="18">
        <v>-484.5</v>
      </c>
      <c r="F2107" t="s">
        <v>889</v>
      </c>
      <c r="G2107" t="s">
        <v>3026</v>
      </c>
      <c r="H2107" s="18" t="s">
        <v>442</v>
      </c>
      <c r="I2107" s="3" t="s">
        <v>442</v>
      </c>
      <c r="J2107"/>
      <c r="L2107"/>
      <c r="M2107"/>
      <c r="N2107" s="20"/>
      <c r="O2107"/>
      <c r="P2107" s="20"/>
      <c r="Q2107" s="20"/>
      <c r="R2107" s="20"/>
      <c r="S2107" s="20"/>
      <c r="T2107" s="20"/>
    </row>
    <row r="2108" spans="1:20" x14ac:dyDescent="0.25">
      <c r="A2108" s="3">
        <v>42004</v>
      </c>
      <c r="B2108" s="36">
        <v>152</v>
      </c>
      <c r="C2108" t="s">
        <v>3017</v>
      </c>
      <c r="D2108">
        <v>8.9250000000000007</v>
      </c>
      <c r="E2108" s="18">
        <v>295.00000000000006</v>
      </c>
      <c r="F2108" t="s">
        <v>889</v>
      </c>
      <c r="G2108" t="s">
        <v>3018</v>
      </c>
      <c r="H2108" s="18">
        <v>295.00000000000006</v>
      </c>
      <c r="I2108" s="3">
        <v>42004</v>
      </c>
      <c r="J2108"/>
      <c r="L2108"/>
      <c r="M2108"/>
      <c r="N2108" s="20"/>
      <c r="O2108"/>
      <c r="P2108" s="20"/>
      <c r="Q2108" s="20"/>
      <c r="R2108" s="20"/>
      <c r="S2108" s="20"/>
      <c r="T2108" s="20"/>
    </row>
    <row r="2109" spans="1:20" x14ac:dyDescent="0.25">
      <c r="A2109" s="3">
        <v>42004</v>
      </c>
      <c r="B2109" s="36">
        <v>152</v>
      </c>
      <c r="C2109" t="s">
        <v>3023</v>
      </c>
      <c r="D2109">
        <v>14.28</v>
      </c>
      <c r="E2109" s="18">
        <v>476</v>
      </c>
      <c r="F2109" t="s">
        <v>889</v>
      </c>
      <c r="G2109" t="s">
        <v>3024</v>
      </c>
      <c r="H2109" s="18">
        <v>476</v>
      </c>
      <c r="I2109" s="3">
        <v>42004</v>
      </c>
      <c r="J2109"/>
      <c r="L2109"/>
      <c r="M2109"/>
      <c r="N2109" s="20"/>
      <c r="O2109"/>
      <c r="P2109" s="20"/>
      <c r="Q2109" s="20"/>
      <c r="R2109" s="20"/>
      <c r="S2109" s="20"/>
      <c r="T2109" s="20"/>
    </row>
    <row r="2110" spans="1:20" x14ac:dyDescent="0.25">
      <c r="A2110" s="3">
        <v>42041</v>
      </c>
      <c r="B2110">
        <v>152</v>
      </c>
      <c r="C2110" t="s">
        <v>3017</v>
      </c>
      <c r="E2110" s="18">
        <v>295.00000000000006</v>
      </c>
      <c r="F2110" t="s">
        <v>889</v>
      </c>
      <c r="G2110" t="s">
        <v>3018</v>
      </c>
      <c r="I2110"/>
      <c r="J2110"/>
      <c r="L2110"/>
      <c r="M2110"/>
      <c r="O2110"/>
      <c r="P2110" s="20"/>
      <c r="Q2110" s="20"/>
      <c r="R2110" s="20"/>
      <c r="S2110" s="20"/>
      <c r="T2110" s="20"/>
    </row>
    <row r="2111" spans="1:20" x14ac:dyDescent="0.25">
      <c r="A2111" s="3">
        <v>42041</v>
      </c>
      <c r="B2111">
        <v>152</v>
      </c>
      <c r="C2111" t="s">
        <v>3023</v>
      </c>
      <c r="E2111" s="18">
        <v>476</v>
      </c>
      <c r="F2111" t="s">
        <v>889</v>
      </c>
      <c r="G2111" t="s">
        <v>3024</v>
      </c>
      <c r="I2111"/>
      <c r="J2111"/>
      <c r="L2111"/>
      <c r="M2111"/>
      <c r="O2111"/>
      <c r="P2111" s="20"/>
      <c r="Q2111" s="20"/>
      <c r="R2111" s="20"/>
      <c r="S2111" s="20"/>
      <c r="T2111" s="20"/>
    </row>
    <row r="2112" spans="1:20" x14ac:dyDescent="0.25">
      <c r="A2112" s="3">
        <v>41858</v>
      </c>
      <c r="B2112" s="36">
        <v>153</v>
      </c>
      <c r="C2112" t="s">
        <v>2584</v>
      </c>
      <c r="D2112">
        <v>2</v>
      </c>
      <c r="E2112" s="18">
        <v>-200</v>
      </c>
      <c r="G2112" t="s">
        <v>442</v>
      </c>
      <c r="H2112" s="18" t="s">
        <v>442</v>
      </c>
      <c r="I2112" s="3" t="s">
        <v>442</v>
      </c>
      <c r="J2112"/>
      <c r="L2112"/>
      <c r="M2112"/>
      <c r="N2112" s="20"/>
      <c r="O2112"/>
      <c r="P2112" s="20"/>
      <c r="Q2112" s="20"/>
      <c r="R2112" s="20" t="s">
        <v>401</v>
      </c>
      <c r="S2112" s="20"/>
      <c r="T2112" s="20"/>
    </row>
    <row r="2113" spans="1:21" x14ac:dyDescent="0.25">
      <c r="A2113" s="3">
        <v>41858</v>
      </c>
      <c r="B2113" s="36">
        <v>153</v>
      </c>
      <c r="C2113" t="s">
        <v>3027</v>
      </c>
      <c r="D2113">
        <v>5.0999999999999996</v>
      </c>
      <c r="E2113" s="18">
        <v>509.99999999999994</v>
      </c>
      <c r="G2113" t="s">
        <v>3028</v>
      </c>
      <c r="H2113" s="18">
        <v>509.99999999999994</v>
      </c>
      <c r="I2113" s="3">
        <v>41858</v>
      </c>
      <c r="J2113"/>
      <c r="L2113"/>
      <c r="M2113"/>
      <c r="N2113" s="20"/>
      <c r="O2113" t="s">
        <v>931</v>
      </c>
      <c r="P2113" s="20"/>
      <c r="Q2113" s="20"/>
      <c r="R2113" s="20"/>
      <c r="S2113" s="20"/>
      <c r="T2113" s="20"/>
    </row>
    <row r="2114" spans="1:21" x14ac:dyDescent="0.25">
      <c r="A2114" s="3">
        <v>41858</v>
      </c>
      <c r="B2114" s="36">
        <v>153</v>
      </c>
      <c r="C2114" t="s">
        <v>1838</v>
      </c>
      <c r="E2114" s="18">
        <v>200</v>
      </c>
      <c r="G2114" t="s">
        <v>442</v>
      </c>
      <c r="H2114" s="18" t="s">
        <v>442</v>
      </c>
      <c r="I2114" s="3" t="s">
        <v>442</v>
      </c>
      <c r="J2114"/>
      <c r="L2114"/>
      <c r="M2114"/>
      <c r="N2114" s="20"/>
      <c r="O2114"/>
      <c r="P2114" s="20"/>
      <c r="Q2114" s="20"/>
      <c r="R2114" s="20"/>
      <c r="S2114" s="20" t="s">
        <v>401</v>
      </c>
      <c r="T2114" s="20"/>
    </row>
    <row r="2115" spans="1:21" x14ac:dyDescent="0.25">
      <c r="A2115" s="3">
        <v>41858</v>
      </c>
      <c r="B2115" s="36">
        <v>153</v>
      </c>
      <c r="C2115" t="s">
        <v>2596</v>
      </c>
      <c r="E2115" s="18">
        <v>-235.71428571428572</v>
      </c>
      <c r="G2115" t="s">
        <v>442</v>
      </c>
      <c r="H2115" s="18" t="s">
        <v>442</v>
      </c>
      <c r="I2115" s="3" t="s">
        <v>442</v>
      </c>
      <c r="J2115"/>
      <c r="L2115"/>
      <c r="M2115"/>
      <c r="N2115" s="20"/>
      <c r="O2115" t="s">
        <v>3029</v>
      </c>
      <c r="P2115" s="20"/>
      <c r="Q2115" s="20" t="s">
        <v>401</v>
      </c>
      <c r="R2115" s="20"/>
      <c r="S2115" s="20"/>
      <c r="T2115" s="20"/>
    </row>
    <row r="2116" spans="1:21" x14ac:dyDescent="0.25">
      <c r="A2116" s="3">
        <v>41858</v>
      </c>
      <c r="B2116" s="36">
        <v>153</v>
      </c>
      <c r="C2116" t="s">
        <v>1574</v>
      </c>
      <c r="E2116" s="18">
        <v>-100</v>
      </c>
      <c r="G2116" t="s">
        <v>442</v>
      </c>
      <c r="H2116" s="18" t="s">
        <v>442</v>
      </c>
      <c r="I2116" s="3" t="s">
        <v>442</v>
      </c>
      <c r="J2116"/>
      <c r="L2116"/>
      <c r="M2116"/>
      <c r="N2116" s="20"/>
      <c r="O2116" t="s">
        <v>1839</v>
      </c>
      <c r="P2116" s="20"/>
      <c r="Q2116" s="20" t="s">
        <v>401</v>
      </c>
      <c r="R2116" s="20"/>
      <c r="S2116" s="20"/>
      <c r="T2116" s="20"/>
    </row>
    <row r="2117" spans="1:21" x14ac:dyDescent="0.25">
      <c r="A2117" s="3">
        <v>41858</v>
      </c>
      <c r="B2117" s="36">
        <v>153</v>
      </c>
      <c r="C2117" t="s">
        <v>1575</v>
      </c>
      <c r="E2117" s="18">
        <v>-100</v>
      </c>
      <c r="G2117" t="s">
        <v>442</v>
      </c>
      <c r="H2117" s="18" t="s">
        <v>442</v>
      </c>
      <c r="I2117" s="3" t="s">
        <v>442</v>
      </c>
      <c r="J2117"/>
      <c r="L2117"/>
      <c r="M2117"/>
      <c r="N2117" s="20"/>
      <c r="O2117" t="s">
        <v>1851</v>
      </c>
      <c r="P2117" s="20"/>
      <c r="Q2117" s="20" t="s">
        <v>401</v>
      </c>
      <c r="R2117" s="20"/>
      <c r="S2117" s="20"/>
      <c r="T2117" s="20"/>
    </row>
    <row r="2118" spans="1:21" x14ac:dyDescent="0.25">
      <c r="A2118" s="3">
        <v>41858</v>
      </c>
      <c r="B2118" s="36">
        <v>153</v>
      </c>
      <c r="C2118" t="s">
        <v>1071</v>
      </c>
      <c r="E2118" s="18">
        <v>-150</v>
      </c>
      <c r="G2118" t="s">
        <v>442</v>
      </c>
      <c r="H2118" s="18" t="s">
        <v>442</v>
      </c>
      <c r="I2118" s="3" t="s">
        <v>442</v>
      </c>
      <c r="J2118"/>
      <c r="L2118"/>
      <c r="M2118"/>
      <c r="N2118" s="20"/>
      <c r="O2118"/>
      <c r="P2118" s="20"/>
      <c r="Q2118" s="20" t="s">
        <v>401</v>
      </c>
      <c r="R2118" s="20"/>
      <c r="S2118" s="20"/>
      <c r="T2118" s="20"/>
    </row>
    <row r="2119" spans="1:21" x14ac:dyDescent="0.25">
      <c r="A2119" s="3">
        <v>41858</v>
      </c>
      <c r="B2119" s="36">
        <v>153</v>
      </c>
      <c r="C2119" t="s">
        <v>1072</v>
      </c>
      <c r="E2119" s="18">
        <v>-142.55000000000001</v>
      </c>
      <c r="G2119" t="s">
        <v>442</v>
      </c>
      <c r="H2119" s="18" t="s">
        <v>442</v>
      </c>
      <c r="I2119" s="3" t="s">
        <v>442</v>
      </c>
      <c r="J2119"/>
      <c r="L2119"/>
      <c r="M2119"/>
      <c r="N2119" s="20"/>
      <c r="O2119" t="s">
        <v>2842</v>
      </c>
      <c r="P2119" s="20"/>
      <c r="Q2119" s="20" t="s">
        <v>401</v>
      </c>
      <c r="R2119" s="20"/>
      <c r="S2119" s="20"/>
      <c r="T2119" s="20"/>
    </row>
    <row r="2120" spans="1:21" x14ac:dyDescent="0.25">
      <c r="A2120" s="3">
        <v>41858</v>
      </c>
      <c r="B2120" s="36">
        <v>153</v>
      </c>
      <c r="C2120" t="s">
        <v>3030</v>
      </c>
      <c r="D2120">
        <v>7.14</v>
      </c>
      <c r="E2120" s="18">
        <v>714</v>
      </c>
      <c r="F2120" t="s">
        <v>889</v>
      </c>
      <c r="G2120" t="s">
        <v>3031</v>
      </c>
      <c r="H2120" s="18">
        <v>714</v>
      </c>
      <c r="I2120" s="3">
        <v>41858</v>
      </c>
      <c r="J2120"/>
      <c r="L2120"/>
      <c r="M2120"/>
      <c r="N2120" s="20"/>
      <c r="O2120" t="s">
        <v>931</v>
      </c>
      <c r="P2120" s="20"/>
      <c r="Q2120" s="20"/>
      <c r="R2120" s="20"/>
      <c r="S2120" s="20"/>
      <c r="T2120" s="20"/>
    </row>
    <row r="2121" spans="1:21" x14ac:dyDescent="0.25">
      <c r="A2121" s="3">
        <v>41859</v>
      </c>
      <c r="B2121" s="36">
        <v>153</v>
      </c>
      <c r="C2121" t="s">
        <v>3032</v>
      </c>
      <c r="D2121" t="s">
        <v>442</v>
      </c>
      <c r="E2121" s="18">
        <v>28.571428571428573</v>
      </c>
      <c r="F2121" t="s">
        <v>891</v>
      </c>
      <c r="G2121" t="s">
        <v>442</v>
      </c>
      <c r="H2121" s="18" t="s">
        <v>442</v>
      </c>
      <c r="I2121" s="3" t="s">
        <v>442</v>
      </c>
      <c r="J2121"/>
      <c r="L2121"/>
      <c r="M2121"/>
      <c r="N2121" s="20"/>
      <c r="O2121" t="s">
        <v>3033</v>
      </c>
      <c r="P2121" s="20"/>
      <c r="Q2121" s="20" t="s">
        <v>401</v>
      </c>
      <c r="R2121" s="20"/>
      <c r="S2121" s="20"/>
      <c r="T2121" s="20"/>
    </row>
    <row r="2122" spans="1:21" x14ac:dyDescent="0.25">
      <c r="A2122" s="3">
        <v>41985</v>
      </c>
      <c r="B2122" s="36">
        <v>153</v>
      </c>
      <c r="C2122" t="s">
        <v>3030</v>
      </c>
      <c r="D2122">
        <v>7.14</v>
      </c>
      <c r="E2122" s="18">
        <v>714</v>
      </c>
      <c r="F2122" t="s">
        <v>889</v>
      </c>
      <c r="G2122" t="s">
        <v>3031</v>
      </c>
      <c r="H2122" s="18">
        <v>714</v>
      </c>
      <c r="I2122" s="3">
        <v>41985</v>
      </c>
      <c r="J2122"/>
      <c r="L2122"/>
      <c r="M2122"/>
      <c r="N2122" s="20"/>
      <c r="O2122" t="s">
        <v>959</v>
      </c>
      <c r="P2122" s="20"/>
      <c r="Q2122" s="20"/>
      <c r="R2122" s="20"/>
      <c r="S2122" s="20"/>
      <c r="T2122" s="20"/>
    </row>
    <row r="2123" spans="1:21" x14ac:dyDescent="0.25">
      <c r="A2123" s="3">
        <v>41999</v>
      </c>
      <c r="B2123" s="36">
        <v>153</v>
      </c>
      <c r="C2123" t="s">
        <v>3027</v>
      </c>
      <c r="D2123">
        <v>8.9250000000000007</v>
      </c>
      <c r="E2123" s="18">
        <v>1275.0000000000002</v>
      </c>
      <c r="F2123" t="s">
        <v>889</v>
      </c>
      <c r="G2123" t="s">
        <v>3028</v>
      </c>
      <c r="H2123" s="18">
        <v>1275.0000000000002</v>
      </c>
      <c r="I2123" s="3">
        <v>41999</v>
      </c>
      <c r="J2123"/>
      <c r="L2123"/>
      <c r="M2123"/>
      <c r="N2123" s="20"/>
      <c r="O2123" t="s">
        <v>959</v>
      </c>
      <c r="P2123" s="20"/>
      <c r="Q2123" s="20"/>
      <c r="R2123" s="20"/>
      <c r="S2123" s="20"/>
      <c r="T2123" s="20"/>
    </row>
    <row r="2124" spans="1:21" x14ac:dyDescent="0.25">
      <c r="B2124">
        <v>153</v>
      </c>
      <c r="C2124" t="s">
        <v>3027</v>
      </c>
      <c r="D2124">
        <v>5.0999999999999996</v>
      </c>
      <c r="E2124" s="18">
        <v>-765.00000000000023</v>
      </c>
      <c r="F2124" t="s">
        <v>889</v>
      </c>
      <c r="G2124" t="s">
        <v>3028</v>
      </c>
      <c r="I2124"/>
      <c r="J2124"/>
      <c r="L2124"/>
      <c r="M2124"/>
      <c r="O2124"/>
      <c r="P2124" s="20"/>
      <c r="Q2124" s="20"/>
      <c r="R2124" s="20"/>
      <c r="S2124" s="20"/>
      <c r="T2124" s="20"/>
      <c r="U2124" t="s">
        <v>401</v>
      </c>
    </row>
    <row r="2125" spans="1:21" x14ac:dyDescent="0.25">
      <c r="A2125" s="3">
        <v>41810</v>
      </c>
      <c r="B2125" s="36">
        <v>154</v>
      </c>
      <c r="C2125" t="s">
        <v>1831</v>
      </c>
      <c r="E2125" s="18">
        <v>-171.42857142857144</v>
      </c>
      <c r="F2125" t="s">
        <v>889</v>
      </c>
      <c r="G2125" t="s">
        <v>442</v>
      </c>
      <c r="H2125" s="18" t="s">
        <v>442</v>
      </c>
      <c r="I2125" s="3" t="s">
        <v>442</v>
      </c>
      <c r="J2125"/>
      <c r="L2125"/>
      <c r="M2125"/>
      <c r="N2125" s="20"/>
      <c r="O2125" t="s">
        <v>1832</v>
      </c>
      <c r="P2125" s="20"/>
      <c r="Q2125" s="20" t="s">
        <v>401</v>
      </c>
      <c r="R2125" s="20"/>
      <c r="S2125" s="20"/>
      <c r="T2125" s="20"/>
    </row>
    <row r="2126" spans="1:21" x14ac:dyDescent="0.25">
      <c r="A2126" s="3">
        <v>41810</v>
      </c>
      <c r="B2126" s="36">
        <v>154</v>
      </c>
      <c r="C2126" t="s">
        <v>3034</v>
      </c>
      <c r="D2126">
        <v>5.25</v>
      </c>
      <c r="E2126" s="18">
        <v>525</v>
      </c>
      <c r="F2126" t="s">
        <v>889</v>
      </c>
      <c r="G2126" t="s">
        <v>3035</v>
      </c>
      <c r="H2126" s="18">
        <v>525</v>
      </c>
      <c r="I2126" s="3">
        <v>41810</v>
      </c>
      <c r="J2126"/>
      <c r="L2126"/>
      <c r="M2126"/>
      <c r="N2126" s="20"/>
      <c r="O2126" t="s">
        <v>1169</v>
      </c>
      <c r="P2126" s="20"/>
      <c r="Q2126" s="20"/>
      <c r="R2126" s="20"/>
      <c r="S2126" s="20"/>
      <c r="T2126" s="20"/>
    </row>
    <row r="2127" spans="1:21" x14ac:dyDescent="0.25">
      <c r="A2127" s="3">
        <v>41824</v>
      </c>
      <c r="B2127" s="36">
        <v>154</v>
      </c>
      <c r="C2127" t="s">
        <v>3036</v>
      </c>
      <c r="D2127">
        <v>2.8050000000000002</v>
      </c>
      <c r="E2127" s="18">
        <v>280.5</v>
      </c>
      <c r="F2127" t="s">
        <v>889</v>
      </c>
      <c r="G2127" t="s">
        <v>3037</v>
      </c>
      <c r="H2127" s="18">
        <v>280.5</v>
      </c>
      <c r="I2127" s="3">
        <v>41824</v>
      </c>
      <c r="J2127"/>
      <c r="L2127"/>
      <c r="M2127"/>
      <c r="N2127" s="20"/>
      <c r="O2127" t="s">
        <v>3038</v>
      </c>
      <c r="P2127" s="20"/>
      <c r="Q2127" s="20"/>
      <c r="R2127" s="20"/>
      <c r="S2127" s="20"/>
      <c r="T2127" s="20"/>
    </row>
    <row r="2128" spans="1:21" x14ac:dyDescent="0.25">
      <c r="B2128">
        <v>154</v>
      </c>
      <c r="C2128" t="s">
        <v>3036</v>
      </c>
      <c r="D2128">
        <v>2.8050000000000002</v>
      </c>
      <c r="E2128" s="18">
        <v>-280.5</v>
      </c>
      <c r="F2128" t="s">
        <v>889</v>
      </c>
      <c r="G2128" t="s">
        <v>3037</v>
      </c>
      <c r="I2128"/>
      <c r="J2128"/>
      <c r="L2128"/>
      <c r="M2128"/>
      <c r="O2128"/>
      <c r="P2128" s="20"/>
      <c r="Q2128" s="20"/>
      <c r="R2128" s="20"/>
      <c r="S2128" s="20"/>
      <c r="T2128" s="20"/>
      <c r="U2128" t="s">
        <v>401</v>
      </c>
    </row>
    <row r="2129" spans="1:21" x14ac:dyDescent="0.25">
      <c r="A2129" s="3">
        <v>41817</v>
      </c>
      <c r="B2129" s="36">
        <v>155</v>
      </c>
      <c r="C2129" t="s">
        <v>3039</v>
      </c>
      <c r="D2129">
        <v>10</v>
      </c>
      <c r="E2129" s="18">
        <v>1000</v>
      </c>
      <c r="G2129" t="s">
        <v>3040</v>
      </c>
      <c r="H2129" s="18">
        <v>1000</v>
      </c>
      <c r="I2129" s="3">
        <v>41817</v>
      </c>
      <c r="J2129"/>
      <c r="L2129"/>
      <c r="M2129"/>
      <c r="N2129" s="20"/>
      <c r="O2129" t="s">
        <v>1169</v>
      </c>
      <c r="P2129" s="20"/>
      <c r="Q2129" s="20"/>
      <c r="R2129" s="20"/>
      <c r="S2129" s="20"/>
      <c r="T2129" s="20"/>
    </row>
    <row r="2130" spans="1:21" x14ac:dyDescent="0.25">
      <c r="A2130" s="3">
        <v>41817</v>
      </c>
      <c r="B2130" s="36">
        <v>155</v>
      </c>
      <c r="C2130" t="s">
        <v>3041</v>
      </c>
      <c r="D2130">
        <v>4.08</v>
      </c>
      <c r="E2130" s="18">
        <v>408</v>
      </c>
      <c r="G2130" t="s">
        <v>3042</v>
      </c>
      <c r="H2130" s="18">
        <v>408</v>
      </c>
      <c r="I2130" s="3">
        <v>41817</v>
      </c>
      <c r="J2130"/>
      <c r="L2130"/>
      <c r="M2130"/>
      <c r="N2130" s="20"/>
      <c r="O2130" t="s">
        <v>3043</v>
      </c>
      <c r="P2130" s="20"/>
      <c r="Q2130" s="20"/>
      <c r="R2130" s="20"/>
      <c r="S2130" s="20"/>
      <c r="T2130" s="20"/>
    </row>
    <row r="2131" spans="1:21" x14ac:dyDescent="0.25">
      <c r="A2131" s="3">
        <v>41817</v>
      </c>
      <c r="B2131" s="36">
        <v>155</v>
      </c>
      <c r="C2131" t="s">
        <v>3044</v>
      </c>
      <c r="D2131">
        <v>7</v>
      </c>
      <c r="E2131" s="18">
        <v>700</v>
      </c>
      <c r="G2131" t="s">
        <v>3045</v>
      </c>
      <c r="H2131" s="18">
        <v>700</v>
      </c>
      <c r="I2131" s="3">
        <v>41817</v>
      </c>
      <c r="J2131"/>
      <c r="L2131"/>
      <c r="M2131"/>
      <c r="N2131" s="20"/>
      <c r="O2131" t="s">
        <v>1169</v>
      </c>
      <c r="P2131" s="20"/>
      <c r="Q2131" s="20"/>
      <c r="R2131" s="20"/>
      <c r="S2131" s="20"/>
      <c r="T2131" s="20"/>
    </row>
    <row r="2132" spans="1:21" x14ac:dyDescent="0.25">
      <c r="A2132" s="57">
        <v>41851</v>
      </c>
      <c r="B2132" s="42">
        <v>155</v>
      </c>
      <c r="C2132" s="45" t="s">
        <v>3046</v>
      </c>
      <c r="D2132" s="45">
        <v>11.5</v>
      </c>
      <c r="E2132" s="58">
        <v>1150</v>
      </c>
      <c r="F2132" s="45" t="s">
        <v>889</v>
      </c>
      <c r="G2132" s="45" t="s">
        <v>3047</v>
      </c>
      <c r="H2132" s="18">
        <v>1150</v>
      </c>
      <c r="I2132" s="3">
        <v>41851</v>
      </c>
      <c r="J2132" s="45"/>
      <c r="K2132" s="45"/>
      <c r="L2132" s="45"/>
      <c r="M2132" s="45"/>
      <c r="N2132" s="45"/>
      <c r="O2132" s="45"/>
      <c r="P2132" s="20"/>
      <c r="Q2132" s="20"/>
      <c r="R2132" s="20"/>
      <c r="S2132" s="20"/>
      <c r="T2132" s="20"/>
    </row>
    <row r="2133" spans="1:21" x14ac:dyDescent="0.25">
      <c r="A2133" s="3">
        <v>42041</v>
      </c>
      <c r="B2133">
        <v>155</v>
      </c>
      <c r="C2133" t="s">
        <v>3039</v>
      </c>
      <c r="E2133" s="18">
        <v>425</v>
      </c>
      <c r="F2133" t="s">
        <v>889</v>
      </c>
      <c r="G2133" t="s">
        <v>3040</v>
      </c>
      <c r="I2133"/>
      <c r="J2133"/>
      <c r="L2133"/>
      <c r="M2133"/>
      <c r="O2133"/>
      <c r="P2133" s="20"/>
      <c r="Q2133" s="20"/>
      <c r="R2133" s="20"/>
      <c r="S2133" s="20"/>
      <c r="T2133" s="20"/>
    </row>
    <row r="2134" spans="1:21" x14ac:dyDescent="0.25">
      <c r="B2134">
        <v>155</v>
      </c>
      <c r="C2134" t="s">
        <v>3039</v>
      </c>
      <c r="D2134">
        <v>6.375</v>
      </c>
      <c r="E2134" s="18">
        <v>91.666666666666671</v>
      </c>
      <c r="F2134" t="s">
        <v>889</v>
      </c>
      <c r="G2134" t="s">
        <v>3040</v>
      </c>
      <c r="I2134"/>
      <c r="J2134"/>
      <c r="L2134"/>
      <c r="M2134"/>
      <c r="O2134"/>
      <c r="P2134" s="20"/>
      <c r="Q2134" s="20"/>
      <c r="R2134" s="20"/>
      <c r="S2134" s="20"/>
      <c r="T2134" s="20"/>
      <c r="U2134" t="s">
        <v>401</v>
      </c>
    </row>
    <row r="2135" spans="1:21" x14ac:dyDescent="0.25">
      <c r="A2135" s="3">
        <v>41810</v>
      </c>
      <c r="B2135" s="36">
        <v>156</v>
      </c>
      <c r="C2135" t="s">
        <v>3048</v>
      </c>
      <c r="D2135">
        <v>6.5</v>
      </c>
      <c r="E2135" s="18">
        <v>650</v>
      </c>
      <c r="G2135" t="s">
        <v>3049</v>
      </c>
      <c r="H2135" s="18">
        <v>650</v>
      </c>
      <c r="I2135" s="3">
        <v>41810</v>
      </c>
      <c r="J2135"/>
      <c r="L2135"/>
      <c r="M2135"/>
      <c r="N2135" s="20"/>
      <c r="O2135" t="s">
        <v>1169</v>
      </c>
      <c r="P2135" s="20"/>
      <c r="Q2135" s="20"/>
      <c r="R2135" s="20"/>
      <c r="S2135" s="20"/>
      <c r="T2135" s="20"/>
    </row>
    <row r="2136" spans="1:21" x14ac:dyDescent="0.25">
      <c r="A2136" s="3">
        <v>41810</v>
      </c>
      <c r="B2136" s="36">
        <v>156</v>
      </c>
      <c r="C2136" t="s">
        <v>3050</v>
      </c>
      <c r="D2136">
        <v>5</v>
      </c>
      <c r="E2136" s="18">
        <v>500</v>
      </c>
      <c r="G2136" t="s">
        <v>3051</v>
      </c>
      <c r="H2136" s="18">
        <v>500</v>
      </c>
      <c r="I2136" s="3">
        <v>41810</v>
      </c>
      <c r="J2136"/>
      <c r="L2136"/>
      <c r="M2136"/>
      <c r="N2136" s="20"/>
      <c r="O2136" t="s">
        <v>905</v>
      </c>
      <c r="P2136" s="20"/>
      <c r="Q2136" s="20"/>
      <c r="R2136" s="20"/>
      <c r="S2136" s="20"/>
      <c r="T2136" s="20"/>
    </row>
    <row r="2137" spans="1:21" x14ac:dyDescent="0.25">
      <c r="A2137" s="46">
        <v>41820</v>
      </c>
      <c r="B2137" s="36">
        <v>156</v>
      </c>
      <c r="C2137" s="47" t="s">
        <v>1313</v>
      </c>
      <c r="D2137" s="47"/>
      <c r="E2137" s="48">
        <v>1083</v>
      </c>
      <c r="F2137" s="47"/>
      <c r="G2137" s="20"/>
      <c r="H2137" s="18" t="s">
        <v>442</v>
      </c>
      <c r="I2137" s="3" t="s">
        <v>442</v>
      </c>
      <c r="J2137" s="20"/>
      <c r="K2137" s="20"/>
      <c r="L2137" s="20"/>
      <c r="M2137" s="20"/>
      <c r="N2137" s="20"/>
      <c r="O2137" s="47"/>
      <c r="P2137" s="20"/>
      <c r="Q2137" s="20"/>
      <c r="R2137" s="20"/>
      <c r="S2137" s="20" t="s">
        <v>401</v>
      </c>
      <c r="T2137" s="20"/>
    </row>
    <row r="2138" spans="1:21" x14ac:dyDescent="0.25">
      <c r="A2138" s="3">
        <v>41845</v>
      </c>
      <c r="B2138" s="36">
        <v>156</v>
      </c>
      <c r="C2138" t="s">
        <v>3048</v>
      </c>
      <c r="D2138">
        <v>6.75</v>
      </c>
      <c r="E2138" s="18">
        <v>-675</v>
      </c>
      <c r="G2138" t="s">
        <v>3049</v>
      </c>
      <c r="H2138" s="18" t="s">
        <v>442</v>
      </c>
      <c r="I2138" s="3" t="s">
        <v>442</v>
      </c>
      <c r="J2138"/>
      <c r="L2138"/>
      <c r="M2138"/>
      <c r="N2138" s="20"/>
      <c r="O2138" t="s">
        <v>948</v>
      </c>
      <c r="P2138" s="20"/>
      <c r="Q2138" s="20"/>
      <c r="R2138" s="20"/>
      <c r="S2138" s="20"/>
      <c r="T2138" s="20"/>
    </row>
    <row r="2139" spans="1:21" x14ac:dyDescent="0.25">
      <c r="A2139" s="3">
        <v>41810</v>
      </c>
      <c r="B2139" s="36">
        <v>157</v>
      </c>
      <c r="C2139" t="s">
        <v>3052</v>
      </c>
      <c r="D2139">
        <v>3</v>
      </c>
      <c r="E2139" s="18">
        <v>300</v>
      </c>
      <c r="G2139" t="s">
        <v>3053</v>
      </c>
      <c r="H2139" s="18">
        <v>300</v>
      </c>
      <c r="I2139" s="3">
        <v>41810</v>
      </c>
      <c r="J2139"/>
      <c r="L2139"/>
      <c r="M2139"/>
      <c r="N2139" s="20"/>
      <c r="O2139" t="s">
        <v>1169</v>
      </c>
      <c r="P2139" s="20"/>
      <c r="Q2139" s="20"/>
      <c r="R2139" s="20"/>
      <c r="S2139" s="20"/>
      <c r="T2139" s="20"/>
    </row>
    <row r="2140" spans="1:21" x14ac:dyDescent="0.25">
      <c r="A2140" s="3">
        <v>41810</v>
      </c>
      <c r="B2140" s="36">
        <v>157</v>
      </c>
      <c r="C2140" t="s">
        <v>3054</v>
      </c>
      <c r="D2140">
        <v>3.25</v>
      </c>
      <c r="E2140" s="18">
        <v>325</v>
      </c>
      <c r="G2140" t="s">
        <v>3055</v>
      </c>
      <c r="H2140" s="18">
        <v>325</v>
      </c>
      <c r="I2140" s="3">
        <v>41810</v>
      </c>
      <c r="J2140"/>
      <c r="L2140"/>
      <c r="M2140"/>
      <c r="N2140" s="20"/>
      <c r="O2140" t="s">
        <v>1169</v>
      </c>
      <c r="P2140" s="20"/>
      <c r="Q2140" s="20"/>
      <c r="R2140" s="20"/>
      <c r="S2140" s="20"/>
      <c r="T2140" s="20"/>
    </row>
    <row r="2141" spans="1:21" x14ac:dyDescent="0.25">
      <c r="A2141" s="3">
        <v>41810</v>
      </c>
      <c r="B2141" s="36">
        <v>157</v>
      </c>
      <c r="C2141" t="s">
        <v>3056</v>
      </c>
      <c r="D2141">
        <v>3</v>
      </c>
      <c r="E2141" s="18">
        <v>300</v>
      </c>
      <c r="G2141" t="s">
        <v>3057</v>
      </c>
      <c r="H2141" s="18">
        <v>300</v>
      </c>
      <c r="I2141" s="3">
        <v>41810</v>
      </c>
      <c r="J2141"/>
      <c r="L2141"/>
      <c r="M2141"/>
      <c r="N2141" s="20"/>
      <c r="O2141" t="s">
        <v>1169</v>
      </c>
      <c r="P2141" s="20"/>
      <c r="Q2141" s="20"/>
      <c r="R2141" s="20"/>
      <c r="S2141" s="20"/>
      <c r="T2141" s="20"/>
    </row>
    <row r="2142" spans="1:21" x14ac:dyDescent="0.25">
      <c r="A2142" s="3">
        <v>41810</v>
      </c>
      <c r="B2142" s="36">
        <v>157</v>
      </c>
      <c r="C2142" t="s">
        <v>1999</v>
      </c>
      <c r="E2142" s="18">
        <v>-285.71428571428572</v>
      </c>
      <c r="G2142" t="s">
        <v>442</v>
      </c>
      <c r="H2142" s="18" t="s">
        <v>442</v>
      </c>
      <c r="I2142" s="3" t="s">
        <v>442</v>
      </c>
      <c r="J2142"/>
      <c r="L2142"/>
      <c r="M2142"/>
      <c r="N2142" s="20"/>
      <c r="O2142" t="s">
        <v>2000</v>
      </c>
      <c r="P2142" s="20"/>
      <c r="Q2142" s="20" t="s">
        <v>401</v>
      </c>
      <c r="R2142" s="20"/>
      <c r="S2142" s="20"/>
      <c r="T2142" s="20"/>
    </row>
    <row r="2143" spans="1:21" x14ac:dyDescent="0.25">
      <c r="A2143" s="3">
        <v>41845</v>
      </c>
      <c r="B2143" s="36">
        <v>157</v>
      </c>
      <c r="C2143" t="s">
        <v>3058</v>
      </c>
      <c r="D2143">
        <v>6.5</v>
      </c>
      <c r="E2143" s="18">
        <v>500</v>
      </c>
      <c r="G2143" t="s">
        <v>3059</v>
      </c>
      <c r="H2143" s="18">
        <v>500</v>
      </c>
      <c r="I2143" s="3">
        <v>41845</v>
      </c>
      <c r="J2143"/>
      <c r="L2143"/>
      <c r="M2143"/>
      <c r="N2143" s="20"/>
      <c r="O2143" t="s">
        <v>3060</v>
      </c>
      <c r="P2143" s="20"/>
      <c r="Q2143" s="20"/>
      <c r="R2143" s="20"/>
      <c r="S2143" s="20"/>
      <c r="T2143" s="20"/>
    </row>
    <row r="2144" spans="1:21" x14ac:dyDescent="0.25">
      <c r="A2144" s="3">
        <v>41851</v>
      </c>
      <c r="B2144" s="36">
        <v>157</v>
      </c>
      <c r="C2144" t="s">
        <v>3061</v>
      </c>
      <c r="E2144" s="18">
        <v>300</v>
      </c>
      <c r="F2144" t="s">
        <v>889</v>
      </c>
      <c r="G2144" t="s">
        <v>442</v>
      </c>
      <c r="H2144" s="18" t="s">
        <v>442</v>
      </c>
      <c r="I2144" s="3" t="s">
        <v>442</v>
      </c>
      <c r="J2144"/>
      <c r="L2144"/>
      <c r="M2144"/>
      <c r="N2144" s="20"/>
      <c r="O2144" t="s">
        <v>3062</v>
      </c>
      <c r="P2144" s="20"/>
      <c r="Q2144" s="20"/>
      <c r="R2144" s="20"/>
      <c r="S2144" s="20"/>
      <c r="T2144" s="20" t="s">
        <v>401</v>
      </c>
    </row>
    <row r="2145" spans="1:21" x14ac:dyDescent="0.25">
      <c r="A2145" s="3">
        <v>41866</v>
      </c>
      <c r="B2145" s="36">
        <v>157</v>
      </c>
      <c r="C2145" t="s">
        <v>3063</v>
      </c>
      <c r="E2145" s="18">
        <v>900</v>
      </c>
      <c r="G2145" t="s">
        <v>442</v>
      </c>
      <c r="H2145" s="18" t="s">
        <v>442</v>
      </c>
      <c r="I2145" s="3" t="s">
        <v>442</v>
      </c>
      <c r="J2145"/>
      <c r="L2145"/>
      <c r="M2145"/>
      <c r="N2145" s="20"/>
      <c r="O2145"/>
      <c r="P2145" s="20"/>
      <c r="Q2145" s="20"/>
      <c r="R2145" s="20"/>
      <c r="S2145" s="20"/>
      <c r="T2145" s="20" t="s">
        <v>401</v>
      </c>
    </row>
    <row r="2146" spans="1:21" x14ac:dyDescent="0.25">
      <c r="A2146" s="3">
        <v>41879</v>
      </c>
      <c r="B2146" s="36">
        <v>157</v>
      </c>
      <c r="C2146" t="s">
        <v>3064</v>
      </c>
      <c r="D2146">
        <v>8</v>
      </c>
      <c r="E2146" s="18">
        <v>357</v>
      </c>
      <c r="F2146" t="s">
        <v>889</v>
      </c>
      <c r="G2146" t="s">
        <v>3065</v>
      </c>
      <c r="H2146" s="18">
        <v>357</v>
      </c>
      <c r="I2146" s="3">
        <v>41879</v>
      </c>
      <c r="J2146"/>
      <c r="L2146"/>
      <c r="M2146"/>
      <c r="N2146" s="20"/>
      <c r="O2146"/>
      <c r="P2146" s="20"/>
      <c r="Q2146" s="20"/>
      <c r="R2146" s="20"/>
      <c r="S2146" s="20"/>
      <c r="T2146" s="20"/>
    </row>
    <row r="2147" spans="1:21" x14ac:dyDescent="0.25">
      <c r="A2147" s="3">
        <v>41887</v>
      </c>
      <c r="B2147" s="36">
        <v>157</v>
      </c>
      <c r="C2147" t="s">
        <v>3066</v>
      </c>
      <c r="D2147">
        <v>2.2949999999999999</v>
      </c>
      <c r="E2147" s="18">
        <v>114.75</v>
      </c>
      <c r="F2147" t="s">
        <v>889</v>
      </c>
      <c r="G2147" t="s">
        <v>3067</v>
      </c>
      <c r="H2147" s="18">
        <v>114.75</v>
      </c>
      <c r="I2147" s="3">
        <v>41887</v>
      </c>
      <c r="J2147"/>
      <c r="L2147"/>
      <c r="M2147"/>
      <c r="N2147" s="20"/>
      <c r="O2147"/>
      <c r="P2147" s="20"/>
      <c r="Q2147" s="20"/>
      <c r="R2147" s="20"/>
      <c r="S2147" s="20"/>
      <c r="T2147" s="20"/>
    </row>
    <row r="2148" spans="1:21" x14ac:dyDescent="0.25">
      <c r="A2148" s="3">
        <v>41894</v>
      </c>
      <c r="B2148" s="36">
        <v>157</v>
      </c>
      <c r="C2148" t="s">
        <v>3068</v>
      </c>
      <c r="D2148">
        <v>8.9250000000000007</v>
      </c>
      <c r="E2148" s="18">
        <v>446.25</v>
      </c>
      <c r="F2148" t="s">
        <v>889</v>
      </c>
      <c r="G2148" t="s">
        <v>3069</v>
      </c>
      <c r="H2148" s="18">
        <v>446.25</v>
      </c>
      <c r="I2148" s="3">
        <v>41894</v>
      </c>
      <c r="J2148"/>
      <c r="L2148"/>
      <c r="M2148"/>
      <c r="N2148" s="20"/>
      <c r="O2148"/>
      <c r="P2148" s="20"/>
      <c r="Q2148" s="20"/>
      <c r="R2148" s="20"/>
      <c r="S2148" s="20"/>
      <c r="T2148" s="20"/>
    </row>
    <row r="2149" spans="1:21" x14ac:dyDescent="0.25">
      <c r="A2149" s="3">
        <v>42041</v>
      </c>
      <c r="B2149">
        <v>157</v>
      </c>
      <c r="C2149" t="s">
        <v>3052</v>
      </c>
      <c r="E2149" s="18">
        <v>138</v>
      </c>
      <c r="F2149" t="s">
        <v>889</v>
      </c>
      <c r="G2149" t="s">
        <v>3053</v>
      </c>
      <c r="I2149"/>
      <c r="J2149"/>
      <c r="L2149"/>
      <c r="M2149"/>
      <c r="O2149"/>
      <c r="P2149" s="20"/>
      <c r="Q2149" s="20"/>
      <c r="R2149" s="20"/>
      <c r="S2149" s="20"/>
      <c r="T2149" s="20"/>
    </row>
    <row r="2150" spans="1:21" x14ac:dyDescent="0.25">
      <c r="A2150" s="3">
        <v>42041</v>
      </c>
      <c r="B2150">
        <v>157</v>
      </c>
      <c r="C2150" t="s">
        <v>3070</v>
      </c>
      <c r="E2150" s="18">
        <v>76.5</v>
      </c>
      <c r="F2150" t="s">
        <v>889</v>
      </c>
      <c r="G2150" t="s">
        <v>3067</v>
      </c>
      <c r="I2150"/>
      <c r="J2150"/>
      <c r="L2150"/>
      <c r="M2150"/>
      <c r="O2150"/>
      <c r="P2150" s="20"/>
      <c r="Q2150" s="20"/>
      <c r="R2150" s="20"/>
      <c r="S2150" s="20"/>
      <c r="T2150" s="20"/>
    </row>
    <row r="2151" spans="1:21" x14ac:dyDescent="0.25">
      <c r="A2151" s="3">
        <v>42041</v>
      </c>
      <c r="B2151">
        <v>157</v>
      </c>
      <c r="C2151" t="s">
        <v>3056</v>
      </c>
      <c r="E2151" s="18">
        <v>104</v>
      </c>
      <c r="F2151" t="s">
        <v>889</v>
      </c>
      <c r="G2151" t="s">
        <v>3057</v>
      </c>
      <c r="I2151"/>
      <c r="J2151"/>
      <c r="L2151"/>
      <c r="M2151"/>
      <c r="O2151"/>
      <c r="P2151" s="20"/>
      <c r="Q2151" s="20"/>
      <c r="R2151" s="20"/>
      <c r="S2151" s="20"/>
      <c r="T2151" s="20"/>
    </row>
    <row r="2152" spans="1:21" x14ac:dyDescent="0.25">
      <c r="B2152">
        <v>157</v>
      </c>
      <c r="C2152" t="s">
        <v>3052</v>
      </c>
      <c r="D2152">
        <v>3.57</v>
      </c>
      <c r="E2152" s="18">
        <v>138</v>
      </c>
      <c r="F2152" t="s">
        <v>889</v>
      </c>
      <c r="G2152" t="s">
        <v>3053</v>
      </c>
      <c r="I2152"/>
      <c r="J2152"/>
      <c r="L2152"/>
      <c r="M2152"/>
      <c r="O2152"/>
      <c r="P2152" s="20"/>
      <c r="Q2152" s="20"/>
      <c r="R2152" s="20"/>
      <c r="S2152" s="20"/>
      <c r="T2152" s="20"/>
      <c r="U2152" t="s">
        <v>401</v>
      </c>
    </row>
    <row r="2153" spans="1:21" x14ac:dyDescent="0.25">
      <c r="B2153">
        <v>157</v>
      </c>
      <c r="C2153" t="s">
        <v>3070</v>
      </c>
      <c r="D2153">
        <v>2.2949999999999999</v>
      </c>
      <c r="E2153" s="18">
        <v>76.5</v>
      </c>
      <c r="F2153" t="s">
        <v>889</v>
      </c>
      <c r="G2153" t="s">
        <v>3067</v>
      </c>
      <c r="I2153"/>
      <c r="J2153"/>
      <c r="L2153"/>
      <c r="M2153"/>
      <c r="O2153"/>
      <c r="P2153" s="20"/>
      <c r="Q2153" s="20"/>
      <c r="R2153" s="20"/>
      <c r="S2153" s="20"/>
      <c r="T2153" s="20"/>
      <c r="U2153" t="s">
        <v>401</v>
      </c>
    </row>
    <row r="2154" spans="1:21" x14ac:dyDescent="0.25">
      <c r="B2154">
        <v>157</v>
      </c>
      <c r="C2154" t="s">
        <v>3071</v>
      </c>
      <c r="D2154">
        <v>2.2949999999999999</v>
      </c>
      <c r="E2154" s="18">
        <v>114.75</v>
      </c>
      <c r="F2154" t="s">
        <v>889</v>
      </c>
      <c r="G2154" t="s">
        <v>3067</v>
      </c>
      <c r="I2154"/>
      <c r="J2154"/>
      <c r="L2154"/>
      <c r="M2154"/>
      <c r="O2154"/>
      <c r="P2154" s="20"/>
      <c r="Q2154" s="20"/>
      <c r="R2154" s="20"/>
      <c r="S2154" s="20"/>
      <c r="T2154" s="20"/>
      <c r="U2154" t="s">
        <v>401</v>
      </c>
    </row>
    <row r="2155" spans="1:21" x14ac:dyDescent="0.25">
      <c r="B2155">
        <v>157</v>
      </c>
      <c r="C2155" t="s">
        <v>3072</v>
      </c>
      <c r="D2155">
        <v>8.9250000000000007</v>
      </c>
      <c r="E2155" s="18">
        <v>446.25</v>
      </c>
      <c r="F2155" t="s">
        <v>889</v>
      </c>
      <c r="G2155" t="s">
        <v>3069</v>
      </c>
      <c r="I2155"/>
      <c r="J2155"/>
      <c r="L2155"/>
      <c r="M2155"/>
      <c r="O2155"/>
      <c r="P2155" s="20"/>
      <c r="Q2155" s="20"/>
      <c r="R2155" s="20"/>
      <c r="S2155" s="20"/>
      <c r="T2155" s="20"/>
      <c r="U2155" t="s">
        <v>401</v>
      </c>
    </row>
    <row r="2156" spans="1:21" x14ac:dyDescent="0.25">
      <c r="B2156">
        <v>157</v>
      </c>
      <c r="C2156" t="s">
        <v>3054</v>
      </c>
      <c r="D2156">
        <v>3.57</v>
      </c>
      <c r="E2156" s="18">
        <v>-325</v>
      </c>
      <c r="F2156" t="s">
        <v>889</v>
      </c>
      <c r="G2156" t="s">
        <v>3055</v>
      </c>
      <c r="I2156"/>
      <c r="J2156"/>
      <c r="L2156"/>
      <c r="M2156"/>
      <c r="O2156"/>
      <c r="P2156" s="20"/>
      <c r="Q2156" s="20"/>
      <c r="R2156" s="20"/>
      <c r="S2156" s="20"/>
      <c r="T2156" s="20"/>
      <c r="U2156" t="s">
        <v>401</v>
      </c>
    </row>
    <row r="2157" spans="1:21" x14ac:dyDescent="0.25">
      <c r="B2157">
        <v>157</v>
      </c>
      <c r="C2157" t="s">
        <v>3056</v>
      </c>
      <c r="D2157">
        <v>3.06</v>
      </c>
      <c r="E2157" s="18">
        <v>104</v>
      </c>
      <c r="F2157" t="s">
        <v>889</v>
      </c>
      <c r="G2157" t="s">
        <v>3057</v>
      </c>
      <c r="I2157"/>
      <c r="J2157"/>
      <c r="L2157"/>
      <c r="M2157"/>
      <c r="O2157"/>
      <c r="P2157" s="20"/>
      <c r="Q2157" s="20"/>
      <c r="R2157" s="20"/>
      <c r="S2157" s="20"/>
      <c r="T2157" s="20"/>
      <c r="U2157" t="s">
        <v>401</v>
      </c>
    </row>
    <row r="2158" spans="1:21" x14ac:dyDescent="0.25">
      <c r="B2158">
        <v>157</v>
      </c>
      <c r="C2158" t="s">
        <v>1838</v>
      </c>
      <c r="E2158" s="18">
        <v>200</v>
      </c>
      <c r="G2158" t="s">
        <v>442</v>
      </c>
      <c r="I2158"/>
      <c r="J2158"/>
      <c r="L2158"/>
      <c r="M2158"/>
      <c r="O2158"/>
      <c r="P2158" s="20"/>
      <c r="Q2158" s="20"/>
      <c r="R2158" s="20"/>
      <c r="S2158" s="20"/>
      <c r="T2158" s="20"/>
      <c r="U2158" t="s">
        <v>401</v>
      </c>
    </row>
    <row r="2159" spans="1:21" x14ac:dyDescent="0.25">
      <c r="B2159">
        <v>157</v>
      </c>
      <c r="C2159" t="s">
        <v>3073</v>
      </c>
      <c r="D2159">
        <v>4.335</v>
      </c>
      <c r="E2159" s="18">
        <v>433.5</v>
      </c>
      <c r="F2159" t="s">
        <v>889</v>
      </c>
      <c r="G2159" t="s">
        <v>3074</v>
      </c>
      <c r="I2159"/>
      <c r="J2159"/>
      <c r="L2159"/>
      <c r="M2159"/>
      <c r="O2159"/>
      <c r="P2159" s="20"/>
      <c r="Q2159" s="20"/>
      <c r="R2159" s="20"/>
      <c r="S2159" s="20"/>
      <c r="T2159" s="20"/>
      <c r="U2159" t="s">
        <v>401</v>
      </c>
    </row>
    <row r="2160" spans="1:21" x14ac:dyDescent="0.25">
      <c r="B2160">
        <v>157</v>
      </c>
      <c r="C2160" t="s">
        <v>3075</v>
      </c>
      <c r="D2160">
        <v>8</v>
      </c>
      <c r="E2160" s="18">
        <v>357</v>
      </c>
      <c r="G2160" t="s">
        <v>3065</v>
      </c>
      <c r="I2160"/>
      <c r="J2160"/>
      <c r="L2160"/>
      <c r="M2160"/>
      <c r="O2160"/>
      <c r="P2160" s="20"/>
      <c r="Q2160" s="20"/>
      <c r="R2160" s="20"/>
      <c r="S2160" s="20"/>
      <c r="T2160" s="20"/>
      <c r="U2160" t="s">
        <v>401</v>
      </c>
    </row>
    <row r="2161" spans="2:21" x14ac:dyDescent="0.25">
      <c r="B2161">
        <v>157</v>
      </c>
      <c r="C2161" t="s">
        <v>3061</v>
      </c>
      <c r="E2161" s="18">
        <v>-300</v>
      </c>
      <c r="F2161" t="s">
        <v>889</v>
      </c>
      <c r="G2161" t="s">
        <v>442</v>
      </c>
      <c r="I2161"/>
      <c r="J2161"/>
      <c r="L2161"/>
      <c r="M2161"/>
      <c r="O2161"/>
      <c r="P2161" s="20"/>
      <c r="Q2161" s="20"/>
      <c r="R2161" s="20"/>
      <c r="S2161" s="20"/>
      <c r="T2161" s="20"/>
      <c r="U2161" t="s">
        <v>401</v>
      </c>
    </row>
    <row r="2162" spans="2:21" x14ac:dyDescent="0.25">
      <c r="B2162">
        <v>157</v>
      </c>
      <c r="C2162" t="s">
        <v>3063</v>
      </c>
      <c r="E2162" s="18">
        <v>-900</v>
      </c>
      <c r="F2162" t="s">
        <v>889</v>
      </c>
      <c r="G2162" t="s">
        <v>442</v>
      </c>
      <c r="I2162"/>
      <c r="J2162"/>
      <c r="L2162"/>
      <c r="M2162"/>
      <c r="O2162"/>
      <c r="P2162" s="20"/>
      <c r="Q2162" s="20"/>
      <c r="R2162" s="20"/>
      <c r="S2162" s="20"/>
      <c r="T2162" s="20"/>
      <c r="U2162" t="s">
        <v>401</v>
      </c>
    </row>
    <row r="2163" spans="2:21" x14ac:dyDescent="0.25">
      <c r="B2163">
        <v>157</v>
      </c>
      <c r="C2163" t="s">
        <v>1480</v>
      </c>
      <c r="E2163" s="18">
        <v>-487.69677419999999</v>
      </c>
      <c r="F2163" t="s">
        <v>891</v>
      </c>
      <c r="G2163" t="s">
        <v>442</v>
      </c>
      <c r="I2163"/>
      <c r="J2163"/>
      <c r="L2163"/>
      <c r="M2163"/>
      <c r="O2163"/>
      <c r="P2163" s="20"/>
      <c r="Q2163" s="20"/>
      <c r="R2163" s="20"/>
      <c r="S2163" s="20"/>
      <c r="T2163" s="20"/>
      <c r="U2163" t="s">
        <v>401</v>
      </c>
    </row>
    <row r="2164" spans="2:21" x14ac:dyDescent="0.25">
      <c r="B2164">
        <v>157</v>
      </c>
      <c r="C2164" t="s">
        <v>1106</v>
      </c>
      <c r="E2164" s="18">
        <v>-487.69677419999999</v>
      </c>
      <c r="F2164" t="s">
        <v>891</v>
      </c>
      <c r="G2164" t="s">
        <v>442</v>
      </c>
      <c r="I2164"/>
      <c r="J2164"/>
      <c r="L2164"/>
      <c r="M2164"/>
      <c r="O2164"/>
      <c r="P2164" s="20"/>
      <c r="Q2164" s="20"/>
      <c r="R2164" s="20"/>
      <c r="S2164" s="20"/>
      <c r="T2164" s="20"/>
      <c r="U2164" t="s">
        <v>401</v>
      </c>
    </row>
    <row r="2165" spans="2:21" x14ac:dyDescent="0.25">
      <c r="B2165">
        <v>157</v>
      </c>
      <c r="C2165" t="s">
        <v>1269</v>
      </c>
      <c r="E2165" s="18">
        <v>-864.83600000000001</v>
      </c>
      <c r="F2165" t="s">
        <v>891</v>
      </c>
      <c r="G2165" t="s">
        <v>442</v>
      </c>
      <c r="I2165"/>
      <c r="J2165"/>
      <c r="L2165"/>
      <c r="M2165"/>
      <c r="O2165"/>
      <c r="P2165" s="20"/>
      <c r="Q2165" s="20"/>
      <c r="R2165" s="20"/>
      <c r="S2165" s="20"/>
      <c r="T2165" s="20"/>
      <c r="U2165" t="s">
        <v>401</v>
      </c>
    </row>
    <row r="2166" spans="2:21" x14ac:dyDescent="0.25">
      <c r="B2166">
        <v>157</v>
      </c>
      <c r="C2166" t="s">
        <v>1509</v>
      </c>
      <c r="E2166" s="18">
        <v>-492.34150540000002</v>
      </c>
      <c r="F2166" t="s">
        <v>891</v>
      </c>
      <c r="G2166" t="s">
        <v>442</v>
      </c>
      <c r="I2166"/>
      <c r="J2166"/>
      <c r="L2166"/>
      <c r="M2166"/>
      <c r="O2166"/>
      <c r="P2166" s="20"/>
      <c r="Q2166" s="20"/>
      <c r="R2166" s="20"/>
      <c r="S2166" s="20"/>
      <c r="T2166" s="20"/>
      <c r="U2166" t="s">
        <v>401</v>
      </c>
    </row>
    <row r="2167" spans="2:21" x14ac:dyDescent="0.25">
      <c r="B2167">
        <v>157</v>
      </c>
      <c r="C2167" t="s">
        <v>1108</v>
      </c>
      <c r="E2167" s="18">
        <v>-487.69677419999999</v>
      </c>
      <c r="F2167" t="s">
        <v>891</v>
      </c>
      <c r="G2167" t="s">
        <v>442</v>
      </c>
      <c r="I2167"/>
      <c r="J2167"/>
      <c r="L2167"/>
      <c r="M2167"/>
      <c r="O2167"/>
      <c r="P2167" s="20"/>
      <c r="Q2167" s="20"/>
      <c r="R2167" s="20"/>
      <c r="S2167" s="20"/>
      <c r="T2167" s="20"/>
      <c r="U2167" t="s">
        <v>401</v>
      </c>
    </row>
    <row r="2168" spans="2:21" x14ac:dyDescent="0.25">
      <c r="B2168">
        <v>157</v>
      </c>
      <c r="C2168" t="s">
        <v>3076</v>
      </c>
      <c r="E2168" s="18">
        <v>-115.06849315068494</v>
      </c>
      <c r="G2168" t="s">
        <v>442</v>
      </c>
      <c r="I2168"/>
      <c r="J2168"/>
      <c r="L2168"/>
      <c r="M2168"/>
      <c r="O2168"/>
      <c r="P2168" s="20"/>
      <c r="Q2168" s="20"/>
      <c r="R2168" s="20"/>
      <c r="S2168" s="20"/>
      <c r="T2168" s="20"/>
      <c r="U2168" t="s">
        <v>401</v>
      </c>
    </row>
    <row r="2169" spans="2:21" x14ac:dyDescent="0.25">
      <c r="B2169">
        <v>157</v>
      </c>
      <c r="C2169" t="s">
        <v>2573</v>
      </c>
      <c r="E2169" s="18">
        <v>-115.06849315068494</v>
      </c>
      <c r="F2169" t="s">
        <v>891</v>
      </c>
      <c r="G2169" t="s">
        <v>442</v>
      </c>
      <c r="I2169"/>
      <c r="J2169"/>
      <c r="L2169"/>
      <c r="M2169"/>
      <c r="O2169"/>
      <c r="P2169" s="20"/>
      <c r="Q2169" s="20"/>
      <c r="R2169" s="20"/>
      <c r="S2169" s="20"/>
      <c r="T2169" s="20"/>
      <c r="U2169" t="s">
        <v>401</v>
      </c>
    </row>
    <row r="2170" spans="2:21" x14ac:dyDescent="0.25">
      <c r="B2170">
        <v>157</v>
      </c>
      <c r="C2170" t="s">
        <v>1482</v>
      </c>
      <c r="E2170" s="18">
        <v>-418.91225809999997</v>
      </c>
      <c r="G2170" t="s">
        <v>442</v>
      </c>
      <c r="I2170"/>
      <c r="J2170"/>
      <c r="L2170"/>
      <c r="M2170"/>
      <c r="O2170"/>
      <c r="P2170" s="20"/>
      <c r="Q2170" s="20"/>
      <c r="R2170" s="20"/>
      <c r="S2170" s="20"/>
      <c r="T2170" s="20"/>
      <c r="U2170" t="s">
        <v>401</v>
      </c>
    </row>
    <row r="2171" spans="2:21" x14ac:dyDescent="0.25">
      <c r="B2171">
        <v>157</v>
      </c>
      <c r="C2171" t="s">
        <v>1483</v>
      </c>
      <c r="E2171" s="18">
        <v>-487.69677419999999</v>
      </c>
      <c r="F2171" t="s">
        <v>891</v>
      </c>
      <c r="G2171" t="s">
        <v>442</v>
      </c>
      <c r="I2171"/>
      <c r="J2171"/>
      <c r="L2171"/>
      <c r="M2171"/>
      <c r="O2171"/>
      <c r="P2171" s="20"/>
      <c r="Q2171" s="20"/>
      <c r="R2171" s="20"/>
      <c r="S2171" s="20"/>
      <c r="T2171" s="20"/>
      <c r="U2171" t="s">
        <v>401</v>
      </c>
    </row>
    <row r="2172" spans="2:21" x14ac:dyDescent="0.25">
      <c r="B2172">
        <v>157</v>
      </c>
      <c r="C2172" t="s">
        <v>1237</v>
      </c>
      <c r="E2172" s="18">
        <v>-487.69677419999999</v>
      </c>
      <c r="F2172" t="s">
        <v>891</v>
      </c>
      <c r="G2172" t="s">
        <v>442</v>
      </c>
      <c r="I2172"/>
      <c r="J2172"/>
      <c r="L2172"/>
      <c r="M2172"/>
      <c r="O2172"/>
      <c r="P2172" s="20"/>
      <c r="Q2172" s="20"/>
      <c r="R2172" s="20"/>
      <c r="S2172" s="20"/>
      <c r="T2172" s="20"/>
      <c r="U2172" t="s">
        <v>401</v>
      </c>
    </row>
    <row r="2173" spans="2:21" x14ac:dyDescent="0.25">
      <c r="B2173">
        <v>157</v>
      </c>
      <c r="C2173" t="s">
        <v>3077</v>
      </c>
      <c r="E2173" s="18">
        <v>-35.714289999999998</v>
      </c>
      <c r="G2173" t="s">
        <v>442</v>
      </c>
      <c r="I2173"/>
      <c r="J2173"/>
      <c r="L2173"/>
      <c r="M2173"/>
      <c r="O2173"/>
      <c r="P2173" s="20"/>
      <c r="Q2173" s="20"/>
      <c r="R2173" s="20"/>
      <c r="S2173" s="20"/>
      <c r="T2173" s="20"/>
      <c r="U2173" t="s">
        <v>401</v>
      </c>
    </row>
    <row r="2174" spans="2:21" x14ac:dyDescent="0.25">
      <c r="B2174">
        <v>157</v>
      </c>
      <c r="C2174" t="s">
        <v>1574</v>
      </c>
      <c r="E2174" s="18">
        <v>-250</v>
      </c>
      <c r="G2174" t="s">
        <v>442</v>
      </c>
      <c r="I2174"/>
      <c r="J2174"/>
      <c r="L2174"/>
      <c r="M2174"/>
      <c r="O2174"/>
      <c r="P2174" s="20"/>
      <c r="Q2174" s="20"/>
      <c r="R2174" s="20"/>
      <c r="S2174" s="20"/>
      <c r="T2174" s="20"/>
      <c r="U2174" t="s">
        <v>401</v>
      </c>
    </row>
    <row r="2175" spans="2:21" x14ac:dyDescent="0.25">
      <c r="B2175">
        <v>157</v>
      </c>
      <c r="C2175" t="s">
        <v>1575</v>
      </c>
      <c r="E2175" s="18">
        <v>-250</v>
      </c>
      <c r="G2175" t="s">
        <v>442</v>
      </c>
      <c r="I2175"/>
      <c r="J2175"/>
      <c r="L2175"/>
      <c r="M2175"/>
      <c r="O2175"/>
      <c r="P2175" s="20"/>
      <c r="Q2175" s="20"/>
      <c r="R2175" s="20"/>
      <c r="S2175" s="20"/>
      <c r="T2175" s="20"/>
      <c r="U2175" t="s">
        <v>401</v>
      </c>
    </row>
    <row r="2176" spans="2:21" x14ac:dyDescent="0.25">
      <c r="B2176">
        <v>157</v>
      </c>
      <c r="C2176" t="s">
        <v>1299</v>
      </c>
      <c r="E2176" s="18">
        <v>-115.07</v>
      </c>
      <c r="F2176" t="s">
        <v>891</v>
      </c>
      <c r="G2176" t="s">
        <v>442</v>
      </c>
      <c r="I2176"/>
      <c r="J2176"/>
      <c r="L2176"/>
      <c r="M2176"/>
      <c r="O2176"/>
      <c r="P2176" s="20"/>
      <c r="Q2176" s="20"/>
      <c r="R2176" s="20"/>
      <c r="S2176" s="20"/>
      <c r="T2176" s="20"/>
      <c r="U2176" t="s">
        <v>401</v>
      </c>
    </row>
    <row r="2177" spans="1:21" x14ac:dyDescent="0.25">
      <c r="B2177">
        <v>157</v>
      </c>
      <c r="C2177" t="s">
        <v>1304</v>
      </c>
      <c r="E2177" s="18">
        <v>-115.06849315068494</v>
      </c>
      <c r="F2177" t="s">
        <v>891</v>
      </c>
      <c r="G2177" t="s">
        <v>442</v>
      </c>
      <c r="I2177"/>
      <c r="J2177"/>
      <c r="L2177"/>
      <c r="M2177"/>
      <c r="O2177"/>
      <c r="P2177" s="20"/>
      <c r="Q2177" s="20"/>
      <c r="R2177" s="20"/>
      <c r="S2177" s="20"/>
      <c r="T2177" s="20"/>
      <c r="U2177" t="s">
        <v>401</v>
      </c>
    </row>
    <row r="2178" spans="1:21" x14ac:dyDescent="0.25">
      <c r="B2178">
        <v>157</v>
      </c>
      <c r="C2178" t="s">
        <v>1312</v>
      </c>
      <c r="E2178" s="18">
        <v>-115.06849315068494</v>
      </c>
      <c r="F2178" t="s">
        <v>891</v>
      </c>
      <c r="G2178" t="s">
        <v>442</v>
      </c>
      <c r="I2178"/>
      <c r="J2178"/>
      <c r="L2178"/>
      <c r="M2178"/>
      <c r="O2178"/>
      <c r="P2178" s="20"/>
      <c r="Q2178" s="20"/>
      <c r="R2178" s="20"/>
      <c r="S2178" s="20"/>
      <c r="T2178" s="20"/>
      <c r="U2178" t="s">
        <v>401</v>
      </c>
    </row>
    <row r="2179" spans="1:21" x14ac:dyDescent="0.25">
      <c r="B2179">
        <v>157</v>
      </c>
      <c r="C2179" t="s">
        <v>1282</v>
      </c>
      <c r="E2179" s="18">
        <v>-497.05</v>
      </c>
      <c r="F2179" t="s">
        <v>891</v>
      </c>
      <c r="G2179" t="s">
        <v>442</v>
      </c>
      <c r="I2179"/>
      <c r="J2179"/>
      <c r="L2179"/>
      <c r="M2179"/>
      <c r="O2179"/>
      <c r="P2179" s="20"/>
      <c r="Q2179" s="20"/>
      <c r="R2179" s="20"/>
      <c r="S2179" s="20"/>
      <c r="T2179" s="20"/>
      <c r="U2179" t="s">
        <v>401</v>
      </c>
    </row>
    <row r="2180" spans="1:21" x14ac:dyDescent="0.25">
      <c r="B2180">
        <v>157</v>
      </c>
      <c r="C2180" t="s">
        <v>1292</v>
      </c>
      <c r="E2180" s="18">
        <v>-497.05</v>
      </c>
      <c r="F2180" t="s">
        <v>891</v>
      </c>
      <c r="G2180" t="s">
        <v>442</v>
      </c>
      <c r="I2180"/>
      <c r="J2180"/>
      <c r="L2180"/>
      <c r="M2180"/>
      <c r="O2180"/>
      <c r="P2180" s="20"/>
      <c r="Q2180" s="20"/>
      <c r="R2180" s="20"/>
      <c r="S2180" s="20"/>
      <c r="T2180" s="20"/>
      <c r="U2180" t="s">
        <v>401</v>
      </c>
    </row>
    <row r="2181" spans="1:21" x14ac:dyDescent="0.25">
      <c r="B2181">
        <v>157</v>
      </c>
      <c r="C2181" t="s">
        <v>1300</v>
      </c>
      <c r="E2181" s="18">
        <v>-115.07</v>
      </c>
      <c r="F2181" t="s">
        <v>891</v>
      </c>
      <c r="G2181" t="s">
        <v>442</v>
      </c>
      <c r="I2181"/>
      <c r="J2181"/>
      <c r="L2181"/>
      <c r="M2181"/>
      <c r="O2181"/>
      <c r="P2181" s="20"/>
      <c r="Q2181" s="20"/>
      <c r="R2181" s="20"/>
      <c r="S2181" s="20"/>
      <c r="T2181" s="20"/>
      <c r="U2181" t="s">
        <v>401</v>
      </c>
    </row>
    <row r="2182" spans="1:21" x14ac:dyDescent="0.25">
      <c r="B2182">
        <v>157</v>
      </c>
      <c r="C2182" t="s">
        <v>1110</v>
      </c>
      <c r="E2182" s="18">
        <v>-503.9533333</v>
      </c>
      <c r="F2182" t="s">
        <v>891</v>
      </c>
      <c r="G2182" t="s">
        <v>442</v>
      </c>
      <c r="I2182"/>
      <c r="J2182"/>
      <c r="L2182"/>
      <c r="M2182"/>
      <c r="O2182"/>
      <c r="P2182" s="20"/>
      <c r="Q2182" s="20"/>
      <c r="R2182" s="20"/>
      <c r="S2182" s="20"/>
      <c r="T2182" s="20"/>
      <c r="U2182" t="s">
        <v>401</v>
      </c>
    </row>
    <row r="2183" spans="1:21" x14ac:dyDescent="0.25">
      <c r="B2183">
        <v>157</v>
      </c>
      <c r="C2183" t="s">
        <v>1117</v>
      </c>
      <c r="E2183" s="18">
        <v>-503.9533333</v>
      </c>
      <c r="F2183" t="s">
        <v>891</v>
      </c>
      <c r="G2183" t="s">
        <v>442</v>
      </c>
      <c r="I2183"/>
      <c r="J2183"/>
      <c r="L2183"/>
      <c r="M2183"/>
      <c r="O2183"/>
      <c r="P2183" s="20"/>
      <c r="Q2183" s="20"/>
      <c r="R2183" s="20"/>
      <c r="S2183" s="20"/>
      <c r="T2183" s="20"/>
      <c r="U2183" t="s">
        <v>401</v>
      </c>
    </row>
    <row r="2184" spans="1:21" x14ac:dyDescent="0.25">
      <c r="B2184">
        <v>157</v>
      </c>
      <c r="C2184" t="s">
        <v>1111</v>
      </c>
      <c r="E2184" s="18">
        <v>-503.9533333</v>
      </c>
      <c r="F2184" t="s">
        <v>891</v>
      </c>
      <c r="G2184" t="s">
        <v>442</v>
      </c>
      <c r="I2184"/>
      <c r="J2184"/>
      <c r="L2184"/>
      <c r="M2184"/>
      <c r="O2184"/>
      <c r="P2184" s="20"/>
      <c r="Q2184" s="20"/>
      <c r="R2184" s="20"/>
      <c r="S2184" s="20"/>
      <c r="T2184" s="20"/>
      <c r="U2184" t="s">
        <v>401</v>
      </c>
    </row>
    <row r="2185" spans="1:21" x14ac:dyDescent="0.25">
      <c r="B2185">
        <v>157</v>
      </c>
      <c r="C2185" t="s">
        <v>1283</v>
      </c>
      <c r="E2185" s="18">
        <v>-497.05</v>
      </c>
      <c r="F2185" t="s">
        <v>891</v>
      </c>
      <c r="G2185" t="s">
        <v>442</v>
      </c>
      <c r="I2185"/>
      <c r="J2185"/>
      <c r="L2185"/>
      <c r="M2185"/>
      <c r="O2185"/>
      <c r="P2185" s="20"/>
      <c r="Q2185" s="20"/>
      <c r="R2185" s="20"/>
      <c r="S2185" s="20"/>
      <c r="T2185" s="20"/>
      <c r="U2185" t="s">
        <v>401</v>
      </c>
    </row>
    <row r="2186" spans="1:21" x14ac:dyDescent="0.25">
      <c r="B2186">
        <v>157</v>
      </c>
      <c r="C2186" t="s">
        <v>3078</v>
      </c>
      <c r="D2186">
        <v>6.63</v>
      </c>
      <c r="E2186" s="18">
        <v>-650</v>
      </c>
      <c r="F2186" t="s">
        <v>889</v>
      </c>
      <c r="G2186" t="s">
        <v>3059</v>
      </c>
      <c r="I2186"/>
      <c r="J2186"/>
      <c r="L2186"/>
      <c r="M2186"/>
      <c r="O2186"/>
      <c r="P2186" s="20"/>
      <c r="Q2186" s="20"/>
      <c r="R2186" s="20"/>
      <c r="S2186" s="20"/>
      <c r="T2186" s="20"/>
      <c r="U2186" t="s">
        <v>401</v>
      </c>
    </row>
    <row r="2187" spans="1:21" x14ac:dyDescent="0.25">
      <c r="B2187">
        <v>157</v>
      </c>
      <c r="C2187" t="s">
        <v>3079</v>
      </c>
      <c r="D2187">
        <v>6.5</v>
      </c>
      <c r="E2187" s="18">
        <v>150</v>
      </c>
      <c r="G2187" t="s">
        <v>3059</v>
      </c>
      <c r="I2187"/>
      <c r="J2187"/>
      <c r="L2187"/>
      <c r="M2187"/>
      <c r="O2187"/>
      <c r="P2187" s="20"/>
      <c r="Q2187" s="20"/>
      <c r="R2187" s="20"/>
      <c r="S2187" s="20"/>
      <c r="T2187" s="20"/>
      <c r="U2187" t="s">
        <v>401</v>
      </c>
    </row>
    <row r="2188" spans="1:21" x14ac:dyDescent="0.25">
      <c r="A2188" s="3">
        <v>42041</v>
      </c>
      <c r="B2188">
        <v>158</v>
      </c>
      <c r="C2188" t="s">
        <v>3080</v>
      </c>
      <c r="E2188" s="18">
        <v>215.5</v>
      </c>
      <c r="F2188" t="s">
        <v>889</v>
      </c>
      <c r="G2188" t="s">
        <v>3081</v>
      </c>
      <c r="I2188"/>
      <c r="J2188"/>
      <c r="L2188"/>
      <c r="M2188"/>
      <c r="O2188"/>
      <c r="P2188" s="20"/>
      <c r="Q2188" s="20"/>
      <c r="R2188" s="20"/>
      <c r="S2188" s="20"/>
      <c r="T2188" s="20"/>
    </row>
    <row r="2189" spans="1:21" x14ac:dyDescent="0.25">
      <c r="A2189" s="3">
        <v>42041</v>
      </c>
      <c r="B2189">
        <v>158</v>
      </c>
      <c r="C2189" s="20" t="s">
        <v>2874</v>
      </c>
      <c r="E2189" s="18">
        <v>-115.06849315068494</v>
      </c>
      <c r="F2189" t="s">
        <v>889</v>
      </c>
      <c r="I2189"/>
      <c r="J2189"/>
      <c r="L2189"/>
      <c r="M2189"/>
      <c r="O2189"/>
      <c r="P2189" s="20"/>
      <c r="Q2189" s="20"/>
      <c r="R2189" s="20" t="s">
        <v>401</v>
      </c>
      <c r="S2189" s="20"/>
      <c r="T2189" s="20"/>
    </row>
    <row r="2190" spans="1:21" x14ac:dyDescent="0.25">
      <c r="A2190" s="3">
        <v>42041</v>
      </c>
      <c r="B2190">
        <v>158</v>
      </c>
      <c r="C2190" t="s">
        <v>3082</v>
      </c>
      <c r="E2190" s="18">
        <v>238</v>
      </c>
      <c r="F2190" t="s">
        <v>889</v>
      </c>
      <c r="G2190" t="s">
        <v>3083</v>
      </c>
      <c r="I2190"/>
      <c r="J2190"/>
      <c r="L2190"/>
      <c r="M2190"/>
      <c r="O2190"/>
      <c r="P2190" s="20"/>
      <c r="Q2190" s="20"/>
      <c r="R2190" s="20"/>
      <c r="S2190" s="20"/>
      <c r="T2190" s="20"/>
    </row>
    <row r="2191" spans="1:21" x14ac:dyDescent="0.25">
      <c r="A2191" s="3">
        <v>41810</v>
      </c>
      <c r="B2191" s="36">
        <v>159</v>
      </c>
      <c r="C2191" t="s">
        <v>3084</v>
      </c>
      <c r="D2191">
        <v>6.5</v>
      </c>
      <c r="E2191" s="18">
        <v>650</v>
      </c>
      <c r="G2191" t="s">
        <v>3085</v>
      </c>
      <c r="H2191" s="18">
        <v>650</v>
      </c>
      <c r="I2191" s="3">
        <v>41810</v>
      </c>
      <c r="J2191"/>
      <c r="L2191"/>
      <c r="M2191"/>
      <c r="N2191" s="20"/>
      <c r="O2191"/>
      <c r="P2191" s="20"/>
      <c r="Q2191" s="20"/>
      <c r="R2191" s="20"/>
      <c r="S2191" s="20"/>
      <c r="T2191" s="20"/>
    </row>
    <row r="2192" spans="1:21" x14ac:dyDescent="0.25">
      <c r="A2192" s="3">
        <v>41880</v>
      </c>
      <c r="B2192" s="36">
        <v>159</v>
      </c>
      <c r="C2192" t="s">
        <v>3086</v>
      </c>
      <c r="D2192">
        <v>6</v>
      </c>
      <c r="E2192" s="18">
        <v>600</v>
      </c>
      <c r="F2192" t="s">
        <v>889</v>
      </c>
      <c r="G2192" t="s">
        <v>3087</v>
      </c>
      <c r="H2192" s="18">
        <v>600</v>
      </c>
      <c r="I2192" s="3">
        <v>41880</v>
      </c>
      <c r="J2192"/>
      <c r="L2192"/>
      <c r="M2192"/>
      <c r="N2192" s="20"/>
      <c r="O2192"/>
      <c r="P2192" s="20"/>
      <c r="Q2192" s="20"/>
      <c r="R2192" s="20"/>
      <c r="S2192" s="20"/>
      <c r="T2192" s="20"/>
    </row>
    <row r="2193" spans="1:21" x14ac:dyDescent="0.25">
      <c r="B2193">
        <v>159</v>
      </c>
      <c r="C2193" t="s">
        <v>3086</v>
      </c>
      <c r="D2193">
        <v>6</v>
      </c>
      <c r="E2193" s="18">
        <v>-600</v>
      </c>
      <c r="F2193" t="s">
        <v>889</v>
      </c>
      <c r="G2193" t="s">
        <v>3087</v>
      </c>
      <c r="I2193"/>
      <c r="J2193"/>
      <c r="L2193"/>
      <c r="M2193"/>
      <c r="O2193"/>
      <c r="P2193" s="20"/>
      <c r="Q2193" s="20"/>
      <c r="R2193" s="20"/>
      <c r="S2193" s="20"/>
      <c r="T2193" s="20"/>
      <c r="U2193" t="s">
        <v>401</v>
      </c>
    </row>
    <row r="2194" spans="1:21" x14ac:dyDescent="0.25">
      <c r="A2194" s="3">
        <v>41803</v>
      </c>
      <c r="B2194" s="36">
        <v>160</v>
      </c>
      <c r="C2194" t="s">
        <v>3088</v>
      </c>
      <c r="D2194">
        <v>3</v>
      </c>
      <c r="E2194" s="18">
        <v>300</v>
      </c>
      <c r="G2194" t="s">
        <v>3089</v>
      </c>
      <c r="H2194" s="18">
        <v>300</v>
      </c>
      <c r="I2194" s="3">
        <v>41803</v>
      </c>
      <c r="J2194"/>
      <c r="L2194"/>
      <c r="M2194"/>
      <c r="N2194" s="20"/>
      <c r="O2194" t="s">
        <v>1169</v>
      </c>
      <c r="P2194" s="20"/>
      <c r="Q2194" s="20"/>
      <c r="R2194" s="20"/>
      <c r="S2194" s="20"/>
      <c r="T2194" s="20"/>
    </row>
    <row r="2195" spans="1:21" x14ac:dyDescent="0.25">
      <c r="A2195" s="3">
        <v>41810</v>
      </c>
      <c r="B2195" s="36">
        <v>160</v>
      </c>
      <c r="C2195" t="s">
        <v>3090</v>
      </c>
      <c r="D2195">
        <v>4.335</v>
      </c>
      <c r="E2195" s="18">
        <v>433.5</v>
      </c>
      <c r="G2195" t="s">
        <v>3091</v>
      </c>
      <c r="H2195" s="18">
        <v>433.5</v>
      </c>
      <c r="I2195" s="3">
        <v>41810</v>
      </c>
      <c r="J2195"/>
      <c r="L2195"/>
      <c r="M2195"/>
      <c r="N2195" s="20"/>
      <c r="O2195" t="s">
        <v>917</v>
      </c>
      <c r="P2195" s="20"/>
      <c r="Q2195" s="20"/>
      <c r="R2195" s="20"/>
      <c r="S2195" s="20"/>
      <c r="T2195" s="20"/>
    </row>
    <row r="2196" spans="1:21" x14ac:dyDescent="0.25">
      <c r="A2196" s="3">
        <v>41855</v>
      </c>
      <c r="B2196" s="36">
        <v>160</v>
      </c>
      <c r="C2196" t="s">
        <v>3092</v>
      </c>
      <c r="D2196">
        <v>3.57</v>
      </c>
      <c r="E2196" s="18">
        <v>357</v>
      </c>
      <c r="F2196" t="s">
        <v>889</v>
      </c>
      <c r="G2196" t="s">
        <v>3093</v>
      </c>
      <c r="H2196" s="18">
        <v>357</v>
      </c>
      <c r="I2196" s="3">
        <v>41855</v>
      </c>
      <c r="J2196"/>
      <c r="L2196"/>
      <c r="M2196"/>
      <c r="N2196" s="20"/>
      <c r="O2196" t="s">
        <v>931</v>
      </c>
      <c r="P2196" s="20"/>
      <c r="Q2196" s="20"/>
      <c r="R2196" s="20"/>
      <c r="S2196" s="20"/>
      <c r="T2196" s="20"/>
    </row>
    <row r="2197" spans="1:21" x14ac:dyDescent="0.25">
      <c r="B2197">
        <v>160</v>
      </c>
      <c r="C2197" t="s">
        <v>3090</v>
      </c>
      <c r="D2197">
        <v>4.335</v>
      </c>
      <c r="E2197" s="18">
        <v>144.5</v>
      </c>
      <c r="F2197" t="s">
        <v>889</v>
      </c>
      <c r="G2197" t="s">
        <v>3091</v>
      </c>
      <c r="I2197"/>
      <c r="J2197"/>
      <c r="L2197"/>
      <c r="M2197"/>
      <c r="O2197"/>
      <c r="P2197" s="20"/>
      <c r="Q2197" s="20"/>
      <c r="R2197" s="20"/>
      <c r="S2197" s="20"/>
      <c r="T2197" s="20"/>
      <c r="U2197" t="s">
        <v>401</v>
      </c>
    </row>
    <row r="2198" spans="1:21" x14ac:dyDescent="0.25">
      <c r="B2198">
        <v>160</v>
      </c>
      <c r="C2198" t="s">
        <v>3090</v>
      </c>
      <c r="E2198" s="18">
        <v>144.5</v>
      </c>
      <c r="G2198" t="s">
        <v>3091</v>
      </c>
      <c r="I2198"/>
      <c r="J2198"/>
      <c r="L2198"/>
      <c r="M2198"/>
      <c r="O2198"/>
      <c r="P2198" s="20"/>
      <c r="Q2198" s="20"/>
      <c r="R2198" s="20"/>
      <c r="S2198" s="20"/>
      <c r="T2198" s="20"/>
      <c r="U2198" t="s">
        <v>401</v>
      </c>
    </row>
    <row r="2199" spans="1:21" x14ac:dyDescent="0.25">
      <c r="B2199">
        <v>160</v>
      </c>
      <c r="C2199" t="s">
        <v>3088</v>
      </c>
      <c r="D2199">
        <v>2.2949999999999999</v>
      </c>
      <c r="E2199" s="18">
        <v>-300</v>
      </c>
      <c r="F2199" t="s">
        <v>889</v>
      </c>
      <c r="G2199" t="s">
        <v>3089</v>
      </c>
      <c r="I2199"/>
      <c r="J2199"/>
      <c r="L2199"/>
      <c r="M2199"/>
      <c r="O2199"/>
      <c r="P2199" s="20"/>
      <c r="Q2199" s="20"/>
      <c r="R2199" s="20"/>
      <c r="S2199" s="20"/>
      <c r="T2199" s="20"/>
      <c r="U2199" t="s">
        <v>401</v>
      </c>
    </row>
    <row r="2200" spans="1:21" x14ac:dyDescent="0.25">
      <c r="A2200" s="3">
        <v>41810</v>
      </c>
      <c r="B2200" s="36">
        <v>161</v>
      </c>
      <c r="C2200" t="s">
        <v>3094</v>
      </c>
      <c r="D2200">
        <v>10</v>
      </c>
      <c r="E2200" s="18">
        <v>1000</v>
      </c>
      <c r="G2200" t="s">
        <v>3095</v>
      </c>
      <c r="H2200" s="18">
        <v>1000</v>
      </c>
      <c r="I2200" s="3">
        <v>41810</v>
      </c>
      <c r="J2200"/>
      <c r="L2200"/>
      <c r="M2200"/>
      <c r="N2200" s="20"/>
      <c r="O2200" t="s">
        <v>1555</v>
      </c>
      <c r="P2200" s="20"/>
      <c r="Q2200" s="20"/>
      <c r="R2200" s="20"/>
      <c r="S2200" s="20"/>
      <c r="T2200" s="20"/>
    </row>
    <row r="2201" spans="1:21" x14ac:dyDescent="0.25">
      <c r="A2201" s="3">
        <v>41810</v>
      </c>
      <c r="B2201" s="36">
        <v>161</v>
      </c>
      <c r="C2201" t="s">
        <v>3096</v>
      </c>
      <c r="D2201">
        <v>9</v>
      </c>
      <c r="E2201" s="18">
        <v>900</v>
      </c>
      <c r="G2201" t="s">
        <v>3097</v>
      </c>
      <c r="H2201" s="18">
        <v>900</v>
      </c>
      <c r="I2201" s="3">
        <v>41810</v>
      </c>
      <c r="J2201"/>
      <c r="L2201"/>
      <c r="M2201"/>
      <c r="N2201" s="20"/>
      <c r="O2201" t="s">
        <v>1555</v>
      </c>
      <c r="P2201" s="20"/>
      <c r="Q2201" s="20"/>
      <c r="R2201" s="20"/>
      <c r="S2201" s="20"/>
      <c r="T2201" s="20"/>
    </row>
    <row r="2202" spans="1:21" x14ac:dyDescent="0.25">
      <c r="A2202" s="3">
        <v>41810</v>
      </c>
      <c r="B2202" s="36">
        <v>161</v>
      </c>
      <c r="C2202" t="s">
        <v>3098</v>
      </c>
      <c r="D2202">
        <v>7.5</v>
      </c>
      <c r="E2202" s="18">
        <v>750</v>
      </c>
      <c r="G2202" t="s">
        <v>3099</v>
      </c>
      <c r="H2202" s="18">
        <v>750</v>
      </c>
      <c r="I2202" s="3">
        <v>41810</v>
      </c>
      <c r="J2202"/>
      <c r="L2202"/>
      <c r="M2202"/>
      <c r="N2202" s="20"/>
      <c r="O2202" t="s">
        <v>1555</v>
      </c>
      <c r="P2202" s="20"/>
      <c r="Q2202" s="20"/>
      <c r="R2202" s="20"/>
      <c r="S2202" s="20"/>
      <c r="T2202" s="20"/>
    </row>
    <row r="2203" spans="1:21" x14ac:dyDescent="0.25">
      <c r="A2203" s="3">
        <v>41999</v>
      </c>
      <c r="B2203" s="36">
        <v>161</v>
      </c>
      <c r="C2203" t="s">
        <v>3096</v>
      </c>
      <c r="D2203">
        <v>5.61</v>
      </c>
      <c r="E2203" s="18">
        <v>561</v>
      </c>
      <c r="F2203" t="s">
        <v>889</v>
      </c>
      <c r="G2203" t="s">
        <v>3097</v>
      </c>
      <c r="H2203" s="18">
        <v>561</v>
      </c>
      <c r="I2203" s="3">
        <v>41999</v>
      </c>
      <c r="J2203"/>
      <c r="L2203"/>
      <c r="M2203"/>
      <c r="N2203" s="20"/>
      <c r="O2203"/>
      <c r="P2203" s="20"/>
      <c r="Q2203" s="20"/>
      <c r="R2203" s="20"/>
      <c r="S2203" s="20"/>
      <c r="T2203" s="20"/>
    </row>
    <row r="2204" spans="1:21" x14ac:dyDescent="0.25">
      <c r="A2204" s="3">
        <v>41999</v>
      </c>
      <c r="B2204" s="36">
        <v>161</v>
      </c>
      <c r="C2204" t="s">
        <v>3096</v>
      </c>
      <c r="D2204">
        <v>9</v>
      </c>
      <c r="E2204" s="18">
        <v>-900</v>
      </c>
      <c r="F2204" t="s">
        <v>889</v>
      </c>
      <c r="G2204" t="s">
        <v>3097</v>
      </c>
      <c r="H2204" s="18" t="s">
        <v>442</v>
      </c>
      <c r="I2204" s="3" t="s">
        <v>442</v>
      </c>
      <c r="J2204"/>
      <c r="L2204"/>
      <c r="M2204"/>
      <c r="N2204" s="20"/>
      <c r="O2204"/>
      <c r="P2204" s="20"/>
      <c r="Q2204" s="20"/>
      <c r="R2204" s="20"/>
      <c r="S2204" s="20"/>
      <c r="T2204" s="20"/>
    </row>
    <row r="2205" spans="1:21" x14ac:dyDescent="0.25">
      <c r="A2205" s="3">
        <v>41999</v>
      </c>
      <c r="B2205" s="36">
        <v>161</v>
      </c>
      <c r="C2205" t="s">
        <v>3098</v>
      </c>
      <c r="D2205">
        <v>5.61</v>
      </c>
      <c r="E2205" s="18">
        <v>372</v>
      </c>
      <c r="F2205" t="s">
        <v>889</v>
      </c>
      <c r="G2205" t="s">
        <v>3099</v>
      </c>
      <c r="H2205" s="18">
        <v>372</v>
      </c>
      <c r="I2205" s="3">
        <v>41999</v>
      </c>
      <c r="J2205"/>
      <c r="L2205"/>
      <c r="M2205"/>
      <c r="N2205" s="20"/>
      <c r="O2205" t="s">
        <v>959</v>
      </c>
      <c r="P2205" s="20"/>
      <c r="Q2205" s="20"/>
      <c r="R2205" s="20"/>
      <c r="S2205" s="20"/>
      <c r="T2205" s="20"/>
    </row>
    <row r="2206" spans="1:21" x14ac:dyDescent="0.25">
      <c r="A2206" s="3">
        <v>42019</v>
      </c>
      <c r="B2206" s="36">
        <v>161</v>
      </c>
      <c r="C2206" t="s">
        <v>3098</v>
      </c>
      <c r="D2206" s="55">
        <v>5.0999999999999996</v>
      </c>
      <c r="E2206" s="18">
        <v>-102</v>
      </c>
      <c r="F2206" t="s">
        <v>889</v>
      </c>
      <c r="G2206" t="s">
        <v>3099</v>
      </c>
      <c r="H2206" s="18" t="s">
        <v>442</v>
      </c>
      <c r="I2206" s="3" t="s">
        <v>442</v>
      </c>
      <c r="J2206"/>
      <c r="L2206"/>
      <c r="M2206"/>
      <c r="N2206" s="20"/>
      <c r="O2206"/>
      <c r="P2206" s="20"/>
      <c r="Q2206" s="20"/>
      <c r="R2206" s="20"/>
      <c r="S2206" s="20"/>
      <c r="T2206" s="20"/>
    </row>
    <row r="2207" spans="1:21" x14ac:dyDescent="0.25">
      <c r="A2207" s="3">
        <v>42019</v>
      </c>
      <c r="B2207" s="36">
        <v>161</v>
      </c>
      <c r="C2207" t="s">
        <v>3100</v>
      </c>
      <c r="D2207" s="55">
        <v>5.61</v>
      </c>
      <c r="E2207" s="18">
        <v>561</v>
      </c>
      <c r="F2207" t="s">
        <v>889</v>
      </c>
      <c r="G2207" t="s">
        <v>3097</v>
      </c>
      <c r="H2207" s="18">
        <v>561</v>
      </c>
      <c r="I2207" s="3">
        <v>42019</v>
      </c>
      <c r="J2207"/>
      <c r="L2207"/>
      <c r="M2207"/>
      <c r="N2207" s="20"/>
      <c r="O2207"/>
      <c r="P2207" s="20"/>
      <c r="Q2207" s="20"/>
      <c r="R2207" s="20"/>
      <c r="S2207" s="20"/>
      <c r="T2207" s="20"/>
    </row>
    <row r="2208" spans="1:21" x14ac:dyDescent="0.25">
      <c r="A2208" s="3">
        <v>41803</v>
      </c>
      <c r="B2208" s="36">
        <v>163</v>
      </c>
      <c r="C2208" t="s">
        <v>3101</v>
      </c>
      <c r="D2208">
        <v>5.25</v>
      </c>
      <c r="E2208" s="18">
        <v>525</v>
      </c>
      <c r="G2208" t="s">
        <v>3102</v>
      </c>
      <c r="H2208" s="18">
        <v>525</v>
      </c>
      <c r="I2208" s="3">
        <v>41803</v>
      </c>
      <c r="J2208"/>
      <c r="L2208"/>
      <c r="M2208"/>
      <c r="N2208" s="20"/>
      <c r="O2208" t="s">
        <v>1169</v>
      </c>
      <c r="P2208" s="20"/>
      <c r="Q2208" s="20"/>
      <c r="R2208" s="20"/>
      <c r="S2208" s="20"/>
      <c r="T2208" s="20"/>
    </row>
    <row r="2209" spans="1:21" x14ac:dyDescent="0.25">
      <c r="A2209" s="3">
        <v>41810</v>
      </c>
      <c r="B2209" s="36">
        <v>163</v>
      </c>
      <c r="C2209" t="s">
        <v>3103</v>
      </c>
      <c r="D2209">
        <v>4.75</v>
      </c>
      <c r="E2209" s="18">
        <v>475</v>
      </c>
      <c r="G2209" t="s">
        <v>3104</v>
      </c>
      <c r="H2209" s="18">
        <v>475</v>
      </c>
      <c r="I2209" s="3">
        <v>41810</v>
      </c>
      <c r="J2209"/>
      <c r="L2209"/>
      <c r="M2209"/>
      <c r="N2209" s="20"/>
      <c r="O2209" t="s">
        <v>2785</v>
      </c>
      <c r="P2209" s="20"/>
      <c r="Q2209" s="20"/>
      <c r="R2209" s="20"/>
      <c r="S2209" s="20"/>
      <c r="T2209" s="20"/>
    </row>
    <row r="2210" spans="1:21" x14ac:dyDescent="0.25">
      <c r="B2210">
        <v>163</v>
      </c>
      <c r="C2210" t="s">
        <v>3101</v>
      </c>
      <c r="D2210">
        <v>4.59</v>
      </c>
      <c r="E2210" s="18">
        <v>-525</v>
      </c>
      <c r="F2210" t="s">
        <v>889</v>
      </c>
      <c r="G2210" t="s">
        <v>3102</v>
      </c>
      <c r="I2210"/>
      <c r="J2210"/>
      <c r="L2210"/>
      <c r="M2210"/>
      <c r="O2210"/>
      <c r="P2210" s="20"/>
      <c r="Q2210" s="20"/>
      <c r="R2210" s="20"/>
      <c r="S2210" s="20"/>
      <c r="T2210" s="20"/>
      <c r="U2210" t="s">
        <v>401</v>
      </c>
    </row>
    <row r="2211" spans="1:21" x14ac:dyDescent="0.25">
      <c r="B2211">
        <v>163</v>
      </c>
      <c r="C2211" t="s">
        <v>3103</v>
      </c>
      <c r="D2211">
        <v>6.12</v>
      </c>
      <c r="E2211" s="18">
        <v>249.66666666666666</v>
      </c>
      <c r="F2211" t="s">
        <v>889</v>
      </c>
      <c r="G2211" t="s">
        <v>3104</v>
      </c>
      <c r="I2211"/>
      <c r="J2211"/>
      <c r="L2211"/>
      <c r="M2211"/>
      <c r="O2211"/>
      <c r="P2211" s="20"/>
      <c r="Q2211" s="20"/>
      <c r="R2211" s="20"/>
      <c r="S2211" s="20"/>
      <c r="T2211" s="20"/>
      <c r="U2211" t="s">
        <v>401</v>
      </c>
    </row>
    <row r="2212" spans="1:21" x14ac:dyDescent="0.25">
      <c r="B2212">
        <v>163</v>
      </c>
      <c r="C2212" t="s">
        <v>3103</v>
      </c>
      <c r="E2212" s="18">
        <v>249.66666666666666</v>
      </c>
      <c r="G2212" t="s">
        <v>3104</v>
      </c>
      <c r="I2212"/>
      <c r="J2212"/>
      <c r="L2212"/>
      <c r="M2212"/>
      <c r="O2212"/>
      <c r="P2212" s="20"/>
      <c r="Q2212" s="20"/>
      <c r="R2212" s="20"/>
      <c r="S2212" s="20"/>
      <c r="T2212" s="20"/>
      <c r="U2212" t="s">
        <v>401</v>
      </c>
    </row>
    <row r="2213" spans="1:21" x14ac:dyDescent="0.25">
      <c r="A2213" s="3">
        <v>41806</v>
      </c>
      <c r="B2213" s="36">
        <v>164</v>
      </c>
      <c r="C2213" t="s">
        <v>3105</v>
      </c>
      <c r="D2213">
        <v>5.0999999999999996</v>
      </c>
      <c r="E2213" s="18">
        <v>561</v>
      </c>
      <c r="G2213" t="s">
        <v>3106</v>
      </c>
      <c r="H2213" s="18">
        <v>561</v>
      </c>
      <c r="I2213" s="3">
        <v>41806</v>
      </c>
      <c r="J2213"/>
      <c r="L2213"/>
      <c r="M2213"/>
      <c r="N2213" s="20"/>
      <c r="O2213"/>
      <c r="P2213" s="20"/>
      <c r="Q2213" s="20"/>
      <c r="R2213" s="20"/>
      <c r="S2213" s="20"/>
      <c r="T2213" s="20"/>
    </row>
    <row r="2214" spans="1:21" x14ac:dyDescent="0.25">
      <c r="A2214" s="3">
        <v>41806</v>
      </c>
      <c r="B2214" s="36">
        <v>164</v>
      </c>
      <c r="C2214" t="s">
        <v>3107</v>
      </c>
      <c r="D2214">
        <v>3.8250000000000002</v>
      </c>
      <c r="E2214" s="18">
        <v>525</v>
      </c>
      <c r="G2214" t="s">
        <v>3108</v>
      </c>
      <c r="H2214" s="18">
        <v>525</v>
      </c>
      <c r="I2214" s="3">
        <v>41806</v>
      </c>
      <c r="J2214"/>
      <c r="L2214"/>
      <c r="M2214"/>
      <c r="N2214" s="20"/>
      <c r="O2214"/>
      <c r="P2214" s="20"/>
      <c r="Q2214" s="20"/>
      <c r="R2214" s="20"/>
      <c r="S2214" s="20"/>
      <c r="T2214" s="20"/>
    </row>
    <row r="2215" spans="1:21" x14ac:dyDescent="0.25">
      <c r="A2215" s="3">
        <v>41810</v>
      </c>
      <c r="B2215" s="36">
        <v>164</v>
      </c>
      <c r="C2215" t="s">
        <v>3109</v>
      </c>
      <c r="D2215">
        <v>7.75</v>
      </c>
      <c r="E2215" s="18">
        <v>775</v>
      </c>
      <c r="G2215" t="s">
        <v>3110</v>
      </c>
      <c r="H2215" s="18">
        <v>775</v>
      </c>
      <c r="I2215" s="3">
        <v>41810</v>
      </c>
      <c r="J2215"/>
      <c r="L2215"/>
      <c r="M2215"/>
      <c r="N2215" s="20"/>
      <c r="O2215" t="s">
        <v>1169</v>
      </c>
      <c r="P2215" s="20"/>
      <c r="Q2215" s="20"/>
      <c r="R2215" s="20"/>
      <c r="S2215" s="20"/>
      <c r="T2215" s="20"/>
    </row>
    <row r="2216" spans="1:21" x14ac:dyDescent="0.25">
      <c r="A2216" s="3">
        <v>41845</v>
      </c>
      <c r="B2216" s="36">
        <v>164</v>
      </c>
      <c r="C2216" t="s">
        <v>3105</v>
      </c>
      <c r="D2216">
        <v>4.59</v>
      </c>
      <c r="E2216" s="18">
        <v>459</v>
      </c>
      <c r="G2216" t="s">
        <v>3111</v>
      </c>
      <c r="H2216" s="18">
        <v>459</v>
      </c>
      <c r="I2216" s="3">
        <v>41845</v>
      </c>
      <c r="J2216"/>
      <c r="L2216"/>
      <c r="M2216"/>
      <c r="N2216" s="20"/>
      <c r="O2216"/>
      <c r="P2216" s="20"/>
      <c r="Q2216" s="20"/>
      <c r="R2216" s="20"/>
      <c r="S2216" s="20"/>
      <c r="T2216" s="20"/>
    </row>
    <row r="2217" spans="1:21" x14ac:dyDescent="0.25">
      <c r="B2217">
        <v>164</v>
      </c>
      <c r="C2217" t="s">
        <v>3109</v>
      </c>
      <c r="D2217">
        <v>7.75</v>
      </c>
      <c r="E2217" s="18">
        <v>-775</v>
      </c>
      <c r="F2217" t="s">
        <v>889</v>
      </c>
      <c r="G2217" t="s">
        <v>3110</v>
      </c>
      <c r="I2217"/>
      <c r="J2217"/>
      <c r="L2217"/>
      <c r="M2217"/>
      <c r="O2217"/>
      <c r="P2217" s="20"/>
      <c r="Q2217" s="20"/>
      <c r="R2217" s="20"/>
      <c r="S2217" s="20"/>
      <c r="T2217" s="20"/>
      <c r="U2217" t="s">
        <v>401</v>
      </c>
    </row>
    <row r="2218" spans="1:21" x14ac:dyDescent="0.25">
      <c r="B2218">
        <v>164</v>
      </c>
      <c r="C2218" t="s">
        <v>3105</v>
      </c>
      <c r="D2218">
        <v>5.0999999999999996</v>
      </c>
      <c r="E2218" s="18">
        <v>-561</v>
      </c>
      <c r="F2218" t="s">
        <v>889</v>
      </c>
      <c r="G2218" t="s">
        <v>3106</v>
      </c>
      <c r="I2218"/>
      <c r="J2218"/>
      <c r="L2218"/>
      <c r="M2218"/>
      <c r="O2218"/>
      <c r="P2218" s="20"/>
      <c r="Q2218" s="20"/>
      <c r="R2218" s="20"/>
      <c r="S2218" s="20"/>
      <c r="T2218" s="20"/>
      <c r="U2218" t="s">
        <v>401</v>
      </c>
    </row>
    <row r="2219" spans="1:21" x14ac:dyDescent="0.25">
      <c r="B2219">
        <v>164</v>
      </c>
      <c r="C2219" t="s">
        <v>3105</v>
      </c>
      <c r="D2219">
        <v>4.59</v>
      </c>
      <c r="E2219" s="18">
        <v>-459</v>
      </c>
      <c r="F2219" t="s">
        <v>889</v>
      </c>
      <c r="G2219" t="s">
        <v>3111</v>
      </c>
      <c r="I2219"/>
      <c r="J2219"/>
      <c r="L2219"/>
      <c r="M2219"/>
      <c r="O2219"/>
      <c r="P2219" s="20"/>
      <c r="Q2219" s="20"/>
      <c r="R2219" s="20"/>
      <c r="S2219" s="20"/>
      <c r="T2219" s="20"/>
      <c r="U2219" t="s">
        <v>401</v>
      </c>
    </row>
    <row r="2220" spans="1:21" x14ac:dyDescent="0.25">
      <c r="B2220">
        <v>164</v>
      </c>
      <c r="C2220" t="s">
        <v>3107</v>
      </c>
      <c r="D2220">
        <v>3.8250000000000002</v>
      </c>
      <c r="E2220" s="18">
        <v>80</v>
      </c>
      <c r="F2220" t="s">
        <v>889</v>
      </c>
      <c r="G2220" t="s">
        <v>3108</v>
      </c>
      <c r="I2220"/>
      <c r="J2220"/>
      <c r="L2220"/>
      <c r="M2220"/>
      <c r="O2220"/>
      <c r="P2220" s="20"/>
      <c r="Q2220" s="20"/>
      <c r="R2220" s="20"/>
      <c r="S2220" s="20"/>
      <c r="T2220" s="20"/>
      <c r="U2220" t="s">
        <v>401</v>
      </c>
    </row>
    <row r="2221" spans="1:21" x14ac:dyDescent="0.25">
      <c r="B2221">
        <v>164</v>
      </c>
      <c r="C2221" t="s">
        <v>3107</v>
      </c>
      <c r="D2221">
        <v>3.8250000000000002</v>
      </c>
      <c r="E2221" s="18">
        <v>80</v>
      </c>
      <c r="F2221" t="s">
        <v>889</v>
      </c>
      <c r="G2221" t="s">
        <v>3108</v>
      </c>
      <c r="I2221"/>
      <c r="J2221"/>
      <c r="L2221"/>
      <c r="M2221"/>
      <c r="O2221"/>
      <c r="P2221" s="20"/>
      <c r="Q2221" s="20"/>
      <c r="R2221" s="20"/>
      <c r="S2221" s="20"/>
      <c r="T2221" s="20"/>
      <c r="U2221" t="s">
        <v>401</v>
      </c>
    </row>
    <row r="2222" spans="1:21" x14ac:dyDescent="0.25">
      <c r="A2222" s="3">
        <v>41824</v>
      </c>
      <c r="B2222" s="36">
        <v>167</v>
      </c>
      <c r="C2222" t="s">
        <v>3112</v>
      </c>
      <c r="D2222">
        <v>6.12</v>
      </c>
      <c r="E2222" s="18">
        <v>612</v>
      </c>
      <c r="G2222" t="s">
        <v>3113</v>
      </c>
      <c r="H2222" s="18">
        <v>612</v>
      </c>
      <c r="I2222" s="3">
        <v>41824</v>
      </c>
      <c r="J2222"/>
      <c r="L2222"/>
      <c r="M2222"/>
      <c r="N2222" s="20"/>
      <c r="O2222" t="s">
        <v>3038</v>
      </c>
      <c r="P2222" s="20"/>
      <c r="Q2222" s="20"/>
      <c r="R2222" s="20"/>
      <c r="S2222" s="20"/>
      <c r="T2222" s="20"/>
    </row>
    <row r="2223" spans="1:21" x14ac:dyDescent="0.25">
      <c r="B2223">
        <v>167</v>
      </c>
      <c r="C2223" t="s">
        <v>3112</v>
      </c>
      <c r="D2223">
        <v>6.12</v>
      </c>
      <c r="E2223" s="18">
        <v>612</v>
      </c>
      <c r="F2223" t="s">
        <v>889</v>
      </c>
      <c r="G2223" t="s">
        <v>3113</v>
      </c>
      <c r="I2223"/>
      <c r="J2223"/>
      <c r="L2223"/>
      <c r="M2223"/>
      <c r="O2223"/>
      <c r="P2223" s="20"/>
      <c r="Q2223" s="20"/>
      <c r="R2223" s="20"/>
      <c r="S2223" s="20"/>
      <c r="T2223" s="20"/>
      <c r="U2223" t="s">
        <v>401</v>
      </c>
    </row>
    <row r="2224" spans="1:21" x14ac:dyDescent="0.25">
      <c r="A2224" s="3">
        <v>41824</v>
      </c>
      <c r="B2224" s="36">
        <v>168</v>
      </c>
      <c r="C2224" t="s">
        <v>3114</v>
      </c>
      <c r="D2224">
        <v>2.2949999999999999</v>
      </c>
      <c r="E2224" s="18">
        <v>229.5</v>
      </c>
      <c r="G2224" t="s">
        <v>3115</v>
      </c>
      <c r="H2224" s="18">
        <v>229.5</v>
      </c>
      <c r="I2224" s="3">
        <v>41824</v>
      </c>
      <c r="J2224"/>
      <c r="L2224"/>
      <c r="M2224"/>
      <c r="N2224" s="20"/>
      <c r="O2224" t="s">
        <v>3038</v>
      </c>
      <c r="P2224" s="20"/>
      <c r="Q2224" s="20"/>
      <c r="R2224" s="20"/>
      <c r="S2224" s="20"/>
      <c r="T2224" s="20"/>
    </row>
    <row r="2225" spans="1:21" x14ac:dyDescent="0.25">
      <c r="A2225" s="3">
        <v>41824</v>
      </c>
      <c r="B2225" s="36">
        <v>168</v>
      </c>
      <c r="C2225" t="s">
        <v>3116</v>
      </c>
      <c r="D2225">
        <v>5.0999999999999996</v>
      </c>
      <c r="E2225" s="18">
        <v>509.99999999999994</v>
      </c>
      <c r="G2225" t="s">
        <v>3117</v>
      </c>
      <c r="H2225" s="18">
        <v>509.99999999999994</v>
      </c>
      <c r="I2225" s="3">
        <v>41824</v>
      </c>
      <c r="J2225"/>
      <c r="L2225"/>
      <c r="M2225"/>
      <c r="N2225" s="20"/>
      <c r="O2225" t="s">
        <v>3038</v>
      </c>
      <c r="P2225" s="20"/>
      <c r="Q2225" s="20"/>
      <c r="R2225" s="20"/>
      <c r="S2225" s="20"/>
      <c r="T2225" s="20"/>
    </row>
    <row r="2226" spans="1:21" x14ac:dyDescent="0.25">
      <c r="B2226">
        <v>168</v>
      </c>
      <c r="C2226" t="s">
        <v>3114</v>
      </c>
      <c r="E2226" s="18">
        <v>91.799999999999955</v>
      </c>
      <c r="F2226" t="s">
        <v>889</v>
      </c>
      <c r="G2226" t="s">
        <v>3115</v>
      </c>
      <c r="I2226"/>
      <c r="J2226"/>
      <c r="L2226"/>
      <c r="M2226"/>
      <c r="O2226"/>
      <c r="P2226" s="20"/>
      <c r="Q2226" s="20"/>
      <c r="R2226" s="20"/>
      <c r="S2226" s="20"/>
      <c r="T2226" s="20"/>
      <c r="U2226" t="s">
        <v>401</v>
      </c>
    </row>
    <row r="2227" spans="1:21" x14ac:dyDescent="0.25">
      <c r="B2227">
        <v>168</v>
      </c>
      <c r="C2227" t="s">
        <v>3116</v>
      </c>
      <c r="D2227">
        <v>5.0999999999999996</v>
      </c>
      <c r="E2227" s="18">
        <v>-510</v>
      </c>
      <c r="F2227" t="s">
        <v>889</v>
      </c>
      <c r="G2227" t="s">
        <v>3117</v>
      </c>
      <c r="I2227"/>
      <c r="J2227"/>
      <c r="L2227"/>
      <c r="M2227"/>
      <c r="O2227"/>
      <c r="P2227" s="20"/>
      <c r="Q2227" s="20"/>
      <c r="R2227" s="20"/>
      <c r="S2227" s="20"/>
      <c r="T2227" s="20"/>
      <c r="U2227" t="s">
        <v>401</v>
      </c>
    </row>
    <row r="2228" spans="1:21" x14ac:dyDescent="0.25">
      <c r="B2228">
        <v>171</v>
      </c>
      <c r="C2228" t="s">
        <v>3118</v>
      </c>
      <c r="D2228">
        <v>4.75</v>
      </c>
      <c r="E2228" s="18">
        <v>475</v>
      </c>
      <c r="F2228" t="s">
        <v>889</v>
      </c>
      <c r="G2228" t="s">
        <v>3119</v>
      </c>
      <c r="I2228"/>
      <c r="J2228"/>
      <c r="L2228"/>
      <c r="M2228"/>
      <c r="O2228"/>
      <c r="P2228" s="20"/>
      <c r="Q2228" s="20"/>
      <c r="R2228" s="20"/>
      <c r="S2228" s="20"/>
      <c r="T2228" s="20"/>
      <c r="U2228" t="s">
        <v>401</v>
      </c>
    </row>
    <row r="2229" spans="1:21" x14ac:dyDescent="0.25">
      <c r="B2229">
        <v>171</v>
      </c>
      <c r="C2229" t="s">
        <v>3118</v>
      </c>
      <c r="D2229">
        <v>4.75</v>
      </c>
      <c r="E2229" s="18">
        <v>-475</v>
      </c>
      <c r="F2229" t="s">
        <v>889</v>
      </c>
      <c r="G2229" t="s">
        <v>3119</v>
      </c>
      <c r="I2229"/>
      <c r="J2229"/>
      <c r="L2229"/>
      <c r="M2229"/>
      <c r="O2229"/>
      <c r="P2229" s="20"/>
      <c r="Q2229" s="20"/>
      <c r="R2229" s="20"/>
      <c r="S2229" s="20"/>
      <c r="T2229" s="20"/>
      <c r="U2229" t="s">
        <v>401</v>
      </c>
    </row>
    <row r="2230" spans="1:21" x14ac:dyDescent="0.25">
      <c r="A2230" s="3">
        <v>41789</v>
      </c>
      <c r="B2230" s="36">
        <v>175</v>
      </c>
      <c r="C2230" t="s">
        <v>3120</v>
      </c>
      <c r="D2230">
        <v>9</v>
      </c>
      <c r="E2230" s="18">
        <v>900</v>
      </c>
      <c r="F2230" t="s">
        <v>889</v>
      </c>
      <c r="G2230" t="s">
        <v>3121</v>
      </c>
      <c r="H2230" s="18">
        <v>900</v>
      </c>
      <c r="I2230" s="3">
        <v>41789</v>
      </c>
      <c r="J2230"/>
      <c r="L2230"/>
      <c r="M2230"/>
      <c r="N2230" s="20"/>
      <c r="O2230"/>
      <c r="P2230" s="20"/>
      <c r="Q2230" s="20"/>
      <c r="R2230" s="20"/>
      <c r="S2230" s="20"/>
      <c r="T2230" s="20"/>
    </row>
    <row r="2231" spans="1:21" x14ac:dyDescent="0.25">
      <c r="A2231" s="3">
        <v>41796</v>
      </c>
      <c r="B2231" s="36">
        <v>175</v>
      </c>
      <c r="C2231" t="s">
        <v>3122</v>
      </c>
      <c r="D2231">
        <v>5</v>
      </c>
      <c r="E2231" s="18">
        <v>500</v>
      </c>
      <c r="F2231" t="s">
        <v>889</v>
      </c>
      <c r="G2231" t="s">
        <v>3123</v>
      </c>
      <c r="H2231" s="18">
        <v>500</v>
      </c>
      <c r="I2231" s="3">
        <v>41796</v>
      </c>
      <c r="J2231"/>
      <c r="L2231"/>
      <c r="M2231"/>
      <c r="N2231" s="20"/>
      <c r="O2231" t="s">
        <v>1555</v>
      </c>
      <c r="P2231" s="20"/>
      <c r="Q2231" s="20"/>
      <c r="R2231" s="20"/>
      <c r="S2231" s="20"/>
      <c r="T2231" s="20"/>
    </row>
    <row r="2232" spans="1:21" x14ac:dyDescent="0.25">
      <c r="A2232" s="3">
        <v>41796</v>
      </c>
      <c r="B2232" s="36">
        <v>175</v>
      </c>
      <c r="C2232" t="s">
        <v>3124</v>
      </c>
      <c r="D2232">
        <v>5.5</v>
      </c>
      <c r="E2232" s="18">
        <v>550</v>
      </c>
      <c r="F2232" t="s">
        <v>889</v>
      </c>
      <c r="G2232" t="s">
        <v>3125</v>
      </c>
      <c r="H2232" s="18">
        <v>550</v>
      </c>
      <c r="I2232" s="3">
        <v>41796</v>
      </c>
      <c r="J2232"/>
      <c r="L2232"/>
      <c r="M2232"/>
      <c r="N2232" s="20"/>
      <c r="O2232" t="s">
        <v>1555</v>
      </c>
      <c r="P2232" s="20"/>
      <c r="Q2232" s="20"/>
      <c r="R2232" s="20"/>
      <c r="S2232" s="20"/>
      <c r="T2232" s="20"/>
    </row>
    <row r="2233" spans="1:21" x14ac:dyDescent="0.25">
      <c r="A2233" s="3">
        <v>41817</v>
      </c>
      <c r="B2233" s="36">
        <v>175</v>
      </c>
      <c r="C2233" t="s">
        <v>3122</v>
      </c>
      <c r="D2233">
        <v>5</v>
      </c>
      <c r="E2233" s="18">
        <v>125</v>
      </c>
      <c r="F2233" t="s">
        <v>889</v>
      </c>
      <c r="G2233" t="s">
        <v>3123</v>
      </c>
      <c r="H2233" s="18">
        <v>125</v>
      </c>
      <c r="I2233" s="3">
        <v>41817</v>
      </c>
      <c r="J2233"/>
      <c r="L2233"/>
      <c r="M2233"/>
      <c r="N2233" s="20"/>
      <c r="O2233" t="s">
        <v>3126</v>
      </c>
      <c r="P2233" s="20"/>
      <c r="Q2233" s="20"/>
      <c r="R2233" s="20"/>
      <c r="S2233" s="20"/>
      <c r="T2233" s="20"/>
    </row>
    <row r="2234" spans="1:21" x14ac:dyDescent="0.25">
      <c r="A2234" s="3">
        <v>41817</v>
      </c>
      <c r="B2234" s="36">
        <v>175</v>
      </c>
      <c r="C2234" t="s">
        <v>3120</v>
      </c>
      <c r="D2234">
        <v>9</v>
      </c>
      <c r="E2234" s="18">
        <v>-900</v>
      </c>
      <c r="F2234" t="s">
        <v>889</v>
      </c>
      <c r="G2234" t="s">
        <v>3121</v>
      </c>
      <c r="H2234" s="18" t="s">
        <v>442</v>
      </c>
      <c r="I2234" s="3" t="s">
        <v>442</v>
      </c>
      <c r="J2234"/>
      <c r="L2234"/>
      <c r="M2234"/>
      <c r="N2234" s="20"/>
      <c r="O2234" t="s">
        <v>995</v>
      </c>
      <c r="P2234" s="20"/>
      <c r="Q2234" s="20"/>
      <c r="R2234" s="20"/>
      <c r="S2234" s="20"/>
      <c r="T2234" s="20"/>
    </row>
    <row r="2235" spans="1:21" x14ac:dyDescent="0.25">
      <c r="A2235" s="3">
        <v>41817</v>
      </c>
      <c r="B2235" s="36">
        <v>175</v>
      </c>
      <c r="C2235" t="s">
        <v>3124</v>
      </c>
      <c r="D2235">
        <v>5.5</v>
      </c>
      <c r="E2235" s="18">
        <v>137.5</v>
      </c>
      <c r="F2235" t="s">
        <v>889</v>
      </c>
      <c r="G2235" t="s">
        <v>3125</v>
      </c>
      <c r="H2235" s="18">
        <v>137.5</v>
      </c>
      <c r="I2235" s="3">
        <v>41817</v>
      </c>
      <c r="J2235"/>
      <c r="L2235"/>
      <c r="M2235"/>
      <c r="N2235" s="20"/>
      <c r="O2235" t="s">
        <v>3126</v>
      </c>
      <c r="P2235" s="20"/>
      <c r="Q2235" s="20"/>
      <c r="R2235" s="20"/>
      <c r="S2235" s="20"/>
      <c r="T2235" s="20"/>
    </row>
    <row r="2236" spans="1:21" x14ac:dyDescent="0.25">
      <c r="A2236" s="3">
        <v>41817</v>
      </c>
      <c r="B2236" s="36">
        <v>175</v>
      </c>
      <c r="C2236" t="s">
        <v>3127</v>
      </c>
      <c r="D2236">
        <v>6.25</v>
      </c>
      <c r="E2236" s="18">
        <v>781.25</v>
      </c>
      <c r="F2236" t="s">
        <v>889</v>
      </c>
      <c r="G2236" t="s">
        <v>3128</v>
      </c>
      <c r="H2236" s="18">
        <v>781.25</v>
      </c>
      <c r="I2236" s="3">
        <v>41817</v>
      </c>
      <c r="J2236"/>
      <c r="L2236"/>
      <c r="M2236"/>
      <c r="N2236" s="20"/>
      <c r="O2236" t="s">
        <v>1169</v>
      </c>
      <c r="P2236" s="20"/>
      <c r="Q2236" s="20"/>
      <c r="R2236" s="20"/>
      <c r="S2236" s="20"/>
      <c r="T2236" s="20"/>
    </row>
    <row r="2237" spans="1:21" x14ac:dyDescent="0.25">
      <c r="A2237" s="46">
        <v>41828</v>
      </c>
      <c r="B2237" s="36">
        <v>175</v>
      </c>
      <c r="C2237" s="47" t="s">
        <v>1313</v>
      </c>
      <c r="D2237" s="47"/>
      <c r="E2237" s="48">
        <v>1950</v>
      </c>
      <c r="F2237" s="47" t="s">
        <v>889</v>
      </c>
      <c r="G2237" s="20"/>
      <c r="H2237" s="18" t="s">
        <v>442</v>
      </c>
      <c r="I2237" s="3" t="s">
        <v>442</v>
      </c>
      <c r="J2237" s="20"/>
      <c r="K2237" s="20"/>
      <c r="L2237" s="20"/>
      <c r="M2237" s="20"/>
      <c r="N2237" s="20"/>
      <c r="O2237" s="47"/>
      <c r="P2237" s="20"/>
      <c r="Q2237" s="20"/>
      <c r="R2237" s="20"/>
      <c r="S2237" s="20" t="s">
        <v>401</v>
      </c>
      <c r="T2237" s="20"/>
    </row>
    <row r="2238" spans="1:21" x14ac:dyDescent="0.25">
      <c r="A2238" s="3">
        <v>41831</v>
      </c>
      <c r="B2238" s="36">
        <v>175</v>
      </c>
      <c r="C2238" t="s">
        <v>3129</v>
      </c>
      <c r="D2238">
        <v>12.5</v>
      </c>
      <c r="E2238" s="18">
        <v>1250</v>
      </c>
      <c r="F2238" t="s">
        <v>889</v>
      </c>
      <c r="G2238" s="20" t="s">
        <v>1086</v>
      </c>
      <c r="H2238" s="18">
        <v>1250</v>
      </c>
      <c r="I2238" s="3">
        <v>41831</v>
      </c>
      <c r="J2238" s="20"/>
      <c r="K2238" s="20"/>
      <c r="L2238" s="20"/>
      <c r="M2238" s="20"/>
      <c r="N2238" s="20"/>
      <c r="O2238" t="s">
        <v>1087</v>
      </c>
      <c r="P2238" s="20"/>
      <c r="Q2238" s="20"/>
      <c r="R2238" s="20"/>
      <c r="S2238" s="20"/>
      <c r="T2238" s="20"/>
    </row>
    <row r="2239" spans="1:21" x14ac:dyDescent="0.25">
      <c r="A2239" s="3">
        <v>41831</v>
      </c>
      <c r="B2239" s="36">
        <v>175</v>
      </c>
      <c r="C2239" t="s">
        <v>1485</v>
      </c>
      <c r="E2239" s="18">
        <v>-137.3185484</v>
      </c>
      <c r="F2239" t="s">
        <v>889</v>
      </c>
      <c r="G2239" t="s">
        <v>442</v>
      </c>
      <c r="H2239" s="18" t="s">
        <v>442</v>
      </c>
      <c r="I2239" s="3" t="s">
        <v>442</v>
      </c>
      <c r="J2239" s="20"/>
      <c r="K2239" s="20"/>
      <c r="L2239" s="20"/>
      <c r="M2239" s="20"/>
      <c r="N2239" s="20"/>
      <c r="O2239" t="s">
        <v>1090</v>
      </c>
      <c r="P2239" s="20"/>
      <c r="Q2239" s="20" t="s">
        <v>401</v>
      </c>
      <c r="R2239" s="20"/>
      <c r="S2239" s="20"/>
      <c r="T2239" s="20"/>
    </row>
    <row r="2240" spans="1:21" x14ac:dyDescent="0.25">
      <c r="A2240" s="3">
        <v>41831</v>
      </c>
      <c r="B2240" s="36">
        <v>175</v>
      </c>
      <c r="C2240" t="s">
        <v>1486</v>
      </c>
      <c r="E2240" s="18">
        <v>-182.4375</v>
      </c>
      <c r="F2240" t="s">
        <v>889</v>
      </c>
      <c r="G2240" t="s">
        <v>442</v>
      </c>
      <c r="H2240" s="18" t="s">
        <v>442</v>
      </c>
      <c r="I2240" s="3" t="s">
        <v>442</v>
      </c>
      <c r="J2240" s="20"/>
      <c r="K2240" s="20"/>
      <c r="L2240" s="20"/>
      <c r="M2240" s="20"/>
      <c r="N2240" s="20"/>
      <c r="O2240" t="s">
        <v>1487</v>
      </c>
      <c r="P2240" s="20"/>
      <c r="Q2240" s="20" t="s">
        <v>401</v>
      </c>
      <c r="R2240" s="20"/>
      <c r="S2240" s="20"/>
      <c r="T2240" s="20"/>
    </row>
    <row r="2241" spans="1:21" x14ac:dyDescent="0.25">
      <c r="A2241" s="3">
        <v>41845</v>
      </c>
      <c r="B2241" s="36">
        <v>175</v>
      </c>
      <c r="C2241" t="s">
        <v>3122</v>
      </c>
      <c r="D2241">
        <v>5</v>
      </c>
      <c r="E2241" s="18">
        <v>-625</v>
      </c>
      <c r="F2241" t="s">
        <v>889</v>
      </c>
      <c r="G2241" t="s">
        <v>3123</v>
      </c>
      <c r="H2241" s="18" t="s">
        <v>442</v>
      </c>
      <c r="I2241" s="3" t="s">
        <v>442</v>
      </c>
      <c r="J2241" s="20"/>
      <c r="K2241" s="20"/>
      <c r="L2241" s="20"/>
      <c r="M2241" s="20"/>
      <c r="N2241" s="20"/>
      <c r="O2241" t="s">
        <v>948</v>
      </c>
      <c r="P2241" s="20"/>
      <c r="Q2241" s="20"/>
      <c r="R2241" s="20"/>
      <c r="S2241" s="20"/>
      <c r="T2241" s="20"/>
    </row>
    <row r="2242" spans="1:21" x14ac:dyDescent="0.25">
      <c r="A2242" s="3">
        <v>41845</v>
      </c>
      <c r="B2242" s="36">
        <v>175</v>
      </c>
      <c r="C2242" t="s">
        <v>3130</v>
      </c>
      <c r="D2242">
        <v>14.75</v>
      </c>
      <c r="E2242" s="18">
        <v>1475</v>
      </c>
      <c r="F2242" t="s">
        <v>889</v>
      </c>
      <c r="G2242" s="20" t="s">
        <v>1086</v>
      </c>
      <c r="H2242" s="18">
        <v>1475</v>
      </c>
      <c r="I2242" s="3">
        <v>41845</v>
      </c>
      <c r="J2242" s="20"/>
      <c r="K2242" s="20"/>
      <c r="L2242" s="20"/>
      <c r="M2242" s="20"/>
      <c r="N2242" s="20"/>
      <c r="O2242" t="s">
        <v>1087</v>
      </c>
      <c r="P2242" s="20"/>
      <c r="Q2242" s="20"/>
      <c r="R2242" s="20"/>
      <c r="S2242" s="20"/>
      <c r="T2242" s="20"/>
    </row>
    <row r="2243" spans="1:21" x14ac:dyDescent="0.25">
      <c r="A2243" s="3">
        <v>41845</v>
      </c>
      <c r="B2243" s="36">
        <v>175</v>
      </c>
      <c r="C2243" t="s">
        <v>3131</v>
      </c>
      <c r="D2243">
        <v>3.75</v>
      </c>
      <c r="E2243" s="18">
        <v>375</v>
      </c>
      <c r="F2243" t="s">
        <v>889</v>
      </c>
      <c r="G2243" s="20" t="s">
        <v>1086</v>
      </c>
      <c r="H2243" s="18">
        <v>375</v>
      </c>
      <c r="I2243" s="3">
        <v>41845</v>
      </c>
      <c r="J2243"/>
      <c r="L2243"/>
      <c r="M2243"/>
      <c r="N2243" s="20"/>
      <c r="O2243" t="s">
        <v>1087</v>
      </c>
      <c r="P2243" s="20"/>
      <c r="Q2243" s="20"/>
      <c r="R2243" s="20"/>
      <c r="S2243" s="20"/>
      <c r="T2243" s="20"/>
    </row>
    <row r="2244" spans="1:21" x14ac:dyDescent="0.25">
      <c r="A2244" s="3">
        <v>41845</v>
      </c>
      <c r="B2244" s="36">
        <v>175</v>
      </c>
      <c r="C2244" t="s">
        <v>1482</v>
      </c>
      <c r="E2244" s="18">
        <v>-137.3185484</v>
      </c>
      <c r="F2244" t="s">
        <v>889</v>
      </c>
      <c r="G2244" t="s">
        <v>442</v>
      </c>
      <c r="H2244" s="18" t="s">
        <v>442</v>
      </c>
      <c r="I2244" s="3" t="s">
        <v>442</v>
      </c>
      <c r="J2244"/>
      <c r="L2244"/>
      <c r="M2244"/>
      <c r="N2244" s="20"/>
      <c r="O2244" t="s">
        <v>1219</v>
      </c>
      <c r="P2244" s="20"/>
      <c r="Q2244" s="20" t="s">
        <v>401</v>
      </c>
      <c r="R2244" s="20"/>
      <c r="S2244" s="20"/>
      <c r="T2244" s="20"/>
    </row>
    <row r="2245" spans="1:21" x14ac:dyDescent="0.25">
      <c r="A2245" s="3">
        <v>41845</v>
      </c>
      <c r="B2245" s="36">
        <v>175</v>
      </c>
      <c r="C2245" t="s">
        <v>1483</v>
      </c>
      <c r="E2245" s="18">
        <v>-137.3185484</v>
      </c>
      <c r="F2245" t="s">
        <v>889</v>
      </c>
      <c r="G2245" t="s">
        <v>442</v>
      </c>
      <c r="H2245" s="18" t="s">
        <v>442</v>
      </c>
      <c r="I2245" s="3" t="s">
        <v>442</v>
      </c>
      <c r="J2245"/>
      <c r="L2245"/>
      <c r="M2245"/>
      <c r="N2245" s="20"/>
      <c r="O2245" t="s">
        <v>1228</v>
      </c>
      <c r="P2245" s="20"/>
      <c r="Q2245" s="20" t="s">
        <v>401</v>
      </c>
      <c r="R2245" s="20"/>
      <c r="S2245" s="20"/>
      <c r="T2245" s="20"/>
    </row>
    <row r="2246" spans="1:21" x14ac:dyDescent="0.25">
      <c r="A2246" s="46">
        <v>41849</v>
      </c>
      <c r="B2246" s="36">
        <v>175</v>
      </c>
      <c r="C2246" s="47" t="s">
        <v>1313</v>
      </c>
      <c r="D2246" s="47"/>
      <c r="E2246" s="48">
        <v>2365</v>
      </c>
      <c r="F2246" s="47" t="s">
        <v>889</v>
      </c>
      <c r="G2246" s="20"/>
      <c r="H2246" s="18" t="s">
        <v>442</v>
      </c>
      <c r="I2246" s="3" t="s">
        <v>442</v>
      </c>
      <c r="J2246" s="20"/>
      <c r="K2246" s="20"/>
      <c r="L2246" s="20"/>
      <c r="M2246" s="20"/>
      <c r="N2246" s="20"/>
      <c r="O2246" s="47" t="s">
        <v>3132</v>
      </c>
      <c r="P2246" s="20"/>
      <c r="Q2246" s="20"/>
      <c r="R2246" s="20"/>
      <c r="S2246" s="20" t="s">
        <v>401</v>
      </c>
      <c r="T2246" s="20"/>
    </row>
    <row r="2247" spans="1:21" x14ac:dyDescent="0.25">
      <c r="A2247" s="3">
        <v>41894</v>
      </c>
      <c r="B2247" s="36">
        <v>175</v>
      </c>
      <c r="C2247" t="s">
        <v>3133</v>
      </c>
      <c r="E2247" s="18">
        <v>3150</v>
      </c>
      <c r="F2247" t="s">
        <v>889</v>
      </c>
      <c r="G2247" t="s">
        <v>442</v>
      </c>
      <c r="H2247" s="18" t="s">
        <v>442</v>
      </c>
      <c r="I2247" s="3" t="s">
        <v>442</v>
      </c>
      <c r="J2247"/>
      <c r="L2247"/>
      <c r="M2247"/>
      <c r="N2247" s="20"/>
      <c r="O2247"/>
      <c r="P2247" s="20"/>
      <c r="Q2247" s="20"/>
      <c r="R2247" s="20"/>
      <c r="S2247" s="20"/>
      <c r="T2247" s="20" t="s">
        <v>401</v>
      </c>
    </row>
    <row r="2248" spans="1:21" x14ac:dyDescent="0.25">
      <c r="A2248" s="3">
        <v>41936</v>
      </c>
      <c r="B2248" s="36">
        <v>175</v>
      </c>
      <c r="C2248" t="s">
        <v>3134</v>
      </c>
      <c r="D2248">
        <v>4.25</v>
      </c>
      <c r="E2248" s="18">
        <v>584.375</v>
      </c>
      <c r="F2248" t="s">
        <v>889</v>
      </c>
      <c r="G2248" t="s">
        <v>3135</v>
      </c>
      <c r="H2248" s="18">
        <v>584.375</v>
      </c>
      <c r="I2248" s="3">
        <v>41936</v>
      </c>
      <c r="J2248"/>
      <c r="L2248"/>
      <c r="M2248"/>
      <c r="N2248" s="20"/>
      <c r="O2248"/>
      <c r="P2248" s="20"/>
      <c r="Q2248" s="20"/>
      <c r="R2248" s="20"/>
      <c r="S2248" s="20"/>
      <c r="T2248" s="20"/>
    </row>
    <row r="2249" spans="1:21" x14ac:dyDescent="0.25">
      <c r="A2249" s="3">
        <v>41943</v>
      </c>
      <c r="B2249" s="36">
        <v>175</v>
      </c>
      <c r="C2249" t="s">
        <v>3136</v>
      </c>
      <c r="D2249">
        <v>2.75</v>
      </c>
      <c r="E2249" s="18">
        <v>275</v>
      </c>
      <c r="F2249" t="s">
        <v>889</v>
      </c>
      <c r="G2249" t="s">
        <v>3137</v>
      </c>
      <c r="H2249" s="18">
        <v>275</v>
      </c>
      <c r="I2249" s="3">
        <v>41943</v>
      </c>
      <c r="J2249"/>
      <c r="L2249"/>
      <c r="M2249"/>
      <c r="N2249" s="20"/>
      <c r="O2249"/>
      <c r="P2249" s="20"/>
      <c r="Q2249" s="20"/>
      <c r="R2249" s="20"/>
      <c r="S2249" s="20"/>
      <c r="T2249" s="20"/>
    </row>
    <row r="2250" spans="1:21" x14ac:dyDescent="0.25">
      <c r="A2250" s="3">
        <v>41943</v>
      </c>
      <c r="B2250" s="36">
        <v>175</v>
      </c>
      <c r="C2250" t="s">
        <v>1300</v>
      </c>
      <c r="E2250" s="18">
        <v>-139.94999999999999</v>
      </c>
      <c r="F2250" t="s">
        <v>891</v>
      </c>
      <c r="G2250" t="s">
        <v>442</v>
      </c>
      <c r="H2250" s="18" t="s">
        <v>442</v>
      </c>
      <c r="I2250" s="3" t="s">
        <v>442</v>
      </c>
      <c r="J2250"/>
      <c r="L2250"/>
      <c r="M2250"/>
      <c r="N2250" s="20"/>
      <c r="O2250"/>
      <c r="P2250" s="20"/>
      <c r="Q2250" s="20" t="s">
        <v>401</v>
      </c>
      <c r="R2250" s="20"/>
      <c r="S2250" s="20"/>
      <c r="T2250" s="20"/>
    </row>
    <row r="2251" spans="1:21" x14ac:dyDescent="0.25">
      <c r="A2251" s="3">
        <v>41950</v>
      </c>
      <c r="B2251" s="36">
        <v>175</v>
      </c>
      <c r="C2251" t="s">
        <v>3138</v>
      </c>
      <c r="D2251">
        <v>2.75</v>
      </c>
      <c r="E2251" s="18">
        <v>103.125</v>
      </c>
      <c r="F2251" t="s">
        <v>889</v>
      </c>
      <c r="G2251" t="s">
        <v>3137</v>
      </c>
      <c r="H2251" s="18">
        <v>103.125</v>
      </c>
      <c r="I2251" s="3">
        <v>41950</v>
      </c>
      <c r="J2251"/>
      <c r="L2251"/>
      <c r="M2251"/>
      <c r="N2251" s="20"/>
      <c r="O2251"/>
      <c r="P2251" s="20"/>
      <c r="Q2251" s="20"/>
      <c r="R2251" s="20"/>
      <c r="S2251" s="20"/>
      <c r="T2251" s="20"/>
    </row>
    <row r="2252" spans="1:21" x14ac:dyDescent="0.25">
      <c r="A2252" s="3">
        <v>41950</v>
      </c>
      <c r="B2252" s="36">
        <v>175</v>
      </c>
      <c r="C2252" t="s">
        <v>3139</v>
      </c>
      <c r="D2252">
        <v>11</v>
      </c>
      <c r="E2252" s="18">
        <v>1100</v>
      </c>
      <c r="F2252" t="s">
        <v>889</v>
      </c>
      <c r="G2252" t="s">
        <v>3140</v>
      </c>
      <c r="H2252" s="18">
        <v>1100</v>
      </c>
      <c r="I2252" s="3">
        <v>41950</v>
      </c>
      <c r="J2252"/>
      <c r="L2252"/>
      <c r="M2252"/>
      <c r="N2252" s="20"/>
      <c r="O2252"/>
      <c r="P2252" s="20"/>
      <c r="Q2252" s="20"/>
      <c r="R2252" s="20"/>
      <c r="S2252" s="20"/>
      <c r="T2252" s="20"/>
    </row>
    <row r="2253" spans="1:21" x14ac:dyDescent="0.25">
      <c r="A2253" s="3">
        <v>41953</v>
      </c>
      <c r="B2253" s="36">
        <v>175</v>
      </c>
      <c r="C2253" t="s">
        <v>3139</v>
      </c>
      <c r="D2253">
        <v>11</v>
      </c>
      <c r="E2253" s="18">
        <v>412.5</v>
      </c>
      <c r="F2253" t="s">
        <v>889</v>
      </c>
      <c r="G2253" t="s">
        <v>3140</v>
      </c>
      <c r="H2253" s="18">
        <v>412.5</v>
      </c>
      <c r="I2253" s="3">
        <v>41953</v>
      </c>
      <c r="J2253"/>
      <c r="L2253"/>
      <c r="M2253"/>
      <c r="N2253" s="20"/>
      <c r="O2253" t="s">
        <v>3141</v>
      </c>
      <c r="P2253" s="20"/>
      <c r="Q2253" s="20"/>
      <c r="R2253" s="20"/>
      <c r="S2253" s="20"/>
      <c r="T2253" s="20"/>
    </row>
    <row r="2254" spans="1:21" x14ac:dyDescent="0.25">
      <c r="B2254">
        <v>175</v>
      </c>
      <c r="C2254" t="s">
        <v>3134</v>
      </c>
      <c r="D2254">
        <v>4.25</v>
      </c>
      <c r="E2254" s="18">
        <v>-425</v>
      </c>
      <c r="F2254" t="s">
        <v>889</v>
      </c>
      <c r="G2254" t="s">
        <v>3135</v>
      </c>
      <c r="I2254"/>
      <c r="J2254"/>
      <c r="L2254"/>
      <c r="M2254"/>
      <c r="O2254"/>
      <c r="P2254" s="20"/>
      <c r="Q2254" s="20"/>
      <c r="R2254" s="20"/>
      <c r="S2254" s="20"/>
      <c r="T2254" s="20"/>
      <c r="U2254" t="s">
        <v>401</v>
      </c>
    </row>
    <row r="2255" spans="1:21" x14ac:dyDescent="0.25">
      <c r="B2255">
        <v>175</v>
      </c>
      <c r="C2255" t="s">
        <v>3124</v>
      </c>
      <c r="D2255">
        <v>5.5</v>
      </c>
      <c r="E2255" s="18">
        <v>-687.5</v>
      </c>
      <c r="F2255" t="s">
        <v>889</v>
      </c>
      <c r="G2255" t="s">
        <v>3125</v>
      </c>
      <c r="I2255"/>
      <c r="J2255"/>
      <c r="L2255"/>
      <c r="M2255"/>
      <c r="O2255"/>
      <c r="P2255" s="20"/>
      <c r="Q2255" s="20"/>
      <c r="R2255" s="20"/>
      <c r="S2255" s="20"/>
      <c r="T2255" s="20"/>
      <c r="U2255" t="s">
        <v>401</v>
      </c>
    </row>
    <row r="2256" spans="1:21" x14ac:dyDescent="0.25">
      <c r="B2256">
        <v>175</v>
      </c>
      <c r="C2256" t="s">
        <v>3142</v>
      </c>
      <c r="E2256" s="18">
        <v>-3150</v>
      </c>
      <c r="F2256" t="s">
        <v>889</v>
      </c>
      <c r="G2256" t="s">
        <v>442</v>
      </c>
      <c r="I2256"/>
      <c r="J2256"/>
      <c r="L2256"/>
      <c r="M2256"/>
      <c r="O2256"/>
      <c r="P2256" s="20"/>
      <c r="Q2256" s="20"/>
      <c r="R2256" s="20"/>
      <c r="S2256" s="20"/>
      <c r="T2256" s="20"/>
      <c r="U2256" t="s">
        <v>401</v>
      </c>
    </row>
    <row r="2257" spans="2:21" x14ac:dyDescent="0.25">
      <c r="B2257">
        <v>175</v>
      </c>
      <c r="C2257" t="s">
        <v>1480</v>
      </c>
      <c r="E2257" s="18">
        <v>-137.3185484</v>
      </c>
      <c r="F2257" t="s">
        <v>891</v>
      </c>
      <c r="G2257" t="s">
        <v>442</v>
      </c>
      <c r="I2257"/>
      <c r="J2257"/>
      <c r="L2257"/>
      <c r="M2257"/>
      <c r="O2257"/>
      <c r="P2257" s="20"/>
      <c r="Q2257" s="20"/>
      <c r="R2257" s="20"/>
      <c r="S2257" s="20"/>
      <c r="T2257" s="20"/>
      <c r="U2257" t="s">
        <v>401</v>
      </c>
    </row>
    <row r="2258" spans="2:21" x14ac:dyDescent="0.25">
      <c r="B2258">
        <v>175</v>
      </c>
      <c r="C2258" t="s">
        <v>1106</v>
      </c>
      <c r="E2258" s="18">
        <v>-137.3185484</v>
      </c>
      <c r="F2258" t="s">
        <v>891</v>
      </c>
      <c r="G2258" t="s">
        <v>442</v>
      </c>
      <c r="I2258"/>
      <c r="J2258"/>
      <c r="L2258"/>
      <c r="M2258"/>
      <c r="O2258"/>
      <c r="P2258" s="20"/>
      <c r="Q2258" s="20"/>
      <c r="R2258" s="20"/>
      <c r="S2258" s="20"/>
      <c r="T2258" s="20"/>
      <c r="U2258" t="s">
        <v>401</v>
      </c>
    </row>
    <row r="2259" spans="2:21" x14ac:dyDescent="0.25">
      <c r="B2259">
        <v>175</v>
      </c>
      <c r="C2259" t="s">
        <v>1269</v>
      </c>
      <c r="E2259" s="18">
        <v>-278.56048390000001</v>
      </c>
      <c r="F2259" t="s">
        <v>891</v>
      </c>
      <c r="G2259" t="s">
        <v>442</v>
      </c>
      <c r="I2259"/>
      <c r="J2259"/>
      <c r="L2259"/>
      <c r="M2259"/>
      <c r="O2259"/>
      <c r="P2259" s="20"/>
      <c r="Q2259" s="20"/>
      <c r="R2259" s="20"/>
      <c r="S2259" s="20"/>
      <c r="T2259" s="20"/>
      <c r="U2259" t="s">
        <v>401</v>
      </c>
    </row>
    <row r="2260" spans="2:21" x14ac:dyDescent="0.25">
      <c r="B2260">
        <v>175</v>
      </c>
      <c r="C2260" t="s">
        <v>1509</v>
      </c>
      <c r="E2260" s="18">
        <v>-138.62634409</v>
      </c>
      <c r="F2260" t="s">
        <v>891</v>
      </c>
      <c r="G2260" t="s">
        <v>442</v>
      </c>
      <c r="I2260"/>
      <c r="J2260"/>
      <c r="L2260"/>
      <c r="M2260"/>
      <c r="O2260"/>
      <c r="P2260" s="20"/>
      <c r="Q2260" s="20"/>
      <c r="R2260" s="20"/>
      <c r="S2260" s="20"/>
      <c r="T2260" s="20"/>
      <c r="U2260" t="s">
        <v>401</v>
      </c>
    </row>
    <row r="2261" spans="2:21" x14ac:dyDescent="0.25">
      <c r="B2261">
        <v>175</v>
      </c>
      <c r="C2261" t="s">
        <v>1108</v>
      </c>
      <c r="E2261" s="18">
        <v>-137.3185484</v>
      </c>
      <c r="F2261" t="s">
        <v>891</v>
      </c>
      <c r="G2261" t="s">
        <v>442</v>
      </c>
      <c r="I2261"/>
      <c r="J2261"/>
      <c r="L2261"/>
      <c r="M2261"/>
      <c r="O2261"/>
      <c r="P2261" s="20"/>
      <c r="Q2261" s="20"/>
      <c r="R2261" s="20"/>
      <c r="S2261" s="20"/>
      <c r="T2261" s="20"/>
      <c r="U2261" t="s">
        <v>401</v>
      </c>
    </row>
    <row r="2262" spans="2:21" x14ac:dyDescent="0.25">
      <c r="B2262">
        <v>175</v>
      </c>
      <c r="C2262" t="s">
        <v>2573</v>
      </c>
      <c r="E2262" s="18">
        <v>-139.94999999999999</v>
      </c>
      <c r="F2262" t="s">
        <v>891</v>
      </c>
      <c r="G2262" t="s">
        <v>442</v>
      </c>
      <c r="I2262"/>
      <c r="J2262"/>
      <c r="L2262"/>
      <c r="M2262"/>
      <c r="O2262"/>
      <c r="P2262" s="20"/>
      <c r="Q2262" s="20"/>
      <c r="R2262" s="20"/>
      <c r="S2262" s="20"/>
      <c r="T2262" s="20"/>
      <c r="U2262" t="s">
        <v>401</v>
      </c>
    </row>
    <row r="2263" spans="2:21" x14ac:dyDescent="0.25">
      <c r="B2263">
        <v>175</v>
      </c>
      <c r="C2263" t="s">
        <v>1237</v>
      </c>
      <c r="E2263" s="18">
        <v>-137.3185484</v>
      </c>
      <c r="F2263" t="s">
        <v>1484</v>
      </c>
      <c r="G2263" t="s">
        <v>442</v>
      </c>
      <c r="I2263"/>
      <c r="J2263"/>
      <c r="L2263"/>
      <c r="M2263"/>
      <c r="O2263"/>
      <c r="P2263" s="20"/>
      <c r="Q2263" s="20"/>
      <c r="R2263" s="20"/>
      <c r="S2263" s="20"/>
      <c r="T2263" s="20"/>
      <c r="U2263" t="s">
        <v>401</v>
      </c>
    </row>
    <row r="2264" spans="2:21" x14ac:dyDescent="0.25">
      <c r="B2264">
        <v>175</v>
      </c>
      <c r="C2264" t="s">
        <v>1299</v>
      </c>
      <c r="E2264" s="18">
        <v>-139.94999999999999</v>
      </c>
      <c r="F2264" t="s">
        <v>891</v>
      </c>
      <c r="G2264" t="s">
        <v>442</v>
      </c>
      <c r="I2264"/>
      <c r="J2264"/>
      <c r="L2264"/>
      <c r="M2264"/>
      <c r="O2264"/>
      <c r="P2264" s="20"/>
      <c r="Q2264" s="20"/>
      <c r="R2264" s="20"/>
      <c r="S2264" s="20"/>
      <c r="T2264" s="20"/>
      <c r="U2264" t="s">
        <v>401</v>
      </c>
    </row>
    <row r="2265" spans="2:21" x14ac:dyDescent="0.25">
      <c r="B2265">
        <v>175</v>
      </c>
      <c r="C2265" t="s">
        <v>1312</v>
      </c>
      <c r="E2265" s="18">
        <v>-139.94999999999999</v>
      </c>
      <c r="F2265" t="s">
        <v>891</v>
      </c>
      <c r="G2265" t="s">
        <v>442</v>
      </c>
      <c r="I2265"/>
      <c r="J2265"/>
      <c r="L2265"/>
      <c r="M2265"/>
      <c r="O2265"/>
      <c r="P2265" s="20"/>
      <c r="Q2265" s="20"/>
      <c r="R2265" s="20"/>
      <c r="S2265" s="20"/>
      <c r="T2265" s="20"/>
      <c r="U2265" t="s">
        <v>401</v>
      </c>
    </row>
    <row r="2266" spans="2:21" x14ac:dyDescent="0.25">
      <c r="B2266">
        <v>175</v>
      </c>
      <c r="C2266" t="s">
        <v>1282</v>
      </c>
      <c r="E2266" s="18">
        <v>-139.94999999999999</v>
      </c>
      <c r="F2266" t="s">
        <v>891</v>
      </c>
      <c r="G2266" t="s">
        <v>442</v>
      </c>
      <c r="I2266"/>
      <c r="J2266"/>
      <c r="L2266"/>
      <c r="M2266"/>
      <c r="O2266"/>
      <c r="P2266" s="20"/>
      <c r="Q2266" s="20"/>
      <c r="R2266" s="20"/>
      <c r="S2266" s="20"/>
      <c r="T2266" s="20"/>
      <c r="U2266" t="s">
        <v>401</v>
      </c>
    </row>
    <row r="2267" spans="2:21" x14ac:dyDescent="0.25">
      <c r="B2267">
        <v>175</v>
      </c>
      <c r="C2267" t="s">
        <v>1292</v>
      </c>
      <c r="E2267" s="18">
        <v>-139.94999999999999</v>
      </c>
      <c r="F2267" t="s">
        <v>891</v>
      </c>
      <c r="G2267" t="s">
        <v>442</v>
      </c>
      <c r="I2267"/>
      <c r="J2267"/>
      <c r="L2267"/>
      <c r="M2267"/>
      <c r="O2267"/>
      <c r="P2267" s="20"/>
      <c r="Q2267" s="20"/>
      <c r="R2267" s="20"/>
      <c r="S2267" s="20"/>
      <c r="T2267" s="20"/>
      <c r="U2267" t="s">
        <v>401</v>
      </c>
    </row>
    <row r="2268" spans="2:21" x14ac:dyDescent="0.25">
      <c r="B2268">
        <v>175</v>
      </c>
      <c r="C2268" t="s">
        <v>1110</v>
      </c>
      <c r="E2268" s="18">
        <v>-141.89583329999999</v>
      </c>
      <c r="F2268" t="s">
        <v>891</v>
      </c>
      <c r="G2268" t="s">
        <v>442</v>
      </c>
      <c r="I2268"/>
      <c r="J2268"/>
      <c r="L2268"/>
      <c r="M2268"/>
      <c r="O2268"/>
      <c r="P2268" s="20"/>
      <c r="Q2268" s="20"/>
      <c r="R2268" s="20"/>
      <c r="S2268" s="20"/>
      <c r="T2268" s="20"/>
      <c r="U2268" t="s">
        <v>401</v>
      </c>
    </row>
    <row r="2269" spans="2:21" x14ac:dyDescent="0.25">
      <c r="B2269">
        <v>175</v>
      </c>
      <c r="C2269" t="s">
        <v>1117</v>
      </c>
      <c r="E2269" s="18">
        <v>-141.89583300000001</v>
      </c>
      <c r="F2269" t="s">
        <v>891</v>
      </c>
      <c r="G2269" t="s">
        <v>442</v>
      </c>
      <c r="I2269"/>
      <c r="J2269"/>
      <c r="L2269"/>
      <c r="M2269"/>
      <c r="O2269"/>
      <c r="P2269" s="20"/>
      <c r="Q2269" s="20"/>
      <c r="R2269" s="20"/>
      <c r="S2269" s="20"/>
      <c r="T2269" s="20"/>
      <c r="U2269" t="s">
        <v>401</v>
      </c>
    </row>
    <row r="2270" spans="2:21" x14ac:dyDescent="0.25">
      <c r="B2270">
        <v>175</v>
      </c>
      <c r="C2270" t="s">
        <v>1111</v>
      </c>
      <c r="E2270" s="18">
        <v>-141.89583329999999</v>
      </c>
      <c r="F2270" t="s">
        <v>891</v>
      </c>
      <c r="G2270" t="s">
        <v>442</v>
      </c>
      <c r="I2270"/>
      <c r="J2270"/>
      <c r="L2270"/>
      <c r="M2270"/>
      <c r="O2270"/>
      <c r="P2270" s="20"/>
      <c r="Q2270" s="20"/>
      <c r="R2270" s="20"/>
      <c r="S2270" s="20"/>
      <c r="T2270" s="20"/>
      <c r="U2270" t="s">
        <v>401</v>
      </c>
    </row>
    <row r="2271" spans="2:21" x14ac:dyDescent="0.25">
      <c r="B2271">
        <v>175</v>
      </c>
      <c r="C2271" t="s">
        <v>1283</v>
      </c>
      <c r="E2271" s="18">
        <v>-139.94999999999999</v>
      </c>
      <c r="F2271" t="s">
        <v>891</v>
      </c>
      <c r="G2271" t="s">
        <v>442</v>
      </c>
      <c r="I2271"/>
      <c r="J2271"/>
      <c r="L2271"/>
      <c r="M2271"/>
      <c r="O2271"/>
      <c r="P2271" s="20"/>
      <c r="Q2271" s="20"/>
      <c r="R2271" s="20"/>
      <c r="S2271" s="20"/>
      <c r="T2271" s="20"/>
      <c r="U2271" t="s">
        <v>401</v>
      </c>
    </row>
    <row r="2272" spans="2:21" x14ac:dyDescent="0.25">
      <c r="B2272">
        <v>175</v>
      </c>
      <c r="C2272" t="s">
        <v>3127</v>
      </c>
      <c r="D2272">
        <v>6.25</v>
      </c>
      <c r="E2272" s="18">
        <v>-781.25</v>
      </c>
      <c r="F2272" t="s">
        <v>889</v>
      </c>
      <c r="G2272" t="s">
        <v>3128</v>
      </c>
      <c r="I2272"/>
      <c r="J2272"/>
      <c r="L2272"/>
      <c r="M2272"/>
      <c r="O2272"/>
      <c r="P2272" s="20"/>
      <c r="Q2272" s="20"/>
      <c r="R2272" s="20"/>
      <c r="S2272" s="20"/>
      <c r="T2272" s="20"/>
      <c r="U2272" t="s">
        <v>401</v>
      </c>
    </row>
    <row r="2273" spans="1:21" x14ac:dyDescent="0.25">
      <c r="A2273" s="57">
        <v>41841</v>
      </c>
      <c r="B2273" s="42">
        <v>179</v>
      </c>
      <c r="C2273" s="45" t="s">
        <v>3143</v>
      </c>
      <c r="D2273" s="45">
        <v>7</v>
      </c>
      <c r="E2273" s="58">
        <v>700</v>
      </c>
      <c r="F2273" s="45"/>
      <c r="G2273" s="45" t="s">
        <v>3144</v>
      </c>
      <c r="H2273" s="18">
        <v>700</v>
      </c>
      <c r="I2273" s="3">
        <v>41841</v>
      </c>
      <c r="J2273" s="45"/>
      <c r="K2273" s="45"/>
      <c r="L2273" s="45"/>
      <c r="M2273" s="45"/>
      <c r="N2273" s="45"/>
      <c r="O2273" s="45"/>
      <c r="P2273" s="20"/>
      <c r="Q2273" s="20"/>
      <c r="R2273" s="20"/>
      <c r="S2273" s="20"/>
      <c r="T2273" s="20"/>
    </row>
    <row r="2274" spans="1:21" x14ac:dyDescent="0.25">
      <c r="A2274" s="57">
        <v>41841</v>
      </c>
      <c r="B2274" s="42">
        <v>179</v>
      </c>
      <c r="C2274" s="45" t="s">
        <v>3145</v>
      </c>
      <c r="D2274" s="45">
        <v>4.8449999999999998</v>
      </c>
      <c r="E2274" s="58">
        <v>484.5</v>
      </c>
      <c r="F2274" s="45"/>
      <c r="G2274" s="45" t="s">
        <v>3146</v>
      </c>
      <c r="H2274" s="18">
        <v>484.5</v>
      </c>
      <c r="I2274" s="3">
        <v>41841</v>
      </c>
      <c r="J2274" s="45"/>
      <c r="K2274" s="45"/>
      <c r="L2274" s="45"/>
      <c r="M2274" s="45"/>
      <c r="N2274" s="45"/>
      <c r="O2274" s="45" t="s">
        <v>1009</v>
      </c>
      <c r="P2274" s="20"/>
      <c r="Q2274" s="20"/>
      <c r="R2274" s="20"/>
      <c r="S2274" s="20"/>
      <c r="T2274" s="20"/>
    </row>
    <row r="2275" spans="1:21" x14ac:dyDescent="0.25">
      <c r="A2275" s="57">
        <v>41841</v>
      </c>
      <c r="B2275" s="42">
        <v>179</v>
      </c>
      <c r="C2275" s="45" t="s">
        <v>3147</v>
      </c>
      <c r="D2275" s="45">
        <v>6.12</v>
      </c>
      <c r="E2275" s="58">
        <v>612</v>
      </c>
      <c r="F2275" s="45"/>
      <c r="G2275" s="45" t="s">
        <v>3148</v>
      </c>
      <c r="H2275" s="18">
        <v>612</v>
      </c>
      <c r="I2275" s="3">
        <v>41841</v>
      </c>
      <c r="J2275" s="45"/>
      <c r="K2275" s="45"/>
      <c r="L2275" s="45"/>
      <c r="M2275" s="45"/>
      <c r="N2275" s="45"/>
      <c r="O2275" s="45" t="s">
        <v>1009</v>
      </c>
      <c r="P2275" s="20"/>
      <c r="Q2275" s="20"/>
      <c r="R2275" s="20"/>
      <c r="S2275" s="20"/>
      <c r="T2275" s="20"/>
    </row>
    <row r="2276" spans="1:21" x14ac:dyDescent="0.25">
      <c r="A2276" s="57">
        <v>41851</v>
      </c>
      <c r="B2276" s="42">
        <v>179</v>
      </c>
      <c r="C2276" s="45" t="s">
        <v>3149</v>
      </c>
      <c r="D2276" s="45">
        <v>5.5</v>
      </c>
      <c r="E2276" s="58">
        <v>550</v>
      </c>
      <c r="F2276" s="45" t="s">
        <v>889</v>
      </c>
      <c r="G2276" s="45" t="s">
        <v>3150</v>
      </c>
      <c r="H2276" s="18">
        <v>550</v>
      </c>
      <c r="I2276" s="3">
        <v>41851</v>
      </c>
      <c r="J2276" s="45"/>
      <c r="K2276" s="45"/>
      <c r="L2276" s="45"/>
      <c r="M2276" s="45"/>
      <c r="N2276" s="45"/>
      <c r="O2276" s="45" t="s">
        <v>931</v>
      </c>
      <c r="P2276" s="20"/>
      <c r="Q2276" s="20"/>
      <c r="R2276" s="20"/>
      <c r="S2276" s="20"/>
      <c r="T2276" s="20"/>
    </row>
    <row r="2277" spans="1:21" x14ac:dyDescent="0.25">
      <c r="A2277" s="57">
        <v>41999</v>
      </c>
      <c r="B2277" s="42">
        <v>179</v>
      </c>
      <c r="C2277" s="45" t="s">
        <v>3143</v>
      </c>
      <c r="D2277" s="45">
        <v>4.08</v>
      </c>
      <c r="E2277" s="58">
        <v>116</v>
      </c>
      <c r="F2277" s="45" t="s">
        <v>889</v>
      </c>
      <c r="G2277" s="45" t="s">
        <v>3144</v>
      </c>
      <c r="H2277" s="18">
        <v>116</v>
      </c>
      <c r="I2277" s="3">
        <v>41999</v>
      </c>
      <c r="J2277" s="45"/>
      <c r="K2277" s="45"/>
      <c r="L2277" s="45"/>
      <c r="M2277" s="45"/>
      <c r="N2277" s="45"/>
      <c r="O2277" s="45" t="s">
        <v>959</v>
      </c>
      <c r="P2277" s="20"/>
      <c r="Q2277" s="20"/>
      <c r="R2277" s="20"/>
      <c r="S2277" s="20"/>
      <c r="T2277" s="20"/>
    </row>
    <row r="2278" spans="1:21" x14ac:dyDescent="0.25">
      <c r="A2278" s="57">
        <v>42013</v>
      </c>
      <c r="B2278" s="42">
        <v>179</v>
      </c>
      <c r="C2278" s="45" t="s">
        <v>3143</v>
      </c>
      <c r="D2278" s="45">
        <v>7</v>
      </c>
      <c r="E2278" s="58">
        <v>584</v>
      </c>
      <c r="F2278" s="45" t="s">
        <v>889</v>
      </c>
      <c r="G2278" s="45" t="s">
        <v>3144</v>
      </c>
      <c r="H2278" s="18">
        <v>584</v>
      </c>
      <c r="I2278" s="3">
        <v>42013</v>
      </c>
      <c r="J2278" s="45"/>
      <c r="K2278" s="45"/>
      <c r="L2278" s="45"/>
      <c r="M2278" s="45"/>
      <c r="N2278" s="45"/>
      <c r="O2278" s="45"/>
      <c r="P2278" s="20"/>
      <c r="Q2278" s="20"/>
      <c r="R2278" s="20"/>
      <c r="S2278" s="20"/>
      <c r="T2278" s="20"/>
    </row>
    <row r="2279" spans="1:21" x14ac:dyDescent="0.25">
      <c r="B2279">
        <v>179</v>
      </c>
      <c r="C2279" t="s">
        <v>3149</v>
      </c>
      <c r="D2279">
        <v>5.5</v>
      </c>
      <c r="E2279" s="18">
        <v>0</v>
      </c>
      <c r="F2279" t="s">
        <v>889</v>
      </c>
      <c r="G2279" t="s">
        <v>3150</v>
      </c>
      <c r="I2279"/>
      <c r="J2279"/>
      <c r="L2279"/>
      <c r="M2279"/>
      <c r="O2279"/>
      <c r="P2279" s="20"/>
      <c r="Q2279" s="20"/>
      <c r="R2279" s="20"/>
      <c r="S2279" s="20"/>
      <c r="T2279" s="20"/>
      <c r="U2279" t="s">
        <v>401</v>
      </c>
    </row>
    <row r="2280" spans="1:21" x14ac:dyDescent="0.25">
      <c r="B2280">
        <v>179</v>
      </c>
      <c r="C2280" t="s">
        <v>3145</v>
      </c>
      <c r="D2280">
        <v>4.8449999999999998</v>
      </c>
      <c r="E2280" s="18">
        <v>484.5</v>
      </c>
      <c r="G2280" t="s">
        <v>3146</v>
      </c>
      <c r="I2280"/>
      <c r="J2280"/>
      <c r="L2280"/>
      <c r="M2280"/>
      <c r="O2280"/>
      <c r="P2280" s="20"/>
      <c r="Q2280" s="20"/>
      <c r="R2280" s="20"/>
      <c r="S2280" s="20"/>
      <c r="T2280" s="20"/>
      <c r="U2280" t="s">
        <v>401</v>
      </c>
    </row>
    <row r="2281" spans="1:21" x14ac:dyDescent="0.25">
      <c r="B2281">
        <v>179</v>
      </c>
      <c r="C2281" t="s">
        <v>3147</v>
      </c>
      <c r="D2281">
        <v>6.12</v>
      </c>
      <c r="E2281" s="18">
        <v>-612</v>
      </c>
      <c r="F2281" t="s">
        <v>889</v>
      </c>
      <c r="G2281" t="s">
        <v>3148</v>
      </c>
      <c r="I2281"/>
      <c r="J2281"/>
      <c r="L2281"/>
      <c r="M2281"/>
      <c r="O2281"/>
      <c r="P2281" s="20"/>
      <c r="Q2281" s="20"/>
      <c r="R2281" s="20"/>
      <c r="S2281" s="20"/>
      <c r="T2281" s="20"/>
      <c r="U2281" t="s">
        <v>401</v>
      </c>
    </row>
    <row r="2282" spans="1:21" x14ac:dyDescent="0.25">
      <c r="A2282" s="3">
        <v>41789</v>
      </c>
      <c r="B2282" s="36">
        <v>180</v>
      </c>
      <c r="C2282" t="s">
        <v>3151</v>
      </c>
      <c r="D2282">
        <v>11.984999999999999</v>
      </c>
      <c r="E2282" s="18">
        <v>1498.125</v>
      </c>
      <c r="F2282" t="s">
        <v>889</v>
      </c>
      <c r="G2282" t="s">
        <v>3152</v>
      </c>
      <c r="H2282" s="18">
        <v>1498.125</v>
      </c>
      <c r="I2282" s="3">
        <v>41789</v>
      </c>
      <c r="J2282"/>
      <c r="L2282"/>
      <c r="M2282"/>
      <c r="N2282" s="20"/>
      <c r="O2282"/>
      <c r="P2282" s="20"/>
      <c r="Q2282" s="20"/>
      <c r="R2282" s="20"/>
      <c r="S2282" s="20"/>
      <c r="T2282" s="20"/>
    </row>
    <row r="2283" spans="1:21" x14ac:dyDescent="0.25">
      <c r="A2283" s="3">
        <v>41866</v>
      </c>
      <c r="B2283" s="36">
        <v>180</v>
      </c>
      <c r="C2283" t="s">
        <v>954</v>
      </c>
      <c r="E2283" s="18">
        <v>295</v>
      </c>
      <c r="F2283" t="s">
        <v>889</v>
      </c>
      <c r="G2283" t="s">
        <v>442</v>
      </c>
      <c r="H2283" s="18" t="s">
        <v>442</v>
      </c>
      <c r="I2283" s="3" t="s">
        <v>442</v>
      </c>
      <c r="J2283"/>
      <c r="L2283"/>
      <c r="M2283"/>
      <c r="N2283" s="20" t="s">
        <v>401</v>
      </c>
      <c r="O2283"/>
      <c r="P2283" s="20"/>
      <c r="Q2283" s="20"/>
      <c r="R2283" s="20"/>
      <c r="S2283" s="20"/>
      <c r="T2283" s="20"/>
    </row>
    <row r="2284" spans="1:21" x14ac:dyDescent="0.25">
      <c r="A2284" s="3">
        <v>41901</v>
      </c>
      <c r="B2284" s="36">
        <v>180</v>
      </c>
      <c r="C2284" t="s">
        <v>3151</v>
      </c>
      <c r="D2284">
        <v>13.26</v>
      </c>
      <c r="E2284" s="18">
        <v>2335.568181818182</v>
      </c>
      <c r="F2284" t="s">
        <v>889</v>
      </c>
      <c r="G2284" t="s">
        <v>3152</v>
      </c>
      <c r="H2284" s="18">
        <v>2335.568181818182</v>
      </c>
      <c r="I2284" s="3">
        <v>41901</v>
      </c>
      <c r="J2284"/>
      <c r="L2284"/>
      <c r="M2284"/>
      <c r="N2284" s="20"/>
      <c r="O2284" t="s">
        <v>1102</v>
      </c>
      <c r="P2284" s="20"/>
      <c r="Q2284" s="20"/>
      <c r="R2284" s="20"/>
      <c r="S2284" s="20"/>
      <c r="T2284" s="20"/>
    </row>
    <row r="2285" spans="1:21" x14ac:dyDescent="0.25">
      <c r="A2285" s="3">
        <v>41964</v>
      </c>
      <c r="B2285" s="36">
        <v>180</v>
      </c>
      <c r="C2285" t="s">
        <v>963</v>
      </c>
      <c r="E2285" s="18">
        <v>122.5</v>
      </c>
      <c r="F2285" t="s">
        <v>889</v>
      </c>
      <c r="G2285" t="s">
        <v>442</v>
      </c>
      <c r="H2285" s="18" t="s">
        <v>442</v>
      </c>
      <c r="I2285" s="3" t="s">
        <v>442</v>
      </c>
      <c r="J2285"/>
      <c r="L2285"/>
      <c r="M2285"/>
      <c r="N2285" s="40" t="s">
        <v>401</v>
      </c>
      <c r="O2285"/>
      <c r="P2285" s="20"/>
      <c r="Q2285" s="20"/>
      <c r="R2285" s="20"/>
      <c r="S2285" s="20"/>
      <c r="T2285" s="20"/>
    </row>
    <row r="2286" spans="1:21" x14ac:dyDescent="0.25">
      <c r="A2286" s="32">
        <v>42034</v>
      </c>
      <c r="B2286" s="56">
        <v>180</v>
      </c>
      <c r="C2286" s="20" t="s">
        <v>974</v>
      </c>
      <c r="D2286" s="20"/>
      <c r="E2286" s="18">
        <v>34.166666666666664</v>
      </c>
      <c r="F2286" s="33" t="s">
        <v>889</v>
      </c>
      <c r="G2286" s="33"/>
      <c r="H2286" s="18"/>
      <c r="J2286"/>
      <c r="L2286"/>
      <c r="M2286"/>
      <c r="N2286" s="20" t="s">
        <v>401</v>
      </c>
      <c r="O2286"/>
      <c r="P2286" s="20"/>
      <c r="Q2286" s="20"/>
      <c r="R2286" s="20"/>
      <c r="S2286" s="20"/>
      <c r="T2286" s="20"/>
    </row>
    <row r="2287" spans="1:21" x14ac:dyDescent="0.25">
      <c r="A2287" s="46">
        <v>41834</v>
      </c>
      <c r="B2287" s="36">
        <v>183</v>
      </c>
      <c r="C2287" s="47" t="s">
        <v>1313</v>
      </c>
      <c r="D2287" s="47"/>
      <c r="E2287" s="48">
        <v>1100</v>
      </c>
      <c r="F2287" s="47"/>
      <c r="G2287" s="20"/>
      <c r="H2287" s="18" t="s">
        <v>442</v>
      </c>
      <c r="I2287" s="3" t="s">
        <v>442</v>
      </c>
      <c r="J2287" s="20"/>
      <c r="K2287" s="20"/>
      <c r="L2287" s="20"/>
      <c r="M2287" s="20"/>
      <c r="N2287" s="20"/>
      <c r="O2287" s="47" t="s">
        <v>3153</v>
      </c>
      <c r="P2287" s="20"/>
      <c r="Q2287" s="20"/>
      <c r="R2287" s="20"/>
      <c r="S2287" s="20" t="s">
        <v>401</v>
      </c>
      <c r="T2287" s="20"/>
    </row>
    <row r="2288" spans="1:21" x14ac:dyDescent="0.25">
      <c r="A2288" s="3">
        <v>41845</v>
      </c>
      <c r="B2288" s="36">
        <v>183</v>
      </c>
      <c r="C2288" t="s">
        <v>3154</v>
      </c>
      <c r="D2288">
        <v>4.5</v>
      </c>
      <c r="E2288" s="18">
        <v>450</v>
      </c>
      <c r="G2288" t="s">
        <v>3155</v>
      </c>
      <c r="H2288" s="18">
        <v>450</v>
      </c>
      <c r="I2288" s="3">
        <v>41845</v>
      </c>
      <c r="J2288"/>
      <c r="L2288"/>
      <c r="M2288"/>
      <c r="N2288" s="20"/>
      <c r="O2288"/>
      <c r="P2288" s="20"/>
      <c r="Q2288" s="20"/>
      <c r="R2288" s="20"/>
      <c r="S2288" s="20"/>
      <c r="T2288" s="20"/>
    </row>
    <row r="2289" spans="1:20" x14ac:dyDescent="0.25">
      <c r="A2289" s="3">
        <v>41845</v>
      </c>
      <c r="B2289" s="36">
        <v>183</v>
      </c>
      <c r="C2289" t="s">
        <v>3156</v>
      </c>
      <c r="D2289">
        <v>11</v>
      </c>
      <c r="E2289" s="18">
        <v>1100</v>
      </c>
      <c r="G2289" t="s">
        <v>3157</v>
      </c>
      <c r="H2289" s="18">
        <v>1100</v>
      </c>
      <c r="I2289" s="3">
        <v>41845</v>
      </c>
      <c r="J2289"/>
      <c r="L2289"/>
      <c r="M2289"/>
      <c r="N2289" s="20"/>
      <c r="O2289" t="s">
        <v>905</v>
      </c>
      <c r="P2289" s="20"/>
      <c r="Q2289" s="20"/>
      <c r="R2289" s="20"/>
      <c r="S2289" s="20"/>
      <c r="T2289" s="20"/>
    </row>
    <row r="2290" spans="1:20" x14ac:dyDescent="0.25">
      <c r="A2290" s="3">
        <v>41845</v>
      </c>
      <c r="B2290" s="36">
        <v>183</v>
      </c>
      <c r="C2290" t="s">
        <v>1482</v>
      </c>
      <c r="E2290" s="18">
        <v>-162.95322580000001</v>
      </c>
      <c r="G2290" t="s">
        <v>442</v>
      </c>
      <c r="H2290" s="18" t="s">
        <v>442</v>
      </c>
      <c r="I2290" s="3" t="s">
        <v>442</v>
      </c>
      <c r="J2290"/>
      <c r="L2290"/>
      <c r="M2290"/>
      <c r="N2290" s="20"/>
      <c r="O2290" t="s">
        <v>1219</v>
      </c>
      <c r="P2290" s="20"/>
      <c r="Q2290" s="20" t="s">
        <v>401</v>
      </c>
      <c r="R2290" s="20"/>
      <c r="S2290" s="20"/>
      <c r="T2290" s="20"/>
    </row>
    <row r="2291" spans="1:20" x14ac:dyDescent="0.25">
      <c r="A2291" s="3">
        <v>41845</v>
      </c>
      <c r="B2291" s="36">
        <v>183</v>
      </c>
      <c r="C2291" t="s">
        <v>1483</v>
      </c>
      <c r="E2291" s="18">
        <v>-162.95322580000001</v>
      </c>
      <c r="G2291" t="s">
        <v>442</v>
      </c>
      <c r="H2291" s="18" t="s">
        <v>442</v>
      </c>
      <c r="I2291" s="3" t="s">
        <v>442</v>
      </c>
      <c r="J2291"/>
      <c r="L2291"/>
      <c r="M2291"/>
      <c r="N2291" s="20"/>
      <c r="O2291" t="s">
        <v>1228</v>
      </c>
      <c r="P2291" s="20"/>
      <c r="Q2291" s="20" t="s">
        <v>401</v>
      </c>
      <c r="R2291" s="20"/>
      <c r="S2291" s="20"/>
      <c r="T2291" s="20"/>
    </row>
    <row r="2292" spans="1:20" x14ac:dyDescent="0.25">
      <c r="A2292" s="3">
        <v>41858</v>
      </c>
      <c r="B2292" s="36">
        <v>183</v>
      </c>
      <c r="C2292" t="s">
        <v>3158</v>
      </c>
      <c r="D2292">
        <v>6.5</v>
      </c>
      <c r="E2292" s="18">
        <v>650</v>
      </c>
      <c r="F2292" t="s">
        <v>889</v>
      </c>
      <c r="G2292" t="s">
        <v>3159</v>
      </c>
      <c r="H2292" s="18">
        <v>650</v>
      </c>
      <c r="I2292" s="3">
        <v>41858</v>
      </c>
      <c r="J2292"/>
      <c r="L2292"/>
      <c r="M2292"/>
      <c r="N2292" s="20"/>
      <c r="O2292" t="s">
        <v>931</v>
      </c>
      <c r="P2292" s="20"/>
      <c r="Q2292" s="20"/>
      <c r="R2292" s="20"/>
      <c r="S2292" s="20"/>
      <c r="T2292" s="20"/>
    </row>
    <row r="2293" spans="1:20" x14ac:dyDescent="0.25">
      <c r="A2293" s="3">
        <v>41865</v>
      </c>
      <c r="B2293" s="36">
        <v>183</v>
      </c>
      <c r="C2293" t="s">
        <v>3154</v>
      </c>
      <c r="D2293">
        <v>4.5</v>
      </c>
      <c r="E2293" s="18">
        <v>-450</v>
      </c>
      <c r="F2293" t="s">
        <v>889</v>
      </c>
      <c r="G2293" t="s">
        <v>3155</v>
      </c>
      <c r="H2293" s="18" t="s">
        <v>442</v>
      </c>
      <c r="I2293" s="3" t="s">
        <v>442</v>
      </c>
      <c r="J2293"/>
      <c r="L2293"/>
      <c r="M2293"/>
      <c r="N2293" s="20"/>
      <c r="O2293" t="s">
        <v>1799</v>
      </c>
      <c r="P2293" s="20"/>
      <c r="Q2293" s="20"/>
      <c r="R2293" s="20"/>
      <c r="S2293" s="20"/>
      <c r="T2293" s="20"/>
    </row>
    <row r="2294" spans="1:20" x14ac:dyDescent="0.25">
      <c r="A2294" s="3">
        <v>41865</v>
      </c>
      <c r="B2294" s="36">
        <v>183</v>
      </c>
      <c r="C2294" t="s">
        <v>3160</v>
      </c>
      <c r="D2294">
        <v>5.25</v>
      </c>
      <c r="E2294" s="18">
        <v>525</v>
      </c>
      <c r="F2294" t="s">
        <v>889</v>
      </c>
      <c r="G2294" t="s">
        <v>3161</v>
      </c>
      <c r="H2294" s="18">
        <v>525</v>
      </c>
      <c r="I2294" s="3">
        <v>41865</v>
      </c>
      <c r="J2294"/>
      <c r="L2294"/>
      <c r="M2294"/>
      <c r="N2294" s="20"/>
      <c r="O2294"/>
      <c r="P2294" s="20"/>
      <c r="Q2294" s="20"/>
      <c r="R2294" s="20"/>
      <c r="S2294" s="20"/>
      <c r="T2294" s="20"/>
    </row>
    <row r="2295" spans="1:20" x14ac:dyDescent="0.25">
      <c r="A2295" s="3">
        <v>41865</v>
      </c>
      <c r="B2295" s="36">
        <v>183</v>
      </c>
      <c r="C2295" t="s">
        <v>3162</v>
      </c>
      <c r="D2295">
        <v>8.25</v>
      </c>
      <c r="E2295" s="18">
        <v>825</v>
      </c>
      <c r="F2295" t="s">
        <v>889</v>
      </c>
      <c r="G2295" t="s">
        <v>3163</v>
      </c>
      <c r="H2295" s="18">
        <v>825</v>
      </c>
      <c r="I2295" s="3">
        <v>41865</v>
      </c>
      <c r="J2295"/>
      <c r="L2295"/>
      <c r="M2295"/>
      <c r="N2295" s="20"/>
      <c r="O2295"/>
      <c r="P2295" s="20"/>
      <c r="Q2295" s="20"/>
      <c r="R2295" s="20"/>
      <c r="S2295" s="20"/>
      <c r="T2295" s="20"/>
    </row>
    <row r="2296" spans="1:20" x14ac:dyDescent="0.25">
      <c r="A2296" s="3">
        <v>41865</v>
      </c>
      <c r="B2296" s="36">
        <v>183</v>
      </c>
      <c r="C2296" t="s">
        <v>1480</v>
      </c>
      <c r="E2296" s="18">
        <v>-162.95322580000001</v>
      </c>
      <c r="F2296" t="s">
        <v>891</v>
      </c>
      <c r="G2296" t="s">
        <v>442</v>
      </c>
      <c r="H2296" s="18" t="s">
        <v>442</v>
      </c>
      <c r="I2296" s="3" t="s">
        <v>442</v>
      </c>
      <c r="J2296"/>
      <c r="L2296"/>
      <c r="M2296"/>
      <c r="N2296" s="20"/>
      <c r="O2296" t="s">
        <v>1481</v>
      </c>
      <c r="P2296" s="20"/>
      <c r="Q2296" s="20" t="s">
        <v>401</v>
      </c>
      <c r="R2296" s="20"/>
      <c r="S2296" s="20"/>
      <c r="T2296" s="20"/>
    </row>
    <row r="2297" spans="1:20" x14ac:dyDescent="0.25">
      <c r="A2297" s="3">
        <v>41865</v>
      </c>
      <c r="B2297" s="36">
        <v>183</v>
      </c>
      <c r="C2297" t="s">
        <v>1108</v>
      </c>
      <c r="E2297" s="18">
        <v>-162.95322580000001</v>
      </c>
      <c r="F2297" t="s">
        <v>889</v>
      </c>
      <c r="G2297" t="s">
        <v>442</v>
      </c>
      <c r="H2297" s="18" t="s">
        <v>442</v>
      </c>
      <c r="I2297" s="3" t="s">
        <v>442</v>
      </c>
      <c r="J2297"/>
      <c r="L2297"/>
      <c r="M2297"/>
      <c r="N2297" s="20"/>
      <c r="O2297" t="s">
        <v>1109</v>
      </c>
      <c r="P2297" s="20"/>
      <c r="Q2297" s="20" t="s">
        <v>401</v>
      </c>
      <c r="R2297" s="20"/>
      <c r="S2297" s="20"/>
      <c r="T2297" s="20"/>
    </row>
    <row r="2298" spans="1:20" x14ac:dyDescent="0.25">
      <c r="A2298" s="3">
        <v>41865</v>
      </c>
      <c r="B2298" s="36">
        <v>183</v>
      </c>
      <c r="C2298" t="s">
        <v>1237</v>
      </c>
      <c r="E2298" s="18">
        <v>-162.95322580000001</v>
      </c>
      <c r="F2298" t="s">
        <v>889</v>
      </c>
      <c r="G2298" t="s">
        <v>442</v>
      </c>
      <c r="H2298" s="18" t="s">
        <v>442</v>
      </c>
      <c r="I2298" s="3" t="s">
        <v>442</v>
      </c>
      <c r="J2298"/>
      <c r="L2298"/>
      <c r="M2298"/>
      <c r="N2298" s="20"/>
      <c r="O2298" t="s">
        <v>1238</v>
      </c>
      <c r="P2298" s="20"/>
      <c r="Q2298" s="20" t="s">
        <v>401</v>
      </c>
      <c r="R2298" s="20"/>
      <c r="S2298" s="20"/>
      <c r="T2298" s="20"/>
    </row>
    <row r="2299" spans="1:20" x14ac:dyDescent="0.25">
      <c r="A2299" s="3">
        <v>41865</v>
      </c>
      <c r="B2299" s="36">
        <v>183</v>
      </c>
      <c r="C2299" t="s">
        <v>3164</v>
      </c>
      <c r="D2299">
        <v>6.75</v>
      </c>
      <c r="E2299" s="18">
        <v>100</v>
      </c>
      <c r="F2299" t="s">
        <v>889</v>
      </c>
      <c r="G2299" t="s">
        <v>3165</v>
      </c>
      <c r="H2299" s="18">
        <v>100</v>
      </c>
      <c r="I2299" s="3">
        <v>41865</v>
      </c>
      <c r="J2299"/>
      <c r="L2299"/>
      <c r="M2299"/>
      <c r="N2299" s="20"/>
      <c r="O2299"/>
      <c r="P2299" s="20"/>
      <c r="Q2299" s="20"/>
      <c r="R2299" s="20"/>
      <c r="S2299" s="20"/>
      <c r="T2299" s="20"/>
    </row>
    <row r="2300" spans="1:20" x14ac:dyDescent="0.25">
      <c r="A2300" s="3">
        <v>41865</v>
      </c>
      <c r="B2300" s="36">
        <v>183</v>
      </c>
      <c r="C2300" t="s">
        <v>3164</v>
      </c>
      <c r="D2300">
        <v>6.75</v>
      </c>
      <c r="E2300" s="18">
        <v>575</v>
      </c>
      <c r="F2300" t="s">
        <v>889</v>
      </c>
      <c r="G2300" t="s">
        <v>3165</v>
      </c>
      <c r="H2300" s="18">
        <v>575</v>
      </c>
      <c r="I2300" s="3">
        <v>41865</v>
      </c>
      <c r="J2300"/>
      <c r="L2300"/>
      <c r="M2300"/>
      <c r="N2300" s="20"/>
      <c r="O2300" t="s">
        <v>3166</v>
      </c>
      <c r="P2300" s="20"/>
      <c r="Q2300" s="20"/>
      <c r="R2300" s="20"/>
      <c r="S2300" s="20"/>
      <c r="T2300" s="20"/>
    </row>
    <row r="2301" spans="1:20" x14ac:dyDescent="0.25">
      <c r="A2301" s="3">
        <v>41957</v>
      </c>
      <c r="B2301" s="36">
        <v>183</v>
      </c>
      <c r="C2301" t="s">
        <v>3160</v>
      </c>
      <c r="D2301">
        <v>5.25</v>
      </c>
      <c r="E2301" s="18">
        <v>-525</v>
      </c>
      <c r="F2301" t="s">
        <v>889</v>
      </c>
      <c r="G2301" t="s">
        <v>3161</v>
      </c>
      <c r="H2301" s="18" t="s">
        <v>442</v>
      </c>
      <c r="I2301" s="3" t="s">
        <v>442</v>
      </c>
      <c r="J2301"/>
      <c r="L2301"/>
      <c r="M2301"/>
      <c r="N2301" s="20"/>
      <c r="O2301"/>
      <c r="P2301" s="20"/>
      <c r="Q2301" s="20"/>
      <c r="R2301" s="20"/>
      <c r="S2301" s="20"/>
      <c r="T2301" s="20"/>
    </row>
    <row r="2302" spans="1:20" x14ac:dyDescent="0.25">
      <c r="A2302" s="3">
        <v>41957</v>
      </c>
      <c r="B2302" s="36">
        <v>183</v>
      </c>
      <c r="C2302" t="s">
        <v>3158</v>
      </c>
      <c r="D2302">
        <v>6.5</v>
      </c>
      <c r="E2302" s="18">
        <v>650</v>
      </c>
      <c r="F2302" t="s">
        <v>889</v>
      </c>
      <c r="G2302" t="s">
        <v>3159</v>
      </c>
      <c r="H2302" s="18">
        <v>650</v>
      </c>
      <c r="I2302" s="3">
        <v>41957</v>
      </c>
      <c r="J2302"/>
      <c r="L2302"/>
      <c r="M2302"/>
      <c r="N2302" s="20"/>
      <c r="O2302" t="s">
        <v>959</v>
      </c>
      <c r="P2302" s="20"/>
      <c r="Q2302" s="20"/>
      <c r="R2302" s="20"/>
      <c r="S2302" s="20"/>
      <c r="T2302" s="20"/>
    </row>
    <row r="2303" spans="1:20" x14ac:dyDescent="0.25">
      <c r="A2303" s="3">
        <v>41957</v>
      </c>
      <c r="B2303" s="36">
        <v>183</v>
      </c>
      <c r="C2303" t="s">
        <v>3162</v>
      </c>
      <c r="D2303">
        <v>8.25</v>
      </c>
      <c r="E2303" s="18">
        <v>825</v>
      </c>
      <c r="F2303" t="s">
        <v>889</v>
      </c>
      <c r="G2303" t="s">
        <v>3163</v>
      </c>
      <c r="H2303" s="18">
        <v>825</v>
      </c>
      <c r="I2303" s="3">
        <v>41957</v>
      </c>
      <c r="J2303"/>
      <c r="L2303"/>
      <c r="M2303"/>
      <c r="N2303" s="20"/>
      <c r="O2303" t="s">
        <v>959</v>
      </c>
      <c r="P2303" s="20"/>
      <c r="Q2303" s="20"/>
      <c r="R2303" s="20"/>
      <c r="S2303" s="20"/>
      <c r="T2303" s="20"/>
    </row>
    <row r="2304" spans="1:20" x14ac:dyDescent="0.25">
      <c r="A2304" s="3">
        <v>41957</v>
      </c>
      <c r="B2304" s="36">
        <v>183</v>
      </c>
      <c r="C2304" t="s">
        <v>3156</v>
      </c>
      <c r="D2304">
        <v>11</v>
      </c>
      <c r="E2304" s="18">
        <v>-1100</v>
      </c>
      <c r="F2304" t="s">
        <v>889</v>
      </c>
      <c r="G2304" t="s">
        <v>3157</v>
      </c>
      <c r="H2304" s="18" t="s">
        <v>442</v>
      </c>
      <c r="I2304" s="3" t="s">
        <v>442</v>
      </c>
      <c r="J2304"/>
      <c r="L2304"/>
      <c r="M2304"/>
      <c r="N2304" s="20"/>
      <c r="O2304"/>
      <c r="P2304" s="20"/>
      <c r="Q2304" s="20"/>
      <c r="R2304" s="20"/>
      <c r="S2304" s="20"/>
      <c r="T2304" s="20"/>
    </row>
    <row r="2305" spans="1:21" x14ac:dyDescent="0.25">
      <c r="A2305" s="3">
        <v>41957</v>
      </c>
      <c r="B2305" s="36">
        <v>183</v>
      </c>
      <c r="C2305" t="s">
        <v>1106</v>
      </c>
      <c r="E2305" s="18">
        <v>-162.95322580000001</v>
      </c>
      <c r="F2305" t="s">
        <v>891</v>
      </c>
      <c r="G2305" t="s">
        <v>442</v>
      </c>
      <c r="H2305" s="18" t="s">
        <v>442</v>
      </c>
      <c r="I2305" s="3" t="s">
        <v>442</v>
      </c>
      <c r="J2305"/>
      <c r="L2305"/>
      <c r="M2305"/>
      <c r="N2305" s="20"/>
      <c r="O2305" t="s">
        <v>1107</v>
      </c>
      <c r="P2305" s="20"/>
      <c r="Q2305" s="20" t="s">
        <v>401</v>
      </c>
      <c r="R2305" s="20"/>
      <c r="S2305" s="20"/>
      <c r="T2305" s="20"/>
    </row>
    <row r="2306" spans="1:21" x14ac:dyDescent="0.25">
      <c r="A2306" s="3">
        <v>41957</v>
      </c>
      <c r="B2306" s="36">
        <v>183</v>
      </c>
      <c r="C2306" t="s">
        <v>2678</v>
      </c>
      <c r="E2306" s="18">
        <v>-87.296370969999998</v>
      </c>
      <c r="F2306" t="s">
        <v>891</v>
      </c>
      <c r="G2306" t="s">
        <v>442</v>
      </c>
      <c r="H2306" s="18" t="s">
        <v>442</v>
      </c>
      <c r="I2306" s="3" t="s">
        <v>442</v>
      </c>
      <c r="J2306"/>
      <c r="L2306"/>
      <c r="M2306"/>
      <c r="N2306" s="20"/>
      <c r="O2306"/>
      <c r="P2306" s="20"/>
      <c r="Q2306" s="20" t="s">
        <v>401</v>
      </c>
      <c r="R2306" s="20"/>
      <c r="S2306" s="20"/>
      <c r="T2306" s="20"/>
    </row>
    <row r="2307" spans="1:21" x14ac:dyDescent="0.25">
      <c r="A2307" s="3">
        <v>41957</v>
      </c>
      <c r="B2307" s="36">
        <v>183</v>
      </c>
      <c r="C2307" t="s">
        <v>3167</v>
      </c>
      <c r="D2307">
        <v>6.75</v>
      </c>
      <c r="E2307" s="18">
        <v>506.24999999999977</v>
      </c>
      <c r="F2307" t="s">
        <v>889</v>
      </c>
      <c r="G2307" t="s">
        <v>3165</v>
      </c>
      <c r="H2307" s="18">
        <v>506.24999999999977</v>
      </c>
      <c r="I2307" s="3">
        <v>41957</v>
      </c>
      <c r="J2307"/>
      <c r="L2307"/>
      <c r="M2307"/>
      <c r="N2307" s="20"/>
      <c r="O2307" t="s">
        <v>959</v>
      </c>
      <c r="P2307" s="20"/>
      <c r="Q2307" s="20"/>
      <c r="R2307" s="20"/>
      <c r="S2307" s="20"/>
      <c r="T2307" s="20"/>
    </row>
    <row r="2308" spans="1:21" x14ac:dyDescent="0.25">
      <c r="B2308">
        <v>183</v>
      </c>
      <c r="C2308" t="s">
        <v>1845</v>
      </c>
      <c r="E2308" s="18">
        <v>-162.95322580000001</v>
      </c>
      <c r="G2308" t="s">
        <v>442</v>
      </c>
      <c r="I2308"/>
      <c r="J2308"/>
      <c r="L2308"/>
      <c r="M2308"/>
      <c r="O2308"/>
      <c r="P2308" s="20"/>
      <c r="Q2308" s="20"/>
      <c r="R2308" s="20"/>
      <c r="S2308" s="20"/>
      <c r="T2308" s="20"/>
      <c r="U2308" t="s">
        <v>401</v>
      </c>
    </row>
    <row r="2309" spans="1:21" x14ac:dyDescent="0.25">
      <c r="B2309">
        <v>183</v>
      </c>
      <c r="C2309" t="s">
        <v>2650</v>
      </c>
      <c r="E2309" s="18">
        <v>-240.55</v>
      </c>
      <c r="G2309" t="s">
        <v>442</v>
      </c>
      <c r="I2309"/>
      <c r="J2309"/>
      <c r="L2309"/>
      <c r="M2309"/>
      <c r="O2309"/>
      <c r="P2309" s="20"/>
      <c r="Q2309" s="20"/>
      <c r="R2309" s="20"/>
      <c r="S2309" s="20"/>
      <c r="T2309" s="20"/>
      <c r="U2309" t="s">
        <v>401</v>
      </c>
    </row>
    <row r="2310" spans="1:21" x14ac:dyDescent="0.25">
      <c r="B2310">
        <v>183</v>
      </c>
      <c r="C2310" t="s">
        <v>1486</v>
      </c>
      <c r="E2310" s="18">
        <v>-216.495</v>
      </c>
      <c r="G2310" t="s">
        <v>442</v>
      </c>
      <c r="I2310"/>
      <c r="J2310"/>
      <c r="L2310"/>
      <c r="M2310"/>
      <c r="O2310"/>
      <c r="P2310" s="20"/>
      <c r="Q2310" s="20"/>
      <c r="R2310" s="20"/>
      <c r="S2310" s="20"/>
      <c r="T2310" s="20"/>
      <c r="U2310" t="s">
        <v>401</v>
      </c>
    </row>
    <row r="2311" spans="1:21" x14ac:dyDescent="0.25">
      <c r="A2311" s="3">
        <v>41810</v>
      </c>
      <c r="B2311" s="36">
        <v>184</v>
      </c>
      <c r="C2311" t="s">
        <v>3168</v>
      </c>
      <c r="D2311">
        <v>18.36</v>
      </c>
      <c r="E2311" s="18">
        <v>1836</v>
      </c>
      <c r="G2311" t="s">
        <v>3169</v>
      </c>
      <c r="H2311" s="18">
        <v>1836</v>
      </c>
      <c r="I2311" s="3">
        <v>41810</v>
      </c>
      <c r="J2311"/>
      <c r="L2311"/>
      <c r="M2311"/>
      <c r="N2311" s="20"/>
      <c r="O2311" t="s">
        <v>905</v>
      </c>
      <c r="P2311" s="20"/>
      <c r="Q2311" s="20"/>
      <c r="R2311" s="20"/>
      <c r="S2311" s="20"/>
      <c r="T2311" s="20"/>
    </row>
    <row r="2312" spans="1:21" x14ac:dyDescent="0.25">
      <c r="A2312" s="3">
        <v>41810</v>
      </c>
      <c r="B2312" s="36">
        <v>184</v>
      </c>
      <c r="C2312" t="s">
        <v>3170</v>
      </c>
      <c r="D2312">
        <v>8.16</v>
      </c>
      <c r="E2312" s="18">
        <v>816</v>
      </c>
      <c r="G2312" t="s">
        <v>3171</v>
      </c>
      <c r="H2312" s="18">
        <v>816</v>
      </c>
      <c r="I2312" s="3">
        <v>41810</v>
      </c>
      <c r="J2312"/>
      <c r="L2312"/>
      <c r="M2312"/>
      <c r="N2312" s="20"/>
      <c r="O2312" t="s">
        <v>905</v>
      </c>
      <c r="P2312" s="20"/>
      <c r="Q2312" s="20"/>
      <c r="R2312" s="20"/>
      <c r="S2312" s="20"/>
      <c r="T2312" s="20"/>
    </row>
    <row r="2313" spans="1:21" x14ac:dyDescent="0.25">
      <c r="A2313" s="3">
        <v>41823</v>
      </c>
      <c r="B2313" s="36">
        <v>184</v>
      </c>
      <c r="C2313" t="s">
        <v>3172</v>
      </c>
      <c r="D2313">
        <v>5.3550000000000004</v>
      </c>
      <c r="E2313" s="18">
        <v>535.5</v>
      </c>
      <c r="G2313" t="s">
        <v>3173</v>
      </c>
      <c r="H2313" s="18">
        <v>535.5</v>
      </c>
      <c r="I2313" s="3">
        <v>41823</v>
      </c>
      <c r="J2313"/>
      <c r="L2313"/>
      <c r="M2313"/>
      <c r="N2313" s="20"/>
      <c r="O2313" t="s">
        <v>917</v>
      </c>
      <c r="P2313" s="20"/>
      <c r="Q2313" s="20"/>
      <c r="R2313" s="20"/>
      <c r="S2313" s="20"/>
      <c r="T2313" s="20"/>
    </row>
    <row r="2314" spans="1:21" x14ac:dyDescent="0.25">
      <c r="A2314" s="3">
        <v>41831</v>
      </c>
      <c r="B2314" s="36">
        <v>184</v>
      </c>
      <c r="C2314" t="s">
        <v>3174</v>
      </c>
      <c r="D2314">
        <v>7.14</v>
      </c>
      <c r="E2314" s="18">
        <v>714</v>
      </c>
      <c r="G2314" t="s">
        <v>3175</v>
      </c>
      <c r="H2314" s="18">
        <v>714</v>
      </c>
      <c r="I2314" s="3">
        <v>41831</v>
      </c>
      <c r="J2314"/>
      <c r="L2314"/>
      <c r="M2314"/>
      <c r="N2314" s="20"/>
      <c r="O2314" t="s">
        <v>931</v>
      </c>
      <c r="P2314" s="20"/>
      <c r="Q2314" s="20"/>
      <c r="R2314" s="20"/>
      <c r="S2314" s="20"/>
      <c r="T2314" s="20"/>
    </row>
    <row r="2315" spans="1:21" x14ac:dyDescent="0.25">
      <c r="A2315" s="3">
        <v>41831</v>
      </c>
      <c r="B2315" s="36">
        <v>184</v>
      </c>
      <c r="C2315" t="s">
        <v>3176</v>
      </c>
      <c r="D2315">
        <v>12.24</v>
      </c>
      <c r="E2315" s="18">
        <v>1224</v>
      </c>
      <c r="G2315" t="s">
        <v>3177</v>
      </c>
      <c r="H2315" s="18">
        <v>1224</v>
      </c>
      <c r="I2315" s="3">
        <v>41831</v>
      </c>
      <c r="J2315"/>
      <c r="L2315"/>
      <c r="M2315"/>
      <c r="N2315" s="20"/>
      <c r="O2315" t="s">
        <v>931</v>
      </c>
      <c r="P2315" s="20"/>
      <c r="Q2315" s="20"/>
      <c r="R2315" s="20"/>
      <c r="S2315" s="20"/>
      <c r="T2315" s="20"/>
    </row>
    <row r="2316" spans="1:21" x14ac:dyDescent="0.25">
      <c r="A2316" s="3">
        <v>41851</v>
      </c>
      <c r="B2316" s="36">
        <v>184</v>
      </c>
      <c r="C2316" t="s">
        <v>3178</v>
      </c>
      <c r="D2316">
        <v>7.5</v>
      </c>
      <c r="E2316" s="18">
        <v>750</v>
      </c>
      <c r="F2316" t="s">
        <v>889</v>
      </c>
      <c r="G2316" t="s">
        <v>3179</v>
      </c>
      <c r="H2316" s="18">
        <v>750</v>
      </c>
      <c r="I2316" s="3">
        <v>41851</v>
      </c>
      <c r="J2316"/>
      <c r="L2316"/>
      <c r="M2316"/>
      <c r="N2316" s="20"/>
      <c r="O2316" t="s">
        <v>931</v>
      </c>
      <c r="P2316" s="20"/>
      <c r="Q2316" s="20"/>
      <c r="R2316" s="20"/>
      <c r="S2316" s="20"/>
      <c r="T2316" s="20"/>
    </row>
    <row r="2317" spans="1:21" x14ac:dyDescent="0.25">
      <c r="A2317" s="3">
        <v>41858</v>
      </c>
      <c r="B2317" s="36">
        <v>184</v>
      </c>
      <c r="C2317" t="s">
        <v>3180</v>
      </c>
      <c r="D2317">
        <v>24</v>
      </c>
      <c r="E2317" s="18">
        <v>2400</v>
      </c>
      <c r="F2317" t="s">
        <v>889</v>
      </c>
      <c r="G2317" t="s">
        <v>3181</v>
      </c>
      <c r="H2317" s="18">
        <v>2400</v>
      </c>
      <c r="I2317" s="3">
        <v>41858</v>
      </c>
      <c r="J2317"/>
      <c r="L2317"/>
      <c r="M2317"/>
      <c r="N2317" s="20"/>
      <c r="O2317"/>
      <c r="P2317" s="20"/>
      <c r="Q2317" s="20"/>
      <c r="R2317" s="20"/>
      <c r="S2317" s="20"/>
      <c r="T2317" s="20"/>
    </row>
    <row r="2318" spans="1:21" x14ac:dyDescent="0.25">
      <c r="A2318" s="3">
        <v>41957</v>
      </c>
      <c r="B2318" s="36">
        <v>184</v>
      </c>
      <c r="C2318" t="s">
        <v>3174</v>
      </c>
      <c r="D2318">
        <v>7.14</v>
      </c>
      <c r="E2318" s="18">
        <v>714</v>
      </c>
      <c r="F2318" t="s">
        <v>889</v>
      </c>
      <c r="G2318" t="s">
        <v>3175</v>
      </c>
      <c r="H2318" s="18">
        <v>714</v>
      </c>
      <c r="I2318" s="3">
        <v>41957</v>
      </c>
      <c r="J2318"/>
      <c r="L2318"/>
      <c r="M2318"/>
      <c r="N2318" s="20"/>
      <c r="O2318" t="s">
        <v>959</v>
      </c>
      <c r="P2318" s="20"/>
      <c r="Q2318" s="20"/>
      <c r="R2318" s="20"/>
      <c r="S2318" s="20"/>
      <c r="T2318" s="20"/>
    </row>
    <row r="2319" spans="1:21" x14ac:dyDescent="0.25">
      <c r="A2319" s="3">
        <v>41985</v>
      </c>
      <c r="B2319" s="36">
        <v>184</v>
      </c>
      <c r="C2319" t="s">
        <v>3176</v>
      </c>
      <c r="D2319">
        <v>12.24</v>
      </c>
      <c r="E2319" s="18">
        <v>1224</v>
      </c>
      <c r="F2319" t="s">
        <v>889</v>
      </c>
      <c r="G2319" t="s">
        <v>3177</v>
      </c>
      <c r="H2319" s="18">
        <v>1224</v>
      </c>
      <c r="I2319" s="3">
        <v>41985</v>
      </c>
      <c r="J2319"/>
      <c r="L2319"/>
      <c r="M2319"/>
      <c r="N2319" s="20"/>
      <c r="O2319" t="s">
        <v>959</v>
      </c>
      <c r="P2319" s="20"/>
      <c r="Q2319" s="20"/>
      <c r="R2319" s="20"/>
      <c r="S2319" s="20"/>
      <c r="T2319" s="20"/>
    </row>
    <row r="2320" spans="1:21" x14ac:dyDescent="0.25">
      <c r="A2320" s="3">
        <v>41999</v>
      </c>
      <c r="B2320" s="36">
        <v>184</v>
      </c>
      <c r="C2320" t="s">
        <v>3178</v>
      </c>
      <c r="D2320">
        <v>15.3</v>
      </c>
      <c r="E2320" s="18">
        <v>2310</v>
      </c>
      <c r="F2320" t="s">
        <v>889</v>
      </c>
      <c r="G2320" t="s">
        <v>3179</v>
      </c>
      <c r="H2320" s="18">
        <v>2310</v>
      </c>
      <c r="I2320" s="3">
        <v>41999</v>
      </c>
      <c r="J2320"/>
      <c r="L2320"/>
      <c r="M2320"/>
      <c r="N2320" s="20"/>
      <c r="O2320" t="s">
        <v>959</v>
      </c>
      <c r="P2320" s="20"/>
      <c r="Q2320" s="20"/>
      <c r="R2320" s="20"/>
      <c r="S2320" s="20"/>
      <c r="T2320" s="20"/>
    </row>
    <row r="2321" spans="1:21" x14ac:dyDescent="0.25">
      <c r="B2321">
        <v>184</v>
      </c>
      <c r="C2321" t="s">
        <v>3178</v>
      </c>
      <c r="D2321">
        <v>7.25</v>
      </c>
      <c r="E2321" s="18">
        <v>-1610</v>
      </c>
      <c r="F2321" t="s">
        <v>889</v>
      </c>
      <c r="G2321" t="s">
        <v>3179</v>
      </c>
      <c r="I2321"/>
      <c r="J2321"/>
      <c r="L2321"/>
      <c r="M2321"/>
      <c r="O2321"/>
      <c r="P2321" s="20"/>
      <c r="Q2321" s="20"/>
      <c r="R2321" s="20"/>
      <c r="S2321" s="20"/>
      <c r="T2321" s="20"/>
      <c r="U2321" t="s">
        <v>401</v>
      </c>
    </row>
    <row r="2322" spans="1:21" x14ac:dyDescent="0.25">
      <c r="B2322">
        <v>184</v>
      </c>
      <c r="C2322" t="s">
        <v>3182</v>
      </c>
      <c r="D2322">
        <v>6.5</v>
      </c>
      <c r="E2322" s="18">
        <v>650</v>
      </c>
      <c r="F2322" t="s">
        <v>889</v>
      </c>
      <c r="G2322" t="s">
        <v>3183</v>
      </c>
      <c r="I2322"/>
      <c r="J2322"/>
      <c r="L2322"/>
      <c r="M2322"/>
      <c r="O2322"/>
      <c r="P2322" s="20"/>
      <c r="Q2322" s="20"/>
      <c r="R2322" s="20"/>
      <c r="S2322" s="20"/>
      <c r="T2322" s="20"/>
      <c r="U2322" t="s">
        <v>401</v>
      </c>
    </row>
    <row r="2323" spans="1:21" x14ac:dyDescent="0.25">
      <c r="B2323">
        <v>184</v>
      </c>
      <c r="C2323" t="s">
        <v>3182</v>
      </c>
      <c r="D2323">
        <v>6.5</v>
      </c>
      <c r="E2323" s="18">
        <v>216.66666666666666</v>
      </c>
      <c r="F2323" t="s">
        <v>889</v>
      </c>
      <c r="G2323" t="s">
        <v>3183</v>
      </c>
      <c r="I2323"/>
      <c r="J2323"/>
      <c r="L2323"/>
      <c r="M2323"/>
      <c r="O2323"/>
      <c r="P2323" s="20"/>
      <c r="Q2323" s="20"/>
      <c r="R2323" s="20"/>
      <c r="S2323" s="20"/>
      <c r="T2323" s="20"/>
      <c r="U2323" t="s">
        <v>401</v>
      </c>
    </row>
    <row r="2324" spans="1:21" x14ac:dyDescent="0.25">
      <c r="B2324">
        <v>184</v>
      </c>
      <c r="C2324" t="s">
        <v>3182</v>
      </c>
      <c r="E2324" s="18">
        <v>216.66666666666666</v>
      </c>
      <c r="G2324" t="s">
        <v>3183</v>
      </c>
      <c r="I2324"/>
      <c r="J2324"/>
      <c r="L2324"/>
      <c r="M2324"/>
      <c r="O2324"/>
      <c r="P2324" s="20"/>
      <c r="Q2324" s="20"/>
      <c r="R2324" s="20"/>
      <c r="S2324" s="20"/>
      <c r="T2324" s="20"/>
      <c r="U2324" t="s">
        <v>401</v>
      </c>
    </row>
    <row r="2325" spans="1:21" x14ac:dyDescent="0.25">
      <c r="B2325">
        <v>184</v>
      </c>
      <c r="C2325" t="s">
        <v>3168</v>
      </c>
      <c r="D2325">
        <v>18.36</v>
      </c>
      <c r="E2325" s="18">
        <v>-1836</v>
      </c>
      <c r="F2325" t="s">
        <v>889</v>
      </c>
      <c r="G2325" t="s">
        <v>3169</v>
      </c>
      <c r="I2325"/>
      <c r="J2325"/>
      <c r="L2325"/>
      <c r="M2325"/>
      <c r="O2325"/>
      <c r="P2325" s="20"/>
      <c r="Q2325" s="20"/>
      <c r="R2325" s="20"/>
      <c r="S2325" s="20"/>
      <c r="T2325" s="20"/>
      <c r="U2325" t="s">
        <v>401</v>
      </c>
    </row>
    <row r="2326" spans="1:21" x14ac:dyDescent="0.25">
      <c r="B2326">
        <v>184</v>
      </c>
      <c r="C2326" t="s">
        <v>3172</v>
      </c>
      <c r="D2326">
        <v>5.3550000000000004</v>
      </c>
      <c r="E2326" s="18">
        <v>-535.5</v>
      </c>
      <c r="F2326" t="s">
        <v>889</v>
      </c>
      <c r="G2326" t="s">
        <v>3173</v>
      </c>
      <c r="I2326"/>
      <c r="J2326"/>
      <c r="L2326"/>
      <c r="M2326"/>
      <c r="O2326"/>
      <c r="P2326" s="20"/>
      <c r="Q2326" s="20"/>
      <c r="R2326" s="20"/>
      <c r="S2326" s="20"/>
      <c r="T2326" s="20"/>
      <c r="U2326" t="s">
        <v>401</v>
      </c>
    </row>
    <row r="2327" spans="1:21" x14ac:dyDescent="0.25">
      <c r="B2327">
        <v>184</v>
      </c>
      <c r="C2327" t="s">
        <v>3170</v>
      </c>
      <c r="D2327">
        <v>8.16</v>
      </c>
      <c r="E2327" s="18">
        <v>-816</v>
      </c>
      <c r="F2327" t="s">
        <v>889</v>
      </c>
      <c r="G2327" t="s">
        <v>3171</v>
      </c>
      <c r="I2327"/>
      <c r="J2327"/>
      <c r="L2327"/>
      <c r="M2327"/>
      <c r="O2327"/>
      <c r="P2327" s="20"/>
      <c r="Q2327" s="20"/>
      <c r="R2327" s="20"/>
      <c r="S2327" s="20"/>
      <c r="T2327" s="20"/>
      <c r="U2327" t="s">
        <v>401</v>
      </c>
    </row>
    <row r="2328" spans="1:21" x14ac:dyDescent="0.25">
      <c r="B2328">
        <v>184</v>
      </c>
      <c r="C2328" t="s">
        <v>3180</v>
      </c>
      <c r="D2328">
        <v>24</v>
      </c>
      <c r="E2328" s="18">
        <v>-2400</v>
      </c>
      <c r="F2328" t="s">
        <v>889</v>
      </c>
      <c r="G2328" t="s">
        <v>3181</v>
      </c>
      <c r="I2328"/>
      <c r="J2328"/>
      <c r="L2328"/>
      <c r="M2328"/>
      <c r="O2328"/>
      <c r="P2328" s="20"/>
      <c r="Q2328" s="20"/>
      <c r="R2328" s="20"/>
      <c r="S2328" s="20"/>
      <c r="T2328" s="20"/>
      <c r="U2328" t="s">
        <v>401</v>
      </c>
    </row>
    <row r="2329" spans="1:21" x14ac:dyDescent="0.25">
      <c r="A2329" s="3">
        <v>41803</v>
      </c>
      <c r="B2329" s="36">
        <v>185</v>
      </c>
      <c r="C2329" t="s">
        <v>3184</v>
      </c>
      <c r="E2329" s="18">
        <v>900</v>
      </c>
      <c r="G2329" t="s">
        <v>442</v>
      </c>
      <c r="H2329" s="18" t="s">
        <v>442</v>
      </c>
      <c r="I2329" s="3" t="s">
        <v>442</v>
      </c>
      <c r="J2329"/>
      <c r="L2329"/>
      <c r="M2329"/>
      <c r="N2329" s="20"/>
      <c r="O2329"/>
      <c r="P2329" s="20"/>
      <c r="Q2329" s="20"/>
      <c r="R2329" s="20"/>
      <c r="S2329" s="20"/>
      <c r="T2329" s="20" t="s">
        <v>401</v>
      </c>
    </row>
    <row r="2330" spans="1:21" x14ac:dyDescent="0.25">
      <c r="A2330" s="3">
        <v>41810</v>
      </c>
      <c r="B2330" s="36">
        <v>185</v>
      </c>
      <c r="C2330" t="s">
        <v>3185</v>
      </c>
      <c r="E2330" s="18">
        <v>1000</v>
      </c>
      <c r="G2330" t="s">
        <v>442</v>
      </c>
      <c r="H2330" s="18" t="s">
        <v>442</v>
      </c>
      <c r="I2330" s="3" t="s">
        <v>442</v>
      </c>
      <c r="J2330"/>
      <c r="L2330"/>
      <c r="M2330"/>
      <c r="N2330" s="20"/>
      <c r="O2330"/>
      <c r="P2330" s="20"/>
      <c r="Q2330" s="20"/>
      <c r="R2330" s="20"/>
      <c r="S2330" s="20"/>
      <c r="T2330" s="20" t="s">
        <v>401</v>
      </c>
    </row>
    <row r="2331" spans="1:21" x14ac:dyDescent="0.25">
      <c r="A2331" s="3">
        <v>41817</v>
      </c>
      <c r="B2331" s="36">
        <v>185</v>
      </c>
      <c r="C2331" t="s">
        <v>3186</v>
      </c>
      <c r="E2331" s="18">
        <v>1000</v>
      </c>
      <c r="G2331" t="s">
        <v>442</v>
      </c>
      <c r="H2331" s="18" t="s">
        <v>442</v>
      </c>
      <c r="I2331" s="3" t="s">
        <v>442</v>
      </c>
      <c r="J2331"/>
      <c r="L2331"/>
      <c r="M2331"/>
      <c r="N2331" s="20"/>
      <c r="O2331"/>
      <c r="P2331" s="20"/>
      <c r="Q2331" s="20"/>
      <c r="R2331" s="20"/>
      <c r="S2331" s="20"/>
      <c r="T2331" s="20" t="s">
        <v>401</v>
      </c>
    </row>
    <row r="2332" spans="1:21" x14ac:dyDescent="0.25">
      <c r="A2332" s="3">
        <v>41823</v>
      </c>
      <c r="B2332" s="36">
        <v>185</v>
      </c>
      <c r="C2332" t="s">
        <v>3187</v>
      </c>
      <c r="E2332" s="18">
        <v>1000</v>
      </c>
      <c r="G2332" t="s">
        <v>442</v>
      </c>
      <c r="H2332" s="18" t="s">
        <v>442</v>
      </c>
      <c r="I2332" s="3" t="s">
        <v>442</v>
      </c>
      <c r="J2332"/>
      <c r="L2332"/>
      <c r="M2332"/>
      <c r="N2332" s="20"/>
      <c r="O2332"/>
      <c r="P2332" s="20"/>
      <c r="Q2332" s="20"/>
      <c r="R2332" s="20"/>
      <c r="S2332" s="20"/>
      <c r="T2332" s="20" t="s">
        <v>401</v>
      </c>
    </row>
    <row r="2333" spans="1:21" x14ac:dyDescent="0.25">
      <c r="A2333" s="3">
        <v>41831</v>
      </c>
      <c r="B2333" s="36">
        <v>185</v>
      </c>
      <c r="C2333" t="s">
        <v>3188</v>
      </c>
      <c r="E2333" s="18">
        <v>900</v>
      </c>
      <c r="G2333" t="s">
        <v>442</v>
      </c>
      <c r="H2333" s="18" t="s">
        <v>442</v>
      </c>
      <c r="I2333" s="3" t="s">
        <v>442</v>
      </c>
      <c r="J2333"/>
      <c r="L2333"/>
      <c r="M2333"/>
      <c r="N2333" s="20"/>
      <c r="O2333"/>
      <c r="P2333" s="20"/>
      <c r="Q2333" s="20"/>
      <c r="R2333" s="20"/>
      <c r="S2333" s="20"/>
      <c r="T2333" s="20" t="s">
        <v>401</v>
      </c>
    </row>
    <row r="2334" spans="1:21" x14ac:dyDescent="0.25">
      <c r="A2334" s="3">
        <v>41838</v>
      </c>
      <c r="B2334" s="36">
        <v>185</v>
      </c>
      <c r="C2334" t="s">
        <v>954</v>
      </c>
      <c r="E2334" s="18">
        <v>146.63</v>
      </c>
      <c r="G2334" t="s">
        <v>442</v>
      </c>
      <c r="H2334" s="18" t="s">
        <v>442</v>
      </c>
      <c r="I2334" s="3" t="s">
        <v>442</v>
      </c>
      <c r="J2334"/>
      <c r="L2334"/>
      <c r="M2334"/>
      <c r="N2334" s="20" t="s">
        <v>401</v>
      </c>
      <c r="O2334"/>
      <c r="P2334" s="20"/>
      <c r="Q2334" s="20"/>
      <c r="R2334" s="20"/>
      <c r="S2334" s="20"/>
      <c r="T2334" s="20"/>
    </row>
    <row r="2335" spans="1:21" x14ac:dyDescent="0.25">
      <c r="A2335" s="3">
        <v>41838</v>
      </c>
      <c r="B2335" s="36">
        <v>185</v>
      </c>
      <c r="C2335" t="s">
        <v>3189</v>
      </c>
      <c r="E2335" s="18">
        <v>1000</v>
      </c>
      <c r="G2335" t="s">
        <v>442</v>
      </c>
      <c r="H2335" s="18" t="s">
        <v>442</v>
      </c>
      <c r="I2335" s="3" t="s">
        <v>442</v>
      </c>
      <c r="J2335"/>
      <c r="L2335"/>
      <c r="M2335"/>
      <c r="N2335" s="20"/>
      <c r="O2335" t="s">
        <v>3190</v>
      </c>
      <c r="P2335" s="20"/>
      <c r="Q2335" s="20"/>
      <c r="R2335" s="20"/>
      <c r="S2335" s="20"/>
      <c r="T2335" s="20" t="s">
        <v>401</v>
      </c>
    </row>
    <row r="2336" spans="1:21" x14ac:dyDescent="0.25">
      <c r="A2336" s="3">
        <v>41845</v>
      </c>
      <c r="B2336" s="36">
        <v>185</v>
      </c>
      <c r="C2336" t="s">
        <v>3191</v>
      </c>
      <c r="E2336" s="18">
        <v>1000</v>
      </c>
      <c r="G2336" t="s">
        <v>442</v>
      </c>
      <c r="H2336" s="18" t="s">
        <v>442</v>
      </c>
      <c r="I2336" s="3" t="s">
        <v>442</v>
      </c>
      <c r="J2336"/>
      <c r="L2336"/>
      <c r="M2336"/>
      <c r="N2336" s="20"/>
      <c r="O2336"/>
      <c r="P2336" s="20"/>
      <c r="Q2336" s="20"/>
      <c r="R2336" s="20"/>
      <c r="S2336" s="20"/>
      <c r="T2336" s="20" t="s">
        <v>401</v>
      </c>
    </row>
    <row r="2337" spans="1:21" x14ac:dyDescent="0.25">
      <c r="A2337" s="3">
        <v>41852</v>
      </c>
      <c r="B2337" s="36">
        <v>185</v>
      </c>
      <c r="C2337" t="s">
        <v>3192</v>
      </c>
      <c r="E2337" s="18">
        <v>900</v>
      </c>
      <c r="G2337" t="s">
        <v>442</v>
      </c>
      <c r="H2337" s="18" t="s">
        <v>442</v>
      </c>
      <c r="I2337" s="3" t="s">
        <v>442</v>
      </c>
      <c r="J2337"/>
      <c r="L2337"/>
      <c r="M2337"/>
      <c r="N2337" s="20"/>
      <c r="O2337"/>
      <c r="P2337" s="20"/>
      <c r="Q2337" s="20"/>
      <c r="R2337" s="20"/>
      <c r="S2337" s="20"/>
      <c r="T2337" s="20" t="s">
        <v>401</v>
      </c>
    </row>
    <row r="2338" spans="1:21" x14ac:dyDescent="0.25">
      <c r="A2338" s="3">
        <v>41859</v>
      </c>
      <c r="B2338" s="36">
        <v>185</v>
      </c>
      <c r="C2338" t="s">
        <v>3193</v>
      </c>
      <c r="E2338" s="18">
        <v>1000</v>
      </c>
      <c r="F2338" t="s">
        <v>889</v>
      </c>
      <c r="G2338" t="s">
        <v>442</v>
      </c>
      <c r="H2338" s="18" t="s">
        <v>442</v>
      </c>
      <c r="I2338" s="3" t="s">
        <v>442</v>
      </c>
      <c r="J2338"/>
      <c r="L2338"/>
      <c r="M2338"/>
      <c r="N2338" s="20"/>
      <c r="O2338"/>
      <c r="P2338" s="20"/>
      <c r="Q2338" s="20"/>
      <c r="R2338" s="20"/>
      <c r="S2338" s="20"/>
      <c r="T2338" s="20" t="s">
        <v>401</v>
      </c>
    </row>
    <row r="2339" spans="1:21" x14ac:dyDescent="0.25">
      <c r="A2339" s="3">
        <v>41866</v>
      </c>
      <c r="B2339" s="36">
        <v>185</v>
      </c>
      <c r="C2339" t="s">
        <v>3194</v>
      </c>
      <c r="E2339" s="18">
        <v>383.78</v>
      </c>
      <c r="F2339" t="s">
        <v>889</v>
      </c>
      <c r="G2339" t="s">
        <v>442</v>
      </c>
      <c r="H2339" s="18" t="s">
        <v>442</v>
      </c>
      <c r="I2339" s="3" t="s">
        <v>442</v>
      </c>
      <c r="J2339"/>
      <c r="L2339"/>
      <c r="M2339"/>
      <c r="N2339" s="20"/>
      <c r="O2339" t="s">
        <v>1242</v>
      </c>
      <c r="P2339" s="20"/>
      <c r="Q2339" s="20"/>
      <c r="R2339" s="20"/>
      <c r="S2339" s="20" t="s">
        <v>401</v>
      </c>
      <c r="T2339" s="20"/>
    </row>
    <row r="2340" spans="1:21" x14ac:dyDescent="0.25">
      <c r="A2340" s="3">
        <v>41872</v>
      </c>
      <c r="B2340" s="36">
        <v>185</v>
      </c>
      <c r="C2340" t="s">
        <v>3195</v>
      </c>
      <c r="E2340" s="18">
        <v>1000</v>
      </c>
      <c r="G2340" t="s">
        <v>442</v>
      </c>
      <c r="H2340" s="18" t="s">
        <v>442</v>
      </c>
      <c r="I2340" s="3" t="s">
        <v>442</v>
      </c>
      <c r="J2340"/>
      <c r="L2340"/>
      <c r="M2340"/>
      <c r="N2340" s="20"/>
      <c r="O2340"/>
      <c r="P2340" s="20"/>
      <c r="Q2340" s="20"/>
      <c r="R2340" s="20"/>
      <c r="S2340" s="20"/>
      <c r="T2340" s="20" t="s">
        <v>401</v>
      </c>
    </row>
    <row r="2341" spans="1:21" x14ac:dyDescent="0.25">
      <c r="A2341" s="37">
        <v>41876</v>
      </c>
      <c r="B2341" s="36">
        <v>185</v>
      </c>
      <c r="C2341" s="38" t="s">
        <v>3196</v>
      </c>
      <c r="D2341" s="38"/>
      <c r="E2341" s="39">
        <v>616.22500000000002</v>
      </c>
      <c r="F2341" s="38" t="s">
        <v>889</v>
      </c>
      <c r="G2341" t="s">
        <v>442</v>
      </c>
      <c r="H2341" s="18" t="s">
        <v>442</v>
      </c>
      <c r="I2341" s="3" t="s">
        <v>442</v>
      </c>
      <c r="J2341"/>
      <c r="L2341"/>
      <c r="M2341"/>
      <c r="N2341" s="40"/>
      <c r="O2341" s="38" t="s">
        <v>3197</v>
      </c>
      <c r="P2341" s="20"/>
      <c r="Q2341" s="20"/>
      <c r="R2341" s="20"/>
      <c r="S2341" s="20"/>
      <c r="T2341" s="20" t="s">
        <v>401</v>
      </c>
    </row>
    <row r="2342" spans="1:21" x14ac:dyDescent="0.25">
      <c r="A2342" s="3">
        <v>41886</v>
      </c>
      <c r="B2342" s="36">
        <v>185</v>
      </c>
      <c r="C2342" t="s">
        <v>3198</v>
      </c>
      <c r="E2342" s="18">
        <v>1000</v>
      </c>
      <c r="F2342" t="s">
        <v>889</v>
      </c>
      <c r="G2342" t="s">
        <v>442</v>
      </c>
      <c r="H2342" s="18" t="s">
        <v>442</v>
      </c>
      <c r="I2342" s="3" t="s">
        <v>442</v>
      </c>
      <c r="J2342"/>
      <c r="L2342"/>
      <c r="M2342"/>
      <c r="N2342" s="20"/>
      <c r="O2342"/>
      <c r="P2342" s="20"/>
      <c r="Q2342" s="20"/>
      <c r="R2342" s="20"/>
      <c r="S2342" s="20"/>
      <c r="T2342" s="20" t="s">
        <v>401</v>
      </c>
    </row>
    <row r="2343" spans="1:21" x14ac:dyDescent="0.25">
      <c r="A2343" s="3">
        <v>41894</v>
      </c>
      <c r="B2343" s="36">
        <v>185</v>
      </c>
      <c r="C2343" t="s">
        <v>3199</v>
      </c>
      <c r="E2343" s="18">
        <v>1000</v>
      </c>
      <c r="F2343" t="s">
        <v>889</v>
      </c>
      <c r="G2343" t="s">
        <v>442</v>
      </c>
      <c r="H2343" s="18" t="s">
        <v>442</v>
      </c>
      <c r="I2343" s="3" t="s">
        <v>442</v>
      </c>
      <c r="J2343"/>
      <c r="L2343"/>
      <c r="M2343"/>
      <c r="N2343" s="20"/>
      <c r="O2343"/>
      <c r="P2343" s="20"/>
      <c r="Q2343" s="20"/>
      <c r="R2343" s="20"/>
      <c r="S2343" s="20"/>
      <c r="T2343" s="20" t="s">
        <v>401</v>
      </c>
    </row>
    <row r="2344" spans="1:21" x14ac:dyDescent="0.25">
      <c r="A2344" s="3">
        <v>41918</v>
      </c>
      <c r="B2344" s="36">
        <v>185</v>
      </c>
      <c r="C2344" t="s">
        <v>3200</v>
      </c>
      <c r="E2344" s="18">
        <v>250</v>
      </c>
      <c r="F2344" t="s">
        <v>889</v>
      </c>
      <c r="G2344" t="s">
        <v>442</v>
      </c>
      <c r="H2344" s="18" t="s">
        <v>442</v>
      </c>
      <c r="I2344" s="3" t="s">
        <v>442</v>
      </c>
      <c r="J2344"/>
      <c r="L2344"/>
      <c r="M2344"/>
      <c r="N2344" s="20"/>
      <c r="O2344"/>
      <c r="P2344" s="20"/>
      <c r="Q2344" s="20"/>
      <c r="R2344" s="20"/>
      <c r="S2344" s="20"/>
      <c r="T2344" s="20" t="s">
        <v>401</v>
      </c>
    </row>
    <row r="2345" spans="1:21" x14ac:dyDescent="0.25">
      <c r="A2345" s="3">
        <v>41934</v>
      </c>
      <c r="B2345" s="36">
        <v>185</v>
      </c>
      <c r="C2345" t="s">
        <v>3201</v>
      </c>
      <c r="E2345" s="18">
        <v>1208.7</v>
      </c>
      <c r="G2345" t="s">
        <v>442</v>
      </c>
      <c r="H2345" s="18" t="s">
        <v>442</v>
      </c>
      <c r="I2345" s="3" t="s">
        <v>442</v>
      </c>
      <c r="J2345"/>
      <c r="L2345"/>
      <c r="M2345"/>
      <c r="N2345" s="40" t="s">
        <v>401</v>
      </c>
      <c r="O2345"/>
      <c r="P2345" s="20"/>
      <c r="Q2345" s="20"/>
      <c r="R2345" s="20"/>
      <c r="S2345" s="20"/>
      <c r="T2345" s="20"/>
    </row>
    <row r="2346" spans="1:21" x14ac:dyDescent="0.25">
      <c r="A2346" s="3">
        <v>41971</v>
      </c>
      <c r="B2346" s="36">
        <v>185</v>
      </c>
      <c r="C2346" t="s">
        <v>963</v>
      </c>
      <c r="E2346" s="18">
        <v>314.31999999999982</v>
      </c>
      <c r="F2346" t="s">
        <v>889</v>
      </c>
      <c r="G2346" t="s">
        <v>442</v>
      </c>
      <c r="H2346" s="18" t="s">
        <v>442</v>
      </c>
      <c r="I2346" s="3" t="s">
        <v>442</v>
      </c>
      <c r="J2346"/>
      <c r="L2346"/>
      <c r="M2346"/>
      <c r="N2346" s="40" t="s">
        <v>401</v>
      </c>
      <c r="O2346"/>
      <c r="P2346" s="20"/>
      <c r="Q2346" s="20"/>
      <c r="R2346" s="20"/>
      <c r="S2346" s="20"/>
      <c r="T2346" s="20"/>
    </row>
    <row r="2347" spans="1:21" x14ac:dyDescent="0.25">
      <c r="B2347">
        <v>185</v>
      </c>
      <c r="C2347" t="s">
        <v>3196</v>
      </c>
      <c r="E2347" s="18">
        <v>-616.22500000000002</v>
      </c>
      <c r="F2347" t="s">
        <v>889</v>
      </c>
      <c r="G2347" t="s">
        <v>442</v>
      </c>
      <c r="I2347"/>
      <c r="J2347"/>
      <c r="L2347"/>
      <c r="M2347"/>
      <c r="O2347"/>
      <c r="P2347" s="20"/>
      <c r="Q2347" s="20"/>
      <c r="R2347" s="20"/>
      <c r="S2347" s="20"/>
      <c r="T2347" s="20"/>
      <c r="U2347" t="s">
        <v>401</v>
      </c>
    </row>
    <row r="2348" spans="1:21" x14ac:dyDescent="0.25">
      <c r="B2348">
        <v>185</v>
      </c>
      <c r="C2348" t="s">
        <v>969</v>
      </c>
      <c r="E2348" s="18">
        <v>178.5</v>
      </c>
      <c r="I2348"/>
      <c r="J2348"/>
      <c r="L2348"/>
      <c r="M2348"/>
      <c r="O2348"/>
      <c r="P2348" s="20"/>
      <c r="Q2348" s="20"/>
      <c r="R2348" s="20"/>
      <c r="S2348" s="20"/>
      <c r="T2348" s="20"/>
      <c r="U2348" t="s">
        <v>401</v>
      </c>
    </row>
    <row r="2349" spans="1:21" x14ac:dyDescent="0.25">
      <c r="B2349">
        <v>185</v>
      </c>
      <c r="C2349" t="s">
        <v>3200</v>
      </c>
      <c r="E2349" s="18">
        <v>-250</v>
      </c>
      <c r="F2349" t="s">
        <v>889</v>
      </c>
      <c r="G2349" t="s">
        <v>442</v>
      </c>
      <c r="I2349"/>
      <c r="J2349"/>
      <c r="L2349"/>
      <c r="M2349"/>
      <c r="O2349"/>
      <c r="P2349" s="20"/>
      <c r="Q2349" s="20"/>
      <c r="R2349" s="20"/>
      <c r="S2349" s="20"/>
      <c r="T2349" s="20"/>
      <c r="U2349" t="s">
        <v>401</v>
      </c>
    </row>
    <row r="2350" spans="1:21" x14ac:dyDescent="0.25">
      <c r="B2350">
        <v>185</v>
      </c>
      <c r="C2350" t="s">
        <v>3202</v>
      </c>
      <c r="D2350">
        <v>15</v>
      </c>
      <c r="E2350" s="18">
        <v>-1500</v>
      </c>
      <c r="F2350" t="s">
        <v>889</v>
      </c>
      <c r="G2350" t="s">
        <v>3203</v>
      </c>
      <c r="I2350"/>
      <c r="J2350"/>
      <c r="L2350"/>
      <c r="M2350"/>
      <c r="O2350"/>
      <c r="P2350" s="20"/>
      <c r="Q2350" s="20"/>
      <c r="R2350" s="20"/>
      <c r="S2350" s="20"/>
      <c r="T2350" s="20"/>
      <c r="U2350" t="s">
        <v>401</v>
      </c>
    </row>
    <row r="2351" spans="1:21" x14ac:dyDescent="0.25">
      <c r="B2351">
        <v>185</v>
      </c>
      <c r="C2351" t="s">
        <v>3202</v>
      </c>
      <c r="D2351">
        <v>15</v>
      </c>
      <c r="E2351" s="18">
        <v>1500</v>
      </c>
      <c r="F2351" t="s">
        <v>889</v>
      </c>
      <c r="G2351" t="s">
        <v>3203</v>
      </c>
      <c r="I2351"/>
      <c r="J2351"/>
      <c r="L2351"/>
      <c r="M2351"/>
      <c r="O2351"/>
      <c r="P2351" s="20"/>
      <c r="Q2351" s="20"/>
      <c r="R2351" s="20"/>
      <c r="S2351" s="20"/>
      <c r="T2351" s="20"/>
      <c r="U2351" t="s">
        <v>401</v>
      </c>
    </row>
    <row r="2352" spans="1:21" x14ac:dyDescent="0.25">
      <c r="B2352">
        <v>185</v>
      </c>
      <c r="C2352" t="s">
        <v>967</v>
      </c>
      <c r="E2352" s="18">
        <v>-195.07999999999993</v>
      </c>
      <c r="F2352" t="s">
        <v>889</v>
      </c>
      <c r="G2352" t="s">
        <v>442</v>
      </c>
      <c r="I2352"/>
      <c r="J2352"/>
      <c r="L2352"/>
      <c r="M2352"/>
      <c r="O2352"/>
      <c r="P2352" s="20"/>
      <c r="Q2352" s="20"/>
      <c r="R2352" s="20"/>
      <c r="S2352" s="20"/>
      <c r="T2352" s="20"/>
      <c r="U2352" t="s">
        <v>401</v>
      </c>
    </row>
    <row r="2353" spans="2:21" x14ac:dyDescent="0.25">
      <c r="B2353">
        <v>185</v>
      </c>
      <c r="C2353" t="s">
        <v>3201</v>
      </c>
      <c r="E2353" s="18">
        <v>-1208.7</v>
      </c>
      <c r="F2353" t="s">
        <v>889</v>
      </c>
      <c r="G2353" t="s">
        <v>442</v>
      </c>
      <c r="I2353"/>
      <c r="J2353"/>
      <c r="L2353"/>
      <c r="M2353"/>
      <c r="O2353"/>
      <c r="P2353" s="20"/>
      <c r="Q2353" s="20"/>
      <c r="R2353" s="20"/>
      <c r="S2353" s="20"/>
      <c r="T2353" s="20"/>
      <c r="U2353" t="s">
        <v>401</v>
      </c>
    </row>
    <row r="2354" spans="2:21" x14ac:dyDescent="0.25">
      <c r="B2354">
        <v>185</v>
      </c>
      <c r="C2354" t="s">
        <v>3184</v>
      </c>
      <c r="E2354" s="18">
        <v>-900</v>
      </c>
      <c r="G2354" t="s">
        <v>442</v>
      </c>
      <c r="I2354"/>
      <c r="J2354"/>
      <c r="L2354"/>
      <c r="M2354"/>
      <c r="O2354"/>
      <c r="P2354" s="20"/>
      <c r="Q2354" s="20"/>
      <c r="R2354" s="20"/>
      <c r="S2354" s="20"/>
      <c r="T2354" s="20"/>
      <c r="U2354" t="s">
        <v>401</v>
      </c>
    </row>
    <row r="2355" spans="2:21" x14ac:dyDescent="0.25">
      <c r="B2355">
        <v>185</v>
      </c>
      <c r="C2355" t="s">
        <v>3185</v>
      </c>
      <c r="E2355" s="18">
        <v>-1000</v>
      </c>
      <c r="G2355" t="s">
        <v>442</v>
      </c>
      <c r="I2355"/>
      <c r="J2355"/>
      <c r="L2355"/>
      <c r="M2355"/>
      <c r="O2355"/>
      <c r="P2355" s="20"/>
      <c r="Q2355" s="20"/>
      <c r="R2355" s="20"/>
      <c r="S2355" s="20"/>
      <c r="T2355" s="20"/>
      <c r="U2355" t="s">
        <v>401</v>
      </c>
    </row>
    <row r="2356" spans="2:21" x14ac:dyDescent="0.25">
      <c r="B2356">
        <v>185</v>
      </c>
      <c r="C2356" t="s">
        <v>3186</v>
      </c>
      <c r="E2356" s="18">
        <v>-1000</v>
      </c>
      <c r="G2356" t="s">
        <v>442</v>
      </c>
      <c r="I2356"/>
      <c r="J2356"/>
      <c r="L2356"/>
      <c r="M2356"/>
      <c r="O2356"/>
      <c r="P2356" s="20"/>
      <c r="Q2356" s="20"/>
      <c r="R2356" s="20"/>
      <c r="S2356" s="20"/>
      <c r="T2356" s="20"/>
      <c r="U2356" t="s">
        <v>401</v>
      </c>
    </row>
    <row r="2357" spans="2:21" x14ac:dyDescent="0.25">
      <c r="B2357">
        <v>185</v>
      </c>
      <c r="C2357" t="s">
        <v>3188</v>
      </c>
      <c r="E2357" s="18">
        <v>-900</v>
      </c>
      <c r="G2357" t="s">
        <v>442</v>
      </c>
      <c r="I2357"/>
      <c r="J2357"/>
      <c r="L2357"/>
      <c r="M2357"/>
      <c r="O2357"/>
      <c r="P2357" s="20"/>
      <c r="Q2357" s="20"/>
      <c r="R2357" s="20"/>
      <c r="S2357" s="20"/>
      <c r="T2357" s="20"/>
      <c r="U2357" t="s">
        <v>401</v>
      </c>
    </row>
    <row r="2358" spans="2:21" x14ac:dyDescent="0.25">
      <c r="B2358">
        <v>185</v>
      </c>
      <c r="C2358" t="s">
        <v>3189</v>
      </c>
      <c r="E2358" s="18">
        <v>-1000</v>
      </c>
      <c r="G2358" t="s">
        <v>442</v>
      </c>
      <c r="I2358"/>
      <c r="J2358"/>
      <c r="L2358"/>
      <c r="M2358"/>
      <c r="O2358"/>
      <c r="P2358" s="20"/>
      <c r="Q2358" s="20"/>
      <c r="R2358" s="20"/>
      <c r="S2358" s="20"/>
      <c r="T2358" s="20"/>
      <c r="U2358" t="s">
        <v>401</v>
      </c>
    </row>
    <row r="2359" spans="2:21" x14ac:dyDescent="0.25">
      <c r="B2359">
        <v>185</v>
      </c>
      <c r="C2359" t="s">
        <v>3191</v>
      </c>
      <c r="E2359" s="18">
        <v>-1000</v>
      </c>
      <c r="G2359" t="s">
        <v>442</v>
      </c>
      <c r="I2359"/>
      <c r="J2359"/>
      <c r="L2359"/>
      <c r="M2359"/>
      <c r="O2359"/>
      <c r="P2359" s="20"/>
      <c r="Q2359" s="20"/>
      <c r="R2359" s="20"/>
      <c r="S2359" s="20"/>
      <c r="T2359" s="20"/>
      <c r="U2359" t="s">
        <v>401</v>
      </c>
    </row>
    <row r="2360" spans="2:21" x14ac:dyDescent="0.25">
      <c r="B2360">
        <v>185</v>
      </c>
      <c r="C2360" t="s">
        <v>3187</v>
      </c>
      <c r="E2360" s="18">
        <v>-1000</v>
      </c>
      <c r="G2360" t="s">
        <v>442</v>
      </c>
      <c r="I2360"/>
      <c r="J2360"/>
      <c r="L2360"/>
      <c r="M2360"/>
      <c r="O2360"/>
      <c r="P2360" s="20"/>
      <c r="Q2360" s="20"/>
      <c r="R2360" s="20"/>
      <c r="S2360" s="20"/>
      <c r="T2360" s="20"/>
      <c r="U2360" t="s">
        <v>401</v>
      </c>
    </row>
    <row r="2361" spans="2:21" x14ac:dyDescent="0.25">
      <c r="B2361">
        <v>185</v>
      </c>
      <c r="C2361" t="s">
        <v>3192</v>
      </c>
      <c r="E2361" s="18">
        <v>-900</v>
      </c>
      <c r="G2361" t="s">
        <v>442</v>
      </c>
      <c r="I2361"/>
      <c r="J2361"/>
      <c r="L2361"/>
      <c r="M2361"/>
      <c r="O2361"/>
      <c r="P2361" s="20"/>
      <c r="Q2361" s="20"/>
      <c r="R2361" s="20"/>
      <c r="S2361" s="20"/>
      <c r="T2361" s="20"/>
      <c r="U2361" t="s">
        <v>401</v>
      </c>
    </row>
    <row r="2362" spans="2:21" x14ac:dyDescent="0.25">
      <c r="B2362">
        <v>185</v>
      </c>
      <c r="C2362" t="s">
        <v>3195</v>
      </c>
      <c r="E2362" s="18">
        <v>-1000</v>
      </c>
      <c r="G2362" t="s">
        <v>442</v>
      </c>
      <c r="I2362"/>
      <c r="J2362"/>
      <c r="L2362"/>
      <c r="M2362"/>
      <c r="O2362"/>
      <c r="P2362" s="20"/>
      <c r="Q2362" s="20"/>
      <c r="R2362" s="20"/>
      <c r="S2362" s="20"/>
      <c r="T2362" s="20"/>
      <c r="U2362" t="s">
        <v>401</v>
      </c>
    </row>
    <row r="2363" spans="2:21" x14ac:dyDescent="0.25">
      <c r="B2363">
        <v>185</v>
      </c>
      <c r="C2363" t="s">
        <v>3193</v>
      </c>
      <c r="E2363" s="18">
        <v>-1000</v>
      </c>
      <c r="F2363" t="s">
        <v>889</v>
      </c>
      <c r="G2363" t="s">
        <v>442</v>
      </c>
      <c r="I2363"/>
      <c r="J2363"/>
      <c r="L2363"/>
      <c r="M2363"/>
      <c r="O2363"/>
      <c r="P2363" s="20"/>
      <c r="Q2363" s="20"/>
      <c r="R2363" s="20"/>
      <c r="S2363" s="20"/>
      <c r="T2363" s="20"/>
      <c r="U2363" t="s">
        <v>401</v>
      </c>
    </row>
    <row r="2364" spans="2:21" x14ac:dyDescent="0.25">
      <c r="B2364">
        <v>185</v>
      </c>
      <c r="C2364" t="s">
        <v>3199</v>
      </c>
      <c r="E2364" s="18">
        <v>-1000</v>
      </c>
      <c r="F2364" t="s">
        <v>889</v>
      </c>
      <c r="G2364" t="s">
        <v>442</v>
      </c>
      <c r="I2364"/>
      <c r="J2364"/>
      <c r="L2364"/>
      <c r="M2364"/>
      <c r="O2364"/>
      <c r="P2364" s="20"/>
      <c r="Q2364" s="20"/>
      <c r="R2364" s="20"/>
      <c r="S2364" s="20"/>
      <c r="T2364" s="20"/>
      <c r="U2364" t="s">
        <v>401</v>
      </c>
    </row>
    <row r="2365" spans="2:21" x14ac:dyDescent="0.25">
      <c r="B2365">
        <v>185</v>
      </c>
      <c r="C2365" t="s">
        <v>3198</v>
      </c>
      <c r="E2365" s="18">
        <v>-1000</v>
      </c>
      <c r="F2365" t="s">
        <v>889</v>
      </c>
      <c r="G2365" t="s">
        <v>442</v>
      </c>
      <c r="I2365"/>
      <c r="J2365"/>
      <c r="L2365"/>
      <c r="M2365"/>
      <c r="O2365"/>
      <c r="P2365" s="20"/>
      <c r="Q2365" s="20"/>
      <c r="R2365" s="20"/>
      <c r="S2365" s="20"/>
      <c r="T2365" s="20"/>
      <c r="U2365" t="s">
        <v>401</v>
      </c>
    </row>
    <row r="2366" spans="2:21" x14ac:dyDescent="0.25">
      <c r="B2366">
        <v>185</v>
      </c>
      <c r="C2366" t="s">
        <v>3204</v>
      </c>
      <c r="E2366" s="18">
        <v>-533</v>
      </c>
      <c r="I2366"/>
      <c r="J2366"/>
      <c r="L2366"/>
      <c r="M2366"/>
      <c r="O2366"/>
      <c r="P2366" s="20"/>
      <c r="Q2366" s="20"/>
      <c r="R2366" s="20"/>
      <c r="S2366" s="20"/>
      <c r="T2366" s="20"/>
      <c r="U2366" t="s">
        <v>401</v>
      </c>
    </row>
    <row r="2367" spans="2:21" x14ac:dyDescent="0.25">
      <c r="B2367">
        <v>185</v>
      </c>
      <c r="C2367" t="s">
        <v>3205</v>
      </c>
      <c r="E2367" s="18">
        <v>-799.5</v>
      </c>
      <c r="I2367"/>
      <c r="J2367"/>
      <c r="L2367"/>
      <c r="M2367"/>
      <c r="O2367"/>
      <c r="P2367" s="20"/>
      <c r="Q2367" s="20"/>
      <c r="R2367" s="20"/>
      <c r="S2367" s="20"/>
      <c r="T2367" s="20"/>
      <c r="U2367" t="s">
        <v>401</v>
      </c>
    </row>
    <row r="2368" spans="2:21" x14ac:dyDescent="0.25">
      <c r="B2368">
        <v>185</v>
      </c>
      <c r="C2368" t="s">
        <v>1315</v>
      </c>
      <c r="E2368" s="18">
        <v>-367.9890410958904</v>
      </c>
      <c r="I2368"/>
      <c r="J2368"/>
      <c r="L2368"/>
      <c r="M2368"/>
      <c r="O2368"/>
      <c r="P2368" s="20"/>
      <c r="Q2368" s="20"/>
      <c r="R2368" s="20"/>
      <c r="S2368" s="20"/>
      <c r="T2368" s="20"/>
      <c r="U2368" t="s">
        <v>401</v>
      </c>
    </row>
    <row r="2369" spans="1:21" x14ac:dyDescent="0.25">
      <c r="B2369">
        <v>185</v>
      </c>
      <c r="C2369" t="s">
        <v>3206</v>
      </c>
      <c r="E2369" s="18">
        <v>-399.75</v>
      </c>
      <c r="I2369"/>
      <c r="J2369"/>
      <c r="L2369"/>
      <c r="M2369"/>
      <c r="O2369"/>
      <c r="P2369" s="20"/>
      <c r="Q2369" s="20"/>
      <c r="R2369" s="20"/>
      <c r="S2369" s="20"/>
      <c r="T2369" s="20"/>
      <c r="U2369" t="s">
        <v>401</v>
      </c>
    </row>
    <row r="2370" spans="1:21" x14ac:dyDescent="0.25">
      <c r="B2370">
        <v>185</v>
      </c>
      <c r="C2370" t="s">
        <v>3207</v>
      </c>
      <c r="E2370" s="18">
        <v>-105.139726027397</v>
      </c>
      <c r="I2370"/>
      <c r="J2370"/>
      <c r="L2370"/>
      <c r="M2370"/>
      <c r="O2370"/>
      <c r="P2370" s="20"/>
      <c r="Q2370" s="20"/>
      <c r="R2370" s="20"/>
      <c r="S2370" s="20"/>
      <c r="T2370" s="20"/>
      <c r="U2370" t="s">
        <v>401</v>
      </c>
    </row>
    <row r="2371" spans="1:21" x14ac:dyDescent="0.25">
      <c r="B2371">
        <v>185</v>
      </c>
      <c r="C2371" t="s">
        <v>3208</v>
      </c>
      <c r="E2371" s="18">
        <v>-399.75</v>
      </c>
      <c r="I2371"/>
      <c r="J2371"/>
      <c r="L2371"/>
      <c r="M2371"/>
      <c r="O2371"/>
      <c r="P2371" s="20"/>
      <c r="Q2371" s="20"/>
      <c r="R2371" s="20"/>
      <c r="S2371" s="20"/>
      <c r="T2371" s="20"/>
      <c r="U2371" t="s">
        <v>401</v>
      </c>
    </row>
    <row r="2372" spans="1:21" x14ac:dyDescent="0.25">
      <c r="B2372">
        <v>185</v>
      </c>
      <c r="C2372" t="s">
        <v>3209</v>
      </c>
      <c r="E2372" s="18">
        <v>-533</v>
      </c>
      <c r="I2372"/>
      <c r="J2372"/>
      <c r="L2372"/>
      <c r="M2372"/>
      <c r="O2372"/>
      <c r="P2372" s="20"/>
      <c r="Q2372" s="20"/>
      <c r="R2372" s="20"/>
      <c r="S2372" s="20"/>
      <c r="T2372" s="20"/>
      <c r="U2372" t="s">
        <v>401</v>
      </c>
    </row>
    <row r="2373" spans="1:21" x14ac:dyDescent="0.25">
      <c r="B2373">
        <v>185</v>
      </c>
      <c r="C2373" t="s">
        <v>3210</v>
      </c>
      <c r="E2373" s="18">
        <v>-799.5</v>
      </c>
      <c r="I2373"/>
      <c r="J2373"/>
      <c r="L2373"/>
      <c r="M2373"/>
      <c r="O2373"/>
      <c r="P2373" s="20"/>
      <c r="Q2373" s="20"/>
      <c r="R2373" s="20"/>
      <c r="S2373" s="20"/>
      <c r="T2373" s="20"/>
      <c r="U2373" t="s">
        <v>401</v>
      </c>
    </row>
    <row r="2374" spans="1:21" x14ac:dyDescent="0.25">
      <c r="B2374">
        <v>185</v>
      </c>
      <c r="C2374" t="s">
        <v>3211</v>
      </c>
      <c r="D2374">
        <v>4.335</v>
      </c>
      <c r="E2374" s="18">
        <v>650.25</v>
      </c>
      <c r="F2374" t="s">
        <v>889</v>
      </c>
      <c r="G2374" t="s">
        <v>3212</v>
      </c>
      <c r="I2374"/>
      <c r="J2374"/>
      <c r="L2374"/>
      <c r="M2374"/>
      <c r="O2374"/>
      <c r="P2374" s="20"/>
      <c r="Q2374" s="20"/>
      <c r="R2374" s="20"/>
      <c r="S2374" s="20"/>
      <c r="T2374" s="20"/>
      <c r="U2374" t="s">
        <v>401</v>
      </c>
    </row>
    <row r="2375" spans="1:21" x14ac:dyDescent="0.25">
      <c r="A2375" s="3">
        <v>41806</v>
      </c>
      <c r="B2375" s="36">
        <v>187</v>
      </c>
      <c r="C2375" t="s">
        <v>3213</v>
      </c>
      <c r="E2375" s="18">
        <v>325</v>
      </c>
      <c r="G2375" t="s">
        <v>3214</v>
      </c>
      <c r="H2375" s="18">
        <v>325</v>
      </c>
      <c r="I2375" s="3">
        <v>41806</v>
      </c>
      <c r="J2375"/>
      <c r="L2375"/>
      <c r="M2375"/>
      <c r="N2375" s="20"/>
      <c r="O2375"/>
      <c r="P2375" s="20"/>
      <c r="Q2375" s="20"/>
      <c r="R2375" s="20"/>
      <c r="S2375" s="20"/>
      <c r="T2375" s="20"/>
    </row>
    <row r="2376" spans="1:21" x14ac:dyDescent="0.25">
      <c r="A2376" s="3">
        <v>41806</v>
      </c>
      <c r="B2376" s="36">
        <v>187</v>
      </c>
      <c r="C2376" t="s">
        <v>3215</v>
      </c>
      <c r="E2376" s="18">
        <v>825</v>
      </c>
      <c r="G2376" t="s">
        <v>3216</v>
      </c>
      <c r="H2376" s="18">
        <v>825</v>
      </c>
      <c r="I2376" s="3">
        <v>41806</v>
      </c>
      <c r="J2376"/>
      <c r="L2376"/>
      <c r="M2376"/>
      <c r="N2376" s="20"/>
      <c r="O2376"/>
      <c r="P2376" s="20"/>
      <c r="Q2376" s="20"/>
      <c r="R2376" s="20"/>
      <c r="S2376" s="20"/>
      <c r="T2376" s="20"/>
    </row>
    <row r="2377" spans="1:21" x14ac:dyDescent="0.25">
      <c r="B2377">
        <v>187</v>
      </c>
      <c r="C2377" t="s">
        <v>3215</v>
      </c>
      <c r="D2377">
        <v>8.25</v>
      </c>
      <c r="E2377" s="18">
        <v>-825</v>
      </c>
      <c r="G2377" t="s">
        <v>3216</v>
      </c>
      <c r="I2377"/>
      <c r="J2377"/>
      <c r="L2377"/>
      <c r="M2377"/>
      <c r="O2377"/>
      <c r="P2377" s="20"/>
      <c r="Q2377" s="20"/>
      <c r="R2377" s="20"/>
      <c r="S2377" s="20"/>
      <c r="T2377" s="20"/>
      <c r="U2377" t="s">
        <v>401</v>
      </c>
    </row>
    <row r="2378" spans="1:21" x14ac:dyDescent="0.25">
      <c r="B2378">
        <v>187</v>
      </c>
      <c r="C2378" t="s">
        <v>3217</v>
      </c>
      <c r="D2378">
        <v>5.0999999999999996</v>
      </c>
      <c r="E2378" s="18">
        <v>509.99999999999994</v>
      </c>
      <c r="F2378" t="s">
        <v>889</v>
      </c>
      <c r="G2378" t="s">
        <v>3214</v>
      </c>
      <c r="I2378"/>
      <c r="J2378"/>
      <c r="L2378"/>
      <c r="M2378"/>
      <c r="O2378"/>
      <c r="P2378" s="20"/>
      <c r="Q2378" s="20"/>
      <c r="R2378" s="20"/>
      <c r="S2378" s="20"/>
      <c r="T2378" s="20"/>
      <c r="U2378" t="s">
        <v>401</v>
      </c>
    </row>
    <row r="2379" spans="1:21" x14ac:dyDescent="0.25">
      <c r="A2379" s="3">
        <v>41838</v>
      </c>
      <c r="B2379" s="36">
        <v>189</v>
      </c>
      <c r="C2379" t="s">
        <v>3218</v>
      </c>
      <c r="D2379">
        <v>5.8650000000000002</v>
      </c>
      <c r="E2379" s="18">
        <v>586.5</v>
      </c>
      <c r="G2379" t="s">
        <v>3219</v>
      </c>
      <c r="H2379" s="18">
        <v>586.5</v>
      </c>
      <c r="I2379" s="3">
        <v>41838</v>
      </c>
      <c r="J2379"/>
      <c r="L2379"/>
      <c r="M2379"/>
      <c r="N2379" s="20"/>
      <c r="O2379" t="s">
        <v>931</v>
      </c>
      <c r="P2379" s="20"/>
      <c r="Q2379" s="20"/>
      <c r="R2379" s="20"/>
      <c r="S2379" s="20"/>
      <c r="T2379" s="20"/>
    </row>
    <row r="2380" spans="1:21" x14ac:dyDescent="0.25">
      <c r="A2380" s="3">
        <v>41865</v>
      </c>
      <c r="B2380" s="36">
        <v>189</v>
      </c>
      <c r="C2380" t="s">
        <v>3220</v>
      </c>
      <c r="D2380">
        <v>5.0999999999999996</v>
      </c>
      <c r="E2380" s="18">
        <v>509.99999999999994</v>
      </c>
      <c r="F2380" t="s">
        <v>889</v>
      </c>
      <c r="G2380" t="s">
        <v>3221</v>
      </c>
      <c r="H2380" s="18">
        <v>509.99999999999994</v>
      </c>
      <c r="I2380" s="3">
        <v>41865</v>
      </c>
      <c r="J2380"/>
      <c r="L2380"/>
      <c r="M2380"/>
      <c r="N2380" s="20"/>
      <c r="O2380"/>
      <c r="P2380" s="20"/>
      <c r="Q2380" s="20"/>
      <c r="R2380" s="20"/>
      <c r="S2380" s="20"/>
      <c r="T2380" s="20"/>
    </row>
    <row r="2381" spans="1:21" x14ac:dyDescent="0.25">
      <c r="A2381" s="3">
        <v>41865</v>
      </c>
      <c r="B2381" s="36">
        <v>189</v>
      </c>
      <c r="C2381" t="s">
        <v>3222</v>
      </c>
      <c r="D2381">
        <v>6.12</v>
      </c>
      <c r="E2381" s="18">
        <v>612</v>
      </c>
      <c r="F2381" t="s">
        <v>889</v>
      </c>
      <c r="G2381" t="s">
        <v>3223</v>
      </c>
      <c r="H2381" s="18">
        <v>612</v>
      </c>
      <c r="I2381" s="3">
        <v>41865</v>
      </c>
      <c r="J2381"/>
      <c r="L2381"/>
      <c r="M2381"/>
      <c r="N2381" s="20"/>
      <c r="O2381"/>
      <c r="P2381" s="20"/>
      <c r="Q2381" s="20"/>
      <c r="R2381" s="20"/>
      <c r="S2381" s="20"/>
      <c r="T2381" s="20"/>
    </row>
    <row r="2382" spans="1:21" x14ac:dyDescent="0.25">
      <c r="B2382">
        <v>189</v>
      </c>
      <c r="C2382" t="s">
        <v>3220</v>
      </c>
      <c r="D2382">
        <v>5.0999999999999996</v>
      </c>
      <c r="E2382" s="18">
        <v>-510</v>
      </c>
      <c r="F2382" t="s">
        <v>889</v>
      </c>
      <c r="G2382" t="s">
        <v>3221</v>
      </c>
      <c r="I2382"/>
      <c r="J2382"/>
      <c r="L2382"/>
      <c r="M2382"/>
      <c r="O2382"/>
      <c r="P2382" s="20"/>
      <c r="Q2382" s="20"/>
      <c r="R2382" s="20"/>
      <c r="S2382" s="20"/>
      <c r="T2382" s="20"/>
      <c r="U2382" t="s">
        <v>401</v>
      </c>
    </row>
    <row r="2383" spans="1:21" x14ac:dyDescent="0.25">
      <c r="B2383">
        <v>189</v>
      </c>
      <c r="C2383" t="s">
        <v>3222</v>
      </c>
      <c r="D2383">
        <v>6.12</v>
      </c>
      <c r="E2383" s="18">
        <v>-612</v>
      </c>
      <c r="F2383" t="s">
        <v>889</v>
      </c>
      <c r="G2383" t="s">
        <v>3223</v>
      </c>
      <c r="I2383"/>
      <c r="J2383"/>
      <c r="L2383"/>
      <c r="M2383"/>
      <c r="O2383"/>
      <c r="P2383" s="20"/>
      <c r="Q2383" s="20"/>
      <c r="R2383" s="20"/>
      <c r="S2383" s="20"/>
      <c r="T2383" s="20"/>
      <c r="U2383" t="s">
        <v>401</v>
      </c>
    </row>
    <row r="2384" spans="1:21" x14ac:dyDescent="0.25">
      <c r="B2384">
        <v>189</v>
      </c>
      <c r="C2384" t="s">
        <v>3218</v>
      </c>
      <c r="D2384">
        <v>5.8650000000000002</v>
      </c>
      <c r="E2384" s="18">
        <v>-586.5</v>
      </c>
      <c r="F2384" t="s">
        <v>889</v>
      </c>
      <c r="G2384" t="s">
        <v>3219</v>
      </c>
      <c r="I2384"/>
      <c r="J2384"/>
      <c r="L2384"/>
      <c r="M2384"/>
      <c r="O2384"/>
      <c r="P2384" s="20"/>
      <c r="Q2384" s="20"/>
      <c r="R2384" s="20"/>
      <c r="S2384" s="20"/>
      <c r="T2384" s="20"/>
      <c r="U2384" t="s">
        <v>401</v>
      </c>
    </row>
    <row r="2385" spans="1:20" x14ac:dyDescent="0.25">
      <c r="A2385" s="3">
        <v>42031</v>
      </c>
      <c r="B2385">
        <v>190</v>
      </c>
      <c r="C2385" t="s">
        <v>3224</v>
      </c>
      <c r="E2385" s="18">
        <v>1405.57</v>
      </c>
      <c r="F2385" s="18" t="s">
        <v>889</v>
      </c>
      <c r="G2385" t="s">
        <v>3225</v>
      </c>
      <c r="I2385"/>
      <c r="J2385"/>
      <c r="L2385"/>
      <c r="M2385"/>
      <c r="O2385"/>
      <c r="P2385" s="20"/>
      <c r="Q2385" s="20"/>
      <c r="R2385" s="20"/>
      <c r="S2385" s="20"/>
      <c r="T2385" s="20"/>
    </row>
    <row r="2386" spans="1:20" x14ac:dyDescent="0.25">
      <c r="A2386" s="37">
        <v>41670</v>
      </c>
      <c r="B2386" s="36">
        <v>191</v>
      </c>
      <c r="C2386" s="38" t="s">
        <v>3226</v>
      </c>
      <c r="D2386" s="38">
        <v>5</v>
      </c>
      <c r="E2386" s="39">
        <v>591.22</v>
      </c>
      <c r="F2386" s="38" t="s">
        <v>889</v>
      </c>
      <c r="G2386" t="s">
        <v>3227</v>
      </c>
      <c r="H2386" s="18">
        <v>591.22</v>
      </c>
      <c r="I2386" s="3">
        <v>41670</v>
      </c>
      <c r="J2386"/>
      <c r="L2386"/>
      <c r="M2386"/>
      <c r="N2386" s="40"/>
      <c r="O2386" s="38"/>
      <c r="P2386" s="20"/>
      <c r="Q2386" s="20"/>
      <c r="R2386" s="20"/>
      <c r="S2386" s="20"/>
      <c r="T2386" s="20"/>
    </row>
    <row r="2387" spans="1:20" x14ac:dyDescent="0.25">
      <c r="A2387" s="3">
        <v>41768</v>
      </c>
      <c r="B2387" s="36">
        <v>191</v>
      </c>
      <c r="C2387" t="s">
        <v>3228</v>
      </c>
      <c r="D2387">
        <v>7.25</v>
      </c>
      <c r="E2387" s="18">
        <v>906.25</v>
      </c>
      <c r="G2387" t="s">
        <v>3229</v>
      </c>
      <c r="H2387" s="18">
        <v>906.25</v>
      </c>
      <c r="I2387" s="3">
        <v>41768</v>
      </c>
      <c r="J2387"/>
      <c r="L2387"/>
      <c r="M2387"/>
      <c r="N2387" s="20"/>
      <c r="O2387"/>
      <c r="P2387" s="20"/>
      <c r="Q2387" s="20"/>
      <c r="R2387" s="20"/>
      <c r="S2387" s="20"/>
      <c r="T2387" s="20"/>
    </row>
    <row r="2388" spans="1:20" x14ac:dyDescent="0.25">
      <c r="A2388" s="46">
        <v>41845</v>
      </c>
      <c r="B2388" s="36">
        <v>191</v>
      </c>
      <c r="C2388" s="47" t="s">
        <v>1313</v>
      </c>
      <c r="D2388" s="47"/>
      <c r="E2388" s="48">
        <v>1000</v>
      </c>
      <c r="F2388" s="47"/>
      <c r="G2388" s="20"/>
      <c r="H2388" s="18" t="s">
        <v>442</v>
      </c>
      <c r="I2388" s="3" t="s">
        <v>442</v>
      </c>
      <c r="J2388" s="20"/>
      <c r="K2388" s="20"/>
      <c r="L2388" s="20"/>
      <c r="M2388" s="20"/>
      <c r="N2388" s="20"/>
      <c r="O2388" s="47"/>
      <c r="P2388" s="20"/>
      <c r="Q2388" s="20"/>
      <c r="R2388" s="20"/>
      <c r="S2388" s="20" t="s">
        <v>401</v>
      </c>
      <c r="T2388" s="20"/>
    </row>
    <row r="2389" spans="1:20" x14ac:dyDescent="0.25">
      <c r="A2389" s="3">
        <v>41873</v>
      </c>
      <c r="B2389" s="36">
        <v>191</v>
      </c>
      <c r="C2389" t="s">
        <v>3226</v>
      </c>
      <c r="D2389">
        <v>5</v>
      </c>
      <c r="E2389" s="18">
        <v>-591.22</v>
      </c>
      <c r="F2389" t="s">
        <v>889</v>
      </c>
      <c r="G2389" t="s">
        <v>3227</v>
      </c>
      <c r="H2389" s="18" t="s">
        <v>442</v>
      </c>
      <c r="I2389" s="3" t="s">
        <v>442</v>
      </c>
      <c r="J2389"/>
      <c r="L2389"/>
      <c r="M2389"/>
      <c r="N2389" s="20"/>
      <c r="O2389"/>
      <c r="P2389" s="20"/>
      <c r="Q2389" s="20"/>
      <c r="R2389" s="20"/>
      <c r="S2389" s="20"/>
      <c r="T2389" s="20"/>
    </row>
    <row r="2390" spans="1:20" x14ac:dyDescent="0.25">
      <c r="A2390" s="3">
        <v>41950</v>
      </c>
      <c r="B2390" s="36">
        <v>191</v>
      </c>
      <c r="C2390" t="s">
        <v>3228</v>
      </c>
      <c r="D2390">
        <v>7.25</v>
      </c>
      <c r="E2390" s="18">
        <v>906.25</v>
      </c>
      <c r="F2390" t="s">
        <v>889</v>
      </c>
      <c r="G2390" t="s">
        <v>3229</v>
      </c>
      <c r="H2390" s="18">
        <v>906.25</v>
      </c>
      <c r="I2390" s="3">
        <v>41950</v>
      </c>
      <c r="J2390"/>
      <c r="L2390"/>
      <c r="M2390"/>
      <c r="N2390" s="20"/>
      <c r="O2390"/>
      <c r="P2390" s="20"/>
      <c r="Q2390" s="20"/>
      <c r="R2390" s="20"/>
      <c r="S2390" s="20"/>
      <c r="T2390" s="20"/>
    </row>
    <row r="2391" spans="1:20" x14ac:dyDescent="0.25">
      <c r="A2391" s="3">
        <v>41810</v>
      </c>
      <c r="B2391" s="36">
        <v>192</v>
      </c>
      <c r="C2391" t="s">
        <v>3230</v>
      </c>
      <c r="D2391">
        <v>10</v>
      </c>
      <c r="E2391" s="18">
        <v>1000</v>
      </c>
      <c r="G2391" t="s">
        <v>3231</v>
      </c>
      <c r="H2391" s="18">
        <v>1000</v>
      </c>
      <c r="I2391" s="3">
        <v>41810</v>
      </c>
      <c r="J2391"/>
      <c r="L2391"/>
      <c r="M2391"/>
      <c r="N2391" s="20"/>
      <c r="O2391"/>
      <c r="P2391" s="20"/>
      <c r="Q2391" s="20"/>
      <c r="R2391" s="20"/>
      <c r="S2391" s="20"/>
      <c r="T2391" s="20"/>
    </row>
    <row r="2392" spans="1:20" x14ac:dyDescent="0.25">
      <c r="A2392" s="3">
        <v>41851</v>
      </c>
      <c r="B2392" s="36">
        <v>192</v>
      </c>
      <c r="C2392" t="s">
        <v>3232</v>
      </c>
      <c r="D2392">
        <v>7.3949999999999996</v>
      </c>
      <c r="E2392" s="18">
        <v>739.5</v>
      </c>
      <c r="F2392" t="s">
        <v>889</v>
      </c>
      <c r="G2392" t="s">
        <v>3233</v>
      </c>
      <c r="H2392" s="18">
        <v>739.5</v>
      </c>
      <c r="I2392" s="3">
        <v>41851</v>
      </c>
      <c r="J2392"/>
      <c r="L2392"/>
      <c r="M2392"/>
      <c r="N2392" s="20"/>
      <c r="O2392"/>
      <c r="P2392" s="20"/>
      <c r="Q2392" s="20"/>
      <c r="R2392" s="20"/>
      <c r="S2392" s="20"/>
      <c r="T2392" s="20"/>
    </row>
    <row r="2393" spans="1:20" x14ac:dyDescent="0.25">
      <c r="A2393" s="3">
        <v>42004</v>
      </c>
      <c r="B2393" s="36">
        <v>192</v>
      </c>
      <c r="C2393" t="s">
        <v>3230</v>
      </c>
      <c r="D2393">
        <v>8.67</v>
      </c>
      <c r="E2393" s="18">
        <v>244.66666666666666</v>
      </c>
      <c r="F2393" t="s">
        <v>889</v>
      </c>
      <c r="G2393" t="s">
        <v>3231</v>
      </c>
      <c r="H2393" s="18">
        <v>244.66666666666666</v>
      </c>
      <c r="I2393" s="3">
        <v>42004</v>
      </c>
      <c r="J2393"/>
      <c r="L2393"/>
      <c r="M2393"/>
      <c r="N2393" s="20"/>
      <c r="O2393"/>
      <c r="P2393" s="20"/>
      <c r="Q2393" s="20"/>
      <c r="R2393" s="20"/>
      <c r="S2393" s="20"/>
      <c r="T2393" s="20"/>
    </row>
    <row r="2394" spans="1:20" x14ac:dyDescent="0.25">
      <c r="A2394" s="3">
        <v>42004</v>
      </c>
      <c r="B2394" s="36">
        <v>192</v>
      </c>
      <c r="C2394" t="s">
        <v>3232</v>
      </c>
      <c r="D2394">
        <v>7.3949999999999996</v>
      </c>
      <c r="E2394" s="18">
        <v>246.5</v>
      </c>
      <c r="F2394" t="s">
        <v>889</v>
      </c>
      <c r="G2394" t="s">
        <v>3233</v>
      </c>
      <c r="H2394" s="18">
        <v>246.5</v>
      </c>
      <c r="I2394" s="3">
        <v>42004</v>
      </c>
      <c r="J2394"/>
      <c r="L2394"/>
      <c r="M2394"/>
      <c r="N2394" s="20"/>
      <c r="O2394"/>
      <c r="P2394" s="20"/>
      <c r="Q2394" s="20"/>
      <c r="R2394" s="20"/>
      <c r="S2394" s="20"/>
      <c r="T2394" s="20"/>
    </row>
    <row r="2395" spans="1:20" x14ac:dyDescent="0.25">
      <c r="A2395" s="3">
        <v>42041</v>
      </c>
      <c r="B2395">
        <v>192</v>
      </c>
      <c r="C2395" t="s">
        <v>3230</v>
      </c>
      <c r="E2395" s="18">
        <v>244.66666666666666</v>
      </c>
      <c r="F2395" t="s">
        <v>889</v>
      </c>
      <c r="G2395" t="s">
        <v>3231</v>
      </c>
      <c r="I2395"/>
      <c r="J2395"/>
      <c r="L2395"/>
      <c r="M2395"/>
      <c r="O2395"/>
      <c r="P2395" s="20"/>
      <c r="Q2395" s="20"/>
      <c r="R2395" s="20"/>
      <c r="S2395" s="20"/>
      <c r="T2395" s="20"/>
    </row>
    <row r="2396" spans="1:20" x14ac:dyDescent="0.25">
      <c r="A2396" s="3">
        <v>42041</v>
      </c>
      <c r="B2396">
        <v>192</v>
      </c>
      <c r="C2396" t="s">
        <v>3232</v>
      </c>
      <c r="E2396" s="18">
        <v>246.5</v>
      </c>
      <c r="F2396" t="s">
        <v>889</v>
      </c>
      <c r="G2396" t="s">
        <v>3233</v>
      </c>
      <c r="I2396"/>
      <c r="J2396"/>
      <c r="L2396"/>
      <c r="M2396"/>
      <c r="O2396"/>
      <c r="P2396" s="20"/>
      <c r="Q2396" s="20"/>
      <c r="R2396" s="20"/>
      <c r="S2396" s="20"/>
      <c r="T2396" s="20"/>
    </row>
    <row r="2397" spans="1:20" x14ac:dyDescent="0.25">
      <c r="A2397" s="21">
        <v>41824</v>
      </c>
      <c r="B2397" s="36">
        <v>202</v>
      </c>
      <c r="C2397" s="20" t="s">
        <v>3234</v>
      </c>
      <c r="D2397" s="20">
        <v>7.9050000000000002</v>
      </c>
      <c r="E2397" s="59">
        <v>790.5</v>
      </c>
      <c r="F2397" s="20"/>
      <c r="G2397" t="s">
        <v>3235</v>
      </c>
      <c r="H2397" s="18">
        <v>790.5</v>
      </c>
      <c r="I2397" s="3">
        <v>41824</v>
      </c>
      <c r="J2397"/>
      <c r="L2397"/>
      <c r="M2397"/>
      <c r="N2397" s="20"/>
      <c r="O2397" s="20" t="s">
        <v>1009</v>
      </c>
      <c r="P2397" s="20"/>
      <c r="Q2397" s="20"/>
      <c r="R2397" s="20"/>
      <c r="S2397" s="20"/>
      <c r="T2397" s="20"/>
    </row>
    <row r="2398" spans="1:20" x14ac:dyDescent="0.25">
      <c r="A2398" s="21">
        <v>41831</v>
      </c>
      <c r="B2398" s="36">
        <v>202</v>
      </c>
      <c r="C2398" s="20" t="s">
        <v>3236</v>
      </c>
      <c r="D2398" s="20">
        <v>5.61</v>
      </c>
      <c r="E2398" s="59">
        <v>561</v>
      </c>
      <c r="F2398" s="20"/>
      <c r="G2398" t="s">
        <v>3237</v>
      </c>
      <c r="H2398" s="18">
        <v>561</v>
      </c>
      <c r="I2398" s="3">
        <v>41831</v>
      </c>
      <c r="J2398"/>
      <c r="L2398"/>
      <c r="M2398"/>
      <c r="N2398" s="20"/>
      <c r="O2398" s="20" t="s">
        <v>931</v>
      </c>
      <c r="P2398" s="20"/>
      <c r="Q2398" s="20"/>
      <c r="R2398" s="20"/>
      <c r="S2398" s="20"/>
      <c r="T2398" s="20"/>
    </row>
    <row r="2399" spans="1:20" x14ac:dyDescent="0.25">
      <c r="A2399" s="21">
        <v>41838</v>
      </c>
      <c r="B2399" s="36">
        <v>202</v>
      </c>
      <c r="C2399" s="20" t="s">
        <v>3238</v>
      </c>
      <c r="D2399" s="20">
        <v>14.5</v>
      </c>
      <c r="E2399" s="59">
        <v>1450</v>
      </c>
      <c r="F2399" s="20"/>
      <c r="G2399" t="s">
        <v>3239</v>
      </c>
      <c r="H2399" s="18">
        <v>1450</v>
      </c>
      <c r="I2399" s="3">
        <v>41838</v>
      </c>
      <c r="J2399"/>
      <c r="L2399"/>
      <c r="M2399"/>
      <c r="N2399" s="20"/>
      <c r="O2399" s="20" t="s">
        <v>931</v>
      </c>
      <c r="P2399" s="20"/>
      <c r="Q2399" s="20"/>
      <c r="R2399" s="20"/>
      <c r="S2399" s="20"/>
      <c r="T2399" s="20"/>
    </row>
    <row r="2400" spans="1:20" x14ac:dyDescent="0.25">
      <c r="A2400" s="21">
        <v>41838</v>
      </c>
      <c r="B2400" s="36">
        <v>202</v>
      </c>
      <c r="C2400" s="20" t="s">
        <v>3240</v>
      </c>
      <c r="D2400" s="20">
        <v>7.65</v>
      </c>
      <c r="E2400" s="59">
        <v>765</v>
      </c>
      <c r="F2400" s="20"/>
      <c r="G2400" t="s">
        <v>3241</v>
      </c>
      <c r="H2400" s="18">
        <v>765</v>
      </c>
      <c r="I2400" s="3">
        <v>41838</v>
      </c>
      <c r="J2400"/>
      <c r="L2400"/>
      <c r="M2400"/>
      <c r="N2400" s="20"/>
      <c r="O2400" s="20" t="s">
        <v>931</v>
      </c>
      <c r="P2400" s="20"/>
      <c r="Q2400" s="20"/>
      <c r="R2400" s="20"/>
      <c r="S2400" s="20"/>
      <c r="T2400" s="20"/>
    </row>
    <row r="2401" spans="1:20" x14ac:dyDescent="0.25">
      <c r="A2401" s="66">
        <v>41838</v>
      </c>
      <c r="B2401" s="36">
        <v>202</v>
      </c>
      <c r="C2401" s="67" t="s">
        <v>1313</v>
      </c>
      <c r="D2401" s="67"/>
      <c r="E2401" s="68">
        <v>849</v>
      </c>
      <c r="F2401" s="67"/>
      <c r="G2401" s="20"/>
      <c r="H2401" s="18" t="s">
        <v>442</v>
      </c>
      <c r="I2401" s="3" t="s">
        <v>442</v>
      </c>
      <c r="J2401" s="20"/>
      <c r="K2401" s="20"/>
      <c r="L2401" s="20"/>
      <c r="M2401" s="20"/>
      <c r="N2401" s="40"/>
      <c r="O2401" s="67"/>
      <c r="P2401" s="20"/>
      <c r="Q2401" s="20"/>
      <c r="R2401" s="20"/>
      <c r="S2401" s="20" t="s">
        <v>401</v>
      </c>
      <c r="T2401" s="20"/>
    </row>
    <row r="2402" spans="1:20" x14ac:dyDescent="0.25">
      <c r="A2402" s="21">
        <v>41845</v>
      </c>
      <c r="B2402" s="36">
        <v>202</v>
      </c>
      <c r="C2402" s="20" t="s">
        <v>3242</v>
      </c>
      <c r="D2402" s="20">
        <v>5.25</v>
      </c>
      <c r="E2402" s="59">
        <v>525</v>
      </c>
      <c r="F2402" s="20"/>
      <c r="G2402" t="s">
        <v>3243</v>
      </c>
      <c r="H2402" s="18">
        <v>525</v>
      </c>
      <c r="I2402" s="3">
        <v>41845</v>
      </c>
      <c r="J2402"/>
      <c r="L2402"/>
      <c r="M2402"/>
      <c r="N2402" s="20"/>
      <c r="O2402" s="20" t="s">
        <v>931</v>
      </c>
      <c r="P2402" s="20"/>
      <c r="Q2402" s="20"/>
      <c r="R2402" s="20"/>
      <c r="S2402" s="20"/>
      <c r="T2402" s="20"/>
    </row>
    <row r="2403" spans="1:20" x14ac:dyDescent="0.25">
      <c r="A2403" s="21">
        <v>41845</v>
      </c>
      <c r="B2403" s="36">
        <v>202</v>
      </c>
      <c r="C2403" s="20" t="s">
        <v>3234</v>
      </c>
      <c r="D2403" s="20">
        <v>7.9050000000000002</v>
      </c>
      <c r="E2403" s="59">
        <v>-790.5</v>
      </c>
      <c r="F2403" s="20"/>
      <c r="G2403" t="s">
        <v>3235</v>
      </c>
      <c r="H2403" s="18" t="s">
        <v>442</v>
      </c>
      <c r="I2403" s="3" t="s">
        <v>442</v>
      </c>
      <c r="J2403"/>
      <c r="L2403"/>
      <c r="M2403"/>
      <c r="N2403" s="20"/>
      <c r="O2403" s="20" t="s">
        <v>947</v>
      </c>
      <c r="P2403" s="20"/>
      <c r="Q2403" s="20"/>
      <c r="R2403" s="20"/>
      <c r="S2403" s="20"/>
      <c r="T2403" s="20"/>
    </row>
    <row r="2404" spans="1:20" x14ac:dyDescent="0.25">
      <c r="A2404" s="21">
        <v>41845</v>
      </c>
      <c r="B2404" s="36">
        <v>202</v>
      </c>
      <c r="C2404" s="20" t="s">
        <v>3236</v>
      </c>
      <c r="D2404" s="20">
        <v>5.61</v>
      </c>
      <c r="E2404" s="59">
        <v>140.25</v>
      </c>
      <c r="F2404" s="20"/>
      <c r="G2404" t="s">
        <v>3237</v>
      </c>
      <c r="H2404" s="18">
        <v>140.25</v>
      </c>
      <c r="I2404" s="3">
        <v>41845</v>
      </c>
      <c r="J2404"/>
      <c r="L2404"/>
      <c r="M2404"/>
      <c r="N2404" s="20"/>
      <c r="O2404" s="20" t="s">
        <v>3244</v>
      </c>
      <c r="P2404" s="20"/>
      <c r="Q2404" s="20"/>
      <c r="R2404" s="20"/>
      <c r="S2404" s="20"/>
      <c r="T2404" s="20"/>
    </row>
    <row r="2405" spans="1:20" x14ac:dyDescent="0.25">
      <c r="A2405" s="21">
        <v>41845</v>
      </c>
      <c r="B2405" s="36">
        <v>202</v>
      </c>
      <c r="C2405" s="20" t="s">
        <v>3238</v>
      </c>
      <c r="D2405" s="20">
        <v>14.5</v>
      </c>
      <c r="E2405" s="59">
        <v>362.5</v>
      </c>
      <c r="F2405" s="20"/>
      <c r="G2405" t="s">
        <v>3239</v>
      </c>
      <c r="H2405" s="18">
        <v>362.5</v>
      </c>
      <c r="I2405" s="3">
        <v>41845</v>
      </c>
      <c r="J2405"/>
      <c r="L2405"/>
      <c r="M2405"/>
      <c r="N2405" s="20"/>
      <c r="O2405" s="20" t="s">
        <v>3244</v>
      </c>
      <c r="P2405" s="20"/>
      <c r="Q2405" s="20"/>
      <c r="R2405" s="20"/>
      <c r="S2405" s="20"/>
      <c r="T2405" s="20"/>
    </row>
    <row r="2406" spans="1:20" x14ac:dyDescent="0.25">
      <c r="A2406" s="69">
        <v>41845</v>
      </c>
      <c r="B2406" s="36">
        <v>202</v>
      </c>
      <c r="C2406" s="40" t="s">
        <v>3240</v>
      </c>
      <c r="D2406" s="40">
        <v>7.65</v>
      </c>
      <c r="E2406" s="70">
        <v>191.25</v>
      </c>
      <c r="F2406" s="40"/>
      <c r="G2406" t="s">
        <v>3241</v>
      </c>
      <c r="H2406" s="18">
        <v>191.25</v>
      </c>
      <c r="I2406" s="3">
        <v>41845</v>
      </c>
      <c r="J2406"/>
      <c r="L2406"/>
      <c r="M2406"/>
      <c r="N2406" s="40"/>
      <c r="O2406" s="40" t="s">
        <v>3244</v>
      </c>
      <c r="P2406" s="20"/>
      <c r="Q2406" s="20"/>
      <c r="R2406" s="20"/>
      <c r="S2406" s="20"/>
      <c r="T2406" s="20"/>
    </row>
    <row r="2407" spans="1:20" x14ac:dyDescent="0.25">
      <c r="A2407" s="21">
        <v>41862</v>
      </c>
      <c r="B2407" s="36">
        <v>202</v>
      </c>
      <c r="C2407" s="20" t="s">
        <v>3245</v>
      </c>
      <c r="D2407" s="20">
        <v>4.25</v>
      </c>
      <c r="E2407" s="59">
        <v>425</v>
      </c>
      <c r="F2407" s="20" t="s">
        <v>889</v>
      </c>
      <c r="G2407" t="s">
        <v>3246</v>
      </c>
      <c r="H2407" s="18">
        <v>425</v>
      </c>
      <c r="I2407" s="3">
        <v>41862</v>
      </c>
      <c r="J2407"/>
      <c r="L2407"/>
      <c r="M2407"/>
      <c r="N2407" s="20"/>
      <c r="O2407" s="20"/>
      <c r="P2407" s="20"/>
      <c r="Q2407" s="20"/>
      <c r="R2407" s="20"/>
      <c r="S2407" s="20"/>
      <c r="T2407" s="20"/>
    </row>
    <row r="2408" spans="1:20" x14ac:dyDescent="0.25">
      <c r="A2408" s="66">
        <v>41865</v>
      </c>
      <c r="B2408" s="36">
        <v>202</v>
      </c>
      <c r="C2408" s="67" t="s">
        <v>3247</v>
      </c>
      <c r="D2408" s="67"/>
      <c r="E2408" s="68">
        <v>160</v>
      </c>
      <c r="F2408" s="67"/>
      <c r="G2408" s="20"/>
      <c r="H2408" s="18" t="s">
        <v>442</v>
      </c>
      <c r="I2408" s="3" t="s">
        <v>442</v>
      </c>
      <c r="J2408" s="20"/>
      <c r="K2408" s="20"/>
      <c r="L2408" s="20"/>
      <c r="M2408" s="20"/>
      <c r="N2408" s="40"/>
      <c r="O2408" s="67"/>
      <c r="P2408" s="20" t="s">
        <v>401</v>
      </c>
      <c r="Q2408" s="20"/>
      <c r="R2408" s="20"/>
      <c r="S2408" s="20"/>
      <c r="T2408" s="20"/>
    </row>
    <row r="2409" spans="1:20" x14ac:dyDescent="0.25">
      <c r="A2409" s="21">
        <v>41866</v>
      </c>
      <c r="B2409" s="36">
        <v>202</v>
      </c>
      <c r="C2409" s="20" t="s">
        <v>3248</v>
      </c>
      <c r="D2409" s="20"/>
      <c r="E2409" s="59">
        <v>2602.35</v>
      </c>
      <c r="F2409" s="20"/>
      <c r="G2409" t="s">
        <v>442</v>
      </c>
      <c r="H2409" s="18" t="s">
        <v>442</v>
      </c>
      <c r="I2409" s="3" t="s">
        <v>442</v>
      </c>
      <c r="J2409"/>
      <c r="L2409"/>
      <c r="M2409"/>
      <c r="N2409" s="20"/>
      <c r="O2409" s="20"/>
      <c r="P2409" s="20"/>
      <c r="Q2409" s="20"/>
      <c r="R2409" s="20"/>
      <c r="S2409" s="20" t="s">
        <v>401</v>
      </c>
      <c r="T2409" s="20"/>
    </row>
    <row r="2410" spans="1:20" x14ac:dyDescent="0.25">
      <c r="A2410" s="21">
        <v>41904</v>
      </c>
      <c r="B2410" s="36">
        <v>202</v>
      </c>
      <c r="C2410" s="20" t="s">
        <v>3249</v>
      </c>
      <c r="D2410" s="20">
        <v>13</v>
      </c>
      <c r="E2410" s="59">
        <v>1350</v>
      </c>
      <c r="F2410" s="20" t="s">
        <v>889</v>
      </c>
      <c r="G2410" t="s">
        <v>3250</v>
      </c>
      <c r="H2410" s="18">
        <v>1350</v>
      </c>
      <c r="I2410" s="3">
        <v>41904</v>
      </c>
      <c r="J2410"/>
      <c r="L2410"/>
      <c r="M2410"/>
      <c r="N2410" s="20"/>
      <c r="O2410" s="20"/>
      <c r="P2410" s="20"/>
      <c r="Q2410" s="20"/>
      <c r="R2410" s="20"/>
      <c r="S2410" s="20"/>
      <c r="T2410" s="20"/>
    </row>
    <row r="2411" spans="1:20" x14ac:dyDescent="0.25">
      <c r="A2411" s="21">
        <v>41904</v>
      </c>
      <c r="B2411" s="36">
        <v>202</v>
      </c>
      <c r="C2411" s="20" t="s">
        <v>3242</v>
      </c>
      <c r="D2411" s="20">
        <v>5.25</v>
      </c>
      <c r="E2411" s="59">
        <v>-525</v>
      </c>
      <c r="F2411" s="20" t="s">
        <v>889</v>
      </c>
      <c r="G2411" t="s">
        <v>3243</v>
      </c>
      <c r="H2411" s="18" t="s">
        <v>442</v>
      </c>
      <c r="I2411" s="3" t="s">
        <v>442</v>
      </c>
      <c r="J2411"/>
      <c r="L2411"/>
      <c r="M2411"/>
      <c r="N2411" s="20"/>
      <c r="O2411" s="20"/>
      <c r="P2411" s="20"/>
      <c r="Q2411" s="20"/>
      <c r="R2411" s="20"/>
      <c r="S2411" s="20"/>
      <c r="T2411" s="20"/>
    </row>
    <row r="2412" spans="1:20" x14ac:dyDescent="0.25">
      <c r="A2412" s="21">
        <v>41904</v>
      </c>
      <c r="B2412" s="36">
        <v>202</v>
      </c>
      <c r="C2412" t="s">
        <v>1098</v>
      </c>
      <c r="D2412" s="20"/>
      <c r="E2412" s="59">
        <v>1265</v>
      </c>
      <c r="F2412" s="20" t="s">
        <v>888</v>
      </c>
      <c r="G2412" t="s">
        <v>442</v>
      </c>
      <c r="H2412" s="18" t="s">
        <v>442</v>
      </c>
      <c r="I2412" s="3" t="s">
        <v>442</v>
      </c>
      <c r="J2412"/>
      <c r="L2412"/>
      <c r="M2412"/>
      <c r="N2412" s="20" t="s">
        <v>401</v>
      </c>
      <c r="O2412" s="20"/>
      <c r="P2412" s="20"/>
      <c r="Q2412" s="20"/>
      <c r="R2412" s="20"/>
      <c r="S2412" s="20"/>
      <c r="T2412" s="20"/>
    </row>
    <row r="2413" spans="1:20" x14ac:dyDescent="0.25">
      <c r="A2413" s="21">
        <v>41904</v>
      </c>
      <c r="B2413" s="36">
        <v>202</v>
      </c>
      <c r="C2413" s="20" t="s">
        <v>3236</v>
      </c>
      <c r="D2413" s="20">
        <v>5.61</v>
      </c>
      <c r="E2413" s="59">
        <v>-701.25</v>
      </c>
      <c r="F2413" s="20" t="s">
        <v>889</v>
      </c>
      <c r="G2413" t="s">
        <v>3237</v>
      </c>
      <c r="H2413" s="18" t="s">
        <v>442</v>
      </c>
      <c r="I2413" s="3" t="s">
        <v>442</v>
      </c>
      <c r="J2413"/>
      <c r="L2413"/>
      <c r="M2413"/>
      <c r="N2413" s="20"/>
      <c r="O2413" s="20"/>
      <c r="P2413" s="20"/>
      <c r="Q2413" s="20"/>
      <c r="R2413" s="20"/>
      <c r="S2413" s="20"/>
      <c r="T2413" s="20"/>
    </row>
    <row r="2414" spans="1:20" x14ac:dyDescent="0.25">
      <c r="A2414" s="21">
        <v>41904</v>
      </c>
      <c r="B2414" s="36">
        <v>202</v>
      </c>
      <c r="C2414" s="20" t="s">
        <v>3236</v>
      </c>
      <c r="D2414" s="20">
        <v>5.61</v>
      </c>
      <c r="E2414" s="59">
        <v>-701.25</v>
      </c>
      <c r="F2414" s="20" t="s">
        <v>889</v>
      </c>
      <c r="G2414" t="s">
        <v>3237</v>
      </c>
      <c r="H2414" s="18" t="s">
        <v>442</v>
      </c>
      <c r="I2414" s="3" t="s">
        <v>442</v>
      </c>
      <c r="J2414"/>
      <c r="L2414"/>
      <c r="M2414"/>
      <c r="N2414" s="20"/>
      <c r="O2414" s="20"/>
      <c r="P2414" s="20"/>
      <c r="Q2414" s="20"/>
      <c r="R2414" s="20"/>
      <c r="S2414" s="20"/>
      <c r="T2414" s="20"/>
    </row>
    <row r="2415" spans="1:20" x14ac:dyDescent="0.25">
      <c r="A2415" s="21">
        <v>41904</v>
      </c>
      <c r="B2415" s="36">
        <v>202</v>
      </c>
      <c r="C2415" s="20" t="s">
        <v>3236</v>
      </c>
      <c r="D2415" s="20"/>
      <c r="E2415" s="59">
        <v>140.25</v>
      </c>
      <c r="F2415" s="20"/>
      <c r="G2415" t="s">
        <v>3237</v>
      </c>
      <c r="H2415" s="18">
        <v>140.25</v>
      </c>
      <c r="I2415" s="3">
        <v>41904</v>
      </c>
      <c r="J2415"/>
      <c r="L2415"/>
      <c r="M2415"/>
      <c r="N2415" s="20"/>
      <c r="O2415" s="20" t="s">
        <v>3251</v>
      </c>
      <c r="P2415" s="20"/>
      <c r="Q2415" s="20"/>
      <c r="R2415" s="20"/>
      <c r="S2415" s="20"/>
      <c r="T2415" s="20"/>
    </row>
    <row r="2416" spans="1:20" x14ac:dyDescent="0.25">
      <c r="A2416" s="21">
        <v>41904</v>
      </c>
      <c r="B2416" s="36">
        <v>202</v>
      </c>
      <c r="C2416" s="20" t="s">
        <v>3245</v>
      </c>
      <c r="D2416" s="20">
        <v>4.25</v>
      </c>
      <c r="E2416" s="59">
        <v>-425</v>
      </c>
      <c r="F2416" s="20" t="s">
        <v>889</v>
      </c>
      <c r="G2416" t="s">
        <v>3246</v>
      </c>
      <c r="H2416" s="18" t="s">
        <v>442</v>
      </c>
      <c r="I2416" s="3" t="s">
        <v>442</v>
      </c>
      <c r="J2416"/>
      <c r="L2416"/>
      <c r="M2416"/>
      <c r="N2416" s="20"/>
      <c r="O2416" s="20"/>
      <c r="P2416" s="20"/>
      <c r="Q2416" s="20"/>
      <c r="R2416" s="20"/>
      <c r="S2416" s="20"/>
      <c r="T2416" s="20"/>
    </row>
    <row r="2417" spans="1:21" x14ac:dyDescent="0.25">
      <c r="A2417" s="69">
        <v>41911</v>
      </c>
      <c r="B2417" s="36">
        <v>202</v>
      </c>
      <c r="C2417" s="40" t="s">
        <v>3252</v>
      </c>
      <c r="D2417" s="40"/>
      <c r="E2417" s="70">
        <v>5175</v>
      </c>
      <c r="F2417" s="40"/>
      <c r="G2417" t="s">
        <v>442</v>
      </c>
      <c r="H2417" s="18" t="s">
        <v>442</v>
      </c>
      <c r="I2417" s="3" t="s">
        <v>442</v>
      </c>
      <c r="J2417"/>
      <c r="L2417"/>
      <c r="M2417"/>
      <c r="N2417" s="40"/>
      <c r="O2417" s="40"/>
      <c r="P2417" s="20"/>
      <c r="Q2417" s="20"/>
      <c r="R2417" s="20"/>
      <c r="S2417" s="20"/>
      <c r="T2417" s="20" t="s">
        <v>401</v>
      </c>
    </row>
    <row r="2418" spans="1:21" x14ac:dyDescent="0.25">
      <c r="A2418" s="21">
        <v>41929</v>
      </c>
      <c r="B2418" s="36">
        <v>202</v>
      </c>
      <c r="C2418" s="20" t="s">
        <v>3253</v>
      </c>
      <c r="D2418" s="20"/>
      <c r="E2418" s="59">
        <v>160</v>
      </c>
      <c r="F2418" s="20" t="s">
        <v>891</v>
      </c>
      <c r="H2418" s="18" t="s">
        <v>442</v>
      </c>
      <c r="I2418" s="3" t="s">
        <v>442</v>
      </c>
      <c r="J2418"/>
      <c r="L2418"/>
      <c r="M2418"/>
      <c r="N2418" s="20"/>
      <c r="O2418" s="20"/>
      <c r="P2418" s="20" t="s">
        <v>401</v>
      </c>
      <c r="Q2418" s="20"/>
      <c r="R2418" s="20"/>
      <c r="S2418" s="20"/>
      <c r="T2418" s="20"/>
    </row>
    <row r="2419" spans="1:21" x14ac:dyDescent="0.25">
      <c r="A2419" s="21">
        <v>41929</v>
      </c>
      <c r="B2419" s="36">
        <v>202</v>
      </c>
      <c r="C2419" s="20" t="s">
        <v>960</v>
      </c>
      <c r="D2419" s="20"/>
      <c r="E2419" s="59">
        <v>1532.93</v>
      </c>
      <c r="F2419" s="20"/>
      <c r="G2419" t="s">
        <v>442</v>
      </c>
      <c r="H2419" s="18" t="s">
        <v>442</v>
      </c>
      <c r="I2419" s="3" t="s">
        <v>442</v>
      </c>
      <c r="J2419"/>
      <c r="L2419"/>
      <c r="M2419"/>
      <c r="N2419" s="20" t="s">
        <v>401</v>
      </c>
      <c r="O2419" s="20"/>
      <c r="P2419" s="20"/>
      <c r="Q2419" s="20"/>
      <c r="R2419" s="20"/>
      <c r="S2419" s="20"/>
      <c r="T2419" s="20"/>
    </row>
    <row r="2420" spans="1:21" x14ac:dyDescent="0.25">
      <c r="A2420" s="21">
        <v>41957</v>
      </c>
      <c r="B2420" s="36">
        <v>202</v>
      </c>
      <c r="C2420" s="20" t="s">
        <v>3238</v>
      </c>
      <c r="D2420" s="20">
        <v>15</v>
      </c>
      <c r="E2420" s="59">
        <v>1937.5</v>
      </c>
      <c r="F2420" s="20" t="s">
        <v>889</v>
      </c>
      <c r="G2420" t="s">
        <v>3239</v>
      </c>
      <c r="H2420" s="18">
        <v>1937.5</v>
      </c>
      <c r="I2420" s="3">
        <v>41957</v>
      </c>
      <c r="J2420"/>
      <c r="L2420"/>
      <c r="M2420"/>
      <c r="N2420" s="20"/>
      <c r="O2420" s="20" t="s">
        <v>959</v>
      </c>
      <c r="P2420" s="20"/>
      <c r="Q2420" s="20"/>
      <c r="R2420" s="20"/>
      <c r="S2420" s="20"/>
      <c r="T2420" s="20"/>
    </row>
    <row r="2421" spans="1:21" x14ac:dyDescent="0.25">
      <c r="A2421" s="69">
        <v>41957</v>
      </c>
      <c r="B2421" s="36">
        <v>202</v>
      </c>
      <c r="C2421" s="40" t="s">
        <v>3240</v>
      </c>
      <c r="D2421" s="40">
        <v>14.28</v>
      </c>
      <c r="E2421" s="70">
        <v>-956.25</v>
      </c>
      <c r="F2421" s="40" t="s">
        <v>889</v>
      </c>
      <c r="G2421" t="s">
        <v>3241</v>
      </c>
      <c r="H2421" s="18" t="s">
        <v>442</v>
      </c>
      <c r="I2421" s="3" t="s">
        <v>442</v>
      </c>
      <c r="J2421"/>
      <c r="L2421"/>
      <c r="M2421"/>
      <c r="N2421" s="40"/>
      <c r="O2421" s="40"/>
      <c r="P2421" s="20"/>
      <c r="Q2421" s="20"/>
      <c r="R2421" s="20"/>
      <c r="S2421" s="20"/>
      <c r="T2421" s="20"/>
    </row>
    <row r="2422" spans="1:21" x14ac:dyDescent="0.25">
      <c r="A2422" s="69">
        <v>41964</v>
      </c>
      <c r="B2422" s="36">
        <v>202</v>
      </c>
      <c r="C2422" s="40" t="s">
        <v>963</v>
      </c>
      <c r="D2422" s="40"/>
      <c r="E2422" s="70">
        <v>1193.1500000000001</v>
      </c>
      <c r="F2422" s="40" t="s">
        <v>889</v>
      </c>
      <c r="G2422" t="s">
        <v>442</v>
      </c>
      <c r="H2422" s="18" t="s">
        <v>442</v>
      </c>
      <c r="I2422" s="3" t="s">
        <v>442</v>
      </c>
      <c r="J2422"/>
      <c r="L2422"/>
      <c r="M2422"/>
      <c r="N2422" s="40" t="s">
        <v>401</v>
      </c>
      <c r="O2422" s="40"/>
      <c r="P2422" s="20"/>
      <c r="Q2422" s="20"/>
      <c r="R2422" s="20"/>
      <c r="S2422" s="20"/>
      <c r="T2422" s="20"/>
    </row>
    <row r="2423" spans="1:21" x14ac:dyDescent="0.25">
      <c r="A2423" s="69">
        <v>41992</v>
      </c>
      <c r="B2423" s="36">
        <v>202</v>
      </c>
      <c r="C2423" s="40" t="s">
        <v>967</v>
      </c>
      <c r="D2423" s="40"/>
      <c r="E2423" s="70">
        <v>411.15</v>
      </c>
      <c r="F2423" s="40" t="s">
        <v>889</v>
      </c>
      <c r="G2423" t="s">
        <v>442</v>
      </c>
      <c r="H2423" s="18" t="s">
        <v>442</v>
      </c>
      <c r="I2423" s="3" t="s">
        <v>442</v>
      </c>
      <c r="J2423"/>
      <c r="L2423"/>
      <c r="M2423"/>
      <c r="N2423" s="40" t="s">
        <v>401</v>
      </c>
      <c r="O2423" s="40"/>
      <c r="P2423" s="20"/>
      <c r="Q2423" s="20"/>
      <c r="R2423" s="20"/>
      <c r="S2423" s="20"/>
      <c r="T2423" s="20"/>
    </row>
    <row r="2424" spans="1:21" x14ac:dyDescent="0.25">
      <c r="B2424">
        <v>202</v>
      </c>
      <c r="C2424" t="s">
        <v>3252</v>
      </c>
      <c r="E2424" s="18">
        <v>-5175</v>
      </c>
      <c r="G2424" t="s">
        <v>442</v>
      </c>
      <c r="I2424"/>
      <c r="J2424"/>
      <c r="L2424"/>
      <c r="M2424"/>
      <c r="O2424"/>
      <c r="P2424" s="20"/>
      <c r="Q2424" s="20"/>
      <c r="R2424" s="20"/>
      <c r="S2424" s="20"/>
      <c r="T2424" s="20"/>
      <c r="U2424" t="s">
        <v>401</v>
      </c>
    </row>
    <row r="2425" spans="1:21" x14ac:dyDescent="0.25">
      <c r="B2425">
        <v>202</v>
      </c>
      <c r="C2425" t="s">
        <v>3249</v>
      </c>
      <c r="D2425">
        <v>13.5</v>
      </c>
      <c r="E2425" s="18">
        <v>-1350</v>
      </c>
      <c r="F2425" t="s">
        <v>889</v>
      </c>
      <c r="G2425" t="s">
        <v>3250</v>
      </c>
      <c r="I2425"/>
      <c r="J2425"/>
      <c r="L2425"/>
      <c r="M2425"/>
      <c r="O2425"/>
      <c r="P2425" s="20"/>
      <c r="Q2425" s="20"/>
      <c r="R2425" s="20"/>
      <c r="S2425" s="20"/>
      <c r="T2425" s="20"/>
      <c r="U2425" t="s">
        <v>401</v>
      </c>
    </row>
    <row r="2426" spans="1:21" x14ac:dyDescent="0.25">
      <c r="B2426">
        <v>202</v>
      </c>
      <c r="C2426" t="s">
        <v>3236</v>
      </c>
      <c r="E2426" s="18">
        <v>561</v>
      </c>
      <c r="G2426" t="s">
        <v>3237</v>
      </c>
      <c r="I2426"/>
      <c r="J2426"/>
      <c r="L2426"/>
      <c r="M2426"/>
      <c r="O2426"/>
      <c r="P2426" s="20"/>
      <c r="Q2426" s="20"/>
      <c r="R2426" s="20"/>
      <c r="S2426" s="20"/>
      <c r="T2426" s="20"/>
      <c r="U2426" t="s">
        <v>401</v>
      </c>
    </row>
    <row r="2427" spans="1:21" x14ac:dyDescent="0.25">
      <c r="A2427" s="3">
        <v>41831</v>
      </c>
      <c r="B2427" s="36">
        <v>203</v>
      </c>
      <c r="C2427" t="s">
        <v>3254</v>
      </c>
      <c r="D2427">
        <v>5.61</v>
      </c>
      <c r="E2427" s="18">
        <v>561</v>
      </c>
      <c r="G2427" t="s">
        <v>3255</v>
      </c>
      <c r="H2427" s="18">
        <v>561</v>
      </c>
      <c r="I2427" s="3">
        <v>41831</v>
      </c>
      <c r="J2427"/>
      <c r="L2427"/>
      <c r="M2427"/>
      <c r="N2427" s="20"/>
      <c r="O2427" t="s">
        <v>931</v>
      </c>
      <c r="P2427" s="20"/>
      <c r="Q2427" s="20"/>
      <c r="R2427" s="20"/>
      <c r="S2427" s="20"/>
      <c r="T2427" s="20"/>
    </row>
    <row r="2428" spans="1:21" x14ac:dyDescent="0.25">
      <c r="A2428" s="3">
        <v>41838</v>
      </c>
      <c r="B2428" s="36">
        <v>203</v>
      </c>
      <c r="C2428" t="s">
        <v>3256</v>
      </c>
      <c r="D2428">
        <v>11.75</v>
      </c>
      <c r="E2428" s="18">
        <v>1175</v>
      </c>
      <c r="G2428" t="s">
        <v>3257</v>
      </c>
      <c r="H2428" s="18">
        <v>1175</v>
      </c>
      <c r="I2428" s="3">
        <v>41838</v>
      </c>
      <c r="J2428"/>
      <c r="L2428"/>
      <c r="M2428"/>
      <c r="N2428" s="20"/>
      <c r="O2428" t="s">
        <v>905</v>
      </c>
      <c r="P2428" s="20"/>
      <c r="Q2428" s="20"/>
      <c r="R2428" s="20"/>
      <c r="S2428" s="20"/>
      <c r="T2428" s="20"/>
    </row>
    <row r="2429" spans="1:21" x14ac:dyDescent="0.25">
      <c r="A2429" s="3">
        <v>41838</v>
      </c>
      <c r="B2429" s="36">
        <v>203</v>
      </c>
      <c r="C2429" t="s">
        <v>3258</v>
      </c>
      <c r="D2429">
        <v>13.5</v>
      </c>
      <c r="E2429" s="18">
        <v>1350</v>
      </c>
      <c r="G2429" t="s">
        <v>3259</v>
      </c>
      <c r="H2429" s="18">
        <v>1350</v>
      </c>
      <c r="I2429" s="3">
        <v>41838</v>
      </c>
      <c r="J2429"/>
      <c r="L2429"/>
      <c r="M2429"/>
      <c r="N2429" s="20"/>
      <c r="O2429" t="s">
        <v>905</v>
      </c>
      <c r="P2429" s="20"/>
      <c r="Q2429" s="20"/>
      <c r="R2429" s="20"/>
      <c r="S2429" s="20"/>
      <c r="T2429" s="20"/>
    </row>
    <row r="2430" spans="1:21" x14ac:dyDescent="0.25">
      <c r="A2430" s="3">
        <v>41851</v>
      </c>
      <c r="B2430" s="36">
        <v>203</v>
      </c>
      <c r="C2430" t="s">
        <v>3260</v>
      </c>
      <c r="D2430">
        <v>10.5</v>
      </c>
      <c r="E2430" s="18">
        <v>1050</v>
      </c>
      <c r="F2430" t="s">
        <v>889</v>
      </c>
      <c r="G2430" t="s">
        <v>3261</v>
      </c>
      <c r="H2430" s="18">
        <v>1050</v>
      </c>
      <c r="I2430" s="3">
        <v>41851</v>
      </c>
      <c r="J2430"/>
      <c r="L2430"/>
      <c r="M2430"/>
      <c r="N2430" s="20"/>
      <c r="O2430" t="s">
        <v>931</v>
      </c>
      <c r="P2430" s="20"/>
      <c r="Q2430" s="20"/>
      <c r="R2430" s="20"/>
      <c r="S2430" s="20"/>
      <c r="T2430" s="20"/>
    </row>
    <row r="2431" spans="1:21" x14ac:dyDescent="0.25">
      <c r="A2431" s="3">
        <v>41851</v>
      </c>
      <c r="B2431" s="36">
        <v>203</v>
      </c>
      <c r="C2431" t="s">
        <v>953</v>
      </c>
      <c r="E2431" s="18">
        <v>224.66</v>
      </c>
      <c r="F2431" t="s">
        <v>953</v>
      </c>
      <c r="H2431" s="18" t="s">
        <v>442</v>
      </c>
      <c r="I2431" s="3" t="s">
        <v>442</v>
      </c>
      <c r="J2431"/>
      <c r="L2431"/>
      <c r="M2431"/>
      <c r="N2431" s="20"/>
      <c r="O2431" t="s">
        <v>953</v>
      </c>
      <c r="P2431" s="20" t="s">
        <v>401</v>
      </c>
      <c r="Q2431" s="20"/>
      <c r="R2431" s="20"/>
      <c r="S2431" s="20"/>
      <c r="T2431" s="20"/>
    </row>
    <row r="2432" spans="1:21" x14ac:dyDescent="0.25">
      <c r="A2432" s="3">
        <v>41851</v>
      </c>
      <c r="B2432" s="36">
        <v>203</v>
      </c>
      <c r="C2432" t="s">
        <v>3262</v>
      </c>
      <c r="D2432">
        <v>10.5</v>
      </c>
      <c r="E2432" s="18">
        <v>1050</v>
      </c>
      <c r="F2432" t="s">
        <v>889</v>
      </c>
      <c r="G2432" t="s">
        <v>3263</v>
      </c>
      <c r="H2432" s="18">
        <v>1050</v>
      </c>
      <c r="I2432" s="3">
        <v>41851</v>
      </c>
      <c r="J2432"/>
      <c r="L2432"/>
      <c r="M2432"/>
      <c r="N2432" s="20"/>
      <c r="O2432" t="s">
        <v>931</v>
      </c>
      <c r="P2432" s="20"/>
      <c r="Q2432" s="20"/>
      <c r="R2432" s="20"/>
      <c r="S2432" s="20"/>
      <c r="T2432" s="20"/>
    </row>
    <row r="2433" spans="1:20" x14ac:dyDescent="0.25">
      <c r="A2433" s="3">
        <v>41851</v>
      </c>
      <c r="B2433" s="36">
        <v>203</v>
      </c>
      <c r="C2433" t="s">
        <v>3264</v>
      </c>
      <c r="D2433">
        <v>9</v>
      </c>
      <c r="E2433" s="18">
        <v>900</v>
      </c>
      <c r="F2433" t="s">
        <v>889</v>
      </c>
      <c r="G2433" t="s">
        <v>3265</v>
      </c>
      <c r="H2433" s="18">
        <v>900</v>
      </c>
      <c r="I2433" s="3">
        <v>41851</v>
      </c>
      <c r="J2433"/>
      <c r="L2433"/>
      <c r="M2433"/>
      <c r="N2433" s="20"/>
      <c r="O2433"/>
      <c r="P2433" s="20"/>
      <c r="Q2433" s="20"/>
      <c r="R2433" s="20"/>
      <c r="S2433" s="20"/>
      <c r="T2433" s="20"/>
    </row>
    <row r="2434" spans="1:20" x14ac:dyDescent="0.25">
      <c r="A2434" s="3">
        <v>41858</v>
      </c>
      <c r="B2434" s="36">
        <v>203</v>
      </c>
      <c r="C2434" t="s">
        <v>1745</v>
      </c>
      <c r="E2434" s="18">
        <v>1000</v>
      </c>
      <c r="F2434" t="s">
        <v>891</v>
      </c>
      <c r="G2434" t="s">
        <v>442</v>
      </c>
      <c r="H2434" s="18" t="s">
        <v>442</v>
      </c>
      <c r="I2434" s="3" t="s">
        <v>442</v>
      </c>
      <c r="J2434"/>
      <c r="L2434"/>
      <c r="M2434"/>
      <c r="N2434" s="20"/>
      <c r="O2434"/>
      <c r="P2434" s="20"/>
      <c r="Q2434" s="20"/>
      <c r="R2434" s="20"/>
      <c r="S2434" s="20" t="s">
        <v>401</v>
      </c>
      <c r="T2434" s="20"/>
    </row>
    <row r="2435" spans="1:20" x14ac:dyDescent="0.25">
      <c r="A2435" s="3">
        <v>41865</v>
      </c>
      <c r="B2435" s="36">
        <v>203</v>
      </c>
      <c r="C2435" t="s">
        <v>3266</v>
      </c>
      <c r="D2435">
        <v>5</v>
      </c>
      <c r="E2435" s="18">
        <v>500</v>
      </c>
      <c r="F2435" t="s">
        <v>889</v>
      </c>
      <c r="G2435" t="s">
        <v>3267</v>
      </c>
      <c r="H2435" s="18">
        <v>500</v>
      </c>
      <c r="I2435" s="3">
        <v>41865</v>
      </c>
      <c r="J2435"/>
      <c r="L2435"/>
      <c r="M2435"/>
      <c r="N2435" s="20"/>
      <c r="O2435"/>
      <c r="P2435" s="20"/>
      <c r="Q2435" s="20"/>
      <c r="R2435" s="20"/>
      <c r="S2435" s="20"/>
      <c r="T2435" s="20"/>
    </row>
    <row r="2436" spans="1:20" x14ac:dyDescent="0.25">
      <c r="A2436" s="3">
        <v>41866</v>
      </c>
      <c r="B2436" s="36">
        <v>203</v>
      </c>
      <c r="C2436" t="s">
        <v>954</v>
      </c>
      <c r="E2436" s="18">
        <v>2464.25</v>
      </c>
      <c r="F2436" t="s">
        <v>889</v>
      </c>
      <c r="G2436" t="s">
        <v>442</v>
      </c>
      <c r="H2436" s="18" t="s">
        <v>442</v>
      </c>
      <c r="I2436" s="3" t="s">
        <v>442</v>
      </c>
      <c r="J2436"/>
      <c r="L2436"/>
      <c r="M2436"/>
      <c r="N2436" s="20" t="s">
        <v>401</v>
      </c>
      <c r="O2436"/>
      <c r="P2436" s="20"/>
      <c r="Q2436" s="20"/>
      <c r="R2436" s="20"/>
      <c r="S2436" s="20"/>
      <c r="T2436" s="20"/>
    </row>
    <row r="2437" spans="1:20" x14ac:dyDescent="0.25">
      <c r="A2437" s="3">
        <v>41886</v>
      </c>
      <c r="B2437" s="36">
        <v>203</v>
      </c>
      <c r="C2437" t="s">
        <v>3254</v>
      </c>
      <c r="D2437">
        <v>5.61</v>
      </c>
      <c r="E2437" s="18">
        <v>-561</v>
      </c>
      <c r="F2437" t="s">
        <v>889</v>
      </c>
      <c r="G2437" t="s">
        <v>3255</v>
      </c>
      <c r="H2437" s="18" t="s">
        <v>442</v>
      </c>
      <c r="I2437" s="3" t="s">
        <v>442</v>
      </c>
      <c r="J2437"/>
      <c r="L2437"/>
      <c r="M2437"/>
      <c r="N2437" s="20"/>
      <c r="O2437"/>
      <c r="P2437" s="20"/>
      <c r="Q2437" s="20"/>
      <c r="R2437" s="20"/>
      <c r="S2437" s="20"/>
      <c r="T2437" s="20"/>
    </row>
    <row r="2438" spans="1:20" x14ac:dyDescent="0.25">
      <c r="A2438" s="3">
        <v>41886</v>
      </c>
      <c r="B2438" s="36">
        <v>203</v>
      </c>
      <c r="C2438" t="s">
        <v>3268</v>
      </c>
      <c r="D2438">
        <v>8.25</v>
      </c>
      <c r="E2438" s="18">
        <v>825</v>
      </c>
      <c r="F2438" t="s">
        <v>889</v>
      </c>
      <c r="G2438" t="s">
        <v>3269</v>
      </c>
      <c r="H2438" s="18">
        <v>825</v>
      </c>
      <c r="I2438" s="3">
        <v>41886</v>
      </c>
      <c r="J2438"/>
      <c r="L2438"/>
      <c r="M2438"/>
      <c r="N2438" s="20"/>
      <c r="O2438"/>
      <c r="P2438" s="20"/>
      <c r="Q2438" s="20"/>
      <c r="R2438" s="20"/>
      <c r="S2438" s="20"/>
      <c r="T2438" s="20"/>
    </row>
    <row r="2439" spans="1:20" x14ac:dyDescent="0.25">
      <c r="A2439" s="3">
        <v>41886</v>
      </c>
      <c r="B2439" s="36">
        <v>203</v>
      </c>
      <c r="C2439" t="s">
        <v>3266</v>
      </c>
      <c r="D2439">
        <v>5</v>
      </c>
      <c r="E2439" s="18">
        <v>-500</v>
      </c>
      <c r="F2439" t="s">
        <v>889</v>
      </c>
      <c r="G2439" t="s">
        <v>3267</v>
      </c>
      <c r="H2439" s="18" t="s">
        <v>442</v>
      </c>
      <c r="I2439" s="3" t="s">
        <v>442</v>
      </c>
      <c r="J2439"/>
      <c r="L2439"/>
      <c r="M2439"/>
      <c r="N2439" s="20"/>
      <c r="O2439"/>
      <c r="P2439" s="20"/>
      <c r="Q2439" s="20"/>
      <c r="R2439" s="20"/>
      <c r="S2439" s="20"/>
      <c r="T2439" s="20"/>
    </row>
    <row r="2440" spans="1:20" x14ac:dyDescent="0.25">
      <c r="A2440" s="3">
        <v>41886</v>
      </c>
      <c r="B2440" s="36">
        <v>203</v>
      </c>
      <c r="C2440" t="s">
        <v>3266</v>
      </c>
      <c r="D2440">
        <v>7</v>
      </c>
      <c r="E2440" s="18">
        <v>700</v>
      </c>
      <c r="F2440" t="s">
        <v>889</v>
      </c>
      <c r="G2440" t="s">
        <v>3267</v>
      </c>
      <c r="H2440" s="18">
        <v>700</v>
      </c>
      <c r="I2440" s="3">
        <v>41886</v>
      </c>
      <c r="J2440"/>
      <c r="L2440"/>
      <c r="M2440"/>
      <c r="N2440" s="20"/>
      <c r="O2440"/>
      <c r="P2440" s="20"/>
      <c r="Q2440" s="20"/>
      <c r="R2440" s="20"/>
      <c r="S2440" s="20"/>
      <c r="T2440" s="20"/>
    </row>
    <row r="2441" spans="1:20" x14ac:dyDescent="0.25">
      <c r="A2441" s="3">
        <v>41887</v>
      </c>
      <c r="B2441" s="36">
        <v>203</v>
      </c>
      <c r="C2441" t="s">
        <v>3270</v>
      </c>
      <c r="E2441" s="18">
        <v>812.2</v>
      </c>
      <c r="G2441" t="s">
        <v>442</v>
      </c>
      <c r="H2441" s="18" t="s">
        <v>442</v>
      </c>
      <c r="I2441" s="3" t="s">
        <v>442</v>
      </c>
      <c r="J2441"/>
      <c r="L2441"/>
      <c r="M2441"/>
      <c r="N2441" s="20" t="s">
        <v>401</v>
      </c>
      <c r="O2441"/>
      <c r="P2441" s="20"/>
      <c r="Q2441" s="20"/>
      <c r="R2441" s="20"/>
      <c r="S2441" s="20"/>
      <c r="T2441" s="20"/>
    </row>
    <row r="2442" spans="1:20" x14ac:dyDescent="0.25">
      <c r="A2442" s="3">
        <v>41894</v>
      </c>
      <c r="B2442" s="36">
        <v>203</v>
      </c>
      <c r="C2442" t="s">
        <v>3271</v>
      </c>
      <c r="D2442">
        <v>8.5</v>
      </c>
      <c r="E2442" s="18">
        <v>850</v>
      </c>
      <c r="F2442" t="s">
        <v>889</v>
      </c>
      <c r="G2442" t="s">
        <v>3272</v>
      </c>
      <c r="H2442" s="18">
        <v>850</v>
      </c>
      <c r="I2442" s="3">
        <v>41894</v>
      </c>
      <c r="J2442"/>
      <c r="L2442"/>
      <c r="M2442"/>
      <c r="N2442" s="20"/>
      <c r="O2442"/>
      <c r="P2442" s="20"/>
      <c r="Q2442" s="20"/>
      <c r="R2442" s="20"/>
      <c r="S2442" s="20"/>
      <c r="T2442" s="20"/>
    </row>
    <row r="2443" spans="1:20" x14ac:dyDescent="0.25">
      <c r="A2443" s="3">
        <v>41894</v>
      </c>
      <c r="B2443" s="36">
        <v>203</v>
      </c>
      <c r="C2443" t="s">
        <v>3273</v>
      </c>
      <c r="D2443">
        <v>5.76</v>
      </c>
      <c r="E2443" s="18">
        <v>576</v>
      </c>
      <c r="F2443" t="s">
        <v>889</v>
      </c>
      <c r="G2443" t="s">
        <v>3274</v>
      </c>
      <c r="H2443" s="18">
        <v>576</v>
      </c>
      <c r="I2443" s="3">
        <v>41894</v>
      </c>
      <c r="J2443"/>
      <c r="L2443"/>
      <c r="M2443"/>
      <c r="N2443" s="20"/>
      <c r="O2443"/>
      <c r="P2443" s="20"/>
      <c r="Q2443" s="20"/>
      <c r="R2443" s="20"/>
      <c r="S2443" s="20"/>
      <c r="T2443" s="20"/>
    </row>
    <row r="2444" spans="1:20" x14ac:dyDescent="0.25">
      <c r="A2444" s="3">
        <v>41894</v>
      </c>
      <c r="B2444" s="36">
        <v>203</v>
      </c>
      <c r="C2444" t="s">
        <v>3275</v>
      </c>
      <c r="D2444">
        <v>6.25</v>
      </c>
      <c r="E2444" s="18">
        <v>625</v>
      </c>
      <c r="F2444" t="s">
        <v>889</v>
      </c>
      <c r="G2444" t="s">
        <v>3276</v>
      </c>
      <c r="H2444" s="18">
        <v>625</v>
      </c>
      <c r="I2444" s="3">
        <v>41894</v>
      </c>
      <c r="J2444"/>
      <c r="L2444"/>
      <c r="M2444"/>
      <c r="N2444" s="20"/>
      <c r="O2444"/>
      <c r="P2444" s="20"/>
      <c r="Q2444" s="20"/>
      <c r="R2444" s="20"/>
      <c r="S2444" s="20"/>
      <c r="T2444" s="20"/>
    </row>
    <row r="2445" spans="1:20" x14ac:dyDescent="0.25">
      <c r="A2445" s="3">
        <v>41901</v>
      </c>
      <c r="B2445" s="36">
        <v>203</v>
      </c>
      <c r="C2445" t="s">
        <v>1098</v>
      </c>
      <c r="E2445" s="18">
        <v>4040</v>
      </c>
      <c r="F2445" t="s">
        <v>888</v>
      </c>
      <c r="G2445" t="s">
        <v>442</v>
      </c>
      <c r="H2445" s="18" t="s">
        <v>442</v>
      </c>
      <c r="I2445" s="3" t="s">
        <v>442</v>
      </c>
      <c r="J2445"/>
      <c r="L2445"/>
      <c r="M2445"/>
      <c r="N2445" s="20" t="s">
        <v>401</v>
      </c>
      <c r="O2445"/>
      <c r="P2445" s="20"/>
      <c r="Q2445" s="20"/>
      <c r="R2445" s="20"/>
      <c r="S2445" s="20"/>
      <c r="T2445" s="20"/>
    </row>
    <row r="2446" spans="1:20" x14ac:dyDescent="0.25">
      <c r="A2446" s="3">
        <v>41907</v>
      </c>
      <c r="B2446" s="36">
        <v>203</v>
      </c>
      <c r="C2446" t="s">
        <v>1098</v>
      </c>
      <c r="E2446" s="18">
        <v>283.75</v>
      </c>
      <c r="F2446" t="s">
        <v>889</v>
      </c>
      <c r="G2446" t="s">
        <v>442</v>
      </c>
      <c r="H2446" s="18" t="s">
        <v>442</v>
      </c>
      <c r="I2446" s="3" t="s">
        <v>442</v>
      </c>
      <c r="J2446"/>
      <c r="L2446"/>
      <c r="M2446"/>
      <c r="N2446" s="20" t="s">
        <v>401</v>
      </c>
      <c r="O2446"/>
      <c r="P2446" s="20"/>
      <c r="Q2446" s="20"/>
      <c r="R2446" s="20"/>
      <c r="S2446" s="20"/>
      <c r="T2446" s="20"/>
    </row>
    <row r="2447" spans="1:20" x14ac:dyDescent="0.25">
      <c r="A2447" s="3">
        <v>41907</v>
      </c>
      <c r="B2447" s="36">
        <v>203</v>
      </c>
      <c r="C2447" t="s">
        <v>3277</v>
      </c>
      <c r="D2447">
        <v>8</v>
      </c>
      <c r="E2447" s="18">
        <v>800</v>
      </c>
      <c r="F2447" t="s">
        <v>889</v>
      </c>
      <c r="G2447" t="s">
        <v>3278</v>
      </c>
      <c r="H2447" s="18">
        <v>800</v>
      </c>
      <c r="I2447" s="3">
        <v>41907</v>
      </c>
      <c r="J2447"/>
      <c r="L2447"/>
      <c r="M2447"/>
      <c r="N2447" s="20"/>
      <c r="O2447"/>
      <c r="P2447" s="20"/>
      <c r="Q2447" s="20"/>
      <c r="R2447" s="20"/>
      <c r="S2447" s="20"/>
      <c r="T2447" s="20"/>
    </row>
    <row r="2448" spans="1:20" x14ac:dyDescent="0.25">
      <c r="A2448" s="3">
        <v>41907</v>
      </c>
      <c r="B2448" s="36">
        <v>203</v>
      </c>
      <c r="C2448" t="s">
        <v>3279</v>
      </c>
      <c r="D2448">
        <v>5</v>
      </c>
      <c r="E2448" s="18">
        <v>500</v>
      </c>
      <c r="F2448" t="s">
        <v>889</v>
      </c>
      <c r="G2448" t="s">
        <v>3280</v>
      </c>
      <c r="H2448" s="18">
        <v>500</v>
      </c>
      <c r="I2448" s="3">
        <v>41907</v>
      </c>
      <c r="J2448"/>
      <c r="L2448"/>
      <c r="M2448"/>
      <c r="N2448" s="20"/>
      <c r="O2448"/>
      <c r="P2448" s="20"/>
      <c r="Q2448" s="20"/>
      <c r="R2448" s="20"/>
      <c r="S2448" s="20"/>
      <c r="T2448" s="20"/>
    </row>
    <row r="2449" spans="1:20" x14ac:dyDescent="0.25">
      <c r="A2449" s="3">
        <v>41907</v>
      </c>
      <c r="B2449" s="36">
        <v>203</v>
      </c>
      <c r="C2449" t="s">
        <v>3281</v>
      </c>
      <c r="E2449" s="18">
        <v>-600</v>
      </c>
      <c r="F2449" t="s">
        <v>889</v>
      </c>
      <c r="H2449" s="18" t="s">
        <v>442</v>
      </c>
      <c r="I2449" s="3" t="s">
        <v>442</v>
      </c>
      <c r="J2449"/>
      <c r="L2449"/>
      <c r="M2449"/>
      <c r="N2449" s="20"/>
      <c r="O2449"/>
      <c r="P2449" s="20"/>
      <c r="Q2449" s="20"/>
      <c r="R2449" s="20"/>
      <c r="S2449" s="20" t="s">
        <v>401</v>
      </c>
      <c r="T2449" s="20"/>
    </row>
    <row r="2450" spans="1:20" x14ac:dyDescent="0.25">
      <c r="A2450" s="3">
        <v>41907</v>
      </c>
      <c r="B2450" s="36">
        <v>203</v>
      </c>
      <c r="C2450" t="s">
        <v>3282</v>
      </c>
      <c r="D2450">
        <v>4.25</v>
      </c>
      <c r="E2450" s="18">
        <v>425</v>
      </c>
      <c r="F2450" t="s">
        <v>889</v>
      </c>
      <c r="G2450" t="s">
        <v>3283</v>
      </c>
      <c r="H2450" s="18">
        <v>425</v>
      </c>
      <c r="I2450" s="3">
        <v>41907</v>
      </c>
      <c r="J2450"/>
      <c r="L2450"/>
      <c r="M2450"/>
      <c r="N2450" s="20"/>
      <c r="O2450"/>
      <c r="P2450" s="20"/>
      <c r="Q2450" s="20"/>
      <c r="R2450" s="20"/>
      <c r="S2450" s="20"/>
      <c r="T2450" s="20"/>
    </row>
    <row r="2451" spans="1:20" x14ac:dyDescent="0.25">
      <c r="A2451" s="3">
        <v>41907</v>
      </c>
      <c r="B2451" s="36">
        <v>203</v>
      </c>
      <c r="C2451" t="s">
        <v>3262</v>
      </c>
      <c r="D2451">
        <v>10.5</v>
      </c>
      <c r="E2451" s="18">
        <v>-1050</v>
      </c>
      <c r="F2451" t="s">
        <v>889</v>
      </c>
      <c r="G2451" t="s">
        <v>3263</v>
      </c>
      <c r="H2451" s="18" t="s">
        <v>442</v>
      </c>
      <c r="I2451" s="3" t="s">
        <v>442</v>
      </c>
      <c r="J2451"/>
      <c r="L2451"/>
      <c r="M2451"/>
      <c r="N2451" s="20"/>
      <c r="O2451"/>
      <c r="P2451" s="20"/>
      <c r="Q2451" s="20"/>
      <c r="R2451" s="20"/>
      <c r="S2451" s="20"/>
      <c r="T2451" s="20"/>
    </row>
    <row r="2452" spans="1:20" x14ac:dyDescent="0.25">
      <c r="A2452" s="3">
        <v>41929</v>
      </c>
      <c r="B2452" s="36">
        <v>203</v>
      </c>
      <c r="C2452" t="s">
        <v>3284</v>
      </c>
      <c r="D2452">
        <v>8.75</v>
      </c>
      <c r="E2452" s="18">
        <v>900</v>
      </c>
      <c r="F2452" t="s">
        <v>889</v>
      </c>
      <c r="G2452" t="s">
        <v>3285</v>
      </c>
      <c r="H2452" s="18">
        <v>900</v>
      </c>
      <c r="I2452" s="3">
        <v>41929</v>
      </c>
      <c r="J2452"/>
      <c r="L2452"/>
      <c r="M2452"/>
      <c r="N2452" s="20"/>
      <c r="O2452"/>
      <c r="P2452" s="20"/>
      <c r="Q2452" s="20"/>
      <c r="R2452" s="20"/>
      <c r="S2452" s="20"/>
      <c r="T2452" s="20"/>
    </row>
    <row r="2453" spans="1:20" x14ac:dyDescent="0.25">
      <c r="A2453" s="3">
        <v>41929</v>
      </c>
      <c r="B2453" s="36">
        <v>203</v>
      </c>
      <c r="C2453" t="s">
        <v>3286</v>
      </c>
      <c r="D2453">
        <v>7.75</v>
      </c>
      <c r="E2453" s="18">
        <v>775</v>
      </c>
      <c r="F2453" t="s">
        <v>889</v>
      </c>
      <c r="G2453" t="s">
        <v>3287</v>
      </c>
      <c r="H2453" s="18">
        <v>775</v>
      </c>
      <c r="I2453" s="3">
        <v>41929</v>
      </c>
      <c r="J2453"/>
      <c r="L2453"/>
      <c r="M2453"/>
      <c r="N2453" s="20"/>
      <c r="O2453"/>
      <c r="P2453" s="20"/>
      <c r="Q2453" s="20"/>
      <c r="R2453" s="20"/>
      <c r="S2453" s="20"/>
      <c r="T2453" s="20"/>
    </row>
    <row r="2454" spans="1:20" x14ac:dyDescent="0.25">
      <c r="A2454" s="3">
        <v>41929</v>
      </c>
      <c r="B2454" s="36">
        <v>203</v>
      </c>
      <c r="C2454" t="s">
        <v>3288</v>
      </c>
      <c r="D2454">
        <v>5.75</v>
      </c>
      <c r="E2454" s="18">
        <v>600</v>
      </c>
      <c r="F2454" t="s">
        <v>889</v>
      </c>
      <c r="G2454" t="s">
        <v>3289</v>
      </c>
      <c r="H2454" s="18">
        <v>600</v>
      </c>
      <c r="I2454" s="3">
        <v>41929</v>
      </c>
      <c r="J2454"/>
      <c r="L2454"/>
      <c r="M2454"/>
      <c r="N2454" s="20"/>
      <c r="O2454"/>
      <c r="P2454" s="20"/>
      <c r="Q2454" s="20"/>
      <c r="R2454" s="20"/>
      <c r="S2454" s="20"/>
      <c r="T2454" s="20"/>
    </row>
    <row r="2455" spans="1:20" x14ac:dyDescent="0.25">
      <c r="A2455" s="3">
        <v>41929</v>
      </c>
      <c r="B2455" s="36">
        <v>203</v>
      </c>
      <c r="C2455" t="s">
        <v>960</v>
      </c>
      <c r="E2455" s="18">
        <v>4921.8999999999996</v>
      </c>
      <c r="H2455" s="18" t="s">
        <v>442</v>
      </c>
      <c r="I2455" s="3" t="s">
        <v>442</v>
      </c>
      <c r="J2455"/>
      <c r="L2455"/>
      <c r="M2455"/>
      <c r="N2455" s="20" t="s">
        <v>401</v>
      </c>
      <c r="O2455"/>
      <c r="P2455" s="20"/>
      <c r="Q2455" s="20"/>
      <c r="R2455" s="20"/>
      <c r="S2455" s="20"/>
      <c r="T2455" s="20"/>
    </row>
    <row r="2456" spans="1:20" x14ac:dyDescent="0.25">
      <c r="A2456" s="3">
        <v>41929</v>
      </c>
      <c r="B2456" s="36">
        <v>203</v>
      </c>
      <c r="C2456" t="s">
        <v>960</v>
      </c>
      <c r="E2456" s="18">
        <v>4921.8999999999996</v>
      </c>
      <c r="H2456" s="18" t="s">
        <v>442</v>
      </c>
      <c r="I2456" s="3" t="s">
        <v>442</v>
      </c>
      <c r="J2456"/>
      <c r="L2456"/>
      <c r="M2456"/>
      <c r="N2456" s="20" t="s">
        <v>401</v>
      </c>
      <c r="O2456"/>
      <c r="P2456" s="20"/>
      <c r="Q2456" s="20"/>
      <c r="R2456" s="20"/>
      <c r="S2456" s="20"/>
      <c r="T2456" s="20"/>
    </row>
    <row r="2457" spans="1:20" x14ac:dyDescent="0.25">
      <c r="A2457" s="3">
        <v>41932</v>
      </c>
      <c r="B2457" s="36">
        <v>203</v>
      </c>
      <c r="C2457" t="s">
        <v>960</v>
      </c>
      <c r="E2457" s="18">
        <v>-4921.8999999999996</v>
      </c>
      <c r="G2457" t="s">
        <v>442</v>
      </c>
      <c r="H2457" s="18" t="s">
        <v>442</v>
      </c>
      <c r="I2457" s="3" t="s">
        <v>442</v>
      </c>
      <c r="J2457"/>
      <c r="L2457"/>
      <c r="M2457"/>
      <c r="N2457" s="20" t="s">
        <v>401</v>
      </c>
      <c r="O2457"/>
      <c r="P2457" s="20"/>
      <c r="Q2457" s="20"/>
      <c r="R2457" s="20"/>
      <c r="S2457" s="20"/>
      <c r="T2457" s="20"/>
    </row>
    <row r="2458" spans="1:20" x14ac:dyDescent="0.25">
      <c r="A2458" s="3">
        <v>41936</v>
      </c>
      <c r="B2458" s="36">
        <v>203</v>
      </c>
      <c r="C2458" t="s">
        <v>3290</v>
      </c>
      <c r="D2458">
        <v>11.5</v>
      </c>
      <c r="E2458" s="18">
        <v>1150</v>
      </c>
      <c r="F2458" t="s">
        <v>889</v>
      </c>
      <c r="G2458" t="s">
        <v>3291</v>
      </c>
      <c r="H2458" s="18">
        <v>1150</v>
      </c>
      <c r="I2458" s="3">
        <v>41936</v>
      </c>
      <c r="J2458"/>
      <c r="L2458"/>
      <c r="M2458"/>
      <c r="N2458" s="20"/>
      <c r="O2458"/>
      <c r="P2458" s="20"/>
      <c r="Q2458" s="20"/>
      <c r="R2458" s="20"/>
      <c r="S2458" s="20"/>
      <c r="T2458" s="20"/>
    </row>
    <row r="2459" spans="1:20" x14ac:dyDescent="0.25">
      <c r="A2459" s="3">
        <v>41936</v>
      </c>
      <c r="B2459" s="36">
        <v>203</v>
      </c>
      <c r="C2459" t="s">
        <v>3292</v>
      </c>
      <c r="E2459" s="18">
        <v>321.85000000000002</v>
      </c>
      <c r="F2459" t="s">
        <v>891</v>
      </c>
      <c r="H2459" s="18" t="s">
        <v>442</v>
      </c>
      <c r="I2459" s="3" t="s">
        <v>442</v>
      </c>
      <c r="J2459"/>
      <c r="L2459"/>
      <c r="M2459"/>
      <c r="N2459" s="20"/>
      <c r="O2459"/>
      <c r="P2459" s="20" t="s">
        <v>401</v>
      </c>
      <c r="Q2459" s="20"/>
      <c r="R2459" s="20"/>
      <c r="S2459" s="20"/>
      <c r="T2459" s="20"/>
    </row>
    <row r="2460" spans="1:20" x14ac:dyDescent="0.25">
      <c r="A2460" s="3">
        <v>41936</v>
      </c>
      <c r="B2460" s="36">
        <v>203</v>
      </c>
      <c r="C2460" t="s">
        <v>3293</v>
      </c>
      <c r="E2460" s="18">
        <v>1415.69</v>
      </c>
      <c r="F2460" t="s">
        <v>889</v>
      </c>
      <c r="G2460" t="s">
        <v>442</v>
      </c>
      <c r="H2460" s="18" t="s">
        <v>442</v>
      </c>
      <c r="I2460" s="3" t="s">
        <v>442</v>
      </c>
      <c r="J2460"/>
      <c r="L2460"/>
      <c r="M2460"/>
      <c r="N2460" s="20" t="s">
        <v>401</v>
      </c>
      <c r="O2460"/>
      <c r="P2460" s="20"/>
      <c r="Q2460" s="20"/>
      <c r="R2460" s="20"/>
      <c r="S2460" s="20"/>
      <c r="T2460" s="20"/>
    </row>
    <row r="2461" spans="1:20" x14ac:dyDescent="0.25">
      <c r="A2461" s="3">
        <v>41940</v>
      </c>
      <c r="B2461" s="36">
        <v>203</v>
      </c>
      <c r="C2461" t="s">
        <v>3294</v>
      </c>
      <c r="E2461" s="18">
        <v>97.81</v>
      </c>
      <c r="F2461" t="s">
        <v>889</v>
      </c>
      <c r="H2461" s="18" t="s">
        <v>442</v>
      </c>
      <c r="I2461" s="3" t="s">
        <v>442</v>
      </c>
      <c r="J2461"/>
      <c r="L2461"/>
      <c r="M2461"/>
      <c r="N2461" s="20" t="s">
        <v>401</v>
      </c>
      <c r="O2461"/>
      <c r="P2461" s="20"/>
      <c r="Q2461" s="20"/>
      <c r="R2461" s="20"/>
      <c r="S2461" s="20"/>
      <c r="T2461" s="20"/>
    </row>
    <row r="2462" spans="1:20" x14ac:dyDescent="0.25">
      <c r="A2462" s="3">
        <v>41964</v>
      </c>
      <c r="B2462" s="36">
        <v>203</v>
      </c>
      <c r="C2462" t="s">
        <v>3268</v>
      </c>
      <c r="D2462">
        <v>8.25</v>
      </c>
      <c r="E2462" s="18">
        <v>-825</v>
      </c>
      <c r="F2462" t="s">
        <v>889</v>
      </c>
      <c r="G2462" t="s">
        <v>3269</v>
      </c>
      <c r="H2462" s="18" t="s">
        <v>442</v>
      </c>
      <c r="I2462" s="3" t="s">
        <v>442</v>
      </c>
      <c r="J2462"/>
      <c r="L2462"/>
      <c r="M2462"/>
      <c r="N2462" s="20"/>
      <c r="O2462"/>
      <c r="P2462" s="20"/>
      <c r="Q2462" s="20"/>
      <c r="R2462" s="20"/>
      <c r="S2462" s="20"/>
      <c r="T2462" s="20"/>
    </row>
    <row r="2463" spans="1:20" x14ac:dyDescent="0.25">
      <c r="A2463" s="3">
        <v>41964</v>
      </c>
      <c r="B2463" s="36">
        <v>203</v>
      </c>
      <c r="C2463" t="s">
        <v>3295</v>
      </c>
      <c r="D2463">
        <v>9</v>
      </c>
      <c r="E2463" s="18">
        <v>900</v>
      </c>
      <c r="F2463" t="s">
        <v>889</v>
      </c>
      <c r="G2463" t="s">
        <v>3296</v>
      </c>
      <c r="H2463" s="18">
        <v>900</v>
      </c>
      <c r="I2463" s="3">
        <v>41964</v>
      </c>
      <c r="J2463"/>
      <c r="L2463"/>
      <c r="M2463"/>
      <c r="N2463" s="20"/>
      <c r="O2463"/>
      <c r="P2463" s="20"/>
      <c r="Q2463" s="20"/>
      <c r="R2463" s="20"/>
      <c r="S2463" s="20"/>
      <c r="T2463" s="20"/>
    </row>
    <row r="2464" spans="1:20" x14ac:dyDescent="0.25">
      <c r="A2464" s="3">
        <v>41964</v>
      </c>
      <c r="B2464" s="36">
        <v>203</v>
      </c>
      <c r="C2464" t="s">
        <v>963</v>
      </c>
      <c r="E2464" s="18">
        <v>11155.362500000003</v>
      </c>
      <c r="F2464" t="s">
        <v>889</v>
      </c>
      <c r="G2464" t="s">
        <v>442</v>
      </c>
      <c r="H2464" s="18" t="s">
        <v>442</v>
      </c>
      <c r="I2464" s="3" t="s">
        <v>442</v>
      </c>
      <c r="J2464"/>
      <c r="L2464"/>
      <c r="M2464"/>
      <c r="N2464" s="40" t="s">
        <v>401</v>
      </c>
      <c r="O2464"/>
      <c r="P2464" s="20"/>
      <c r="Q2464" s="20"/>
      <c r="R2464" s="20"/>
      <c r="S2464" s="20"/>
      <c r="T2464" s="20"/>
    </row>
    <row r="2465" spans="1:20" x14ac:dyDescent="0.25">
      <c r="A2465" s="3">
        <v>41964</v>
      </c>
      <c r="B2465" s="36">
        <v>203</v>
      </c>
      <c r="C2465" t="s">
        <v>3260</v>
      </c>
      <c r="D2465">
        <v>10.5</v>
      </c>
      <c r="E2465" s="18">
        <v>1097.727272727273</v>
      </c>
      <c r="F2465" t="s">
        <v>889</v>
      </c>
      <c r="G2465" t="s">
        <v>3261</v>
      </c>
      <c r="H2465" s="18">
        <v>1097.727272727273</v>
      </c>
      <c r="I2465" s="3">
        <v>41964</v>
      </c>
      <c r="J2465"/>
      <c r="L2465"/>
      <c r="M2465"/>
      <c r="N2465" s="20"/>
      <c r="O2465" t="s">
        <v>959</v>
      </c>
      <c r="P2465" s="20"/>
      <c r="Q2465" s="20"/>
      <c r="R2465" s="20"/>
      <c r="S2465" s="20"/>
      <c r="T2465" s="20"/>
    </row>
    <row r="2466" spans="1:20" x14ac:dyDescent="0.25">
      <c r="A2466" s="3">
        <v>41964</v>
      </c>
      <c r="B2466" s="36">
        <v>203</v>
      </c>
      <c r="C2466" t="s">
        <v>3297</v>
      </c>
      <c r="D2466">
        <v>8.25</v>
      </c>
      <c r="E2466" s="18">
        <v>825</v>
      </c>
      <c r="F2466" t="s">
        <v>889</v>
      </c>
      <c r="G2466" t="s">
        <v>3298</v>
      </c>
      <c r="H2466" s="18">
        <v>825</v>
      </c>
      <c r="I2466" s="3">
        <v>41964</v>
      </c>
      <c r="J2466"/>
      <c r="L2466"/>
      <c r="M2466"/>
      <c r="N2466" s="20"/>
      <c r="O2466"/>
      <c r="P2466" s="20"/>
      <c r="Q2466" s="20"/>
      <c r="R2466" s="20"/>
      <c r="S2466" s="20"/>
      <c r="T2466" s="20"/>
    </row>
    <row r="2467" spans="1:20" x14ac:dyDescent="0.25">
      <c r="A2467" s="3">
        <v>41964</v>
      </c>
      <c r="B2467" s="36">
        <v>203</v>
      </c>
      <c r="C2467" t="s">
        <v>3299</v>
      </c>
      <c r="E2467" s="18">
        <v>97.81</v>
      </c>
      <c r="F2467" t="s">
        <v>889</v>
      </c>
      <c r="H2467" s="18" t="s">
        <v>442</v>
      </c>
      <c r="I2467" s="3" t="s">
        <v>442</v>
      </c>
      <c r="J2467"/>
      <c r="L2467"/>
      <c r="M2467"/>
      <c r="N2467" s="20" t="s">
        <v>401</v>
      </c>
      <c r="O2467"/>
      <c r="P2467" s="20"/>
      <c r="Q2467" s="20"/>
      <c r="R2467" s="20"/>
      <c r="S2467" s="20"/>
      <c r="T2467" s="20"/>
    </row>
    <row r="2468" spans="1:20" x14ac:dyDescent="0.25">
      <c r="A2468" s="3">
        <v>41964</v>
      </c>
      <c r="B2468" s="36">
        <v>203</v>
      </c>
      <c r="C2468" t="s">
        <v>3258</v>
      </c>
      <c r="D2468">
        <v>13.5</v>
      </c>
      <c r="E2468" s="18">
        <v>-1350</v>
      </c>
      <c r="F2468" t="s">
        <v>889</v>
      </c>
      <c r="G2468" t="s">
        <v>3259</v>
      </c>
      <c r="H2468" s="18" t="s">
        <v>442</v>
      </c>
      <c r="I2468" s="3" t="s">
        <v>442</v>
      </c>
      <c r="J2468"/>
      <c r="L2468"/>
      <c r="M2468"/>
      <c r="N2468" s="20"/>
      <c r="O2468"/>
      <c r="P2468" s="20"/>
      <c r="Q2468" s="20"/>
      <c r="R2468" s="20"/>
      <c r="S2468" s="20"/>
      <c r="T2468" s="20"/>
    </row>
    <row r="2469" spans="1:20" x14ac:dyDescent="0.25">
      <c r="A2469" s="3">
        <v>41985</v>
      </c>
      <c r="B2469" s="36">
        <v>203</v>
      </c>
      <c r="C2469" t="s">
        <v>3271</v>
      </c>
      <c r="D2469">
        <v>8.5</v>
      </c>
      <c r="E2469" s="18">
        <v>1275</v>
      </c>
      <c r="F2469" t="s">
        <v>889</v>
      </c>
      <c r="G2469" t="s">
        <v>3272</v>
      </c>
      <c r="H2469" s="18">
        <v>1275</v>
      </c>
      <c r="I2469" s="3">
        <v>41985</v>
      </c>
      <c r="J2469"/>
      <c r="L2469"/>
      <c r="M2469"/>
      <c r="N2469" s="20"/>
      <c r="O2469" t="s">
        <v>959</v>
      </c>
      <c r="P2469" s="20"/>
      <c r="Q2469" s="20"/>
      <c r="R2469" s="20"/>
      <c r="S2469" s="20"/>
      <c r="T2469" s="20"/>
    </row>
    <row r="2470" spans="1:20" x14ac:dyDescent="0.25">
      <c r="A2470" s="3">
        <v>41985</v>
      </c>
      <c r="B2470" s="36">
        <v>203</v>
      </c>
      <c r="C2470" t="s">
        <v>3256</v>
      </c>
      <c r="D2470">
        <v>11.75</v>
      </c>
      <c r="E2470" s="18">
        <v>1762.5</v>
      </c>
      <c r="F2470" t="s">
        <v>889</v>
      </c>
      <c r="G2470" t="s">
        <v>3257</v>
      </c>
      <c r="H2470" s="18">
        <v>1762.5</v>
      </c>
      <c r="I2470" s="3">
        <v>41985</v>
      </c>
      <c r="J2470"/>
      <c r="L2470"/>
      <c r="M2470"/>
      <c r="N2470" s="20"/>
      <c r="O2470" t="s">
        <v>959</v>
      </c>
      <c r="P2470" s="20"/>
      <c r="Q2470" s="20"/>
      <c r="R2470" s="20"/>
      <c r="S2470" s="20"/>
      <c r="T2470" s="20"/>
    </row>
    <row r="2471" spans="1:20" x14ac:dyDescent="0.25">
      <c r="A2471" s="3">
        <v>41985</v>
      </c>
      <c r="B2471" s="36">
        <v>203</v>
      </c>
      <c r="C2471" t="s">
        <v>3282</v>
      </c>
      <c r="D2471">
        <v>4.25</v>
      </c>
      <c r="E2471" s="18">
        <v>637.5</v>
      </c>
      <c r="F2471" t="s">
        <v>889</v>
      </c>
      <c r="G2471" t="s">
        <v>3283</v>
      </c>
      <c r="H2471" s="18">
        <v>637.5</v>
      </c>
      <c r="I2471" s="3">
        <v>41985</v>
      </c>
      <c r="J2471"/>
      <c r="L2471"/>
      <c r="M2471"/>
      <c r="N2471" s="20"/>
      <c r="O2471" t="s">
        <v>959</v>
      </c>
      <c r="P2471" s="20"/>
      <c r="Q2471" s="20"/>
      <c r="R2471" s="20"/>
      <c r="S2471" s="20"/>
      <c r="T2471" s="20"/>
    </row>
    <row r="2472" spans="1:20" x14ac:dyDescent="0.25">
      <c r="A2472" s="3">
        <v>41992</v>
      </c>
      <c r="B2472" s="36">
        <v>203</v>
      </c>
      <c r="C2472" t="s">
        <v>784</v>
      </c>
      <c r="D2472">
        <v>14</v>
      </c>
      <c r="E2472" s="18">
        <v>250</v>
      </c>
      <c r="F2472" t="s">
        <v>889</v>
      </c>
      <c r="G2472" t="s">
        <v>785</v>
      </c>
      <c r="H2472" s="18">
        <v>250</v>
      </c>
      <c r="I2472" s="3">
        <v>41992</v>
      </c>
      <c r="J2472"/>
      <c r="L2472"/>
      <c r="M2472"/>
      <c r="N2472" s="20"/>
      <c r="O2472"/>
      <c r="P2472" s="20"/>
      <c r="Q2472" s="20"/>
      <c r="R2472" s="20"/>
      <c r="S2472" s="20"/>
      <c r="T2472" s="20"/>
    </row>
    <row r="2473" spans="1:20" x14ac:dyDescent="0.25">
      <c r="A2473" s="3">
        <v>41992</v>
      </c>
      <c r="B2473" s="36">
        <v>203</v>
      </c>
      <c r="C2473" t="s">
        <v>967</v>
      </c>
      <c r="E2473" s="18">
        <v>11091.015000000007</v>
      </c>
      <c r="F2473" t="s">
        <v>889</v>
      </c>
      <c r="G2473" t="s">
        <v>442</v>
      </c>
      <c r="H2473" s="18" t="s">
        <v>442</v>
      </c>
      <c r="I2473" s="3" t="s">
        <v>442</v>
      </c>
      <c r="J2473"/>
      <c r="L2473"/>
      <c r="M2473"/>
      <c r="N2473" s="40" t="s">
        <v>401</v>
      </c>
      <c r="O2473"/>
      <c r="P2473" s="20"/>
      <c r="Q2473" s="20"/>
      <c r="R2473" s="20"/>
      <c r="S2473" s="20"/>
      <c r="T2473" s="20"/>
    </row>
    <row r="2474" spans="1:20" x14ac:dyDescent="0.25">
      <c r="A2474" s="3">
        <v>41999</v>
      </c>
      <c r="B2474" s="36">
        <v>203</v>
      </c>
      <c r="C2474" t="s">
        <v>3279</v>
      </c>
      <c r="D2474">
        <v>8.75</v>
      </c>
      <c r="E2474" s="18">
        <v>1250</v>
      </c>
      <c r="F2474" t="s">
        <v>889</v>
      </c>
      <c r="G2474" t="s">
        <v>3280</v>
      </c>
      <c r="H2474" s="18">
        <v>1250</v>
      </c>
      <c r="I2474" s="3">
        <v>41999</v>
      </c>
      <c r="J2474"/>
      <c r="L2474"/>
      <c r="M2474"/>
      <c r="N2474" s="20"/>
      <c r="O2474" t="s">
        <v>959</v>
      </c>
      <c r="P2474" s="20"/>
      <c r="Q2474" s="20"/>
      <c r="R2474" s="20"/>
      <c r="S2474" s="20"/>
      <c r="T2474" s="20"/>
    </row>
    <row r="2475" spans="1:20" x14ac:dyDescent="0.25">
      <c r="A2475" s="3">
        <v>41999</v>
      </c>
      <c r="B2475" s="36">
        <v>203</v>
      </c>
      <c r="C2475" t="s">
        <v>3275</v>
      </c>
      <c r="D2475">
        <v>6.12</v>
      </c>
      <c r="E2475" s="18">
        <v>599</v>
      </c>
      <c r="F2475" t="s">
        <v>889</v>
      </c>
      <c r="G2475" t="s">
        <v>3276</v>
      </c>
      <c r="H2475" s="18">
        <v>599</v>
      </c>
      <c r="I2475" s="3">
        <v>41999</v>
      </c>
      <c r="J2475"/>
      <c r="L2475"/>
      <c r="M2475"/>
      <c r="N2475" s="20"/>
      <c r="O2475" t="s">
        <v>959</v>
      </c>
      <c r="P2475" s="20"/>
      <c r="Q2475" s="20"/>
      <c r="R2475" s="20"/>
      <c r="S2475" s="20"/>
      <c r="T2475" s="20"/>
    </row>
    <row r="2476" spans="1:20" x14ac:dyDescent="0.25">
      <c r="A2476" s="3">
        <v>41999</v>
      </c>
      <c r="B2476" s="36">
        <v>203</v>
      </c>
      <c r="C2476" t="s">
        <v>3264</v>
      </c>
      <c r="D2476">
        <v>6.5</v>
      </c>
      <c r="E2476" s="18">
        <v>400</v>
      </c>
      <c r="F2476" t="s">
        <v>889</v>
      </c>
      <c r="G2476" t="s">
        <v>3265</v>
      </c>
      <c r="H2476" s="18">
        <v>400</v>
      </c>
      <c r="I2476" s="3">
        <v>41999</v>
      </c>
      <c r="J2476"/>
      <c r="L2476"/>
      <c r="M2476"/>
      <c r="N2476" s="20"/>
      <c r="O2476" t="s">
        <v>959</v>
      </c>
      <c r="P2476" s="20"/>
      <c r="Q2476" s="20"/>
      <c r="R2476" s="20"/>
      <c r="S2476" s="20"/>
      <c r="T2476" s="20"/>
    </row>
    <row r="2477" spans="1:20" x14ac:dyDescent="0.25">
      <c r="A2477" s="3">
        <v>42004</v>
      </c>
      <c r="B2477" s="36">
        <v>203</v>
      </c>
      <c r="C2477" t="s">
        <v>3277</v>
      </c>
      <c r="D2477">
        <v>8</v>
      </c>
      <c r="E2477" s="18">
        <v>400</v>
      </c>
      <c r="F2477" t="s">
        <v>889</v>
      </c>
      <c r="G2477" t="s">
        <v>3278</v>
      </c>
      <c r="H2477" s="18">
        <v>400</v>
      </c>
      <c r="I2477" s="3">
        <v>42004</v>
      </c>
      <c r="J2477"/>
      <c r="L2477"/>
      <c r="M2477"/>
      <c r="N2477" s="20"/>
      <c r="O2477"/>
      <c r="P2477" s="20"/>
      <c r="Q2477" s="20"/>
      <c r="R2477" s="20"/>
      <c r="S2477" s="20"/>
      <c r="T2477" s="20"/>
    </row>
    <row r="2478" spans="1:20" x14ac:dyDescent="0.25">
      <c r="A2478" s="3">
        <v>42004</v>
      </c>
      <c r="B2478" s="36">
        <v>203</v>
      </c>
      <c r="C2478" t="s">
        <v>3273</v>
      </c>
      <c r="D2478">
        <v>5.76</v>
      </c>
      <c r="E2478" s="18">
        <v>146.18181818181822</v>
      </c>
      <c r="F2478" t="s">
        <v>889</v>
      </c>
      <c r="G2478" t="s">
        <v>3274</v>
      </c>
      <c r="H2478" s="18">
        <v>146.18181818181822</v>
      </c>
      <c r="I2478" s="3">
        <v>42004</v>
      </c>
      <c r="J2478"/>
      <c r="L2478"/>
      <c r="M2478"/>
      <c r="N2478" s="20"/>
      <c r="O2478"/>
      <c r="P2478" s="20"/>
      <c r="Q2478" s="20"/>
      <c r="R2478" s="20"/>
      <c r="S2478" s="20"/>
      <c r="T2478" s="20"/>
    </row>
    <row r="2479" spans="1:20" x14ac:dyDescent="0.25">
      <c r="A2479" s="3">
        <v>42004</v>
      </c>
      <c r="B2479" s="36">
        <v>203</v>
      </c>
      <c r="C2479" t="s">
        <v>3288</v>
      </c>
      <c r="D2479">
        <v>6</v>
      </c>
      <c r="E2479" s="18">
        <v>300</v>
      </c>
      <c r="F2479" t="s">
        <v>889</v>
      </c>
      <c r="G2479" t="s">
        <v>3289</v>
      </c>
      <c r="H2479" s="18">
        <v>300</v>
      </c>
      <c r="I2479" s="3">
        <v>42004</v>
      </c>
      <c r="J2479"/>
      <c r="L2479"/>
      <c r="M2479"/>
      <c r="N2479" s="20"/>
      <c r="O2479"/>
      <c r="P2479" s="20"/>
      <c r="Q2479" s="20"/>
      <c r="R2479" s="20"/>
      <c r="S2479" s="20"/>
      <c r="T2479" s="20"/>
    </row>
    <row r="2480" spans="1:20" x14ac:dyDescent="0.25">
      <c r="A2480" s="3">
        <v>42013</v>
      </c>
      <c r="B2480" s="36">
        <v>203</v>
      </c>
      <c r="C2480" t="s">
        <v>3279</v>
      </c>
      <c r="D2480">
        <v>5</v>
      </c>
      <c r="E2480" s="18">
        <v>-500</v>
      </c>
      <c r="F2480" t="s">
        <v>889</v>
      </c>
      <c r="G2480" t="s">
        <v>3280</v>
      </c>
      <c r="H2480" s="18" t="s">
        <v>442</v>
      </c>
      <c r="I2480" s="3" t="s">
        <v>442</v>
      </c>
      <c r="J2480"/>
      <c r="L2480"/>
      <c r="M2480"/>
      <c r="N2480" s="20"/>
      <c r="O2480"/>
      <c r="P2480" s="20"/>
      <c r="Q2480" s="20"/>
      <c r="R2480" s="20"/>
      <c r="S2480" s="20"/>
      <c r="T2480" s="20"/>
    </row>
    <row r="2481" spans="1:21" x14ac:dyDescent="0.25">
      <c r="A2481" s="3">
        <v>42013</v>
      </c>
      <c r="B2481" s="36">
        <v>203</v>
      </c>
      <c r="C2481" t="s">
        <v>3275</v>
      </c>
      <c r="D2481">
        <v>6.25</v>
      </c>
      <c r="E2481" s="18">
        <v>338.5</v>
      </c>
      <c r="F2481" t="s">
        <v>889</v>
      </c>
      <c r="G2481" t="s">
        <v>3276</v>
      </c>
      <c r="H2481" s="18">
        <v>338.5</v>
      </c>
      <c r="I2481" s="3">
        <v>42013</v>
      </c>
      <c r="J2481"/>
      <c r="L2481"/>
      <c r="M2481"/>
      <c r="N2481" s="20"/>
      <c r="O2481"/>
      <c r="P2481" s="20"/>
      <c r="Q2481" s="20"/>
      <c r="R2481" s="20"/>
      <c r="S2481" s="20"/>
      <c r="T2481" s="20"/>
    </row>
    <row r="2482" spans="1:21" x14ac:dyDescent="0.25">
      <c r="A2482" s="3">
        <v>42013</v>
      </c>
      <c r="B2482" s="36">
        <v>203</v>
      </c>
      <c r="C2482" t="s">
        <v>3264</v>
      </c>
      <c r="D2482">
        <v>9</v>
      </c>
      <c r="E2482" s="18">
        <v>285.22727272727275</v>
      </c>
      <c r="F2482" t="s">
        <v>889</v>
      </c>
      <c r="G2482" t="s">
        <v>3265</v>
      </c>
      <c r="H2482" s="18">
        <v>285.22727272727275</v>
      </c>
      <c r="I2482" s="3">
        <v>42013</v>
      </c>
      <c r="J2482"/>
      <c r="L2482"/>
      <c r="M2482"/>
      <c r="N2482" s="20"/>
      <c r="O2482"/>
      <c r="P2482" s="20"/>
      <c r="Q2482" s="20"/>
      <c r="R2482" s="20"/>
      <c r="S2482" s="20"/>
      <c r="T2482" s="20"/>
    </row>
    <row r="2483" spans="1:21" x14ac:dyDescent="0.25">
      <c r="A2483" s="3">
        <v>42019</v>
      </c>
      <c r="B2483" s="36">
        <v>203</v>
      </c>
      <c r="C2483" t="s">
        <v>969</v>
      </c>
      <c r="D2483" s="55"/>
      <c r="E2483" s="18">
        <v>6804.27</v>
      </c>
      <c r="F2483" t="s">
        <v>889</v>
      </c>
      <c r="H2483" s="18" t="s">
        <v>442</v>
      </c>
      <c r="I2483" s="3" t="s">
        <v>442</v>
      </c>
      <c r="J2483"/>
      <c r="L2483"/>
      <c r="M2483"/>
      <c r="N2483" s="40" t="s">
        <v>401</v>
      </c>
      <c r="O2483"/>
      <c r="P2483" s="20"/>
      <c r="Q2483" s="20"/>
      <c r="R2483" s="20"/>
      <c r="S2483" s="20"/>
      <c r="T2483" s="20"/>
    </row>
    <row r="2484" spans="1:21" x14ac:dyDescent="0.25">
      <c r="A2484" s="3">
        <v>42019</v>
      </c>
      <c r="B2484" s="36">
        <v>203</v>
      </c>
      <c r="C2484" t="s">
        <v>3295</v>
      </c>
      <c r="D2484" s="55">
        <v>9</v>
      </c>
      <c r="E2484" s="18">
        <v>-900</v>
      </c>
      <c r="F2484" t="s">
        <v>889</v>
      </c>
      <c r="G2484" t="s">
        <v>3296</v>
      </c>
      <c r="H2484" s="18" t="s">
        <v>442</v>
      </c>
      <c r="I2484" s="3" t="s">
        <v>442</v>
      </c>
      <c r="J2484"/>
      <c r="L2484"/>
      <c r="M2484"/>
      <c r="N2484" s="20"/>
      <c r="O2484"/>
      <c r="P2484" s="20"/>
      <c r="Q2484" s="20"/>
      <c r="R2484" s="20"/>
      <c r="S2484" s="20"/>
      <c r="T2484" s="20"/>
    </row>
    <row r="2485" spans="1:21" x14ac:dyDescent="0.25">
      <c r="A2485" s="3">
        <v>42019</v>
      </c>
      <c r="B2485" s="36">
        <v>203</v>
      </c>
      <c r="C2485" t="s">
        <v>3266</v>
      </c>
      <c r="D2485" s="55">
        <v>5</v>
      </c>
      <c r="E2485" s="18">
        <v>-700</v>
      </c>
      <c r="F2485" t="s">
        <v>889</v>
      </c>
      <c r="G2485" t="s">
        <v>3267</v>
      </c>
      <c r="H2485" s="18" t="s">
        <v>442</v>
      </c>
      <c r="I2485" s="3" t="s">
        <v>442</v>
      </c>
      <c r="J2485"/>
      <c r="L2485"/>
      <c r="M2485"/>
      <c r="N2485" s="20"/>
      <c r="O2485"/>
      <c r="P2485" s="20"/>
      <c r="Q2485" s="20"/>
      <c r="R2485" s="20"/>
      <c r="S2485" s="20"/>
      <c r="T2485" s="20"/>
    </row>
    <row r="2486" spans="1:21" x14ac:dyDescent="0.25">
      <c r="A2486" s="3">
        <v>42024</v>
      </c>
      <c r="B2486" s="36">
        <v>203</v>
      </c>
      <c r="C2486" t="s">
        <v>969</v>
      </c>
      <c r="D2486" s="55"/>
      <c r="E2486" s="18">
        <v>785</v>
      </c>
      <c r="F2486" t="s">
        <v>889</v>
      </c>
      <c r="H2486" s="18" t="s">
        <v>442</v>
      </c>
      <c r="I2486" s="3" t="s">
        <v>442</v>
      </c>
      <c r="J2486"/>
      <c r="L2486"/>
      <c r="M2486"/>
      <c r="N2486" s="40" t="s">
        <v>401</v>
      </c>
      <c r="O2486"/>
      <c r="P2486" s="20"/>
      <c r="Q2486" s="20"/>
      <c r="R2486" s="20"/>
      <c r="S2486" s="20"/>
      <c r="T2486" s="20"/>
    </row>
    <row r="2487" spans="1:21" x14ac:dyDescent="0.25">
      <c r="A2487" s="3">
        <v>42027</v>
      </c>
      <c r="B2487" s="36">
        <v>203</v>
      </c>
      <c r="C2487" t="s">
        <v>969</v>
      </c>
      <c r="D2487" s="55"/>
      <c r="E2487" s="18">
        <v>392.5</v>
      </c>
      <c r="F2487" t="s">
        <v>889</v>
      </c>
      <c r="H2487" s="18" t="s">
        <v>442</v>
      </c>
      <c r="I2487" s="3" t="s">
        <v>442</v>
      </c>
      <c r="J2487"/>
      <c r="L2487"/>
      <c r="M2487"/>
      <c r="N2487" s="40" t="s">
        <v>401</v>
      </c>
      <c r="O2487"/>
      <c r="P2487" s="20"/>
      <c r="Q2487" s="20"/>
      <c r="R2487" s="20"/>
      <c r="S2487" s="20"/>
      <c r="T2487" s="20"/>
    </row>
    <row r="2488" spans="1:21" x14ac:dyDescent="0.25">
      <c r="A2488" s="32">
        <v>42034</v>
      </c>
      <c r="B2488" s="56">
        <v>203</v>
      </c>
      <c r="C2488" s="20" t="s">
        <v>974</v>
      </c>
      <c r="D2488" s="20"/>
      <c r="E2488" s="18">
        <v>2690.4950000000013</v>
      </c>
      <c r="F2488" s="33" t="s">
        <v>889</v>
      </c>
      <c r="G2488" s="33"/>
      <c r="H2488" s="18"/>
      <c r="J2488"/>
      <c r="L2488"/>
      <c r="M2488"/>
      <c r="N2488" s="20" t="s">
        <v>401</v>
      </c>
      <c r="O2488"/>
      <c r="P2488" s="20"/>
      <c r="Q2488" s="20"/>
      <c r="R2488" s="20"/>
      <c r="S2488" s="20"/>
      <c r="T2488" s="20"/>
    </row>
    <row r="2489" spans="1:21" x14ac:dyDescent="0.25">
      <c r="A2489" s="3">
        <v>42034</v>
      </c>
      <c r="B2489">
        <v>203</v>
      </c>
      <c r="C2489" s="20" t="s">
        <v>3300</v>
      </c>
      <c r="D2489" s="20">
        <v>9</v>
      </c>
      <c r="E2489" s="59">
        <v>1350</v>
      </c>
      <c r="F2489" s="20" t="s">
        <v>889</v>
      </c>
      <c r="G2489" t="s">
        <v>3285</v>
      </c>
      <c r="H2489" s="18"/>
      <c r="J2489"/>
      <c r="L2489"/>
      <c r="M2489"/>
      <c r="N2489" s="20"/>
      <c r="O2489"/>
      <c r="P2489" s="20"/>
      <c r="Q2489" s="20"/>
      <c r="R2489" s="20"/>
      <c r="S2489" s="20"/>
      <c r="T2489" s="20"/>
    </row>
    <row r="2490" spans="1:21" x14ac:dyDescent="0.25">
      <c r="A2490" s="3">
        <v>42041</v>
      </c>
      <c r="B2490">
        <v>203</v>
      </c>
      <c r="C2490" t="s">
        <v>421</v>
      </c>
      <c r="D2490">
        <v>5.5</v>
      </c>
      <c r="E2490" s="18">
        <v>275</v>
      </c>
      <c r="F2490" t="s">
        <v>889</v>
      </c>
      <c r="G2490" t="s">
        <v>422</v>
      </c>
      <c r="I2490"/>
      <c r="J2490"/>
      <c r="L2490"/>
      <c r="M2490"/>
      <c r="O2490"/>
      <c r="P2490" s="20"/>
      <c r="Q2490" s="20"/>
      <c r="R2490" s="20"/>
      <c r="S2490" s="20"/>
      <c r="T2490" s="20"/>
    </row>
    <row r="2491" spans="1:21" x14ac:dyDescent="0.25">
      <c r="A2491" s="3">
        <v>42041</v>
      </c>
      <c r="B2491">
        <v>203</v>
      </c>
      <c r="C2491" t="s">
        <v>3277</v>
      </c>
      <c r="E2491" s="18">
        <v>400</v>
      </c>
      <c r="F2491" t="s">
        <v>889</v>
      </c>
      <c r="G2491" t="s">
        <v>3278</v>
      </c>
      <c r="I2491"/>
      <c r="J2491"/>
      <c r="L2491"/>
      <c r="M2491"/>
      <c r="O2491"/>
      <c r="P2491" s="20"/>
      <c r="Q2491" s="20"/>
      <c r="R2491" s="20"/>
      <c r="S2491" s="20"/>
      <c r="T2491" s="20"/>
    </row>
    <row r="2492" spans="1:21" x14ac:dyDescent="0.25">
      <c r="A2492" s="3">
        <v>42041</v>
      </c>
      <c r="B2492">
        <v>203</v>
      </c>
      <c r="C2492" t="s">
        <v>3273</v>
      </c>
      <c r="E2492" s="18">
        <v>146.18181818181822</v>
      </c>
      <c r="F2492" t="s">
        <v>889</v>
      </c>
      <c r="G2492" t="s">
        <v>3274</v>
      </c>
      <c r="I2492"/>
      <c r="J2492"/>
      <c r="L2492"/>
      <c r="M2492"/>
      <c r="O2492"/>
      <c r="P2492" s="20"/>
      <c r="Q2492" s="20"/>
      <c r="R2492" s="20"/>
      <c r="S2492" s="20"/>
      <c r="T2492" s="20"/>
    </row>
    <row r="2493" spans="1:21" x14ac:dyDescent="0.25">
      <c r="A2493" s="3">
        <v>42041</v>
      </c>
      <c r="B2493">
        <v>203</v>
      </c>
      <c r="C2493" t="s">
        <v>3288</v>
      </c>
      <c r="E2493" s="18">
        <v>300</v>
      </c>
      <c r="F2493" t="s">
        <v>889</v>
      </c>
      <c r="G2493" t="s">
        <v>3289</v>
      </c>
      <c r="I2493"/>
      <c r="J2493"/>
      <c r="L2493"/>
      <c r="M2493"/>
      <c r="O2493"/>
      <c r="P2493" s="20"/>
      <c r="Q2493" s="20"/>
      <c r="R2493" s="20"/>
      <c r="S2493" s="20"/>
      <c r="T2493" s="20"/>
    </row>
    <row r="2494" spans="1:21" x14ac:dyDescent="0.25">
      <c r="A2494" s="3">
        <v>42041</v>
      </c>
      <c r="B2494">
        <v>203</v>
      </c>
      <c r="C2494" t="s">
        <v>3301</v>
      </c>
      <c r="E2494" s="18">
        <v>150</v>
      </c>
      <c r="F2494" t="s">
        <v>891</v>
      </c>
      <c r="I2494"/>
      <c r="J2494"/>
      <c r="L2494"/>
      <c r="M2494"/>
      <c r="O2494"/>
      <c r="P2494" s="20" t="s">
        <v>401</v>
      </c>
      <c r="Q2494" s="20"/>
      <c r="R2494" s="20"/>
      <c r="S2494" s="20"/>
      <c r="T2494" s="20"/>
    </row>
    <row r="2495" spans="1:21" x14ac:dyDescent="0.25">
      <c r="B2495">
        <v>203</v>
      </c>
      <c r="C2495" t="s">
        <v>3299</v>
      </c>
      <c r="E2495" s="18">
        <v>-97.81</v>
      </c>
      <c r="F2495" t="s">
        <v>889</v>
      </c>
      <c r="I2495"/>
      <c r="J2495"/>
      <c r="L2495"/>
      <c r="M2495"/>
      <c r="O2495"/>
      <c r="P2495" s="20"/>
      <c r="Q2495" s="20"/>
      <c r="R2495" s="20"/>
      <c r="S2495" s="20"/>
      <c r="T2495" s="20"/>
      <c r="U2495" t="s">
        <v>401</v>
      </c>
    </row>
    <row r="2496" spans="1:21" x14ac:dyDescent="0.25">
      <c r="A2496" s="3">
        <v>41810</v>
      </c>
      <c r="B2496" s="36">
        <v>204</v>
      </c>
      <c r="C2496" t="s">
        <v>3302</v>
      </c>
      <c r="D2496">
        <v>3</v>
      </c>
      <c r="E2496" s="18">
        <v>300</v>
      </c>
      <c r="G2496" t="s">
        <v>3303</v>
      </c>
      <c r="H2496" s="18">
        <v>300</v>
      </c>
      <c r="I2496" s="3">
        <v>41810</v>
      </c>
      <c r="J2496"/>
      <c r="L2496"/>
      <c r="M2496"/>
      <c r="N2496" s="20"/>
      <c r="O2496"/>
      <c r="P2496" s="20"/>
      <c r="Q2496" s="20"/>
      <c r="R2496" s="20"/>
      <c r="S2496" s="20"/>
      <c r="T2496" s="20"/>
    </row>
    <row r="2497" spans="1:20" x14ac:dyDescent="0.25">
      <c r="A2497" s="3">
        <v>41831</v>
      </c>
      <c r="B2497" s="36">
        <v>204</v>
      </c>
      <c r="C2497" t="s">
        <v>3304</v>
      </c>
      <c r="D2497">
        <v>3.57</v>
      </c>
      <c r="E2497" s="18">
        <v>357</v>
      </c>
      <c r="G2497" t="s">
        <v>3305</v>
      </c>
      <c r="H2497" s="18">
        <v>357</v>
      </c>
      <c r="I2497" s="3">
        <v>41831</v>
      </c>
      <c r="J2497"/>
      <c r="L2497"/>
      <c r="M2497"/>
      <c r="N2497" s="20"/>
      <c r="O2497" t="s">
        <v>931</v>
      </c>
      <c r="P2497" s="20"/>
      <c r="Q2497" s="20"/>
      <c r="R2497" s="20"/>
      <c r="S2497" s="20"/>
      <c r="T2497" s="20"/>
    </row>
    <row r="2498" spans="1:20" x14ac:dyDescent="0.25">
      <c r="A2498" s="3">
        <v>41985</v>
      </c>
      <c r="B2498" s="36">
        <v>204</v>
      </c>
      <c r="C2498" t="s">
        <v>3302</v>
      </c>
      <c r="D2498">
        <v>3.06</v>
      </c>
      <c r="E2498" s="18">
        <v>312</v>
      </c>
      <c r="F2498" t="s">
        <v>889</v>
      </c>
      <c r="G2498" t="s">
        <v>3303</v>
      </c>
      <c r="H2498" s="18">
        <v>312</v>
      </c>
      <c r="I2498" s="3">
        <v>41985</v>
      </c>
      <c r="J2498"/>
      <c r="L2498"/>
      <c r="M2498"/>
      <c r="N2498" s="20"/>
      <c r="O2498" t="s">
        <v>959</v>
      </c>
      <c r="P2498" s="20"/>
      <c r="Q2498" s="20"/>
      <c r="R2498" s="20"/>
      <c r="S2498" s="20"/>
      <c r="T2498" s="20"/>
    </row>
    <row r="2499" spans="1:20" x14ac:dyDescent="0.25">
      <c r="A2499" s="3">
        <v>41985</v>
      </c>
      <c r="B2499" s="36">
        <v>204</v>
      </c>
      <c r="C2499" t="s">
        <v>3304</v>
      </c>
      <c r="D2499">
        <v>3.57</v>
      </c>
      <c r="E2499" s="18">
        <v>357</v>
      </c>
      <c r="F2499" t="s">
        <v>889</v>
      </c>
      <c r="G2499" t="s">
        <v>3305</v>
      </c>
      <c r="H2499" s="18">
        <v>357</v>
      </c>
      <c r="I2499" s="3">
        <v>41985</v>
      </c>
      <c r="J2499"/>
      <c r="L2499"/>
      <c r="M2499"/>
      <c r="N2499" s="20"/>
      <c r="O2499" t="s">
        <v>959</v>
      </c>
      <c r="P2499" s="20"/>
      <c r="Q2499" s="20"/>
      <c r="R2499" s="20"/>
      <c r="S2499" s="20"/>
      <c r="T2499" s="20"/>
    </row>
    <row r="2500" spans="1:20" x14ac:dyDescent="0.25">
      <c r="A2500" s="3">
        <v>41985</v>
      </c>
      <c r="B2500" s="36">
        <v>204</v>
      </c>
      <c r="C2500" t="s">
        <v>2584</v>
      </c>
      <c r="D2500">
        <v>2</v>
      </c>
      <c r="E2500" s="18">
        <v>-200</v>
      </c>
      <c r="G2500" t="s">
        <v>442</v>
      </c>
      <c r="H2500" s="18" t="s">
        <v>442</v>
      </c>
      <c r="I2500" s="3" t="s">
        <v>442</v>
      </c>
      <c r="J2500"/>
      <c r="L2500"/>
      <c r="M2500"/>
      <c r="N2500" s="20"/>
      <c r="O2500"/>
      <c r="P2500" s="20"/>
      <c r="Q2500" s="20"/>
      <c r="R2500" s="20" t="s">
        <v>401</v>
      </c>
      <c r="S2500" s="20"/>
      <c r="T2500" s="20"/>
    </row>
    <row r="2501" spans="1:20" x14ac:dyDescent="0.25">
      <c r="A2501" s="3">
        <v>41985</v>
      </c>
      <c r="B2501" s="36">
        <v>204</v>
      </c>
      <c r="C2501" t="s">
        <v>1838</v>
      </c>
      <c r="E2501" s="18">
        <v>200</v>
      </c>
      <c r="G2501" t="s">
        <v>442</v>
      </c>
      <c r="H2501" s="18" t="s">
        <v>442</v>
      </c>
      <c r="I2501" s="3" t="s">
        <v>442</v>
      </c>
      <c r="J2501"/>
      <c r="L2501"/>
      <c r="M2501"/>
      <c r="N2501" s="20"/>
      <c r="O2501"/>
      <c r="P2501" s="20"/>
      <c r="Q2501" s="20"/>
      <c r="R2501" s="20"/>
      <c r="S2501" s="20" t="s">
        <v>401</v>
      </c>
      <c r="T2501" s="20"/>
    </row>
    <row r="2502" spans="1:20" x14ac:dyDescent="0.25">
      <c r="A2502" s="3">
        <v>41985</v>
      </c>
      <c r="B2502" s="36">
        <v>204</v>
      </c>
      <c r="C2502" t="s">
        <v>2596</v>
      </c>
      <c r="E2502" s="18">
        <v>-128.57142857142858</v>
      </c>
      <c r="G2502" t="s">
        <v>442</v>
      </c>
      <c r="H2502" s="18" t="s">
        <v>442</v>
      </c>
      <c r="I2502" s="3" t="s">
        <v>442</v>
      </c>
      <c r="J2502"/>
      <c r="L2502"/>
      <c r="M2502"/>
      <c r="N2502" s="20"/>
      <c r="O2502" t="s">
        <v>3029</v>
      </c>
      <c r="P2502" s="20"/>
      <c r="Q2502" s="20" t="s">
        <v>401</v>
      </c>
      <c r="R2502" s="20"/>
      <c r="S2502" s="20"/>
      <c r="T2502" s="20"/>
    </row>
    <row r="2503" spans="1:20" x14ac:dyDescent="0.25">
      <c r="A2503" s="3">
        <v>41985</v>
      </c>
      <c r="B2503" s="36">
        <v>204</v>
      </c>
      <c r="C2503" t="s">
        <v>3306</v>
      </c>
      <c r="D2503" t="s">
        <v>442</v>
      </c>
      <c r="E2503" s="18">
        <v>14.285714285714286</v>
      </c>
      <c r="F2503" t="s">
        <v>891</v>
      </c>
      <c r="G2503" t="s">
        <v>442</v>
      </c>
      <c r="H2503" s="18" t="s">
        <v>442</v>
      </c>
      <c r="I2503" s="3" t="s">
        <v>442</v>
      </c>
      <c r="J2503"/>
      <c r="L2503"/>
      <c r="M2503"/>
      <c r="N2503" s="20"/>
      <c r="O2503" t="s">
        <v>3307</v>
      </c>
      <c r="P2503" s="20"/>
      <c r="Q2503" s="20" t="s">
        <v>401</v>
      </c>
      <c r="R2503" s="20"/>
      <c r="S2503" s="20"/>
      <c r="T2503" s="20"/>
    </row>
    <row r="2504" spans="1:20" x14ac:dyDescent="0.25">
      <c r="A2504" s="3">
        <v>41985</v>
      </c>
      <c r="B2504" s="36">
        <v>204</v>
      </c>
      <c r="C2504" t="s">
        <v>1574</v>
      </c>
      <c r="E2504" s="18">
        <v>-100</v>
      </c>
      <c r="G2504" t="s">
        <v>442</v>
      </c>
      <c r="H2504" s="18" t="s">
        <v>442</v>
      </c>
      <c r="I2504" s="3" t="s">
        <v>442</v>
      </c>
      <c r="J2504"/>
      <c r="L2504"/>
      <c r="M2504"/>
      <c r="N2504" s="20"/>
      <c r="O2504" t="s">
        <v>1839</v>
      </c>
      <c r="P2504" s="20"/>
      <c r="Q2504" s="20" t="s">
        <v>401</v>
      </c>
      <c r="R2504" s="20"/>
      <c r="S2504" s="20"/>
      <c r="T2504" s="20"/>
    </row>
    <row r="2505" spans="1:20" x14ac:dyDescent="0.25">
      <c r="A2505" s="3">
        <v>41985</v>
      </c>
      <c r="B2505" s="36">
        <v>204</v>
      </c>
      <c r="C2505" t="s">
        <v>3308</v>
      </c>
      <c r="E2505" s="18">
        <v>100</v>
      </c>
      <c r="F2505" t="s">
        <v>891</v>
      </c>
      <c r="G2505" t="s">
        <v>442</v>
      </c>
      <c r="H2505" s="18" t="s">
        <v>442</v>
      </c>
      <c r="I2505" s="3" t="s">
        <v>442</v>
      </c>
      <c r="J2505"/>
      <c r="L2505"/>
      <c r="M2505"/>
      <c r="N2505" s="20"/>
      <c r="O2505" t="s">
        <v>1839</v>
      </c>
      <c r="P2505" s="20"/>
      <c r="Q2505" s="20" t="s">
        <v>401</v>
      </c>
      <c r="R2505" s="20"/>
      <c r="S2505" s="20"/>
      <c r="T2505" s="20"/>
    </row>
    <row r="2506" spans="1:20" x14ac:dyDescent="0.25">
      <c r="A2506" s="3">
        <v>41985</v>
      </c>
      <c r="B2506" s="36">
        <v>204</v>
      </c>
      <c r="C2506" t="s">
        <v>1575</v>
      </c>
      <c r="E2506" s="18">
        <v>-100</v>
      </c>
      <c r="G2506" t="s">
        <v>442</v>
      </c>
      <c r="H2506" s="18" t="s">
        <v>442</v>
      </c>
      <c r="I2506" s="3" t="s">
        <v>442</v>
      </c>
      <c r="J2506"/>
      <c r="L2506"/>
      <c r="M2506"/>
      <c r="N2506" s="20"/>
      <c r="O2506" t="s">
        <v>1851</v>
      </c>
      <c r="P2506" s="20"/>
      <c r="Q2506" s="20" t="s">
        <v>401</v>
      </c>
      <c r="R2506" s="20"/>
      <c r="S2506" s="20"/>
      <c r="T2506" s="20"/>
    </row>
    <row r="2507" spans="1:20" x14ac:dyDescent="0.25">
      <c r="A2507" s="3">
        <v>41985</v>
      </c>
      <c r="B2507" s="36">
        <v>204</v>
      </c>
      <c r="C2507" t="s">
        <v>3309</v>
      </c>
      <c r="E2507" s="18">
        <v>100</v>
      </c>
      <c r="F2507" t="s">
        <v>891</v>
      </c>
      <c r="G2507" t="s">
        <v>442</v>
      </c>
      <c r="H2507" s="18" t="s">
        <v>442</v>
      </c>
      <c r="I2507" s="3" t="s">
        <v>442</v>
      </c>
      <c r="J2507"/>
      <c r="L2507"/>
      <c r="M2507"/>
      <c r="N2507" s="20"/>
      <c r="O2507" t="s">
        <v>1851</v>
      </c>
      <c r="P2507" s="20"/>
      <c r="Q2507" s="20" t="s">
        <v>401</v>
      </c>
      <c r="R2507" s="20"/>
      <c r="S2507" s="20"/>
      <c r="T2507" s="20"/>
    </row>
    <row r="2508" spans="1:20" x14ac:dyDescent="0.25">
      <c r="A2508" s="46">
        <v>41831</v>
      </c>
      <c r="B2508" s="36">
        <v>206</v>
      </c>
      <c r="C2508" s="47" t="s">
        <v>1313</v>
      </c>
      <c r="D2508" s="47"/>
      <c r="E2508" s="48">
        <v>800</v>
      </c>
      <c r="F2508" s="47"/>
      <c r="G2508" s="20"/>
      <c r="H2508" s="18" t="s">
        <v>442</v>
      </c>
      <c r="I2508" s="3" t="s">
        <v>442</v>
      </c>
      <c r="J2508" s="20"/>
      <c r="K2508" s="20"/>
      <c r="L2508" s="20"/>
      <c r="M2508" s="20"/>
      <c r="N2508" s="20"/>
      <c r="O2508" s="47" t="s">
        <v>3310</v>
      </c>
      <c r="P2508" s="20"/>
      <c r="Q2508" s="20"/>
      <c r="R2508" s="20"/>
      <c r="S2508" s="20" t="s">
        <v>401</v>
      </c>
      <c r="T2508" s="20"/>
    </row>
    <row r="2509" spans="1:20" x14ac:dyDescent="0.25">
      <c r="A2509" s="3">
        <v>41838</v>
      </c>
      <c r="B2509" s="36">
        <v>206</v>
      </c>
      <c r="C2509" t="s">
        <v>3311</v>
      </c>
      <c r="D2509">
        <v>8</v>
      </c>
      <c r="E2509" s="18">
        <v>800</v>
      </c>
      <c r="G2509" t="s">
        <v>3312</v>
      </c>
      <c r="H2509" s="18">
        <v>800</v>
      </c>
      <c r="I2509" s="3">
        <v>41838</v>
      </c>
      <c r="J2509"/>
      <c r="L2509"/>
      <c r="M2509"/>
      <c r="N2509" s="20"/>
      <c r="O2509" t="s">
        <v>931</v>
      </c>
      <c r="P2509" s="20"/>
      <c r="Q2509" s="20"/>
      <c r="R2509" s="20"/>
      <c r="S2509" s="20"/>
      <c r="T2509" s="20"/>
    </row>
    <row r="2510" spans="1:20" x14ac:dyDescent="0.25">
      <c r="A2510" s="3">
        <v>41838</v>
      </c>
      <c r="B2510" s="36">
        <v>206</v>
      </c>
      <c r="C2510" t="s">
        <v>3313</v>
      </c>
      <c r="D2510">
        <v>3.5</v>
      </c>
      <c r="E2510" s="18">
        <v>350</v>
      </c>
      <c r="G2510" t="s">
        <v>3314</v>
      </c>
      <c r="H2510" s="18">
        <v>350</v>
      </c>
      <c r="I2510" s="3">
        <v>41838</v>
      </c>
      <c r="J2510"/>
      <c r="L2510"/>
      <c r="M2510"/>
      <c r="N2510" s="20"/>
      <c r="O2510" t="s">
        <v>931</v>
      </c>
      <c r="P2510" s="20"/>
      <c r="Q2510" s="20"/>
      <c r="R2510" s="20"/>
      <c r="S2510" s="20"/>
      <c r="T2510" s="20"/>
    </row>
    <row r="2511" spans="1:20" x14ac:dyDescent="0.25">
      <c r="A2511" s="3">
        <v>41838</v>
      </c>
      <c r="B2511" s="36">
        <v>206</v>
      </c>
      <c r="C2511" t="s">
        <v>3315</v>
      </c>
      <c r="D2511">
        <v>9.5</v>
      </c>
      <c r="E2511" s="18">
        <v>950</v>
      </c>
      <c r="G2511" t="s">
        <v>3316</v>
      </c>
      <c r="H2511" s="18">
        <v>950</v>
      </c>
      <c r="I2511" s="3">
        <v>41838</v>
      </c>
      <c r="J2511"/>
      <c r="L2511"/>
      <c r="M2511"/>
      <c r="N2511" s="20"/>
      <c r="O2511" t="s">
        <v>931</v>
      </c>
      <c r="P2511" s="20"/>
      <c r="Q2511" s="20"/>
      <c r="R2511" s="20"/>
      <c r="S2511" s="20"/>
      <c r="T2511" s="20"/>
    </row>
    <row r="2512" spans="1:20" x14ac:dyDescent="0.25">
      <c r="A2512" s="3">
        <v>41873</v>
      </c>
      <c r="B2512" s="36">
        <v>206</v>
      </c>
      <c r="C2512" t="s">
        <v>3317</v>
      </c>
      <c r="D2512">
        <v>9.18</v>
      </c>
      <c r="E2512" s="18">
        <v>918</v>
      </c>
      <c r="F2512" t="s">
        <v>889</v>
      </c>
      <c r="G2512" t="s">
        <v>3318</v>
      </c>
      <c r="H2512" s="18">
        <v>918</v>
      </c>
      <c r="I2512" s="3">
        <v>41873</v>
      </c>
      <c r="J2512"/>
      <c r="L2512"/>
      <c r="M2512"/>
      <c r="N2512" s="20"/>
      <c r="O2512"/>
      <c r="P2512" s="20"/>
      <c r="Q2512" s="20"/>
      <c r="R2512" s="20"/>
      <c r="S2512" s="20"/>
      <c r="T2512" s="20"/>
    </row>
    <row r="2513" spans="1:21" x14ac:dyDescent="0.25">
      <c r="A2513" s="3">
        <v>41873</v>
      </c>
      <c r="B2513" s="36">
        <v>206</v>
      </c>
      <c r="C2513" t="s">
        <v>3313</v>
      </c>
      <c r="D2513">
        <v>3.5</v>
      </c>
      <c r="E2513" s="18">
        <v>-350</v>
      </c>
      <c r="F2513" t="s">
        <v>889</v>
      </c>
      <c r="G2513" t="s">
        <v>3314</v>
      </c>
      <c r="H2513" s="18" t="s">
        <v>442</v>
      </c>
      <c r="I2513" s="3" t="s">
        <v>442</v>
      </c>
      <c r="J2513"/>
      <c r="L2513"/>
      <c r="M2513"/>
      <c r="N2513" s="20"/>
      <c r="O2513"/>
      <c r="P2513" s="20"/>
      <c r="Q2513" s="20"/>
      <c r="R2513" s="20"/>
      <c r="S2513" s="20"/>
      <c r="T2513" s="20"/>
    </row>
    <row r="2514" spans="1:21" x14ac:dyDescent="0.25">
      <c r="A2514" s="3">
        <v>41879</v>
      </c>
      <c r="B2514" s="36">
        <v>206</v>
      </c>
      <c r="C2514" t="s">
        <v>3319</v>
      </c>
      <c r="D2514">
        <v>8.4149999999999991</v>
      </c>
      <c r="E2514" s="18">
        <v>841.49999999999989</v>
      </c>
      <c r="F2514" t="s">
        <v>889</v>
      </c>
      <c r="G2514" t="s">
        <v>3320</v>
      </c>
      <c r="H2514" s="18">
        <v>841.49999999999989</v>
      </c>
      <c r="I2514" s="3">
        <v>41879</v>
      </c>
      <c r="J2514"/>
      <c r="L2514"/>
      <c r="M2514"/>
      <c r="N2514" s="20"/>
      <c r="O2514"/>
      <c r="P2514" s="20"/>
      <c r="Q2514" s="20"/>
      <c r="R2514" s="20"/>
      <c r="S2514" s="20"/>
      <c r="T2514" s="20"/>
    </row>
    <row r="2515" spans="1:21" x14ac:dyDescent="0.25">
      <c r="B2515">
        <v>206</v>
      </c>
      <c r="C2515" t="s">
        <v>3317</v>
      </c>
      <c r="D2515">
        <v>9.18</v>
      </c>
      <c r="E2515" s="18">
        <v>-918</v>
      </c>
      <c r="F2515" t="s">
        <v>889</v>
      </c>
      <c r="G2515" t="s">
        <v>3318</v>
      </c>
      <c r="I2515"/>
      <c r="J2515"/>
      <c r="L2515"/>
      <c r="M2515"/>
      <c r="O2515"/>
      <c r="P2515" s="20"/>
      <c r="Q2515" s="20"/>
      <c r="R2515" s="20"/>
      <c r="S2515" s="20"/>
      <c r="T2515" s="20"/>
      <c r="U2515" t="s">
        <v>401</v>
      </c>
    </row>
    <row r="2516" spans="1:21" x14ac:dyDescent="0.25">
      <c r="B2516">
        <v>206</v>
      </c>
      <c r="C2516" t="s">
        <v>3319</v>
      </c>
      <c r="D2516">
        <v>8.4149999999999991</v>
      </c>
      <c r="E2516" s="18">
        <v>-841.49999999999989</v>
      </c>
      <c r="F2516" t="s">
        <v>889</v>
      </c>
      <c r="G2516" t="s">
        <v>3320</v>
      </c>
      <c r="I2516"/>
      <c r="J2516"/>
      <c r="L2516"/>
      <c r="M2516"/>
      <c r="O2516"/>
      <c r="P2516" s="20"/>
      <c r="Q2516" s="20"/>
      <c r="R2516" s="20"/>
      <c r="S2516" s="20"/>
      <c r="T2516" s="20"/>
      <c r="U2516" t="s">
        <v>401</v>
      </c>
    </row>
    <row r="2517" spans="1:21" x14ac:dyDescent="0.25">
      <c r="B2517">
        <v>206</v>
      </c>
      <c r="C2517" t="s">
        <v>3311</v>
      </c>
      <c r="D2517">
        <v>8</v>
      </c>
      <c r="E2517" s="18">
        <v>-800</v>
      </c>
      <c r="F2517" t="s">
        <v>889</v>
      </c>
      <c r="G2517" t="s">
        <v>3312</v>
      </c>
      <c r="I2517"/>
      <c r="J2517"/>
      <c r="L2517"/>
      <c r="M2517"/>
      <c r="O2517"/>
      <c r="P2517" s="20"/>
      <c r="Q2517" s="20"/>
      <c r="R2517" s="20"/>
      <c r="S2517" s="20"/>
      <c r="T2517" s="20"/>
      <c r="U2517" t="s">
        <v>401</v>
      </c>
    </row>
    <row r="2518" spans="1:21" x14ac:dyDescent="0.25">
      <c r="B2518">
        <v>206</v>
      </c>
      <c r="C2518" t="s">
        <v>3315</v>
      </c>
      <c r="D2518">
        <v>9.5</v>
      </c>
      <c r="E2518" s="18">
        <v>316.66666666666669</v>
      </c>
      <c r="F2518" t="s">
        <v>889</v>
      </c>
      <c r="G2518" t="s">
        <v>3316</v>
      </c>
      <c r="I2518"/>
      <c r="J2518"/>
      <c r="L2518"/>
      <c r="M2518"/>
      <c r="O2518"/>
      <c r="P2518" s="20"/>
      <c r="Q2518" s="20"/>
      <c r="R2518" s="20"/>
      <c r="S2518" s="20"/>
      <c r="T2518" s="20"/>
      <c r="U2518" t="s">
        <v>401</v>
      </c>
    </row>
    <row r="2519" spans="1:21" x14ac:dyDescent="0.25">
      <c r="B2519">
        <v>210</v>
      </c>
      <c r="C2519" t="s">
        <v>3321</v>
      </c>
      <c r="D2519">
        <v>6.63</v>
      </c>
      <c r="E2519" s="18">
        <v>663</v>
      </c>
      <c r="F2519" t="s">
        <v>889</v>
      </c>
      <c r="G2519" t="s">
        <v>3322</v>
      </c>
      <c r="I2519"/>
      <c r="J2519"/>
      <c r="L2519"/>
      <c r="M2519"/>
      <c r="O2519"/>
      <c r="P2519" s="20"/>
      <c r="Q2519" s="20"/>
      <c r="R2519" s="20"/>
      <c r="S2519" s="20"/>
      <c r="T2519" s="20"/>
      <c r="U2519" t="s">
        <v>401</v>
      </c>
    </row>
    <row r="2520" spans="1:21" x14ac:dyDescent="0.25">
      <c r="B2520">
        <v>210</v>
      </c>
      <c r="C2520" t="s">
        <v>3323</v>
      </c>
      <c r="D2520">
        <v>6.63</v>
      </c>
      <c r="E2520" s="18">
        <v>663</v>
      </c>
      <c r="F2520" t="s">
        <v>889</v>
      </c>
      <c r="G2520" t="s">
        <v>3324</v>
      </c>
      <c r="I2520"/>
      <c r="J2520"/>
      <c r="L2520"/>
      <c r="M2520"/>
      <c r="O2520"/>
      <c r="P2520" s="20"/>
      <c r="Q2520" s="20"/>
      <c r="R2520" s="20"/>
      <c r="S2520" s="20"/>
      <c r="T2520" s="20"/>
      <c r="U2520" t="s">
        <v>401</v>
      </c>
    </row>
    <row r="2521" spans="1:21" x14ac:dyDescent="0.25">
      <c r="B2521">
        <v>210</v>
      </c>
      <c r="C2521" t="s">
        <v>1480</v>
      </c>
      <c r="E2521" s="18">
        <v>-217.12494620000001</v>
      </c>
      <c r="F2521" t="s">
        <v>891</v>
      </c>
      <c r="G2521" t="s">
        <v>442</v>
      </c>
      <c r="I2521"/>
      <c r="J2521"/>
      <c r="L2521"/>
      <c r="M2521"/>
      <c r="O2521"/>
      <c r="P2521" s="20"/>
      <c r="Q2521" s="20"/>
      <c r="R2521" s="20"/>
      <c r="S2521" s="20"/>
      <c r="T2521" s="20"/>
      <c r="U2521" t="s">
        <v>401</v>
      </c>
    </row>
    <row r="2522" spans="1:21" x14ac:dyDescent="0.25">
      <c r="B2522">
        <v>210</v>
      </c>
      <c r="C2522" t="s">
        <v>1106</v>
      </c>
      <c r="E2522" s="18">
        <v>-217.12494620000001</v>
      </c>
      <c r="F2522" t="s">
        <v>891</v>
      </c>
      <c r="G2522" t="s">
        <v>442</v>
      </c>
      <c r="I2522"/>
      <c r="J2522"/>
      <c r="L2522"/>
      <c r="M2522"/>
      <c r="O2522"/>
      <c r="P2522" s="20"/>
      <c r="Q2522" s="20"/>
      <c r="R2522" s="20"/>
      <c r="S2522" s="20"/>
      <c r="T2522" s="20"/>
      <c r="U2522" t="s">
        <v>401</v>
      </c>
    </row>
    <row r="2523" spans="1:21" x14ac:dyDescent="0.25">
      <c r="B2523">
        <v>210</v>
      </c>
      <c r="C2523" t="s">
        <v>1269</v>
      </c>
      <c r="E2523" s="18">
        <v>-440.45346240000003</v>
      </c>
      <c r="F2523" t="s">
        <v>891</v>
      </c>
      <c r="G2523" t="s">
        <v>442</v>
      </c>
      <c r="I2523"/>
      <c r="J2523"/>
      <c r="L2523"/>
      <c r="M2523"/>
      <c r="O2523"/>
      <c r="P2523" s="20"/>
      <c r="Q2523" s="20"/>
      <c r="R2523" s="20"/>
      <c r="S2523" s="20"/>
      <c r="T2523" s="20"/>
      <c r="U2523" t="s">
        <v>401</v>
      </c>
    </row>
    <row r="2524" spans="1:21" x14ac:dyDescent="0.25">
      <c r="B2524">
        <v>210</v>
      </c>
      <c r="C2524" t="s">
        <v>1108</v>
      </c>
      <c r="E2524" s="18">
        <v>-217.12494620000001</v>
      </c>
      <c r="F2524" t="s">
        <v>891</v>
      </c>
      <c r="G2524" t="s">
        <v>442</v>
      </c>
      <c r="I2524"/>
      <c r="J2524"/>
      <c r="L2524"/>
      <c r="M2524"/>
      <c r="O2524"/>
      <c r="P2524" s="20"/>
      <c r="Q2524" s="20"/>
      <c r="R2524" s="20"/>
      <c r="S2524" s="20"/>
      <c r="T2524" s="20"/>
      <c r="U2524" t="s">
        <v>401</v>
      </c>
    </row>
    <row r="2525" spans="1:21" x14ac:dyDescent="0.25">
      <c r="B2525">
        <v>210</v>
      </c>
      <c r="C2525" t="s">
        <v>1482</v>
      </c>
      <c r="E2525" s="18">
        <v>-217.12494620000001</v>
      </c>
      <c r="G2525" t="s">
        <v>442</v>
      </c>
      <c r="I2525"/>
      <c r="J2525"/>
      <c r="L2525"/>
      <c r="M2525"/>
      <c r="O2525"/>
      <c r="P2525" s="20"/>
      <c r="Q2525" s="20"/>
      <c r="R2525" s="20"/>
      <c r="S2525" s="20"/>
      <c r="T2525" s="20"/>
      <c r="U2525" t="s">
        <v>401</v>
      </c>
    </row>
    <row r="2526" spans="1:21" x14ac:dyDescent="0.25">
      <c r="B2526">
        <v>210</v>
      </c>
      <c r="C2526" t="s">
        <v>1483</v>
      </c>
      <c r="E2526" s="18">
        <v>-217.12494620000001</v>
      </c>
      <c r="G2526" t="s">
        <v>442</v>
      </c>
      <c r="I2526"/>
      <c r="J2526"/>
      <c r="L2526"/>
      <c r="M2526"/>
      <c r="O2526"/>
      <c r="P2526" s="20"/>
      <c r="Q2526" s="20"/>
      <c r="R2526" s="20"/>
      <c r="S2526" s="20"/>
      <c r="T2526" s="20"/>
      <c r="U2526" t="s">
        <v>401</v>
      </c>
    </row>
    <row r="2527" spans="1:21" x14ac:dyDescent="0.25">
      <c r="B2527">
        <v>210</v>
      </c>
      <c r="C2527" t="s">
        <v>1237</v>
      </c>
      <c r="E2527" s="18">
        <v>-217.12494620000001</v>
      </c>
      <c r="F2527" t="s">
        <v>1484</v>
      </c>
      <c r="G2527" t="s">
        <v>442</v>
      </c>
      <c r="I2527"/>
      <c r="J2527"/>
      <c r="L2527"/>
      <c r="M2527"/>
      <c r="O2527"/>
      <c r="P2527" s="20"/>
      <c r="Q2527" s="20"/>
      <c r="R2527" s="20"/>
      <c r="S2527" s="20"/>
      <c r="T2527" s="20"/>
      <c r="U2527" t="s">
        <v>401</v>
      </c>
    </row>
    <row r="2528" spans="1:21" x14ac:dyDescent="0.25">
      <c r="B2528">
        <v>210</v>
      </c>
      <c r="C2528" t="s">
        <v>1845</v>
      </c>
      <c r="E2528" s="18">
        <v>-162.84370970000001</v>
      </c>
      <c r="G2528" t="s">
        <v>442</v>
      </c>
      <c r="I2528"/>
      <c r="J2528"/>
      <c r="L2528"/>
      <c r="M2528"/>
      <c r="O2528"/>
      <c r="P2528" s="20"/>
      <c r="Q2528" s="20"/>
      <c r="R2528" s="20"/>
      <c r="S2528" s="20"/>
      <c r="T2528" s="20"/>
      <c r="U2528" t="s">
        <v>401</v>
      </c>
    </row>
    <row r="2529" spans="1:21" x14ac:dyDescent="0.25">
      <c r="B2529">
        <v>210</v>
      </c>
      <c r="C2529" t="s">
        <v>2193</v>
      </c>
      <c r="E2529" s="18">
        <v>-120.1941667</v>
      </c>
      <c r="G2529" t="s">
        <v>442</v>
      </c>
      <c r="I2529"/>
      <c r="J2529"/>
      <c r="L2529"/>
      <c r="M2529"/>
      <c r="O2529"/>
      <c r="P2529" s="20"/>
      <c r="Q2529" s="20"/>
      <c r="R2529" s="20"/>
      <c r="S2529" s="20"/>
      <c r="T2529" s="20"/>
      <c r="U2529" t="s">
        <v>401</v>
      </c>
    </row>
    <row r="2530" spans="1:21" x14ac:dyDescent="0.25">
      <c r="B2530">
        <v>210</v>
      </c>
      <c r="C2530" t="s">
        <v>1486</v>
      </c>
      <c r="E2530" s="18">
        <v>-216.34950000000001</v>
      </c>
      <c r="G2530" t="s">
        <v>442</v>
      </c>
      <c r="I2530"/>
      <c r="J2530"/>
      <c r="L2530"/>
      <c r="M2530"/>
      <c r="O2530"/>
      <c r="P2530" s="20"/>
      <c r="Q2530" s="20"/>
      <c r="R2530" s="20"/>
      <c r="S2530" s="20"/>
      <c r="T2530" s="20"/>
      <c r="U2530" t="s">
        <v>401</v>
      </c>
    </row>
    <row r="2531" spans="1:21" x14ac:dyDescent="0.25">
      <c r="B2531">
        <v>210</v>
      </c>
      <c r="C2531" t="s">
        <v>3325</v>
      </c>
      <c r="D2531">
        <v>3.3149999999999999</v>
      </c>
      <c r="E2531" s="18">
        <v>331.5</v>
      </c>
      <c r="G2531" t="s">
        <v>3326</v>
      </c>
      <c r="I2531"/>
      <c r="J2531"/>
      <c r="L2531"/>
      <c r="M2531"/>
      <c r="O2531"/>
      <c r="P2531" s="20"/>
      <c r="Q2531" s="20"/>
      <c r="R2531" s="20"/>
      <c r="S2531" s="20"/>
      <c r="T2531" s="20"/>
      <c r="U2531" t="s">
        <v>401</v>
      </c>
    </row>
    <row r="2532" spans="1:21" x14ac:dyDescent="0.25">
      <c r="B2532">
        <v>210</v>
      </c>
      <c r="C2532" t="s">
        <v>3325</v>
      </c>
      <c r="D2532">
        <v>3.3149999999999999</v>
      </c>
      <c r="E2532" s="18">
        <v>-331.5</v>
      </c>
      <c r="F2532" t="s">
        <v>889</v>
      </c>
      <c r="G2532" t="s">
        <v>3326</v>
      </c>
      <c r="I2532"/>
      <c r="J2532"/>
      <c r="L2532"/>
      <c r="M2532"/>
      <c r="O2532"/>
      <c r="P2532" s="20"/>
      <c r="Q2532" s="20"/>
      <c r="R2532" s="20"/>
      <c r="S2532" s="20"/>
      <c r="T2532" s="20"/>
      <c r="U2532" t="s">
        <v>401</v>
      </c>
    </row>
    <row r="2533" spans="1:21" x14ac:dyDescent="0.25">
      <c r="B2533">
        <v>210</v>
      </c>
      <c r="C2533" t="s">
        <v>3327</v>
      </c>
      <c r="D2533">
        <v>7.14</v>
      </c>
      <c r="E2533" s="18">
        <v>714</v>
      </c>
      <c r="F2533" t="s">
        <v>889</v>
      </c>
      <c r="G2533" t="s">
        <v>3328</v>
      </c>
      <c r="I2533"/>
      <c r="J2533"/>
      <c r="L2533"/>
      <c r="M2533"/>
      <c r="O2533"/>
      <c r="P2533" s="20"/>
      <c r="Q2533" s="20"/>
      <c r="R2533" s="20"/>
      <c r="S2533" s="20"/>
      <c r="T2533" s="20"/>
      <c r="U2533" t="s">
        <v>401</v>
      </c>
    </row>
    <row r="2534" spans="1:21" x14ac:dyDescent="0.25">
      <c r="A2534" s="3">
        <v>41855</v>
      </c>
      <c r="B2534" s="36">
        <v>211</v>
      </c>
      <c r="C2534" t="s">
        <v>3329</v>
      </c>
      <c r="D2534">
        <v>9</v>
      </c>
      <c r="E2534" s="18">
        <v>900</v>
      </c>
      <c r="F2534" t="s">
        <v>889</v>
      </c>
      <c r="G2534" t="s">
        <v>3330</v>
      </c>
      <c r="H2534" s="18">
        <v>900</v>
      </c>
      <c r="I2534" s="3">
        <v>41855</v>
      </c>
      <c r="J2534"/>
      <c r="L2534"/>
      <c r="M2534"/>
      <c r="N2534" s="20"/>
      <c r="O2534" t="s">
        <v>931</v>
      </c>
      <c r="P2534" s="20"/>
      <c r="Q2534" s="20"/>
      <c r="R2534" s="20"/>
      <c r="S2534" s="20"/>
      <c r="T2534" s="20"/>
    </row>
    <row r="2535" spans="1:21" x14ac:dyDescent="0.25">
      <c r="A2535" s="3">
        <v>41855</v>
      </c>
      <c r="B2535" s="36">
        <v>211</v>
      </c>
      <c r="C2535" t="s">
        <v>3331</v>
      </c>
      <c r="D2535">
        <v>3.75</v>
      </c>
      <c r="E2535" s="18">
        <v>375</v>
      </c>
      <c r="F2535" t="s">
        <v>889</v>
      </c>
      <c r="G2535" t="s">
        <v>3332</v>
      </c>
      <c r="H2535" s="18">
        <v>375</v>
      </c>
      <c r="I2535" s="3">
        <v>41855</v>
      </c>
      <c r="J2535"/>
      <c r="L2535"/>
      <c r="M2535"/>
      <c r="N2535" s="20"/>
      <c r="O2535" t="s">
        <v>931</v>
      </c>
      <c r="P2535" s="20"/>
      <c r="Q2535" s="20"/>
      <c r="R2535" s="20"/>
      <c r="S2535" s="20"/>
      <c r="T2535" s="20"/>
    </row>
    <row r="2536" spans="1:21" x14ac:dyDescent="0.25">
      <c r="A2536" s="3">
        <v>41855</v>
      </c>
      <c r="B2536" s="36">
        <v>211</v>
      </c>
      <c r="C2536" t="s">
        <v>3333</v>
      </c>
      <c r="E2536" s="18">
        <v>357</v>
      </c>
      <c r="F2536" t="s">
        <v>889</v>
      </c>
      <c r="H2536" s="18" t="s">
        <v>442</v>
      </c>
      <c r="I2536" s="3" t="s">
        <v>442</v>
      </c>
      <c r="J2536"/>
      <c r="L2536"/>
      <c r="M2536"/>
      <c r="N2536" s="20"/>
      <c r="O2536"/>
      <c r="P2536" s="20"/>
      <c r="Q2536" s="20"/>
      <c r="R2536" s="20"/>
      <c r="S2536" s="20" t="s">
        <v>401</v>
      </c>
      <c r="T2536" s="20"/>
    </row>
    <row r="2537" spans="1:21" x14ac:dyDescent="0.25">
      <c r="A2537" s="3">
        <v>41858</v>
      </c>
      <c r="B2537" s="36">
        <v>211</v>
      </c>
      <c r="C2537" t="s">
        <v>3334</v>
      </c>
      <c r="D2537">
        <v>9.25</v>
      </c>
      <c r="E2537" s="18">
        <v>925</v>
      </c>
      <c r="F2537" t="s">
        <v>889</v>
      </c>
      <c r="G2537" t="s">
        <v>3335</v>
      </c>
      <c r="H2537" s="18">
        <v>925</v>
      </c>
      <c r="I2537" s="3">
        <v>41858</v>
      </c>
      <c r="J2537"/>
      <c r="L2537"/>
      <c r="M2537"/>
      <c r="N2537" s="20"/>
      <c r="O2537" t="s">
        <v>931</v>
      </c>
      <c r="P2537" s="20"/>
      <c r="Q2537" s="20"/>
      <c r="R2537" s="20"/>
      <c r="S2537" s="20"/>
      <c r="T2537" s="20"/>
    </row>
    <row r="2538" spans="1:21" x14ac:dyDescent="0.25">
      <c r="A2538" s="3">
        <v>41858</v>
      </c>
      <c r="B2538" s="36">
        <v>211</v>
      </c>
      <c r="C2538" t="s">
        <v>3336</v>
      </c>
      <c r="D2538">
        <v>13.5</v>
      </c>
      <c r="E2538" s="18">
        <v>1350</v>
      </c>
      <c r="F2538" t="s">
        <v>889</v>
      </c>
      <c r="G2538" t="s">
        <v>3337</v>
      </c>
      <c r="H2538" s="18">
        <v>1350</v>
      </c>
      <c r="I2538" s="3">
        <v>41858</v>
      </c>
      <c r="J2538"/>
      <c r="L2538"/>
      <c r="M2538"/>
      <c r="N2538" s="20"/>
      <c r="O2538" t="s">
        <v>931</v>
      </c>
      <c r="P2538" s="20"/>
      <c r="Q2538" s="20"/>
      <c r="R2538" s="20"/>
      <c r="S2538" s="20"/>
      <c r="T2538" s="20"/>
    </row>
    <row r="2539" spans="1:21" x14ac:dyDescent="0.25">
      <c r="A2539" s="3">
        <v>41865</v>
      </c>
      <c r="B2539" s="36">
        <v>211</v>
      </c>
      <c r="C2539" t="s">
        <v>3338</v>
      </c>
      <c r="D2539">
        <v>6.5</v>
      </c>
      <c r="E2539" s="18">
        <v>650</v>
      </c>
      <c r="F2539" t="s">
        <v>889</v>
      </c>
      <c r="G2539" t="s">
        <v>3339</v>
      </c>
      <c r="H2539" s="18">
        <v>650</v>
      </c>
      <c r="I2539" s="3">
        <v>41865</v>
      </c>
      <c r="J2539"/>
      <c r="L2539"/>
      <c r="M2539"/>
      <c r="N2539" s="20"/>
      <c r="O2539"/>
      <c r="P2539" s="20"/>
      <c r="Q2539" s="20"/>
      <c r="R2539" s="20"/>
      <c r="S2539" s="20"/>
      <c r="T2539" s="20"/>
    </row>
    <row r="2540" spans="1:21" x14ac:dyDescent="0.25">
      <c r="A2540" s="3">
        <v>41865</v>
      </c>
      <c r="B2540" s="36">
        <v>211</v>
      </c>
      <c r="C2540" t="s">
        <v>3340</v>
      </c>
      <c r="D2540">
        <v>5.61</v>
      </c>
      <c r="E2540" s="18">
        <v>561</v>
      </c>
      <c r="F2540" t="s">
        <v>889</v>
      </c>
      <c r="G2540" t="s">
        <v>3341</v>
      </c>
      <c r="H2540" s="18">
        <v>561</v>
      </c>
      <c r="I2540" s="3">
        <v>41865</v>
      </c>
      <c r="J2540"/>
      <c r="L2540"/>
      <c r="M2540"/>
      <c r="N2540" s="20"/>
      <c r="O2540"/>
      <c r="P2540" s="20"/>
      <c r="Q2540" s="20"/>
      <c r="R2540" s="20"/>
      <c r="S2540" s="20"/>
      <c r="T2540" s="20"/>
    </row>
    <row r="2541" spans="1:21" x14ac:dyDescent="0.25">
      <c r="A2541" s="3">
        <v>41865</v>
      </c>
      <c r="B2541" s="36">
        <v>211</v>
      </c>
      <c r="C2541" t="s">
        <v>3342</v>
      </c>
      <c r="D2541">
        <v>5.75</v>
      </c>
      <c r="E2541" s="18">
        <v>575</v>
      </c>
      <c r="F2541" t="s">
        <v>889</v>
      </c>
      <c r="G2541" t="s">
        <v>3343</v>
      </c>
      <c r="H2541" s="18">
        <v>575</v>
      </c>
      <c r="I2541" s="3">
        <v>41865</v>
      </c>
      <c r="J2541"/>
      <c r="L2541"/>
      <c r="M2541"/>
      <c r="N2541" s="20"/>
      <c r="O2541"/>
      <c r="P2541" s="20"/>
      <c r="Q2541" s="20"/>
      <c r="R2541" s="20"/>
      <c r="S2541" s="20"/>
      <c r="T2541" s="20"/>
    </row>
    <row r="2542" spans="1:21" x14ac:dyDescent="0.25">
      <c r="A2542" s="3">
        <v>41873</v>
      </c>
      <c r="B2542" s="36">
        <v>211</v>
      </c>
      <c r="C2542" t="s">
        <v>3344</v>
      </c>
      <c r="D2542">
        <v>10</v>
      </c>
      <c r="E2542" s="18">
        <v>1000</v>
      </c>
      <c r="F2542" t="s">
        <v>889</v>
      </c>
      <c r="G2542" t="s">
        <v>3345</v>
      </c>
      <c r="H2542" s="18">
        <v>1000</v>
      </c>
      <c r="I2542" s="3">
        <v>41873</v>
      </c>
      <c r="J2542"/>
      <c r="L2542"/>
      <c r="M2542"/>
      <c r="N2542" s="20"/>
      <c r="O2542"/>
      <c r="P2542" s="20"/>
      <c r="Q2542" s="20"/>
      <c r="R2542" s="20"/>
      <c r="S2542" s="20"/>
      <c r="T2542" s="20"/>
    </row>
    <row r="2543" spans="1:21" x14ac:dyDescent="0.25">
      <c r="A2543" s="3">
        <v>41873</v>
      </c>
      <c r="B2543" s="36">
        <v>211</v>
      </c>
      <c r="C2543" t="s">
        <v>3334</v>
      </c>
      <c r="D2543">
        <v>9.25</v>
      </c>
      <c r="E2543" s="18">
        <v>-925</v>
      </c>
      <c r="F2543" t="s">
        <v>889</v>
      </c>
      <c r="G2543" t="s">
        <v>3335</v>
      </c>
      <c r="H2543" s="18" t="s">
        <v>442</v>
      </c>
      <c r="I2543" s="3" t="s">
        <v>442</v>
      </c>
      <c r="J2543"/>
      <c r="L2543"/>
      <c r="M2543"/>
      <c r="N2543" s="20"/>
      <c r="O2543"/>
      <c r="P2543" s="20"/>
      <c r="Q2543" s="20"/>
      <c r="R2543" s="20"/>
      <c r="S2543" s="20"/>
      <c r="T2543" s="20"/>
    </row>
    <row r="2544" spans="1:21" x14ac:dyDescent="0.25">
      <c r="A2544" s="3">
        <v>41936</v>
      </c>
      <c r="B2544" s="36">
        <v>211</v>
      </c>
      <c r="C2544" t="s">
        <v>3346</v>
      </c>
      <c r="D2544">
        <v>7.91</v>
      </c>
      <c r="E2544" s="18">
        <v>790.5</v>
      </c>
      <c r="F2544" t="s">
        <v>889</v>
      </c>
      <c r="G2544" t="s">
        <v>3347</v>
      </c>
      <c r="H2544" s="18">
        <v>790.5</v>
      </c>
      <c r="I2544" s="3">
        <v>41936</v>
      </c>
      <c r="J2544"/>
      <c r="L2544"/>
      <c r="M2544"/>
      <c r="N2544" s="20"/>
      <c r="O2544"/>
      <c r="P2544" s="20"/>
      <c r="Q2544" s="20"/>
      <c r="R2544" s="20"/>
      <c r="S2544" s="20"/>
      <c r="T2544" s="20"/>
    </row>
    <row r="2545" spans="1:21" x14ac:dyDescent="0.25">
      <c r="A2545" s="3">
        <v>41950</v>
      </c>
      <c r="B2545" s="36">
        <v>211</v>
      </c>
      <c r="C2545" t="s">
        <v>3346</v>
      </c>
      <c r="D2545">
        <v>7.9050000000000002</v>
      </c>
      <c r="E2545" s="18">
        <v>-790.5</v>
      </c>
      <c r="F2545" t="s">
        <v>889</v>
      </c>
      <c r="G2545" t="s">
        <v>3347</v>
      </c>
      <c r="H2545" s="18" t="s">
        <v>442</v>
      </c>
      <c r="I2545" s="3" t="s">
        <v>442</v>
      </c>
      <c r="J2545"/>
      <c r="L2545"/>
      <c r="M2545"/>
      <c r="N2545" s="20"/>
      <c r="O2545"/>
      <c r="P2545" s="20"/>
      <c r="Q2545" s="20"/>
      <c r="R2545" s="20"/>
      <c r="S2545" s="20"/>
      <c r="T2545" s="20"/>
    </row>
    <row r="2546" spans="1:21" x14ac:dyDescent="0.25">
      <c r="A2546" s="3">
        <v>41957</v>
      </c>
      <c r="B2546" s="36">
        <v>211</v>
      </c>
      <c r="C2546" t="s">
        <v>3348</v>
      </c>
      <c r="D2546">
        <v>9.18</v>
      </c>
      <c r="E2546" s="18">
        <v>1479</v>
      </c>
      <c r="F2546" t="s">
        <v>889</v>
      </c>
      <c r="G2546" t="s">
        <v>3349</v>
      </c>
      <c r="H2546" s="18">
        <v>1479</v>
      </c>
      <c r="I2546" s="3">
        <v>41957</v>
      </c>
      <c r="J2546"/>
      <c r="L2546"/>
      <c r="M2546"/>
      <c r="N2546" s="20"/>
      <c r="O2546" t="s">
        <v>959</v>
      </c>
      <c r="P2546" s="20"/>
      <c r="Q2546" s="20"/>
      <c r="R2546" s="20"/>
      <c r="S2546" s="20"/>
      <c r="T2546" s="20"/>
    </row>
    <row r="2547" spans="1:21" x14ac:dyDescent="0.25">
      <c r="A2547" s="3">
        <v>41957</v>
      </c>
      <c r="B2547" s="36">
        <v>211</v>
      </c>
      <c r="C2547" t="s">
        <v>3350</v>
      </c>
      <c r="D2547">
        <v>7.9050000000000002</v>
      </c>
      <c r="E2547" s="18">
        <v>790.5</v>
      </c>
      <c r="F2547" t="s">
        <v>889</v>
      </c>
      <c r="G2547" t="s">
        <v>3351</v>
      </c>
      <c r="H2547" s="18">
        <v>790.5</v>
      </c>
      <c r="I2547" s="3">
        <v>41957</v>
      </c>
      <c r="J2547"/>
      <c r="L2547"/>
      <c r="M2547"/>
      <c r="N2547" s="20"/>
      <c r="O2547"/>
      <c r="P2547" s="20"/>
      <c r="Q2547" s="20"/>
      <c r="R2547" s="20"/>
      <c r="S2547" s="20"/>
      <c r="T2547" s="20"/>
    </row>
    <row r="2548" spans="1:21" x14ac:dyDescent="0.25">
      <c r="A2548" s="3">
        <v>41957</v>
      </c>
      <c r="B2548" s="36">
        <v>211</v>
      </c>
      <c r="C2548" t="s">
        <v>3331</v>
      </c>
      <c r="D2548">
        <v>3.75</v>
      </c>
      <c r="E2548" s="18">
        <v>-375</v>
      </c>
      <c r="F2548" t="s">
        <v>889</v>
      </c>
      <c r="G2548" t="s">
        <v>3332</v>
      </c>
      <c r="H2548" s="18" t="s">
        <v>442</v>
      </c>
      <c r="I2548" s="3" t="s">
        <v>442</v>
      </c>
      <c r="J2548"/>
      <c r="L2548"/>
      <c r="M2548"/>
      <c r="N2548" s="20"/>
      <c r="O2548"/>
      <c r="P2548" s="20"/>
      <c r="Q2548" s="20"/>
      <c r="R2548" s="20"/>
      <c r="S2548" s="20"/>
      <c r="T2548" s="20"/>
    </row>
    <row r="2549" spans="1:21" x14ac:dyDescent="0.25">
      <c r="A2549" s="3">
        <v>41957</v>
      </c>
      <c r="B2549" s="36">
        <v>211</v>
      </c>
      <c r="C2549" t="s">
        <v>3342</v>
      </c>
      <c r="D2549">
        <v>5.75</v>
      </c>
      <c r="E2549" s="18">
        <v>-575</v>
      </c>
      <c r="F2549" t="s">
        <v>889</v>
      </c>
      <c r="G2549" t="s">
        <v>3343</v>
      </c>
      <c r="H2549" s="18" t="s">
        <v>442</v>
      </c>
      <c r="I2549" s="3" t="s">
        <v>442</v>
      </c>
      <c r="J2549"/>
      <c r="L2549"/>
      <c r="M2549"/>
      <c r="N2549" s="20"/>
      <c r="O2549"/>
      <c r="P2549" s="20"/>
      <c r="Q2549" s="20"/>
      <c r="R2549" s="20"/>
      <c r="S2549" s="20"/>
      <c r="T2549" s="20"/>
    </row>
    <row r="2550" spans="1:21" x14ac:dyDescent="0.25">
      <c r="A2550" s="3">
        <v>41957</v>
      </c>
      <c r="B2550" s="36">
        <v>211</v>
      </c>
      <c r="C2550" t="s">
        <v>3352</v>
      </c>
      <c r="E2550" s="18">
        <v>100</v>
      </c>
      <c r="F2550" t="s">
        <v>891</v>
      </c>
      <c r="H2550" s="18" t="s">
        <v>442</v>
      </c>
      <c r="I2550" s="3" t="s">
        <v>442</v>
      </c>
      <c r="J2550"/>
      <c r="L2550"/>
      <c r="M2550"/>
      <c r="N2550" s="20"/>
      <c r="O2550"/>
      <c r="P2550" s="20" t="s">
        <v>401</v>
      </c>
      <c r="Q2550" s="20"/>
      <c r="R2550" s="20"/>
      <c r="S2550" s="20"/>
      <c r="T2550" s="20"/>
    </row>
    <row r="2551" spans="1:21" x14ac:dyDescent="0.25">
      <c r="A2551" s="3">
        <v>41985</v>
      </c>
      <c r="B2551" s="36">
        <v>211</v>
      </c>
      <c r="C2551" t="s">
        <v>3346</v>
      </c>
      <c r="D2551">
        <v>7.9050000000000002</v>
      </c>
      <c r="E2551" s="18">
        <v>790.5</v>
      </c>
      <c r="F2551" t="s">
        <v>889</v>
      </c>
      <c r="G2551" t="s">
        <v>3347</v>
      </c>
      <c r="H2551" s="18">
        <v>790.5</v>
      </c>
      <c r="I2551" s="3">
        <v>41985</v>
      </c>
      <c r="J2551"/>
      <c r="L2551"/>
      <c r="M2551"/>
      <c r="N2551" s="20"/>
      <c r="O2551"/>
      <c r="P2551" s="20"/>
      <c r="Q2551" s="20"/>
      <c r="R2551" s="20"/>
      <c r="S2551" s="20"/>
      <c r="T2551" s="20"/>
    </row>
    <row r="2552" spans="1:21" x14ac:dyDescent="0.25">
      <c r="A2552" s="3">
        <v>41985</v>
      </c>
      <c r="B2552" s="36">
        <v>211</v>
      </c>
      <c r="C2552" t="s">
        <v>3338</v>
      </c>
      <c r="D2552">
        <v>6.5</v>
      </c>
      <c r="E2552" s="18">
        <v>650</v>
      </c>
      <c r="F2552" t="s">
        <v>889</v>
      </c>
      <c r="G2552" t="s">
        <v>3339</v>
      </c>
      <c r="H2552" s="18">
        <v>650</v>
      </c>
      <c r="I2552" s="3">
        <v>41985</v>
      </c>
      <c r="J2552"/>
      <c r="L2552"/>
      <c r="M2552"/>
      <c r="N2552" s="20"/>
      <c r="O2552" t="s">
        <v>959</v>
      </c>
      <c r="P2552" s="20"/>
      <c r="Q2552" s="20"/>
      <c r="R2552" s="20"/>
      <c r="S2552" s="20"/>
      <c r="T2552" s="20"/>
    </row>
    <row r="2553" spans="1:21" x14ac:dyDescent="0.25">
      <c r="A2553" s="3">
        <v>41999</v>
      </c>
      <c r="B2553" s="36">
        <v>211</v>
      </c>
      <c r="C2553" t="s">
        <v>3329</v>
      </c>
      <c r="D2553">
        <v>6.25</v>
      </c>
      <c r="E2553" s="18">
        <v>350</v>
      </c>
      <c r="F2553" t="s">
        <v>889</v>
      </c>
      <c r="G2553" t="s">
        <v>3330</v>
      </c>
      <c r="H2553" s="18">
        <v>350</v>
      </c>
      <c r="I2553" s="3">
        <v>41999</v>
      </c>
      <c r="J2553"/>
      <c r="L2553"/>
      <c r="M2553"/>
      <c r="N2553" s="20"/>
      <c r="O2553" t="s">
        <v>959</v>
      </c>
      <c r="P2553" s="20"/>
      <c r="Q2553" s="20"/>
      <c r="R2553" s="20"/>
      <c r="S2553" s="20"/>
      <c r="T2553" s="20"/>
    </row>
    <row r="2554" spans="1:21" x14ac:dyDescent="0.25">
      <c r="A2554" s="3">
        <v>42013</v>
      </c>
      <c r="B2554" s="36">
        <v>211</v>
      </c>
      <c r="C2554" t="s">
        <v>3329</v>
      </c>
      <c r="D2554">
        <v>9</v>
      </c>
      <c r="E2554" s="18">
        <v>550</v>
      </c>
      <c r="F2554" t="s">
        <v>889</v>
      </c>
      <c r="G2554" t="s">
        <v>3330</v>
      </c>
      <c r="H2554" s="18">
        <v>550</v>
      </c>
      <c r="I2554" s="3">
        <v>42013</v>
      </c>
      <c r="J2554"/>
      <c r="L2554"/>
      <c r="M2554"/>
      <c r="N2554" s="20"/>
      <c r="O2554"/>
      <c r="P2554" s="20"/>
      <c r="Q2554" s="20"/>
      <c r="R2554" s="20"/>
      <c r="S2554" s="20"/>
      <c r="T2554" s="20"/>
    </row>
    <row r="2555" spans="1:21" x14ac:dyDescent="0.25">
      <c r="A2555" s="3">
        <v>42041</v>
      </c>
      <c r="B2555">
        <v>211</v>
      </c>
      <c r="C2555" t="s">
        <v>516</v>
      </c>
      <c r="D2555">
        <v>4.335</v>
      </c>
      <c r="E2555" s="18">
        <v>250</v>
      </c>
      <c r="F2555" t="s">
        <v>889</v>
      </c>
      <c r="G2555" t="s">
        <v>517</v>
      </c>
      <c r="I2555"/>
      <c r="J2555"/>
      <c r="L2555"/>
      <c r="M2555"/>
      <c r="O2555"/>
      <c r="P2555" s="20"/>
      <c r="Q2555" s="20"/>
      <c r="R2555" s="20"/>
      <c r="S2555" s="20"/>
      <c r="T2555" s="20"/>
    </row>
    <row r="2556" spans="1:21" x14ac:dyDescent="0.25">
      <c r="B2556">
        <v>211</v>
      </c>
      <c r="C2556" t="s">
        <v>3348</v>
      </c>
      <c r="D2556">
        <v>3.57</v>
      </c>
      <c r="E2556" s="18">
        <v>357</v>
      </c>
      <c r="G2556" t="s">
        <v>3349</v>
      </c>
      <c r="I2556"/>
      <c r="J2556"/>
      <c r="L2556"/>
      <c r="M2556"/>
      <c r="O2556"/>
      <c r="P2556" s="20"/>
      <c r="Q2556" s="20"/>
      <c r="R2556" s="20"/>
      <c r="S2556" s="20"/>
      <c r="T2556" s="20"/>
      <c r="U2556" t="s">
        <v>401</v>
      </c>
    </row>
    <row r="2557" spans="1:21" x14ac:dyDescent="0.25">
      <c r="B2557">
        <v>211</v>
      </c>
      <c r="C2557" t="s">
        <v>3353</v>
      </c>
      <c r="D2557">
        <v>4.08</v>
      </c>
      <c r="E2557" s="18">
        <v>408</v>
      </c>
      <c r="F2557" t="s">
        <v>889</v>
      </c>
      <c r="G2557" t="s">
        <v>3354</v>
      </c>
      <c r="I2557"/>
      <c r="J2557"/>
      <c r="L2557"/>
      <c r="M2557"/>
      <c r="O2557"/>
      <c r="P2557" s="20"/>
      <c r="Q2557" s="20"/>
      <c r="R2557" s="20"/>
      <c r="S2557" s="20"/>
      <c r="T2557" s="20"/>
      <c r="U2557" t="s">
        <v>401</v>
      </c>
    </row>
    <row r="2558" spans="1:21" x14ac:dyDescent="0.25">
      <c r="A2558" s="3">
        <v>41645</v>
      </c>
      <c r="B2558" s="36">
        <v>212</v>
      </c>
      <c r="C2558" t="s">
        <v>3355</v>
      </c>
      <c r="D2558">
        <v>13.515000000000001</v>
      </c>
      <c r="E2558" s="18">
        <v>1351.5</v>
      </c>
      <c r="F2558" t="s">
        <v>889</v>
      </c>
      <c r="G2558" t="s">
        <v>3356</v>
      </c>
      <c r="H2558" s="18">
        <v>1351.5</v>
      </c>
      <c r="I2558" s="3">
        <v>41645</v>
      </c>
      <c r="J2558"/>
      <c r="L2558"/>
      <c r="M2558"/>
      <c r="N2558" s="20"/>
      <c r="O2558"/>
      <c r="P2558" s="20"/>
      <c r="Q2558" s="20"/>
      <c r="R2558" s="20"/>
      <c r="S2558" s="20"/>
      <c r="T2558" s="20"/>
    </row>
    <row r="2559" spans="1:21" x14ac:dyDescent="0.25">
      <c r="A2559" s="3">
        <v>41645</v>
      </c>
      <c r="B2559" s="36">
        <v>212</v>
      </c>
      <c r="C2559" t="s">
        <v>3357</v>
      </c>
      <c r="D2559">
        <v>10.71</v>
      </c>
      <c r="E2559" s="18">
        <v>1071</v>
      </c>
      <c r="F2559" t="s">
        <v>889</v>
      </c>
      <c r="G2559" t="s">
        <v>3358</v>
      </c>
      <c r="H2559" s="18">
        <v>1071</v>
      </c>
      <c r="I2559" s="3">
        <v>41645</v>
      </c>
      <c r="J2559"/>
      <c r="L2559"/>
      <c r="M2559"/>
      <c r="N2559" s="20"/>
      <c r="O2559"/>
      <c r="P2559" s="20"/>
      <c r="Q2559" s="20"/>
      <c r="R2559" s="20"/>
      <c r="S2559" s="20"/>
      <c r="T2559" s="20"/>
    </row>
    <row r="2560" spans="1:21" x14ac:dyDescent="0.25">
      <c r="A2560" s="3">
        <v>41645</v>
      </c>
      <c r="B2560" s="36">
        <v>212</v>
      </c>
      <c r="C2560" t="s">
        <v>3359</v>
      </c>
      <c r="D2560">
        <v>6.63</v>
      </c>
      <c r="E2560" s="18">
        <v>663</v>
      </c>
      <c r="F2560" t="s">
        <v>889</v>
      </c>
      <c r="G2560" t="s">
        <v>3360</v>
      </c>
      <c r="H2560" s="18">
        <v>663</v>
      </c>
      <c r="I2560" s="3">
        <v>41645</v>
      </c>
      <c r="J2560"/>
      <c r="L2560"/>
      <c r="M2560"/>
      <c r="N2560" s="20"/>
      <c r="O2560"/>
      <c r="P2560" s="20"/>
      <c r="Q2560" s="20"/>
      <c r="R2560" s="20"/>
      <c r="S2560" s="20"/>
      <c r="T2560" s="20"/>
    </row>
    <row r="2561" spans="1:20" x14ac:dyDescent="0.25">
      <c r="A2561" s="3">
        <v>41645</v>
      </c>
      <c r="B2561" s="36">
        <v>212</v>
      </c>
      <c r="C2561" t="s">
        <v>3361</v>
      </c>
      <c r="D2561">
        <v>8.67</v>
      </c>
      <c r="E2561" s="18">
        <v>867</v>
      </c>
      <c r="F2561" t="s">
        <v>889</v>
      </c>
      <c r="G2561" t="s">
        <v>3362</v>
      </c>
      <c r="H2561" s="18">
        <v>867</v>
      </c>
      <c r="I2561" s="3">
        <v>41645</v>
      </c>
      <c r="J2561"/>
      <c r="L2561"/>
      <c r="M2561"/>
      <c r="N2561" s="20"/>
      <c r="O2561"/>
      <c r="P2561" s="20"/>
      <c r="Q2561" s="20"/>
      <c r="R2561" s="20"/>
      <c r="S2561" s="20"/>
      <c r="T2561" s="20"/>
    </row>
    <row r="2562" spans="1:20" x14ac:dyDescent="0.25">
      <c r="A2562" s="3">
        <v>41645</v>
      </c>
      <c r="B2562" s="36">
        <v>212</v>
      </c>
      <c r="C2562" t="s">
        <v>3363</v>
      </c>
      <c r="D2562">
        <v>4.59</v>
      </c>
      <c r="E2562" s="18">
        <v>459</v>
      </c>
      <c r="F2562" t="s">
        <v>889</v>
      </c>
      <c r="G2562" t="s">
        <v>3364</v>
      </c>
      <c r="H2562" s="18">
        <v>459</v>
      </c>
      <c r="I2562" s="3">
        <v>41645</v>
      </c>
      <c r="J2562"/>
      <c r="L2562"/>
      <c r="M2562"/>
      <c r="N2562" s="20"/>
      <c r="O2562"/>
      <c r="P2562" s="20"/>
      <c r="Q2562" s="20"/>
      <c r="R2562" s="20"/>
      <c r="S2562" s="20"/>
      <c r="T2562" s="20"/>
    </row>
    <row r="2563" spans="1:20" x14ac:dyDescent="0.25">
      <c r="A2563" s="3">
        <v>41645</v>
      </c>
      <c r="B2563" s="36">
        <v>212</v>
      </c>
      <c r="C2563" t="s">
        <v>1480</v>
      </c>
      <c r="E2563" s="18">
        <v>-217.12494620000001</v>
      </c>
      <c r="F2563" t="s">
        <v>891</v>
      </c>
      <c r="G2563" t="s">
        <v>442</v>
      </c>
      <c r="H2563" s="18" t="s">
        <v>442</v>
      </c>
      <c r="I2563" s="3" t="s">
        <v>442</v>
      </c>
      <c r="J2563"/>
      <c r="L2563"/>
      <c r="M2563"/>
      <c r="N2563" s="20"/>
      <c r="O2563" t="s">
        <v>1481</v>
      </c>
      <c r="P2563" s="20"/>
      <c r="Q2563" s="20" t="s">
        <v>401</v>
      </c>
      <c r="R2563" s="20"/>
      <c r="S2563" s="20"/>
      <c r="T2563" s="20"/>
    </row>
    <row r="2564" spans="1:20" x14ac:dyDescent="0.25">
      <c r="A2564" s="3">
        <v>41645</v>
      </c>
      <c r="B2564" s="36">
        <v>212</v>
      </c>
      <c r="C2564" t="s">
        <v>1106</v>
      </c>
      <c r="E2564" s="18">
        <v>-217.12494620000001</v>
      </c>
      <c r="F2564" t="s">
        <v>891</v>
      </c>
      <c r="G2564" t="s">
        <v>442</v>
      </c>
      <c r="H2564" s="18" t="s">
        <v>442</v>
      </c>
      <c r="I2564" s="3" t="s">
        <v>442</v>
      </c>
      <c r="J2564"/>
      <c r="L2564"/>
      <c r="M2564"/>
      <c r="N2564" s="20"/>
      <c r="O2564" t="s">
        <v>1107</v>
      </c>
      <c r="P2564" s="20"/>
      <c r="Q2564" s="20" t="s">
        <v>401</v>
      </c>
      <c r="R2564" s="20"/>
      <c r="S2564" s="20"/>
      <c r="T2564" s="20"/>
    </row>
    <row r="2565" spans="1:20" x14ac:dyDescent="0.25">
      <c r="A2565" s="3">
        <v>41645</v>
      </c>
      <c r="B2565" s="36">
        <v>212</v>
      </c>
      <c r="C2565" t="s">
        <v>1269</v>
      </c>
      <c r="E2565" s="18">
        <v>-440.45346240000003</v>
      </c>
      <c r="F2565" t="s">
        <v>891</v>
      </c>
      <c r="G2565" t="s">
        <v>442</v>
      </c>
      <c r="H2565" s="18" t="s">
        <v>442</v>
      </c>
      <c r="I2565" s="3" t="s">
        <v>442</v>
      </c>
      <c r="J2565"/>
      <c r="L2565"/>
      <c r="M2565"/>
      <c r="N2565" s="20"/>
      <c r="O2565"/>
      <c r="P2565" s="20"/>
      <c r="Q2565" s="20" t="s">
        <v>401</v>
      </c>
      <c r="R2565" s="20"/>
      <c r="S2565" s="20"/>
      <c r="T2565" s="20"/>
    </row>
    <row r="2566" spans="1:20" x14ac:dyDescent="0.25">
      <c r="A2566" s="3">
        <v>41645</v>
      </c>
      <c r="B2566" s="36">
        <v>212</v>
      </c>
      <c r="C2566" t="s">
        <v>1509</v>
      </c>
      <c r="E2566" s="18">
        <v>-328.78920429999999</v>
      </c>
      <c r="F2566" t="s">
        <v>891</v>
      </c>
      <c r="G2566" t="s">
        <v>442</v>
      </c>
      <c r="H2566" s="18" t="s">
        <v>442</v>
      </c>
      <c r="I2566" s="3" t="s">
        <v>442</v>
      </c>
      <c r="J2566"/>
      <c r="L2566"/>
      <c r="M2566"/>
      <c r="N2566" s="20"/>
      <c r="O2566"/>
      <c r="P2566" s="20"/>
      <c r="Q2566" s="20" t="s">
        <v>401</v>
      </c>
      <c r="R2566" s="20"/>
      <c r="S2566" s="20"/>
      <c r="T2566" s="20"/>
    </row>
    <row r="2567" spans="1:20" x14ac:dyDescent="0.25">
      <c r="A2567" s="3">
        <v>41645</v>
      </c>
      <c r="B2567" s="36">
        <v>212</v>
      </c>
      <c r="C2567" t="s">
        <v>1108</v>
      </c>
      <c r="E2567" s="18">
        <v>-217.12494620000001</v>
      </c>
      <c r="F2567" t="s">
        <v>891</v>
      </c>
      <c r="G2567" t="s">
        <v>442</v>
      </c>
      <c r="H2567" s="18" t="s">
        <v>442</v>
      </c>
      <c r="I2567" s="3" t="s">
        <v>442</v>
      </c>
      <c r="J2567"/>
      <c r="L2567"/>
      <c r="M2567"/>
      <c r="N2567" s="20"/>
      <c r="O2567" t="s">
        <v>1109</v>
      </c>
      <c r="P2567" s="20"/>
      <c r="Q2567" s="20" t="s">
        <v>401</v>
      </c>
      <c r="R2567" s="20"/>
      <c r="S2567" s="20"/>
      <c r="T2567" s="20"/>
    </row>
    <row r="2568" spans="1:20" x14ac:dyDescent="0.25">
      <c r="A2568" s="3">
        <v>41645</v>
      </c>
      <c r="B2568" s="36">
        <v>212</v>
      </c>
      <c r="C2568" t="s">
        <v>1482</v>
      </c>
      <c r="E2568" s="18">
        <v>-217.12494620000001</v>
      </c>
      <c r="G2568" t="s">
        <v>442</v>
      </c>
      <c r="H2568" s="18" t="s">
        <v>442</v>
      </c>
      <c r="I2568" s="3" t="s">
        <v>442</v>
      </c>
      <c r="J2568"/>
      <c r="L2568"/>
      <c r="M2568"/>
      <c r="N2568" s="20"/>
      <c r="O2568" t="s">
        <v>1219</v>
      </c>
      <c r="P2568" s="20"/>
      <c r="Q2568" s="20" t="s">
        <v>401</v>
      </c>
      <c r="R2568" s="20"/>
      <c r="S2568" s="20"/>
      <c r="T2568" s="20"/>
    </row>
    <row r="2569" spans="1:20" x14ac:dyDescent="0.25">
      <c r="A2569" s="3">
        <v>41645</v>
      </c>
      <c r="B2569" s="36">
        <v>212</v>
      </c>
      <c r="C2569" t="s">
        <v>1483</v>
      </c>
      <c r="E2569" s="18">
        <v>-217.12494620000001</v>
      </c>
      <c r="G2569" t="s">
        <v>442</v>
      </c>
      <c r="H2569" s="18" t="s">
        <v>442</v>
      </c>
      <c r="I2569" s="3" t="s">
        <v>442</v>
      </c>
      <c r="J2569"/>
      <c r="L2569"/>
      <c r="M2569"/>
      <c r="N2569" s="20"/>
      <c r="O2569" t="s">
        <v>1228</v>
      </c>
      <c r="P2569" s="20"/>
      <c r="Q2569" s="20" t="s">
        <v>401</v>
      </c>
      <c r="R2569" s="20"/>
      <c r="S2569" s="20"/>
      <c r="T2569" s="20"/>
    </row>
    <row r="2570" spans="1:20" x14ac:dyDescent="0.25">
      <c r="A2570" s="3">
        <v>41645</v>
      </c>
      <c r="B2570" s="36">
        <v>212</v>
      </c>
      <c r="C2570" t="s">
        <v>1237</v>
      </c>
      <c r="E2570" s="18">
        <v>-217.12494620000001</v>
      </c>
      <c r="F2570" t="s">
        <v>1484</v>
      </c>
      <c r="G2570" t="s">
        <v>442</v>
      </c>
      <c r="H2570" s="18" t="s">
        <v>442</v>
      </c>
      <c r="I2570" s="3" t="s">
        <v>442</v>
      </c>
      <c r="J2570"/>
      <c r="L2570"/>
      <c r="M2570"/>
      <c r="N2570" s="20"/>
      <c r="O2570" t="s">
        <v>1238</v>
      </c>
      <c r="P2570" s="20"/>
      <c r="Q2570" s="20" t="s">
        <v>401</v>
      </c>
      <c r="R2570" s="20"/>
      <c r="S2570" s="20"/>
      <c r="T2570" s="20"/>
    </row>
    <row r="2571" spans="1:20" x14ac:dyDescent="0.25">
      <c r="A2571" s="3">
        <v>41645</v>
      </c>
      <c r="B2571" s="36">
        <v>212</v>
      </c>
      <c r="C2571" t="s">
        <v>1845</v>
      </c>
      <c r="E2571" s="18">
        <v>-162.84370970000001</v>
      </c>
      <c r="G2571" t="s">
        <v>442</v>
      </c>
      <c r="H2571" s="18" t="s">
        <v>442</v>
      </c>
      <c r="I2571" s="3" t="s">
        <v>442</v>
      </c>
      <c r="J2571"/>
      <c r="L2571"/>
      <c r="M2571"/>
      <c r="N2571" s="20"/>
      <c r="O2571" t="s">
        <v>1090</v>
      </c>
      <c r="P2571" s="20"/>
      <c r="Q2571" s="20" t="s">
        <v>401</v>
      </c>
      <c r="R2571" s="20"/>
      <c r="S2571" s="20"/>
      <c r="T2571" s="20"/>
    </row>
    <row r="2572" spans="1:20" x14ac:dyDescent="0.25">
      <c r="A2572" s="3">
        <v>41645</v>
      </c>
      <c r="B2572" s="36">
        <v>212</v>
      </c>
      <c r="C2572" t="s">
        <v>2193</v>
      </c>
      <c r="E2572" s="18">
        <v>-120.1941667</v>
      </c>
      <c r="G2572" t="s">
        <v>442</v>
      </c>
      <c r="H2572" s="18" t="s">
        <v>442</v>
      </c>
      <c r="I2572" s="3" t="s">
        <v>442</v>
      </c>
      <c r="J2572"/>
      <c r="L2572"/>
      <c r="M2572"/>
      <c r="N2572" s="20"/>
      <c r="O2572" t="s">
        <v>3365</v>
      </c>
      <c r="P2572" s="20"/>
      <c r="Q2572" s="20" t="s">
        <v>401</v>
      </c>
      <c r="R2572" s="20"/>
      <c r="S2572" s="20"/>
      <c r="T2572" s="20"/>
    </row>
    <row r="2573" spans="1:20" x14ac:dyDescent="0.25">
      <c r="A2573" s="3">
        <v>41645</v>
      </c>
      <c r="B2573" s="36">
        <v>212</v>
      </c>
      <c r="C2573" t="s">
        <v>1486</v>
      </c>
      <c r="E2573" s="18">
        <v>-216.34950000000001</v>
      </c>
      <c r="G2573" t="s">
        <v>442</v>
      </c>
      <c r="H2573" s="18" t="s">
        <v>442</v>
      </c>
      <c r="I2573" s="3" t="s">
        <v>442</v>
      </c>
      <c r="J2573"/>
      <c r="L2573"/>
      <c r="M2573"/>
      <c r="N2573" s="20"/>
      <c r="O2573" t="s">
        <v>2654</v>
      </c>
      <c r="P2573" s="20"/>
      <c r="Q2573" s="20" t="s">
        <v>401</v>
      </c>
      <c r="R2573" s="20"/>
      <c r="S2573" s="20"/>
      <c r="T2573" s="20"/>
    </row>
    <row r="2574" spans="1:20" x14ac:dyDescent="0.25">
      <c r="A2574" s="3">
        <v>41645</v>
      </c>
      <c r="B2574" s="36">
        <v>212</v>
      </c>
      <c r="C2574" t="s">
        <v>1110</v>
      </c>
      <c r="E2574" s="18">
        <v>-336.54366670000002</v>
      </c>
      <c r="F2574" t="s">
        <v>891</v>
      </c>
      <c r="G2574" t="s">
        <v>442</v>
      </c>
      <c r="H2574" s="18" t="s">
        <v>442</v>
      </c>
      <c r="I2574" s="3" t="s">
        <v>442</v>
      </c>
      <c r="J2574"/>
      <c r="L2574"/>
      <c r="M2574"/>
      <c r="N2574" s="20"/>
      <c r="O2574"/>
      <c r="P2574" s="20"/>
      <c r="Q2574" s="20" t="s">
        <v>401</v>
      </c>
      <c r="R2574" s="20"/>
      <c r="S2574" s="20"/>
      <c r="T2574" s="20"/>
    </row>
    <row r="2575" spans="1:20" x14ac:dyDescent="0.25">
      <c r="A2575" s="37">
        <v>41645</v>
      </c>
      <c r="B2575" s="36">
        <v>212</v>
      </c>
      <c r="C2575" s="38" t="s">
        <v>1117</v>
      </c>
      <c r="D2575" s="38"/>
      <c r="E2575" s="39">
        <v>-336.54366670000002</v>
      </c>
      <c r="F2575" s="38" t="s">
        <v>891</v>
      </c>
      <c r="G2575" t="s">
        <v>442</v>
      </c>
      <c r="H2575" s="18" t="s">
        <v>442</v>
      </c>
      <c r="I2575" s="3" t="s">
        <v>442</v>
      </c>
      <c r="J2575"/>
      <c r="L2575"/>
      <c r="M2575"/>
      <c r="N2575" s="40"/>
      <c r="O2575" s="38"/>
      <c r="P2575" s="20"/>
      <c r="Q2575" s="20" t="s">
        <v>401</v>
      </c>
      <c r="R2575" s="20"/>
      <c r="S2575" s="20"/>
      <c r="T2575" s="20"/>
    </row>
    <row r="2576" spans="1:20" x14ac:dyDescent="0.25">
      <c r="A2576" s="37">
        <v>41645</v>
      </c>
      <c r="B2576" s="36">
        <v>212</v>
      </c>
      <c r="C2576" s="38" t="s">
        <v>1111</v>
      </c>
      <c r="D2576" s="38"/>
      <c r="E2576" s="39">
        <v>-336.54366670000002</v>
      </c>
      <c r="F2576" s="38" t="s">
        <v>891</v>
      </c>
      <c r="G2576" t="s">
        <v>442</v>
      </c>
      <c r="H2576" s="18" t="s">
        <v>442</v>
      </c>
      <c r="I2576" s="3" t="s">
        <v>442</v>
      </c>
      <c r="J2576"/>
      <c r="L2576"/>
      <c r="M2576"/>
      <c r="N2576" s="40"/>
      <c r="O2576" s="38"/>
      <c r="P2576" s="20"/>
      <c r="Q2576" s="20" t="s">
        <v>401</v>
      </c>
      <c r="R2576" s="20"/>
      <c r="S2576" s="20"/>
      <c r="T2576" s="20"/>
    </row>
    <row r="2577" spans="1:20" x14ac:dyDescent="0.25">
      <c r="A2577" s="37">
        <v>41645</v>
      </c>
      <c r="B2577" s="36">
        <v>212</v>
      </c>
      <c r="C2577" s="38" t="s">
        <v>3366</v>
      </c>
      <c r="D2577" s="38">
        <v>7.3949999999999996</v>
      </c>
      <c r="E2577" s="39">
        <v>739.5</v>
      </c>
      <c r="F2577" s="38" t="s">
        <v>889</v>
      </c>
      <c r="G2577" t="s">
        <v>3367</v>
      </c>
      <c r="H2577" s="18">
        <v>739.5</v>
      </c>
      <c r="I2577" s="3">
        <v>41645</v>
      </c>
      <c r="J2577"/>
      <c r="L2577"/>
      <c r="M2577"/>
      <c r="N2577" s="40"/>
      <c r="O2577" s="38"/>
      <c r="P2577" s="20"/>
      <c r="Q2577" s="20"/>
      <c r="R2577" s="20"/>
      <c r="S2577" s="20"/>
      <c r="T2577" s="20"/>
    </row>
    <row r="2578" spans="1:20" x14ac:dyDescent="0.25">
      <c r="A2578" s="37">
        <v>41645</v>
      </c>
      <c r="B2578" s="36">
        <v>212</v>
      </c>
      <c r="C2578" s="38" t="s">
        <v>3368</v>
      </c>
      <c r="D2578" s="38">
        <v>3.75</v>
      </c>
      <c r="E2578" s="39">
        <v>357</v>
      </c>
      <c r="F2578" s="38" t="s">
        <v>889</v>
      </c>
      <c r="G2578" t="s">
        <v>3369</v>
      </c>
      <c r="H2578" s="18">
        <v>357</v>
      </c>
      <c r="I2578" s="3">
        <v>41645</v>
      </c>
      <c r="J2578"/>
      <c r="L2578"/>
      <c r="M2578"/>
      <c r="N2578" s="40"/>
      <c r="O2578" s="38"/>
      <c r="P2578" s="20"/>
      <c r="Q2578" s="20"/>
      <c r="R2578" s="20"/>
      <c r="S2578" s="20"/>
      <c r="T2578" s="20"/>
    </row>
    <row r="2579" spans="1:20" x14ac:dyDescent="0.25">
      <c r="A2579" s="3">
        <v>41926</v>
      </c>
      <c r="B2579" s="36">
        <v>212</v>
      </c>
      <c r="C2579" t="s">
        <v>3370</v>
      </c>
      <c r="D2579">
        <v>4.08</v>
      </c>
      <c r="E2579" s="18">
        <v>408</v>
      </c>
      <c r="F2579" t="s">
        <v>889</v>
      </c>
      <c r="G2579" t="s">
        <v>3371</v>
      </c>
      <c r="H2579" s="18">
        <v>408</v>
      </c>
      <c r="I2579" s="3">
        <v>41926</v>
      </c>
      <c r="J2579"/>
      <c r="L2579"/>
      <c r="M2579"/>
      <c r="N2579" s="20"/>
      <c r="O2579"/>
      <c r="P2579" s="20"/>
      <c r="Q2579" s="20"/>
      <c r="R2579" s="20"/>
      <c r="S2579" s="20"/>
      <c r="T2579" s="20"/>
    </row>
    <row r="2580" spans="1:20" x14ac:dyDescent="0.25">
      <c r="A2580" s="3">
        <v>41926</v>
      </c>
      <c r="B2580" s="36">
        <v>212</v>
      </c>
      <c r="C2580" t="s">
        <v>1283</v>
      </c>
      <c r="E2580" s="18">
        <v>-331.93</v>
      </c>
      <c r="F2580" t="s">
        <v>891</v>
      </c>
      <c r="G2580" t="s">
        <v>442</v>
      </c>
      <c r="H2580" s="18" t="s">
        <v>442</v>
      </c>
      <c r="I2580" s="3" t="s">
        <v>442</v>
      </c>
      <c r="J2580"/>
      <c r="L2580"/>
      <c r="M2580"/>
      <c r="N2580" s="20"/>
      <c r="O2580"/>
      <c r="P2580" s="20"/>
      <c r="Q2580" s="20" t="s">
        <v>401</v>
      </c>
      <c r="R2580" s="20"/>
      <c r="S2580" s="20"/>
      <c r="T2580" s="20"/>
    </row>
    <row r="2581" spans="1:20" x14ac:dyDescent="0.25">
      <c r="A2581" s="3">
        <v>41929</v>
      </c>
      <c r="B2581" s="36">
        <v>212</v>
      </c>
      <c r="C2581" t="s">
        <v>3372</v>
      </c>
      <c r="E2581" s="18">
        <v>3000</v>
      </c>
      <c r="F2581" t="s">
        <v>889</v>
      </c>
      <c r="G2581" t="s">
        <v>442</v>
      </c>
      <c r="H2581" s="18" t="s">
        <v>442</v>
      </c>
      <c r="I2581" s="3" t="s">
        <v>442</v>
      </c>
      <c r="J2581"/>
      <c r="L2581"/>
      <c r="M2581"/>
      <c r="N2581" s="20"/>
      <c r="O2581"/>
      <c r="P2581" s="20"/>
      <c r="Q2581" s="20"/>
      <c r="R2581" s="20"/>
      <c r="S2581" s="20"/>
      <c r="T2581" s="20" t="s">
        <v>401</v>
      </c>
    </row>
    <row r="2582" spans="1:20" x14ac:dyDescent="0.25">
      <c r="A2582" s="3">
        <v>41929</v>
      </c>
      <c r="B2582" s="36">
        <v>212</v>
      </c>
      <c r="C2582" t="s">
        <v>3373</v>
      </c>
      <c r="D2582">
        <v>3</v>
      </c>
      <c r="E2582" s="18">
        <v>306</v>
      </c>
      <c r="F2582" t="s">
        <v>889</v>
      </c>
      <c r="G2582" t="s">
        <v>3374</v>
      </c>
      <c r="H2582" s="18">
        <v>306</v>
      </c>
      <c r="I2582" s="3">
        <v>41929</v>
      </c>
      <c r="J2582"/>
      <c r="L2582"/>
      <c r="M2582"/>
      <c r="N2582" s="20"/>
      <c r="O2582"/>
      <c r="P2582" s="20"/>
      <c r="Q2582" s="20"/>
      <c r="R2582" s="20"/>
      <c r="S2582" s="20"/>
      <c r="T2582" s="20"/>
    </row>
    <row r="2583" spans="1:20" x14ac:dyDescent="0.25">
      <c r="A2583" s="3">
        <v>41946</v>
      </c>
      <c r="B2583" s="36">
        <v>212</v>
      </c>
      <c r="C2583" t="s">
        <v>3375</v>
      </c>
      <c r="E2583" s="18">
        <v>500</v>
      </c>
      <c r="G2583" t="s">
        <v>442</v>
      </c>
      <c r="H2583" s="18" t="s">
        <v>442</v>
      </c>
      <c r="I2583" s="3" t="s">
        <v>442</v>
      </c>
      <c r="J2583"/>
      <c r="L2583"/>
      <c r="M2583"/>
      <c r="N2583" s="20"/>
      <c r="O2583"/>
      <c r="P2583" s="20"/>
      <c r="Q2583" s="20"/>
      <c r="R2583" s="20"/>
      <c r="S2583" s="20"/>
      <c r="T2583" s="20" t="s">
        <v>401</v>
      </c>
    </row>
    <row r="2584" spans="1:20" x14ac:dyDescent="0.25">
      <c r="A2584" s="3">
        <v>41950</v>
      </c>
      <c r="B2584" s="36">
        <v>212</v>
      </c>
      <c r="C2584" t="s">
        <v>3372</v>
      </c>
      <c r="E2584" s="18">
        <v>-3000</v>
      </c>
      <c r="F2584" t="s">
        <v>889</v>
      </c>
      <c r="G2584" t="s">
        <v>442</v>
      </c>
      <c r="H2584" s="18" t="s">
        <v>442</v>
      </c>
      <c r="I2584" s="3" t="s">
        <v>442</v>
      </c>
      <c r="J2584"/>
      <c r="L2584"/>
      <c r="M2584"/>
      <c r="N2584" s="20"/>
      <c r="O2584"/>
      <c r="P2584" s="20"/>
      <c r="Q2584" s="20"/>
      <c r="R2584" s="20"/>
      <c r="S2584" s="20"/>
      <c r="T2584" s="20" t="s">
        <v>401</v>
      </c>
    </row>
    <row r="2585" spans="1:20" x14ac:dyDescent="0.25">
      <c r="A2585" s="3">
        <v>41950</v>
      </c>
      <c r="B2585" s="36">
        <v>212</v>
      </c>
      <c r="C2585" t="s">
        <v>3355</v>
      </c>
      <c r="D2585">
        <v>13.515000000000001</v>
      </c>
      <c r="E2585" s="18">
        <v>1351.5</v>
      </c>
      <c r="F2585" t="s">
        <v>889</v>
      </c>
      <c r="G2585" t="s">
        <v>3356</v>
      </c>
      <c r="H2585" s="18">
        <v>1351.5</v>
      </c>
      <c r="I2585" s="3">
        <v>41950</v>
      </c>
      <c r="J2585"/>
      <c r="L2585"/>
      <c r="M2585"/>
      <c r="N2585" s="20"/>
      <c r="O2585"/>
      <c r="P2585" s="20"/>
      <c r="Q2585" s="20"/>
      <c r="R2585" s="20"/>
      <c r="S2585" s="20"/>
      <c r="T2585" s="20"/>
    </row>
    <row r="2586" spans="1:20" x14ac:dyDescent="0.25">
      <c r="A2586" s="3">
        <v>41950</v>
      </c>
      <c r="B2586" s="36">
        <v>212</v>
      </c>
      <c r="C2586" t="s">
        <v>3357</v>
      </c>
      <c r="D2586">
        <v>10.71</v>
      </c>
      <c r="E2586" s="18">
        <v>-1071</v>
      </c>
      <c r="F2586" t="s">
        <v>889</v>
      </c>
      <c r="G2586" t="s">
        <v>3358</v>
      </c>
      <c r="H2586" s="18" t="s">
        <v>442</v>
      </c>
      <c r="I2586" s="3" t="s">
        <v>442</v>
      </c>
      <c r="J2586"/>
      <c r="L2586"/>
      <c r="M2586"/>
      <c r="N2586" s="20"/>
      <c r="O2586"/>
      <c r="P2586" s="20"/>
      <c r="Q2586" s="20"/>
      <c r="R2586" s="20"/>
      <c r="S2586" s="20"/>
      <c r="T2586" s="20"/>
    </row>
    <row r="2587" spans="1:20" x14ac:dyDescent="0.25">
      <c r="A2587" s="3">
        <v>41950</v>
      </c>
      <c r="B2587" s="36">
        <v>212</v>
      </c>
      <c r="C2587" t="s">
        <v>3376</v>
      </c>
      <c r="D2587">
        <v>15.045</v>
      </c>
      <c r="E2587" s="18">
        <v>1504.5</v>
      </c>
      <c r="F2587" t="s">
        <v>889</v>
      </c>
      <c r="G2587" t="s">
        <v>3377</v>
      </c>
      <c r="H2587" s="18">
        <v>1504.5</v>
      </c>
      <c r="I2587" s="3">
        <v>41950</v>
      </c>
      <c r="J2587"/>
      <c r="L2587"/>
      <c r="M2587"/>
      <c r="N2587" s="20"/>
      <c r="O2587"/>
      <c r="P2587" s="20"/>
      <c r="Q2587" s="20"/>
      <c r="R2587" s="20"/>
      <c r="S2587" s="20"/>
      <c r="T2587" s="20"/>
    </row>
    <row r="2588" spans="1:20" x14ac:dyDescent="0.25">
      <c r="A2588" s="3">
        <v>41950</v>
      </c>
      <c r="B2588" s="36">
        <v>212</v>
      </c>
      <c r="C2588" t="s">
        <v>3370</v>
      </c>
      <c r="D2588">
        <v>2.5499999999999998</v>
      </c>
      <c r="E2588" s="18">
        <v>-408</v>
      </c>
      <c r="F2588" t="s">
        <v>889</v>
      </c>
      <c r="G2588" t="s">
        <v>3371</v>
      </c>
      <c r="H2588" s="18" t="s">
        <v>442</v>
      </c>
      <c r="I2588" s="3" t="s">
        <v>442</v>
      </c>
      <c r="J2588"/>
      <c r="L2588"/>
      <c r="M2588"/>
      <c r="N2588" s="20"/>
      <c r="O2588"/>
      <c r="P2588" s="20"/>
      <c r="Q2588" s="20"/>
      <c r="R2588" s="20"/>
      <c r="S2588" s="20"/>
      <c r="T2588" s="20"/>
    </row>
    <row r="2589" spans="1:20" x14ac:dyDescent="0.25">
      <c r="A2589" s="3">
        <v>41950</v>
      </c>
      <c r="B2589" s="36">
        <v>212</v>
      </c>
      <c r="C2589" t="s">
        <v>3375</v>
      </c>
      <c r="E2589" s="18">
        <v>-500</v>
      </c>
      <c r="F2589" t="s">
        <v>889</v>
      </c>
      <c r="G2589" t="s">
        <v>442</v>
      </c>
      <c r="H2589" s="18" t="s">
        <v>442</v>
      </c>
      <c r="I2589" s="3" t="s">
        <v>442</v>
      </c>
      <c r="J2589"/>
      <c r="L2589"/>
      <c r="M2589"/>
      <c r="N2589" s="20"/>
      <c r="O2589"/>
      <c r="P2589" s="20"/>
      <c r="Q2589" s="20"/>
      <c r="R2589" s="20"/>
      <c r="S2589" s="20"/>
      <c r="T2589" s="20" t="s">
        <v>401</v>
      </c>
    </row>
    <row r="2590" spans="1:20" x14ac:dyDescent="0.25">
      <c r="A2590" s="3">
        <v>41950</v>
      </c>
      <c r="B2590" s="36">
        <v>212</v>
      </c>
      <c r="C2590" t="s">
        <v>3378</v>
      </c>
      <c r="E2590" s="18">
        <v>17.124946200000011</v>
      </c>
      <c r="F2590" t="s">
        <v>891</v>
      </c>
      <c r="G2590" t="s">
        <v>442</v>
      </c>
      <c r="H2590" s="18" t="s">
        <v>442</v>
      </c>
      <c r="I2590" s="3" t="s">
        <v>442</v>
      </c>
      <c r="J2590"/>
      <c r="L2590"/>
      <c r="M2590"/>
      <c r="N2590" s="20"/>
      <c r="O2590"/>
      <c r="P2590" s="20"/>
      <c r="Q2590" s="20" t="s">
        <v>401</v>
      </c>
      <c r="R2590" s="20"/>
      <c r="S2590" s="20"/>
      <c r="T2590" s="20"/>
    </row>
    <row r="2591" spans="1:20" x14ac:dyDescent="0.25">
      <c r="A2591" s="3">
        <v>41950</v>
      </c>
      <c r="B2591" s="36">
        <v>212</v>
      </c>
      <c r="C2591" t="s">
        <v>3379</v>
      </c>
      <c r="E2591" s="18">
        <v>17.124946200000011</v>
      </c>
      <c r="F2591" t="s">
        <v>891</v>
      </c>
      <c r="G2591" t="s">
        <v>442</v>
      </c>
      <c r="H2591" s="18" t="s">
        <v>442</v>
      </c>
      <c r="I2591" s="3" t="s">
        <v>442</v>
      </c>
      <c r="J2591"/>
      <c r="L2591"/>
      <c r="M2591"/>
      <c r="N2591" s="20"/>
      <c r="O2591"/>
      <c r="P2591" s="20"/>
      <c r="Q2591" s="20" t="s">
        <v>401</v>
      </c>
      <c r="R2591" s="20"/>
      <c r="S2591" s="20"/>
      <c r="T2591" s="20"/>
    </row>
    <row r="2592" spans="1:20" x14ac:dyDescent="0.25">
      <c r="A2592" s="3">
        <v>41950</v>
      </c>
      <c r="B2592" s="36">
        <v>212</v>
      </c>
      <c r="C2592" t="s">
        <v>3380</v>
      </c>
      <c r="E2592" s="18">
        <v>128.78920429999999</v>
      </c>
      <c r="F2592" t="s">
        <v>891</v>
      </c>
      <c r="G2592" t="s">
        <v>442</v>
      </c>
      <c r="H2592" s="18" t="s">
        <v>442</v>
      </c>
      <c r="I2592" s="3" t="s">
        <v>442</v>
      </c>
      <c r="J2592"/>
      <c r="L2592"/>
      <c r="M2592"/>
      <c r="N2592" s="20"/>
      <c r="O2592"/>
      <c r="P2592" s="20"/>
      <c r="Q2592" s="20" t="s">
        <v>401</v>
      </c>
      <c r="R2592" s="20"/>
      <c r="S2592" s="20"/>
      <c r="T2592" s="20"/>
    </row>
    <row r="2593" spans="1:20" x14ac:dyDescent="0.25">
      <c r="A2593" s="3">
        <v>41950</v>
      </c>
      <c r="B2593" s="36">
        <v>212</v>
      </c>
      <c r="C2593" t="s">
        <v>3381</v>
      </c>
      <c r="E2593" s="18">
        <v>17.124946200000011</v>
      </c>
      <c r="F2593" t="s">
        <v>891</v>
      </c>
      <c r="G2593" t="s">
        <v>442</v>
      </c>
      <c r="H2593" s="18" t="s">
        <v>442</v>
      </c>
      <c r="I2593" s="3" t="s">
        <v>442</v>
      </c>
      <c r="J2593"/>
      <c r="L2593"/>
      <c r="M2593"/>
      <c r="N2593" s="20"/>
      <c r="O2593"/>
      <c r="P2593" s="20"/>
      <c r="Q2593" s="20" t="s">
        <v>401</v>
      </c>
      <c r="R2593" s="20"/>
      <c r="S2593" s="20"/>
      <c r="T2593" s="20"/>
    </row>
    <row r="2594" spans="1:20" x14ac:dyDescent="0.25">
      <c r="A2594" s="3">
        <v>41950</v>
      </c>
      <c r="B2594" s="36">
        <v>212</v>
      </c>
      <c r="C2594" t="s">
        <v>3382</v>
      </c>
      <c r="E2594" s="18">
        <v>40.453462400000035</v>
      </c>
      <c r="F2594" t="s">
        <v>891</v>
      </c>
      <c r="G2594" t="s">
        <v>442</v>
      </c>
      <c r="H2594" s="18" t="s">
        <v>442</v>
      </c>
      <c r="I2594" s="3" t="s">
        <v>442</v>
      </c>
      <c r="J2594"/>
      <c r="L2594"/>
      <c r="M2594"/>
      <c r="N2594" s="20"/>
      <c r="O2594"/>
      <c r="P2594" s="20"/>
      <c r="Q2594" s="20" t="s">
        <v>401</v>
      </c>
      <c r="R2594" s="20"/>
      <c r="S2594" s="20"/>
      <c r="T2594" s="20"/>
    </row>
    <row r="2595" spans="1:20" x14ac:dyDescent="0.25">
      <c r="A2595" s="3">
        <v>41950</v>
      </c>
      <c r="B2595" s="36">
        <v>212</v>
      </c>
      <c r="C2595" t="s">
        <v>3383</v>
      </c>
      <c r="E2595" s="18">
        <v>17.124946200000011</v>
      </c>
      <c r="F2595" t="s">
        <v>891</v>
      </c>
      <c r="G2595" t="s">
        <v>442</v>
      </c>
      <c r="H2595" s="18" t="s">
        <v>442</v>
      </c>
      <c r="I2595" s="3" t="s">
        <v>442</v>
      </c>
      <c r="J2595"/>
      <c r="L2595"/>
      <c r="M2595"/>
      <c r="N2595" s="20"/>
      <c r="O2595"/>
      <c r="P2595" s="20"/>
      <c r="Q2595" s="20" t="s">
        <v>401</v>
      </c>
      <c r="R2595" s="20"/>
      <c r="S2595" s="20"/>
      <c r="T2595" s="20"/>
    </row>
    <row r="2596" spans="1:20" x14ac:dyDescent="0.25">
      <c r="A2596" s="3">
        <v>41950</v>
      </c>
      <c r="B2596" s="36">
        <v>212</v>
      </c>
      <c r="C2596" t="s">
        <v>3384</v>
      </c>
      <c r="E2596" s="18">
        <v>17.124946200000011</v>
      </c>
      <c r="F2596" t="s">
        <v>891</v>
      </c>
      <c r="G2596" t="s">
        <v>442</v>
      </c>
      <c r="H2596" s="18" t="s">
        <v>442</v>
      </c>
      <c r="I2596" s="3" t="s">
        <v>442</v>
      </c>
      <c r="J2596"/>
      <c r="L2596"/>
      <c r="M2596"/>
      <c r="N2596" s="20"/>
      <c r="O2596"/>
      <c r="P2596" s="20"/>
      <c r="Q2596" s="20" t="s">
        <v>401</v>
      </c>
      <c r="R2596" s="20"/>
      <c r="S2596" s="20"/>
      <c r="T2596" s="20"/>
    </row>
    <row r="2597" spans="1:20" x14ac:dyDescent="0.25">
      <c r="A2597" s="3">
        <v>41950</v>
      </c>
      <c r="B2597" s="36">
        <v>212</v>
      </c>
      <c r="C2597" t="s">
        <v>3385</v>
      </c>
      <c r="E2597" s="18">
        <v>16.349500000000006</v>
      </c>
      <c r="F2597" t="s">
        <v>891</v>
      </c>
      <c r="G2597" t="s">
        <v>442</v>
      </c>
      <c r="H2597" s="18" t="s">
        <v>442</v>
      </c>
      <c r="I2597" s="3" t="s">
        <v>442</v>
      </c>
      <c r="J2597"/>
      <c r="L2597"/>
      <c r="M2597"/>
      <c r="N2597" s="20"/>
      <c r="O2597"/>
      <c r="P2597" s="20"/>
      <c r="Q2597" s="20" t="s">
        <v>401</v>
      </c>
      <c r="R2597" s="20"/>
      <c r="S2597" s="20"/>
      <c r="T2597" s="20"/>
    </row>
    <row r="2598" spans="1:20" x14ac:dyDescent="0.25">
      <c r="A2598" s="3">
        <v>41950</v>
      </c>
      <c r="B2598" s="36">
        <v>212</v>
      </c>
      <c r="C2598" t="s">
        <v>1299</v>
      </c>
      <c r="E2598" s="18">
        <v>-115.07</v>
      </c>
      <c r="F2598" t="s">
        <v>891</v>
      </c>
      <c r="G2598" t="s">
        <v>442</v>
      </c>
      <c r="H2598" s="18" t="s">
        <v>442</v>
      </c>
      <c r="I2598" s="3" t="s">
        <v>442</v>
      </c>
      <c r="J2598"/>
      <c r="L2598"/>
      <c r="M2598"/>
      <c r="N2598" s="20"/>
      <c r="O2598"/>
      <c r="P2598" s="20"/>
      <c r="Q2598" s="20" t="s">
        <v>401</v>
      </c>
      <c r="R2598" s="20"/>
      <c r="S2598" s="20"/>
      <c r="T2598" s="20"/>
    </row>
    <row r="2599" spans="1:20" x14ac:dyDescent="0.25">
      <c r="A2599" s="3">
        <v>41950</v>
      </c>
      <c r="B2599" s="36">
        <v>212</v>
      </c>
      <c r="C2599" t="s">
        <v>3386</v>
      </c>
      <c r="E2599" s="18">
        <v>131.93</v>
      </c>
      <c r="F2599" t="s">
        <v>891</v>
      </c>
      <c r="G2599" t="s">
        <v>442</v>
      </c>
      <c r="H2599" s="18" t="s">
        <v>442</v>
      </c>
      <c r="I2599" s="3" t="s">
        <v>442</v>
      </c>
      <c r="J2599"/>
      <c r="L2599"/>
      <c r="M2599"/>
      <c r="N2599" s="20"/>
      <c r="O2599"/>
      <c r="P2599" s="20"/>
      <c r="Q2599" s="20" t="s">
        <v>401</v>
      </c>
      <c r="R2599" s="20"/>
      <c r="S2599" s="20"/>
      <c r="T2599" s="20"/>
    </row>
    <row r="2600" spans="1:20" x14ac:dyDescent="0.25">
      <c r="A2600" s="3">
        <v>41950</v>
      </c>
      <c r="B2600" s="36">
        <v>212</v>
      </c>
      <c r="C2600" t="s">
        <v>1282</v>
      </c>
      <c r="E2600" s="18">
        <v>-331.93</v>
      </c>
      <c r="F2600" t="s">
        <v>891</v>
      </c>
      <c r="G2600" t="s">
        <v>442</v>
      </c>
      <c r="H2600" s="18" t="s">
        <v>442</v>
      </c>
      <c r="I2600" s="3" t="s">
        <v>442</v>
      </c>
      <c r="J2600"/>
      <c r="L2600"/>
      <c r="M2600"/>
      <c r="N2600" s="20"/>
      <c r="O2600"/>
      <c r="P2600" s="20"/>
      <c r="Q2600" s="20" t="s">
        <v>401</v>
      </c>
      <c r="R2600" s="20"/>
      <c r="S2600" s="20"/>
      <c r="T2600" s="20"/>
    </row>
    <row r="2601" spans="1:20" x14ac:dyDescent="0.25">
      <c r="A2601" s="3">
        <v>41950</v>
      </c>
      <c r="B2601" s="36">
        <v>212</v>
      </c>
      <c r="C2601" t="s">
        <v>1523</v>
      </c>
      <c r="E2601" s="18">
        <v>131.93</v>
      </c>
      <c r="F2601" t="s">
        <v>891</v>
      </c>
      <c r="G2601" t="s">
        <v>442</v>
      </c>
      <c r="H2601" s="18" t="s">
        <v>442</v>
      </c>
      <c r="I2601" s="3" t="s">
        <v>442</v>
      </c>
      <c r="J2601"/>
      <c r="L2601"/>
      <c r="M2601"/>
      <c r="N2601" s="20"/>
      <c r="O2601"/>
      <c r="P2601" s="20"/>
      <c r="Q2601" s="20" t="s">
        <v>401</v>
      </c>
      <c r="R2601" s="20"/>
      <c r="S2601" s="20"/>
      <c r="T2601" s="20"/>
    </row>
    <row r="2602" spans="1:20" x14ac:dyDescent="0.25">
      <c r="A2602" s="3">
        <v>41950</v>
      </c>
      <c r="B2602" s="36">
        <v>212</v>
      </c>
      <c r="C2602" t="s">
        <v>1292</v>
      </c>
      <c r="E2602" s="18">
        <v>-331.93</v>
      </c>
      <c r="F2602" t="s">
        <v>891</v>
      </c>
      <c r="G2602" t="s">
        <v>442</v>
      </c>
      <c r="H2602" s="18" t="s">
        <v>442</v>
      </c>
      <c r="I2602" s="3" t="s">
        <v>442</v>
      </c>
      <c r="J2602"/>
      <c r="L2602"/>
      <c r="M2602"/>
      <c r="N2602" s="20"/>
      <c r="O2602"/>
      <c r="P2602" s="20"/>
      <c r="Q2602" s="20" t="s">
        <v>401</v>
      </c>
      <c r="R2602" s="20"/>
      <c r="S2602" s="20"/>
      <c r="T2602" s="20"/>
    </row>
    <row r="2603" spans="1:20" x14ac:dyDescent="0.25">
      <c r="A2603" s="3">
        <v>41950</v>
      </c>
      <c r="B2603" s="36">
        <v>212</v>
      </c>
      <c r="C2603" t="s">
        <v>1300</v>
      </c>
      <c r="E2603" s="18">
        <v>-115.07</v>
      </c>
      <c r="F2603" t="s">
        <v>891</v>
      </c>
      <c r="G2603" t="s">
        <v>442</v>
      </c>
      <c r="H2603" s="18" t="s">
        <v>442</v>
      </c>
      <c r="I2603" s="3" t="s">
        <v>442</v>
      </c>
      <c r="J2603"/>
      <c r="L2603"/>
      <c r="M2603"/>
      <c r="N2603" s="20"/>
      <c r="O2603"/>
      <c r="P2603" s="20"/>
      <c r="Q2603" s="20" t="s">
        <v>401</v>
      </c>
      <c r="R2603" s="20"/>
      <c r="S2603" s="20"/>
      <c r="T2603" s="20"/>
    </row>
    <row r="2604" spans="1:20" x14ac:dyDescent="0.25">
      <c r="A2604" s="3">
        <v>41950</v>
      </c>
      <c r="B2604" s="36">
        <v>212</v>
      </c>
      <c r="C2604" t="s">
        <v>3387</v>
      </c>
      <c r="E2604" s="18">
        <v>136.54366670000002</v>
      </c>
      <c r="F2604" t="s">
        <v>891</v>
      </c>
      <c r="G2604" t="s">
        <v>442</v>
      </c>
      <c r="H2604" s="18" t="s">
        <v>442</v>
      </c>
      <c r="I2604" s="3" t="s">
        <v>442</v>
      </c>
      <c r="J2604"/>
      <c r="L2604"/>
      <c r="M2604"/>
      <c r="N2604" s="20"/>
      <c r="O2604"/>
      <c r="P2604" s="20"/>
      <c r="Q2604" s="20" t="s">
        <v>401</v>
      </c>
      <c r="R2604" s="20"/>
      <c r="S2604" s="20"/>
      <c r="T2604" s="20"/>
    </row>
    <row r="2605" spans="1:20" x14ac:dyDescent="0.25">
      <c r="A2605" s="3">
        <v>41950</v>
      </c>
      <c r="B2605" s="36">
        <v>212</v>
      </c>
      <c r="C2605" t="s">
        <v>3388</v>
      </c>
      <c r="E2605" s="18">
        <v>136.54366670000002</v>
      </c>
      <c r="F2605" t="s">
        <v>891</v>
      </c>
      <c r="G2605" t="s">
        <v>442</v>
      </c>
      <c r="H2605" s="18" t="s">
        <v>442</v>
      </c>
      <c r="I2605" s="3" t="s">
        <v>442</v>
      </c>
      <c r="J2605"/>
      <c r="L2605"/>
      <c r="M2605"/>
      <c r="N2605" s="20"/>
      <c r="O2605"/>
      <c r="P2605" s="20"/>
      <c r="Q2605" s="20" t="s">
        <v>401</v>
      </c>
      <c r="R2605" s="20"/>
      <c r="S2605" s="20"/>
      <c r="T2605" s="20"/>
    </row>
    <row r="2606" spans="1:20" x14ac:dyDescent="0.25">
      <c r="A2606" s="3">
        <v>41950</v>
      </c>
      <c r="B2606" s="36">
        <v>212</v>
      </c>
      <c r="C2606" t="s">
        <v>3389</v>
      </c>
      <c r="E2606" s="18">
        <v>136.54366670000002</v>
      </c>
      <c r="F2606" t="s">
        <v>891</v>
      </c>
      <c r="G2606" t="s">
        <v>442</v>
      </c>
      <c r="H2606" s="18" t="s">
        <v>442</v>
      </c>
      <c r="I2606" s="3" t="s">
        <v>442</v>
      </c>
      <c r="J2606"/>
      <c r="L2606"/>
      <c r="M2606"/>
      <c r="N2606" s="20"/>
      <c r="O2606"/>
      <c r="P2606" s="20"/>
      <c r="Q2606" s="20" t="s">
        <v>401</v>
      </c>
      <c r="R2606" s="20"/>
      <c r="S2606" s="20"/>
      <c r="T2606" s="20"/>
    </row>
    <row r="2607" spans="1:20" x14ac:dyDescent="0.25">
      <c r="A2607" s="3">
        <v>41950</v>
      </c>
      <c r="B2607" s="36">
        <v>212</v>
      </c>
      <c r="C2607" t="s">
        <v>3390</v>
      </c>
      <c r="E2607" s="18">
        <v>17.124946200000011</v>
      </c>
      <c r="F2607" t="s">
        <v>891</v>
      </c>
      <c r="G2607" t="s">
        <v>442</v>
      </c>
      <c r="H2607" s="18" t="s">
        <v>442</v>
      </c>
      <c r="I2607" s="3" t="s">
        <v>442</v>
      </c>
      <c r="J2607"/>
      <c r="L2607"/>
      <c r="M2607"/>
      <c r="N2607" s="20"/>
      <c r="O2607"/>
      <c r="P2607" s="20"/>
      <c r="Q2607" s="20" t="s">
        <v>401</v>
      </c>
      <c r="R2607" s="20"/>
      <c r="S2607" s="20"/>
      <c r="T2607" s="20"/>
    </row>
    <row r="2608" spans="1:20" x14ac:dyDescent="0.25">
      <c r="A2608" s="3">
        <v>41950</v>
      </c>
      <c r="B2608" s="36">
        <v>212</v>
      </c>
      <c r="C2608" t="s">
        <v>3391</v>
      </c>
      <c r="D2608">
        <v>6.8849999999999998</v>
      </c>
      <c r="E2608" s="18">
        <v>688.5</v>
      </c>
      <c r="F2608" t="s">
        <v>889</v>
      </c>
      <c r="G2608" t="s">
        <v>3392</v>
      </c>
      <c r="H2608" s="18">
        <v>688.5</v>
      </c>
      <c r="I2608" s="3">
        <v>41950</v>
      </c>
      <c r="J2608"/>
      <c r="L2608"/>
      <c r="M2608"/>
      <c r="N2608" s="20"/>
      <c r="O2608"/>
      <c r="P2608" s="20"/>
      <c r="Q2608" s="20"/>
      <c r="R2608" s="20"/>
      <c r="S2608" s="20"/>
      <c r="T2608" s="20"/>
    </row>
    <row r="2609" spans="1:21" x14ac:dyDescent="0.25">
      <c r="A2609" s="3">
        <v>41950</v>
      </c>
      <c r="B2609" s="36">
        <v>212</v>
      </c>
      <c r="C2609" t="s">
        <v>3366</v>
      </c>
      <c r="D2609">
        <v>8.9250000000000007</v>
      </c>
      <c r="E2609" s="18">
        <v>1045.5000000000002</v>
      </c>
      <c r="F2609" t="s">
        <v>889</v>
      </c>
      <c r="G2609" t="s">
        <v>3367</v>
      </c>
      <c r="H2609" s="18">
        <v>1045.5000000000002</v>
      </c>
      <c r="I2609" s="3">
        <v>41950</v>
      </c>
      <c r="J2609"/>
      <c r="L2609"/>
      <c r="M2609"/>
      <c r="N2609" s="20"/>
      <c r="O2609"/>
      <c r="P2609" s="20"/>
      <c r="Q2609" s="20"/>
      <c r="R2609" s="20"/>
      <c r="S2609" s="20"/>
      <c r="T2609" s="20"/>
    </row>
    <row r="2610" spans="1:21" x14ac:dyDescent="0.25">
      <c r="A2610" s="3">
        <v>41950</v>
      </c>
      <c r="B2610" s="36">
        <v>212</v>
      </c>
      <c r="C2610" t="s">
        <v>3393</v>
      </c>
      <c r="D2610">
        <v>8.4149999999999991</v>
      </c>
      <c r="E2610" s="18">
        <v>841.49999999999989</v>
      </c>
      <c r="F2610" t="s">
        <v>889</v>
      </c>
      <c r="G2610" t="s">
        <v>3394</v>
      </c>
      <c r="H2610" s="18">
        <v>841.49999999999989</v>
      </c>
      <c r="I2610" s="3">
        <v>41950</v>
      </c>
      <c r="J2610"/>
      <c r="L2610"/>
      <c r="M2610"/>
      <c r="N2610" s="20"/>
      <c r="O2610"/>
      <c r="P2610" s="20"/>
      <c r="Q2610" s="20"/>
      <c r="R2610" s="20"/>
      <c r="S2610" s="20"/>
      <c r="T2610" s="20"/>
    </row>
    <row r="2611" spans="1:21" x14ac:dyDescent="0.25">
      <c r="A2611" s="3">
        <v>41950</v>
      </c>
      <c r="B2611" s="36">
        <v>212</v>
      </c>
      <c r="C2611" t="s">
        <v>3368</v>
      </c>
      <c r="D2611">
        <v>3.75</v>
      </c>
      <c r="E2611" s="18">
        <v>393</v>
      </c>
      <c r="F2611" t="s">
        <v>889</v>
      </c>
      <c r="G2611" t="s">
        <v>3369</v>
      </c>
      <c r="H2611" s="18">
        <v>393</v>
      </c>
      <c r="I2611" s="3">
        <v>41950</v>
      </c>
      <c r="J2611"/>
      <c r="L2611"/>
      <c r="M2611"/>
      <c r="N2611" s="20"/>
      <c r="O2611"/>
      <c r="P2611" s="20"/>
      <c r="Q2611" s="20"/>
      <c r="R2611" s="20"/>
      <c r="S2611" s="20"/>
      <c r="T2611" s="20"/>
    </row>
    <row r="2612" spans="1:21" x14ac:dyDescent="0.25">
      <c r="A2612" s="3">
        <v>41957</v>
      </c>
      <c r="B2612" s="36">
        <v>212</v>
      </c>
      <c r="C2612" t="s">
        <v>3395</v>
      </c>
      <c r="D2612">
        <v>10.965</v>
      </c>
      <c r="E2612" s="18">
        <v>1096.5</v>
      </c>
      <c r="F2612" t="s">
        <v>889</v>
      </c>
      <c r="G2612" t="s">
        <v>3396</v>
      </c>
      <c r="H2612" s="18">
        <v>1096.5</v>
      </c>
      <c r="I2612" s="3">
        <v>41957</v>
      </c>
      <c r="J2612"/>
      <c r="L2612"/>
      <c r="M2612"/>
      <c r="N2612" s="20"/>
      <c r="O2612"/>
      <c r="P2612" s="20"/>
      <c r="Q2612" s="20"/>
      <c r="R2612" s="20"/>
      <c r="S2612" s="20"/>
      <c r="T2612" s="20"/>
    </row>
    <row r="2613" spans="1:21" x14ac:dyDescent="0.25">
      <c r="A2613" s="3">
        <v>41957</v>
      </c>
      <c r="B2613" s="36">
        <v>212</v>
      </c>
      <c r="C2613" t="s">
        <v>1304</v>
      </c>
      <c r="E2613" s="18">
        <v>-115.06849315068494</v>
      </c>
      <c r="F2613" t="s">
        <v>891</v>
      </c>
      <c r="G2613" t="s">
        <v>442</v>
      </c>
      <c r="H2613" s="18" t="s">
        <v>442</v>
      </c>
      <c r="I2613" s="3" t="s">
        <v>442</v>
      </c>
      <c r="J2613"/>
      <c r="L2613"/>
      <c r="M2613"/>
      <c r="N2613" s="20"/>
      <c r="O2613"/>
      <c r="P2613" s="20"/>
      <c r="Q2613" s="20" t="s">
        <v>401</v>
      </c>
      <c r="R2613" s="20"/>
      <c r="S2613" s="20"/>
      <c r="T2613" s="20"/>
    </row>
    <row r="2614" spans="1:21" x14ac:dyDescent="0.25">
      <c r="B2614">
        <v>212</v>
      </c>
      <c r="C2614" t="s">
        <v>1314</v>
      </c>
      <c r="E2614" s="18">
        <v>-50</v>
      </c>
      <c r="G2614" t="s">
        <v>442</v>
      </c>
      <c r="I2614"/>
      <c r="J2614"/>
      <c r="L2614"/>
      <c r="M2614"/>
      <c r="O2614"/>
      <c r="P2614" s="20"/>
      <c r="Q2614" s="20"/>
      <c r="R2614" s="20"/>
      <c r="S2614" s="20"/>
      <c r="T2614" s="20"/>
      <c r="U2614" t="s">
        <v>401</v>
      </c>
    </row>
    <row r="2615" spans="1:21" x14ac:dyDescent="0.25">
      <c r="B2615">
        <v>212</v>
      </c>
      <c r="C2615" t="s">
        <v>3359</v>
      </c>
      <c r="D2615">
        <v>6.63</v>
      </c>
      <c r="E2615" s="18">
        <v>-663</v>
      </c>
      <c r="F2615" t="s">
        <v>889</v>
      </c>
      <c r="G2615" t="s">
        <v>3360</v>
      </c>
      <c r="I2615"/>
      <c r="J2615"/>
      <c r="L2615"/>
      <c r="M2615"/>
      <c r="O2615"/>
      <c r="P2615" s="20"/>
      <c r="Q2615" s="20"/>
      <c r="R2615" s="20"/>
      <c r="S2615" s="20"/>
      <c r="T2615" s="20"/>
      <c r="U2615" t="s">
        <v>401</v>
      </c>
    </row>
    <row r="2616" spans="1:21" x14ac:dyDescent="0.25">
      <c r="B2616">
        <v>212</v>
      </c>
      <c r="C2616" t="s">
        <v>3397</v>
      </c>
      <c r="D2616">
        <v>3.57</v>
      </c>
      <c r="E2616" s="18">
        <v>357</v>
      </c>
      <c r="F2616" t="s">
        <v>889</v>
      </c>
      <c r="G2616" t="s">
        <v>3369</v>
      </c>
      <c r="I2616"/>
      <c r="J2616"/>
      <c r="L2616"/>
      <c r="M2616"/>
      <c r="O2616"/>
      <c r="P2616" s="20"/>
      <c r="Q2616" s="20"/>
      <c r="R2616" s="20"/>
      <c r="S2616" s="20"/>
      <c r="T2616" s="20"/>
      <c r="U2616" t="s">
        <v>401</v>
      </c>
    </row>
    <row r="2617" spans="1:21" x14ac:dyDescent="0.25">
      <c r="B2617">
        <v>212</v>
      </c>
      <c r="C2617" t="s">
        <v>3363</v>
      </c>
      <c r="D2617">
        <v>4.59</v>
      </c>
      <c r="E2617" s="18">
        <v>-459</v>
      </c>
      <c r="F2617" t="s">
        <v>889</v>
      </c>
      <c r="G2617" t="s">
        <v>3364</v>
      </c>
      <c r="I2617"/>
      <c r="J2617"/>
      <c r="L2617"/>
      <c r="M2617"/>
      <c r="O2617"/>
      <c r="P2617" s="20"/>
      <c r="Q2617" s="20"/>
      <c r="R2617" s="20"/>
      <c r="S2617" s="20"/>
      <c r="T2617" s="20"/>
      <c r="U2617" t="s">
        <v>401</v>
      </c>
    </row>
    <row r="2618" spans="1:21" x14ac:dyDescent="0.25">
      <c r="B2618">
        <v>212</v>
      </c>
      <c r="C2618" t="s">
        <v>2573</v>
      </c>
      <c r="E2618" s="18">
        <v>-115.06849315068494</v>
      </c>
      <c r="F2618" t="s">
        <v>891</v>
      </c>
      <c r="G2618" t="s">
        <v>442</v>
      </c>
      <c r="I2618"/>
      <c r="J2618"/>
      <c r="L2618"/>
      <c r="M2618"/>
      <c r="O2618"/>
      <c r="P2618" s="20"/>
      <c r="Q2618" s="20"/>
      <c r="R2618" s="20"/>
      <c r="S2618" s="20"/>
      <c r="T2618" s="20"/>
      <c r="U2618" t="s">
        <v>401</v>
      </c>
    </row>
    <row r="2619" spans="1:21" x14ac:dyDescent="0.25">
      <c r="B2619">
        <v>212</v>
      </c>
      <c r="C2619" t="s">
        <v>1312</v>
      </c>
      <c r="E2619" s="18">
        <v>-115.06849315068494</v>
      </c>
      <c r="F2619" t="s">
        <v>891</v>
      </c>
      <c r="G2619" t="s">
        <v>442</v>
      </c>
      <c r="I2619"/>
      <c r="J2619"/>
      <c r="L2619"/>
      <c r="M2619"/>
      <c r="O2619"/>
      <c r="P2619" s="20"/>
      <c r="Q2619" s="20"/>
      <c r="R2619" s="20"/>
      <c r="S2619" s="20"/>
      <c r="T2619" s="20"/>
      <c r="U2619" t="s">
        <v>401</v>
      </c>
    </row>
    <row r="2620" spans="1:21" x14ac:dyDescent="0.25">
      <c r="B2620">
        <v>212</v>
      </c>
      <c r="C2620" t="s">
        <v>3393</v>
      </c>
      <c r="D2620">
        <v>8.4149999999999991</v>
      </c>
      <c r="E2620" s="18">
        <v>-841.49999999999989</v>
      </c>
      <c r="F2620" t="s">
        <v>889</v>
      </c>
      <c r="G2620" t="s">
        <v>3394</v>
      </c>
      <c r="I2620"/>
      <c r="J2620"/>
      <c r="L2620"/>
      <c r="M2620"/>
      <c r="O2620"/>
      <c r="P2620" s="20"/>
      <c r="Q2620" s="20"/>
      <c r="R2620" s="20"/>
      <c r="S2620" s="20"/>
      <c r="T2620" s="20"/>
      <c r="U2620" t="s">
        <v>401</v>
      </c>
    </row>
    <row r="2621" spans="1:21" x14ac:dyDescent="0.25">
      <c r="B2621">
        <v>212</v>
      </c>
      <c r="C2621" t="s">
        <v>3398</v>
      </c>
      <c r="D2621">
        <v>3.06</v>
      </c>
      <c r="E2621" s="18">
        <v>306</v>
      </c>
      <c r="F2621" t="s">
        <v>889</v>
      </c>
      <c r="G2621" t="s">
        <v>3399</v>
      </c>
      <c r="I2621"/>
      <c r="J2621"/>
      <c r="L2621"/>
      <c r="M2621"/>
      <c r="O2621"/>
      <c r="P2621" s="20"/>
      <c r="Q2621" s="20"/>
      <c r="R2621" s="20"/>
      <c r="S2621" s="20"/>
      <c r="T2621" s="20"/>
      <c r="U2621" t="s">
        <v>401</v>
      </c>
    </row>
    <row r="2622" spans="1:21" x14ac:dyDescent="0.25">
      <c r="A2622" s="3">
        <v>41845</v>
      </c>
      <c r="B2622" s="36">
        <v>213</v>
      </c>
      <c r="C2622" t="s">
        <v>3400</v>
      </c>
      <c r="E2622" s="18">
        <v>400</v>
      </c>
      <c r="G2622" t="s">
        <v>442</v>
      </c>
      <c r="H2622" s="18" t="s">
        <v>442</v>
      </c>
      <c r="I2622" s="3" t="s">
        <v>442</v>
      </c>
      <c r="J2622"/>
      <c r="L2622"/>
      <c r="M2622"/>
      <c r="N2622" s="20"/>
      <c r="O2622"/>
      <c r="P2622" s="20"/>
      <c r="Q2622" s="20"/>
      <c r="R2622" s="20"/>
      <c r="S2622" s="20"/>
      <c r="T2622" s="20" t="s">
        <v>401</v>
      </c>
    </row>
    <row r="2623" spans="1:21" x14ac:dyDescent="0.25">
      <c r="A2623" s="3">
        <v>41851</v>
      </c>
      <c r="B2623" s="36">
        <v>213</v>
      </c>
      <c r="C2623" t="s">
        <v>3401</v>
      </c>
      <c r="D2623">
        <v>7.65</v>
      </c>
      <c r="E2623" s="18">
        <v>765</v>
      </c>
      <c r="F2623" t="s">
        <v>889</v>
      </c>
      <c r="G2623" t="s">
        <v>3402</v>
      </c>
      <c r="H2623" s="18">
        <v>765</v>
      </c>
      <c r="I2623" s="3">
        <v>41851</v>
      </c>
      <c r="J2623"/>
      <c r="L2623"/>
      <c r="M2623"/>
      <c r="N2623" s="20"/>
      <c r="O2623" t="s">
        <v>931</v>
      </c>
      <c r="P2623" s="20"/>
      <c r="Q2623" s="20"/>
      <c r="R2623" s="20"/>
      <c r="S2623" s="20"/>
      <c r="T2623" s="20"/>
    </row>
    <row r="2624" spans="1:21" x14ac:dyDescent="0.25">
      <c r="A2624" s="3">
        <v>41851</v>
      </c>
      <c r="B2624" s="36">
        <v>213</v>
      </c>
      <c r="C2624" t="s">
        <v>1482</v>
      </c>
      <c r="E2624" s="18">
        <v>-217.12494620000001</v>
      </c>
      <c r="F2624" t="s">
        <v>891</v>
      </c>
      <c r="G2624" t="s">
        <v>442</v>
      </c>
      <c r="H2624" s="18" t="s">
        <v>442</v>
      </c>
      <c r="I2624" s="3" t="s">
        <v>442</v>
      </c>
      <c r="J2624"/>
      <c r="L2624"/>
      <c r="M2624"/>
      <c r="N2624" s="20"/>
      <c r="O2624" t="s">
        <v>1219</v>
      </c>
      <c r="P2624" s="20"/>
      <c r="Q2624" s="20" t="s">
        <v>401</v>
      </c>
      <c r="R2624" s="20"/>
      <c r="S2624" s="20"/>
      <c r="T2624" s="20"/>
    </row>
    <row r="2625" spans="1:21" x14ac:dyDescent="0.25">
      <c r="A2625" s="3">
        <v>41851</v>
      </c>
      <c r="B2625" s="36">
        <v>213</v>
      </c>
      <c r="C2625" t="s">
        <v>1483</v>
      </c>
      <c r="E2625" s="18">
        <v>-217.12494620000001</v>
      </c>
      <c r="F2625" t="s">
        <v>891</v>
      </c>
      <c r="G2625" t="s">
        <v>442</v>
      </c>
      <c r="H2625" s="18" t="s">
        <v>442</v>
      </c>
      <c r="I2625" s="3" t="s">
        <v>442</v>
      </c>
      <c r="J2625"/>
      <c r="L2625"/>
      <c r="M2625"/>
      <c r="N2625" s="20"/>
      <c r="O2625" t="s">
        <v>1228</v>
      </c>
      <c r="P2625" s="20"/>
      <c r="Q2625" s="20" t="s">
        <v>401</v>
      </c>
      <c r="R2625" s="20"/>
      <c r="S2625" s="20"/>
      <c r="T2625" s="20"/>
    </row>
    <row r="2626" spans="1:21" x14ac:dyDescent="0.25">
      <c r="A2626" s="3">
        <v>41851</v>
      </c>
      <c r="B2626" s="36">
        <v>213</v>
      </c>
      <c r="C2626" t="s">
        <v>1237</v>
      </c>
      <c r="E2626" s="18">
        <v>-217.12494620000001</v>
      </c>
      <c r="F2626" t="s">
        <v>891</v>
      </c>
      <c r="G2626" t="s">
        <v>442</v>
      </c>
      <c r="H2626" s="18" t="s">
        <v>442</v>
      </c>
      <c r="I2626" s="3" t="s">
        <v>442</v>
      </c>
      <c r="J2626"/>
      <c r="L2626"/>
      <c r="M2626"/>
      <c r="N2626" s="20"/>
      <c r="O2626" t="s">
        <v>1238</v>
      </c>
      <c r="P2626" s="20"/>
      <c r="Q2626" s="20" t="s">
        <v>401</v>
      </c>
      <c r="R2626" s="20"/>
      <c r="S2626" s="20"/>
      <c r="T2626" s="20"/>
    </row>
    <row r="2627" spans="1:21" x14ac:dyDescent="0.25">
      <c r="A2627" s="3">
        <v>41851</v>
      </c>
      <c r="B2627" s="36">
        <v>213</v>
      </c>
      <c r="C2627" t="s">
        <v>1845</v>
      </c>
      <c r="E2627" s="18">
        <v>-162.84370970000001</v>
      </c>
      <c r="F2627" t="s">
        <v>891</v>
      </c>
      <c r="G2627" t="s">
        <v>442</v>
      </c>
      <c r="H2627" s="18" t="s">
        <v>442</v>
      </c>
      <c r="I2627" s="3" t="s">
        <v>442</v>
      </c>
      <c r="J2627"/>
      <c r="L2627"/>
      <c r="M2627"/>
      <c r="N2627" s="20"/>
      <c r="O2627" t="s">
        <v>1090</v>
      </c>
      <c r="P2627" s="20"/>
      <c r="Q2627" s="20" t="s">
        <v>401</v>
      </c>
      <c r="R2627" s="20"/>
      <c r="S2627" s="20"/>
      <c r="T2627" s="20"/>
    </row>
    <row r="2628" spans="1:21" x14ac:dyDescent="0.25">
      <c r="A2628" s="3">
        <v>41851</v>
      </c>
      <c r="B2628" s="36">
        <v>213</v>
      </c>
      <c r="C2628" t="s">
        <v>2193</v>
      </c>
      <c r="E2628" s="18">
        <v>-120.1941667</v>
      </c>
      <c r="F2628" t="s">
        <v>891</v>
      </c>
      <c r="G2628" t="s">
        <v>442</v>
      </c>
      <c r="H2628" s="18" t="s">
        <v>442</v>
      </c>
      <c r="I2628" s="3" t="s">
        <v>442</v>
      </c>
      <c r="J2628"/>
      <c r="L2628"/>
      <c r="M2628"/>
      <c r="N2628" s="20"/>
      <c r="O2628" t="s">
        <v>3365</v>
      </c>
      <c r="P2628" s="20"/>
      <c r="Q2628" s="20" t="s">
        <v>401</v>
      </c>
      <c r="R2628" s="20"/>
      <c r="S2628" s="20"/>
      <c r="T2628" s="20"/>
    </row>
    <row r="2629" spans="1:21" x14ac:dyDescent="0.25">
      <c r="A2629" s="3">
        <v>41851</v>
      </c>
      <c r="B2629" s="36">
        <v>213</v>
      </c>
      <c r="C2629" t="s">
        <v>1486</v>
      </c>
      <c r="E2629" s="18">
        <v>-216.34950000000001</v>
      </c>
      <c r="F2629" t="s">
        <v>891</v>
      </c>
      <c r="G2629" t="s">
        <v>442</v>
      </c>
      <c r="H2629" s="18" t="s">
        <v>442</v>
      </c>
      <c r="I2629" s="3" t="s">
        <v>442</v>
      </c>
      <c r="J2629"/>
      <c r="L2629"/>
      <c r="M2629"/>
      <c r="N2629" s="20"/>
      <c r="O2629" t="s">
        <v>2654</v>
      </c>
      <c r="P2629" s="20"/>
      <c r="Q2629" s="20" t="s">
        <v>401</v>
      </c>
      <c r="R2629" s="20"/>
      <c r="S2629" s="20"/>
      <c r="T2629" s="20"/>
    </row>
    <row r="2630" spans="1:21" x14ac:dyDescent="0.25">
      <c r="A2630" s="3">
        <v>41851</v>
      </c>
      <c r="B2630" s="36">
        <v>213</v>
      </c>
      <c r="C2630" t="s">
        <v>3403</v>
      </c>
      <c r="D2630">
        <v>9.18</v>
      </c>
      <c r="E2630" s="18">
        <v>918</v>
      </c>
      <c r="F2630" t="s">
        <v>889</v>
      </c>
      <c r="G2630" t="s">
        <v>3404</v>
      </c>
      <c r="H2630" s="18">
        <v>918</v>
      </c>
      <c r="I2630" s="3">
        <v>41851</v>
      </c>
      <c r="J2630"/>
      <c r="L2630"/>
      <c r="M2630"/>
      <c r="N2630" s="20"/>
      <c r="O2630" t="s">
        <v>931</v>
      </c>
      <c r="P2630" s="20"/>
      <c r="Q2630" s="20"/>
      <c r="R2630" s="20"/>
      <c r="S2630" s="20"/>
      <c r="T2630" s="20"/>
    </row>
    <row r="2631" spans="1:21" x14ac:dyDescent="0.25">
      <c r="A2631" s="3">
        <v>41858</v>
      </c>
      <c r="B2631" s="36">
        <v>213</v>
      </c>
      <c r="C2631" t="s">
        <v>2584</v>
      </c>
      <c r="D2631" t="s">
        <v>442</v>
      </c>
      <c r="E2631" s="18">
        <v>-200</v>
      </c>
      <c r="F2631" t="s">
        <v>891</v>
      </c>
      <c r="G2631" t="s">
        <v>442</v>
      </c>
      <c r="H2631" s="18" t="s">
        <v>442</v>
      </c>
      <c r="I2631" s="3" t="s">
        <v>442</v>
      </c>
      <c r="J2631"/>
      <c r="L2631"/>
      <c r="M2631"/>
      <c r="N2631" s="20"/>
      <c r="O2631"/>
      <c r="P2631" s="20"/>
      <c r="Q2631" s="20"/>
      <c r="R2631" s="20" t="s">
        <v>401</v>
      </c>
      <c r="S2631" s="20"/>
      <c r="T2631" s="20"/>
    </row>
    <row r="2632" spans="1:21" x14ac:dyDescent="0.25">
      <c r="A2632" s="3">
        <v>41858</v>
      </c>
      <c r="B2632" s="36">
        <v>213</v>
      </c>
      <c r="C2632" t="s">
        <v>3405</v>
      </c>
      <c r="D2632">
        <v>7.14</v>
      </c>
      <c r="E2632" s="18">
        <v>714</v>
      </c>
      <c r="F2632" t="s">
        <v>889</v>
      </c>
      <c r="G2632" t="s">
        <v>3406</v>
      </c>
      <c r="H2632" s="18">
        <v>714</v>
      </c>
      <c r="I2632" s="3">
        <v>41858</v>
      </c>
      <c r="J2632"/>
      <c r="L2632"/>
      <c r="M2632"/>
      <c r="N2632" s="20"/>
      <c r="O2632"/>
      <c r="P2632" s="20"/>
      <c r="Q2632" s="20"/>
      <c r="R2632" s="20"/>
      <c r="S2632" s="20"/>
      <c r="T2632" s="20"/>
    </row>
    <row r="2633" spans="1:21" x14ac:dyDescent="0.25">
      <c r="A2633" s="3">
        <v>41858</v>
      </c>
      <c r="B2633" s="36">
        <v>213</v>
      </c>
      <c r="C2633" t="s">
        <v>1108</v>
      </c>
      <c r="E2633" s="18">
        <v>-217.12494620000001</v>
      </c>
      <c r="F2633" t="s">
        <v>891</v>
      </c>
      <c r="G2633" t="s">
        <v>442</v>
      </c>
      <c r="H2633" s="18" t="s">
        <v>442</v>
      </c>
      <c r="I2633" s="3" t="s">
        <v>442</v>
      </c>
      <c r="J2633"/>
      <c r="L2633"/>
      <c r="M2633"/>
      <c r="N2633" s="20"/>
      <c r="O2633" t="s">
        <v>1109</v>
      </c>
      <c r="P2633" s="20"/>
      <c r="Q2633" s="20" t="s">
        <v>401</v>
      </c>
      <c r="R2633" s="20"/>
      <c r="S2633" s="20"/>
      <c r="T2633" s="20"/>
    </row>
    <row r="2634" spans="1:21" x14ac:dyDescent="0.25">
      <c r="A2634" s="3">
        <v>41858</v>
      </c>
      <c r="B2634" s="36">
        <v>213</v>
      </c>
      <c r="C2634" t="s">
        <v>3407</v>
      </c>
      <c r="D2634">
        <v>5.3550000000000004</v>
      </c>
      <c r="E2634" s="18">
        <v>535.5</v>
      </c>
      <c r="F2634" t="s">
        <v>889</v>
      </c>
      <c r="G2634" t="s">
        <v>3408</v>
      </c>
      <c r="H2634" s="18">
        <v>535.5</v>
      </c>
      <c r="I2634" s="3">
        <v>41858</v>
      </c>
      <c r="J2634"/>
      <c r="L2634"/>
      <c r="M2634"/>
      <c r="N2634" s="20"/>
      <c r="O2634"/>
      <c r="P2634" s="20"/>
      <c r="Q2634" s="20"/>
      <c r="R2634" s="20"/>
      <c r="S2634" s="20"/>
      <c r="T2634" s="20"/>
    </row>
    <row r="2635" spans="1:21" x14ac:dyDescent="0.25">
      <c r="A2635" s="3">
        <v>41858</v>
      </c>
      <c r="B2635" s="36">
        <v>213</v>
      </c>
      <c r="C2635" t="s">
        <v>3409</v>
      </c>
      <c r="D2635">
        <v>6.12</v>
      </c>
      <c r="E2635" s="18">
        <v>612</v>
      </c>
      <c r="F2635" t="s">
        <v>889</v>
      </c>
      <c r="G2635" t="s">
        <v>3410</v>
      </c>
      <c r="H2635" s="18">
        <v>612</v>
      </c>
      <c r="I2635" s="3">
        <v>41858</v>
      </c>
      <c r="J2635"/>
      <c r="L2635"/>
      <c r="M2635"/>
      <c r="N2635" s="20"/>
      <c r="O2635"/>
      <c r="P2635" s="20"/>
      <c r="Q2635" s="20"/>
      <c r="R2635" s="20"/>
      <c r="S2635" s="20"/>
      <c r="T2635" s="20"/>
    </row>
    <row r="2636" spans="1:21" x14ac:dyDescent="0.25">
      <c r="A2636" s="3">
        <v>41865</v>
      </c>
      <c r="B2636" s="36">
        <v>213</v>
      </c>
      <c r="C2636" t="s">
        <v>1480</v>
      </c>
      <c r="E2636" s="18">
        <v>-217.12494620000001</v>
      </c>
      <c r="F2636" t="s">
        <v>891</v>
      </c>
      <c r="G2636" t="s">
        <v>442</v>
      </c>
      <c r="H2636" s="18" t="s">
        <v>442</v>
      </c>
      <c r="I2636" s="3" t="s">
        <v>442</v>
      </c>
      <c r="J2636"/>
      <c r="L2636"/>
      <c r="M2636"/>
      <c r="N2636" s="20"/>
      <c r="O2636" t="s">
        <v>1481</v>
      </c>
      <c r="P2636" s="20"/>
      <c r="Q2636" s="20" t="s">
        <v>401</v>
      </c>
      <c r="R2636" s="20"/>
      <c r="S2636" s="20"/>
      <c r="T2636" s="20"/>
    </row>
    <row r="2637" spans="1:21" x14ac:dyDescent="0.25">
      <c r="A2637" s="3">
        <v>41865</v>
      </c>
      <c r="B2637" s="36">
        <v>213</v>
      </c>
      <c r="C2637" t="s">
        <v>3411</v>
      </c>
      <c r="D2637">
        <v>4.8449999999999998</v>
      </c>
      <c r="E2637" s="18">
        <v>484.5</v>
      </c>
      <c r="F2637" t="s">
        <v>889</v>
      </c>
      <c r="G2637" t="s">
        <v>3412</v>
      </c>
      <c r="H2637" s="18">
        <v>484.5</v>
      </c>
      <c r="I2637" s="3">
        <v>41865</v>
      </c>
      <c r="J2637"/>
      <c r="L2637"/>
      <c r="M2637"/>
      <c r="N2637" s="20"/>
      <c r="O2637"/>
      <c r="P2637" s="20"/>
      <c r="Q2637" s="20"/>
      <c r="R2637" s="20"/>
      <c r="S2637" s="20"/>
      <c r="T2637" s="20"/>
    </row>
    <row r="2638" spans="1:21" x14ac:dyDescent="0.25">
      <c r="A2638" s="3">
        <v>41873</v>
      </c>
      <c r="B2638" s="36">
        <v>213</v>
      </c>
      <c r="C2638" t="s">
        <v>3413</v>
      </c>
      <c r="D2638">
        <v>3.57</v>
      </c>
      <c r="E2638" s="18">
        <v>357</v>
      </c>
      <c r="F2638" t="s">
        <v>889</v>
      </c>
      <c r="G2638" t="s">
        <v>3414</v>
      </c>
      <c r="H2638" s="18">
        <v>357</v>
      </c>
      <c r="I2638" s="3">
        <v>41873</v>
      </c>
      <c r="J2638"/>
      <c r="L2638"/>
      <c r="M2638"/>
      <c r="N2638" s="20"/>
      <c r="O2638"/>
      <c r="P2638" s="20"/>
      <c r="Q2638" s="20"/>
      <c r="R2638" s="20"/>
      <c r="S2638" s="20"/>
      <c r="T2638" s="20"/>
    </row>
    <row r="2639" spans="1:21" x14ac:dyDescent="0.25">
      <c r="A2639" s="3">
        <v>41873</v>
      </c>
      <c r="B2639" s="36">
        <v>213</v>
      </c>
      <c r="C2639" t="s">
        <v>1106</v>
      </c>
      <c r="E2639" s="18">
        <v>-217.12494620000001</v>
      </c>
      <c r="F2639" t="s">
        <v>891</v>
      </c>
      <c r="G2639" t="s">
        <v>442</v>
      </c>
      <c r="H2639" s="18" t="s">
        <v>442</v>
      </c>
      <c r="I2639" s="3" t="s">
        <v>442</v>
      </c>
      <c r="J2639"/>
      <c r="L2639"/>
      <c r="M2639"/>
      <c r="N2639" s="20"/>
      <c r="O2639" t="s">
        <v>1107</v>
      </c>
      <c r="P2639" s="20"/>
      <c r="Q2639" s="20" t="s">
        <v>401</v>
      </c>
      <c r="R2639" s="20"/>
      <c r="S2639" s="20"/>
      <c r="T2639" s="20"/>
    </row>
    <row r="2640" spans="1:21" x14ac:dyDescent="0.25">
      <c r="B2640">
        <v>213</v>
      </c>
      <c r="C2640" t="s">
        <v>3405</v>
      </c>
      <c r="D2640">
        <v>7.14</v>
      </c>
      <c r="E2640" s="18">
        <v>238</v>
      </c>
      <c r="F2640" t="s">
        <v>889</v>
      </c>
      <c r="G2640" t="s">
        <v>3406</v>
      </c>
      <c r="I2640"/>
      <c r="J2640"/>
      <c r="L2640"/>
      <c r="M2640"/>
      <c r="O2640"/>
      <c r="P2640" s="20"/>
      <c r="Q2640" s="20"/>
      <c r="R2640" s="20"/>
      <c r="S2640" s="20"/>
      <c r="T2640" s="20"/>
      <c r="U2640" t="s">
        <v>401</v>
      </c>
    </row>
    <row r="2641" spans="1:21" x14ac:dyDescent="0.25">
      <c r="B2641">
        <v>213</v>
      </c>
      <c r="C2641" t="s">
        <v>1269</v>
      </c>
      <c r="E2641" s="18">
        <v>-440.45346240000003</v>
      </c>
      <c r="F2641" t="s">
        <v>891</v>
      </c>
      <c r="G2641" t="s">
        <v>442</v>
      </c>
      <c r="I2641"/>
      <c r="J2641"/>
      <c r="L2641"/>
      <c r="M2641"/>
      <c r="O2641"/>
      <c r="P2641" s="20"/>
      <c r="Q2641" s="20"/>
      <c r="R2641" s="20"/>
      <c r="S2641" s="20"/>
      <c r="T2641" s="20"/>
      <c r="U2641" t="s">
        <v>401</v>
      </c>
    </row>
    <row r="2642" spans="1:21" x14ac:dyDescent="0.25">
      <c r="B2642">
        <v>213</v>
      </c>
      <c r="C2642" t="s">
        <v>1509</v>
      </c>
      <c r="E2642" s="18">
        <v>-328.78920429999999</v>
      </c>
      <c r="F2642" t="s">
        <v>891</v>
      </c>
      <c r="G2642" t="s">
        <v>442</v>
      </c>
      <c r="I2642"/>
      <c r="J2642"/>
      <c r="L2642"/>
      <c r="M2642"/>
      <c r="O2642"/>
      <c r="P2642" s="20"/>
      <c r="Q2642" s="20"/>
      <c r="R2642" s="20"/>
      <c r="S2642" s="20"/>
      <c r="T2642" s="20"/>
      <c r="U2642" t="s">
        <v>401</v>
      </c>
    </row>
    <row r="2643" spans="1:21" x14ac:dyDescent="0.25">
      <c r="B2643">
        <v>213</v>
      </c>
      <c r="C2643" t="s">
        <v>3076</v>
      </c>
      <c r="E2643" s="18">
        <v>-115.06849315068494</v>
      </c>
      <c r="G2643" t="s">
        <v>442</v>
      </c>
      <c r="I2643"/>
      <c r="J2643"/>
      <c r="L2643"/>
      <c r="M2643"/>
      <c r="O2643"/>
      <c r="P2643" s="20"/>
      <c r="Q2643" s="20"/>
      <c r="R2643" s="20"/>
      <c r="S2643" s="20"/>
      <c r="T2643" s="20"/>
      <c r="U2643" t="s">
        <v>401</v>
      </c>
    </row>
    <row r="2644" spans="1:21" x14ac:dyDescent="0.25">
      <c r="B2644">
        <v>213</v>
      </c>
      <c r="C2644" t="s">
        <v>2573</v>
      </c>
      <c r="E2644" s="18">
        <v>-115.06849315068494</v>
      </c>
      <c r="F2644" t="s">
        <v>891</v>
      </c>
      <c r="G2644" t="s">
        <v>442</v>
      </c>
      <c r="I2644"/>
      <c r="J2644"/>
      <c r="L2644"/>
      <c r="M2644"/>
      <c r="O2644"/>
      <c r="P2644" s="20"/>
      <c r="Q2644" s="20"/>
      <c r="R2644" s="20"/>
      <c r="S2644" s="20"/>
      <c r="T2644" s="20"/>
      <c r="U2644" t="s">
        <v>401</v>
      </c>
    </row>
    <row r="2645" spans="1:21" x14ac:dyDescent="0.25">
      <c r="B2645">
        <v>213</v>
      </c>
      <c r="C2645" t="s">
        <v>1299</v>
      </c>
      <c r="E2645" s="18">
        <v>-115.07</v>
      </c>
      <c r="F2645" t="s">
        <v>891</v>
      </c>
      <c r="G2645" t="s">
        <v>442</v>
      </c>
      <c r="I2645"/>
      <c r="J2645"/>
      <c r="L2645"/>
      <c r="M2645"/>
      <c r="O2645"/>
      <c r="P2645" s="20"/>
      <c r="Q2645" s="20"/>
      <c r="R2645" s="20"/>
      <c r="S2645" s="20"/>
      <c r="T2645" s="20"/>
      <c r="U2645" t="s">
        <v>401</v>
      </c>
    </row>
    <row r="2646" spans="1:21" x14ac:dyDescent="0.25">
      <c r="B2646">
        <v>213</v>
      </c>
      <c r="C2646" t="s">
        <v>1304</v>
      </c>
      <c r="E2646" s="18">
        <v>-115.06849315068494</v>
      </c>
      <c r="F2646" t="s">
        <v>891</v>
      </c>
      <c r="G2646" t="s">
        <v>442</v>
      </c>
      <c r="I2646"/>
      <c r="J2646"/>
      <c r="L2646"/>
      <c r="M2646"/>
      <c r="O2646"/>
      <c r="P2646" s="20"/>
      <c r="Q2646" s="20"/>
      <c r="R2646" s="20"/>
      <c r="S2646" s="20"/>
      <c r="T2646" s="20"/>
      <c r="U2646" t="s">
        <v>401</v>
      </c>
    </row>
    <row r="2647" spans="1:21" x14ac:dyDescent="0.25">
      <c r="B2647">
        <v>213</v>
      </c>
      <c r="C2647" t="s">
        <v>1312</v>
      </c>
      <c r="E2647" s="18">
        <v>-115.06849315068494</v>
      </c>
      <c r="F2647" t="s">
        <v>891</v>
      </c>
      <c r="G2647" t="s">
        <v>442</v>
      </c>
      <c r="I2647"/>
      <c r="J2647"/>
      <c r="L2647"/>
      <c r="M2647"/>
      <c r="O2647"/>
      <c r="P2647" s="20"/>
      <c r="Q2647" s="20"/>
      <c r="R2647" s="20"/>
      <c r="S2647" s="20"/>
      <c r="T2647" s="20"/>
      <c r="U2647" t="s">
        <v>401</v>
      </c>
    </row>
    <row r="2648" spans="1:21" x14ac:dyDescent="0.25">
      <c r="B2648">
        <v>213</v>
      </c>
      <c r="C2648" t="s">
        <v>1282</v>
      </c>
      <c r="E2648" s="18">
        <v>-331.93</v>
      </c>
      <c r="F2648" t="s">
        <v>891</v>
      </c>
      <c r="G2648" t="s">
        <v>442</v>
      </c>
      <c r="I2648"/>
      <c r="J2648"/>
      <c r="L2648"/>
      <c r="M2648"/>
      <c r="O2648"/>
      <c r="P2648" s="20"/>
      <c r="Q2648" s="20"/>
      <c r="R2648" s="20"/>
      <c r="S2648" s="20"/>
      <c r="T2648" s="20"/>
      <c r="U2648" t="s">
        <v>401</v>
      </c>
    </row>
    <row r="2649" spans="1:21" x14ac:dyDescent="0.25">
      <c r="B2649">
        <v>213</v>
      </c>
      <c r="C2649" t="s">
        <v>1292</v>
      </c>
      <c r="E2649" s="18">
        <v>-331.93</v>
      </c>
      <c r="F2649" t="s">
        <v>891</v>
      </c>
      <c r="G2649" t="s">
        <v>442</v>
      </c>
      <c r="I2649"/>
      <c r="J2649"/>
      <c r="L2649"/>
      <c r="M2649"/>
      <c r="O2649"/>
      <c r="P2649" s="20"/>
      <c r="Q2649" s="20"/>
      <c r="R2649" s="20"/>
      <c r="S2649" s="20"/>
      <c r="T2649" s="20"/>
      <c r="U2649" t="s">
        <v>401</v>
      </c>
    </row>
    <row r="2650" spans="1:21" x14ac:dyDescent="0.25">
      <c r="B2650">
        <v>213</v>
      </c>
      <c r="C2650" t="s">
        <v>1300</v>
      </c>
      <c r="E2650" s="18">
        <v>-115.07</v>
      </c>
      <c r="F2650" t="s">
        <v>891</v>
      </c>
      <c r="G2650" t="s">
        <v>442</v>
      </c>
      <c r="I2650"/>
      <c r="J2650"/>
      <c r="L2650"/>
      <c r="M2650"/>
      <c r="O2650"/>
      <c r="P2650" s="20"/>
      <c r="Q2650" s="20"/>
      <c r="R2650" s="20"/>
      <c r="S2650" s="20"/>
      <c r="T2650" s="20"/>
      <c r="U2650" t="s">
        <v>401</v>
      </c>
    </row>
    <row r="2651" spans="1:21" x14ac:dyDescent="0.25">
      <c r="B2651">
        <v>213</v>
      </c>
      <c r="C2651" t="s">
        <v>1110</v>
      </c>
      <c r="E2651" s="18">
        <v>-336.54366670000002</v>
      </c>
      <c r="F2651" t="s">
        <v>891</v>
      </c>
      <c r="G2651" t="s">
        <v>442</v>
      </c>
      <c r="I2651"/>
      <c r="J2651"/>
      <c r="L2651"/>
      <c r="M2651"/>
      <c r="O2651"/>
      <c r="P2651" s="20"/>
      <c r="Q2651" s="20"/>
      <c r="R2651" s="20"/>
      <c r="S2651" s="20"/>
      <c r="T2651" s="20"/>
      <c r="U2651" t="s">
        <v>401</v>
      </c>
    </row>
    <row r="2652" spans="1:21" x14ac:dyDescent="0.25">
      <c r="B2652">
        <v>213</v>
      </c>
      <c r="C2652" t="s">
        <v>1117</v>
      </c>
      <c r="E2652" s="18">
        <v>-336.54366670000002</v>
      </c>
      <c r="F2652" t="s">
        <v>891</v>
      </c>
      <c r="G2652" t="s">
        <v>442</v>
      </c>
      <c r="I2652"/>
      <c r="J2652"/>
      <c r="L2652"/>
      <c r="M2652"/>
      <c r="O2652"/>
      <c r="P2652" s="20"/>
      <c r="Q2652" s="20"/>
      <c r="R2652" s="20"/>
      <c r="S2652" s="20"/>
      <c r="T2652" s="20"/>
      <c r="U2652" t="s">
        <v>401</v>
      </c>
    </row>
    <row r="2653" spans="1:21" x14ac:dyDescent="0.25">
      <c r="B2653">
        <v>213</v>
      </c>
      <c r="C2653" t="s">
        <v>1111</v>
      </c>
      <c r="E2653" s="18">
        <v>-336.54366670000002</v>
      </c>
      <c r="F2653" t="s">
        <v>891</v>
      </c>
      <c r="G2653" t="s">
        <v>442</v>
      </c>
      <c r="I2653"/>
      <c r="J2653"/>
      <c r="L2653"/>
      <c r="M2653"/>
      <c r="O2653"/>
      <c r="P2653" s="20"/>
      <c r="Q2653" s="20"/>
      <c r="R2653" s="20"/>
      <c r="S2653" s="20"/>
      <c r="T2653" s="20"/>
      <c r="U2653" t="s">
        <v>401</v>
      </c>
    </row>
    <row r="2654" spans="1:21" x14ac:dyDescent="0.25">
      <c r="B2654">
        <v>213</v>
      </c>
      <c r="C2654" t="s">
        <v>1283</v>
      </c>
      <c r="E2654" s="18">
        <v>-331.93</v>
      </c>
      <c r="F2654" t="s">
        <v>891</v>
      </c>
      <c r="G2654" t="s">
        <v>442</v>
      </c>
      <c r="I2654"/>
      <c r="J2654"/>
      <c r="L2654"/>
      <c r="M2654"/>
      <c r="O2654"/>
      <c r="P2654" s="20"/>
      <c r="Q2654" s="20"/>
      <c r="R2654" s="20"/>
      <c r="S2654" s="20"/>
      <c r="T2654" s="20"/>
      <c r="U2654" t="s">
        <v>401</v>
      </c>
    </row>
    <row r="2655" spans="1:21" x14ac:dyDescent="0.25">
      <c r="B2655">
        <v>213</v>
      </c>
      <c r="C2655" t="s">
        <v>3409</v>
      </c>
      <c r="D2655">
        <v>6.12</v>
      </c>
      <c r="E2655" s="18">
        <v>-612</v>
      </c>
      <c r="F2655" t="s">
        <v>889</v>
      </c>
      <c r="G2655" t="s">
        <v>3410</v>
      </c>
      <c r="I2655"/>
      <c r="J2655"/>
      <c r="L2655"/>
      <c r="M2655"/>
      <c r="O2655"/>
      <c r="P2655" s="20"/>
      <c r="Q2655" s="20"/>
      <c r="R2655" s="20"/>
      <c r="S2655" s="20"/>
      <c r="T2655" s="20"/>
      <c r="U2655" t="s">
        <v>401</v>
      </c>
    </row>
    <row r="2656" spans="1:21" x14ac:dyDescent="0.25">
      <c r="A2656" s="3">
        <v>41817</v>
      </c>
      <c r="B2656" s="36">
        <v>214</v>
      </c>
      <c r="C2656" t="s">
        <v>3415</v>
      </c>
      <c r="E2656" s="18">
        <v>500</v>
      </c>
      <c r="G2656" t="s">
        <v>442</v>
      </c>
      <c r="H2656" s="18" t="s">
        <v>442</v>
      </c>
      <c r="I2656" s="3" t="s">
        <v>442</v>
      </c>
      <c r="J2656"/>
      <c r="L2656"/>
      <c r="M2656"/>
      <c r="N2656" s="20"/>
      <c r="O2656"/>
      <c r="P2656" s="20"/>
      <c r="Q2656" s="20"/>
      <c r="R2656" s="20"/>
      <c r="S2656" s="20"/>
      <c r="T2656" s="20" t="s">
        <v>401</v>
      </c>
    </row>
    <row r="2657" spans="1:21" x14ac:dyDescent="0.25">
      <c r="A2657" s="3">
        <v>41831</v>
      </c>
      <c r="B2657" s="36">
        <v>214</v>
      </c>
      <c r="C2657" t="s">
        <v>3416</v>
      </c>
      <c r="E2657" s="18">
        <v>400</v>
      </c>
      <c r="G2657" t="s">
        <v>442</v>
      </c>
      <c r="H2657" s="18" t="s">
        <v>442</v>
      </c>
      <c r="I2657" s="3" t="s">
        <v>442</v>
      </c>
      <c r="J2657"/>
      <c r="L2657"/>
      <c r="M2657"/>
      <c r="N2657" s="20"/>
      <c r="O2657"/>
      <c r="P2657" s="20"/>
      <c r="Q2657" s="20"/>
      <c r="R2657" s="20"/>
      <c r="S2657" s="20"/>
      <c r="T2657" s="20" t="s">
        <v>401</v>
      </c>
    </row>
    <row r="2658" spans="1:21" x14ac:dyDescent="0.25">
      <c r="A2658" s="3">
        <v>41838</v>
      </c>
      <c r="B2658" s="36">
        <v>214</v>
      </c>
      <c r="C2658" t="s">
        <v>3417</v>
      </c>
      <c r="E2658" s="18">
        <v>1100</v>
      </c>
      <c r="G2658" t="s">
        <v>442</v>
      </c>
      <c r="H2658" s="18" t="s">
        <v>442</v>
      </c>
      <c r="I2658" s="3" t="s">
        <v>442</v>
      </c>
      <c r="J2658"/>
      <c r="L2658"/>
      <c r="M2658"/>
      <c r="N2658" s="20"/>
      <c r="O2658"/>
      <c r="P2658" s="20"/>
      <c r="Q2658" s="20"/>
      <c r="R2658" s="20"/>
      <c r="S2658" s="20"/>
      <c r="T2658" s="20" t="s">
        <v>401</v>
      </c>
    </row>
    <row r="2659" spans="1:21" x14ac:dyDescent="0.25">
      <c r="A2659" s="3">
        <v>41851</v>
      </c>
      <c r="B2659" s="36">
        <v>214</v>
      </c>
      <c r="C2659" t="s">
        <v>3418</v>
      </c>
      <c r="D2659">
        <v>6.75</v>
      </c>
      <c r="E2659" s="18">
        <v>675</v>
      </c>
      <c r="F2659" t="s">
        <v>889</v>
      </c>
      <c r="G2659" t="s">
        <v>3419</v>
      </c>
      <c r="H2659" s="18">
        <v>675</v>
      </c>
      <c r="I2659" s="3">
        <v>41851</v>
      </c>
      <c r="J2659"/>
      <c r="L2659"/>
      <c r="M2659"/>
      <c r="N2659" s="20"/>
      <c r="O2659" t="s">
        <v>931</v>
      </c>
      <c r="P2659" s="20"/>
      <c r="Q2659" s="20"/>
      <c r="R2659" s="20"/>
      <c r="S2659" s="20"/>
      <c r="T2659" s="20"/>
    </row>
    <row r="2660" spans="1:21" x14ac:dyDescent="0.25">
      <c r="A2660" s="3">
        <v>41851</v>
      </c>
      <c r="B2660" s="36">
        <v>214</v>
      </c>
      <c r="C2660" t="s">
        <v>3420</v>
      </c>
      <c r="D2660">
        <v>4</v>
      </c>
      <c r="E2660" s="18">
        <v>400</v>
      </c>
      <c r="F2660" t="s">
        <v>889</v>
      </c>
      <c r="G2660" t="s">
        <v>3421</v>
      </c>
      <c r="H2660" s="18">
        <v>400</v>
      </c>
      <c r="I2660" s="3">
        <v>41851</v>
      </c>
      <c r="J2660"/>
      <c r="L2660"/>
      <c r="M2660"/>
      <c r="N2660" s="20"/>
      <c r="O2660" t="s">
        <v>931</v>
      </c>
      <c r="P2660" s="20"/>
      <c r="Q2660" s="20"/>
      <c r="R2660" s="20"/>
      <c r="S2660" s="20"/>
      <c r="T2660" s="20"/>
    </row>
    <row r="2661" spans="1:21" x14ac:dyDescent="0.25">
      <c r="A2661" s="3">
        <v>41851</v>
      </c>
      <c r="B2661" s="36">
        <v>214</v>
      </c>
      <c r="C2661" t="s">
        <v>3422</v>
      </c>
      <c r="E2661" s="18">
        <v>-307.11</v>
      </c>
      <c r="F2661" t="s">
        <v>889</v>
      </c>
      <c r="G2661" t="s">
        <v>442</v>
      </c>
      <c r="H2661" s="18" t="s">
        <v>442</v>
      </c>
      <c r="I2661" s="3" t="s">
        <v>442</v>
      </c>
      <c r="J2661"/>
      <c r="L2661"/>
      <c r="M2661"/>
      <c r="N2661" s="20"/>
      <c r="O2661"/>
      <c r="P2661" s="20"/>
      <c r="Q2661" s="20"/>
      <c r="R2661" s="20"/>
      <c r="S2661" s="20"/>
      <c r="T2661" s="20" t="s">
        <v>401</v>
      </c>
    </row>
    <row r="2662" spans="1:21" x14ac:dyDescent="0.25">
      <c r="A2662" s="3">
        <v>41851</v>
      </c>
      <c r="B2662" s="36">
        <v>214</v>
      </c>
      <c r="C2662" t="s">
        <v>1237</v>
      </c>
      <c r="E2662" s="18">
        <v>-267.88623660000002</v>
      </c>
      <c r="F2662" t="s">
        <v>891</v>
      </c>
      <c r="G2662" t="s">
        <v>442</v>
      </c>
      <c r="H2662" s="18" t="s">
        <v>442</v>
      </c>
      <c r="I2662" s="3" t="s">
        <v>442</v>
      </c>
      <c r="J2662"/>
      <c r="L2662"/>
      <c r="M2662"/>
      <c r="N2662" s="20"/>
      <c r="O2662" t="s">
        <v>1238</v>
      </c>
      <c r="P2662" s="20"/>
      <c r="Q2662" s="20" t="s">
        <v>401</v>
      </c>
      <c r="R2662" s="20"/>
      <c r="S2662" s="20"/>
      <c r="T2662" s="20"/>
    </row>
    <row r="2663" spans="1:21" x14ac:dyDescent="0.25">
      <c r="A2663" s="37">
        <v>41858</v>
      </c>
      <c r="B2663" s="36">
        <v>214</v>
      </c>
      <c r="C2663" s="38" t="s">
        <v>3423</v>
      </c>
      <c r="D2663" s="38"/>
      <c r="E2663" s="39">
        <v>500</v>
      </c>
      <c r="F2663" s="38" t="s">
        <v>889</v>
      </c>
      <c r="G2663" t="s">
        <v>442</v>
      </c>
      <c r="H2663" s="18" t="s">
        <v>442</v>
      </c>
      <c r="I2663" s="3" t="s">
        <v>442</v>
      </c>
      <c r="J2663"/>
      <c r="L2663"/>
      <c r="M2663"/>
      <c r="N2663" s="40"/>
      <c r="O2663" s="38"/>
      <c r="P2663" s="20"/>
      <c r="Q2663" s="20"/>
      <c r="R2663" s="20"/>
      <c r="S2663" s="20"/>
      <c r="T2663" s="20" t="s">
        <v>401</v>
      </c>
    </row>
    <row r="2664" spans="1:21" x14ac:dyDescent="0.25">
      <c r="A2664" s="3">
        <v>41859</v>
      </c>
      <c r="B2664" s="36">
        <v>214</v>
      </c>
      <c r="C2664" t="s">
        <v>3424</v>
      </c>
      <c r="D2664">
        <v>7</v>
      </c>
      <c r="E2664" s="18">
        <v>700</v>
      </c>
      <c r="F2664" t="s">
        <v>889</v>
      </c>
      <c r="G2664" t="s">
        <v>3425</v>
      </c>
      <c r="H2664" s="18">
        <v>700</v>
      </c>
      <c r="I2664" s="3">
        <v>41859</v>
      </c>
      <c r="J2664"/>
      <c r="L2664"/>
      <c r="M2664"/>
      <c r="N2664" s="20"/>
      <c r="O2664"/>
      <c r="P2664" s="20"/>
      <c r="Q2664" s="20"/>
      <c r="R2664" s="20"/>
      <c r="S2664" s="20"/>
      <c r="T2664" s="20"/>
    </row>
    <row r="2665" spans="1:21" x14ac:dyDescent="0.25">
      <c r="A2665" s="3">
        <v>41859</v>
      </c>
      <c r="B2665" s="36">
        <v>214</v>
      </c>
      <c r="C2665" t="s">
        <v>3426</v>
      </c>
      <c r="D2665">
        <v>9.25</v>
      </c>
      <c r="E2665" s="18">
        <v>925</v>
      </c>
      <c r="F2665" t="s">
        <v>889</v>
      </c>
      <c r="G2665" t="s">
        <v>3427</v>
      </c>
      <c r="H2665" s="18">
        <v>925</v>
      </c>
      <c r="I2665" s="3">
        <v>41859</v>
      </c>
      <c r="J2665"/>
      <c r="L2665"/>
      <c r="M2665"/>
      <c r="N2665" s="20"/>
      <c r="O2665"/>
      <c r="P2665" s="20"/>
      <c r="Q2665" s="20"/>
      <c r="R2665" s="20"/>
      <c r="S2665" s="20"/>
      <c r="T2665" s="20"/>
    </row>
    <row r="2666" spans="1:21" x14ac:dyDescent="0.25">
      <c r="A2666" s="3">
        <v>41873</v>
      </c>
      <c r="B2666" s="36">
        <v>214</v>
      </c>
      <c r="C2666" t="s">
        <v>3428</v>
      </c>
      <c r="E2666" s="18">
        <v>500</v>
      </c>
      <c r="F2666" t="s">
        <v>889</v>
      </c>
      <c r="G2666" t="s">
        <v>442</v>
      </c>
      <c r="H2666" s="18" t="s">
        <v>442</v>
      </c>
      <c r="I2666" s="3" t="s">
        <v>442</v>
      </c>
      <c r="J2666"/>
      <c r="L2666"/>
      <c r="M2666"/>
      <c r="N2666" s="20"/>
      <c r="O2666"/>
      <c r="P2666" s="20"/>
      <c r="Q2666" s="20"/>
      <c r="R2666" s="20"/>
      <c r="S2666" s="20"/>
      <c r="T2666" s="20" t="s">
        <v>401</v>
      </c>
    </row>
    <row r="2667" spans="1:21" x14ac:dyDescent="0.25">
      <c r="A2667" s="37">
        <v>41879</v>
      </c>
      <c r="B2667" s="36">
        <v>214</v>
      </c>
      <c r="C2667" s="38" t="s">
        <v>3429</v>
      </c>
      <c r="D2667" s="38"/>
      <c r="E2667" s="39">
        <v>500</v>
      </c>
      <c r="F2667" s="38"/>
      <c r="G2667" t="s">
        <v>442</v>
      </c>
      <c r="H2667" s="18" t="s">
        <v>442</v>
      </c>
      <c r="I2667" s="3" t="s">
        <v>442</v>
      </c>
      <c r="J2667"/>
      <c r="L2667"/>
      <c r="M2667"/>
      <c r="N2667" s="40"/>
      <c r="O2667" s="38"/>
      <c r="P2667" s="20"/>
      <c r="Q2667" s="20"/>
      <c r="R2667" s="20"/>
      <c r="S2667" s="20"/>
      <c r="T2667" s="20" t="s">
        <v>401</v>
      </c>
    </row>
    <row r="2668" spans="1:21" x14ac:dyDescent="0.25">
      <c r="A2668" s="3">
        <v>41887</v>
      </c>
      <c r="B2668" s="36">
        <v>214</v>
      </c>
      <c r="C2668" t="s">
        <v>3430</v>
      </c>
      <c r="E2668" s="18">
        <v>1500</v>
      </c>
      <c r="G2668" t="s">
        <v>442</v>
      </c>
      <c r="H2668" s="18" t="s">
        <v>442</v>
      </c>
      <c r="I2668" s="3" t="s">
        <v>442</v>
      </c>
      <c r="J2668"/>
      <c r="L2668"/>
      <c r="M2668"/>
      <c r="N2668" s="20"/>
      <c r="O2668"/>
      <c r="P2668" s="20"/>
      <c r="Q2668" s="20"/>
      <c r="R2668" s="20"/>
      <c r="S2668" s="20"/>
      <c r="T2668" s="20" t="s">
        <v>401</v>
      </c>
    </row>
    <row r="2669" spans="1:21" x14ac:dyDescent="0.25">
      <c r="B2669">
        <v>214</v>
      </c>
      <c r="C2669" t="s">
        <v>3415</v>
      </c>
      <c r="E2669" s="18">
        <v>-500</v>
      </c>
      <c r="G2669" t="s">
        <v>442</v>
      </c>
      <c r="I2669"/>
      <c r="J2669"/>
      <c r="L2669"/>
      <c r="M2669"/>
      <c r="O2669"/>
      <c r="P2669" s="20"/>
      <c r="Q2669" s="20"/>
      <c r="R2669" s="20"/>
      <c r="S2669" s="20"/>
      <c r="T2669" s="20"/>
      <c r="U2669" t="s">
        <v>401</v>
      </c>
    </row>
    <row r="2670" spans="1:21" x14ac:dyDescent="0.25">
      <c r="B2670">
        <v>214</v>
      </c>
      <c r="C2670" t="s">
        <v>3417</v>
      </c>
      <c r="E2670" s="18">
        <v>-1100</v>
      </c>
      <c r="G2670" t="s">
        <v>442</v>
      </c>
      <c r="I2670"/>
      <c r="J2670"/>
      <c r="L2670"/>
      <c r="M2670"/>
      <c r="O2670"/>
      <c r="P2670" s="20"/>
      <c r="Q2670" s="20"/>
      <c r="R2670" s="20"/>
      <c r="S2670" s="20"/>
      <c r="T2670" s="20"/>
      <c r="U2670" t="s">
        <v>401</v>
      </c>
    </row>
    <row r="2671" spans="1:21" x14ac:dyDescent="0.25">
      <c r="B2671">
        <v>214</v>
      </c>
      <c r="C2671" t="s">
        <v>3428</v>
      </c>
      <c r="E2671" s="18">
        <v>-500</v>
      </c>
      <c r="F2671" t="s">
        <v>889</v>
      </c>
      <c r="G2671" t="s">
        <v>442</v>
      </c>
      <c r="I2671"/>
      <c r="J2671"/>
      <c r="L2671"/>
      <c r="M2671"/>
      <c r="O2671"/>
      <c r="P2671" s="20"/>
      <c r="Q2671" s="20"/>
      <c r="R2671" s="20"/>
      <c r="S2671" s="20"/>
      <c r="T2671" s="20"/>
      <c r="U2671" t="s">
        <v>401</v>
      </c>
    </row>
    <row r="2672" spans="1:21" x14ac:dyDescent="0.25">
      <c r="B2672">
        <v>214</v>
      </c>
      <c r="C2672" t="s">
        <v>3429</v>
      </c>
      <c r="E2672" s="18">
        <v>-500</v>
      </c>
      <c r="G2672" t="s">
        <v>442</v>
      </c>
      <c r="I2672"/>
      <c r="J2672"/>
      <c r="L2672"/>
      <c r="M2672"/>
      <c r="O2672"/>
      <c r="P2672" s="20"/>
      <c r="Q2672" s="20"/>
      <c r="R2672" s="20"/>
      <c r="S2672" s="20"/>
      <c r="T2672" s="20"/>
      <c r="U2672" t="s">
        <v>401</v>
      </c>
    </row>
    <row r="2673" spans="1:21" x14ac:dyDescent="0.25">
      <c r="B2673">
        <v>214</v>
      </c>
      <c r="C2673" t="s">
        <v>3423</v>
      </c>
      <c r="E2673" s="18">
        <v>-500</v>
      </c>
      <c r="F2673" t="s">
        <v>889</v>
      </c>
      <c r="G2673" t="s">
        <v>442</v>
      </c>
      <c r="I2673"/>
      <c r="J2673"/>
      <c r="L2673"/>
      <c r="M2673"/>
      <c r="O2673"/>
      <c r="P2673" s="20"/>
      <c r="Q2673" s="20"/>
      <c r="R2673" s="20"/>
      <c r="S2673" s="20"/>
      <c r="T2673" s="20"/>
      <c r="U2673" t="s">
        <v>401</v>
      </c>
    </row>
    <row r="2674" spans="1:21" x14ac:dyDescent="0.25">
      <c r="B2674">
        <v>214</v>
      </c>
      <c r="C2674" t="s">
        <v>3430</v>
      </c>
      <c r="E2674" s="18">
        <v>-1500</v>
      </c>
      <c r="F2674" t="s">
        <v>971</v>
      </c>
      <c r="G2674" t="s">
        <v>442</v>
      </c>
      <c r="I2674"/>
      <c r="J2674"/>
      <c r="L2674"/>
      <c r="M2674"/>
      <c r="O2674"/>
      <c r="P2674" s="20"/>
      <c r="Q2674" s="20"/>
      <c r="R2674" s="20"/>
      <c r="S2674" s="20"/>
      <c r="T2674" s="20"/>
      <c r="U2674" t="s">
        <v>401</v>
      </c>
    </row>
    <row r="2675" spans="1:21" x14ac:dyDescent="0.25">
      <c r="B2675">
        <v>214</v>
      </c>
      <c r="C2675" t="s">
        <v>3418</v>
      </c>
      <c r="D2675">
        <v>6.75</v>
      </c>
      <c r="E2675" s="18">
        <v>-675</v>
      </c>
      <c r="F2675" t="s">
        <v>889</v>
      </c>
      <c r="G2675" t="s">
        <v>3419</v>
      </c>
      <c r="I2675"/>
      <c r="J2675"/>
      <c r="L2675"/>
      <c r="M2675"/>
      <c r="O2675"/>
      <c r="P2675" s="20"/>
      <c r="Q2675" s="20"/>
      <c r="R2675" s="20"/>
      <c r="S2675" s="20"/>
      <c r="T2675" s="20"/>
      <c r="U2675" t="s">
        <v>401</v>
      </c>
    </row>
    <row r="2676" spans="1:21" x14ac:dyDescent="0.25">
      <c r="B2676">
        <v>214</v>
      </c>
      <c r="C2676" t="s">
        <v>3420</v>
      </c>
      <c r="D2676">
        <v>4</v>
      </c>
      <c r="E2676" s="18">
        <v>-400</v>
      </c>
      <c r="F2676" t="s">
        <v>889</v>
      </c>
      <c r="G2676" t="s">
        <v>3421</v>
      </c>
      <c r="I2676"/>
      <c r="J2676"/>
      <c r="L2676"/>
      <c r="M2676"/>
      <c r="O2676"/>
      <c r="P2676" s="20"/>
      <c r="Q2676" s="20"/>
      <c r="R2676" s="20"/>
      <c r="S2676" s="20"/>
      <c r="T2676" s="20"/>
      <c r="U2676" t="s">
        <v>401</v>
      </c>
    </row>
    <row r="2677" spans="1:21" x14ac:dyDescent="0.25">
      <c r="B2677">
        <v>214</v>
      </c>
      <c r="C2677" t="s">
        <v>3431</v>
      </c>
      <c r="E2677" s="18">
        <v>-92.889999999999986</v>
      </c>
      <c r="G2677" t="s">
        <v>442</v>
      </c>
      <c r="I2677"/>
      <c r="J2677"/>
      <c r="L2677"/>
      <c r="M2677"/>
      <c r="O2677"/>
      <c r="P2677" s="20"/>
      <c r="Q2677" s="20"/>
      <c r="R2677" s="20"/>
      <c r="S2677" s="20"/>
      <c r="T2677" s="20"/>
      <c r="U2677" t="s">
        <v>401</v>
      </c>
    </row>
    <row r="2678" spans="1:21" x14ac:dyDescent="0.25">
      <c r="B2678">
        <v>214</v>
      </c>
      <c r="C2678" t="s">
        <v>1484</v>
      </c>
      <c r="E2678" s="18">
        <v>-267.88623660000002</v>
      </c>
      <c r="F2678" t="s">
        <v>891</v>
      </c>
      <c r="G2678" t="s">
        <v>442</v>
      </c>
      <c r="I2678"/>
      <c r="J2678"/>
      <c r="L2678"/>
      <c r="M2678"/>
      <c r="O2678"/>
      <c r="P2678" s="20"/>
      <c r="Q2678" s="20"/>
      <c r="R2678" s="20"/>
      <c r="S2678" s="20"/>
      <c r="T2678" s="20"/>
      <c r="U2678" t="s">
        <v>401</v>
      </c>
    </row>
    <row r="2679" spans="1:21" x14ac:dyDescent="0.25">
      <c r="B2679">
        <v>214</v>
      </c>
      <c r="C2679" t="s">
        <v>1269</v>
      </c>
      <c r="E2679" s="18">
        <v>-543.42636560000005</v>
      </c>
      <c r="F2679" t="s">
        <v>891</v>
      </c>
      <c r="G2679" t="s">
        <v>442</v>
      </c>
      <c r="I2679"/>
      <c r="J2679"/>
      <c r="L2679"/>
      <c r="M2679"/>
      <c r="O2679"/>
      <c r="P2679" s="20"/>
      <c r="Q2679" s="20"/>
      <c r="R2679" s="20"/>
      <c r="S2679" s="20"/>
      <c r="T2679" s="20"/>
      <c r="U2679" t="s">
        <v>401</v>
      </c>
    </row>
    <row r="2680" spans="1:21" x14ac:dyDescent="0.25">
      <c r="B2680">
        <v>214</v>
      </c>
      <c r="C2680" t="s">
        <v>1108</v>
      </c>
      <c r="E2680" s="18">
        <v>-267.88623660000002</v>
      </c>
      <c r="F2680" t="s">
        <v>891</v>
      </c>
      <c r="G2680" t="s">
        <v>442</v>
      </c>
      <c r="I2680"/>
      <c r="J2680"/>
      <c r="L2680"/>
      <c r="M2680"/>
      <c r="O2680"/>
      <c r="P2680" s="20"/>
      <c r="Q2680" s="20"/>
      <c r="R2680" s="20"/>
      <c r="S2680" s="20"/>
      <c r="T2680" s="20"/>
      <c r="U2680" t="s">
        <v>401</v>
      </c>
    </row>
    <row r="2681" spans="1:21" x14ac:dyDescent="0.25">
      <c r="B2681">
        <v>214</v>
      </c>
      <c r="C2681" t="s">
        <v>1482</v>
      </c>
      <c r="E2681" s="18">
        <v>-200.91467739999999</v>
      </c>
      <c r="G2681" t="s">
        <v>442</v>
      </c>
      <c r="I2681"/>
      <c r="J2681"/>
      <c r="L2681"/>
      <c r="M2681"/>
      <c r="O2681"/>
      <c r="P2681" s="20"/>
      <c r="Q2681" s="20"/>
      <c r="R2681" s="20"/>
      <c r="S2681" s="20"/>
      <c r="T2681" s="20"/>
      <c r="U2681" t="s">
        <v>401</v>
      </c>
    </row>
    <row r="2682" spans="1:21" x14ac:dyDescent="0.25">
      <c r="B2682">
        <v>214</v>
      </c>
      <c r="C2682" t="s">
        <v>1483</v>
      </c>
      <c r="E2682" s="18">
        <v>-200.91</v>
      </c>
      <c r="G2682" t="s">
        <v>442</v>
      </c>
      <c r="I2682"/>
      <c r="J2682"/>
      <c r="L2682"/>
      <c r="M2682"/>
      <c r="O2682"/>
      <c r="P2682" s="20"/>
      <c r="Q2682" s="20"/>
      <c r="R2682" s="20"/>
      <c r="S2682" s="20"/>
      <c r="T2682" s="20"/>
      <c r="U2682" t="s">
        <v>401</v>
      </c>
    </row>
    <row r="2683" spans="1:21" x14ac:dyDescent="0.25">
      <c r="B2683">
        <v>214</v>
      </c>
      <c r="C2683" t="s">
        <v>2575</v>
      </c>
      <c r="E2683" s="18">
        <v>-197.72555560000001</v>
      </c>
      <c r="F2683" t="s">
        <v>891</v>
      </c>
      <c r="G2683" t="s">
        <v>442</v>
      </c>
      <c r="I2683"/>
      <c r="J2683"/>
      <c r="L2683"/>
      <c r="M2683"/>
      <c r="O2683"/>
      <c r="P2683" s="20"/>
      <c r="Q2683" s="20"/>
      <c r="R2683" s="20"/>
      <c r="S2683" s="20"/>
      <c r="T2683" s="20"/>
      <c r="U2683" t="s">
        <v>401</v>
      </c>
    </row>
    <row r="2684" spans="1:21" x14ac:dyDescent="0.25">
      <c r="B2684">
        <v>214</v>
      </c>
      <c r="C2684" t="s">
        <v>1111</v>
      </c>
      <c r="E2684" s="18">
        <v>-276.81577779999998</v>
      </c>
      <c r="F2684" t="s">
        <v>891</v>
      </c>
      <c r="G2684" t="s">
        <v>442</v>
      </c>
      <c r="I2684"/>
      <c r="J2684"/>
      <c r="L2684"/>
      <c r="M2684"/>
      <c r="O2684"/>
      <c r="P2684" s="20"/>
      <c r="Q2684" s="20"/>
      <c r="R2684" s="20"/>
      <c r="S2684" s="20"/>
      <c r="T2684" s="20"/>
      <c r="U2684" t="s">
        <v>401</v>
      </c>
    </row>
    <row r="2685" spans="1:21" x14ac:dyDescent="0.25">
      <c r="B2685">
        <v>214</v>
      </c>
      <c r="C2685" t="s">
        <v>3432</v>
      </c>
      <c r="E2685" s="18">
        <v>-326.24716669999998</v>
      </c>
      <c r="G2685" t="s">
        <v>442</v>
      </c>
      <c r="I2685"/>
      <c r="J2685"/>
      <c r="L2685"/>
      <c r="M2685"/>
      <c r="O2685"/>
      <c r="P2685" s="20"/>
      <c r="Q2685" s="20"/>
      <c r="R2685" s="20"/>
      <c r="S2685" s="20"/>
      <c r="T2685" s="20"/>
      <c r="U2685" t="s">
        <v>401</v>
      </c>
    </row>
    <row r="2686" spans="1:21" x14ac:dyDescent="0.25">
      <c r="B2686">
        <v>214</v>
      </c>
      <c r="C2686" t="s">
        <v>3432</v>
      </c>
      <c r="E2686" s="18">
        <v>-266.92950000000002</v>
      </c>
      <c r="G2686" t="s">
        <v>442</v>
      </c>
      <c r="I2686"/>
      <c r="J2686"/>
      <c r="L2686"/>
      <c r="M2686"/>
      <c r="O2686"/>
      <c r="P2686" s="20"/>
      <c r="Q2686" s="20"/>
      <c r="R2686" s="20"/>
      <c r="S2686" s="20"/>
      <c r="T2686" s="20"/>
      <c r="U2686" t="s">
        <v>401</v>
      </c>
    </row>
    <row r="2687" spans="1:21" x14ac:dyDescent="0.25">
      <c r="B2687">
        <v>214</v>
      </c>
      <c r="C2687" t="s">
        <v>3432</v>
      </c>
      <c r="E2687" s="18">
        <v>-200.91467739999999</v>
      </c>
      <c r="G2687" t="s">
        <v>442</v>
      </c>
      <c r="I2687"/>
      <c r="J2687"/>
      <c r="L2687"/>
      <c r="M2687"/>
      <c r="O2687"/>
      <c r="P2687" s="20"/>
      <c r="Q2687" s="20"/>
      <c r="R2687" s="20"/>
      <c r="S2687" s="20"/>
      <c r="T2687" s="20"/>
      <c r="U2687" t="s">
        <v>401</v>
      </c>
    </row>
    <row r="2688" spans="1:21" x14ac:dyDescent="0.25">
      <c r="A2688" s="3">
        <v>41817</v>
      </c>
      <c r="B2688" s="36">
        <v>217</v>
      </c>
      <c r="C2688" t="s">
        <v>1838</v>
      </c>
      <c r="E2688" s="18">
        <v>1000</v>
      </c>
      <c r="G2688" t="s">
        <v>442</v>
      </c>
      <c r="H2688" s="18" t="s">
        <v>442</v>
      </c>
      <c r="I2688" s="3" t="s">
        <v>442</v>
      </c>
      <c r="J2688"/>
      <c r="L2688"/>
      <c r="M2688"/>
      <c r="N2688" s="20"/>
      <c r="O2688"/>
      <c r="P2688" s="20"/>
      <c r="Q2688" s="20"/>
      <c r="R2688" s="20"/>
      <c r="S2688" s="20" t="s">
        <v>401</v>
      </c>
      <c r="T2688" s="20"/>
    </row>
    <row r="2689" spans="1:20" x14ac:dyDescent="0.25">
      <c r="A2689" s="3">
        <v>41845</v>
      </c>
      <c r="B2689" s="36">
        <v>217</v>
      </c>
      <c r="C2689" t="s">
        <v>3433</v>
      </c>
      <c r="D2689">
        <v>5.5</v>
      </c>
      <c r="E2689" s="18">
        <v>550</v>
      </c>
      <c r="G2689" t="s">
        <v>3434</v>
      </c>
      <c r="H2689" s="18">
        <v>550</v>
      </c>
      <c r="I2689" s="3">
        <v>41845</v>
      </c>
      <c r="J2689"/>
      <c r="L2689"/>
      <c r="M2689"/>
      <c r="N2689" s="20"/>
      <c r="O2689" t="s">
        <v>931</v>
      </c>
      <c r="P2689" s="20"/>
      <c r="Q2689" s="20"/>
      <c r="R2689" s="20"/>
      <c r="S2689" s="20"/>
      <c r="T2689" s="20"/>
    </row>
    <row r="2690" spans="1:20" x14ac:dyDescent="0.25">
      <c r="A2690" s="3">
        <v>41858</v>
      </c>
      <c r="B2690" s="36">
        <v>217</v>
      </c>
      <c r="C2690" t="s">
        <v>3435</v>
      </c>
      <c r="D2690">
        <v>6.25</v>
      </c>
      <c r="E2690" s="18">
        <v>625</v>
      </c>
      <c r="F2690" t="s">
        <v>889</v>
      </c>
      <c r="G2690" t="s">
        <v>3436</v>
      </c>
      <c r="H2690" s="18">
        <v>625</v>
      </c>
      <c r="I2690" s="3">
        <v>41858</v>
      </c>
      <c r="J2690"/>
      <c r="L2690"/>
      <c r="M2690"/>
      <c r="N2690" s="20"/>
      <c r="O2690"/>
      <c r="P2690" s="20"/>
      <c r="Q2690" s="20"/>
      <c r="R2690" s="20"/>
      <c r="S2690" s="20"/>
      <c r="T2690" s="20"/>
    </row>
    <row r="2691" spans="1:20" x14ac:dyDescent="0.25">
      <c r="A2691" s="46">
        <v>41866</v>
      </c>
      <c r="B2691" s="36">
        <v>217</v>
      </c>
      <c r="C2691" s="47" t="s">
        <v>3437</v>
      </c>
      <c r="D2691" s="47"/>
      <c r="E2691" s="48">
        <v>1336.8</v>
      </c>
      <c r="F2691" s="47"/>
      <c r="G2691" s="20"/>
      <c r="H2691" s="18" t="s">
        <v>442</v>
      </c>
      <c r="I2691" s="3" t="s">
        <v>442</v>
      </c>
      <c r="J2691" s="20"/>
      <c r="K2691" s="20"/>
      <c r="L2691" s="20"/>
      <c r="M2691" s="20"/>
      <c r="N2691" s="20"/>
      <c r="O2691" s="47"/>
      <c r="P2691" s="20"/>
      <c r="Q2691" s="20"/>
      <c r="R2691" s="20"/>
      <c r="S2691" s="20" t="s">
        <v>401</v>
      </c>
      <c r="T2691" s="20"/>
    </row>
    <row r="2692" spans="1:20" x14ac:dyDescent="0.25">
      <c r="A2692" s="3">
        <v>41886</v>
      </c>
      <c r="B2692" s="36">
        <v>217</v>
      </c>
      <c r="C2692" t="s">
        <v>3438</v>
      </c>
      <c r="D2692">
        <v>9</v>
      </c>
      <c r="E2692" s="18">
        <v>900</v>
      </c>
      <c r="F2692" t="s">
        <v>889</v>
      </c>
      <c r="G2692" t="s">
        <v>3439</v>
      </c>
      <c r="H2692" s="18">
        <v>900</v>
      </c>
      <c r="I2692" s="3">
        <v>41886</v>
      </c>
      <c r="J2692"/>
      <c r="L2692"/>
      <c r="M2692"/>
      <c r="N2692" s="20"/>
      <c r="O2692"/>
      <c r="P2692" s="20"/>
      <c r="Q2692" s="20"/>
      <c r="R2692" s="20"/>
      <c r="S2692" s="20"/>
      <c r="T2692" s="20"/>
    </row>
    <row r="2693" spans="1:20" x14ac:dyDescent="0.25">
      <c r="A2693" s="3">
        <v>41894</v>
      </c>
      <c r="B2693" s="36">
        <v>217</v>
      </c>
      <c r="C2693" t="s">
        <v>3440</v>
      </c>
      <c r="D2693">
        <v>2.8050000000000002</v>
      </c>
      <c r="E2693" s="18">
        <v>280.5</v>
      </c>
      <c r="F2693" t="s">
        <v>889</v>
      </c>
      <c r="G2693" t="s">
        <v>3441</v>
      </c>
      <c r="H2693" s="18">
        <v>280.5</v>
      </c>
      <c r="I2693" s="3">
        <v>41894</v>
      </c>
      <c r="J2693"/>
      <c r="L2693"/>
      <c r="M2693"/>
      <c r="N2693" s="20"/>
      <c r="O2693"/>
      <c r="P2693" s="20"/>
      <c r="Q2693" s="20"/>
      <c r="R2693" s="20"/>
      <c r="S2693" s="20"/>
      <c r="T2693" s="20"/>
    </row>
    <row r="2694" spans="1:20" x14ac:dyDescent="0.25">
      <c r="A2694" s="3">
        <v>41901</v>
      </c>
      <c r="B2694" s="36">
        <v>217</v>
      </c>
      <c r="C2694" t="s">
        <v>1098</v>
      </c>
      <c r="E2694" s="18">
        <v>2616.25</v>
      </c>
      <c r="F2694" t="s">
        <v>888</v>
      </c>
      <c r="G2694" t="s">
        <v>442</v>
      </c>
      <c r="H2694" s="18" t="s">
        <v>442</v>
      </c>
      <c r="I2694" s="3" t="s">
        <v>442</v>
      </c>
      <c r="J2694"/>
      <c r="L2694"/>
      <c r="M2694"/>
      <c r="N2694" s="20" t="s">
        <v>401</v>
      </c>
      <c r="O2694"/>
      <c r="P2694" s="20"/>
      <c r="Q2694" s="20"/>
      <c r="R2694" s="20"/>
      <c r="S2694" s="20"/>
      <c r="T2694" s="20"/>
    </row>
    <row r="2695" spans="1:20" x14ac:dyDescent="0.25">
      <c r="A2695" s="3">
        <v>41922</v>
      </c>
      <c r="B2695" s="36">
        <v>217</v>
      </c>
      <c r="C2695" t="s">
        <v>3442</v>
      </c>
      <c r="D2695">
        <v>5.75</v>
      </c>
      <c r="E2695" s="18">
        <v>575</v>
      </c>
      <c r="F2695" t="s">
        <v>889</v>
      </c>
      <c r="G2695" t="s">
        <v>3443</v>
      </c>
      <c r="H2695" s="18">
        <v>575</v>
      </c>
      <c r="I2695" s="3">
        <v>41922</v>
      </c>
      <c r="J2695"/>
      <c r="L2695"/>
      <c r="M2695"/>
      <c r="N2695" s="20"/>
      <c r="O2695"/>
      <c r="P2695" s="20"/>
      <c r="Q2695" s="20"/>
      <c r="R2695" s="20"/>
      <c r="S2695" s="20"/>
      <c r="T2695" s="20"/>
    </row>
    <row r="2696" spans="1:20" x14ac:dyDescent="0.25">
      <c r="A2696" s="3">
        <v>41922</v>
      </c>
      <c r="B2696" s="36">
        <v>217</v>
      </c>
      <c r="C2696" t="s">
        <v>3440</v>
      </c>
      <c r="D2696">
        <v>2.8050000000000002</v>
      </c>
      <c r="E2696" s="18">
        <v>-280.5</v>
      </c>
      <c r="F2696" t="s">
        <v>889</v>
      </c>
      <c r="G2696" t="s">
        <v>3441</v>
      </c>
      <c r="H2696" s="18" t="s">
        <v>442</v>
      </c>
      <c r="I2696" s="3" t="s">
        <v>442</v>
      </c>
      <c r="J2696"/>
      <c r="L2696"/>
      <c r="M2696"/>
      <c r="N2696" s="20"/>
      <c r="O2696"/>
      <c r="P2696" s="20"/>
      <c r="Q2696" s="20"/>
      <c r="R2696" s="20"/>
      <c r="S2696" s="20"/>
      <c r="T2696" s="20"/>
    </row>
    <row r="2697" spans="1:20" x14ac:dyDescent="0.25">
      <c r="A2697" s="3">
        <v>41929</v>
      </c>
      <c r="B2697" s="36">
        <v>217</v>
      </c>
      <c r="C2697" t="s">
        <v>960</v>
      </c>
      <c r="E2697" s="18">
        <v>2210.2750000000001</v>
      </c>
      <c r="H2697" s="18" t="s">
        <v>442</v>
      </c>
      <c r="I2697" s="3" t="s">
        <v>442</v>
      </c>
      <c r="J2697"/>
      <c r="L2697"/>
      <c r="M2697"/>
      <c r="N2697" s="20" t="s">
        <v>401</v>
      </c>
      <c r="O2697"/>
      <c r="P2697" s="20"/>
      <c r="Q2697" s="20"/>
      <c r="R2697" s="20"/>
      <c r="S2697" s="20"/>
      <c r="T2697" s="20"/>
    </row>
    <row r="2698" spans="1:20" x14ac:dyDescent="0.25">
      <c r="A2698" s="3">
        <v>41943</v>
      </c>
      <c r="B2698" s="36">
        <v>217</v>
      </c>
      <c r="C2698" t="s">
        <v>3444</v>
      </c>
      <c r="D2698">
        <v>15</v>
      </c>
      <c r="E2698" s="18">
        <v>1500</v>
      </c>
      <c r="F2698" t="s">
        <v>889</v>
      </c>
      <c r="G2698" t="s">
        <v>3445</v>
      </c>
      <c r="H2698" s="18">
        <v>1500</v>
      </c>
      <c r="I2698" s="3">
        <v>41943</v>
      </c>
      <c r="J2698"/>
      <c r="L2698"/>
      <c r="M2698"/>
      <c r="N2698" s="20"/>
      <c r="O2698"/>
      <c r="P2698" s="20"/>
      <c r="Q2698" s="20"/>
      <c r="R2698" s="20"/>
      <c r="S2698" s="20"/>
      <c r="T2698" s="20"/>
    </row>
    <row r="2699" spans="1:20" x14ac:dyDescent="0.25">
      <c r="A2699" s="3">
        <v>41943</v>
      </c>
      <c r="B2699" s="36">
        <v>217</v>
      </c>
      <c r="C2699" t="s">
        <v>3435</v>
      </c>
      <c r="D2699">
        <v>6.25</v>
      </c>
      <c r="E2699" s="18">
        <v>-625</v>
      </c>
      <c r="F2699" t="s">
        <v>889</v>
      </c>
      <c r="G2699" t="s">
        <v>3436</v>
      </c>
      <c r="H2699" s="18" t="s">
        <v>442</v>
      </c>
      <c r="I2699" s="3" t="s">
        <v>442</v>
      </c>
      <c r="J2699"/>
      <c r="L2699"/>
      <c r="M2699"/>
      <c r="N2699" s="20"/>
      <c r="O2699"/>
      <c r="P2699" s="20"/>
      <c r="Q2699" s="20"/>
      <c r="R2699" s="20"/>
      <c r="S2699" s="20"/>
      <c r="T2699" s="20"/>
    </row>
    <row r="2700" spans="1:20" x14ac:dyDescent="0.25">
      <c r="A2700" s="3">
        <v>41943</v>
      </c>
      <c r="B2700" s="36">
        <v>217</v>
      </c>
      <c r="C2700" t="s">
        <v>3433</v>
      </c>
      <c r="D2700">
        <v>5.5</v>
      </c>
      <c r="E2700" s="18">
        <v>-550</v>
      </c>
      <c r="F2700" t="s">
        <v>889</v>
      </c>
      <c r="G2700" t="s">
        <v>3434</v>
      </c>
      <c r="H2700" s="18" t="s">
        <v>442</v>
      </c>
      <c r="I2700" s="3" t="s">
        <v>442</v>
      </c>
      <c r="J2700"/>
      <c r="L2700"/>
      <c r="M2700"/>
      <c r="N2700" s="20"/>
      <c r="O2700"/>
      <c r="P2700" s="20"/>
      <c r="Q2700" s="20"/>
      <c r="R2700" s="20"/>
      <c r="S2700" s="20"/>
      <c r="T2700" s="20"/>
    </row>
    <row r="2701" spans="1:20" x14ac:dyDescent="0.25">
      <c r="A2701" s="3">
        <v>41964</v>
      </c>
      <c r="B2701" s="36">
        <v>217</v>
      </c>
      <c r="C2701" t="s">
        <v>963</v>
      </c>
      <c r="E2701" s="18">
        <v>2421.6600000000008</v>
      </c>
      <c r="F2701" t="s">
        <v>889</v>
      </c>
      <c r="G2701" t="s">
        <v>442</v>
      </c>
      <c r="H2701" s="18" t="s">
        <v>442</v>
      </c>
      <c r="I2701" s="3" t="s">
        <v>442</v>
      </c>
      <c r="J2701"/>
      <c r="L2701"/>
      <c r="M2701"/>
      <c r="N2701" s="40" t="s">
        <v>401</v>
      </c>
      <c r="O2701"/>
      <c r="P2701" s="20"/>
      <c r="Q2701" s="20"/>
      <c r="R2701" s="20"/>
      <c r="S2701" s="20"/>
      <c r="T2701" s="20"/>
    </row>
    <row r="2702" spans="1:20" x14ac:dyDescent="0.25">
      <c r="A2702" s="3">
        <v>41978</v>
      </c>
      <c r="B2702" s="36">
        <v>217</v>
      </c>
      <c r="C2702" t="s">
        <v>3446</v>
      </c>
      <c r="D2702">
        <v>7</v>
      </c>
      <c r="E2702" s="18">
        <v>700</v>
      </c>
      <c r="F2702" t="s">
        <v>889</v>
      </c>
      <c r="G2702" t="s">
        <v>3447</v>
      </c>
      <c r="H2702" s="18">
        <v>700</v>
      </c>
      <c r="I2702" s="3">
        <v>41978</v>
      </c>
      <c r="J2702"/>
      <c r="L2702"/>
      <c r="M2702"/>
      <c r="N2702" s="20"/>
      <c r="O2702"/>
      <c r="P2702" s="20"/>
      <c r="Q2702" s="20"/>
      <c r="R2702" s="20"/>
      <c r="S2702" s="20"/>
      <c r="T2702" s="20"/>
    </row>
    <row r="2703" spans="1:20" x14ac:dyDescent="0.25">
      <c r="A2703" s="3">
        <v>41995</v>
      </c>
      <c r="B2703" s="36">
        <v>217</v>
      </c>
      <c r="C2703" t="s">
        <v>967</v>
      </c>
      <c r="E2703" s="18">
        <v>5165.28</v>
      </c>
      <c r="F2703" t="s">
        <v>889</v>
      </c>
      <c r="G2703" t="s">
        <v>442</v>
      </c>
      <c r="H2703" s="18" t="s">
        <v>442</v>
      </c>
      <c r="I2703" s="3" t="s">
        <v>442</v>
      </c>
      <c r="J2703"/>
      <c r="L2703"/>
      <c r="M2703"/>
      <c r="N2703" s="40" t="s">
        <v>401</v>
      </c>
      <c r="O2703"/>
      <c r="P2703" s="20"/>
      <c r="Q2703" s="20"/>
      <c r="R2703" s="20"/>
      <c r="S2703" s="20"/>
      <c r="T2703" s="20"/>
    </row>
    <row r="2704" spans="1:20" x14ac:dyDescent="0.25">
      <c r="A2704" s="3">
        <v>42004</v>
      </c>
      <c r="B2704" s="36">
        <v>217</v>
      </c>
      <c r="C2704" t="s">
        <v>3442</v>
      </c>
      <c r="D2704">
        <v>5.75</v>
      </c>
      <c r="E2704" s="18">
        <v>287.5</v>
      </c>
      <c r="F2704" t="s">
        <v>889</v>
      </c>
      <c r="G2704" t="s">
        <v>3443</v>
      </c>
      <c r="H2704" s="18">
        <v>287.5</v>
      </c>
      <c r="I2704" s="3">
        <v>42004</v>
      </c>
      <c r="J2704"/>
      <c r="L2704"/>
      <c r="M2704"/>
      <c r="N2704" s="20"/>
      <c r="O2704"/>
      <c r="P2704" s="20"/>
      <c r="Q2704" s="20"/>
      <c r="R2704" s="20"/>
      <c r="S2704" s="20"/>
      <c r="T2704" s="20"/>
    </row>
    <row r="2705" spans="1:20" x14ac:dyDescent="0.25">
      <c r="A2705" s="3">
        <v>42019</v>
      </c>
      <c r="B2705" s="36">
        <v>217</v>
      </c>
      <c r="C2705" t="s">
        <v>3444</v>
      </c>
      <c r="D2705" s="55">
        <v>15</v>
      </c>
      <c r="E2705" s="18">
        <v>-1500</v>
      </c>
      <c r="F2705" t="s">
        <v>889</v>
      </c>
      <c r="G2705" t="s">
        <v>3445</v>
      </c>
      <c r="H2705" s="18" t="s">
        <v>442</v>
      </c>
      <c r="I2705" s="3" t="s">
        <v>442</v>
      </c>
      <c r="J2705"/>
      <c r="L2705"/>
      <c r="M2705"/>
      <c r="N2705" s="20"/>
      <c r="O2705"/>
      <c r="P2705" s="20"/>
      <c r="Q2705" s="20"/>
      <c r="R2705" s="20"/>
      <c r="S2705" s="20"/>
      <c r="T2705" s="20"/>
    </row>
    <row r="2706" spans="1:20" x14ac:dyDescent="0.25">
      <c r="A2706" s="3">
        <v>42019</v>
      </c>
      <c r="B2706" s="36">
        <v>217</v>
      </c>
      <c r="C2706" t="s">
        <v>969</v>
      </c>
      <c r="D2706" s="55"/>
      <c r="E2706" s="18">
        <v>2829.625</v>
      </c>
      <c r="F2706" t="s">
        <v>889</v>
      </c>
      <c r="H2706" s="18" t="s">
        <v>442</v>
      </c>
      <c r="I2706" s="3" t="s">
        <v>442</v>
      </c>
      <c r="J2706"/>
      <c r="L2706"/>
      <c r="M2706"/>
      <c r="N2706" s="40" t="s">
        <v>401</v>
      </c>
      <c r="O2706"/>
      <c r="P2706" s="20"/>
      <c r="Q2706" s="20"/>
      <c r="R2706" s="20"/>
      <c r="S2706" s="20"/>
      <c r="T2706" s="20"/>
    </row>
    <row r="2707" spans="1:20" x14ac:dyDescent="0.25">
      <c r="A2707" s="3">
        <v>42027</v>
      </c>
      <c r="B2707" s="36">
        <v>217</v>
      </c>
      <c r="C2707" t="s">
        <v>969</v>
      </c>
      <c r="D2707" s="55"/>
      <c r="E2707" s="18">
        <v>785</v>
      </c>
      <c r="F2707" t="s">
        <v>889</v>
      </c>
      <c r="H2707" s="18" t="s">
        <v>442</v>
      </c>
      <c r="I2707" s="3" t="s">
        <v>442</v>
      </c>
      <c r="J2707"/>
      <c r="L2707"/>
      <c r="M2707"/>
      <c r="N2707" s="40" t="s">
        <v>401</v>
      </c>
      <c r="O2707"/>
      <c r="P2707" s="20"/>
      <c r="Q2707" s="20"/>
      <c r="R2707" s="20"/>
      <c r="S2707" s="20"/>
      <c r="T2707" s="20"/>
    </row>
    <row r="2708" spans="1:20" x14ac:dyDescent="0.25">
      <c r="A2708" s="32">
        <v>42034</v>
      </c>
      <c r="B2708" s="56">
        <v>217</v>
      </c>
      <c r="C2708" s="20" t="s">
        <v>974</v>
      </c>
      <c r="D2708" s="20"/>
      <c r="E2708" s="18">
        <v>34.166666666666664</v>
      </c>
      <c r="F2708" s="33" t="s">
        <v>889</v>
      </c>
      <c r="G2708" s="33"/>
      <c r="H2708" s="18"/>
      <c r="J2708"/>
      <c r="L2708"/>
      <c r="M2708"/>
      <c r="N2708" s="20" t="s">
        <v>401</v>
      </c>
      <c r="O2708"/>
      <c r="P2708" s="20"/>
      <c r="Q2708" s="20"/>
      <c r="R2708" s="20"/>
      <c r="S2708" s="20"/>
      <c r="T2708" s="20"/>
    </row>
    <row r="2709" spans="1:20" x14ac:dyDescent="0.25">
      <c r="A2709" s="32">
        <v>42034</v>
      </c>
      <c r="B2709" s="56">
        <v>217</v>
      </c>
      <c r="C2709" s="20" t="s">
        <v>974</v>
      </c>
      <c r="D2709" s="20"/>
      <c r="E2709" s="18">
        <v>1111.0550000000001</v>
      </c>
      <c r="F2709" s="33" t="s">
        <v>889</v>
      </c>
      <c r="G2709" s="33"/>
      <c r="H2709" s="18"/>
      <c r="J2709"/>
      <c r="L2709"/>
      <c r="M2709"/>
      <c r="N2709" s="20" t="s">
        <v>401</v>
      </c>
      <c r="O2709"/>
      <c r="P2709" s="20"/>
      <c r="Q2709" s="20"/>
      <c r="R2709" s="20"/>
      <c r="S2709" s="20"/>
      <c r="T2709" s="20"/>
    </row>
    <row r="2710" spans="1:20" x14ac:dyDescent="0.25">
      <c r="A2710" s="3">
        <v>42041</v>
      </c>
      <c r="B2710">
        <v>217</v>
      </c>
      <c r="C2710" t="s">
        <v>3442</v>
      </c>
      <c r="E2710" s="18">
        <v>287.5</v>
      </c>
      <c r="F2710" t="s">
        <v>889</v>
      </c>
      <c r="G2710" t="s">
        <v>3443</v>
      </c>
      <c r="I2710"/>
      <c r="J2710"/>
      <c r="L2710"/>
      <c r="M2710"/>
      <c r="O2710"/>
      <c r="P2710" s="20"/>
      <c r="Q2710" s="20"/>
      <c r="R2710" s="20"/>
      <c r="S2710" s="20"/>
      <c r="T2710" s="20"/>
    </row>
    <row r="2711" spans="1:20" x14ac:dyDescent="0.25">
      <c r="A2711" s="3">
        <v>41810</v>
      </c>
      <c r="B2711" s="36">
        <v>218</v>
      </c>
      <c r="C2711" t="s">
        <v>3448</v>
      </c>
      <c r="E2711" s="18">
        <v>1000</v>
      </c>
      <c r="F2711" t="s">
        <v>889</v>
      </c>
      <c r="G2711" t="s">
        <v>442</v>
      </c>
      <c r="H2711" s="18" t="s">
        <v>442</v>
      </c>
      <c r="I2711" s="3" t="s">
        <v>442</v>
      </c>
      <c r="J2711"/>
      <c r="L2711"/>
      <c r="M2711"/>
      <c r="N2711" s="20"/>
      <c r="O2711"/>
      <c r="P2711" s="20"/>
      <c r="Q2711" s="20"/>
      <c r="R2711" s="20"/>
      <c r="S2711" s="20"/>
      <c r="T2711" s="20" t="s">
        <v>401</v>
      </c>
    </row>
    <row r="2712" spans="1:20" x14ac:dyDescent="0.25">
      <c r="A2712" s="3">
        <v>41810</v>
      </c>
      <c r="B2712" s="36">
        <v>218</v>
      </c>
      <c r="C2712" t="s">
        <v>926</v>
      </c>
      <c r="E2712" s="18">
        <v>187.5</v>
      </c>
      <c r="F2712" t="s">
        <v>889</v>
      </c>
      <c r="G2712" t="s">
        <v>442</v>
      </c>
      <c r="H2712" s="18" t="s">
        <v>442</v>
      </c>
      <c r="I2712" s="3" t="s">
        <v>442</v>
      </c>
      <c r="J2712"/>
      <c r="L2712"/>
      <c r="M2712"/>
      <c r="N2712" s="40" t="s">
        <v>401</v>
      </c>
      <c r="O2712"/>
      <c r="P2712" s="20"/>
      <c r="Q2712" s="20"/>
      <c r="R2712" s="20"/>
      <c r="S2712" s="20"/>
      <c r="T2712" s="20"/>
    </row>
    <row r="2713" spans="1:20" x14ac:dyDescent="0.25">
      <c r="A2713" s="46">
        <v>41824</v>
      </c>
      <c r="B2713" s="36">
        <v>218</v>
      </c>
      <c r="C2713" s="47" t="s">
        <v>1313</v>
      </c>
      <c r="D2713" s="47"/>
      <c r="E2713" s="48">
        <v>200</v>
      </c>
      <c r="F2713" s="47" t="s">
        <v>889</v>
      </c>
      <c r="G2713" s="20"/>
      <c r="H2713" s="18" t="s">
        <v>442</v>
      </c>
      <c r="I2713" s="3" t="s">
        <v>442</v>
      </c>
      <c r="J2713" s="20"/>
      <c r="K2713" s="20"/>
      <c r="L2713" s="20"/>
      <c r="M2713" s="20"/>
      <c r="N2713" s="20"/>
      <c r="O2713" s="47"/>
      <c r="P2713" s="20"/>
      <c r="Q2713" s="20"/>
      <c r="R2713" s="20"/>
      <c r="S2713" s="20" t="s">
        <v>401</v>
      </c>
      <c r="T2713" s="20"/>
    </row>
    <row r="2714" spans="1:20" x14ac:dyDescent="0.25">
      <c r="A2714" s="3">
        <v>41831</v>
      </c>
      <c r="B2714" s="36">
        <v>218</v>
      </c>
      <c r="C2714" t="s">
        <v>3449</v>
      </c>
      <c r="D2714">
        <v>5.25</v>
      </c>
      <c r="E2714" s="18">
        <v>525</v>
      </c>
      <c r="F2714" t="s">
        <v>889</v>
      </c>
      <c r="G2714" t="s">
        <v>3450</v>
      </c>
      <c r="H2714" s="18">
        <v>525</v>
      </c>
      <c r="I2714" s="3">
        <v>41831</v>
      </c>
      <c r="J2714"/>
      <c r="L2714"/>
      <c r="M2714"/>
      <c r="N2714" s="20"/>
      <c r="O2714" t="s">
        <v>917</v>
      </c>
      <c r="P2714" s="20"/>
      <c r="Q2714" s="20"/>
      <c r="R2714" s="20"/>
      <c r="S2714" s="20"/>
      <c r="T2714" s="20"/>
    </row>
    <row r="2715" spans="1:20" x14ac:dyDescent="0.25">
      <c r="A2715" s="3">
        <v>41831</v>
      </c>
      <c r="B2715" s="36">
        <v>218</v>
      </c>
      <c r="C2715" t="s">
        <v>3451</v>
      </c>
      <c r="D2715">
        <v>8.5</v>
      </c>
      <c r="E2715" s="18">
        <v>850</v>
      </c>
      <c r="F2715" t="s">
        <v>889</v>
      </c>
      <c r="G2715" t="s">
        <v>3452</v>
      </c>
      <c r="H2715" s="18">
        <v>850</v>
      </c>
      <c r="I2715" s="3">
        <v>41831</v>
      </c>
      <c r="J2715"/>
      <c r="L2715"/>
      <c r="M2715"/>
      <c r="N2715" s="20"/>
      <c r="O2715" t="s">
        <v>917</v>
      </c>
      <c r="P2715" s="20"/>
      <c r="Q2715" s="20"/>
      <c r="R2715" s="20"/>
      <c r="S2715" s="20"/>
      <c r="T2715" s="20"/>
    </row>
    <row r="2716" spans="1:20" x14ac:dyDescent="0.25">
      <c r="A2716" s="3">
        <v>41831</v>
      </c>
      <c r="B2716" s="36">
        <v>218</v>
      </c>
      <c r="C2716" t="s">
        <v>3453</v>
      </c>
      <c r="E2716" s="18">
        <v>-191.60133329999999</v>
      </c>
      <c r="F2716" t="s">
        <v>889</v>
      </c>
      <c r="G2716" t="s">
        <v>442</v>
      </c>
      <c r="H2716" s="18" t="s">
        <v>442</v>
      </c>
      <c r="I2716" s="3" t="s">
        <v>442</v>
      </c>
      <c r="J2716"/>
      <c r="L2716"/>
      <c r="M2716"/>
      <c r="N2716" s="20"/>
      <c r="O2716" t="s">
        <v>3454</v>
      </c>
      <c r="P2716" s="20"/>
      <c r="Q2716" s="20" t="s">
        <v>401</v>
      </c>
      <c r="R2716" s="20"/>
      <c r="S2716" s="20"/>
      <c r="T2716" s="20"/>
    </row>
    <row r="2717" spans="1:20" x14ac:dyDescent="0.25">
      <c r="A2717" s="3">
        <v>41831</v>
      </c>
      <c r="B2717" s="36">
        <v>218</v>
      </c>
      <c r="C2717" t="s">
        <v>3453</v>
      </c>
      <c r="E2717" s="18">
        <v>-215.5515</v>
      </c>
      <c r="F2717" t="s">
        <v>889</v>
      </c>
      <c r="G2717" t="s">
        <v>442</v>
      </c>
      <c r="H2717" s="18" t="s">
        <v>442</v>
      </c>
      <c r="I2717" s="3" t="s">
        <v>442</v>
      </c>
      <c r="J2717"/>
      <c r="L2717"/>
      <c r="M2717"/>
      <c r="N2717" s="20"/>
      <c r="O2717" t="s">
        <v>2654</v>
      </c>
      <c r="P2717" s="20"/>
      <c r="Q2717" s="20" t="s">
        <v>401</v>
      </c>
      <c r="R2717" s="20"/>
      <c r="S2717" s="20"/>
      <c r="T2717" s="20"/>
    </row>
    <row r="2718" spans="1:20" x14ac:dyDescent="0.25">
      <c r="A2718" s="3">
        <v>41831</v>
      </c>
      <c r="B2718" s="36">
        <v>218</v>
      </c>
      <c r="C2718" t="s">
        <v>3453</v>
      </c>
      <c r="E2718" s="18">
        <v>-162.2430645</v>
      </c>
      <c r="F2718" t="s">
        <v>889</v>
      </c>
      <c r="G2718" t="s">
        <v>442</v>
      </c>
      <c r="H2718" s="18" t="s">
        <v>442</v>
      </c>
      <c r="I2718" s="3" t="s">
        <v>442</v>
      </c>
      <c r="J2718"/>
      <c r="L2718"/>
      <c r="M2718"/>
      <c r="N2718" s="20"/>
      <c r="O2718" t="s">
        <v>1090</v>
      </c>
      <c r="P2718" s="20"/>
      <c r="Q2718" s="20" t="s">
        <v>401</v>
      </c>
      <c r="R2718" s="20"/>
      <c r="S2718" s="20"/>
      <c r="T2718" s="20"/>
    </row>
    <row r="2719" spans="1:20" x14ac:dyDescent="0.25">
      <c r="A2719" s="3">
        <v>41838</v>
      </c>
      <c r="B2719" s="36">
        <v>218</v>
      </c>
      <c r="C2719" t="s">
        <v>946</v>
      </c>
      <c r="E2719" s="18">
        <v>202.5</v>
      </c>
      <c r="F2719" t="s">
        <v>889</v>
      </c>
      <c r="G2719" t="s">
        <v>442</v>
      </c>
      <c r="H2719" s="18" t="s">
        <v>442</v>
      </c>
      <c r="I2719" s="3" t="s">
        <v>442</v>
      </c>
      <c r="J2719"/>
      <c r="L2719"/>
      <c r="M2719"/>
      <c r="N2719" s="20" t="s">
        <v>401</v>
      </c>
      <c r="O2719"/>
      <c r="P2719" s="20"/>
      <c r="Q2719" s="20"/>
      <c r="R2719" s="20"/>
      <c r="S2719" s="20"/>
      <c r="T2719" s="20"/>
    </row>
    <row r="2720" spans="1:20" x14ac:dyDescent="0.25">
      <c r="A2720" s="3">
        <v>41845</v>
      </c>
      <c r="B2720" s="36">
        <v>218</v>
      </c>
      <c r="C2720" t="s">
        <v>3455</v>
      </c>
      <c r="D2720">
        <v>7.25</v>
      </c>
      <c r="E2720" s="18">
        <v>725</v>
      </c>
      <c r="F2720" t="s">
        <v>889</v>
      </c>
      <c r="G2720" t="s">
        <v>3456</v>
      </c>
      <c r="H2720" s="18">
        <v>725</v>
      </c>
      <c r="I2720" s="3">
        <v>41845</v>
      </c>
      <c r="J2720"/>
      <c r="L2720"/>
      <c r="M2720"/>
      <c r="N2720" s="20"/>
      <c r="O2720" t="s">
        <v>1004</v>
      </c>
      <c r="P2720" s="20"/>
      <c r="Q2720" s="20"/>
      <c r="R2720" s="20"/>
      <c r="S2720" s="20"/>
      <c r="T2720" s="20"/>
    </row>
    <row r="2721" spans="1:20" x14ac:dyDescent="0.25">
      <c r="A2721" s="3">
        <v>41845</v>
      </c>
      <c r="B2721" s="36">
        <v>218</v>
      </c>
      <c r="C2721" t="s">
        <v>3457</v>
      </c>
      <c r="D2721">
        <v>7.5</v>
      </c>
      <c r="E2721" s="18">
        <v>750</v>
      </c>
      <c r="F2721" t="s">
        <v>889</v>
      </c>
      <c r="G2721" t="s">
        <v>3458</v>
      </c>
      <c r="H2721" s="18">
        <v>750</v>
      </c>
      <c r="I2721" s="3">
        <v>41845</v>
      </c>
      <c r="J2721"/>
      <c r="L2721"/>
      <c r="M2721"/>
      <c r="N2721" s="20"/>
      <c r="O2721" t="s">
        <v>1004</v>
      </c>
      <c r="P2721" s="20"/>
      <c r="Q2721" s="20"/>
      <c r="R2721" s="20"/>
      <c r="S2721" s="20"/>
      <c r="T2721" s="20"/>
    </row>
    <row r="2722" spans="1:20" x14ac:dyDescent="0.25">
      <c r="A2722" s="3">
        <v>41845</v>
      </c>
      <c r="B2722" s="36">
        <v>218</v>
      </c>
      <c r="C2722" t="s">
        <v>1482</v>
      </c>
      <c r="E2722" s="18">
        <v>-162.2430645</v>
      </c>
      <c r="F2722" t="s">
        <v>889</v>
      </c>
      <c r="G2722" t="s">
        <v>442</v>
      </c>
      <c r="H2722" s="18" t="s">
        <v>442</v>
      </c>
      <c r="I2722" s="3" t="s">
        <v>442</v>
      </c>
      <c r="J2722"/>
      <c r="L2722"/>
      <c r="M2722"/>
      <c r="N2722" s="20"/>
      <c r="O2722" t="s">
        <v>1219</v>
      </c>
      <c r="P2722" s="20"/>
      <c r="Q2722" s="20" t="s">
        <v>401</v>
      </c>
      <c r="R2722" s="20"/>
      <c r="S2722" s="20"/>
      <c r="T2722" s="20"/>
    </row>
    <row r="2723" spans="1:20" x14ac:dyDescent="0.25">
      <c r="A2723" s="3">
        <v>41845</v>
      </c>
      <c r="B2723" s="36">
        <v>218</v>
      </c>
      <c r="C2723" t="s">
        <v>1483</v>
      </c>
      <c r="E2723" s="18">
        <v>-162.2430645</v>
      </c>
      <c r="F2723" t="s">
        <v>889</v>
      </c>
      <c r="G2723" t="s">
        <v>442</v>
      </c>
      <c r="H2723" s="18" t="s">
        <v>442</v>
      </c>
      <c r="I2723" s="3" t="s">
        <v>442</v>
      </c>
      <c r="J2723"/>
      <c r="L2723"/>
      <c r="M2723"/>
      <c r="N2723" s="20"/>
      <c r="O2723" t="s">
        <v>1228</v>
      </c>
      <c r="P2723" s="20"/>
      <c r="Q2723" s="20" t="s">
        <v>401</v>
      </c>
      <c r="R2723" s="20"/>
      <c r="S2723" s="20"/>
      <c r="T2723" s="20"/>
    </row>
    <row r="2724" spans="1:20" x14ac:dyDescent="0.25">
      <c r="A2724" s="3">
        <v>41851</v>
      </c>
      <c r="B2724" s="36">
        <v>218</v>
      </c>
      <c r="C2724" t="s">
        <v>3459</v>
      </c>
      <c r="D2724">
        <v>7.5</v>
      </c>
      <c r="E2724" s="18">
        <v>750</v>
      </c>
      <c r="F2724" t="s">
        <v>889</v>
      </c>
      <c r="G2724" t="s">
        <v>3460</v>
      </c>
      <c r="H2724" s="18">
        <v>750</v>
      </c>
      <c r="I2724" s="3">
        <v>41851</v>
      </c>
      <c r="J2724"/>
      <c r="L2724"/>
      <c r="M2724"/>
      <c r="N2724" s="20"/>
      <c r="O2724" t="s">
        <v>931</v>
      </c>
      <c r="P2724" s="20"/>
      <c r="Q2724" s="20"/>
      <c r="R2724" s="20"/>
      <c r="S2724" s="20"/>
      <c r="T2724" s="20"/>
    </row>
    <row r="2725" spans="1:20" x14ac:dyDescent="0.25">
      <c r="A2725" s="3">
        <v>41851</v>
      </c>
      <c r="B2725" s="36">
        <v>218</v>
      </c>
      <c r="C2725" t="s">
        <v>3461</v>
      </c>
      <c r="D2725">
        <v>5.75</v>
      </c>
      <c r="E2725" s="18">
        <v>575</v>
      </c>
      <c r="F2725" t="s">
        <v>889</v>
      </c>
      <c r="G2725" t="s">
        <v>3462</v>
      </c>
      <c r="H2725" s="18">
        <v>575</v>
      </c>
      <c r="I2725" s="3">
        <v>41851</v>
      </c>
      <c r="J2725"/>
      <c r="L2725"/>
      <c r="M2725"/>
      <c r="N2725" s="20"/>
      <c r="O2725" t="s">
        <v>931</v>
      </c>
      <c r="P2725" s="20"/>
      <c r="Q2725" s="20"/>
      <c r="R2725" s="20"/>
      <c r="S2725" s="20"/>
      <c r="T2725" s="20"/>
    </row>
    <row r="2726" spans="1:20" x14ac:dyDescent="0.25">
      <c r="A2726" s="3">
        <v>41851</v>
      </c>
      <c r="B2726" s="36">
        <v>218</v>
      </c>
      <c r="C2726" t="s">
        <v>1237</v>
      </c>
      <c r="E2726" s="18">
        <v>-162.2430645</v>
      </c>
      <c r="F2726" t="s">
        <v>891</v>
      </c>
      <c r="G2726" t="s">
        <v>442</v>
      </c>
      <c r="H2726" s="18" t="s">
        <v>442</v>
      </c>
      <c r="I2726" s="3" t="s">
        <v>442</v>
      </c>
      <c r="J2726"/>
      <c r="L2726"/>
      <c r="M2726"/>
      <c r="N2726" s="20"/>
      <c r="O2726" t="s">
        <v>1238</v>
      </c>
      <c r="P2726" s="20"/>
      <c r="Q2726" s="20" t="s">
        <v>401</v>
      </c>
      <c r="R2726" s="20"/>
      <c r="S2726" s="20"/>
      <c r="T2726" s="20"/>
    </row>
    <row r="2727" spans="1:20" x14ac:dyDescent="0.25">
      <c r="A2727" s="3">
        <v>41859</v>
      </c>
      <c r="B2727" s="36">
        <v>218</v>
      </c>
      <c r="C2727" t="s">
        <v>3463</v>
      </c>
      <c r="D2727">
        <v>4.75</v>
      </c>
      <c r="E2727" s="18">
        <v>475</v>
      </c>
      <c r="F2727" t="s">
        <v>889</v>
      </c>
      <c r="G2727" t="s">
        <v>3464</v>
      </c>
      <c r="H2727" s="18">
        <v>475</v>
      </c>
      <c r="I2727" s="3">
        <v>41859</v>
      </c>
      <c r="J2727"/>
      <c r="L2727"/>
      <c r="M2727"/>
      <c r="N2727" s="20"/>
      <c r="O2727"/>
      <c r="P2727" s="20"/>
      <c r="Q2727" s="20"/>
      <c r="R2727" s="20"/>
      <c r="S2727" s="20"/>
      <c r="T2727" s="20"/>
    </row>
    <row r="2728" spans="1:20" x14ac:dyDescent="0.25">
      <c r="A2728" s="3">
        <v>41859</v>
      </c>
      <c r="B2728" s="36">
        <v>218</v>
      </c>
      <c r="C2728" t="s">
        <v>3465</v>
      </c>
      <c r="D2728">
        <v>2.5</v>
      </c>
      <c r="E2728" s="18">
        <v>250</v>
      </c>
      <c r="F2728" t="s">
        <v>889</v>
      </c>
      <c r="G2728" t="s">
        <v>3466</v>
      </c>
      <c r="H2728" s="18">
        <v>250</v>
      </c>
      <c r="I2728" s="3">
        <v>41859</v>
      </c>
      <c r="J2728"/>
      <c r="L2728"/>
      <c r="M2728"/>
      <c r="N2728" s="20"/>
      <c r="O2728"/>
      <c r="P2728" s="20"/>
      <c r="Q2728" s="20"/>
      <c r="R2728" s="20"/>
      <c r="S2728" s="20"/>
      <c r="T2728" s="20"/>
    </row>
    <row r="2729" spans="1:20" x14ac:dyDescent="0.25">
      <c r="A2729" s="3">
        <v>41859</v>
      </c>
      <c r="B2729" s="36">
        <v>218</v>
      </c>
      <c r="C2729" t="s">
        <v>3467</v>
      </c>
      <c r="E2729" s="18">
        <v>500</v>
      </c>
      <c r="F2729" t="s">
        <v>889</v>
      </c>
      <c r="G2729" t="s">
        <v>442</v>
      </c>
      <c r="H2729" s="18" t="s">
        <v>442</v>
      </c>
      <c r="I2729" s="3" t="s">
        <v>442</v>
      </c>
      <c r="J2729"/>
      <c r="L2729"/>
      <c r="M2729"/>
      <c r="N2729" s="20"/>
      <c r="O2729"/>
      <c r="P2729" s="20"/>
      <c r="Q2729" s="20"/>
      <c r="R2729" s="20"/>
      <c r="S2729" s="20"/>
      <c r="T2729" s="20" t="s">
        <v>401</v>
      </c>
    </row>
    <row r="2730" spans="1:20" x14ac:dyDescent="0.25">
      <c r="A2730" s="3">
        <v>41865</v>
      </c>
      <c r="B2730" s="36">
        <v>218</v>
      </c>
      <c r="C2730" t="s">
        <v>3468</v>
      </c>
      <c r="E2730" s="18">
        <v>40</v>
      </c>
      <c r="F2730" t="s">
        <v>889</v>
      </c>
      <c r="H2730" s="18" t="s">
        <v>442</v>
      </c>
      <c r="I2730" s="3" t="s">
        <v>442</v>
      </c>
      <c r="J2730"/>
      <c r="L2730"/>
      <c r="M2730"/>
      <c r="N2730" s="20"/>
      <c r="O2730"/>
      <c r="P2730" s="20" t="s">
        <v>401</v>
      </c>
      <c r="Q2730" s="20"/>
      <c r="R2730" s="20"/>
      <c r="S2730" s="20"/>
      <c r="T2730" s="20"/>
    </row>
    <row r="2731" spans="1:20" x14ac:dyDescent="0.25">
      <c r="A2731" s="3">
        <v>41865</v>
      </c>
      <c r="B2731" s="36">
        <v>218</v>
      </c>
      <c r="C2731" t="s">
        <v>3469</v>
      </c>
      <c r="E2731" s="18">
        <v>70</v>
      </c>
      <c r="F2731" t="s">
        <v>891</v>
      </c>
      <c r="H2731" s="18" t="s">
        <v>442</v>
      </c>
      <c r="I2731" s="3" t="s">
        <v>442</v>
      </c>
      <c r="J2731"/>
      <c r="L2731"/>
      <c r="M2731"/>
      <c r="N2731" s="20"/>
      <c r="O2731" t="s">
        <v>3470</v>
      </c>
      <c r="P2731" s="20" t="s">
        <v>401</v>
      </c>
      <c r="Q2731" s="20"/>
      <c r="R2731" s="20"/>
      <c r="S2731" s="20"/>
      <c r="T2731" s="20"/>
    </row>
    <row r="2732" spans="1:20" x14ac:dyDescent="0.25">
      <c r="A2732" s="3">
        <v>41866</v>
      </c>
      <c r="B2732" s="36">
        <v>218</v>
      </c>
      <c r="C2732" t="s">
        <v>954</v>
      </c>
      <c r="E2732" s="18">
        <v>3072.5</v>
      </c>
      <c r="F2732" t="s">
        <v>889</v>
      </c>
      <c r="G2732" t="s">
        <v>442</v>
      </c>
      <c r="H2732" s="18" t="s">
        <v>442</v>
      </c>
      <c r="I2732" s="3" t="s">
        <v>442</v>
      </c>
      <c r="J2732"/>
      <c r="L2732"/>
      <c r="M2732"/>
      <c r="N2732" s="20" t="s">
        <v>401</v>
      </c>
      <c r="O2732"/>
      <c r="P2732" s="20"/>
      <c r="Q2732" s="20"/>
      <c r="R2732" s="20"/>
      <c r="S2732" s="20"/>
      <c r="T2732" s="20"/>
    </row>
    <row r="2733" spans="1:20" x14ac:dyDescent="0.25">
      <c r="A2733" s="3">
        <v>41873</v>
      </c>
      <c r="B2733" s="36">
        <v>218</v>
      </c>
      <c r="C2733" t="s">
        <v>3471</v>
      </c>
      <c r="D2733">
        <v>5.75</v>
      </c>
      <c r="E2733" s="18">
        <v>575</v>
      </c>
      <c r="F2733" t="s">
        <v>889</v>
      </c>
      <c r="G2733" t="s">
        <v>3472</v>
      </c>
      <c r="H2733" s="18">
        <v>575</v>
      </c>
      <c r="I2733" s="3">
        <v>41873</v>
      </c>
      <c r="J2733"/>
      <c r="L2733"/>
      <c r="M2733"/>
      <c r="N2733" s="20"/>
      <c r="O2733"/>
      <c r="P2733" s="20"/>
      <c r="Q2733" s="20"/>
      <c r="R2733" s="20"/>
      <c r="S2733" s="20"/>
      <c r="T2733" s="20"/>
    </row>
    <row r="2734" spans="1:20" x14ac:dyDescent="0.25">
      <c r="A2734" s="3">
        <v>41873</v>
      </c>
      <c r="B2734" s="36">
        <v>218</v>
      </c>
      <c r="C2734" t="s">
        <v>3467</v>
      </c>
      <c r="D2734">
        <v>4</v>
      </c>
      <c r="E2734" s="18">
        <v>-500</v>
      </c>
      <c r="F2734" t="s">
        <v>889</v>
      </c>
      <c r="G2734" t="s">
        <v>442</v>
      </c>
      <c r="H2734" s="18" t="s">
        <v>442</v>
      </c>
      <c r="I2734" s="3" t="s">
        <v>442</v>
      </c>
      <c r="J2734"/>
      <c r="L2734"/>
      <c r="M2734"/>
      <c r="N2734" s="20"/>
      <c r="O2734"/>
      <c r="P2734" s="20"/>
      <c r="Q2734" s="20"/>
      <c r="R2734" s="20"/>
      <c r="S2734" s="20"/>
      <c r="T2734" s="20" t="s">
        <v>401</v>
      </c>
    </row>
    <row r="2735" spans="1:20" x14ac:dyDescent="0.25">
      <c r="A2735" s="3">
        <v>41873</v>
      </c>
      <c r="B2735" s="36">
        <v>218</v>
      </c>
      <c r="C2735" t="s">
        <v>3473</v>
      </c>
      <c r="D2735">
        <v>5.5</v>
      </c>
      <c r="E2735" s="18">
        <v>550</v>
      </c>
      <c r="F2735" t="s">
        <v>889</v>
      </c>
      <c r="G2735" t="s">
        <v>3474</v>
      </c>
      <c r="H2735" s="18">
        <v>550</v>
      </c>
      <c r="I2735" s="3">
        <v>41873</v>
      </c>
      <c r="J2735"/>
      <c r="L2735"/>
      <c r="M2735"/>
      <c r="N2735" s="20"/>
      <c r="O2735"/>
      <c r="P2735" s="20"/>
      <c r="Q2735" s="20"/>
      <c r="R2735" s="20"/>
      <c r="S2735" s="20"/>
      <c r="T2735" s="20"/>
    </row>
    <row r="2736" spans="1:20" x14ac:dyDescent="0.25">
      <c r="A2736" s="3">
        <v>41873</v>
      </c>
      <c r="B2736" s="36">
        <v>218</v>
      </c>
      <c r="C2736" t="s">
        <v>3475</v>
      </c>
      <c r="D2736">
        <v>9</v>
      </c>
      <c r="E2736" s="18">
        <v>900</v>
      </c>
      <c r="F2736" t="s">
        <v>889</v>
      </c>
      <c r="G2736" t="s">
        <v>3476</v>
      </c>
      <c r="H2736" s="18">
        <v>900</v>
      </c>
      <c r="I2736" s="3">
        <v>41873</v>
      </c>
      <c r="J2736"/>
      <c r="L2736"/>
      <c r="M2736"/>
      <c r="N2736" s="20"/>
      <c r="O2736"/>
      <c r="P2736" s="20"/>
      <c r="Q2736" s="20"/>
      <c r="R2736" s="20"/>
      <c r="S2736" s="20"/>
      <c r="T2736" s="20"/>
    </row>
    <row r="2737" spans="1:20" x14ac:dyDescent="0.25">
      <c r="A2737" s="3">
        <v>41873</v>
      </c>
      <c r="B2737" s="36">
        <v>218</v>
      </c>
      <c r="C2737" t="s">
        <v>3459</v>
      </c>
      <c r="D2737">
        <v>7.5</v>
      </c>
      <c r="E2737" s="18">
        <v>-750</v>
      </c>
      <c r="F2737" t="s">
        <v>889</v>
      </c>
      <c r="G2737" t="s">
        <v>3460</v>
      </c>
      <c r="H2737" s="18" t="s">
        <v>442</v>
      </c>
      <c r="I2737" s="3" t="s">
        <v>442</v>
      </c>
      <c r="J2737"/>
      <c r="L2737"/>
      <c r="M2737"/>
      <c r="N2737" s="20"/>
      <c r="O2737"/>
      <c r="P2737" s="20"/>
      <c r="Q2737" s="20"/>
      <c r="R2737" s="20"/>
      <c r="S2737" s="20"/>
      <c r="T2737" s="20"/>
    </row>
    <row r="2738" spans="1:20" x14ac:dyDescent="0.25">
      <c r="A2738" s="3">
        <v>41873</v>
      </c>
      <c r="B2738" s="36">
        <v>218</v>
      </c>
      <c r="C2738" t="s">
        <v>3477</v>
      </c>
      <c r="D2738">
        <v>5.25</v>
      </c>
      <c r="E2738" s="18">
        <v>525</v>
      </c>
      <c r="F2738" t="s">
        <v>889</v>
      </c>
      <c r="G2738" t="s">
        <v>3478</v>
      </c>
      <c r="H2738" s="18">
        <v>525</v>
      </c>
      <c r="I2738" s="3">
        <v>41873</v>
      </c>
      <c r="J2738"/>
      <c r="L2738"/>
      <c r="M2738"/>
      <c r="N2738" s="20"/>
      <c r="O2738"/>
      <c r="P2738" s="20"/>
      <c r="Q2738" s="20"/>
      <c r="R2738" s="20"/>
      <c r="S2738" s="20"/>
      <c r="T2738" s="20"/>
    </row>
    <row r="2739" spans="1:20" x14ac:dyDescent="0.25">
      <c r="A2739" s="3">
        <v>41873</v>
      </c>
      <c r="B2739" s="36">
        <v>218</v>
      </c>
      <c r="C2739" t="s">
        <v>3479</v>
      </c>
      <c r="D2739">
        <v>2.5</v>
      </c>
      <c r="E2739" s="18">
        <v>250</v>
      </c>
      <c r="F2739" t="s">
        <v>889</v>
      </c>
      <c r="G2739" t="s">
        <v>3480</v>
      </c>
      <c r="H2739" s="18">
        <v>250</v>
      </c>
      <c r="I2739" s="3">
        <v>41873</v>
      </c>
      <c r="J2739"/>
      <c r="L2739"/>
      <c r="M2739"/>
      <c r="N2739" s="20"/>
      <c r="O2739"/>
      <c r="P2739" s="20"/>
      <c r="Q2739" s="20"/>
      <c r="R2739" s="20"/>
      <c r="S2739" s="20"/>
      <c r="T2739" s="20"/>
    </row>
    <row r="2740" spans="1:20" x14ac:dyDescent="0.25">
      <c r="A2740" s="3">
        <v>41873</v>
      </c>
      <c r="B2740" s="36">
        <v>218</v>
      </c>
      <c r="C2740" t="s">
        <v>1480</v>
      </c>
      <c r="E2740" s="18">
        <v>-162.2430645</v>
      </c>
      <c r="F2740" t="s">
        <v>891</v>
      </c>
      <c r="G2740" t="s">
        <v>442</v>
      </c>
      <c r="H2740" s="18" t="s">
        <v>442</v>
      </c>
      <c r="I2740" s="3" t="s">
        <v>442</v>
      </c>
      <c r="J2740"/>
      <c r="L2740"/>
      <c r="M2740"/>
      <c r="N2740" s="20"/>
      <c r="O2740" t="s">
        <v>1481</v>
      </c>
      <c r="P2740" s="20"/>
      <c r="Q2740" s="20" t="s">
        <v>401</v>
      </c>
      <c r="R2740" s="20"/>
      <c r="S2740" s="20"/>
      <c r="T2740" s="20"/>
    </row>
    <row r="2741" spans="1:20" x14ac:dyDescent="0.25">
      <c r="A2741" s="3">
        <v>41873</v>
      </c>
      <c r="B2741" s="36">
        <v>218</v>
      </c>
      <c r="C2741" t="s">
        <v>1106</v>
      </c>
      <c r="E2741" s="18">
        <v>-162.2430645</v>
      </c>
      <c r="F2741" t="s">
        <v>891</v>
      </c>
      <c r="G2741" t="s">
        <v>442</v>
      </c>
      <c r="H2741" s="18" t="s">
        <v>442</v>
      </c>
      <c r="I2741" s="3" t="s">
        <v>442</v>
      </c>
      <c r="J2741"/>
      <c r="L2741"/>
      <c r="M2741"/>
      <c r="N2741" s="20"/>
      <c r="O2741" t="s">
        <v>1107</v>
      </c>
      <c r="P2741" s="20"/>
      <c r="Q2741" s="20" t="s">
        <v>401</v>
      </c>
      <c r="R2741" s="20"/>
      <c r="S2741" s="20"/>
      <c r="T2741" s="20"/>
    </row>
    <row r="2742" spans="1:20" x14ac:dyDescent="0.25">
      <c r="A2742" s="3">
        <v>41873</v>
      </c>
      <c r="B2742" s="36">
        <v>218</v>
      </c>
      <c r="C2742" t="s">
        <v>1108</v>
      </c>
      <c r="E2742" s="18">
        <v>-162.2430645</v>
      </c>
      <c r="F2742" t="s">
        <v>891</v>
      </c>
      <c r="G2742" t="s">
        <v>442</v>
      </c>
      <c r="H2742" s="18" t="s">
        <v>442</v>
      </c>
      <c r="I2742" s="3" t="s">
        <v>442</v>
      </c>
      <c r="J2742"/>
      <c r="L2742"/>
      <c r="M2742"/>
      <c r="N2742" s="20"/>
      <c r="O2742" t="s">
        <v>1109</v>
      </c>
      <c r="P2742" s="20"/>
      <c r="Q2742" s="20" t="s">
        <v>401</v>
      </c>
      <c r="R2742" s="20"/>
      <c r="S2742" s="20"/>
      <c r="T2742" s="20"/>
    </row>
    <row r="2743" spans="1:20" x14ac:dyDescent="0.25">
      <c r="A2743" s="3">
        <v>41873</v>
      </c>
      <c r="B2743" s="36">
        <v>218</v>
      </c>
      <c r="C2743" t="s">
        <v>3481</v>
      </c>
      <c r="D2743">
        <v>2</v>
      </c>
      <c r="E2743" s="18">
        <v>200</v>
      </c>
      <c r="F2743" t="s">
        <v>889</v>
      </c>
      <c r="G2743" t="s">
        <v>3482</v>
      </c>
      <c r="H2743" s="18">
        <v>200</v>
      </c>
      <c r="I2743" s="3">
        <v>41873</v>
      </c>
      <c r="J2743"/>
      <c r="L2743"/>
      <c r="M2743"/>
      <c r="N2743" s="20"/>
      <c r="O2743"/>
      <c r="P2743" s="20"/>
      <c r="Q2743" s="20"/>
      <c r="R2743" s="20"/>
      <c r="S2743" s="20"/>
      <c r="T2743" s="20"/>
    </row>
    <row r="2744" spans="1:20" x14ac:dyDescent="0.25">
      <c r="A2744" s="37">
        <v>41879</v>
      </c>
      <c r="B2744" s="36">
        <v>218</v>
      </c>
      <c r="C2744" s="38" t="s">
        <v>3429</v>
      </c>
      <c r="D2744" s="38"/>
      <c r="E2744" s="39">
        <v>500</v>
      </c>
      <c r="F2744" s="38" t="s">
        <v>889</v>
      </c>
      <c r="G2744" t="s">
        <v>442</v>
      </c>
      <c r="H2744" s="18" t="s">
        <v>442</v>
      </c>
      <c r="I2744" s="3" t="s">
        <v>442</v>
      </c>
      <c r="J2744"/>
      <c r="L2744"/>
      <c r="M2744"/>
      <c r="N2744" s="40"/>
      <c r="O2744" s="38"/>
      <c r="P2744" s="20"/>
      <c r="Q2744" s="20"/>
      <c r="R2744" s="20"/>
      <c r="S2744" s="20"/>
      <c r="T2744" s="20" t="s">
        <v>401</v>
      </c>
    </row>
    <row r="2745" spans="1:20" x14ac:dyDescent="0.25">
      <c r="A2745" s="3">
        <v>41886</v>
      </c>
      <c r="B2745" s="36">
        <v>218</v>
      </c>
      <c r="C2745" t="s">
        <v>3483</v>
      </c>
      <c r="D2745">
        <v>6</v>
      </c>
      <c r="E2745" s="18">
        <v>600</v>
      </c>
      <c r="F2745" t="s">
        <v>889</v>
      </c>
      <c r="G2745" t="s">
        <v>3484</v>
      </c>
      <c r="H2745" s="18">
        <v>600</v>
      </c>
      <c r="I2745" s="3">
        <v>41886</v>
      </c>
      <c r="J2745"/>
      <c r="L2745"/>
      <c r="M2745"/>
      <c r="N2745" s="20"/>
      <c r="O2745"/>
      <c r="P2745" s="20"/>
      <c r="Q2745" s="20"/>
      <c r="R2745" s="20"/>
      <c r="S2745" s="20"/>
      <c r="T2745" s="20"/>
    </row>
    <row r="2746" spans="1:20" x14ac:dyDescent="0.25">
      <c r="A2746" s="3">
        <v>41886</v>
      </c>
      <c r="B2746" s="36">
        <v>218</v>
      </c>
      <c r="C2746" t="s">
        <v>3485</v>
      </c>
      <c r="D2746">
        <v>5.5</v>
      </c>
      <c r="E2746" s="18">
        <v>550</v>
      </c>
      <c r="F2746" t="s">
        <v>889</v>
      </c>
      <c r="G2746" t="s">
        <v>3486</v>
      </c>
      <c r="H2746" s="18">
        <v>550</v>
      </c>
      <c r="I2746" s="3">
        <v>41886</v>
      </c>
      <c r="J2746"/>
      <c r="L2746"/>
      <c r="M2746"/>
      <c r="N2746" s="20"/>
      <c r="O2746"/>
      <c r="P2746" s="20"/>
      <c r="Q2746" s="20"/>
      <c r="R2746" s="20"/>
      <c r="S2746" s="20"/>
      <c r="T2746" s="20"/>
    </row>
    <row r="2747" spans="1:20" x14ac:dyDescent="0.25">
      <c r="A2747" s="37">
        <v>41901</v>
      </c>
      <c r="B2747" s="36">
        <v>218</v>
      </c>
      <c r="C2747" s="38" t="s">
        <v>3429</v>
      </c>
      <c r="D2747" s="38"/>
      <c r="E2747" s="39">
        <v>-500</v>
      </c>
      <c r="F2747" s="38" t="s">
        <v>889</v>
      </c>
      <c r="G2747" t="s">
        <v>442</v>
      </c>
      <c r="H2747" s="18" t="s">
        <v>442</v>
      </c>
      <c r="I2747" s="3" t="s">
        <v>442</v>
      </c>
      <c r="J2747"/>
      <c r="L2747"/>
      <c r="M2747"/>
      <c r="N2747" s="40"/>
      <c r="O2747" s="38"/>
      <c r="P2747" s="20"/>
      <c r="Q2747" s="20"/>
      <c r="R2747" s="20"/>
      <c r="S2747" s="20"/>
      <c r="T2747" s="20" t="s">
        <v>401</v>
      </c>
    </row>
    <row r="2748" spans="1:20" x14ac:dyDescent="0.25">
      <c r="A2748" s="3">
        <v>41901</v>
      </c>
      <c r="B2748" s="36">
        <v>218</v>
      </c>
      <c r="C2748" t="s">
        <v>1098</v>
      </c>
      <c r="E2748" s="18">
        <v>2853.65</v>
      </c>
      <c r="F2748" t="s">
        <v>889</v>
      </c>
      <c r="G2748" t="s">
        <v>442</v>
      </c>
      <c r="H2748" s="18" t="s">
        <v>442</v>
      </c>
      <c r="I2748" s="3" t="s">
        <v>442</v>
      </c>
      <c r="J2748"/>
      <c r="L2748"/>
      <c r="M2748"/>
      <c r="N2748" s="20" t="s">
        <v>401</v>
      </c>
      <c r="O2748"/>
      <c r="P2748" s="20"/>
      <c r="Q2748" s="20"/>
      <c r="R2748" s="20"/>
      <c r="S2748" s="20"/>
      <c r="T2748" s="20"/>
    </row>
    <row r="2749" spans="1:20" x14ac:dyDescent="0.25">
      <c r="A2749" s="3">
        <v>41901</v>
      </c>
      <c r="B2749" s="36">
        <v>218</v>
      </c>
      <c r="C2749" t="s">
        <v>1269</v>
      </c>
      <c r="E2749" s="18">
        <v>-329.12164519999999</v>
      </c>
      <c r="F2749" t="s">
        <v>889</v>
      </c>
      <c r="G2749" t="s">
        <v>442</v>
      </c>
      <c r="H2749" s="18" t="s">
        <v>442</v>
      </c>
      <c r="I2749" s="3" t="s">
        <v>442</v>
      </c>
      <c r="J2749"/>
      <c r="L2749"/>
      <c r="M2749"/>
      <c r="N2749" s="20"/>
      <c r="O2749"/>
      <c r="P2749" s="20"/>
      <c r="Q2749" s="20" t="s">
        <v>401</v>
      </c>
      <c r="R2749" s="20"/>
      <c r="S2749" s="20"/>
      <c r="T2749" s="20"/>
    </row>
    <row r="2750" spans="1:20" x14ac:dyDescent="0.25">
      <c r="A2750" s="3">
        <v>41901</v>
      </c>
      <c r="B2750" s="36">
        <v>218</v>
      </c>
      <c r="C2750" t="s">
        <v>2575</v>
      </c>
      <c r="E2750" s="18">
        <v>-119.7508333</v>
      </c>
      <c r="F2750" t="s">
        <v>889</v>
      </c>
      <c r="G2750" t="s">
        <v>442</v>
      </c>
      <c r="H2750" s="18" t="s">
        <v>442</v>
      </c>
      <c r="I2750" s="3" t="s">
        <v>442</v>
      </c>
      <c r="J2750"/>
      <c r="L2750"/>
      <c r="M2750"/>
      <c r="N2750" s="20"/>
      <c r="O2750"/>
      <c r="P2750" s="20"/>
      <c r="Q2750" s="20" t="s">
        <v>401</v>
      </c>
      <c r="R2750" s="20"/>
      <c r="S2750" s="20"/>
      <c r="T2750" s="20"/>
    </row>
    <row r="2751" spans="1:20" x14ac:dyDescent="0.25">
      <c r="A2751" s="3">
        <v>41901</v>
      </c>
      <c r="B2751" s="36">
        <v>218</v>
      </c>
      <c r="C2751" t="s">
        <v>1111</v>
      </c>
      <c r="E2751" s="18">
        <v>-167.6511667</v>
      </c>
      <c r="F2751" t="s">
        <v>889</v>
      </c>
      <c r="G2751" t="s">
        <v>442</v>
      </c>
      <c r="H2751" s="18" t="s">
        <v>442</v>
      </c>
      <c r="I2751" s="3" t="s">
        <v>442</v>
      </c>
      <c r="J2751"/>
      <c r="L2751"/>
      <c r="M2751"/>
      <c r="N2751" s="20"/>
      <c r="O2751"/>
      <c r="P2751" s="20"/>
      <c r="Q2751" s="20" t="s">
        <v>401</v>
      </c>
      <c r="R2751" s="20"/>
      <c r="S2751" s="20"/>
      <c r="T2751" s="20"/>
    </row>
    <row r="2752" spans="1:20" x14ac:dyDescent="0.25">
      <c r="A2752" s="3">
        <v>41911</v>
      </c>
      <c r="B2752" s="36">
        <v>218</v>
      </c>
      <c r="C2752" t="s">
        <v>3487</v>
      </c>
      <c r="E2752" s="18">
        <v>500</v>
      </c>
      <c r="F2752" t="s">
        <v>889</v>
      </c>
      <c r="G2752" t="s">
        <v>442</v>
      </c>
      <c r="H2752" s="18" t="s">
        <v>442</v>
      </c>
      <c r="I2752" s="3" t="s">
        <v>442</v>
      </c>
      <c r="J2752"/>
      <c r="L2752"/>
      <c r="M2752"/>
      <c r="N2752" s="20"/>
      <c r="O2752" t="s">
        <v>3488</v>
      </c>
      <c r="P2752" s="20"/>
      <c r="Q2752" s="20"/>
      <c r="R2752" s="20"/>
      <c r="S2752" s="20"/>
      <c r="T2752" s="20" t="s">
        <v>401</v>
      </c>
    </row>
    <row r="2753" spans="1:20" x14ac:dyDescent="0.25">
      <c r="A2753" s="3">
        <v>41918</v>
      </c>
      <c r="B2753" s="36">
        <v>218</v>
      </c>
      <c r="C2753" t="s">
        <v>3489</v>
      </c>
      <c r="E2753" s="18">
        <v>1000</v>
      </c>
      <c r="F2753" t="s">
        <v>889</v>
      </c>
      <c r="G2753" t="s">
        <v>442</v>
      </c>
      <c r="H2753" s="18" t="s">
        <v>442</v>
      </c>
      <c r="I2753" s="3" t="s">
        <v>442</v>
      </c>
      <c r="J2753"/>
      <c r="L2753"/>
      <c r="M2753"/>
      <c r="N2753" s="20"/>
      <c r="O2753" t="s">
        <v>3488</v>
      </c>
      <c r="P2753" s="20"/>
      <c r="Q2753" s="20"/>
      <c r="R2753" s="20"/>
      <c r="S2753" s="20"/>
      <c r="T2753" s="20" t="s">
        <v>401</v>
      </c>
    </row>
    <row r="2754" spans="1:20" x14ac:dyDescent="0.25">
      <c r="A2754" s="3">
        <v>41943</v>
      </c>
      <c r="B2754" s="36">
        <v>218</v>
      </c>
      <c r="C2754" t="s">
        <v>3490</v>
      </c>
      <c r="E2754" s="18">
        <v>2000</v>
      </c>
      <c r="F2754" t="s">
        <v>889</v>
      </c>
      <c r="G2754" t="s">
        <v>442</v>
      </c>
      <c r="H2754" s="18" t="s">
        <v>442</v>
      </c>
      <c r="I2754" s="3" t="s">
        <v>442</v>
      </c>
      <c r="J2754"/>
      <c r="L2754"/>
      <c r="M2754"/>
      <c r="N2754" s="20"/>
      <c r="O2754"/>
      <c r="P2754" s="20"/>
      <c r="Q2754" s="20"/>
      <c r="R2754" s="20"/>
      <c r="S2754" s="20"/>
      <c r="T2754" s="20" t="s">
        <v>401</v>
      </c>
    </row>
    <row r="2755" spans="1:20" x14ac:dyDescent="0.25">
      <c r="A2755" s="3">
        <v>41943</v>
      </c>
      <c r="B2755" s="36">
        <v>218</v>
      </c>
      <c r="C2755" t="s">
        <v>3465</v>
      </c>
      <c r="D2755">
        <v>2.5</v>
      </c>
      <c r="E2755" s="18">
        <v>-250</v>
      </c>
      <c r="F2755" t="s">
        <v>889</v>
      </c>
      <c r="G2755" t="s">
        <v>3466</v>
      </c>
      <c r="H2755" s="18" t="s">
        <v>442</v>
      </c>
      <c r="I2755" s="3" t="s">
        <v>442</v>
      </c>
      <c r="J2755"/>
      <c r="L2755"/>
      <c r="M2755"/>
      <c r="N2755" s="20"/>
      <c r="O2755"/>
      <c r="P2755" s="20"/>
      <c r="Q2755" s="20"/>
      <c r="R2755" s="20"/>
      <c r="S2755" s="20"/>
      <c r="T2755" s="20"/>
    </row>
    <row r="2756" spans="1:20" x14ac:dyDescent="0.25">
      <c r="A2756" s="3">
        <v>41943</v>
      </c>
      <c r="B2756" s="36">
        <v>218</v>
      </c>
      <c r="C2756" t="s">
        <v>3459</v>
      </c>
      <c r="D2756">
        <v>7.5</v>
      </c>
      <c r="E2756" s="18">
        <v>750</v>
      </c>
      <c r="F2756" t="s">
        <v>889</v>
      </c>
      <c r="G2756" t="s">
        <v>3460</v>
      </c>
      <c r="H2756" s="18">
        <v>750</v>
      </c>
      <c r="I2756" s="3">
        <v>41943</v>
      </c>
      <c r="J2756"/>
      <c r="L2756"/>
      <c r="M2756"/>
      <c r="N2756" s="20"/>
      <c r="O2756"/>
      <c r="P2756" s="20"/>
      <c r="Q2756" s="20"/>
      <c r="R2756" s="20"/>
      <c r="S2756" s="20"/>
      <c r="T2756" s="20"/>
    </row>
    <row r="2757" spans="1:20" x14ac:dyDescent="0.25">
      <c r="A2757" s="3">
        <v>41943</v>
      </c>
      <c r="B2757" s="36">
        <v>218</v>
      </c>
      <c r="C2757" t="s">
        <v>3491</v>
      </c>
      <c r="D2757">
        <v>4.8449999999999998</v>
      </c>
      <c r="E2757" s="18">
        <v>484.5</v>
      </c>
      <c r="F2757" t="s">
        <v>889</v>
      </c>
      <c r="G2757" t="s">
        <v>3492</v>
      </c>
      <c r="H2757" s="18">
        <v>484.5</v>
      </c>
      <c r="I2757" s="3">
        <v>41943</v>
      </c>
      <c r="J2757"/>
      <c r="L2757"/>
      <c r="M2757"/>
      <c r="N2757" s="20"/>
      <c r="O2757"/>
      <c r="P2757" s="20"/>
      <c r="Q2757" s="20"/>
      <c r="R2757" s="20"/>
      <c r="S2757" s="20"/>
      <c r="T2757" s="20"/>
    </row>
    <row r="2758" spans="1:20" x14ac:dyDescent="0.25">
      <c r="A2758" s="3">
        <v>41943</v>
      </c>
      <c r="B2758" s="36">
        <v>218</v>
      </c>
      <c r="C2758" t="s">
        <v>3481</v>
      </c>
      <c r="D2758">
        <v>2</v>
      </c>
      <c r="E2758" s="18">
        <v>-200</v>
      </c>
      <c r="F2758" t="s">
        <v>889</v>
      </c>
      <c r="G2758" t="s">
        <v>3482</v>
      </c>
      <c r="H2758" s="18" t="s">
        <v>442</v>
      </c>
      <c r="I2758" s="3" t="s">
        <v>442</v>
      </c>
      <c r="J2758"/>
      <c r="L2758"/>
      <c r="M2758"/>
      <c r="N2758" s="20"/>
      <c r="O2758"/>
      <c r="P2758" s="20"/>
      <c r="Q2758" s="20"/>
      <c r="R2758" s="20"/>
      <c r="S2758" s="20"/>
      <c r="T2758" s="20"/>
    </row>
    <row r="2759" spans="1:20" x14ac:dyDescent="0.25">
      <c r="A2759" s="3">
        <v>41957</v>
      </c>
      <c r="B2759" s="36">
        <v>218</v>
      </c>
      <c r="C2759" t="s">
        <v>3493</v>
      </c>
      <c r="E2759" s="18">
        <v>500</v>
      </c>
      <c r="F2759" t="s">
        <v>889</v>
      </c>
      <c r="G2759" t="s">
        <v>442</v>
      </c>
      <c r="H2759" s="18" t="s">
        <v>442</v>
      </c>
      <c r="I2759" s="3" t="s">
        <v>442</v>
      </c>
      <c r="J2759"/>
      <c r="L2759"/>
      <c r="M2759"/>
      <c r="N2759" s="20"/>
      <c r="O2759"/>
      <c r="P2759" s="20"/>
      <c r="Q2759" s="20"/>
      <c r="R2759" s="20"/>
      <c r="S2759" s="20"/>
      <c r="T2759" s="20" t="s">
        <v>401</v>
      </c>
    </row>
    <row r="2760" spans="1:20" x14ac:dyDescent="0.25">
      <c r="A2760" s="3">
        <v>41968</v>
      </c>
      <c r="B2760" s="36">
        <v>218</v>
      </c>
      <c r="C2760" t="s">
        <v>3494</v>
      </c>
      <c r="E2760" s="18">
        <v>1000</v>
      </c>
      <c r="F2760" t="s">
        <v>889</v>
      </c>
      <c r="G2760" t="s">
        <v>442</v>
      </c>
      <c r="H2760" s="18" t="s">
        <v>442</v>
      </c>
      <c r="I2760" s="3" t="s">
        <v>442</v>
      </c>
      <c r="J2760"/>
      <c r="L2760"/>
      <c r="M2760"/>
      <c r="N2760" s="20"/>
      <c r="O2760"/>
      <c r="P2760" s="20"/>
      <c r="Q2760" s="20"/>
      <c r="R2760" s="20"/>
      <c r="S2760" s="20"/>
      <c r="T2760" s="20" t="s">
        <v>401</v>
      </c>
    </row>
    <row r="2761" spans="1:20" x14ac:dyDescent="0.25">
      <c r="A2761" s="3">
        <v>41968</v>
      </c>
      <c r="B2761" s="36">
        <v>218</v>
      </c>
      <c r="C2761" t="s">
        <v>3495</v>
      </c>
      <c r="E2761" s="18">
        <v>1000</v>
      </c>
      <c r="F2761" t="s">
        <v>889</v>
      </c>
      <c r="G2761" t="s">
        <v>442</v>
      </c>
      <c r="H2761" s="18" t="s">
        <v>442</v>
      </c>
      <c r="I2761" s="3" t="s">
        <v>442</v>
      </c>
      <c r="J2761"/>
      <c r="L2761"/>
      <c r="M2761"/>
      <c r="N2761" s="20"/>
      <c r="O2761"/>
      <c r="P2761" s="20"/>
      <c r="Q2761" s="20"/>
      <c r="R2761" s="20"/>
      <c r="S2761" s="20"/>
      <c r="T2761" s="20" t="s">
        <v>401</v>
      </c>
    </row>
    <row r="2762" spans="1:20" x14ac:dyDescent="0.25">
      <c r="A2762" s="3">
        <v>41968</v>
      </c>
      <c r="B2762" s="36">
        <v>218</v>
      </c>
      <c r="C2762" t="s">
        <v>3496</v>
      </c>
      <c r="D2762">
        <v>7.9050000000000002</v>
      </c>
      <c r="E2762" s="18">
        <v>368</v>
      </c>
      <c r="F2762" t="s">
        <v>889</v>
      </c>
      <c r="G2762" t="s">
        <v>3497</v>
      </c>
      <c r="H2762" s="18">
        <v>368</v>
      </c>
      <c r="I2762" s="3">
        <v>41968</v>
      </c>
      <c r="J2762"/>
      <c r="L2762"/>
      <c r="M2762"/>
      <c r="N2762" s="20"/>
      <c r="O2762" t="s">
        <v>3498</v>
      </c>
      <c r="P2762" s="20"/>
      <c r="Q2762" s="20"/>
      <c r="R2762" s="20"/>
      <c r="S2762" s="20"/>
      <c r="T2762" s="20"/>
    </row>
    <row r="2763" spans="1:20" x14ac:dyDescent="0.25">
      <c r="A2763" s="3">
        <v>41978</v>
      </c>
      <c r="B2763" s="36">
        <v>218</v>
      </c>
      <c r="C2763" t="s">
        <v>3499</v>
      </c>
      <c r="D2763">
        <v>9.9450000000000003</v>
      </c>
      <c r="E2763" s="18">
        <v>994.5</v>
      </c>
      <c r="F2763" t="s">
        <v>889</v>
      </c>
      <c r="G2763" t="s">
        <v>3500</v>
      </c>
      <c r="H2763" s="18">
        <v>994.5</v>
      </c>
      <c r="I2763" s="3">
        <v>41978</v>
      </c>
      <c r="J2763"/>
      <c r="L2763"/>
      <c r="M2763"/>
      <c r="N2763" s="20"/>
      <c r="O2763"/>
      <c r="P2763" s="20"/>
      <c r="Q2763" s="20"/>
      <c r="R2763" s="20"/>
      <c r="S2763" s="20"/>
      <c r="T2763" s="20"/>
    </row>
    <row r="2764" spans="1:20" x14ac:dyDescent="0.25">
      <c r="A2764" s="3">
        <v>41978</v>
      </c>
      <c r="B2764" s="36">
        <v>218</v>
      </c>
      <c r="C2764" t="s">
        <v>3501</v>
      </c>
      <c r="D2764">
        <v>6.375</v>
      </c>
      <c r="E2764" s="18">
        <v>637.5</v>
      </c>
      <c r="F2764" t="s">
        <v>889</v>
      </c>
      <c r="G2764" t="s">
        <v>3502</v>
      </c>
      <c r="H2764" s="18">
        <v>637.5</v>
      </c>
      <c r="I2764" s="3">
        <v>41978</v>
      </c>
      <c r="J2764"/>
      <c r="L2764"/>
      <c r="M2764"/>
      <c r="N2764" s="20"/>
      <c r="O2764"/>
      <c r="P2764" s="20"/>
      <c r="Q2764" s="20"/>
      <c r="R2764" s="20"/>
      <c r="S2764" s="20"/>
      <c r="T2764" s="20"/>
    </row>
    <row r="2765" spans="1:20" x14ac:dyDescent="0.25">
      <c r="A2765" s="3">
        <v>41985</v>
      </c>
      <c r="B2765" s="36">
        <v>218</v>
      </c>
      <c r="C2765" t="s">
        <v>3471</v>
      </c>
      <c r="D2765">
        <v>5.75</v>
      </c>
      <c r="E2765" s="18">
        <v>862.5</v>
      </c>
      <c r="F2765" t="s">
        <v>889</v>
      </c>
      <c r="G2765" t="s">
        <v>3472</v>
      </c>
      <c r="H2765" s="18">
        <v>862.5</v>
      </c>
      <c r="I2765" s="3">
        <v>41985</v>
      </c>
      <c r="J2765"/>
      <c r="L2765"/>
      <c r="M2765"/>
      <c r="N2765" s="20"/>
      <c r="O2765" t="s">
        <v>959</v>
      </c>
      <c r="P2765" s="20"/>
      <c r="Q2765" s="20"/>
      <c r="R2765" s="20"/>
      <c r="S2765" s="20"/>
      <c r="T2765" s="20"/>
    </row>
    <row r="2766" spans="1:20" x14ac:dyDescent="0.25">
      <c r="A2766" s="3">
        <v>41985</v>
      </c>
      <c r="B2766" s="36">
        <v>218</v>
      </c>
      <c r="C2766" t="s">
        <v>3475</v>
      </c>
      <c r="D2766">
        <v>6.5</v>
      </c>
      <c r="E2766" s="18">
        <v>725</v>
      </c>
      <c r="F2766" t="s">
        <v>889</v>
      </c>
      <c r="G2766" t="s">
        <v>3476</v>
      </c>
      <c r="H2766" s="18">
        <v>725</v>
      </c>
      <c r="I2766" s="3">
        <v>41985</v>
      </c>
      <c r="J2766"/>
      <c r="L2766"/>
      <c r="M2766"/>
      <c r="N2766" s="20"/>
      <c r="O2766" t="s">
        <v>959</v>
      </c>
      <c r="P2766" s="20"/>
      <c r="Q2766" s="20"/>
      <c r="R2766" s="20"/>
      <c r="S2766" s="20"/>
      <c r="T2766" s="20"/>
    </row>
    <row r="2767" spans="1:20" x14ac:dyDescent="0.25">
      <c r="A2767" s="3">
        <v>41995</v>
      </c>
      <c r="B2767" s="36">
        <v>218</v>
      </c>
      <c r="C2767" t="s">
        <v>3499</v>
      </c>
      <c r="D2767">
        <v>9.9450000000000003</v>
      </c>
      <c r="E2767" s="18">
        <v>-994.5</v>
      </c>
      <c r="F2767" t="s">
        <v>889</v>
      </c>
      <c r="G2767" t="s">
        <v>3500</v>
      </c>
      <c r="H2767" s="18" t="s">
        <v>442</v>
      </c>
      <c r="I2767" s="3" t="s">
        <v>442</v>
      </c>
      <c r="J2767"/>
      <c r="L2767"/>
      <c r="M2767"/>
      <c r="N2767" s="20"/>
      <c r="O2767"/>
      <c r="P2767" s="20"/>
      <c r="Q2767" s="20"/>
      <c r="R2767" s="20"/>
      <c r="S2767" s="20"/>
      <c r="T2767" s="20"/>
    </row>
    <row r="2768" spans="1:20" x14ac:dyDescent="0.25">
      <c r="A2768" s="3">
        <v>41995</v>
      </c>
      <c r="B2768" s="36">
        <v>218</v>
      </c>
      <c r="C2768" t="s">
        <v>967</v>
      </c>
      <c r="E2768" s="18">
        <v>1225.4000000000001</v>
      </c>
      <c r="F2768" t="s">
        <v>889</v>
      </c>
      <c r="G2768" t="s">
        <v>442</v>
      </c>
      <c r="H2768" s="18" t="s">
        <v>442</v>
      </c>
      <c r="I2768" s="3" t="s">
        <v>442</v>
      </c>
      <c r="J2768"/>
      <c r="L2768"/>
      <c r="M2768"/>
      <c r="N2768" s="40" t="s">
        <v>401</v>
      </c>
      <c r="O2768"/>
      <c r="P2768" s="20"/>
      <c r="Q2768" s="20"/>
      <c r="R2768" s="20"/>
      <c r="S2768" s="20"/>
      <c r="T2768" s="20"/>
    </row>
    <row r="2769" spans="1:21" x14ac:dyDescent="0.25">
      <c r="B2769">
        <v>218</v>
      </c>
      <c r="C2769" t="s">
        <v>3490</v>
      </c>
      <c r="E2769" s="18">
        <v>-2000</v>
      </c>
      <c r="F2769" t="s">
        <v>889</v>
      </c>
      <c r="G2769" t="s">
        <v>442</v>
      </c>
      <c r="I2769"/>
      <c r="J2769"/>
      <c r="L2769"/>
      <c r="M2769"/>
      <c r="O2769"/>
      <c r="P2769" s="20"/>
      <c r="Q2769" s="20"/>
      <c r="R2769" s="20"/>
      <c r="S2769" s="20"/>
      <c r="T2769" s="20"/>
      <c r="U2769" t="s">
        <v>401</v>
      </c>
    </row>
    <row r="2770" spans="1:21" x14ac:dyDescent="0.25">
      <c r="B2770">
        <v>218</v>
      </c>
      <c r="C2770" t="s">
        <v>3489</v>
      </c>
      <c r="E2770" s="18">
        <v>-1000</v>
      </c>
      <c r="F2770" t="s">
        <v>889</v>
      </c>
      <c r="G2770" t="s">
        <v>442</v>
      </c>
      <c r="I2770"/>
      <c r="J2770"/>
      <c r="L2770"/>
      <c r="M2770"/>
      <c r="O2770"/>
      <c r="P2770" s="20"/>
      <c r="Q2770" s="20"/>
      <c r="R2770" s="20"/>
      <c r="S2770" s="20"/>
      <c r="T2770" s="20"/>
      <c r="U2770" t="s">
        <v>401</v>
      </c>
    </row>
    <row r="2771" spans="1:21" x14ac:dyDescent="0.25">
      <c r="B2771">
        <v>218</v>
      </c>
      <c r="C2771" t="s">
        <v>3448</v>
      </c>
      <c r="E2771" s="18">
        <v>-1000</v>
      </c>
      <c r="F2771" t="s">
        <v>889</v>
      </c>
      <c r="G2771" t="s">
        <v>442</v>
      </c>
      <c r="I2771"/>
      <c r="J2771"/>
      <c r="L2771"/>
      <c r="M2771"/>
      <c r="O2771"/>
      <c r="P2771" s="20"/>
      <c r="Q2771" s="20"/>
      <c r="R2771" s="20"/>
      <c r="S2771" s="20"/>
      <c r="T2771" s="20"/>
      <c r="U2771" t="s">
        <v>401</v>
      </c>
    </row>
    <row r="2772" spans="1:21" x14ac:dyDescent="0.25">
      <c r="B2772">
        <v>218</v>
      </c>
      <c r="C2772" t="s">
        <v>3487</v>
      </c>
      <c r="E2772" s="18">
        <v>-500</v>
      </c>
      <c r="F2772" t="s">
        <v>889</v>
      </c>
      <c r="G2772" t="s">
        <v>442</v>
      </c>
      <c r="I2772"/>
      <c r="J2772"/>
      <c r="L2772"/>
      <c r="M2772"/>
      <c r="O2772"/>
      <c r="P2772" s="20"/>
      <c r="Q2772" s="20"/>
      <c r="R2772" s="20"/>
      <c r="S2772" s="20"/>
      <c r="T2772" s="20"/>
      <c r="U2772" t="s">
        <v>401</v>
      </c>
    </row>
    <row r="2773" spans="1:21" x14ac:dyDescent="0.25">
      <c r="B2773">
        <v>218</v>
      </c>
      <c r="C2773" t="s">
        <v>969</v>
      </c>
      <c r="E2773" s="18">
        <v>537.5</v>
      </c>
      <c r="I2773"/>
      <c r="J2773"/>
      <c r="L2773"/>
      <c r="M2773"/>
      <c r="O2773"/>
      <c r="P2773" s="20"/>
      <c r="Q2773" s="20"/>
      <c r="R2773" s="20"/>
      <c r="S2773" s="20"/>
      <c r="T2773" s="20"/>
      <c r="U2773" t="s">
        <v>401</v>
      </c>
    </row>
    <row r="2774" spans="1:21" x14ac:dyDescent="0.25">
      <c r="B2774">
        <v>218</v>
      </c>
      <c r="C2774" t="s">
        <v>3493</v>
      </c>
      <c r="E2774" s="18">
        <v>-500</v>
      </c>
      <c r="F2774" t="s">
        <v>889</v>
      </c>
      <c r="G2774" t="s">
        <v>442</v>
      </c>
      <c r="I2774"/>
      <c r="J2774"/>
      <c r="L2774"/>
      <c r="M2774"/>
      <c r="O2774"/>
      <c r="P2774" s="20"/>
      <c r="Q2774" s="20"/>
      <c r="R2774" s="20"/>
      <c r="S2774" s="20"/>
      <c r="T2774" s="20"/>
      <c r="U2774" t="s">
        <v>401</v>
      </c>
    </row>
    <row r="2775" spans="1:21" x14ac:dyDescent="0.25">
      <c r="B2775">
        <v>218</v>
      </c>
      <c r="C2775" t="s">
        <v>3494</v>
      </c>
      <c r="E2775" s="18">
        <v>-1000</v>
      </c>
      <c r="F2775" t="s">
        <v>889</v>
      </c>
      <c r="G2775" t="s">
        <v>442</v>
      </c>
      <c r="I2775"/>
      <c r="J2775"/>
      <c r="L2775"/>
      <c r="M2775"/>
      <c r="O2775"/>
      <c r="P2775" s="20"/>
      <c r="Q2775" s="20"/>
      <c r="R2775" s="20"/>
      <c r="S2775" s="20"/>
      <c r="T2775" s="20"/>
      <c r="U2775" t="s">
        <v>401</v>
      </c>
    </row>
    <row r="2776" spans="1:21" x14ac:dyDescent="0.25">
      <c r="B2776">
        <v>218</v>
      </c>
      <c r="C2776" t="s">
        <v>3495</v>
      </c>
      <c r="E2776" s="18">
        <v>-1000</v>
      </c>
      <c r="F2776" t="s">
        <v>889</v>
      </c>
      <c r="G2776" t="s">
        <v>442</v>
      </c>
      <c r="I2776"/>
      <c r="J2776"/>
      <c r="L2776"/>
      <c r="M2776"/>
      <c r="O2776"/>
      <c r="P2776" s="20"/>
      <c r="Q2776" s="20"/>
      <c r="R2776" s="20"/>
      <c r="S2776" s="20"/>
      <c r="T2776" s="20"/>
      <c r="U2776" t="s">
        <v>401</v>
      </c>
    </row>
    <row r="2777" spans="1:21" x14ac:dyDescent="0.25">
      <c r="B2777">
        <v>218</v>
      </c>
      <c r="C2777" t="s">
        <v>3483</v>
      </c>
      <c r="D2777">
        <v>6</v>
      </c>
      <c r="E2777" s="18">
        <v>-600</v>
      </c>
      <c r="F2777" t="s">
        <v>889</v>
      </c>
      <c r="G2777" t="s">
        <v>3484</v>
      </c>
      <c r="I2777"/>
      <c r="J2777"/>
      <c r="L2777"/>
      <c r="M2777"/>
      <c r="O2777"/>
      <c r="P2777" s="20"/>
      <c r="Q2777" s="20"/>
      <c r="R2777" s="20"/>
      <c r="S2777" s="20"/>
      <c r="T2777" s="20"/>
      <c r="U2777" t="s">
        <v>401</v>
      </c>
    </row>
    <row r="2778" spans="1:21" x14ac:dyDescent="0.25">
      <c r="B2778">
        <v>218</v>
      </c>
      <c r="C2778" t="s">
        <v>3485</v>
      </c>
      <c r="D2778">
        <v>6.75</v>
      </c>
      <c r="E2778" s="18">
        <v>-550</v>
      </c>
      <c r="F2778" t="s">
        <v>889</v>
      </c>
      <c r="G2778" t="s">
        <v>3486</v>
      </c>
      <c r="I2778"/>
      <c r="J2778"/>
      <c r="L2778"/>
      <c r="M2778"/>
      <c r="O2778"/>
      <c r="P2778" s="20"/>
      <c r="Q2778" s="20"/>
      <c r="R2778" s="20"/>
      <c r="S2778" s="20"/>
      <c r="T2778" s="20"/>
      <c r="U2778" t="s">
        <v>401</v>
      </c>
    </row>
    <row r="2779" spans="1:21" x14ac:dyDescent="0.25">
      <c r="B2779">
        <v>218</v>
      </c>
      <c r="C2779" t="s">
        <v>636</v>
      </c>
      <c r="D2779">
        <v>5.61</v>
      </c>
      <c r="E2779" s="18">
        <v>530.5</v>
      </c>
      <c r="F2779" t="s">
        <v>889</v>
      </c>
      <c r="G2779" t="s">
        <v>637</v>
      </c>
      <c r="I2779"/>
      <c r="J2779"/>
      <c r="L2779"/>
      <c r="M2779"/>
      <c r="O2779"/>
      <c r="P2779" s="20"/>
      <c r="Q2779" s="20"/>
      <c r="R2779" s="20"/>
      <c r="S2779" s="20"/>
      <c r="T2779" s="20"/>
      <c r="U2779" t="s">
        <v>401</v>
      </c>
    </row>
    <row r="2780" spans="1:21" x14ac:dyDescent="0.25">
      <c r="B2780">
        <v>218</v>
      </c>
      <c r="C2780" t="s">
        <v>974</v>
      </c>
      <c r="E2780" s="18">
        <v>71.533333333333331</v>
      </c>
      <c r="I2780"/>
      <c r="J2780"/>
      <c r="L2780"/>
      <c r="M2780"/>
      <c r="O2780"/>
      <c r="P2780" s="20"/>
      <c r="Q2780" s="20"/>
      <c r="R2780" s="20"/>
      <c r="S2780" s="20"/>
      <c r="T2780" s="20"/>
      <c r="U2780" t="s">
        <v>401</v>
      </c>
    </row>
    <row r="2781" spans="1:21" x14ac:dyDescent="0.25">
      <c r="B2781">
        <v>218</v>
      </c>
      <c r="C2781" t="s">
        <v>3503</v>
      </c>
      <c r="D2781">
        <v>5.25</v>
      </c>
      <c r="E2781" s="18">
        <v>787.5</v>
      </c>
      <c r="F2781" t="s">
        <v>889</v>
      </c>
      <c r="G2781" t="s">
        <v>3478</v>
      </c>
      <c r="I2781"/>
      <c r="J2781"/>
      <c r="L2781"/>
      <c r="M2781"/>
      <c r="O2781"/>
      <c r="P2781" s="20"/>
      <c r="Q2781" s="20"/>
      <c r="R2781" s="20"/>
      <c r="S2781" s="20"/>
      <c r="T2781" s="20"/>
      <c r="U2781" t="s">
        <v>401</v>
      </c>
    </row>
    <row r="2782" spans="1:21" x14ac:dyDescent="0.25">
      <c r="B2782">
        <v>218</v>
      </c>
      <c r="C2782" t="s">
        <v>3504</v>
      </c>
      <c r="E2782" s="18">
        <v>-500</v>
      </c>
      <c r="F2782" t="s">
        <v>891</v>
      </c>
      <c r="I2782"/>
      <c r="J2782"/>
      <c r="L2782"/>
      <c r="M2782"/>
      <c r="O2782"/>
      <c r="P2782" s="20"/>
      <c r="Q2782" s="20"/>
      <c r="R2782" s="20"/>
      <c r="S2782" s="20"/>
      <c r="T2782" s="20"/>
      <c r="U2782" t="s">
        <v>401</v>
      </c>
    </row>
    <row r="2783" spans="1:21" x14ac:dyDescent="0.25">
      <c r="A2783" s="3">
        <v>41823</v>
      </c>
      <c r="B2783" s="36">
        <v>219</v>
      </c>
      <c r="C2783" t="s">
        <v>2047</v>
      </c>
      <c r="D2783">
        <v>2</v>
      </c>
      <c r="E2783" s="18">
        <v>-200</v>
      </c>
      <c r="G2783" t="s">
        <v>442</v>
      </c>
      <c r="H2783" s="18" t="s">
        <v>442</v>
      </c>
      <c r="I2783" s="3" t="s">
        <v>442</v>
      </c>
      <c r="J2783"/>
      <c r="L2783"/>
      <c r="M2783"/>
      <c r="N2783" s="20"/>
      <c r="O2783" t="s">
        <v>2047</v>
      </c>
      <c r="P2783" s="20"/>
      <c r="Q2783" s="20"/>
      <c r="R2783" s="20" t="s">
        <v>401</v>
      </c>
      <c r="S2783" s="20"/>
      <c r="T2783" s="20"/>
    </row>
    <row r="2784" spans="1:21" x14ac:dyDescent="0.25">
      <c r="A2784" s="3">
        <v>41823</v>
      </c>
      <c r="B2784" s="36">
        <v>219</v>
      </c>
      <c r="C2784" t="s">
        <v>3505</v>
      </c>
      <c r="D2784">
        <v>5.61</v>
      </c>
      <c r="E2784" s="18">
        <v>561</v>
      </c>
      <c r="G2784" t="s">
        <v>3506</v>
      </c>
      <c r="H2784" s="18">
        <v>561</v>
      </c>
      <c r="I2784" s="3">
        <v>41823</v>
      </c>
      <c r="J2784"/>
      <c r="L2784"/>
      <c r="M2784"/>
      <c r="N2784" s="20"/>
      <c r="O2784" t="s">
        <v>1009</v>
      </c>
      <c r="P2784" s="20"/>
      <c r="Q2784" s="20"/>
      <c r="R2784" s="20"/>
      <c r="S2784" s="20"/>
      <c r="T2784" s="20"/>
    </row>
    <row r="2785" spans="1:20" x14ac:dyDescent="0.25">
      <c r="A2785" s="3">
        <v>41823</v>
      </c>
      <c r="B2785" s="36">
        <v>219</v>
      </c>
      <c r="C2785" t="s">
        <v>1999</v>
      </c>
      <c r="E2785" s="18">
        <v>-285.71428571428572</v>
      </c>
      <c r="G2785" t="s">
        <v>442</v>
      </c>
      <c r="H2785" s="18" t="s">
        <v>442</v>
      </c>
      <c r="I2785" s="3" t="s">
        <v>442</v>
      </c>
      <c r="J2785"/>
      <c r="L2785"/>
      <c r="M2785"/>
      <c r="N2785" s="20"/>
      <c r="O2785" t="s">
        <v>2000</v>
      </c>
      <c r="P2785" s="20"/>
      <c r="Q2785" s="20" t="s">
        <v>401</v>
      </c>
      <c r="R2785" s="20"/>
      <c r="S2785" s="20"/>
      <c r="T2785" s="20"/>
    </row>
    <row r="2786" spans="1:20" x14ac:dyDescent="0.25">
      <c r="A2786" s="3">
        <v>41823</v>
      </c>
      <c r="B2786" s="36">
        <v>219</v>
      </c>
      <c r="C2786" t="s">
        <v>3507</v>
      </c>
      <c r="E2786" s="18">
        <v>-28.571428571428573</v>
      </c>
      <c r="G2786" t="s">
        <v>442</v>
      </c>
      <c r="H2786" s="18" t="s">
        <v>442</v>
      </c>
      <c r="I2786" s="3" t="s">
        <v>442</v>
      </c>
      <c r="J2786"/>
      <c r="L2786"/>
      <c r="M2786"/>
      <c r="N2786" s="20"/>
      <c r="O2786" t="s">
        <v>3508</v>
      </c>
      <c r="P2786" s="20"/>
      <c r="Q2786" s="20" t="s">
        <v>401</v>
      </c>
      <c r="R2786" s="20"/>
      <c r="S2786" s="20"/>
      <c r="T2786" s="20"/>
    </row>
    <row r="2787" spans="1:20" x14ac:dyDescent="0.25">
      <c r="A2787" s="3">
        <v>41851</v>
      </c>
      <c r="B2787" s="36">
        <v>219</v>
      </c>
      <c r="C2787" t="s">
        <v>3509</v>
      </c>
      <c r="D2787">
        <v>5.61</v>
      </c>
      <c r="E2787" s="18">
        <v>561</v>
      </c>
      <c r="F2787" t="s">
        <v>889</v>
      </c>
      <c r="G2787" t="s">
        <v>3510</v>
      </c>
      <c r="H2787" s="18">
        <v>561</v>
      </c>
      <c r="I2787" s="3">
        <v>41851</v>
      </c>
      <c r="J2787"/>
      <c r="L2787"/>
      <c r="M2787"/>
      <c r="N2787" s="20"/>
      <c r="O2787" t="s">
        <v>931</v>
      </c>
      <c r="P2787" s="20"/>
      <c r="Q2787" s="20"/>
      <c r="R2787" s="20"/>
      <c r="S2787" s="20"/>
      <c r="T2787" s="20"/>
    </row>
    <row r="2788" spans="1:20" x14ac:dyDescent="0.25">
      <c r="A2788" s="3">
        <v>41985</v>
      </c>
      <c r="B2788" s="36">
        <v>219</v>
      </c>
      <c r="C2788" t="s">
        <v>3505</v>
      </c>
      <c r="D2788">
        <v>5.61</v>
      </c>
      <c r="E2788" s="18">
        <v>561</v>
      </c>
      <c r="F2788" t="s">
        <v>889</v>
      </c>
      <c r="G2788" t="s">
        <v>3506</v>
      </c>
      <c r="H2788" s="18">
        <v>561</v>
      </c>
      <c r="I2788" s="3">
        <v>41985</v>
      </c>
      <c r="J2788"/>
      <c r="L2788"/>
      <c r="M2788"/>
      <c r="N2788" s="20"/>
      <c r="O2788" t="s">
        <v>959</v>
      </c>
      <c r="P2788" s="20"/>
      <c r="Q2788" s="20"/>
      <c r="R2788" s="20"/>
      <c r="S2788" s="20"/>
      <c r="T2788" s="20"/>
    </row>
    <row r="2789" spans="1:20" x14ac:dyDescent="0.25">
      <c r="A2789" s="3">
        <v>42004</v>
      </c>
      <c r="B2789" s="36">
        <v>219</v>
      </c>
      <c r="C2789" t="s">
        <v>3509</v>
      </c>
      <c r="D2789">
        <v>5.61</v>
      </c>
      <c r="E2789" s="18">
        <v>187</v>
      </c>
      <c r="F2789" t="s">
        <v>889</v>
      </c>
      <c r="G2789" t="s">
        <v>3510</v>
      </c>
      <c r="H2789" s="18">
        <v>187</v>
      </c>
      <c r="I2789" s="3">
        <v>42004</v>
      </c>
      <c r="J2789"/>
      <c r="L2789"/>
      <c r="M2789"/>
      <c r="N2789" s="20"/>
      <c r="O2789"/>
      <c r="P2789" s="20"/>
      <c r="Q2789" s="20"/>
      <c r="R2789" s="20"/>
      <c r="S2789" s="20"/>
      <c r="T2789" s="20"/>
    </row>
    <row r="2790" spans="1:20" x14ac:dyDescent="0.25">
      <c r="A2790" s="3">
        <v>42041</v>
      </c>
      <c r="B2790">
        <v>219</v>
      </c>
      <c r="C2790" t="s">
        <v>3509</v>
      </c>
      <c r="E2790" s="18">
        <v>187</v>
      </c>
      <c r="F2790" t="s">
        <v>889</v>
      </c>
      <c r="G2790" t="s">
        <v>3510</v>
      </c>
      <c r="I2790"/>
      <c r="J2790"/>
      <c r="L2790"/>
      <c r="M2790"/>
      <c r="O2790"/>
      <c r="P2790" s="20"/>
      <c r="Q2790" s="20"/>
      <c r="R2790" s="20"/>
      <c r="S2790" s="20"/>
      <c r="T2790" s="20"/>
    </row>
    <row r="2791" spans="1:20" x14ac:dyDescent="0.25">
      <c r="A2791" s="3">
        <v>42041</v>
      </c>
      <c r="B2791">
        <v>222</v>
      </c>
      <c r="C2791" t="s">
        <v>3511</v>
      </c>
      <c r="D2791">
        <v>8.16</v>
      </c>
      <c r="E2791" s="18">
        <v>-816</v>
      </c>
      <c r="F2791" t="s">
        <v>889</v>
      </c>
      <c r="G2791" t="s">
        <v>3512</v>
      </c>
      <c r="I2791"/>
      <c r="J2791"/>
      <c r="L2791"/>
      <c r="M2791"/>
      <c r="O2791"/>
      <c r="P2791" s="20"/>
      <c r="Q2791" s="20"/>
      <c r="R2791" s="20"/>
      <c r="S2791" s="20"/>
      <c r="T2791" s="20"/>
    </row>
    <row r="2792" spans="1:20" x14ac:dyDescent="0.25">
      <c r="A2792" s="3">
        <v>42041</v>
      </c>
      <c r="B2792">
        <v>222</v>
      </c>
      <c r="C2792" t="s">
        <v>544</v>
      </c>
      <c r="D2792">
        <v>5.25</v>
      </c>
      <c r="E2792" s="18">
        <v>262.5</v>
      </c>
      <c r="F2792" t="s">
        <v>889</v>
      </c>
      <c r="G2792" t="s">
        <v>545</v>
      </c>
      <c r="I2792"/>
      <c r="J2792"/>
      <c r="L2792"/>
      <c r="M2792"/>
      <c r="O2792"/>
      <c r="P2792" s="20"/>
      <c r="Q2792" s="20"/>
      <c r="R2792" s="20"/>
      <c r="S2792" s="20"/>
      <c r="T2792" s="20"/>
    </row>
    <row r="2793" spans="1:20" x14ac:dyDescent="0.25">
      <c r="A2793" s="3">
        <v>42041</v>
      </c>
      <c r="B2793">
        <v>222</v>
      </c>
      <c r="C2793" t="s">
        <v>3513</v>
      </c>
      <c r="E2793" s="18">
        <v>1000</v>
      </c>
      <c r="F2793" t="s">
        <v>889</v>
      </c>
      <c r="I2793"/>
      <c r="J2793"/>
      <c r="L2793"/>
      <c r="M2793"/>
      <c r="O2793"/>
      <c r="P2793" s="20"/>
      <c r="Q2793" s="20"/>
      <c r="R2793" s="20"/>
      <c r="S2793" s="20"/>
      <c r="T2793" s="20" t="s">
        <v>401</v>
      </c>
    </row>
    <row r="2794" spans="1:20" x14ac:dyDescent="0.25">
      <c r="A2794" s="3">
        <v>42041</v>
      </c>
      <c r="B2794">
        <v>222</v>
      </c>
      <c r="C2794" t="s">
        <v>862</v>
      </c>
      <c r="D2794">
        <v>5.75</v>
      </c>
      <c r="E2794" s="18">
        <v>1322.5</v>
      </c>
      <c r="F2794" t="s">
        <v>889</v>
      </c>
      <c r="G2794" t="s">
        <v>863</v>
      </c>
      <c r="I2794"/>
      <c r="J2794"/>
      <c r="L2794"/>
      <c r="M2794"/>
      <c r="O2794"/>
      <c r="P2794" s="20"/>
      <c r="Q2794" s="20"/>
      <c r="R2794" s="20"/>
      <c r="S2794" s="20"/>
      <c r="T2794" s="20"/>
    </row>
    <row r="2795" spans="1:20" x14ac:dyDescent="0.25">
      <c r="A2795" s="3">
        <v>42041</v>
      </c>
      <c r="B2795">
        <v>222</v>
      </c>
      <c r="C2795" t="s">
        <v>3514</v>
      </c>
      <c r="E2795" s="18">
        <v>-634</v>
      </c>
      <c r="F2795" t="s">
        <v>891</v>
      </c>
      <c r="I2795"/>
      <c r="J2795"/>
      <c r="L2795"/>
      <c r="M2795"/>
      <c r="O2795"/>
      <c r="P2795" s="20" t="s">
        <v>401</v>
      </c>
      <c r="Q2795" s="20"/>
      <c r="R2795" s="20"/>
      <c r="S2795" s="20"/>
      <c r="T2795" s="20"/>
    </row>
    <row r="2796" spans="1:20" x14ac:dyDescent="0.25">
      <c r="A2796" s="3">
        <v>42041</v>
      </c>
      <c r="B2796">
        <v>222</v>
      </c>
      <c r="C2796" t="s">
        <v>3515</v>
      </c>
      <c r="E2796" s="18">
        <v>449.28</v>
      </c>
      <c r="F2796" t="s">
        <v>891</v>
      </c>
      <c r="I2796"/>
      <c r="J2796"/>
      <c r="L2796"/>
      <c r="M2796"/>
      <c r="O2796"/>
      <c r="P2796" s="20" t="s">
        <v>401</v>
      </c>
      <c r="Q2796" s="20"/>
      <c r="R2796" s="20"/>
      <c r="S2796" s="20"/>
      <c r="T2796" s="20"/>
    </row>
    <row r="2797" spans="1:20" x14ac:dyDescent="0.25">
      <c r="A2797" s="3">
        <v>41810</v>
      </c>
      <c r="B2797" s="36">
        <v>223</v>
      </c>
      <c r="C2797" t="s">
        <v>3516</v>
      </c>
      <c r="E2797" s="18">
        <v>250</v>
      </c>
      <c r="G2797" t="s">
        <v>442</v>
      </c>
      <c r="H2797" s="18" t="s">
        <v>442</v>
      </c>
      <c r="I2797" s="3" t="s">
        <v>442</v>
      </c>
      <c r="J2797"/>
      <c r="L2797"/>
      <c r="M2797"/>
      <c r="N2797" s="20"/>
      <c r="O2797"/>
      <c r="P2797" s="20"/>
      <c r="Q2797" s="20"/>
      <c r="R2797" s="20"/>
      <c r="S2797" s="20"/>
      <c r="T2797" s="20" t="s">
        <v>401</v>
      </c>
    </row>
    <row r="2798" spans="1:20" x14ac:dyDescent="0.25">
      <c r="A2798" s="46">
        <v>41824</v>
      </c>
      <c r="B2798" s="36">
        <v>223</v>
      </c>
      <c r="C2798" s="47" t="s">
        <v>1313</v>
      </c>
      <c r="D2798" s="47"/>
      <c r="E2798" s="48">
        <v>650</v>
      </c>
      <c r="F2798" s="47"/>
      <c r="G2798" s="20"/>
      <c r="H2798" s="18" t="s">
        <v>442</v>
      </c>
      <c r="I2798" s="3" t="s">
        <v>442</v>
      </c>
      <c r="J2798" s="20"/>
      <c r="K2798" s="20"/>
      <c r="L2798" s="20"/>
      <c r="M2798" s="20"/>
      <c r="N2798" s="20"/>
      <c r="O2798" s="47"/>
      <c r="P2798" s="20"/>
      <c r="Q2798" s="20"/>
      <c r="R2798" s="20"/>
      <c r="S2798" s="20" t="s">
        <v>401</v>
      </c>
      <c r="T2798" s="20"/>
    </row>
    <row r="2799" spans="1:20" x14ac:dyDescent="0.25">
      <c r="A2799" s="3">
        <v>41831</v>
      </c>
      <c r="B2799" s="36">
        <v>223</v>
      </c>
      <c r="C2799" t="s">
        <v>3517</v>
      </c>
      <c r="D2799">
        <v>14.25</v>
      </c>
      <c r="E2799" s="18">
        <v>1425</v>
      </c>
      <c r="G2799" t="s">
        <v>3518</v>
      </c>
      <c r="H2799" s="18">
        <v>1425</v>
      </c>
      <c r="I2799" s="3">
        <v>41831</v>
      </c>
      <c r="J2799"/>
      <c r="L2799"/>
      <c r="M2799"/>
      <c r="N2799" s="20"/>
      <c r="O2799" t="s">
        <v>931</v>
      </c>
      <c r="P2799" s="20"/>
      <c r="Q2799" s="20"/>
      <c r="R2799" s="20"/>
      <c r="S2799" s="20"/>
      <c r="T2799" s="20"/>
    </row>
    <row r="2800" spans="1:20" x14ac:dyDescent="0.25">
      <c r="A2800" s="3">
        <v>41831</v>
      </c>
      <c r="B2800" s="36">
        <v>223</v>
      </c>
      <c r="C2800" t="s">
        <v>3432</v>
      </c>
      <c r="E2800" s="18">
        <v>-326.24716669999998</v>
      </c>
      <c r="G2800" t="s">
        <v>442</v>
      </c>
      <c r="H2800" s="18" t="s">
        <v>442</v>
      </c>
      <c r="I2800" s="3" t="s">
        <v>442</v>
      </c>
      <c r="J2800"/>
      <c r="L2800"/>
      <c r="M2800"/>
      <c r="N2800" s="20"/>
      <c r="O2800" t="s">
        <v>3519</v>
      </c>
      <c r="P2800" s="20"/>
      <c r="Q2800" s="20" t="s">
        <v>401</v>
      </c>
      <c r="R2800" s="20"/>
      <c r="S2800" s="20"/>
      <c r="T2800" s="20"/>
    </row>
    <row r="2801" spans="1:21" x14ac:dyDescent="0.25">
      <c r="A2801" s="3">
        <v>41831</v>
      </c>
      <c r="B2801" s="36">
        <v>223</v>
      </c>
      <c r="C2801" t="s">
        <v>3432</v>
      </c>
      <c r="E2801" s="18">
        <v>-266.92950000000002</v>
      </c>
      <c r="G2801" t="s">
        <v>442</v>
      </c>
      <c r="H2801" s="18" t="s">
        <v>442</v>
      </c>
      <c r="I2801" s="3" t="s">
        <v>442</v>
      </c>
      <c r="J2801"/>
      <c r="L2801"/>
      <c r="M2801"/>
      <c r="N2801" s="20"/>
      <c r="O2801" t="s">
        <v>2654</v>
      </c>
      <c r="P2801" s="20"/>
      <c r="Q2801" s="20" t="s">
        <v>401</v>
      </c>
      <c r="R2801" s="20"/>
      <c r="S2801" s="20"/>
      <c r="T2801" s="20"/>
    </row>
    <row r="2802" spans="1:21" x14ac:dyDescent="0.25">
      <c r="A2802" s="3">
        <v>41831</v>
      </c>
      <c r="B2802" s="36">
        <v>223</v>
      </c>
      <c r="C2802" t="s">
        <v>3432</v>
      </c>
      <c r="E2802" s="18">
        <v>-200.91467739999999</v>
      </c>
      <c r="G2802" t="s">
        <v>442</v>
      </c>
      <c r="H2802" s="18" t="s">
        <v>442</v>
      </c>
      <c r="I2802" s="3" t="s">
        <v>442</v>
      </c>
      <c r="J2802"/>
      <c r="L2802"/>
      <c r="M2802"/>
      <c r="N2802" s="20"/>
      <c r="O2802" t="s">
        <v>1090</v>
      </c>
      <c r="P2802" s="20"/>
      <c r="Q2802" s="20" t="s">
        <v>401</v>
      </c>
      <c r="R2802" s="20"/>
      <c r="S2802" s="20"/>
      <c r="T2802" s="20"/>
    </row>
    <row r="2803" spans="1:21" x14ac:dyDescent="0.25">
      <c r="A2803" s="3">
        <v>41838</v>
      </c>
      <c r="B2803" s="36">
        <v>223</v>
      </c>
      <c r="C2803" t="s">
        <v>3520</v>
      </c>
      <c r="D2803">
        <v>5.25</v>
      </c>
      <c r="E2803" s="18">
        <v>525</v>
      </c>
      <c r="G2803" t="s">
        <v>3521</v>
      </c>
      <c r="H2803" s="18">
        <v>525</v>
      </c>
      <c r="I2803" s="3">
        <v>41838</v>
      </c>
      <c r="J2803"/>
      <c r="L2803"/>
      <c r="M2803"/>
      <c r="N2803" s="20"/>
      <c r="O2803" t="s">
        <v>905</v>
      </c>
      <c r="P2803" s="20"/>
      <c r="Q2803" s="20"/>
      <c r="R2803" s="20"/>
      <c r="S2803" s="20"/>
      <c r="T2803" s="20"/>
    </row>
    <row r="2804" spans="1:21" x14ac:dyDescent="0.25">
      <c r="A2804" s="3">
        <v>41838</v>
      </c>
      <c r="B2804" s="36">
        <v>223</v>
      </c>
      <c r="C2804" t="s">
        <v>1482</v>
      </c>
      <c r="E2804" s="18">
        <v>-25</v>
      </c>
      <c r="G2804" t="s">
        <v>442</v>
      </c>
      <c r="H2804" s="18" t="s">
        <v>442</v>
      </c>
      <c r="I2804" s="3" t="s">
        <v>442</v>
      </c>
      <c r="J2804"/>
      <c r="L2804"/>
      <c r="M2804"/>
      <c r="N2804" s="20"/>
      <c r="O2804" t="s">
        <v>1219</v>
      </c>
      <c r="P2804" s="20"/>
      <c r="Q2804" s="20" t="s">
        <v>401</v>
      </c>
      <c r="R2804" s="20"/>
      <c r="S2804" s="20"/>
      <c r="T2804" s="20"/>
    </row>
    <row r="2805" spans="1:21" x14ac:dyDescent="0.25">
      <c r="A2805" s="3">
        <v>41851</v>
      </c>
      <c r="B2805" s="36">
        <v>223</v>
      </c>
      <c r="C2805" t="s">
        <v>1482</v>
      </c>
      <c r="E2805" s="18">
        <v>-175.91</v>
      </c>
      <c r="G2805" t="s">
        <v>442</v>
      </c>
      <c r="H2805" s="18" t="s">
        <v>442</v>
      </c>
      <c r="I2805" s="3" t="s">
        <v>442</v>
      </c>
      <c r="J2805"/>
      <c r="L2805"/>
      <c r="M2805"/>
      <c r="N2805" s="20"/>
      <c r="O2805" t="s">
        <v>1219</v>
      </c>
      <c r="P2805" s="20"/>
      <c r="Q2805" s="20" t="s">
        <v>401</v>
      </c>
      <c r="R2805" s="20"/>
      <c r="S2805" s="20"/>
      <c r="T2805" s="20"/>
    </row>
    <row r="2806" spans="1:21" x14ac:dyDescent="0.25">
      <c r="A2806" s="3">
        <v>41851</v>
      </c>
      <c r="B2806" s="36">
        <v>223</v>
      </c>
      <c r="C2806" t="s">
        <v>1483</v>
      </c>
      <c r="E2806" s="18">
        <v>-200.91</v>
      </c>
      <c r="G2806" t="s">
        <v>442</v>
      </c>
      <c r="H2806" s="18" t="s">
        <v>442</v>
      </c>
      <c r="I2806" s="3" t="s">
        <v>442</v>
      </c>
      <c r="J2806"/>
      <c r="L2806"/>
      <c r="M2806"/>
      <c r="N2806" s="20"/>
      <c r="O2806" t="s">
        <v>1228</v>
      </c>
      <c r="P2806" s="20"/>
      <c r="Q2806" s="20" t="s">
        <v>401</v>
      </c>
      <c r="R2806" s="20"/>
      <c r="S2806" s="20"/>
      <c r="T2806" s="20"/>
    </row>
    <row r="2807" spans="1:21" x14ac:dyDescent="0.25">
      <c r="A2807" s="3">
        <v>41851</v>
      </c>
      <c r="B2807" s="36">
        <v>223</v>
      </c>
      <c r="C2807" t="s">
        <v>3522</v>
      </c>
      <c r="D2807">
        <v>6.75</v>
      </c>
      <c r="E2807" s="18">
        <v>675</v>
      </c>
      <c r="F2807" t="s">
        <v>889</v>
      </c>
      <c r="G2807" t="s">
        <v>3523</v>
      </c>
      <c r="H2807" s="18">
        <v>675</v>
      </c>
      <c r="I2807" s="3">
        <v>41851</v>
      </c>
      <c r="J2807"/>
      <c r="L2807"/>
      <c r="M2807"/>
      <c r="N2807" s="20"/>
      <c r="O2807" t="s">
        <v>931</v>
      </c>
      <c r="P2807" s="20"/>
      <c r="Q2807" s="20"/>
      <c r="R2807" s="20"/>
      <c r="S2807" s="20"/>
      <c r="T2807" s="20"/>
    </row>
    <row r="2808" spans="1:21" x14ac:dyDescent="0.25">
      <c r="A2808" s="3">
        <v>41886</v>
      </c>
      <c r="B2808" s="36">
        <v>223</v>
      </c>
      <c r="C2808" t="s">
        <v>3524</v>
      </c>
      <c r="D2808">
        <v>9.4350000000000005</v>
      </c>
      <c r="E2808" s="18">
        <v>943.5</v>
      </c>
      <c r="F2808" t="s">
        <v>889</v>
      </c>
      <c r="G2808" t="s">
        <v>3525</v>
      </c>
      <c r="H2808" s="18">
        <v>943.5</v>
      </c>
      <c r="I2808" s="3">
        <v>41886</v>
      </c>
      <c r="J2808"/>
      <c r="L2808"/>
      <c r="M2808"/>
      <c r="N2808" s="20"/>
      <c r="O2808"/>
      <c r="P2808" s="20"/>
      <c r="Q2808" s="20"/>
      <c r="R2808" s="20"/>
      <c r="S2808" s="20"/>
      <c r="T2808" s="20"/>
    </row>
    <row r="2809" spans="1:21" x14ac:dyDescent="0.25">
      <c r="A2809" s="3">
        <v>41886</v>
      </c>
      <c r="B2809" s="36">
        <v>223</v>
      </c>
      <c r="C2809" t="s">
        <v>3517</v>
      </c>
      <c r="D2809">
        <v>14.75</v>
      </c>
      <c r="E2809" s="18">
        <v>-1425</v>
      </c>
      <c r="F2809" t="s">
        <v>889</v>
      </c>
      <c r="G2809" t="s">
        <v>3518</v>
      </c>
      <c r="H2809" s="18" t="s">
        <v>442</v>
      </c>
      <c r="I2809" s="3" t="s">
        <v>442</v>
      </c>
      <c r="J2809"/>
      <c r="L2809"/>
      <c r="M2809"/>
      <c r="N2809" s="20"/>
      <c r="O2809"/>
      <c r="P2809" s="20"/>
      <c r="Q2809" s="20"/>
      <c r="R2809" s="20"/>
      <c r="S2809" s="20"/>
      <c r="T2809" s="20"/>
    </row>
    <row r="2810" spans="1:21" x14ac:dyDescent="0.25">
      <c r="A2810" s="3">
        <v>41886</v>
      </c>
      <c r="B2810" s="36">
        <v>223</v>
      </c>
      <c r="C2810" t="s">
        <v>3526</v>
      </c>
      <c r="D2810">
        <v>8.75</v>
      </c>
      <c r="E2810" s="18">
        <v>875</v>
      </c>
      <c r="F2810" t="s">
        <v>889</v>
      </c>
      <c r="G2810" t="s">
        <v>3527</v>
      </c>
      <c r="H2810" s="18">
        <v>875</v>
      </c>
      <c r="I2810" s="3">
        <v>41886</v>
      </c>
      <c r="J2810"/>
      <c r="L2810"/>
      <c r="M2810"/>
      <c r="N2810" s="20"/>
      <c r="O2810"/>
      <c r="P2810" s="20"/>
      <c r="Q2810" s="20"/>
      <c r="R2810" s="20"/>
      <c r="S2810" s="20"/>
      <c r="T2810" s="20"/>
    </row>
    <row r="2811" spans="1:21" x14ac:dyDescent="0.25">
      <c r="B2811">
        <v>223</v>
      </c>
      <c r="C2811" t="s">
        <v>3520</v>
      </c>
      <c r="D2811">
        <v>5.25</v>
      </c>
      <c r="E2811" s="18">
        <v>-525</v>
      </c>
      <c r="F2811" t="s">
        <v>889</v>
      </c>
      <c r="G2811" t="s">
        <v>3521</v>
      </c>
      <c r="I2811"/>
      <c r="J2811"/>
      <c r="L2811"/>
      <c r="M2811"/>
      <c r="O2811"/>
      <c r="P2811" s="20"/>
      <c r="Q2811" s="20"/>
      <c r="R2811" s="20"/>
      <c r="S2811" s="20"/>
      <c r="T2811" s="20"/>
      <c r="U2811" t="s">
        <v>401</v>
      </c>
    </row>
    <row r="2812" spans="1:21" x14ac:dyDescent="0.25">
      <c r="B2812">
        <v>223</v>
      </c>
      <c r="C2812" t="s">
        <v>3516</v>
      </c>
      <c r="E2812" s="18">
        <v>-250</v>
      </c>
      <c r="G2812" t="s">
        <v>442</v>
      </c>
      <c r="I2812"/>
      <c r="J2812"/>
      <c r="L2812"/>
      <c r="M2812"/>
      <c r="O2812"/>
      <c r="P2812" s="20"/>
      <c r="Q2812" s="20"/>
      <c r="R2812" s="20"/>
      <c r="S2812" s="20"/>
      <c r="T2812" s="20"/>
      <c r="U2812" t="s">
        <v>401</v>
      </c>
    </row>
    <row r="2813" spans="1:21" x14ac:dyDescent="0.25">
      <c r="A2813" s="3">
        <v>41838</v>
      </c>
      <c r="B2813" s="36">
        <v>224</v>
      </c>
      <c r="C2813" t="s">
        <v>3528</v>
      </c>
      <c r="D2813">
        <v>7.25</v>
      </c>
      <c r="E2813" s="18">
        <v>725</v>
      </c>
      <c r="G2813" t="s">
        <v>3529</v>
      </c>
      <c r="H2813" s="18">
        <v>725</v>
      </c>
      <c r="I2813" s="3">
        <v>41838</v>
      </c>
      <c r="J2813"/>
      <c r="L2813"/>
      <c r="M2813"/>
      <c r="N2813" s="20"/>
      <c r="O2813" t="s">
        <v>931</v>
      </c>
      <c r="P2813" s="20"/>
      <c r="Q2813" s="20"/>
      <c r="R2813" s="20"/>
      <c r="S2813" s="20"/>
      <c r="T2813" s="20"/>
    </row>
    <row r="2814" spans="1:21" x14ac:dyDescent="0.25">
      <c r="A2814" s="3">
        <v>41838</v>
      </c>
      <c r="B2814" s="36">
        <v>224</v>
      </c>
      <c r="C2814" t="s">
        <v>1482</v>
      </c>
      <c r="E2814" s="18">
        <v>-206.75572579999999</v>
      </c>
      <c r="G2814" t="s">
        <v>442</v>
      </c>
      <c r="H2814" s="18" t="s">
        <v>442</v>
      </c>
      <c r="I2814" s="3" t="s">
        <v>442</v>
      </c>
      <c r="J2814"/>
      <c r="L2814"/>
      <c r="M2814"/>
      <c r="N2814" s="20"/>
      <c r="O2814" t="s">
        <v>1219</v>
      </c>
      <c r="P2814" s="20"/>
      <c r="Q2814" s="20" t="s">
        <v>401</v>
      </c>
      <c r="R2814" s="20"/>
      <c r="S2814" s="20"/>
      <c r="T2814" s="20"/>
    </row>
    <row r="2815" spans="1:21" x14ac:dyDescent="0.25">
      <c r="A2815" s="3">
        <v>41853</v>
      </c>
      <c r="B2815" s="36">
        <v>224</v>
      </c>
      <c r="C2815" t="s">
        <v>3530</v>
      </c>
      <c r="D2815">
        <v>7.5</v>
      </c>
      <c r="E2815" s="18">
        <v>750</v>
      </c>
      <c r="F2815" t="s">
        <v>889</v>
      </c>
      <c r="G2815" t="s">
        <v>3531</v>
      </c>
      <c r="H2815" s="18">
        <v>750</v>
      </c>
      <c r="I2815" s="3">
        <v>41853</v>
      </c>
      <c r="J2815"/>
      <c r="L2815"/>
      <c r="M2815"/>
      <c r="N2815" s="20"/>
      <c r="O2815" t="s">
        <v>931</v>
      </c>
      <c r="P2815" s="20"/>
      <c r="Q2815" s="20"/>
      <c r="R2815" s="20"/>
      <c r="S2815" s="20"/>
      <c r="T2815" s="20"/>
    </row>
    <row r="2816" spans="1:21" x14ac:dyDescent="0.25">
      <c r="A2816" s="3">
        <v>41858</v>
      </c>
      <c r="B2816" s="36">
        <v>224</v>
      </c>
      <c r="C2816" t="s">
        <v>3532</v>
      </c>
      <c r="E2816" s="18">
        <v>500</v>
      </c>
      <c r="F2816" t="s">
        <v>889</v>
      </c>
      <c r="G2816" t="s">
        <v>442</v>
      </c>
      <c r="H2816" s="18" t="s">
        <v>442</v>
      </c>
      <c r="I2816" s="3" t="s">
        <v>442</v>
      </c>
      <c r="J2816"/>
      <c r="L2816"/>
      <c r="M2816"/>
      <c r="N2816" s="20"/>
      <c r="O2816"/>
      <c r="P2816" s="20"/>
      <c r="Q2816" s="20"/>
      <c r="R2816" s="20"/>
      <c r="S2816" s="20"/>
      <c r="T2816" s="20" t="s">
        <v>401</v>
      </c>
    </row>
    <row r="2817" spans="1:21" x14ac:dyDescent="0.25">
      <c r="A2817" s="3">
        <v>41873</v>
      </c>
      <c r="B2817" s="36">
        <v>224</v>
      </c>
      <c r="C2817" t="s">
        <v>3533</v>
      </c>
      <c r="D2817">
        <v>4</v>
      </c>
      <c r="E2817" s="18">
        <v>400</v>
      </c>
      <c r="F2817" t="s">
        <v>889</v>
      </c>
      <c r="G2817" t="s">
        <v>3534</v>
      </c>
      <c r="H2817" s="18">
        <v>400</v>
      </c>
      <c r="I2817" s="3">
        <v>41873</v>
      </c>
      <c r="J2817"/>
      <c r="L2817"/>
      <c r="M2817"/>
      <c r="N2817" s="20"/>
      <c r="O2817"/>
      <c r="P2817" s="20"/>
      <c r="Q2817" s="20"/>
      <c r="R2817" s="20"/>
      <c r="S2817" s="20"/>
      <c r="T2817" s="20"/>
    </row>
    <row r="2818" spans="1:21" x14ac:dyDescent="0.25">
      <c r="A2818" s="3">
        <v>41879</v>
      </c>
      <c r="B2818" s="36">
        <v>224</v>
      </c>
      <c r="C2818" t="s">
        <v>3535</v>
      </c>
      <c r="E2818" s="18">
        <v>500</v>
      </c>
      <c r="G2818" t="s">
        <v>442</v>
      </c>
      <c r="H2818" s="18" t="s">
        <v>442</v>
      </c>
      <c r="I2818" s="3" t="s">
        <v>442</v>
      </c>
      <c r="J2818"/>
      <c r="L2818"/>
      <c r="M2818"/>
      <c r="N2818" s="20"/>
      <c r="O2818"/>
      <c r="P2818" s="20"/>
      <c r="Q2818" s="20"/>
      <c r="R2818" s="20"/>
      <c r="S2818" s="20"/>
      <c r="T2818" s="20" t="s">
        <v>401</v>
      </c>
    </row>
    <row r="2819" spans="1:21" x14ac:dyDescent="0.25">
      <c r="B2819">
        <v>224</v>
      </c>
      <c r="C2819" t="s">
        <v>3535</v>
      </c>
      <c r="E2819" s="18">
        <v>-500</v>
      </c>
      <c r="F2819" t="s">
        <v>889</v>
      </c>
      <c r="G2819" t="s">
        <v>442</v>
      </c>
      <c r="I2819"/>
      <c r="J2819"/>
      <c r="L2819"/>
      <c r="M2819"/>
      <c r="O2819"/>
      <c r="P2819" s="20"/>
      <c r="Q2819" s="20"/>
      <c r="R2819" s="20"/>
      <c r="S2819" s="20"/>
      <c r="T2819" s="20"/>
      <c r="U2819" t="s">
        <v>401</v>
      </c>
    </row>
    <row r="2820" spans="1:21" x14ac:dyDescent="0.25">
      <c r="B2820">
        <v>224</v>
      </c>
      <c r="C2820" t="s">
        <v>3532</v>
      </c>
      <c r="E2820" s="18">
        <v>-500</v>
      </c>
      <c r="F2820" t="s">
        <v>889</v>
      </c>
      <c r="G2820" t="s">
        <v>442</v>
      </c>
      <c r="I2820"/>
      <c r="J2820"/>
      <c r="L2820"/>
      <c r="M2820"/>
      <c r="O2820"/>
      <c r="P2820" s="20"/>
      <c r="Q2820" s="20"/>
      <c r="R2820" s="20"/>
      <c r="S2820" s="20"/>
      <c r="T2820" s="20"/>
      <c r="U2820" t="s">
        <v>401</v>
      </c>
    </row>
    <row r="2821" spans="1:21" x14ac:dyDescent="0.25">
      <c r="B2821">
        <v>224</v>
      </c>
      <c r="C2821" t="s">
        <v>1480</v>
      </c>
      <c r="E2821" s="18">
        <v>-206.75572579999999</v>
      </c>
      <c r="F2821" t="s">
        <v>891</v>
      </c>
      <c r="G2821" t="s">
        <v>442</v>
      </c>
      <c r="I2821"/>
      <c r="J2821"/>
      <c r="L2821"/>
      <c r="M2821"/>
      <c r="O2821"/>
      <c r="P2821" s="20"/>
      <c r="Q2821" s="20"/>
      <c r="R2821" s="20"/>
      <c r="S2821" s="20"/>
      <c r="T2821" s="20"/>
      <c r="U2821" t="s">
        <v>401</v>
      </c>
    </row>
    <row r="2822" spans="1:21" x14ac:dyDescent="0.25">
      <c r="B2822">
        <v>224</v>
      </c>
      <c r="C2822" t="s">
        <v>1106</v>
      </c>
      <c r="E2822" s="18">
        <v>-206.75572579999999</v>
      </c>
      <c r="F2822" t="s">
        <v>891</v>
      </c>
      <c r="G2822" t="s">
        <v>442</v>
      </c>
      <c r="I2822"/>
      <c r="J2822"/>
      <c r="L2822"/>
      <c r="M2822"/>
      <c r="O2822"/>
      <c r="P2822" s="20"/>
      <c r="Q2822" s="20"/>
      <c r="R2822" s="20"/>
      <c r="S2822" s="20"/>
      <c r="T2822" s="20"/>
      <c r="U2822" t="s">
        <v>401</v>
      </c>
    </row>
    <row r="2823" spans="1:21" x14ac:dyDescent="0.25">
      <c r="B2823">
        <v>224</v>
      </c>
      <c r="C2823" t="s">
        <v>1269</v>
      </c>
      <c r="E2823" s="18">
        <v>-419.41875809999999</v>
      </c>
      <c r="F2823" t="s">
        <v>891</v>
      </c>
      <c r="G2823" t="s">
        <v>442</v>
      </c>
      <c r="I2823"/>
      <c r="J2823"/>
      <c r="L2823"/>
      <c r="M2823"/>
      <c r="O2823"/>
      <c r="P2823" s="20"/>
      <c r="Q2823" s="20"/>
      <c r="R2823" s="20"/>
      <c r="S2823" s="20"/>
      <c r="T2823" s="20"/>
      <c r="U2823" t="s">
        <v>401</v>
      </c>
    </row>
    <row r="2824" spans="1:21" x14ac:dyDescent="0.25">
      <c r="B2824">
        <v>224</v>
      </c>
      <c r="C2824" t="s">
        <v>1108</v>
      </c>
      <c r="E2824" s="18">
        <v>-206.75572579999999</v>
      </c>
      <c r="F2824" t="s">
        <v>891</v>
      </c>
      <c r="G2824" t="s">
        <v>442</v>
      </c>
      <c r="I2824"/>
      <c r="J2824"/>
      <c r="L2824"/>
      <c r="M2824"/>
      <c r="O2824"/>
      <c r="P2824" s="20"/>
      <c r="Q2824" s="20"/>
      <c r="R2824" s="20"/>
      <c r="S2824" s="20"/>
      <c r="T2824" s="20"/>
      <c r="U2824" t="s">
        <v>401</v>
      </c>
    </row>
    <row r="2825" spans="1:21" x14ac:dyDescent="0.25">
      <c r="B2825">
        <v>224</v>
      </c>
      <c r="C2825" t="s">
        <v>1483</v>
      </c>
      <c r="E2825" s="18">
        <v>-206.75572579999999</v>
      </c>
      <c r="G2825" t="s">
        <v>442</v>
      </c>
      <c r="I2825"/>
      <c r="J2825"/>
      <c r="L2825"/>
      <c r="M2825"/>
      <c r="O2825"/>
      <c r="P2825" s="20"/>
      <c r="Q2825" s="20"/>
      <c r="R2825" s="20"/>
      <c r="S2825" s="20"/>
      <c r="T2825" s="20"/>
      <c r="U2825" t="s">
        <v>401</v>
      </c>
    </row>
    <row r="2826" spans="1:21" x14ac:dyDescent="0.25">
      <c r="B2826">
        <v>224</v>
      </c>
      <c r="C2826" t="s">
        <v>1237</v>
      </c>
      <c r="E2826" s="18">
        <v>-206.75572579999999</v>
      </c>
      <c r="F2826" t="s">
        <v>891</v>
      </c>
      <c r="G2826" t="s">
        <v>442</v>
      </c>
      <c r="I2826"/>
      <c r="J2826"/>
      <c r="L2826"/>
      <c r="M2826"/>
      <c r="O2826"/>
      <c r="P2826" s="20"/>
      <c r="Q2826" s="20"/>
      <c r="R2826" s="20"/>
      <c r="S2826" s="20"/>
      <c r="T2826" s="20"/>
      <c r="U2826" t="s">
        <v>401</v>
      </c>
    </row>
    <row r="2827" spans="1:21" x14ac:dyDescent="0.25">
      <c r="B2827">
        <v>224</v>
      </c>
      <c r="C2827" t="s">
        <v>2575</v>
      </c>
      <c r="E2827" s="18">
        <v>-152.60541670000001</v>
      </c>
      <c r="F2827" t="s">
        <v>891</v>
      </c>
      <c r="G2827" t="s">
        <v>442</v>
      </c>
      <c r="I2827"/>
      <c r="J2827"/>
      <c r="L2827"/>
      <c r="M2827"/>
      <c r="O2827"/>
      <c r="P2827" s="20"/>
      <c r="Q2827" s="20"/>
      <c r="R2827" s="20"/>
      <c r="S2827" s="20"/>
      <c r="T2827" s="20"/>
      <c r="U2827" t="s">
        <v>401</v>
      </c>
    </row>
    <row r="2828" spans="1:21" x14ac:dyDescent="0.25">
      <c r="B2828">
        <v>224</v>
      </c>
      <c r="C2828" t="s">
        <v>1111</v>
      </c>
      <c r="E2828" s="18">
        <v>-213.64758330000001</v>
      </c>
      <c r="F2828" t="s">
        <v>891</v>
      </c>
      <c r="G2828" t="s">
        <v>442</v>
      </c>
      <c r="I2828"/>
      <c r="J2828"/>
      <c r="L2828"/>
      <c r="M2828"/>
      <c r="O2828"/>
      <c r="P2828" s="20"/>
      <c r="Q2828" s="20"/>
      <c r="R2828" s="20"/>
      <c r="S2828" s="20"/>
      <c r="T2828" s="20"/>
      <c r="U2828" t="s">
        <v>401</v>
      </c>
    </row>
    <row r="2829" spans="1:21" x14ac:dyDescent="0.25">
      <c r="B2829">
        <v>224</v>
      </c>
      <c r="C2829" t="s">
        <v>3536</v>
      </c>
      <c r="E2829" s="18">
        <v>-30.52108333</v>
      </c>
      <c r="G2829" t="s">
        <v>442</v>
      </c>
      <c r="I2829"/>
      <c r="J2829"/>
      <c r="L2829"/>
      <c r="M2829"/>
      <c r="O2829"/>
      <c r="P2829" s="20"/>
      <c r="Q2829" s="20"/>
      <c r="R2829" s="20"/>
      <c r="S2829" s="20"/>
      <c r="T2829" s="20"/>
      <c r="U2829" t="s">
        <v>401</v>
      </c>
    </row>
    <row r="2830" spans="1:21" x14ac:dyDescent="0.25">
      <c r="B2830">
        <v>224</v>
      </c>
      <c r="C2830" t="s">
        <v>3536</v>
      </c>
      <c r="E2830" s="18">
        <v>-274.68975</v>
      </c>
      <c r="G2830" t="s">
        <v>442</v>
      </c>
      <c r="I2830"/>
      <c r="J2830"/>
      <c r="L2830"/>
      <c r="M2830"/>
      <c r="O2830"/>
      <c r="P2830" s="20"/>
      <c r="Q2830" s="20"/>
      <c r="R2830" s="20"/>
      <c r="S2830" s="20"/>
      <c r="T2830" s="20"/>
      <c r="U2830" t="s">
        <v>401</v>
      </c>
    </row>
    <row r="2831" spans="1:21" x14ac:dyDescent="0.25">
      <c r="B2831">
        <v>224</v>
      </c>
      <c r="C2831" t="s">
        <v>3536</v>
      </c>
      <c r="E2831" s="18">
        <v>-206.75572579999999</v>
      </c>
      <c r="G2831" t="s">
        <v>442</v>
      </c>
      <c r="I2831"/>
      <c r="J2831"/>
      <c r="L2831"/>
      <c r="M2831"/>
      <c r="O2831"/>
      <c r="P2831" s="20"/>
      <c r="Q2831" s="20"/>
      <c r="R2831" s="20"/>
      <c r="S2831" s="20"/>
      <c r="T2831" s="20"/>
      <c r="U2831" t="s">
        <v>401</v>
      </c>
    </row>
    <row r="2832" spans="1:21" x14ac:dyDescent="0.25">
      <c r="A2832" s="3">
        <v>41810</v>
      </c>
      <c r="B2832" s="36">
        <v>225</v>
      </c>
      <c r="C2832" t="s">
        <v>3516</v>
      </c>
      <c r="E2832" s="18">
        <v>250</v>
      </c>
      <c r="G2832" t="s">
        <v>442</v>
      </c>
      <c r="H2832" s="18" t="s">
        <v>442</v>
      </c>
      <c r="I2832" s="3" t="s">
        <v>442</v>
      </c>
      <c r="J2832"/>
      <c r="L2832"/>
      <c r="M2832"/>
      <c r="N2832" s="20"/>
      <c r="O2832"/>
      <c r="P2832" s="20"/>
      <c r="Q2832" s="20"/>
      <c r="R2832" s="20"/>
      <c r="S2832" s="20"/>
      <c r="T2832" s="20" t="s">
        <v>401</v>
      </c>
    </row>
    <row r="2833" spans="1:21" x14ac:dyDescent="0.25">
      <c r="A2833" s="3">
        <v>41845</v>
      </c>
      <c r="B2833" s="36">
        <v>225</v>
      </c>
      <c r="C2833" t="s">
        <v>3537</v>
      </c>
      <c r="D2833">
        <v>3</v>
      </c>
      <c r="E2833" s="18">
        <v>300</v>
      </c>
      <c r="G2833" t="s">
        <v>3538</v>
      </c>
      <c r="H2833" s="18">
        <v>300</v>
      </c>
      <c r="I2833" s="3">
        <v>41845</v>
      </c>
      <c r="J2833"/>
      <c r="L2833"/>
      <c r="M2833"/>
      <c r="N2833" s="20"/>
      <c r="O2833" t="s">
        <v>931</v>
      </c>
      <c r="P2833" s="20"/>
      <c r="Q2833" s="20"/>
      <c r="R2833" s="20"/>
      <c r="S2833" s="20"/>
      <c r="T2833" s="20"/>
    </row>
    <row r="2834" spans="1:21" x14ac:dyDescent="0.25">
      <c r="A2834" s="3">
        <v>41858</v>
      </c>
      <c r="B2834" s="36">
        <v>225</v>
      </c>
      <c r="C2834" t="s">
        <v>3532</v>
      </c>
      <c r="E2834" s="18">
        <v>500</v>
      </c>
      <c r="F2834" t="s">
        <v>889</v>
      </c>
      <c r="G2834" t="s">
        <v>442</v>
      </c>
      <c r="H2834" s="18" t="s">
        <v>442</v>
      </c>
      <c r="I2834" s="3" t="s">
        <v>442</v>
      </c>
      <c r="J2834"/>
      <c r="L2834"/>
      <c r="M2834"/>
      <c r="N2834" s="20"/>
      <c r="O2834"/>
      <c r="P2834" s="20"/>
      <c r="Q2834" s="20"/>
      <c r="R2834" s="20"/>
      <c r="S2834" s="20"/>
      <c r="T2834" s="20" t="s">
        <v>401</v>
      </c>
    </row>
    <row r="2835" spans="1:21" x14ac:dyDescent="0.25">
      <c r="A2835" s="3">
        <v>41886</v>
      </c>
      <c r="B2835" s="36">
        <v>225</v>
      </c>
      <c r="C2835" t="s">
        <v>3539</v>
      </c>
      <c r="D2835">
        <v>2</v>
      </c>
      <c r="E2835" s="18">
        <v>500</v>
      </c>
      <c r="F2835" t="s">
        <v>889</v>
      </c>
      <c r="G2835" t="s">
        <v>442</v>
      </c>
      <c r="H2835" s="18" t="s">
        <v>442</v>
      </c>
      <c r="I2835" s="3" t="s">
        <v>442</v>
      </c>
      <c r="J2835"/>
      <c r="L2835"/>
      <c r="M2835"/>
      <c r="N2835" s="20"/>
      <c r="O2835"/>
      <c r="P2835" s="20"/>
      <c r="Q2835" s="20"/>
      <c r="R2835" s="20"/>
      <c r="S2835" s="20"/>
      <c r="T2835" s="20" t="s">
        <v>401</v>
      </c>
    </row>
    <row r="2836" spans="1:21" x14ac:dyDescent="0.25">
      <c r="B2836">
        <v>225</v>
      </c>
      <c r="C2836" t="s">
        <v>3540</v>
      </c>
      <c r="D2836">
        <v>10</v>
      </c>
      <c r="E2836" s="18">
        <v>1000</v>
      </c>
      <c r="F2836" t="s">
        <v>889</v>
      </c>
      <c r="G2836" t="s">
        <v>3541</v>
      </c>
      <c r="I2836"/>
      <c r="J2836"/>
      <c r="L2836"/>
      <c r="M2836"/>
      <c r="O2836"/>
      <c r="P2836" s="20"/>
      <c r="Q2836" s="20"/>
      <c r="R2836" s="20"/>
      <c r="S2836" s="20"/>
      <c r="T2836" s="20"/>
      <c r="U2836" t="s">
        <v>401</v>
      </c>
    </row>
    <row r="2837" spans="1:21" x14ac:dyDescent="0.25">
      <c r="B2837">
        <v>225</v>
      </c>
      <c r="C2837" t="s">
        <v>3532</v>
      </c>
      <c r="E2837" s="18">
        <v>-500</v>
      </c>
      <c r="F2837" t="s">
        <v>889</v>
      </c>
      <c r="G2837" t="s">
        <v>442</v>
      </c>
      <c r="I2837"/>
      <c r="J2837"/>
      <c r="L2837"/>
      <c r="M2837"/>
      <c r="O2837"/>
      <c r="P2837" s="20"/>
      <c r="Q2837" s="20"/>
      <c r="R2837" s="20"/>
      <c r="S2837" s="20"/>
      <c r="T2837" s="20"/>
      <c r="U2837" t="s">
        <v>401</v>
      </c>
    </row>
    <row r="2838" spans="1:21" x14ac:dyDescent="0.25">
      <c r="B2838">
        <v>225</v>
      </c>
      <c r="C2838" t="s">
        <v>3539</v>
      </c>
      <c r="D2838">
        <v>2</v>
      </c>
      <c r="E2838" s="18">
        <v>-500</v>
      </c>
      <c r="F2838" t="s">
        <v>889</v>
      </c>
      <c r="G2838" t="s">
        <v>442</v>
      </c>
      <c r="I2838"/>
      <c r="J2838"/>
      <c r="L2838"/>
      <c r="M2838"/>
      <c r="O2838"/>
      <c r="P2838" s="20"/>
      <c r="Q2838" s="20"/>
      <c r="R2838" s="20"/>
      <c r="S2838" s="20"/>
      <c r="T2838" s="20"/>
      <c r="U2838" t="s">
        <v>401</v>
      </c>
    </row>
    <row r="2839" spans="1:21" x14ac:dyDescent="0.25">
      <c r="B2839">
        <v>225</v>
      </c>
      <c r="C2839" t="s">
        <v>3542</v>
      </c>
      <c r="D2839">
        <v>8</v>
      </c>
      <c r="E2839" s="18">
        <v>800</v>
      </c>
      <c r="F2839" t="s">
        <v>889</v>
      </c>
      <c r="G2839" t="s">
        <v>3543</v>
      </c>
      <c r="I2839"/>
      <c r="J2839"/>
      <c r="L2839"/>
      <c r="M2839"/>
      <c r="O2839"/>
      <c r="P2839" s="20"/>
      <c r="Q2839" s="20"/>
      <c r="R2839" s="20"/>
      <c r="S2839" s="20"/>
      <c r="T2839" s="20"/>
      <c r="U2839" t="s">
        <v>401</v>
      </c>
    </row>
    <row r="2840" spans="1:21" x14ac:dyDescent="0.25">
      <c r="B2840">
        <v>225</v>
      </c>
      <c r="C2840" t="s">
        <v>3544</v>
      </c>
      <c r="D2840">
        <v>7.75</v>
      </c>
      <c r="E2840" s="18">
        <v>775</v>
      </c>
      <c r="F2840" t="s">
        <v>889</v>
      </c>
      <c r="G2840" t="s">
        <v>3545</v>
      </c>
      <c r="I2840"/>
      <c r="J2840"/>
      <c r="L2840"/>
      <c r="M2840"/>
      <c r="O2840"/>
      <c r="P2840" s="20"/>
      <c r="Q2840" s="20"/>
      <c r="R2840" s="20"/>
      <c r="S2840" s="20"/>
      <c r="T2840" s="20"/>
      <c r="U2840" t="s">
        <v>401</v>
      </c>
    </row>
    <row r="2841" spans="1:21" x14ac:dyDescent="0.25">
      <c r="B2841">
        <v>225</v>
      </c>
      <c r="C2841" t="s">
        <v>3544</v>
      </c>
      <c r="D2841">
        <v>7.75</v>
      </c>
      <c r="E2841" s="18">
        <v>-775</v>
      </c>
      <c r="F2841" t="s">
        <v>889</v>
      </c>
      <c r="G2841" t="s">
        <v>3545</v>
      </c>
      <c r="I2841"/>
      <c r="J2841"/>
      <c r="L2841"/>
      <c r="M2841"/>
      <c r="O2841"/>
      <c r="P2841" s="20"/>
      <c r="Q2841" s="20"/>
      <c r="R2841" s="20"/>
      <c r="S2841" s="20"/>
      <c r="T2841" s="20"/>
      <c r="U2841" t="s">
        <v>401</v>
      </c>
    </row>
    <row r="2842" spans="1:21" x14ac:dyDescent="0.25">
      <c r="B2842">
        <v>225</v>
      </c>
      <c r="C2842" t="s">
        <v>3516</v>
      </c>
      <c r="E2842" s="18">
        <v>-250</v>
      </c>
      <c r="G2842" t="s">
        <v>442</v>
      </c>
      <c r="I2842"/>
      <c r="J2842"/>
      <c r="L2842"/>
      <c r="M2842"/>
      <c r="O2842"/>
      <c r="P2842" s="20"/>
      <c r="Q2842" s="20"/>
      <c r="R2842" s="20"/>
      <c r="S2842" s="20"/>
      <c r="T2842" s="20"/>
      <c r="U2842" t="s">
        <v>401</v>
      </c>
    </row>
    <row r="2843" spans="1:21" x14ac:dyDescent="0.25">
      <c r="B2843">
        <v>225</v>
      </c>
      <c r="C2843" t="s">
        <v>1106</v>
      </c>
      <c r="E2843" s="18">
        <v>-267.88623660000002</v>
      </c>
      <c r="F2843" t="s">
        <v>891</v>
      </c>
      <c r="G2843" t="s">
        <v>442</v>
      </c>
      <c r="I2843"/>
      <c r="J2843"/>
      <c r="L2843"/>
      <c r="M2843"/>
      <c r="O2843"/>
      <c r="P2843" s="20"/>
      <c r="Q2843" s="20"/>
      <c r="R2843" s="20"/>
      <c r="S2843" s="20"/>
      <c r="T2843" s="20"/>
      <c r="U2843" t="s">
        <v>401</v>
      </c>
    </row>
    <row r="2844" spans="1:21" x14ac:dyDescent="0.25">
      <c r="B2844">
        <v>225</v>
      </c>
      <c r="C2844" t="s">
        <v>1269</v>
      </c>
      <c r="E2844" s="18">
        <v>-543.42636560000005</v>
      </c>
      <c r="F2844" t="s">
        <v>891</v>
      </c>
      <c r="G2844" t="s">
        <v>442</v>
      </c>
      <c r="I2844"/>
      <c r="J2844"/>
      <c r="L2844"/>
      <c r="M2844"/>
      <c r="O2844"/>
      <c r="P2844" s="20"/>
      <c r="Q2844" s="20"/>
      <c r="R2844" s="20"/>
      <c r="S2844" s="20"/>
      <c r="T2844" s="20"/>
      <c r="U2844" t="s">
        <v>401</v>
      </c>
    </row>
    <row r="2845" spans="1:21" x14ac:dyDescent="0.25">
      <c r="B2845">
        <v>225</v>
      </c>
      <c r="C2845" t="s">
        <v>1108</v>
      </c>
      <c r="E2845" s="18">
        <v>-267.88623660000002</v>
      </c>
      <c r="F2845" t="s">
        <v>891</v>
      </c>
      <c r="G2845" t="s">
        <v>442</v>
      </c>
      <c r="I2845"/>
      <c r="J2845"/>
      <c r="L2845"/>
      <c r="M2845"/>
      <c r="O2845"/>
      <c r="P2845" s="20"/>
      <c r="Q2845" s="20"/>
      <c r="R2845" s="20"/>
      <c r="S2845" s="20"/>
      <c r="T2845" s="20"/>
      <c r="U2845" t="s">
        <v>401</v>
      </c>
    </row>
    <row r="2846" spans="1:21" x14ac:dyDescent="0.25">
      <c r="B2846">
        <v>225</v>
      </c>
      <c r="C2846" t="s">
        <v>1482</v>
      </c>
      <c r="E2846" s="18">
        <v>-200.91467739999999</v>
      </c>
      <c r="G2846" t="s">
        <v>442</v>
      </c>
      <c r="I2846"/>
      <c r="J2846"/>
      <c r="L2846"/>
      <c r="M2846"/>
      <c r="O2846"/>
      <c r="P2846" s="20"/>
      <c r="Q2846" s="20"/>
      <c r="R2846" s="20"/>
      <c r="S2846" s="20"/>
      <c r="T2846" s="20"/>
      <c r="U2846" t="s">
        <v>401</v>
      </c>
    </row>
    <row r="2847" spans="1:21" x14ac:dyDescent="0.25">
      <c r="B2847">
        <v>225</v>
      </c>
      <c r="C2847" t="s">
        <v>1483</v>
      </c>
      <c r="E2847" s="18">
        <v>-200.91</v>
      </c>
      <c r="F2847" t="s">
        <v>2700</v>
      </c>
      <c r="G2847" t="s">
        <v>442</v>
      </c>
      <c r="I2847"/>
      <c r="J2847"/>
      <c r="L2847"/>
      <c r="M2847"/>
      <c r="O2847"/>
      <c r="P2847" s="20"/>
      <c r="Q2847" s="20"/>
      <c r="R2847" s="20"/>
      <c r="S2847" s="20"/>
      <c r="T2847" s="20"/>
      <c r="U2847" t="s">
        <v>401</v>
      </c>
    </row>
    <row r="2848" spans="1:21" x14ac:dyDescent="0.25">
      <c r="B2848">
        <v>225</v>
      </c>
      <c r="C2848" t="s">
        <v>1237</v>
      </c>
      <c r="E2848" s="18">
        <v>-267.88623660000002</v>
      </c>
      <c r="F2848" t="s">
        <v>1484</v>
      </c>
      <c r="G2848" t="s">
        <v>442</v>
      </c>
      <c r="I2848"/>
      <c r="J2848"/>
      <c r="L2848"/>
      <c r="M2848"/>
      <c r="O2848"/>
      <c r="P2848" s="20"/>
      <c r="Q2848" s="20"/>
      <c r="R2848" s="20"/>
      <c r="S2848" s="20"/>
      <c r="T2848" s="20"/>
      <c r="U2848" t="s">
        <v>401</v>
      </c>
    </row>
    <row r="2849" spans="1:21" x14ac:dyDescent="0.25">
      <c r="B2849">
        <v>225</v>
      </c>
      <c r="C2849" t="s">
        <v>2575</v>
      </c>
      <c r="E2849" s="18">
        <v>-197.72555560000001</v>
      </c>
      <c r="F2849" t="s">
        <v>889</v>
      </c>
      <c r="G2849" t="s">
        <v>442</v>
      </c>
      <c r="I2849"/>
      <c r="J2849"/>
      <c r="L2849"/>
      <c r="M2849"/>
      <c r="O2849"/>
      <c r="P2849" s="20"/>
      <c r="Q2849" s="20"/>
      <c r="R2849" s="20"/>
      <c r="S2849" s="20"/>
      <c r="T2849" s="20"/>
      <c r="U2849" t="s">
        <v>401</v>
      </c>
    </row>
    <row r="2850" spans="1:21" x14ac:dyDescent="0.25">
      <c r="B2850">
        <v>225</v>
      </c>
      <c r="C2850" t="s">
        <v>1111</v>
      </c>
      <c r="E2850" s="18">
        <v>-276.81577779999998</v>
      </c>
      <c r="F2850" t="s">
        <v>891</v>
      </c>
      <c r="G2850" t="s">
        <v>442</v>
      </c>
      <c r="I2850"/>
      <c r="J2850"/>
      <c r="L2850"/>
      <c r="M2850"/>
      <c r="O2850"/>
      <c r="P2850" s="20"/>
      <c r="Q2850" s="20"/>
      <c r="R2850" s="20"/>
      <c r="S2850" s="20"/>
      <c r="T2850" s="20"/>
      <c r="U2850" t="s">
        <v>401</v>
      </c>
    </row>
    <row r="2851" spans="1:21" x14ac:dyDescent="0.25">
      <c r="B2851">
        <v>225</v>
      </c>
      <c r="C2851" t="s">
        <v>3546</v>
      </c>
      <c r="D2851">
        <v>2.25</v>
      </c>
      <c r="E2851" s="18">
        <v>225</v>
      </c>
      <c r="F2851" t="s">
        <v>889</v>
      </c>
      <c r="G2851" t="s">
        <v>3547</v>
      </c>
      <c r="I2851"/>
      <c r="J2851"/>
      <c r="L2851"/>
      <c r="M2851"/>
      <c r="O2851"/>
      <c r="P2851" s="20"/>
      <c r="Q2851" s="20"/>
      <c r="R2851" s="20"/>
      <c r="S2851" s="20"/>
      <c r="T2851" s="20"/>
      <c r="U2851" t="s">
        <v>401</v>
      </c>
    </row>
    <row r="2852" spans="1:21" x14ac:dyDescent="0.25">
      <c r="B2852">
        <v>225</v>
      </c>
      <c r="C2852" t="s">
        <v>3546</v>
      </c>
      <c r="D2852">
        <v>2.25</v>
      </c>
      <c r="E2852" s="18">
        <v>-225</v>
      </c>
      <c r="F2852" t="s">
        <v>889</v>
      </c>
      <c r="G2852" t="s">
        <v>3547</v>
      </c>
      <c r="I2852"/>
      <c r="J2852"/>
      <c r="L2852"/>
      <c r="M2852"/>
      <c r="O2852"/>
      <c r="P2852" s="20"/>
      <c r="Q2852" s="20"/>
      <c r="R2852" s="20"/>
      <c r="S2852" s="20"/>
      <c r="T2852" s="20"/>
      <c r="U2852" t="s">
        <v>401</v>
      </c>
    </row>
    <row r="2853" spans="1:21" x14ac:dyDescent="0.25">
      <c r="B2853">
        <v>225</v>
      </c>
      <c r="C2853" t="s">
        <v>3432</v>
      </c>
      <c r="E2853" s="18">
        <v>-326.24716669999998</v>
      </c>
      <c r="G2853" t="s">
        <v>442</v>
      </c>
      <c r="I2853"/>
      <c r="J2853"/>
      <c r="L2853"/>
      <c r="M2853"/>
      <c r="O2853"/>
      <c r="P2853" s="20"/>
      <c r="Q2853" s="20"/>
      <c r="R2853" s="20"/>
      <c r="S2853" s="20"/>
      <c r="T2853" s="20"/>
      <c r="U2853" t="s">
        <v>401</v>
      </c>
    </row>
    <row r="2854" spans="1:21" x14ac:dyDescent="0.25">
      <c r="B2854">
        <v>225</v>
      </c>
      <c r="C2854" t="s">
        <v>3432</v>
      </c>
      <c r="E2854" s="18">
        <v>-266.92950000000002</v>
      </c>
      <c r="G2854" t="s">
        <v>442</v>
      </c>
      <c r="I2854"/>
      <c r="J2854"/>
      <c r="L2854"/>
      <c r="M2854"/>
      <c r="O2854"/>
      <c r="P2854" s="20"/>
      <c r="Q2854" s="20"/>
      <c r="R2854" s="20"/>
      <c r="S2854" s="20"/>
      <c r="T2854" s="20"/>
      <c r="U2854" t="s">
        <v>401</v>
      </c>
    </row>
    <row r="2855" spans="1:21" x14ac:dyDescent="0.25">
      <c r="B2855">
        <v>225</v>
      </c>
      <c r="C2855" t="s">
        <v>3432</v>
      </c>
      <c r="E2855" s="18">
        <v>-200.91467739999999</v>
      </c>
      <c r="G2855" t="s">
        <v>442</v>
      </c>
      <c r="I2855"/>
      <c r="J2855"/>
      <c r="L2855"/>
      <c r="M2855"/>
      <c r="O2855"/>
      <c r="P2855" s="20"/>
      <c r="Q2855" s="20"/>
      <c r="R2855" s="20"/>
      <c r="S2855" s="20"/>
      <c r="T2855" s="20"/>
      <c r="U2855" t="s">
        <v>401</v>
      </c>
    </row>
    <row r="2856" spans="1:21" x14ac:dyDescent="0.25">
      <c r="A2856" s="3">
        <v>41810</v>
      </c>
      <c r="B2856" s="36">
        <v>227</v>
      </c>
      <c r="C2856" t="s">
        <v>3516</v>
      </c>
      <c r="E2856" s="18">
        <v>750</v>
      </c>
      <c r="G2856" t="s">
        <v>442</v>
      </c>
      <c r="H2856" s="18" t="s">
        <v>442</v>
      </c>
      <c r="I2856" s="3" t="s">
        <v>442</v>
      </c>
      <c r="J2856"/>
      <c r="L2856"/>
      <c r="M2856"/>
      <c r="N2856" s="20"/>
      <c r="O2856"/>
      <c r="P2856" s="20"/>
      <c r="Q2856" s="20"/>
      <c r="R2856" s="20"/>
      <c r="S2856" s="20"/>
      <c r="T2856" s="20" t="s">
        <v>401</v>
      </c>
    </row>
    <row r="2857" spans="1:21" x14ac:dyDescent="0.25">
      <c r="A2857" s="3">
        <v>41853</v>
      </c>
      <c r="B2857" s="36">
        <v>227</v>
      </c>
      <c r="C2857" t="s">
        <v>3548</v>
      </c>
      <c r="D2857">
        <v>9.75</v>
      </c>
      <c r="E2857" s="18">
        <v>975</v>
      </c>
      <c r="F2857" t="s">
        <v>889</v>
      </c>
      <c r="G2857" t="s">
        <v>3549</v>
      </c>
      <c r="H2857" s="18">
        <v>975</v>
      </c>
      <c r="I2857" s="3">
        <v>41853</v>
      </c>
      <c r="J2857"/>
      <c r="L2857"/>
      <c r="M2857"/>
      <c r="N2857" s="20"/>
      <c r="O2857" t="s">
        <v>931</v>
      </c>
      <c r="P2857" s="20"/>
      <c r="Q2857" s="20"/>
      <c r="R2857" s="20"/>
      <c r="S2857" s="20"/>
      <c r="T2857" s="20"/>
    </row>
    <row r="2858" spans="1:21" x14ac:dyDescent="0.25">
      <c r="A2858" s="3">
        <v>41858</v>
      </c>
      <c r="B2858" s="36">
        <v>227</v>
      </c>
      <c r="C2858" t="s">
        <v>3550</v>
      </c>
      <c r="D2858">
        <v>6</v>
      </c>
      <c r="E2858" s="18">
        <v>500</v>
      </c>
      <c r="F2858" t="s">
        <v>889</v>
      </c>
      <c r="G2858" t="s">
        <v>442</v>
      </c>
      <c r="H2858" s="18" t="s">
        <v>442</v>
      </c>
      <c r="I2858" s="3" t="s">
        <v>442</v>
      </c>
      <c r="J2858"/>
      <c r="L2858"/>
      <c r="M2858"/>
      <c r="N2858" s="20"/>
      <c r="O2858" t="s">
        <v>3551</v>
      </c>
      <c r="P2858" s="20"/>
      <c r="Q2858" s="20"/>
      <c r="R2858" s="20"/>
      <c r="S2858" s="20"/>
      <c r="T2858" s="20" t="s">
        <v>401</v>
      </c>
    </row>
    <row r="2859" spans="1:21" x14ac:dyDescent="0.25">
      <c r="A2859" s="3">
        <v>41859</v>
      </c>
      <c r="B2859" s="36">
        <v>227</v>
      </c>
      <c r="C2859" t="s">
        <v>3552</v>
      </c>
      <c r="D2859">
        <v>5.5</v>
      </c>
      <c r="E2859" s="18">
        <v>550</v>
      </c>
      <c r="F2859" t="s">
        <v>889</v>
      </c>
      <c r="G2859" t="s">
        <v>3553</v>
      </c>
      <c r="H2859" s="18">
        <v>550</v>
      </c>
      <c r="I2859" s="3">
        <v>41859</v>
      </c>
      <c r="J2859"/>
      <c r="L2859"/>
      <c r="M2859"/>
      <c r="N2859" s="20"/>
      <c r="O2859"/>
      <c r="P2859" s="20"/>
      <c r="Q2859" s="20"/>
      <c r="R2859" s="20"/>
      <c r="S2859" s="20"/>
      <c r="T2859" s="20"/>
    </row>
    <row r="2860" spans="1:21" x14ac:dyDescent="0.25">
      <c r="A2860" s="3">
        <v>41859</v>
      </c>
      <c r="B2860" s="36">
        <v>227</v>
      </c>
      <c r="C2860" t="s">
        <v>3552</v>
      </c>
      <c r="D2860">
        <v>2.5</v>
      </c>
      <c r="E2860" s="18">
        <v>250</v>
      </c>
      <c r="F2860" t="s">
        <v>889</v>
      </c>
      <c r="G2860" t="s">
        <v>3554</v>
      </c>
      <c r="H2860" s="18">
        <v>250</v>
      </c>
      <c r="I2860" s="3">
        <v>41859</v>
      </c>
      <c r="J2860"/>
      <c r="L2860"/>
      <c r="M2860"/>
      <c r="N2860" s="20"/>
      <c r="O2860"/>
      <c r="P2860" s="20"/>
      <c r="Q2860" s="20"/>
      <c r="R2860" s="20"/>
      <c r="S2860" s="20"/>
      <c r="T2860" s="20"/>
    </row>
    <row r="2861" spans="1:21" x14ac:dyDescent="0.25">
      <c r="A2861" s="3">
        <v>41873</v>
      </c>
      <c r="B2861" s="36">
        <v>227</v>
      </c>
      <c r="C2861" t="s">
        <v>3555</v>
      </c>
      <c r="D2861">
        <v>7.5</v>
      </c>
      <c r="E2861" s="18">
        <v>750</v>
      </c>
      <c r="F2861" t="s">
        <v>889</v>
      </c>
      <c r="G2861" t="s">
        <v>3556</v>
      </c>
      <c r="H2861" s="18">
        <v>750</v>
      </c>
      <c r="I2861" s="3">
        <v>41873</v>
      </c>
      <c r="J2861"/>
      <c r="L2861"/>
      <c r="M2861"/>
      <c r="N2861" s="20"/>
      <c r="O2861"/>
      <c r="P2861" s="20"/>
      <c r="Q2861" s="20"/>
      <c r="R2861" s="20"/>
      <c r="S2861" s="20"/>
      <c r="T2861" s="20"/>
    </row>
    <row r="2862" spans="1:21" x14ac:dyDescent="0.25">
      <c r="A2862" s="3">
        <v>41880</v>
      </c>
      <c r="B2862" s="36">
        <v>227</v>
      </c>
      <c r="C2862" t="s">
        <v>3557</v>
      </c>
      <c r="E2862" s="18">
        <v>500</v>
      </c>
      <c r="G2862" t="s">
        <v>442</v>
      </c>
      <c r="H2862" s="18" t="s">
        <v>442</v>
      </c>
      <c r="I2862" s="3" t="s">
        <v>442</v>
      </c>
      <c r="J2862"/>
      <c r="L2862"/>
      <c r="M2862"/>
      <c r="N2862" s="20"/>
      <c r="O2862"/>
      <c r="P2862" s="20"/>
      <c r="Q2862" s="20"/>
      <c r="R2862" s="20"/>
      <c r="S2862" s="20"/>
      <c r="T2862" s="20" t="s">
        <v>401</v>
      </c>
    </row>
    <row r="2863" spans="1:21" x14ac:dyDescent="0.25">
      <c r="B2863">
        <v>227</v>
      </c>
      <c r="C2863" t="s">
        <v>3557</v>
      </c>
      <c r="E2863" s="18">
        <v>-500</v>
      </c>
      <c r="F2863" t="s">
        <v>889</v>
      </c>
      <c r="G2863" t="s">
        <v>442</v>
      </c>
      <c r="I2863"/>
      <c r="J2863"/>
      <c r="L2863"/>
      <c r="M2863"/>
      <c r="O2863"/>
      <c r="P2863" s="20"/>
      <c r="Q2863" s="20"/>
      <c r="R2863" s="20"/>
      <c r="S2863" s="20"/>
      <c r="T2863" s="20"/>
      <c r="U2863" t="s">
        <v>401</v>
      </c>
    </row>
    <row r="2864" spans="1:21" x14ac:dyDescent="0.25">
      <c r="B2864">
        <v>227</v>
      </c>
      <c r="C2864" t="s">
        <v>3550</v>
      </c>
      <c r="D2864">
        <v>6</v>
      </c>
      <c r="E2864" s="18">
        <v>-500</v>
      </c>
      <c r="F2864" t="s">
        <v>889</v>
      </c>
      <c r="G2864" t="s">
        <v>442</v>
      </c>
      <c r="I2864"/>
      <c r="J2864"/>
      <c r="L2864"/>
      <c r="M2864"/>
      <c r="O2864"/>
      <c r="P2864" s="20"/>
      <c r="Q2864" s="20"/>
      <c r="R2864" s="20"/>
      <c r="S2864" s="20"/>
      <c r="T2864" s="20"/>
      <c r="U2864" t="s">
        <v>401</v>
      </c>
    </row>
    <row r="2865" spans="2:21" x14ac:dyDescent="0.25">
      <c r="B2865">
        <v>227</v>
      </c>
      <c r="C2865" t="s">
        <v>3558</v>
      </c>
      <c r="D2865">
        <v>5</v>
      </c>
      <c r="E2865" s="18">
        <v>500</v>
      </c>
      <c r="F2865" t="s">
        <v>889</v>
      </c>
      <c r="G2865" t="s">
        <v>3559</v>
      </c>
      <c r="I2865"/>
      <c r="J2865"/>
      <c r="L2865"/>
      <c r="M2865"/>
      <c r="O2865"/>
      <c r="P2865" s="20"/>
      <c r="Q2865" s="20"/>
      <c r="R2865" s="20"/>
      <c r="S2865" s="20"/>
      <c r="T2865" s="20"/>
      <c r="U2865" t="s">
        <v>401</v>
      </c>
    </row>
    <row r="2866" spans="2:21" x14ac:dyDescent="0.25">
      <c r="B2866">
        <v>227</v>
      </c>
      <c r="C2866" t="s">
        <v>3558</v>
      </c>
      <c r="D2866">
        <v>5</v>
      </c>
      <c r="E2866" s="18">
        <v>500</v>
      </c>
      <c r="F2866" t="s">
        <v>889</v>
      </c>
      <c r="G2866" t="s">
        <v>3559</v>
      </c>
      <c r="I2866"/>
      <c r="J2866"/>
      <c r="L2866"/>
      <c r="M2866"/>
      <c r="O2866"/>
      <c r="P2866" s="20"/>
      <c r="Q2866" s="20"/>
      <c r="R2866" s="20"/>
      <c r="S2866" s="20"/>
      <c r="T2866" s="20"/>
      <c r="U2866" t="s">
        <v>401</v>
      </c>
    </row>
    <row r="2867" spans="2:21" x14ac:dyDescent="0.25">
      <c r="B2867">
        <v>227</v>
      </c>
      <c r="C2867" t="s">
        <v>3548</v>
      </c>
      <c r="D2867">
        <v>9.75</v>
      </c>
      <c r="E2867" s="18">
        <v>-975</v>
      </c>
      <c r="F2867" t="s">
        <v>889</v>
      </c>
      <c r="G2867" t="s">
        <v>3549</v>
      </c>
      <c r="I2867"/>
      <c r="J2867"/>
      <c r="L2867"/>
      <c r="M2867"/>
      <c r="O2867"/>
      <c r="P2867" s="20"/>
      <c r="Q2867" s="20"/>
      <c r="R2867" s="20"/>
      <c r="S2867" s="20"/>
      <c r="T2867" s="20"/>
      <c r="U2867" t="s">
        <v>401</v>
      </c>
    </row>
    <row r="2868" spans="2:21" x14ac:dyDescent="0.25">
      <c r="B2868">
        <v>227</v>
      </c>
      <c r="C2868" t="s">
        <v>3516</v>
      </c>
      <c r="E2868" s="18">
        <v>-750</v>
      </c>
      <c r="G2868" t="s">
        <v>442</v>
      </c>
      <c r="I2868"/>
      <c r="J2868"/>
      <c r="L2868"/>
      <c r="M2868"/>
      <c r="O2868"/>
      <c r="P2868" s="20"/>
      <c r="Q2868" s="20"/>
      <c r="R2868" s="20"/>
      <c r="S2868" s="20"/>
      <c r="T2868" s="20"/>
      <c r="U2868" t="s">
        <v>401</v>
      </c>
    </row>
    <row r="2869" spans="2:21" x14ac:dyDescent="0.25">
      <c r="B2869">
        <v>227</v>
      </c>
      <c r="C2869" t="s">
        <v>1484</v>
      </c>
      <c r="E2869" s="18">
        <v>-206.75572579999999</v>
      </c>
      <c r="F2869" t="s">
        <v>891</v>
      </c>
      <c r="G2869" t="s">
        <v>442</v>
      </c>
      <c r="I2869"/>
      <c r="J2869"/>
      <c r="L2869"/>
      <c r="M2869"/>
      <c r="O2869"/>
      <c r="P2869" s="20"/>
      <c r="Q2869" s="20"/>
      <c r="R2869" s="20"/>
      <c r="S2869" s="20"/>
      <c r="T2869" s="20"/>
      <c r="U2869" t="s">
        <v>401</v>
      </c>
    </row>
    <row r="2870" spans="2:21" x14ac:dyDescent="0.25">
      <c r="B2870">
        <v>227</v>
      </c>
      <c r="C2870" t="s">
        <v>1480</v>
      </c>
      <c r="E2870" s="18">
        <v>-206.75572579999999</v>
      </c>
      <c r="F2870" t="s">
        <v>891</v>
      </c>
      <c r="G2870" t="s">
        <v>442</v>
      </c>
      <c r="I2870"/>
      <c r="J2870"/>
      <c r="L2870"/>
      <c r="M2870"/>
      <c r="O2870"/>
      <c r="P2870" s="20"/>
      <c r="Q2870" s="20"/>
      <c r="R2870" s="20"/>
      <c r="S2870" s="20"/>
      <c r="T2870" s="20"/>
      <c r="U2870" t="s">
        <v>401</v>
      </c>
    </row>
    <row r="2871" spans="2:21" x14ac:dyDescent="0.25">
      <c r="B2871">
        <v>227</v>
      </c>
      <c r="C2871" t="s">
        <v>1269</v>
      </c>
      <c r="E2871" s="18">
        <v>-419.41875809999999</v>
      </c>
      <c r="F2871" t="s">
        <v>891</v>
      </c>
      <c r="G2871" t="s">
        <v>442</v>
      </c>
      <c r="I2871"/>
      <c r="J2871"/>
      <c r="L2871"/>
      <c r="M2871"/>
      <c r="O2871"/>
      <c r="P2871" s="20"/>
      <c r="Q2871" s="20"/>
      <c r="R2871" s="20"/>
      <c r="S2871" s="20"/>
      <c r="T2871" s="20"/>
      <c r="U2871" t="s">
        <v>401</v>
      </c>
    </row>
    <row r="2872" spans="2:21" x14ac:dyDescent="0.25">
      <c r="B2872">
        <v>227</v>
      </c>
      <c r="C2872" t="s">
        <v>1108</v>
      </c>
      <c r="E2872" s="18">
        <v>-206.75572579999999</v>
      </c>
      <c r="F2872" t="s">
        <v>891</v>
      </c>
      <c r="G2872" t="s">
        <v>442</v>
      </c>
      <c r="I2872"/>
      <c r="J2872"/>
      <c r="L2872"/>
      <c r="M2872"/>
      <c r="O2872"/>
      <c r="P2872" s="20"/>
      <c r="Q2872" s="20"/>
      <c r="R2872" s="20"/>
      <c r="S2872" s="20"/>
      <c r="T2872" s="20"/>
      <c r="U2872" t="s">
        <v>401</v>
      </c>
    </row>
    <row r="2873" spans="2:21" x14ac:dyDescent="0.25">
      <c r="B2873">
        <v>227</v>
      </c>
      <c r="C2873" t="s">
        <v>1482</v>
      </c>
      <c r="E2873" s="18">
        <v>-206.75572579999999</v>
      </c>
      <c r="G2873" t="s">
        <v>442</v>
      </c>
      <c r="I2873"/>
      <c r="J2873"/>
      <c r="L2873"/>
      <c r="M2873"/>
      <c r="O2873"/>
      <c r="P2873" s="20"/>
      <c r="Q2873" s="20"/>
      <c r="R2873" s="20"/>
      <c r="S2873" s="20"/>
      <c r="T2873" s="20"/>
      <c r="U2873" t="s">
        <v>401</v>
      </c>
    </row>
    <row r="2874" spans="2:21" x14ac:dyDescent="0.25">
      <c r="B2874">
        <v>227</v>
      </c>
      <c r="C2874" t="s">
        <v>1483</v>
      </c>
      <c r="E2874" s="18">
        <v>-206.75572579999999</v>
      </c>
      <c r="G2874" t="s">
        <v>442</v>
      </c>
      <c r="I2874"/>
      <c r="J2874"/>
      <c r="L2874"/>
      <c r="M2874"/>
      <c r="O2874"/>
      <c r="P2874" s="20"/>
      <c r="Q2874" s="20"/>
      <c r="R2874" s="20"/>
      <c r="S2874" s="20"/>
      <c r="T2874" s="20"/>
      <c r="U2874" t="s">
        <v>401</v>
      </c>
    </row>
    <row r="2875" spans="2:21" x14ac:dyDescent="0.25">
      <c r="B2875">
        <v>227</v>
      </c>
      <c r="C2875" t="s">
        <v>1237</v>
      </c>
      <c r="E2875" s="18">
        <v>-206.75572579999999</v>
      </c>
      <c r="F2875" t="s">
        <v>891</v>
      </c>
      <c r="G2875" t="s">
        <v>442</v>
      </c>
      <c r="I2875"/>
      <c r="J2875"/>
      <c r="L2875"/>
      <c r="M2875"/>
      <c r="O2875"/>
      <c r="P2875" s="20"/>
      <c r="Q2875" s="20"/>
      <c r="R2875" s="20"/>
      <c r="S2875" s="20"/>
      <c r="T2875" s="20"/>
      <c r="U2875" t="s">
        <v>401</v>
      </c>
    </row>
    <row r="2876" spans="2:21" x14ac:dyDescent="0.25">
      <c r="B2876">
        <v>227</v>
      </c>
      <c r="C2876" t="s">
        <v>2575</v>
      </c>
      <c r="E2876" s="18">
        <v>-152.60541670000001</v>
      </c>
      <c r="F2876" t="s">
        <v>889</v>
      </c>
      <c r="G2876" t="s">
        <v>442</v>
      </c>
      <c r="I2876"/>
      <c r="J2876"/>
      <c r="L2876"/>
      <c r="M2876"/>
      <c r="O2876"/>
      <c r="P2876" s="20"/>
      <c r="Q2876" s="20"/>
      <c r="R2876" s="20"/>
      <c r="S2876" s="20"/>
      <c r="T2876" s="20"/>
      <c r="U2876" t="s">
        <v>401</v>
      </c>
    </row>
    <row r="2877" spans="2:21" x14ac:dyDescent="0.25">
      <c r="B2877">
        <v>227</v>
      </c>
      <c r="C2877" t="s">
        <v>1111</v>
      </c>
      <c r="E2877" s="18">
        <v>-213.64758330000001</v>
      </c>
      <c r="F2877" t="s">
        <v>891</v>
      </c>
      <c r="G2877" t="s">
        <v>442</v>
      </c>
      <c r="I2877"/>
      <c r="J2877"/>
      <c r="L2877"/>
      <c r="M2877"/>
      <c r="O2877"/>
      <c r="P2877" s="20"/>
      <c r="Q2877" s="20"/>
      <c r="R2877" s="20"/>
      <c r="S2877" s="20"/>
      <c r="T2877" s="20"/>
      <c r="U2877" t="s">
        <v>401</v>
      </c>
    </row>
    <row r="2878" spans="2:21" x14ac:dyDescent="0.25">
      <c r="B2878">
        <v>227</v>
      </c>
      <c r="C2878" t="s">
        <v>3536</v>
      </c>
      <c r="E2878" s="18">
        <v>-30.52108333</v>
      </c>
      <c r="G2878" t="s">
        <v>442</v>
      </c>
      <c r="I2878"/>
      <c r="J2878"/>
      <c r="L2878"/>
      <c r="M2878"/>
      <c r="O2878"/>
      <c r="P2878" s="20"/>
      <c r="Q2878" s="20"/>
      <c r="R2878" s="20"/>
      <c r="S2878" s="20"/>
      <c r="T2878" s="20"/>
      <c r="U2878" t="s">
        <v>401</v>
      </c>
    </row>
    <row r="2879" spans="2:21" x14ac:dyDescent="0.25">
      <c r="B2879">
        <v>227</v>
      </c>
      <c r="C2879" t="s">
        <v>3536</v>
      </c>
      <c r="E2879" s="18">
        <v>-274.68975</v>
      </c>
      <c r="G2879" t="s">
        <v>442</v>
      </c>
      <c r="I2879"/>
      <c r="J2879"/>
      <c r="L2879"/>
      <c r="M2879"/>
      <c r="O2879"/>
      <c r="P2879" s="20"/>
      <c r="Q2879" s="20"/>
      <c r="R2879" s="20"/>
      <c r="S2879" s="20"/>
      <c r="T2879" s="20"/>
      <c r="U2879" t="s">
        <v>401</v>
      </c>
    </row>
    <row r="2880" spans="2:21" x14ac:dyDescent="0.25">
      <c r="B2880">
        <v>227</v>
      </c>
      <c r="C2880" t="s">
        <v>3536</v>
      </c>
      <c r="E2880" s="18">
        <v>-206.75572579999999</v>
      </c>
      <c r="G2880" t="s">
        <v>442</v>
      </c>
      <c r="I2880"/>
      <c r="J2880"/>
      <c r="L2880"/>
      <c r="M2880"/>
      <c r="O2880"/>
      <c r="P2880" s="20"/>
      <c r="Q2880" s="20"/>
      <c r="R2880" s="20"/>
      <c r="S2880" s="20"/>
      <c r="T2880" s="20"/>
      <c r="U2880" t="s">
        <v>401</v>
      </c>
    </row>
    <row r="2881" spans="1:21" x14ac:dyDescent="0.25">
      <c r="A2881" s="3">
        <v>41838</v>
      </c>
      <c r="B2881" s="36">
        <v>228</v>
      </c>
      <c r="C2881" t="s">
        <v>3560</v>
      </c>
      <c r="D2881">
        <v>6.5</v>
      </c>
      <c r="E2881" s="18">
        <v>650</v>
      </c>
      <c r="G2881" t="s">
        <v>3561</v>
      </c>
      <c r="H2881" s="18">
        <v>650</v>
      </c>
      <c r="I2881" s="3">
        <v>41838</v>
      </c>
      <c r="J2881"/>
      <c r="L2881"/>
      <c r="M2881"/>
      <c r="N2881" s="20"/>
      <c r="O2881"/>
      <c r="P2881" s="20"/>
      <c r="Q2881" s="20"/>
      <c r="R2881" s="20"/>
      <c r="S2881" s="20"/>
      <c r="T2881" s="20"/>
    </row>
    <row r="2882" spans="1:21" x14ac:dyDescent="0.25">
      <c r="A2882" s="3">
        <v>41865</v>
      </c>
      <c r="B2882" s="36">
        <v>228</v>
      </c>
      <c r="C2882" t="s">
        <v>3562</v>
      </c>
      <c r="D2882">
        <v>6</v>
      </c>
      <c r="E2882" s="18">
        <v>600</v>
      </c>
      <c r="F2882" t="s">
        <v>889</v>
      </c>
      <c r="G2882" t="s">
        <v>3563</v>
      </c>
      <c r="H2882" s="18">
        <v>600</v>
      </c>
      <c r="I2882" s="3">
        <v>41865</v>
      </c>
      <c r="J2882"/>
      <c r="L2882"/>
      <c r="M2882"/>
      <c r="N2882" s="20"/>
      <c r="O2882"/>
      <c r="P2882" s="20"/>
      <c r="Q2882" s="20"/>
      <c r="R2882" s="20"/>
      <c r="S2882" s="20"/>
      <c r="T2882" s="20"/>
    </row>
    <row r="2883" spans="1:21" x14ac:dyDescent="0.25">
      <c r="A2883" s="3">
        <v>42041</v>
      </c>
      <c r="B2883">
        <v>228</v>
      </c>
      <c r="C2883" t="s">
        <v>3560</v>
      </c>
      <c r="D2883">
        <v>6.5</v>
      </c>
      <c r="E2883" s="18">
        <v>650</v>
      </c>
      <c r="F2883" t="s">
        <v>889</v>
      </c>
      <c r="G2883" t="s">
        <v>3561</v>
      </c>
      <c r="I2883"/>
      <c r="J2883"/>
      <c r="L2883"/>
      <c r="M2883"/>
      <c r="O2883"/>
      <c r="P2883" s="20"/>
      <c r="Q2883" s="20"/>
      <c r="R2883" s="20"/>
      <c r="S2883" s="20"/>
      <c r="T2883" s="20"/>
    </row>
    <row r="2884" spans="1:21" x14ac:dyDescent="0.25">
      <c r="B2884">
        <v>228</v>
      </c>
      <c r="C2884" t="s">
        <v>3562</v>
      </c>
      <c r="D2884">
        <v>6</v>
      </c>
      <c r="E2884" s="18">
        <v>-600</v>
      </c>
      <c r="F2884" t="s">
        <v>889</v>
      </c>
      <c r="G2884" t="s">
        <v>3563</v>
      </c>
      <c r="I2884"/>
      <c r="J2884"/>
      <c r="L2884"/>
      <c r="M2884"/>
      <c r="O2884"/>
      <c r="P2884" s="20"/>
      <c r="Q2884" s="20"/>
      <c r="R2884" s="20"/>
      <c r="S2884" s="20"/>
      <c r="T2884" s="20"/>
      <c r="U2884" t="s">
        <v>401</v>
      </c>
    </row>
    <row r="2885" spans="1:21" x14ac:dyDescent="0.25">
      <c r="A2885" s="3">
        <v>41810</v>
      </c>
      <c r="B2885" s="36">
        <v>230</v>
      </c>
      <c r="C2885" t="s">
        <v>3564</v>
      </c>
      <c r="E2885" s="18">
        <v>750</v>
      </c>
      <c r="G2885" t="s">
        <v>442</v>
      </c>
      <c r="H2885" s="18" t="s">
        <v>442</v>
      </c>
      <c r="I2885" s="3" t="s">
        <v>442</v>
      </c>
      <c r="J2885"/>
      <c r="L2885"/>
      <c r="M2885"/>
      <c r="N2885" s="20"/>
      <c r="O2885"/>
      <c r="P2885" s="20"/>
      <c r="Q2885" s="20"/>
      <c r="R2885" s="20"/>
      <c r="S2885" s="20"/>
      <c r="T2885" s="20" t="s">
        <v>401</v>
      </c>
    </row>
    <row r="2886" spans="1:21" x14ac:dyDescent="0.25">
      <c r="A2886" s="3">
        <v>41845</v>
      </c>
      <c r="B2886" s="36">
        <v>230</v>
      </c>
      <c r="C2886" t="s">
        <v>3565</v>
      </c>
      <c r="D2886">
        <v>6.75</v>
      </c>
      <c r="E2886" s="18">
        <v>100</v>
      </c>
      <c r="G2886" t="s">
        <v>3566</v>
      </c>
      <c r="H2886" s="18">
        <v>100</v>
      </c>
      <c r="I2886" s="3">
        <v>41845</v>
      </c>
      <c r="J2886"/>
      <c r="L2886"/>
      <c r="M2886"/>
      <c r="N2886" s="20"/>
      <c r="O2886" t="s">
        <v>931</v>
      </c>
      <c r="P2886" s="20"/>
      <c r="Q2886" s="20"/>
      <c r="R2886" s="20"/>
      <c r="S2886" s="20"/>
      <c r="T2886" s="20"/>
    </row>
    <row r="2887" spans="1:21" x14ac:dyDescent="0.25">
      <c r="A2887" s="3">
        <v>41845</v>
      </c>
      <c r="B2887" s="36">
        <v>230</v>
      </c>
      <c r="C2887" t="s">
        <v>3565</v>
      </c>
      <c r="D2887">
        <v>6.75</v>
      </c>
      <c r="E2887" s="18">
        <v>575</v>
      </c>
      <c r="G2887" t="s">
        <v>3566</v>
      </c>
      <c r="H2887" s="18">
        <v>575</v>
      </c>
      <c r="I2887" s="3">
        <v>41845</v>
      </c>
      <c r="J2887"/>
      <c r="L2887"/>
      <c r="M2887"/>
      <c r="N2887" s="20"/>
      <c r="O2887" t="s">
        <v>931</v>
      </c>
      <c r="P2887" s="20"/>
      <c r="Q2887" s="20"/>
      <c r="R2887" s="20"/>
      <c r="S2887" s="20"/>
      <c r="T2887" s="20"/>
    </row>
    <row r="2888" spans="1:21" x14ac:dyDescent="0.25">
      <c r="A2888" s="3">
        <v>41845</v>
      </c>
      <c r="B2888" s="36">
        <v>230</v>
      </c>
      <c r="C2888" t="s">
        <v>1482</v>
      </c>
      <c r="E2888" s="18">
        <v>-162.2430645</v>
      </c>
      <c r="G2888" t="s">
        <v>442</v>
      </c>
      <c r="H2888" s="18" t="s">
        <v>442</v>
      </c>
      <c r="I2888" s="3" t="s">
        <v>442</v>
      </c>
      <c r="J2888"/>
      <c r="L2888"/>
      <c r="M2888"/>
      <c r="N2888" s="20"/>
      <c r="O2888" t="s">
        <v>1219</v>
      </c>
      <c r="P2888" s="20"/>
      <c r="Q2888" s="20" t="s">
        <v>401</v>
      </c>
      <c r="R2888" s="20"/>
      <c r="S2888" s="20"/>
      <c r="T2888" s="20"/>
    </row>
    <row r="2889" spans="1:21" x14ac:dyDescent="0.25">
      <c r="A2889" s="3">
        <v>41845</v>
      </c>
      <c r="B2889" s="36">
        <v>230</v>
      </c>
      <c r="C2889" t="s">
        <v>1483</v>
      </c>
      <c r="E2889" s="18">
        <v>-162.2430645</v>
      </c>
      <c r="G2889" t="s">
        <v>442</v>
      </c>
      <c r="H2889" s="18" t="s">
        <v>442</v>
      </c>
      <c r="I2889" s="3" t="s">
        <v>442</v>
      </c>
      <c r="J2889"/>
      <c r="L2889"/>
      <c r="M2889"/>
      <c r="N2889" s="20"/>
      <c r="O2889" t="s">
        <v>1228</v>
      </c>
      <c r="P2889" s="20"/>
      <c r="Q2889" s="20" t="s">
        <v>401</v>
      </c>
      <c r="R2889" s="20"/>
      <c r="S2889" s="20"/>
      <c r="T2889" s="20"/>
    </row>
    <row r="2890" spans="1:21" x14ac:dyDescent="0.25">
      <c r="A2890" s="3">
        <v>41845</v>
      </c>
      <c r="B2890" s="36">
        <v>230</v>
      </c>
      <c r="C2890" t="s">
        <v>3567</v>
      </c>
      <c r="D2890">
        <v>4.75</v>
      </c>
      <c r="E2890" s="18">
        <v>475</v>
      </c>
      <c r="G2890" t="s">
        <v>3568</v>
      </c>
      <c r="H2890" s="18">
        <v>475</v>
      </c>
      <c r="I2890" s="3">
        <v>41845</v>
      </c>
      <c r="J2890"/>
      <c r="L2890"/>
      <c r="M2890"/>
      <c r="N2890" s="20"/>
      <c r="O2890" t="s">
        <v>1004</v>
      </c>
      <c r="P2890" s="20"/>
      <c r="Q2890" s="20"/>
      <c r="R2890" s="20"/>
      <c r="S2890" s="20"/>
      <c r="T2890" s="20"/>
    </row>
    <row r="2891" spans="1:21" x14ac:dyDescent="0.25">
      <c r="A2891" s="3">
        <v>41845</v>
      </c>
      <c r="B2891" s="36">
        <v>230</v>
      </c>
      <c r="C2891" t="s">
        <v>3453</v>
      </c>
      <c r="E2891" s="18">
        <v>-191.60133329999999</v>
      </c>
      <c r="G2891" t="s">
        <v>442</v>
      </c>
      <c r="H2891" s="18" t="s">
        <v>442</v>
      </c>
      <c r="I2891" s="3" t="s">
        <v>442</v>
      </c>
      <c r="J2891"/>
      <c r="L2891"/>
      <c r="M2891"/>
      <c r="N2891" s="20"/>
      <c r="O2891" t="s">
        <v>3454</v>
      </c>
      <c r="P2891" s="20"/>
      <c r="Q2891" s="20" t="s">
        <v>401</v>
      </c>
      <c r="R2891" s="20"/>
      <c r="S2891" s="20"/>
      <c r="T2891" s="20"/>
    </row>
    <row r="2892" spans="1:21" x14ac:dyDescent="0.25">
      <c r="A2892" s="3">
        <v>41845</v>
      </c>
      <c r="B2892" s="36">
        <v>230</v>
      </c>
      <c r="C2892" t="s">
        <v>3453</v>
      </c>
      <c r="E2892" s="18">
        <v>-215.5515</v>
      </c>
      <c r="G2892" t="s">
        <v>442</v>
      </c>
      <c r="H2892" s="18" t="s">
        <v>442</v>
      </c>
      <c r="I2892" s="3" t="s">
        <v>442</v>
      </c>
      <c r="J2892"/>
      <c r="L2892"/>
      <c r="M2892"/>
      <c r="N2892" s="20"/>
      <c r="O2892" t="s">
        <v>2654</v>
      </c>
      <c r="P2892" s="20"/>
      <c r="Q2892" s="20" t="s">
        <v>401</v>
      </c>
      <c r="R2892" s="20"/>
      <c r="S2892" s="20"/>
      <c r="T2892" s="20"/>
    </row>
    <row r="2893" spans="1:21" x14ac:dyDescent="0.25">
      <c r="A2893" s="3">
        <v>41845</v>
      </c>
      <c r="B2893" s="36">
        <v>230</v>
      </c>
      <c r="C2893" t="s">
        <v>3453</v>
      </c>
      <c r="E2893" s="18">
        <v>-162.2430645</v>
      </c>
      <c r="G2893" t="s">
        <v>442</v>
      </c>
      <c r="H2893" s="18" t="s">
        <v>442</v>
      </c>
      <c r="I2893" s="3" t="s">
        <v>442</v>
      </c>
      <c r="J2893"/>
      <c r="L2893"/>
      <c r="M2893"/>
      <c r="N2893" s="20"/>
      <c r="O2893" t="s">
        <v>1090</v>
      </c>
      <c r="P2893" s="20"/>
      <c r="Q2893" s="20" t="s">
        <v>401</v>
      </c>
      <c r="R2893" s="20"/>
      <c r="S2893" s="20"/>
      <c r="T2893" s="20"/>
    </row>
    <row r="2894" spans="1:21" x14ac:dyDescent="0.25">
      <c r="A2894" s="3">
        <v>41851</v>
      </c>
      <c r="B2894" s="36">
        <v>230</v>
      </c>
      <c r="C2894" t="s">
        <v>3569</v>
      </c>
      <c r="D2894">
        <v>6.25</v>
      </c>
      <c r="E2894" s="18">
        <v>625</v>
      </c>
      <c r="F2894" t="s">
        <v>889</v>
      </c>
      <c r="G2894" t="s">
        <v>3570</v>
      </c>
      <c r="H2894" s="18">
        <v>625</v>
      </c>
      <c r="I2894" s="3">
        <v>41851</v>
      </c>
      <c r="J2894"/>
      <c r="L2894"/>
      <c r="M2894"/>
      <c r="N2894" s="20"/>
      <c r="O2894" t="s">
        <v>931</v>
      </c>
      <c r="P2894" s="20"/>
      <c r="Q2894" s="20"/>
      <c r="R2894" s="20"/>
      <c r="S2894" s="20"/>
      <c r="T2894" s="20"/>
    </row>
    <row r="2895" spans="1:21" x14ac:dyDescent="0.25">
      <c r="A2895" s="3">
        <v>41851</v>
      </c>
      <c r="B2895" s="36">
        <v>230</v>
      </c>
      <c r="C2895" t="s">
        <v>3571</v>
      </c>
      <c r="D2895">
        <v>7.25</v>
      </c>
      <c r="E2895" s="18">
        <v>725</v>
      </c>
      <c r="F2895" t="s">
        <v>889</v>
      </c>
      <c r="G2895" t="s">
        <v>3572</v>
      </c>
      <c r="H2895" s="18">
        <v>725</v>
      </c>
      <c r="I2895" s="3">
        <v>41851</v>
      </c>
      <c r="J2895"/>
      <c r="L2895"/>
      <c r="M2895"/>
      <c r="N2895" s="20"/>
      <c r="O2895" t="s">
        <v>931</v>
      </c>
      <c r="P2895" s="20"/>
      <c r="Q2895" s="20"/>
      <c r="R2895" s="20"/>
      <c r="S2895" s="20"/>
      <c r="T2895" s="20"/>
    </row>
    <row r="2896" spans="1:21" x14ac:dyDescent="0.25">
      <c r="A2896" s="3">
        <v>41851</v>
      </c>
      <c r="B2896" s="36">
        <v>230</v>
      </c>
      <c r="C2896" t="s">
        <v>1237</v>
      </c>
      <c r="E2896" s="18">
        <v>-162.2430645</v>
      </c>
      <c r="F2896" t="s">
        <v>1484</v>
      </c>
      <c r="G2896" t="s">
        <v>442</v>
      </c>
      <c r="H2896" s="18" t="s">
        <v>442</v>
      </c>
      <c r="I2896" s="3" t="s">
        <v>442</v>
      </c>
      <c r="J2896"/>
      <c r="L2896"/>
      <c r="M2896"/>
      <c r="N2896" s="20"/>
      <c r="O2896" t="s">
        <v>1238</v>
      </c>
      <c r="P2896" s="20"/>
      <c r="Q2896" s="20" t="s">
        <v>401</v>
      </c>
      <c r="R2896" s="20"/>
      <c r="S2896" s="20"/>
      <c r="T2896" s="20"/>
    </row>
    <row r="2897" spans="1:21" x14ac:dyDescent="0.25">
      <c r="A2897" s="3">
        <v>41851</v>
      </c>
      <c r="B2897" s="36">
        <v>230</v>
      </c>
      <c r="C2897" t="s">
        <v>3573</v>
      </c>
      <c r="D2897">
        <v>4</v>
      </c>
      <c r="E2897" s="18">
        <v>400</v>
      </c>
      <c r="F2897" t="s">
        <v>889</v>
      </c>
      <c r="G2897" t="s">
        <v>3574</v>
      </c>
      <c r="H2897" s="18">
        <v>400</v>
      </c>
      <c r="I2897" s="3">
        <v>41851</v>
      </c>
      <c r="J2897"/>
      <c r="L2897"/>
      <c r="M2897"/>
      <c r="N2897" s="20"/>
      <c r="O2897" t="s">
        <v>931</v>
      </c>
      <c r="P2897" s="20"/>
      <c r="Q2897" s="20"/>
      <c r="R2897" s="20"/>
      <c r="S2897" s="20"/>
      <c r="T2897" s="20"/>
    </row>
    <row r="2898" spans="1:21" x14ac:dyDescent="0.25">
      <c r="A2898" s="3">
        <v>41851</v>
      </c>
      <c r="B2898" s="36">
        <v>230</v>
      </c>
      <c r="C2898" t="s">
        <v>3575</v>
      </c>
      <c r="D2898">
        <v>8.5</v>
      </c>
      <c r="E2898" s="18">
        <v>850</v>
      </c>
      <c r="F2898" t="s">
        <v>889</v>
      </c>
      <c r="G2898" t="s">
        <v>3576</v>
      </c>
      <c r="H2898" s="18">
        <v>850</v>
      </c>
      <c r="I2898" s="3">
        <v>41851</v>
      </c>
      <c r="J2898"/>
      <c r="L2898"/>
      <c r="M2898"/>
      <c r="N2898" s="20"/>
      <c r="O2898" t="s">
        <v>931</v>
      </c>
      <c r="P2898" s="20"/>
      <c r="Q2898" s="20"/>
      <c r="R2898" s="20"/>
      <c r="S2898" s="20"/>
      <c r="T2898" s="20"/>
    </row>
    <row r="2899" spans="1:21" x14ac:dyDescent="0.25">
      <c r="A2899" s="3">
        <v>41851</v>
      </c>
      <c r="B2899" s="36">
        <v>230</v>
      </c>
      <c r="C2899" t="s">
        <v>3567</v>
      </c>
      <c r="D2899">
        <v>4.75</v>
      </c>
      <c r="E2899" s="18">
        <v>475</v>
      </c>
      <c r="F2899" t="s">
        <v>889</v>
      </c>
      <c r="G2899" t="s">
        <v>3568</v>
      </c>
      <c r="H2899" s="18">
        <v>475</v>
      </c>
      <c r="I2899" s="3">
        <v>41851</v>
      </c>
      <c r="J2899"/>
      <c r="L2899"/>
      <c r="M2899"/>
      <c r="N2899" s="20"/>
      <c r="O2899" t="s">
        <v>931</v>
      </c>
      <c r="P2899" s="20"/>
      <c r="Q2899" s="20"/>
      <c r="R2899" s="20"/>
      <c r="S2899" s="20"/>
      <c r="T2899" s="20"/>
    </row>
    <row r="2900" spans="1:21" x14ac:dyDescent="0.25">
      <c r="A2900" s="3">
        <v>41851</v>
      </c>
      <c r="B2900" s="36">
        <v>230</v>
      </c>
      <c r="C2900" t="s">
        <v>3577</v>
      </c>
      <c r="D2900">
        <v>7.5</v>
      </c>
      <c r="E2900" s="18">
        <v>750</v>
      </c>
      <c r="F2900" t="s">
        <v>889</v>
      </c>
      <c r="G2900" t="s">
        <v>3578</v>
      </c>
      <c r="H2900" s="18">
        <v>750</v>
      </c>
      <c r="I2900" s="3">
        <v>41851</v>
      </c>
      <c r="J2900"/>
      <c r="L2900"/>
      <c r="M2900"/>
      <c r="N2900" s="20"/>
      <c r="O2900" t="s">
        <v>931</v>
      </c>
      <c r="P2900" s="20"/>
      <c r="Q2900" s="20"/>
      <c r="R2900" s="20"/>
      <c r="S2900" s="20"/>
      <c r="T2900" s="20"/>
    </row>
    <row r="2901" spans="1:21" x14ac:dyDescent="0.25">
      <c r="A2901" s="3">
        <v>41858</v>
      </c>
      <c r="B2901" s="36">
        <v>230</v>
      </c>
      <c r="C2901" t="s">
        <v>3467</v>
      </c>
      <c r="D2901">
        <v>3</v>
      </c>
      <c r="E2901" s="18">
        <v>500</v>
      </c>
      <c r="F2901" t="s">
        <v>889</v>
      </c>
      <c r="G2901" t="s">
        <v>442</v>
      </c>
      <c r="H2901" s="18" t="s">
        <v>442</v>
      </c>
      <c r="I2901" s="3" t="s">
        <v>442</v>
      </c>
      <c r="J2901"/>
      <c r="L2901"/>
      <c r="M2901"/>
      <c r="N2901" s="20"/>
      <c r="O2901"/>
      <c r="P2901" s="20"/>
      <c r="Q2901" s="20"/>
      <c r="R2901" s="20"/>
      <c r="S2901" s="20"/>
      <c r="T2901" s="20" t="s">
        <v>401</v>
      </c>
    </row>
    <row r="2902" spans="1:21" x14ac:dyDescent="0.25">
      <c r="A2902" s="3">
        <v>41859</v>
      </c>
      <c r="B2902" s="36">
        <v>230</v>
      </c>
      <c r="C2902" t="s">
        <v>3579</v>
      </c>
      <c r="D2902">
        <v>7.25</v>
      </c>
      <c r="E2902" s="18">
        <v>725</v>
      </c>
      <c r="F2902" t="s">
        <v>889</v>
      </c>
      <c r="G2902" t="s">
        <v>3580</v>
      </c>
      <c r="H2902" s="18">
        <v>725</v>
      </c>
      <c r="I2902" s="3">
        <v>41859</v>
      </c>
      <c r="J2902"/>
      <c r="L2902"/>
      <c r="M2902"/>
      <c r="N2902" s="20"/>
      <c r="O2902"/>
      <c r="P2902" s="20"/>
      <c r="Q2902" s="20"/>
      <c r="R2902" s="20"/>
      <c r="S2902" s="20"/>
      <c r="T2902" s="20"/>
    </row>
    <row r="2903" spans="1:21" x14ac:dyDescent="0.25">
      <c r="A2903" s="3">
        <v>41859</v>
      </c>
      <c r="B2903" s="36">
        <v>230</v>
      </c>
      <c r="C2903" t="s">
        <v>3581</v>
      </c>
      <c r="D2903">
        <v>3.75</v>
      </c>
      <c r="E2903" s="18">
        <v>375</v>
      </c>
      <c r="F2903" t="s">
        <v>889</v>
      </c>
      <c r="G2903" t="s">
        <v>3582</v>
      </c>
      <c r="H2903" s="18">
        <v>375</v>
      </c>
      <c r="I2903" s="3">
        <v>41859</v>
      </c>
      <c r="J2903"/>
      <c r="L2903"/>
      <c r="M2903"/>
      <c r="N2903" s="20"/>
      <c r="O2903"/>
      <c r="P2903" s="20"/>
      <c r="Q2903" s="20"/>
      <c r="R2903" s="20"/>
      <c r="S2903" s="20"/>
      <c r="T2903" s="20"/>
    </row>
    <row r="2904" spans="1:21" x14ac:dyDescent="0.25">
      <c r="A2904" s="3">
        <v>41873</v>
      </c>
      <c r="B2904" s="36">
        <v>230</v>
      </c>
      <c r="C2904" t="s">
        <v>3583</v>
      </c>
      <c r="D2904">
        <v>9</v>
      </c>
      <c r="E2904" s="18">
        <v>900</v>
      </c>
      <c r="F2904" t="s">
        <v>889</v>
      </c>
      <c r="G2904" t="s">
        <v>3584</v>
      </c>
      <c r="H2904" s="18">
        <v>900</v>
      </c>
      <c r="I2904" s="3">
        <v>41873</v>
      </c>
      <c r="J2904"/>
      <c r="L2904"/>
      <c r="M2904"/>
      <c r="N2904" s="20"/>
      <c r="O2904"/>
      <c r="P2904" s="20"/>
      <c r="Q2904" s="20"/>
      <c r="R2904" s="20"/>
      <c r="S2904" s="20"/>
      <c r="T2904" s="20"/>
    </row>
    <row r="2905" spans="1:21" x14ac:dyDescent="0.25">
      <c r="A2905" s="3">
        <v>41879</v>
      </c>
      <c r="B2905" s="36">
        <v>230</v>
      </c>
      <c r="C2905" t="s">
        <v>3535</v>
      </c>
      <c r="E2905" s="18">
        <v>500</v>
      </c>
      <c r="G2905" t="s">
        <v>442</v>
      </c>
      <c r="H2905" s="18" t="s">
        <v>442</v>
      </c>
      <c r="I2905" s="3" t="s">
        <v>442</v>
      </c>
      <c r="J2905"/>
      <c r="L2905"/>
      <c r="M2905"/>
      <c r="N2905" s="20"/>
      <c r="O2905"/>
      <c r="P2905" s="20"/>
      <c r="Q2905" s="20"/>
      <c r="R2905" s="20"/>
      <c r="S2905" s="20"/>
      <c r="T2905" s="20" t="s">
        <v>401</v>
      </c>
    </row>
    <row r="2906" spans="1:21" x14ac:dyDescent="0.25">
      <c r="A2906" s="3">
        <v>41886</v>
      </c>
      <c r="B2906" s="36">
        <v>230</v>
      </c>
      <c r="C2906" t="s">
        <v>3585</v>
      </c>
      <c r="D2906">
        <v>6</v>
      </c>
      <c r="E2906" s="18">
        <v>600</v>
      </c>
      <c r="F2906" t="s">
        <v>889</v>
      </c>
      <c r="G2906" t="s">
        <v>3586</v>
      </c>
      <c r="H2906" s="18">
        <v>600</v>
      </c>
      <c r="I2906" s="3">
        <v>41886</v>
      </c>
      <c r="J2906"/>
      <c r="L2906"/>
      <c r="M2906"/>
      <c r="N2906" s="20"/>
      <c r="O2906"/>
      <c r="P2906" s="20"/>
      <c r="Q2906" s="20"/>
      <c r="R2906" s="20"/>
      <c r="S2906" s="20"/>
      <c r="T2906" s="20"/>
    </row>
    <row r="2907" spans="1:21" x14ac:dyDescent="0.25">
      <c r="A2907" s="3">
        <v>41886</v>
      </c>
      <c r="B2907" s="36">
        <v>230</v>
      </c>
      <c r="C2907" t="s">
        <v>3587</v>
      </c>
      <c r="D2907">
        <v>8.25</v>
      </c>
      <c r="E2907" s="18">
        <v>825</v>
      </c>
      <c r="F2907" t="s">
        <v>889</v>
      </c>
      <c r="G2907" t="s">
        <v>3588</v>
      </c>
      <c r="H2907" s="18">
        <v>825</v>
      </c>
      <c r="I2907" s="3">
        <v>41886</v>
      </c>
      <c r="J2907"/>
      <c r="L2907"/>
      <c r="M2907"/>
      <c r="N2907" s="20"/>
      <c r="O2907"/>
      <c r="P2907" s="20"/>
      <c r="Q2907" s="20"/>
      <c r="R2907" s="20"/>
      <c r="S2907" s="20"/>
      <c r="T2907" s="20"/>
    </row>
    <row r="2908" spans="1:21" x14ac:dyDescent="0.25">
      <c r="A2908" s="3">
        <v>41894</v>
      </c>
      <c r="B2908" s="36">
        <v>230</v>
      </c>
      <c r="C2908" t="s">
        <v>3589</v>
      </c>
      <c r="D2908">
        <v>6.5</v>
      </c>
      <c r="E2908" s="18">
        <v>650</v>
      </c>
      <c r="F2908" t="s">
        <v>889</v>
      </c>
      <c r="G2908" t="s">
        <v>3590</v>
      </c>
      <c r="H2908" s="18">
        <v>650</v>
      </c>
      <c r="I2908" s="3">
        <v>41894</v>
      </c>
      <c r="J2908"/>
      <c r="L2908"/>
      <c r="M2908"/>
      <c r="N2908" s="20"/>
      <c r="O2908"/>
      <c r="P2908" s="20"/>
      <c r="Q2908" s="20"/>
      <c r="R2908" s="20"/>
      <c r="S2908" s="20"/>
      <c r="T2908" s="20"/>
    </row>
    <row r="2909" spans="1:21" x14ac:dyDescent="0.25">
      <c r="A2909" s="3">
        <v>41894</v>
      </c>
      <c r="B2909" s="36">
        <v>230</v>
      </c>
      <c r="C2909" t="s">
        <v>3591</v>
      </c>
      <c r="D2909">
        <v>7</v>
      </c>
      <c r="E2909" s="18">
        <v>700</v>
      </c>
      <c r="F2909" t="s">
        <v>889</v>
      </c>
      <c r="G2909" t="s">
        <v>3592</v>
      </c>
      <c r="H2909" s="18">
        <v>700</v>
      </c>
      <c r="I2909" s="3">
        <v>41894</v>
      </c>
      <c r="J2909"/>
      <c r="L2909"/>
      <c r="M2909"/>
      <c r="N2909" s="20"/>
      <c r="O2909"/>
      <c r="P2909" s="20"/>
      <c r="Q2909" s="20"/>
      <c r="R2909" s="20"/>
      <c r="S2909" s="20"/>
      <c r="T2909" s="20"/>
    </row>
    <row r="2910" spans="1:21" x14ac:dyDescent="0.25">
      <c r="B2910">
        <v>230</v>
      </c>
      <c r="C2910" t="s">
        <v>3589</v>
      </c>
      <c r="D2910">
        <v>6.5</v>
      </c>
      <c r="E2910" s="18">
        <v>650</v>
      </c>
      <c r="F2910" t="s">
        <v>889</v>
      </c>
      <c r="G2910" t="s">
        <v>3590</v>
      </c>
      <c r="I2910"/>
      <c r="J2910"/>
      <c r="L2910"/>
      <c r="M2910"/>
      <c r="O2910"/>
      <c r="P2910" s="20"/>
      <c r="Q2910" s="20"/>
      <c r="R2910" s="20"/>
      <c r="S2910" s="20"/>
      <c r="T2910" s="20"/>
      <c r="U2910" t="s">
        <v>401</v>
      </c>
    </row>
    <row r="2911" spans="1:21" x14ac:dyDescent="0.25">
      <c r="B2911">
        <v>230</v>
      </c>
      <c r="C2911" t="s">
        <v>3564</v>
      </c>
      <c r="E2911" s="18">
        <v>-750</v>
      </c>
      <c r="G2911" t="s">
        <v>442</v>
      </c>
      <c r="I2911"/>
      <c r="J2911"/>
      <c r="L2911"/>
      <c r="M2911"/>
      <c r="O2911"/>
      <c r="P2911" s="20"/>
      <c r="Q2911" s="20"/>
      <c r="R2911" s="20"/>
      <c r="S2911" s="20"/>
      <c r="T2911" s="20"/>
      <c r="U2911" t="s">
        <v>401</v>
      </c>
    </row>
    <row r="2912" spans="1:21" x14ac:dyDescent="0.25">
      <c r="B2912">
        <v>230</v>
      </c>
      <c r="C2912" t="s">
        <v>3535</v>
      </c>
      <c r="E2912" s="18">
        <v>-500</v>
      </c>
      <c r="F2912" t="s">
        <v>889</v>
      </c>
      <c r="G2912" t="s">
        <v>442</v>
      </c>
      <c r="I2912"/>
      <c r="J2912"/>
      <c r="L2912"/>
      <c r="M2912"/>
      <c r="O2912"/>
      <c r="P2912" s="20"/>
      <c r="Q2912" s="20"/>
      <c r="R2912" s="20"/>
      <c r="S2912" s="20"/>
      <c r="T2912" s="20"/>
      <c r="U2912" t="s">
        <v>401</v>
      </c>
    </row>
    <row r="2913" spans="2:21" x14ac:dyDescent="0.25">
      <c r="B2913">
        <v>230</v>
      </c>
      <c r="C2913" t="s">
        <v>3467</v>
      </c>
      <c r="D2913">
        <v>3</v>
      </c>
      <c r="E2913" s="18">
        <v>-500</v>
      </c>
      <c r="F2913" t="s">
        <v>889</v>
      </c>
      <c r="G2913" t="s">
        <v>442</v>
      </c>
      <c r="I2913"/>
      <c r="J2913"/>
      <c r="L2913"/>
      <c r="M2913"/>
      <c r="O2913"/>
      <c r="P2913" s="20"/>
      <c r="Q2913" s="20"/>
      <c r="R2913" s="20"/>
      <c r="S2913" s="20"/>
      <c r="T2913" s="20"/>
      <c r="U2913" t="s">
        <v>401</v>
      </c>
    </row>
    <row r="2914" spans="2:21" x14ac:dyDescent="0.25">
      <c r="B2914">
        <v>230</v>
      </c>
      <c r="C2914" t="s">
        <v>3585</v>
      </c>
      <c r="D2914">
        <v>6</v>
      </c>
      <c r="E2914" s="18">
        <v>200</v>
      </c>
      <c r="F2914" t="s">
        <v>889</v>
      </c>
      <c r="G2914" t="s">
        <v>3586</v>
      </c>
      <c r="I2914"/>
      <c r="J2914"/>
      <c r="L2914"/>
      <c r="M2914"/>
      <c r="O2914"/>
      <c r="P2914" s="20"/>
      <c r="Q2914" s="20"/>
      <c r="R2914" s="20"/>
      <c r="S2914" s="20"/>
      <c r="T2914" s="20"/>
      <c r="U2914" t="s">
        <v>401</v>
      </c>
    </row>
    <row r="2915" spans="2:21" x14ac:dyDescent="0.25">
      <c r="B2915">
        <v>230</v>
      </c>
      <c r="C2915" t="s">
        <v>3585</v>
      </c>
      <c r="E2915" s="18">
        <v>200</v>
      </c>
      <c r="G2915" t="s">
        <v>3586</v>
      </c>
      <c r="I2915"/>
      <c r="J2915"/>
      <c r="L2915"/>
      <c r="M2915"/>
      <c r="O2915"/>
      <c r="P2915" s="20"/>
      <c r="Q2915" s="20"/>
      <c r="R2915" s="20"/>
      <c r="S2915" s="20"/>
      <c r="T2915" s="20"/>
      <c r="U2915" t="s">
        <v>401</v>
      </c>
    </row>
    <row r="2916" spans="2:21" x14ac:dyDescent="0.25">
      <c r="B2916">
        <v>230</v>
      </c>
      <c r="C2916" t="s">
        <v>2584</v>
      </c>
      <c r="E2916" s="18">
        <v>-200</v>
      </c>
      <c r="F2916" t="s">
        <v>891</v>
      </c>
      <c r="G2916" t="s">
        <v>442</v>
      </c>
      <c r="I2916"/>
      <c r="J2916"/>
      <c r="L2916"/>
      <c r="M2916"/>
      <c r="O2916"/>
      <c r="P2916" s="20"/>
      <c r="Q2916" s="20"/>
      <c r="R2916" s="20"/>
      <c r="S2916" s="20"/>
      <c r="T2916" s="20"/>
      <c r="U2916" t="s">
        <v>401</v>
      </c>
    </row>
    <row r="2917" spans="2:21" x14ac:dyDescent="0.25">
      <c r="B2917">
        <v>230</v>
      </c>
      <c r="C2917" t="s">
        <v>3583</v>
      </c>
      <c r="D2917">
        <v>9</v>
      </c>
      <c r="E2917" s="18">
        <v>-900</v>
      </c>
      <c r="F2917" t="s">
        <v>889</v>
      </c>
      <c r="G2917" t="s">
        <v>3584</v>
      </c>
      <c r="I2917"/>
      <c r="J2917"/>
      <c r="L2917"/>
      <c r="M2917"/>
      <c r="O2917"/>
      <c r="P2917" s="20"/>
      <c r="Q2917" s="20"/>
      <c r="R2917" s="20"/>
      <c r="S2917" s="20"/>
      <c r="T2917" s="20"/>
      <c r="U2917" t="s">
        <v>401</v>
      </c>
    </row>
    <row r="2918" spans="2:21" x14ac:dyDescent="0.25">
      <c r="B2918">
        <v>230</v>
      </c>
      <c r="C2918" t="s">
        <v>3581</v>
      </c>
      <c r="D2918">
        <v>3.75</v>
      </c>
      <c r="E2918" s="18">
        <v>375</v>
      </c>
      <c r="F2918" t="s">
        <v>889</v>
      </c>
      <c r="G2918" t="s">
        <v>3582</v>
      </c>
      <c r="I2918"/>
      <c r="J2918"/>
      <c r="L2918"/>
      <c r="M2918"/>
      <c r="O2918"/>
      <c r="P2918" s="20"/>
      <c r="Q2918" s="20"/>
      <c r="R2918" s="20"/>
      <c r="S2918" s="20"/>
      <c r="T2918" s="20"/>
      <c r="U2918" t="s">
        <v>401</v>
      </c>
    </row>
    <row r="2919" spans="2:21" x14ac:dyDescent="0.25">
      <c r="B2919">
        <v>230</v>
      </c>
      <c r="C2919" t="s">
        <v>3587</v>
      </c>
      <c r="D2919">
        <v>8.25</v>
      </c>
      <c r="E2919" s="18">
        <v>275</v>
      </c>
      <c r="F2919" t="s">
        <v>889</v>
      </c>
      <c r="G2919" t="s">
        <v>3588</v>
      </c>
      <c r="I2919"/>
      <c r="J2919"/>
      <c r="L2919"/>
      <c r="M2919"/>
      <c r="O2919"/>
      <c r="P2919" s="20"/>
      <c r="Q2919" s="20"/>
      <c r="R2919" s="20"/>
      <c r="S2919" s="20"/>
      <c r="T2919" s="20"/>
      <c r="U2919" t="s">
        <v>401</v>
      </c>
    </row>
    <row r="2920" spans="2:21" x14ac:dyDescent="0.25">
      <c r="B2920">
        <v>230</v>
      </c>
      <c r="C2920" t="s">
        <v>3587</v>
      </c>
      <c r="E2920" s="18">
        <v>275</v>
      </c>
      <c r="G2920" t="s">
        <v>3588</v>
      </c>
      <c r="I2920"/>
      <c r="J2920"/>
      <c r="L2920"/>
      <c r="M2920"/>
      <c r="O2920"/>
      <c r="P2920" s="20"/>
      <c r="Q2920" s="20"/>
      <c r="R2920" s="20"/>
      <c r="S2920" s="20"/>
      <c r="T2920" s="20"/>
      <c r="U2920" t="s">
        <v>401</v>
      </c>
    </row>
    <row r="2921" spans="2:21" x14ac:dyDescent="0.25">
      <c r="B2921">
        <v>230</v>
      </c>
      <c r="C2921" t="s">
        <v>3593</v>
      </c>
      <c r="D2921">
        <v>6.25</v>
      </c>
      <c r="E2921" s="18">
        <v>625</v>
      </c>
      <c r="F2921" t="s">
        <v>889</v>
      </c>
      <c r="G2921" t="s">
        <v>3570</v>
      </c>
      <c r="I2921"/>
      <c r="J2921"/>
      <c r="L2921"/>
      <c r="M2921"/>
      <c r="O2921"/>
      <c r="P2921" s="20"/>
      <c r="Q2921" s="20"/>
      <c r="R2921" s="20"/>
      <c r="S2921" s="20"/>
      <c r="T2921" s="20"/>
      <c r="U2921" t="s">
        <v>401</v>
      </c>
    </row>
    <row r="2922" spans="2:21" x14ac:dyDescent="0.25">
      <c r="B2922">
        <v>230</v>
      </c>
      <c r="C2922" t="s">
        <v>3571</v>
      </c>
      <c r="D2922">
        <v>7.25</v>
      </c>
      <c r="E2922" s="18">
        <v>-725</v>
      </c>
      <c r="F2922" t="s">
        <v>889</v>
      </c>
      <c r="G2922" t="s">
        <v>3572</v>
      </c>
      <c r="I2922"/>
      <c r="J2922"/>
      <c r="L2922"/>
      <c r="M2922"/>
      <c r="O2922"/>
      <c r="P2922" s="20"/>
      <c r="Q2922" s="20"/>
      <c r="R2922" s="20"/>
      <c r="S2922" s="20"/>
      <c r="T2922" s="20"/>
      <c r="U2922" t="s">
        <v>401</v>
      </c>
    </row>
    <row r="2923" spans="2:21" x14ac:dyDescent="0.25">
      <c r="B2923">
        <v>230</v>
      </c>
      <c r="C2923" t="s">
        <v>1484</v>
      </c>
      <c r="E2923" s="18">
        <v>-162.2430645</v>
      </c>
      <c r="F2923" t="s">
        <v>891</v>
      </c>
      <c r="G2923" t="s">
        <v>442</v>
      </c>
      <c r="I2923"/>
      <c r="J2923"/>
      <c r="L2923"/>
      <c r="M2923"/>
      <c r="O2923"/>
      <c r="P2923" s="20"/>
      <c r="Q2923" s="20"/>
      <c r="R2923" s="20"/>
      <c r="S2923" s="20"/>
      <c r="T2923" s="20"/>
      <c r="U2923" t="s">
        <v>401</v>
      </c>
    </row>
    <row r="2924" spans="2:21" x14ac:dyDescent="0.25">
      <c r="B2924">
        <v>230</v>
      </c>
      <c r="C2924" t="s">
        <v>1480</v>
      </c>
      <c r="E2924" s="18">
        <v>-162.2430645</v>
      </c>
      <c r="F2924" t="s">
        <v>891</v>
      </c>
      <c r="G2924" t="s">
        <v>442</v>
      </c>
      <c r="I2924"/>
      <c r="J2924"/>
      <c r="L2924"/>
      <c r="M2924"/>
      <c r="O2924"/>
      <c r="P2924" s="20"/>
      <c r="Q2924" s="20"/>
      <c r="R2924" s="20"/>
      <c r="S2924" s="20"/>
      <c r="T2924" s="20"/>
      <c r="U2924" t="s">
        <v>401</v>
      </c>
    </row>
    <row r="2925" spans="2:21" x14ac:dyDescent="0.25">
      <c r="B2925">
        <v>230</v>
      </c>
      <c r="C2925" t="s">
        <v>1269</v>
      </c>
      <c r="E2925" s="18">
        <v>-329.12164519999999</v>
      </c>
      <c r="F2925" t="s">
        <v>891</v>
      </c>
      <c r="G2925" t="s">
        <v>442</v>
      </c>
      <c r="I2925"/>
      <c r="J2925"/>
      <c r="L2925"/>
      <c r="M2925"/>
      <c r="O2925"/>
      <c r="P2925" s="20"/>
      <c r="Q2925" s="20"/>
      <c r="R2925" s="20"/>
      <c r="S2925" s="20"/>
      <c r="T2925" s="20"/>
      <c r="U2925" t="s">
        <v>401</v>
      </c>
    </row>
    <row r="2926" spans="2:21" x14ac:dyDescent="0.25">
      <c r="B2926">
        <v>230</v>
      </c>
      <c r="C2926" t="s">
        <v>1108</v>
      </c>
      <c r="E2926" s="18">
        <v>-162.2430645</v>
      </c>
      <c r="F2926" t="s">
        <v>891</v>
      </c>
      <c r="G2926" t="s">
        <v>442</v>
      </c>
      <c r="I2926"/>
      <c r="J2926"/>
      <c r="L2926"/>
      <c r="M2926"/>
      <c r="O2926"/>
      <c r="P2926" s="20"/>
      <c r="Q2926" s="20"/>
      <c r="R2926" s="20"/>
      <c r="S2926" s="20"/>
      <c r="T2926" s="20"/>
      <c r="U2926" t="s">
        <v>401</v>
      </c>
    </row>
    <row r="2927" spans="2:21" x14ac:dyDescent="0.25">
      <c r="B2927">
        <v>230</v>
      </c>
      <c r="C2927" t="s">
        <v>2575</v>
      </c>
      <c r="E2927" s="18">
        <v>-119.7508333</v>
      </c>
      <c r="F2927" t="s">
        <v>891</v>
      </c>
      <c r="G2927" t="s">
        <v>442</v>
      </c>
      <c r="I2927"/>
      <c r="J2927"/>
      <c r="L2927"/>
      <c r="M2927"/>
      <c r="O2927"/>
      <c r="P2927" s="20"/>
      <c r="Q2927" s="20"/>
      <c r="R2927" s="20"/>
      <c r="S2927" s="20"/>
      <c r="T2927" s="20"/>
      <c r="U2927" t="s">
        <v>401</v>
      </c>
    </row>
    <row r="2928" spans="2:21" x14ac:dyDescent="0.25">
      <c r="B2928">
        <v>230</v>
      </c>
      <c r="C2928" t="s">
        <v>1111</v>
      </c>
      <c r="E2928" s="18">
        <v>-167.6511667</v>
      </c>
      <c r="F2928" t="s">
        <v>891</v>
      </c>
      <c r="G2928" t="s">
        <v>442</v>
      </c>
      <c r="I2928"/>
      <c r="J2928"/>
      <c r="L2928"/>
      <c r="M2928"/>
      <c r="O2928"/>
      <c r="P2928" s="20"/>
      <c r="Q2928" s="20"/>
      <c r="R2928" s="20"/>
      <c r="S2928" s="20"/>
      <c r="T2928" s="20"/>
      <c r="U2928" t="s">
        <v>401</v>
      </c>
    </row>
    <row r="2929" spans="1:21" x14ac:dyDescent="0.25">
      <c r="B2929">
        <v>230</v>
      </c>
      <c r="C2929" t="s">
        <v>3573</v>
      </c>
      <c r="D2929">
        <v>4</v>
      </c>
      <c r="E2929" s="18">
        <v>-400</v>
      </c>
      <c r="F2929" t="s">
        <v>889</v>
      </c>
      <c r="G2929" t="s">
        <v>3574</v>
      </c>
      <c r="I2929"/>
      <c r="J2929"/>
      <c r="L2929"/>
      <c r="M2929"/>
      <c r="O2929"/>
      <c r="P2929" s="20"/>
      <c r="Q2929" s="20"/>
      <c r="R2929" s="20"/>
      <c r="S2929" s="20"/>
      <c r="T2929" s="20"/>
      <c r="U2929" t="s">
        <v>401</v>
      </c>
    </row>
    <row r="2930" spans="1:21" x14ac:dyDescent="0.25">
      <c r="B2930">
        <v>230</v>
      </c>
      <c r="C2930" t="s">
        <v>3575</v>
      </c>
      <c r="D2930">
        <v>8.5</v>
      </c>
      <c r="E2930" s="18">
        <v>-850</v>
      </c>
      <c r="F2930" t="s">
        <v>889</v>
      </c>
      <c r="G2930" t="s">
        <v>3576</v>
      </c>
      <c r="I2930"/>
      <c r="J2930"/>
      <c r="L2930"/>
      <c r="M2930"/>
      <c r="O2930"/>
      <c r="P2930" s="20"/>
      <c r="Q2930" s="20"/>
      <c r="R2930" s="20"/>
      <c r="S2930" s="20"/>
      <c r="T2930" s="20"/>
      <c r="U2930" t="s">
        <v>401</v>
      </c>
    </row>
    <row r="2931" spans="1:21" x14ac:dyDescent="0.25">
      <c r="B2931">
        <v>230</v>
      </c>
      <c r="C2931" t="s">
        <v>3577</v>
      </c>
      <c r="D2931">
        <v>7.5</v>
      </c>
      <c r="E2931" s="18">
        <v>-750</v>
      </c>
      <c r="F2931" t="s">
        <v>889</v>
      </c>
      <c r="G2931" t="s">
        <v>3578</v>
      </c>
      <c r="I2931"/>
      <c r="J2931"/>
      <c r="L2931"/>
      <c r="M2931"/>
      <c r="O2931"/>
      <c r="P2931" s="20"/>
      <c r="Q2931" s="20"/>
      <c r="R2931" s="20"/>
      <c r="S2931" s="20"/>
      <c r="T2931" s="20"/>
      <c r="U2931" t="s">
        <v>401</v>
      </c>
    </row>
    <row r="2932" spans="1:21" x14ac:dyDescent="0.25">
      <c r="A2932" s="3">
        <v>41838</v>
      </c>
      <c r="B2932" s="36">
        <v>231</v>
      </c>
      <c r="C2932" t="s">
        <v>3594</v>
      </c>
      <c r="D2932">
        <v>11</v>
      </c>
      <c r="E2932" s="18">
        <v>1100</v>
      </c>
      <c r="G2932" t="s">
        <v>3595</v>
      </c>
      <c r="H2932" s="18">
        <v>1100</v>
      </c>
      <c r="I2932" s="3">
        <v>41838</v>
      </c>
      <c r="J2932"/>
      <c r="L2932"/>
      <c r="M2932"/>
      <c r="N2932" s="20"/>
      <c r="O2932" t="s">
        <v>931</v>
      </c>
      <c r="P2932" s="20"/>
      <c r="Q2932" s="20"/>
      <c r="R2932" s="20"/>
      <c r="S2932" s="20"/>
      <c r="T2932" s="20"/>
    </row>
    <row r="2933" spans="1:21" x14ac:dyDescent="0.25">
      <c r="A2933" s="3">
        <v>41838</v>
      </c>
      <c r="B2933" s="36">
        <v>231</v>
      </c>
      <c r="C2933" t="s">
        <v>3453</v>
      </c>
      <c r="E2933" s="18">
        <v>-191.60133329999999</v>
      </c>
      <c r="G2933" t="s">
        <v>442</v>
      </c>
      <c r="H2933" s="18" t="s">
        <v>442</v>
      </c>
      <c r="I2933" s="3" t="s">
        <v>442</v>
      </c>
      <c r="J2933"/>
      <c r="L2933"/>
      <c r="M2933"/>
      <c r="N2933" s="20"/>
      <c r="O2933" t="s">
        <v>3454</v>
      </c>
      <c r="P2933" s="20"/>
      <c r="Q2933" s="20" t="s">
        <v>401</v>
      </c>
      <c r="R2933" s="20"/>
      <c r="S2933" s="20"/>
      <c r="T2933" s="20"/>
    </row>
    <row r="2934" spans="1:21" x14ac:dyDescent="0.25">
      <c r="A2934" s="3">
        <v>41838</v>
      </c>
      <c r="B2934" s="36">
        <v>231</v>
      </c>
      <c r="C2934" t="s">
        <v>3453</v>
      </c>
      <c r="E2934" s="18">
        <v>-215.5515</v>
      </c>
      <c r="G2934" t="s">
        <v>442</v>
      </c>
      <c r="H2934" s="18" t="s">
        <v>442</v>
      </c>
      <c r="I2934" s="3" t="s">
        <v>442</v>
      </c>
      <c r="J2934"/>
      <c r="L2934"/>
      <c r="M2934"/>
      <c r="N2934" s="20"/>
      <c r="O2934" t="s">
        <v>2654</v>
      </c>
      <c r="P2934" s="20"/>
      <c r="Q2934" s="20" t="s">
        <v>401</v>
      </c>
      <c r="R2934" s="20"/>
      <c r="S2934" s="20"/>
      <c r="T2934" s="20"/>
    </row>
    <row r="2935" spans="1:21" x14ac:dyDescent="0.25">
      <c r="A2935" s="3">
        <v>41838</v>
      </c>
      <c r="B2935" s="36">
        <v>231</v>
      </c>
      <c r="C2935" t="s">
        <v>3453</v>
      </c>
      <c r="E2935" s="18">
        <v>-162.2430645</v>
      </c>
      <c r="G2935" t="s">
        <v>442</v>
      </c>
      <c r="H2935" s="18" t="s">
        <v>442</v>
      </c>
      <c r="I2935" s="3" t="s">
        <v>442</v>
      </c>
      <c r="J2935"/>
      <c r="L2935"/>
      <c r="M2935"/>
      <c r="N2935" s="20"/>
      <c r="O2935" t="s">
        <v>1090</v>
      </c>
      <c r="P2935" s="20"/>
      <c r="Q2935" s="20" t="s">
        <v>401</v>
      </c>
      <c r="R2935" s="20"/>
      <c r="S2935" s="20"/>
      <c r="T2935" s="20"/>
    </row>
    <row r="2936" spans="1:21" x14ac:dyDescent="0.25">
      <c r="A2936" s="3">
        <v>41851</v>
      </c>
      <c r="B2936" s="36">
        <v>231</v>
      </c>
      <c r="C2936" t="s">
        <v>3596</v>
      </c>
      <c r="D2936">
        <v>7</v>
      </c>
      <c r="E2936" s="18">
        <v>700</v>
      </c>
      <c r="F2936" t="s">
        <v>889</v>
      </c>
      <c r="G2936" t="s">
        <v>3597</v>
      </c>
      <c r="H2936" s="18">
        <v>700</v>
      </c>
      <c r="I2936" s="3">
        <v>41851</v>
      </c>
      <c r="J2936"/>
      <c r="L2936"/>
      <c r="M2936"/>
      <c r="N2936" s="20"/>
      <c r="O2936" t="s">
        <v>931</v>
      </c>
      <c r="P2936" s="20"/>
      <c r="Q2936" s="20"/>
      <c r="R2936" s="20"/>
      <c r="S2936" s="20"/>
      <c r="T2936" s="20"/>
    </row>
    <row r="2937" spans="1:21" x14ac:dyDescent="0.25">
      <c r="A2937" s="3">
        <v>41851</v>
      </c>
      <c r="B2937" s="36">
        <v>231</v>
      </c>
      <c r="C2937" t="s">
        <v>3598</v>
      </c>
      <c r="D2937">
        <v>9.25</v>
      </c>
      <c r="E2937" s="18">
        <v>925</v>
      </c>
      <c r="F2937" t="s">
        <v>889</v>
      </c>
      <c r="G2937" t="s">
        <v>3599</v>
      </c>
      <c r="H2937" s="18">
        <v>925</v>
      </c>
      <c r="I2937" s="3">
        <v>41851</v>
      </c>
      <c r="J2937"/>
      <c r="L2937"/>
      <c r="M2937"/>
      <c r="N2937" s="20"/>
      <c r="O2937" t="s">
        <v>931</v>
      </c>
      <c r="P2937" s="20"/>
      <c r="Q2937" s="20"/>
      <c r="R2937" s="20"/>
      <c r="S2937" s="20"/>
      <c r="T2937" s="20"/>
    </row>
    <row r="2938" spans="1:21" x14ac:dyDescent="0.25">
      <c r="A2938" s="3">
        <v>41851</v>
      </c>
      <c r="B2938" s="36">
        <v>231</v>
      </c>
      <c r="C2938" t="s">
        <v>3600</v>
      </c>
      <c r="D2938">
        <v>5</v>
      </c>
      <c r="E2938" s="18">
        <v>500</v>
      </c>
      <c r="F2938" t="s">
        <v>889</v>
      </c>
      <c r="G2938" t="s">
        <v>3601</v>
      </c>
      <c r="H2938" s="18">
        <v>500</v>
      </c>
      <c r="I2938" s="3">
        <v>41851</v>
      </c>
      <c r="J2938"/>
      <c r="L2938"/>
      <c r="M2938"/>
      <c r="N2938" s="20"/>
      <c r="O2938" t="s">
        <v>931</v>
      </c>
      <c r="P2938" s="20"/>
      <c r="Q2938" s="20"/>
      <c r="R2938" s="20"/>
      <c r="S2938" s="20"/>
      <c r="T2938" s="20"/>
    </row>
    <row r="2939" spans="1:21" x14ac:dyDescent="0.25">
      <c r="A2939" s="3">
        <v>41851</v>
      </c>
      <c r="B2939" s="36">
        <v>231</v>
      </c>
      <c r="C2939" t="s">
        <v>3602</v>
      </c>
      <c r="D2939">
        <v>10.75</v>
      </c>
      <c r="E2939" s="18">
        <v>1075</v>
      </c>
      <c r="F2939" t="s">
        <v>889</v>
      </c>
      <c r="G2939" t="s">
        <v>3603</v>
      </c>
      <c r="H2939" s="18">
        <v>1075</v>
      </c>
      <c r="I2939" s="3">
        <v>41851</v>
      </c>
      <c r="J2939"/>
      <c r="L2939"/>
      <c r="M2939"/>
      <c r="N2939" s="20"/>
      <c r="O2939" t="s">
        <v>931</v>
      </c>
      <c r="P2939" s="20"/>
      <c r="Q2939" s="20"/>
      <c r="R2939" s="20"/>
      <c r="S2939" s="20"/>
      <c r="T2939" s="20"/>
    </row>
    <row r="2940" spans="1:21" x14ac:dyDescent="0.25">
      <c r="A2940" s="3">
        <v>41851</v>
      </c>
      <c r="B2940" s="36">
        <v>231</v>
      </c>
      <c r="C2940" t="s">
        <v>1482</v>
      </c>
      <c r="E2940" s="18">
        <v>-162.2430645</v>
      </c>
      <c r="F2940" t="s">
        <v>889</v>
      </c>
      <c r="G2940" t="s">
        <v>442</v>
      </c>
      <c r="H2940" s="18" t="s">
        <v>442</v>
      </c>
      <c r="I2940" s="3" t="s">
        <v>442</v>
      </c>
      <c r="J2940"/>
      <c r="L2940"/>
      <c r="M2940"/>
      <c r="N2940" s="20"/>
      <c r="O2940" t="s">
        <v>1219</v>
      </c>
      <c r="P2940" s="20"/>
      <c r="Q2940" s="20" t="s">
        <v>401</v>
      </c>
      <c r="R2940" s="20"/>
      <c r="S2940" s="20"/>
      <c r="T2940" s="20"/>
    </row>
    <row r="2941" spans="1:21" x14ac:dyDescent="0.25">
      <c r="A2941" s="3">
        <v>41851</v>
      </c>
      <c r="B2941" s="36">
        <v>231</v>
      </c>
      <c r="C2941" t="s">
        <v>1483</v>
      </c>
      <c r="E2941" s="18">
        <v>-162.2430645</v>
      </c>
      <c r="F2941" t="s">
        <v>889</v>
      </c>
      <c r="G2941" t="s">
        <v>442</v>
      </c>
      <c r="H2941" s="18" t="s">
        <v>442</v>
      </c>
      <c r="I2941" s="3" t="s">
        <v>442</v>
      </c>
      <c r="J2941"/>
      <c r="L2941"/>
      <c r="M2941"/>
      <c r="N2941" s="20"/>
      <c r="O2941" t="s">
        <v>1228</v>
      </c>
      <c r="P2941" s="20"/>
      <c r="Q2941" s="20" t="s">
        <v>401</v>
      </c>
      <c r="R2941" s="20"/>
      <c r="S2941" s="20"/>
      <c r="T2941" s="20"/>
    </row>
    <row r="2942" spans="1:21" x14ac:dyDescent="0.25">
      <c r="A2942" s="3">
        <v>41851</v>
      </c>
      <c r="B2942" s="36">
        <v>231</v>
      </c>
      <c r="C2942" t="s">
        <v>1237</v>
      </c>
      <c r="E2942" s="18">
        <v>-162.2430645</v>
      </c>
      <c r="F2942" t="s">
        <v>891</v>
      </c>
      <c r="G2942" t="s">
        <v>442</v>
      </c>
      <c r="H2942" s="18" t="s">
        <v>442</v>
      </c>
      <c r="I2942" s="3" t="s">
        <v>442</v>
      </c>
      <c r="J2942"/>
      <c r="L2942"/>
      <c r="M2942"/>
      <c r="N2942" s="20"/>
      <c r="O2942" t="s">
        <v>1238</v>
      </c>
      <c r="P2942" s="20"/>
      <c r="Q2942" s="20" t="s">
        <v>401</v>
      </c>
      <c r="R2942" s="20"/>
      <c r="S2942" s="20"/>
      <c r="T2942" s="20"/>
    </row>
    <row r="2943" spans="1:21" x14ac:dyDescent="0.25">
      <c r="A2943" s="3">
        <v>41858</v>
      </c>
      <c r="B2943" s="36">
        <v>231</v>
      </c>
      <c r="C2943" t="s">
        <v>3532</v>
      </c>
      <c r="D2943">
        <v>5</v>
      </c>
      <c r="E2943" s="18">
        <v>500</v>
      </c>
      <c r="F2943" t="s">
        <v>889</v>
      </c>
      <c r="G2943" t="s">
        <v>442</v>
      </c>
      <c r="H2943" s="18" t="s">
        <v>442</v>
      </c>
      <c r="I2943" s="3" t="s">
        <v>442</v>
      </c>
      <c r="J2943"/>
      <c r="L2943"/>
      <c r="M2943"/>
      <c r="N2943" s="20"/>
      <c r="O2943"/>
      <c r="P2943" s="20"/>
      <c r="Q2943" s="20"/>
      <c r="R2943" s="20"/>
      <c r="S2943" s="20"/>
      <c r="T2943" s="20" t="s">
        <v>401</v>
      </c>
    </row>
    <row r="2944" spans="1:21" x14ac:dyDescent="0.25">
      <c r="A2944" s="3">
        <v>41859</v>
      </c>
      <c r="B2944" s="36">
        <v>231</v>
      </c>
      <c r="C2944" t="s">
        <v>3604</v>
      </c>
      <c r="D2944">
        <v>8.25</v>
      </c>
      <c r="E2944" s="18">
        <v>825</v>
      </c>
      <c r="F2944" t="s">
        <v>889</v>
      </c>
      <c r="G2944" t="s">
        <v>3605</v>
      </c>
      <c r="H2944" s="18">
        <v>825</v>
      </c>
      <c r="I2944" s="3">
        <v>41859</v>
      </c>
      <c r="J2944"/>
      <c r="L2944"/>
      <c r="M2944"/>
      <c r="N2944" s="20"/>
      <c r="O2944"/>
      <c r="P2944" s="20"/>
      <c r="Q2944" s="20"/>
      <c r="R2944" s="20"/>
      <c r="S2944" s="20"/>
      <c r="T2944" s="20"/>
    </row>
    <row r="2945" spans="1:20" x14ac:dyDescent="0.25">
      <c r="A2945" s="3">
        <v>41859</v>
      </c>
      <c r="B2945" s="36">
        <v>231</v>
      </c>
      <c r="C2945" t="s">
        <v>3606</v>
      </c>
      <c r="D2945">
        <v>6.5</v>
      </c>
      <c r="E2945" s="18">
        <v>650</v>
      </c>
      <c r="F2945" t="s">
        <v>889</v>
      </c>
      <c r="G2945" t="s">
        <v>3607</v>
      </c>
      <c r="H2945" s="18">
        <v>650</v>
      </c>
      <c r="I2945" s="3">
        <v>41859</v>
      </c>
      <c r="J2945"/>
      <c r="L2945"/>
      <c r="M2945"/>
      <c r="N2945" s="20"/>
      <c r="O2945"/>
      <c r="P2945" s="20"/>
      <c r="Q2945" s="20"/>
      <c r="R2945" s="20"/>
      <c r="S2945" s="20"/>
      <c r="T2945" s="20"/>
    </row>
    <row r="2946" spans="1:20" x14ac:dyDescent="0.25">
      <c r="A2946" s="3">
        <v>41859</v>
      </c>
      <c r="B2946" s="36">
        <v>231</v>
      </c>
      <c r="C2946" t="s">
        <v>3608</v>
      </c>
      <c r="D2946">
        <v>4.5</v>
      </c>
      <c r="E2946" s="18">
        <v>450</v>
      </c>
      <c r="F2946" t="s">
        <v>889</v>
      </c>
      <c r="G2946" t="s">
        <v>3609</v>
      </c>
      <c r="H2946" s="18">
        <v>450</v>
      </c>
      <c r="I2946" s="3">
        <v>41859</v>
      </c>
      <c r="J2946"/>
      <c r="L2946"/>
      <c r="M2946"/>
      <c r="N2946" s="20"/>
      <c r="O2946"/>
      <c r="P2946" s="20"/>
      <c r="Q2946" s="20"/>
      <c r="R2946" s="20"/>
      <c r="S2946" s="20"/>
      <c r="T2946" s="20"/>
    </row>
    <row r="2947" spans="1:20" x14ac:dyDescent="0.25">
      <c r="A2947" s="3">
        <v>41859</v>
      </c>
      <c r="B2947" s="36">
        <v>231</v>
      </c>
      <c r="C2947" t="s">
        <v>3610</v>
      </c>
      <c r="D2947">
        <v>6.5</v>
      </c>
      <c r="E2947" s="18">
        <v>650</v>
      </c>
      <c r="F2947" t="s">
        <v>889</v>
      </c>
      <c r="G2947" t="s">
        <v>3611</v>
      </c>
      <c r="H2947" s="18">
        <v>650</v>
      </c>
      <c r="I2947" s="3">
        <v>41859</v>
      </c>
      <c r="J2947"/>
      <c r="L2947"/>
      <c r="M2947"/>
      <c r="N2947" s="20"/>
      <c r="O2947"/>
      <c r="P2947" s="20"/>
      <c r="Q2947" s="20"/>
      <c r="R2947" s="20"/>
      <c r="S2947" s="20"/>
      <c r="T2947" s="20"/>
    </row>
    <row r="2948" spans="1:20" x14ac:dyDescent="0.25">
      <c r="A2948" s="3">
        <v>41859</v>
      </c>
      <c r="B2948" s="36">
        <v>231</v>
      </c>
      <c r="C2948" t="s">
        <v>3612</v>
      </c>
      <c r="D2948">
        <v>9.25</v>
      </c>
      <c r="E2948" s="18">
        <v>925</v>
      </c>
      <c r="F2948" t="s">
        <v>889</v>
      </c>
      <c r="G2948" t="s">
        <v>3613</v>
      </c>
      <c r="H2948" s="18">
        <v>925</v>
      </c>
      <c r="I2948" s="3">
        <v>41859</v>
      </c>
      <c r="J2948"/>
      <c r="L2948"/>
      <c r="M2948"/>
      <c r="N2948" s="20"/>
      <c r="O2948"/>
      <c r="P2948" s="20"/>
      <c r="Q2948" s="20"/>
      <c r="R2948" s="20"/>
      <c r="S2948" s="20"/>
      <c r="T2948" s="20"/>
    </row>
    <row r="2949" spans="1:20" x14ac:dyDescent="0.25">
      <c r="A2949" s="3">
        <v>41865</v>
      </c>
      <c r="B2949" s="36">
        <v>231</v>
      </c>
      <c r="C2949" t="s">
        <v>3614</v>
      </c>
      <c r="E2949" s="18">
        <v>500</v>
      </c>
      <c r="F2949" t="s">
        <v>889</v>
      </c>
      <c r="G2949" t="s">
        <v>442</v>
      </c>
      <c r="H2949" s="18" t="s">
        <v>442</v>
      </c>
      <c r="I2949" s="3" t="s">
        <v>442</v>
      </c>
      <c r="J2949"/>
      <c r="L2949"/>
      <c r="M2949"/>
      <c r="N2949" s="20"/>
      <c r="O2949"/>
      <c r="P2949" s="20"/>
      <c r="Q2949" s="20"/>
      <c r="R2949" s="20"/>
      <c r="S2949" s="20"/>
      <c r="T2949" s="20" t="s">
        <v>401</v>
      </c>
    </row>
    <row r="2950" spans="1:20" x14ac:dyDescent="0.25">
      <c r="A2950" s="3">
        <v>41873</v>
      </c>
      <c r="B2950" s="36">
        <v>231</v>
      </c>
      <c r="C2950" t="s">
        <v>3615</v>
      </c>
      <c r="D2950">
        <v>4.75</v>
      </c>
      <c r="E2950" s="18">
        <v>475</v>
      </c>
      <c r="F2950" t="s">
        <v>889</v>
      </c>
      <c r="G2950" t="s">
        <v>3616</v>
      </c>
      <c r="H2950" s="18">
        <v>475</v>
      </c>
      <c r="I2950" s="3">
        <v>41873</v>
      </c>
      <c r="J2950"/>
      <c r="L2950"/>
      <c r="M2950"/>
      <c r="N2950" s="20"/>
      <c r="O2950"/>
      <c r="P2950" s="20"/>
      <c r="Q2950" s="20"/>
      <c r="R2950" s="20"/>
      <c r="S2950" s="20"/>
      <c r="T2950" s="20"/>
    </row>
    <row r="2951" spans="1:20" x14ac:dyDescent="0.25">
      <c r="A2951" s="3">
        <v>41880</v>
      </c>
      <c r="B2951" s="36">
        <v>231</v>
      </c>
      <c r="C2951" t="s">
        <v>3617</v>
      </c>
      <c r="D2951">
        <v>7.75</v>
      </c>
      <c r="E2951" s="18">
        <v>775</v>
      </c>
      <c r="F2951" t="s">
        <v>889</v>
      </c>
      <c r="G2951" t="s">
        <v>3618</v>
      </c>
      <c r="H2951" s="18">
        <v>775</v>
      </c>
      <c r="I2951" s="3">
        <v>41880</v>
      </c>
      <c r="J2951"/>
      <c r="L2951"/>
      <c r="M2951"/>
      <c r="N2951" s="20"/>
      <c r="O2951"/>
      <c r="P2951" s="20"/>
      <c r="Q2951" s="20"/>
      <c r="R2951" s="20"/>
      <c r="S2951" s="20"/>
      <c r="T2951" s="20"/>
    </row>
    <row r="2952" spans="1:20" x14ac:dyDescent="0.25">
      <c r="A2952" s="3">
        <v>41886</v>
      </c>
      <c r="B2952" s="36">
        <v>231</v>
      </c>
      <c r="C2952" t="s">
        <v>3539</v>
      </c>
      <c r="D2952">
        <v>2</v>
      </c>
      <c r="E2952" s="18">
        <v>500</v>
      </c>
      <c r="G2952" t="s">
        <v>442</v>
      </c>
      <c r="H2952" s="18" t="s">
        <v>442</v>
      </c>
      <c r="I2952" s="3" t="s">
        <v>442</v>
      </c>
      <c r="J2952"/>
      <c r="L2952"/>
      <c r="M2952"/>
      <c r="N2952" s="20"/>
      <c r="O2952"/>
      <c r="P2952" s="20"/>
      <c r="Q2952" s="20"/>
      <c r="R2952" s="20"/>
      <c r="S2952" s="20"/>
      <c r="T2952" s="20" t="s">
        <v>401</v>
      </c>
    </row>
    <row r="2953" spans="1:20" x14ac:dyDescent="0.25">
      <c r="A2953" s="3">
        <v>41894</v>
      </c>
      <c r="B2953" s="36">
        <v>231</v>
      </c>
      <c r="C2953" t="s">
        <v>3619</v>
      </c>
      <c r="D2953">
        <v>5</v>
      </c>
      <c r="E2953" s="18">
        <v>-211.73</v>
      </c>
      <c r="F2953" t="s">
        <v>889</v>
      </c>
      <c r="G2953" t="s">
        <v>442</v>
      </c>
      <c r="H2953" s="18" t="s">
        <v>442</v>
      </c>
      <c r="I2953" s="3" t="s">
        <v>442</v>
      </c>
      <c r="J2953"/>
      <c r="L2953"/>
      <c r="M2953"/>
      <c r="N2953" s="20"/>
      <c r="O2953"/>
      <c r="P2953" s="20"/>
      <c r="Q2953" s="20"/>
      <c r="R2953" s="20"/>
      <c r="S2953" s="20"/>
      <c r="T2953" s="20" t="s">
        <v>401</v>
      </c>
    </row>
    <row r="2954" spans="1:20" x14ac:dyDescent="0.25">
      <c r="A2954" s="3">
        <v>41894</v>
      </c>
      <c r="B2954" s="36">
        <v>231</v>
      </c>
      <c r="C2954" t="s">
        <v>3620</v>
      </c>
      <c r="D2954">
        <v>9.75</v>
      </c>
      <c r="E2954" s="18">
        <v>975</v>
      </c>
      <c r="F2954" t="s">
        <v>889</v>
      </c>
      <c r="G2954" t="s">
        <v>3621</v>
      </c>
      <c r="H2954" s="18">
        <v>975</v>
      </c>
      <c r="I2954" s="3">
        <v>41894</v>
      </c>
      <c r="J2954"/>
      <c r="L2954"/>
      <c r="M2954"/>
      <c r="N2954" s="20"/>
      <c r="O2954"/>
      <c r="P2954" s="20"/>
      <c r="Q2954" s="20"/>
      <c r="R2954" s="20"/>
      <c r="S2954" s="20"/>
      <c r="T2954" s="20"/>
    </row>
    <row r="2955" spans="1:20" x14ac:dyDescent="0.25">
      <c r="A2955" s="3">
        <v>41894</v>
      </c>
      <c r="B2955" s="36">
        <v>231</v>
      </c>
      <c r="C2955" t="s">
        <v>3622</v>
      </c>
      <c r="D2955">
        <v>4</v>
      </c>
      <c r="E2955" s="18">
        <v>400</v>
      </c>
      <c r="F2955" t="s">
        <v>889</v>
      </c>
      <c r="G2955" t="s">
        <v>3623</v>
      </c>
      <c r="H2955" s="18">
        <v>400</v>
      </c>
      <c r="I2955" s="3">
        <v>41894</v>
      </c>
      <c r="J2955"/>
      <c r="L2955"/>
      <c r="M2955"/>
      <c r="N2955" s="20"/>
      <c r="O2955"/>
      <c r="P2955" s="20"/>
      <c r="Q2955" s="20"/>
      <c r="R2955" s="20"/>
      <c r="S2955" s="20"/>
      <c r="T2955" s="20"/>
    </row>
    <row r="2956" spans="1:20" x14ac:dyDescent="0.25">
      <c r="A2956" s="3">
        <v>41894</v>
      </c>
      <c r="B2956" s="36">
        <v>231</v>
      </c>
      <c r="C2956" t="s">
        <v>1269</v>
      </c>
      <c r="E2956" s="18">
        <v>-329.12164519999999</v>
      </c>
      <c r="F2956" t="s">
        <v>891</v>
      </c>
      <c r="G2956" t="s">
        <v>442</v>
      </c>
      <c r="H2956" s="18" t="s">
        <v>442</v>
      </c>
      <c r="I2956" s="3" t="s">
        <v>442</v>
      </c>
      <c r="J2956"/>
      <c r="L2956"/>
      <c r="M2956"/>
      <c r="N2956" s="20"/>
      <c r="O2956"/>
      <c r="P2956" s="20"/>
      <c r="Q2956" s="20" t="s">
        <v>401</v>
      </c>
      <c r="R2956" s="20"/>
      <c r="S2956" s="20"/>
      <c r="T2956" s="20"/>
    </row>
    <row r="2957" spans="1:20" x14ac:dyDescent="0.25">
      <c r="A2957" s="3">
        <v>41894</v>
      </c>
      <c r="B2957" s="36">
        <v>231</v>
      </c>
      <c r="C2957" t="s">
        <v>1111</v>
      </c>
      <c r="E2957" s="18">
        <v>-167.6511667</v>
      </c>
      <c r="F2957" t="s">
        <v>891</v>
      </c>
      <c r="G2957" t="s">
        <v>442</v>
      </c>
      <c r="H2957" s="18" t="s">
        <v>442</v>
      </c>
      <c r="I2957" s="3" t="s">
        <v>442</v>
      </c>
      <c r="J2957"/>
      <c r="L2957"/>
      <c r="M2957"/>
      <c r="N2957" s="20"/>
      <c r="O2957"/>
      <c r="P2957" s="20"/>
      <c r="Q2957" s="20" t="s">
        <v>401</v>
      </c>
      <c r="R2957" s="20"/>
      <c r="S2957" s="20"/>
      <c r="T2957" s="20"/>
    </row>
    <row r="2958" spans="1:20" x14ac:dyDescent="0.25">
      <c r="A2958" s="3">
        <v>41894</v>
      </c>
      <c r="B2958" s="36">
        <v>231</v>
      </c>
      <c r="C2958" t="s">
        <v>3624</v>
      </c>
      <c r="D2958">
        <v>7</v>
      </c>
      <c r="E2958" s="18">
        <v>700</v>
      </c>
      <c r="F2958" t="s">
        <v>889</v>
      </c>
      <c r="G2958" t="s">
        <v>3625</v>
      </c>
      <c r="H2958" s="18">
        <v>700</v>
      </c>
      <c r="I2958" s="3">
        <v>41894</v>
      </c>
      <c r="J2958"/>
      <c r="L2958"/>
      <c r="M2958"/>
      <c r="N2958" s="20"/>
      <c r="O2958"/>
      <c r="P2958" s="20"/>
      <c r="Q2958" s="20"/>
      <c r="R2958" s="20"/>
      <c r="S2958" s="20"/>
      <c r="T2958" s="20"/>
    </row>
    <row r="2959" spans="1:20" x14ac:dyDescent="0.25">
      <c r="A2959" s="3">
        <v>41894</v>
      </c>
      <c r="B2959" s="36">
        <v>231</v>
      </c>
      <c r="C2959" t="s">
        <v>3626</v>
      </c>
      <c r="D2959">
        <v>8.75</v>
      </c>
      <c r="E2959" s="18">
        <v>875</v>
      </c>
      <c r="F2959" t="s">
        <v>889</v>
      </c>
      <c r="G2959" t="s">
        <v>3627</v>
      </c>
      <c r="H2959" s="18">
        <v>875</v>
      </c>
      <c r="I2959" s="3">
        <v>41894</v>
      </c>
      <c r="J2959"/>
      <c r="L2959"/>
      <c r="M2959"/>
      <c r="N2959" s="20"/>
      <c r="O2959"/>
      <c r="P2959" s="20"/>
      <c r="Q2959" s="20"/>
      <c r="R2959" s="20"/>
      <c r="S2959" s="20"/>
      <c r="T2959" s="20"/>
    </row>
    <row r="2960" spans="1:20" x14ac:dyDescent="0.25">
      <c r="A2960" s="3">
        <v>41904</v>
      </c>
      <c r="B2960" s="36">
        <v>231</v>
      </c>
      <c r="C2960" t="s">
        <v>3628</v>
      </c>
      <c r="E2960" s="18">
        <v>500</v>
      </c>
      <c r="F2960" t="s">
        <v>889</v>
      </c>
      <c r="G2960" t="s">
        <v>442</v>
      </c>
      <c r="H2960" s="18" t="s">
        <v>442</v>
      </c>
      <c r="I2960" s="3" t="s">
        <v>442</v>
      </c>
      <c r="J2960"/>
      <c r="L2960"/>
      <c r="M2960"/>
      <c r="N2960" s="20"/>
      <c r="O2960"/>
      <c r="P2960" s="20"/>
      <c r="Q2960" s="20"/>
      <c r="R2960" s="20"/>
      <c r="S2960" s="20"/>
      <c r="T2960" s="20" t="s">
        <v>401</v>
      </c>
    </row>
    <row r="2961" spans="2:21" x14ac:dyDescent="0.25">
      <c r="B2961">
        <v>231</v>
      </c>
      <c r="C2961" t="s">
        <v>3629</v>
      </c>
      <c r="D2961">
        <v>3.75</v>
      </c>
      <c r="E2961" s="18">
        <v>375</v>
      </c>
      <c r="F2961" t="s">
        <v>889</v>
      </c>
      <c r="G2961" t="s">
        <v>3630</v>
      </c>
      <c r="I2961"/>
      <c r="J2961"/>
      <c r="L2961"/>
      <c r="M2961"/>
      <c r="O2961"/>
      <c r="P2961" s="20"/>
      <c r="Q2961" s="20"/>
      <c r="R2961" s="20"/>
      <c r="S2961" s="20"/>
      <c r="T2961" s="20"/>
      <c r="U2961" t="s">
        <v>401</v>
      </c>
    </row>
    <row r="2962" spans="2:21" x14ac:dyDescent="0.25">
      <c r="B2962">
        <v>231</v>
      </c>
      <c r="C2962" t="s">
        <v>3631</v>
      </c>
      <c r="D2962">
        <v>9</v>
      </c>
      <c r="E2962" s="18">
        <v>900</v>
      </c>
      <c r="F2962" t="s">
        <v>889</v>
      </c>
      <c r="G2962" t="s">
        <v>3632</v>
      </c>
      <c r="I2962"/>
      <c r="J2962"/>
      <c r="L2962"/>
      <c r="M2962"/>
      <c r="O2962"/>
      <c r="P2962" s="20"/>
      <c r="Q2962" s="20"/>
      <c r="R2962" s="20"/>
      <c r="S2962" s="20"/>
      <c r="T2962" s="20"/>
      <c r="U2962" t="s">
        <v>401</v>
      </c>
    </row>
    <row r="2963" spans="2:21" x14ac:dyDescent="0.25">
      <c r="B2963">
        <v>231</v>
      </c>
      <c r="C2963" t="s">
        <v>3631</v>
      </c>
      <c r="D2963">
        <v>9</v>
      </c>
      <c r="E2963" s="18">
        <v>-900</v>
      </c>
      <c r="F2963" t="s">
        <v>889</v>
      </c>
      <c r="G2963" t="s">
        <v>3632</v>
      </c>
      <c r="I2963"/>
      <c r="J2963"/>
      <c r="L2963"/>
      <c r="M2963"/>
      <c r="O2963"/>
      <c r="P2963" s="20"/>
      <c r="Q2963" s="20"/>
      <c r="R2963" s="20"/>
      <c r="S2963" s="20"/>
      <c r="T2963" s="20"/>
      <c r="U2963" t="s">
        <v>401</v>
      </c>
    </row>
    <row r="2964" spans="2:21" x14ac:dyDescent="0.25">
      <c r="B2964">
        <v>231</v>
      </c>
      <c r="C2964" t="s">
        <v>3614</v>
      </c>
      <c r="D2964" t="s">
        <v>3633</v>
      </c>
      <c r="E2964" s="18">
        <v>-500</v>
      </c>
      <c r="F2964" t="s">
        <v>889</v>
      </c>
      <c r="G2964" t="s">
        <v>442</v>
      </c>
      <c r="I2964"/>
      <c r="J2964"/>
      <c r="L2964"/>
      <c r="M2964"/>
      <c r="O2964"/>
      <c r="P2964" s="20"/>
      <c r="Q2964" s="20"/>
      <c r="R2964" s="20"/>
      <c r="S2964" s="20"/>
      <c r="T2964" s="20"/>
      <c r="U2964" t="s">
        <v>401</v>
      </c>
    </row>
    <row r="2965" spans="2:21" x14ac:dyDescent="0.25">
      <c r="B2965">
        <v>231</v>
      </c>
      <c r="C2965" t="s">
        <v>3634</v>
      </c>
      <c r="D2965">
        <v>5</v>
      </c>
      <c r="E2965" s="18">
        <v>-288.27</v>
      </c>
      <c r="F2965" t="s">
        <v>889</v>
      </c>
      <c r="G2965" t="s">
        <v>442</v>
      </c>
      <c r="I2965"/>
      <c r="J2965"/>
      <c r="L2965"/>
      <c r="M2965"/>
      <c r="O2965"/>
      <c r="P2965" s="20"/>
      <c r="Q2965" s="20"/>
      <c r="R2965" s="20"/>
      <c r="S2965" s="20"/>
      <c r="T2965" s="20"/>
      <c r="U2965" t="s">
        <v>401</v>
      </c>
    </row>
    <row r="2966" spans="2:21" x14ac:dyDescent="0.25">
      <c r="B2966">
        <v>231</v>
      </c>
      <c r="C2966" t="s">
        <v>3539</v>
      </c>
      <c r="D2966">
        <v>2</v>
      </c>
      <c r="E2966" s="18">
        <v>-500</v>
      </c>
      <c r="G2966" t="s">
        <v>442</v>
      </c>
      <c r="I2966"/>
      <c r="J2966"/>
      <c r="L2966"/>
      <c r="M2966"/>
      <c r="O2966"/>
      <c r="P2966" s="20"/>
      <c r="Q2966" s="20"/>
      <c r="R2966" s="20"/>
      <c r="S2966" s="20"/>
      <c r="T2966" s="20"/>
      <c r="U2966" t="s">
        <v>401</v>
      </c>
    </row>
    <row r="2967" spans="2:21" x14ac:dyDescent="0.25">
      <c r="B2967">
        <v>231</v>
      </c>
      <c r="C2967" t="s">
        <v>3628</v>
      </c>
      <c r="E2967" s="18">
        <v>-500</v>
      </c>
      <c r="F2967" t="s">
        <v>889</v>
      </c>
      <c r="G2967" t="s">
        <v>442</v>
      </c>
      <c r="I2967"/>
      <c r="J2967"/>
      <c r="L2967"/>
      <c r="M2967"/>
      <c r="O2967"/>
      <c r="P2967" s="20"/>
      <c r="Q2967" s="20"/>
      <c r="R2967" s="20"/>
      <c r="S2967" s="20"/>
      <c r="T2967" s="20"/>
      <c r="U2967" t="s">
        <v>401</v>
      </c>
    </row>
    <row r="2968" spans="2:21" x14ac:dyDescent="0.25">
      <c r="B2968">
        <v>231</v>
      </c>
      <c r="C2968" t="s">
        <v>3606</v>
      </c>
      <c r="D2968">
        <v>6.5</v>
      </c>
      <c r="E2968" s="18">
        <v>650</v>
      </c>
      <c r="F2968" t="s">
        <v>889</v>
      </c>
      <c r="G2968" t="s">
        <v>3607</v>
      </c>
      <c r="I2968"/>
      <c r="J2968"/>
      <c r="L2968"/>
      <c r="M2968"/>
      <c r="O2968"/>
      <c r="P2968" s="20"/>
      <c r="Q2968" s="20"/>
      <c r="R2968" s="20"/>
      <c r="S2968" s="20"/>
      <c r="T2968" s="20"/>
      <c r="U2968" t="s">
        <v>401</v>
      </c>
    </row>
    <row r="2969" spans="2:21" x14ac:dyDescent="0.25">
      <c r="B2969">
        <v>231</v>
      </c>
      <c r="C2969" t="s">
        <v>3620</v>
      </c>
      <c r="D2969">
        <v>9.75</v>
      </c>
      <c r="E2969" s="18">
        <v>-975</v>
      </c>
      <c r="F2969" t="s">
        <v>889</v>
      </c>
      <c r="G2969" t="s">
        <v>3621</v>
      </c>
      <c r="I2969"/>
      <c r="J2969"/>
      <c r="L2969"/>
      <c r="M2969"/>
      <c r="O2969"/>
      <c r="P2969" s="20"/>
      <c r="Q2969" s="20"/>
      <c r="R2969" s="20"/>
      <c r="S2969" s="20"/>
      <c r="T2969" s="20"/>
      <c r="U2969" t="s">
        <v>401</v>
      </c>
    </row>
    <row r="2970" spans="2:21" x14ac:dyDescent="0.25">
      <c r="B2970">
        <v>231</v>
      </c>
      <c r="C2970" t="s">
        <v>3617</v>
      </c>
      <c r="D2970">
        <v>7.75</v>
      </c>
      <c r="E2970" s="18">
        <v>-775</v>
      </c>
      <c r="F2970" t="s">
        <v>889</v>
      </c>
      <c r="G2970" t="s">
        <v>3618</v>
      </c>
      <c r="I2970"/>
      <c r="J2970"/>
      <c r="L2970"/>
      <c r="M2970"/>
      <c r="O2970"/>
      <c r="P2970" s="20"/>
      <c r="Q2970" s="20"/>
      <c r="R2970" s="20"/>
      <c r="S2970" s="20"/>
      <c r="T2970" s="20"/>
      <c r="U2970" t="s">
        <v>401</v>
      </c>
    </row>
    <row r="2971" spans="2:21" x14ac:dyDescent="0.25">
      <c r="B2971">
        <v>231</v>
      </c>
      <c r="C2971" t="s">
        <v>3596</v>
      </c>
      <c r="D2971">
        <v>7</v>
      </c>
      <c r="E2971" s="18">
        <v>233.33333333333334</v>
      </c>
      <c r="F2971" t="s">
        <v>889</v>
      </c>
      <c r="G2971" t="s">
        <v>3597</v>
      </c>
      <c r="I2971"/>
      <c r="J2971"/>
      <c r="L2971"/>
      <c r="M2971"/>
      <c r="O2971"/>
      <c r="P2971" s="20"/>
      <c r="Q2971" s="20"/>
      <c r="R2971" s="20"/>
      <c r="S2971" s="20"/>
      <c r="T2971" s="20"/>
      <c r="U2971" t="s">
        <v>401</v>
      </c>
    </row>
    <row r="2972" spans="2:21" x14ac:dyDescent="0.25">
      <c r="B2972">
        <v>231</v>
      </c>
      <c r="C2972" t="s">
        <v>3596</v>
      </c>
      <c r="E2972" s="18">
        <v>233.33333333333334</v>
      </c>
      <c r="G2972" t="s">
        <v>3597</v>
      </c>
      <c r="I2972"/>
      <c r="J2972"/>
      <c r="L2972"/>
      <c r="M2972"/>
      <c r="O2972"/>
      <c r="P2972" s="20"/>
      <c r="Q2972" s="20"/>
      <c r="R2972" s="20"/>
      <c r="S2972" s="20"/>
      <c r="T2972" s="20"/>
      <c r="U2972" t="s">
        <v>401</v>
      </c>
    </row>
    <row r="2973" spans="2:21" x14ac:dyDescent="0.25">
      <c r="B2973">
        <v>231</v>
      </c>
      <c r="C2973" t="s">
        <v>3622</v>
      </c>
      <c r="D2973">
        <v>9.18</v>
      </c>
      <c r="E2973" s="18">
        <v>-400</v>
      </c>
      <c r="F2973" t="s">
        <v>889</v>
      </c>
      <c r="G2973" t="s">
        <v>3623</v>
      </c>
      <c r="I2973"/>
      <c r="J2973"/>
      <c r="L2973"/>
      <c r="M2973"/>
      <c r="O2973"/>
      <c r="P2973" s="20"/>
      <c r="Q2973" s="20"/>
      <c r="R2973" s="20"/>
      <c r="S2973" s="20"/>
      <c r="T2973" s="20"/>
      <c r="U2973" t="s">
        <v>401</v>
      </c>
    </row>
    <row r="2974" spans="2:21" x14ac:dyDescent="0.25">
      <c r="B2974">
        <v>231</v>
      </c>
      <c r="C2974" t="s">
        <v>3602</v>
      </c>
      <c r="D2974">
        <v>10.75</v>
      </c>
      <c r="E2974" s="18">
        <v>-1075</v>
      </c>
      <c r="F2974" t="s">
        <v>889</v>
      </c>
      <c r="G2974" t="s">
        <v>3603</v>
      </c>
      <c r="I2974"/>
      <c r="J2974"/>
      <c r="L2974"/>
      <c r="M2974"/>
      <c r="O2974"/>
      <c r="P2974" s="20"/>
      <c r="Q2974" s="20"/>
      <c r="R2974" s="20"/>
      <c r="S2974" s="20"/>
      <c r="T2974" s="20"/>
      <c r="U2974" t="s">
        <v>401</v>
      </c>
    </row>
    <row r="2975" spans="2:21" x14ac:dyDescent="0.25">
      <c r="B2975">
        <v>231</v>
      </c>
      <c r="C2975" t="s">
        <v>3635</v>
      </c>
      <c r="D2975">
        <v>4.5</v>
      </c>
      <c r="E2975" s="18">
        <v>450</v>
      </c>
      <c r="F2975" t="s">
        <v>889</v>
      </c>
      <c r="G2975" t="s">
        <v>3636</v>
      </c>
      <c r="I2975"/>
      <c r="J2975"/>
      <c r="L2975"/>
      <c r="M2975"/>
      <c r="O2975"/>
      <c r="P2975" s="20"/>
      <c r="Q2975" s="20"/>
      <c r="R2975" s="20"/>
      <c r="S2975" s="20"/>
      <c r="T2975" s="20"/>
      <c r="U2975" t="s">
        <v>401</v>
      </c>
    </row>
    <row r="2976" spans="2:21" x14ac:dyDescent="0.25">
      <c r="B2976">
        <v>231</v>
      </c>
      <c r="C2976" t="s">
        <v>3615</v>
      </c>
      <c r="D2976">
        <v>4.75</v>
      </c>
      <c r="E2976" s="18">
        <v>-475</v>
      </c>
      <c r="F2976" t="s">
        <v>889</v>
      </c>
      <c r="G2976" t="s">
        <v>3616</v>
      </c>
      <c r="I2976"/>
      <c r="J2976"/>
      <c r="L2976"/>
      <c r="M2976"/>
      <c r="O2976"/>
      <c r="P2976" s="20"/>
      <c r="Q2976" s="20"/>
      <c r="R2976" s="20"/>
      <c r="S2976" s="20"/>
      <c r="T2976" s="20"/>
      <c r="U2976" t="s">
        <v>401</v>
      </c>
    </row>
    <row r="2977" spans="1:21" x14ac:dyDescent="0.25">
      <c r="B2977">
        <v>231</v>
      </c>
      <c r="C2977" t="s">
        <v>3608</v>
      </c>
      <c r="D2977">
        <v>4.5</v>
      </c>
      <c r="E2977" s="18">
        <v>450</v>
      </c>
      <c r="F2977" t="s">
        <v>889</v>
      </c>
      <c r="G2977" t="s">
        <v>3609</v>
      </c>
      <c r="I2977"/>
      <c r="J2977"/>
      <c r="L2977"/>
      <c r="M2977"/>
      <c r="O2977"/>
      <c r="P2977" s="20"/>
      <c r="Q2977" s="20"/>
      <c r="R2977" s="20"/>
      <c r="S2977" s="20"/>
      <c r="T2977" s="20"/>
      <c r="U2977" t="s">
        <v>401</v>
      </c>
    </row>
    <row r="2978" spans="1:21" x14ac:dyDescent="0.25">
      <c r="B2978">
        <v>231</v>
      </c>
      <c r="C2978" t="s">
        <v>3594</v>
      </c>
      <c r="D2978">
        <v>11</v>
      </c>
      <c r="E2978" s="18">
        <v>-1100</v>
      </c>
      <c r="F2978" t="s">
        <v>889</v>
      </c>
      <c r="G2978" t="s">
        <v>3595</v>
      </c>
      <c r="I2978"/>
      <c r="J2978"/>
      <c r="L2978"/>
      <c r="M2978"/>
      <c r="O2978"/>
      <c r="P2978" s="20"/>
      <c r="Q2978" s="20"/>
      <c r="R2978" s="20"/>
      <c r="S2978" s="20"/>
      <c r="T2978" s="20"/>
      <c r="U2978" t="s">
        <v>401</v>
      </c>
    </row>
    <row r="2979" spans="1:21" x14ac:dyDescent="0.25">
      <c r="B2979">
        <v>231</v>
      </c>
      <c r="C2979" t="s">
        <v>3610</v>
      </c>
      <c r="D2979">
        <v>6.5</v>
      </c>
      <c r="E2979" s="18">
        <v>-650</v>
      </c>
      <c r="F2979" t="s">
        <v>889</v>
      </c>
      <c r="G2979" t="s">
        <v>3611</v>
      </c>
      <c r="I2979"/>
      <c r="J2979"/>
      <c r="L2979"/>
      <c r="M2979"/>
      <c r="O2979"/>
      <c r="P2979" s="20"/>
      <c r="Q2979" s="20"/>
      <c r="R2979" s="20"/>
      <c r="S2979" s="20"/>
      <c r="T2979" s="20"/>
      <c r="U2979" t="s">
        <v>401</v>
      </c>
    </row>
    <row r="2980" spans="1:21" x14ac:dyDescent="0.25">
      <c r="B2980">
        <v>231</v>
      </c>
      <c r="C2980" t="s">
        <v>1480</v>
      </c>
      <c r="E2980" s="18">
        <v>-162.2430645</v>
      </c>
      <c r="F2980" t="s">
        <v>891</v>
      </c>
      <c r="G2980" t="s">
        <v>442</v>
      </c>
      <c r="I2980"/>
      <c r="J2980"/>
      <c r="L2980"/>
      <c r="M2980"/>
      <c r="O2980"/>
      <c r="P2980" s="20"/>
      <c r="Q2980" s="20"/>
      <c r="R2980" s="20"/>
      <c r="S2980" s="20"/>
      <c r="T2980" s="20"/>
      <c r="U2980" t="s">
        <v>401</v>
      </c>
    </row>
    <row r="2981" spans="1:21" x14ac:dyDescent="0.25">
      <c r="B2981">
        <v>231</v>
      </c>
      <c r="C2981" t="s">
        <v>1106</v>
      </c>
      <c r="E2981" s="18">
        <v>-162.2430645</v>
      </c>
      <c r="F2981" t="s">
        <v>891</v>
      </c>
      <c r="G2981" t="s">
        <v>442</v>
      </c>
      <c r="I2981"/>
      <c r="J2981"/>
      <c r="L2981"/>
      <c r="M2981"/>
      <c r="O2981"/>
      <c r="P2981" s="20"/>
      <c r="Q2981" s="20"/>
      <c r="R2981" s="20"/>
      <c r="S2981" s="20"/>
      <c r="T2981" s="20"/>
      <c r="U2981" t="s">
        <v>401</v>
      </c>
    </row>
    <row r="2982" spans="1:21" x14ac:dyDescent="0.25">
      <c r="B2982">
        <v>231</v>
      </c>
      <c r="C2982" t="s">
        <v>1108</v>
      </c>
      <c r="E2982" s="18">
        <v>-162.2430645</v>
      </c>
      <c r="F2982" t="s">
        <v>891</v>
      </c>
      <c r="G2982" t="s">
        <v>442</v>
      </c>
      <c r="I2982"/>
      <c r="J2982"/>
      <c r="L2982"/>
      <c r="M2982"/>
      <c r="O2982"/>
      <c r="P2982" s="20"/>
      <c r="Q2982" s="20"/>
      <c r="R2982" s="20"/>
      <c r="S2982" s="20"/>
      <c r="T2982" s="20"/>
      <c r="U2982" t="s">
        <v>401</v>
      </c>
    </row>
    <row r="2983" spans="1:21" x14ac:dyDescent="0.25">
      <c r="B2983">
        <v>231</v>
      </c>
      <c r="C2983" t="s">
        <v>2575</v>
      </c>
      <c r="E2983" s="18">
        <v>-119.7508333</v>
      </c>
      <c r="F2983" t="s">
        <v>891</v>
      </c>
      <c r="G2983" t="s">
        <v>442</v>
      </c>
      <c r="I2983"/>
      <c r="J2983"/>
      <c r="L2983"/>
      <c r="M2983"/>
      <c r="O2983"/>
      <c r="P2983" s="20"/>
      <c r="Q2983" s="20"/>
      <c r="R2983" s="20"/>
      <c r="S2983" s="20"/>
      <c r="T2983" s="20"/>
      <c r="U2983" t="s">
        <v>401</v>
      </c>
    </row>
    <row r="2984" spans="1:21" x14ac:dyDescent="0.25">
      <c r="B2984">
        <v>231</v>
      </c>
      <c r="C2984" t="s">
        <v>3612</v>
      </c>
      <c r="D2984">
        <v>9.25</v>
      </c>
      <c r="E2984" s="18">
        <v>-925</v>
      </c>
      <c r="F2984" t="s">
        <v>889</v>
      </c>
      <c r="G2984" t="s">
        <v>3613</v>
      </c>
      <c r="I2984"/>
      <c r="J2984"/>
      <c r="L2984"/>
      <c r="M2984"/>
      <c r="O2984"/>
      <c r="P2984" s="20"/>
      <c r="Q2984" s="20"/>
      <c r="R2984" s="20"/>
      <c r="S2984" s="20"/>
      <c r="T2984" s="20"/>
      <c r="U2984" t="s">
        <v>401</v>
      </c>
    </row>
    <row r="2985" spans="1:21" x14ac:dyDescent="0.25">
      <c r="B2985">
        <v>231</v>
      </c>
      <c r="C2985" t="s">
        <v>3624</v>
      </c>
      <c r="D2985">
        <v>7</v>
      </c>
      <c r="E2985" s="18">
        <v>-700</v>
      </c>
      <c r="F2985" t="s">
        <v>889</v>
      </c>
      <c r="G2985" t="s">
        <v>3625</v>
      </c>
      <c r="I2985"/>
      <c r="J2985"/>
      <c r="L2985"/>
      <c r="M2985"/>
      <c r="O2985"/>
      <c r="P2985" s="20"/>
      <c r="Q2985" s="20"/>
      <c r="R2985" s="20"/>
      <c r="S2985" s="20"/>
      <c r="T2985" s="20"/>
      <c r="U2985" t="s">
        <v>401</v>
      </c>
    </row>
    <row r="2986" spans="1:21" x14ac:dyDescent="0.25">
      <c r="B2986">
        <v>231</v>
      </c>
      <c r="C2986" t="s">
        <v>3626</v>
      </c>
      <c r="D2986">
        <v>8.75</v>
      </c>
      <c r="E2986" s="18">
        <v>546.87499999999955</v>
      </c>
      <c r="F2986" t="s">
        <v>889</v>
      </c>
      <c r="G2986" t="s">
        <v>3627</v>
      </c>
      <c r="I2986"/>
      <c r="J2986"/>
      <c r="L2986"/>
      <c r="M2986"/>
      <c r="O2986"/>
      <c r="P2986" s="20"/>
      <c r="Q2986" s="20"/>
      <c r="R2986" s="20"/>
      <c r="S2986" s="20"/>
      <c r="T2986" s="20"/>
      <c r="U2986" t="s">
        <v>401</v>
      </c>
    </row>
    <row r="2987" spans="1:21" x14ac:dyDescent="0.25">
      <c r="A2987" s="3">
        <v>41831</v>
      </c>
      <c r="B2987" s="36">
        <v>232</v>
      </c>
      <c r="C2987" t="s">
        <v>3453</v>
      </c>
      <c r="E2987" s="18">
        <v>-162.2430645</v>
      </c>
      <c r="G2987" t="s">
        <v>442</v>
      </c>
      <c r="H2987" s="18" t="s">
        <v>442</v>
      </c>
      <c r="I2987" s="3" t="s">
        <v>442</v>
      </c>
      <c r="J2987"/>
      <c r="L2987"/>
      <c r="M2987"/>
      <c r="N2987" s="20"/>
      <c r="O2987" t="s">
        <v>1090</v>
      </c>
      <c r="P2987" s="20"/>
      <c r="Q2987" s="20" t="s">
        <v>401</v>
      </c>
      <c r="R2987" s="20"/>
      <c r="S2987" s="20"/>
      <c r="T2987" s="20"/>
    </row>
    <row r="2988" spans="1:21" x14ac:dyDescent="0.25">
      <c r="A2988" s="3">
        <v>41838</v>
      </c>
      <c r="B2988" s="36">
        <v>232</v>
      </c>
      <c r="C2988" t="s">
        <v>3637</v>
      </c>
      <c r="D2988">
        <v>3</v>
      </c>
      <c r="E2988" s="18">
        <v>300</v>
      </c>
      <c r="G2988" t="s">
        <v>3638</v>
      </c>
      <c r="H2988" s="18">
        <v>300</v>
      </c>
      <c r="I2988" s="3">
        <v>41838</v>
      </c>
      <c r="J2988"/>
      <c r="L2988"/>
      <c r="M2988"/>
      <c r="N2988" s="20"/>
      <c r="O2988" t="s">
        <v>931</v>
      </c>
      <c r="P2988" s="20"/>
      <c r="Q2988" s="20"/>
      <c r="R2988" s="20"/>
      <c r="S2988" s="20"/>
      <c r="T2988" s="20"/>
    </row>
    <row r="2989" spans="1:21" x14ac:dyDescent="0.25">
      <c r="A2989" s="3">
        <v>41851</v>
      </c>
      <c r="B2989" s="36">
        <v>232</v>
      </c>
      <c r="C2989" t="s">
        <v>3637</v>
      </c>
      <c r="D2989">
        <v>3</v>
      </c>
      <c r="E2989" s="18">
        <v>-300</v>
      </c>
      <c r="G2989" t="s">
        <v>3638</v>
      </c>
      <c r="H2989" s="18" t="s">
        <v>442</v>
      </c>
      <c r="I2989" s="3" t="s">
        <v>442</v>
      </c>
      <c r="J2989"/>
      <c r="L2989"/>
      <c r="M2989"/>
      <c r="N2989" s="20"/>
      <c r="O2989" t="s">
        <v>947</v>
      </c>
      <c r="P2989" s="20"/>
      <c r="Q2989" s="20"/>
      <c r="R2989" s="20"/>
      <c r="S2989" s="20"/>
      <c r="T2989" s="20"/>
    </row>
    <row r="2990" spans="1:21" x14ac:dyDescent="0.25">
      <c r="A2990" s="3">
        <v>41851</v>
      </c>
      <c r="B2990" s="36">
        <v>232</v>
      </c>
      <c r="C2990" t="s">
        <v>3639</v>
      </c>
      <c r="D2990">
        <v>3.25</v>
      </c>
      <c r="E2990" s="18">
        <v>325</v>
      </c>
      <c r="F2990" t="s">
        <v>889</v>
      </c>
      <c r="G2990" t="s">
        <v>3640</v>
      </c>
      <c r="H2990" s="18">
        <v>325</v>
      </c>
      <c r="I2990" s="3">
        <v>41851</v>
      </c>
      <c r="J2990"/>
      <c r="L2990"/>
      <c r="M2990"/>
      <c r="N2990" s="20"/>
      <c r="O2990" t="s">
        <v>931</v>
      </c>
      <c r="P2990" s="20"/>
      <c r="Q2990" s="20"/>
      <c r="R2990" s="20"/>
      <c r="S2990" s="20"/>
      <c r="T2990" s="20"/>
    </row>
    <row r="2991" spans="1:21" x14ac:dyDescent="0.25">
      <c r="A2991" s="3">
        <v>41858</v>
      </c>
      <c r="B2991" s="36">
        <v>232</v>
      </c>
      <c r="C2991" t="s">
        <v>3467</v>
      </c>
      <c r="D2991">
        <v>4</v>
      </c>
      <c r="E2991" s="18">
        <v>500</v>
      </c>
      <c r="F2991" t="s">
        <v>889</v>
      </c>
      <c r="G2991" t="s">
        <v>442</v>
      </c>
      <c r="H2991" s="18" t="s">
        <v>442</v>
      </c>
      <c r="I2991" s="3" t="s">
        <v>442</v>
      </c>
      <c r="J2991"/>
      <c r="L2991"/>
      <c r="M2991"/>
      <c r="N2991" s="20"/>
      <c r="O2991"/>
      <c r="P2991" s="20"/>
      <c r="Q2991" s="20"/>
      <c r="R2991" s="20"/>
      <c r="S2991" s="20"/>
      <c r="T2991" s="20" t="s">
        <v>401</v>
      </c>
    </row>
    <row r="2992" spans="1:21" x14ac:dyDescent="0.25">
      <c r="A2992" s="3">
        <v>41859</v>
      </c>
      <c r="B2992" s="36">
        <v>232</v>
      </c>
      <c r="C2992" t="s">
        <v>3641</v>
      </c>
      <c r="D2992">
        <v>12.75</v>
      </c>
      <c r="E2992" s="18">
        <v>1275</v>
      </c>
      <c r="F2992" t="s">
        <v>889</v>
      </c>
      <c r="G2992" t="s">
        <v>3642</v>
      </c>
      <c r="H2992" s="18">
        <v>1275</v>
      </c>
      <c r="I2992" s="3">
        <v>41859</v>
      </c>
      <c r="J2992"/>
      <c r="L2992"/>
      <c r="M2992"/>
      <c r="N2992" s="20"/>
      <c r="O2992"/>
      <c r="P2992" s="20"/>
      <c r="Q2992" s="20"/>
      <c r="R2992" s="20"/>
      <c r="S2992" s="20"/>
      <c r="T2992" s="20"/>
    </row>
    <row r="2993" spans="1:20" x14ac:dyDescent="0.25">
      <c r="A2993" s="3">
        <v>41859</v>
      </c>
      <c r="B2993" s="36">
        <v>232</v>
      </c>
      <c r="C2993" t="s">
        <v>3643</v>
      </c>
      <c r="D2993">
        <v>4.5</v>
      </c>
      <c r="E2993" s="18">
        <v>450</v>
      </c>
      <c r="F2993" t="s">
        <v>889</v>
      </c>
      <c r="G2993" t="s">
        <v>3644</v>
      </c>
      <c r="H2993" s="18">
        <v>450</v>
      </c>
      <c r="I2993" s="3">
        <v>41859</v>
      </c>
      <c r="J2993"/>
      <c r="L2993"/>
      <c r="M2993"/>
      <c r="N2993" s="20"/>
      <c r="O2993"/>
      <c r="P2993" s="20"/>
      <c r="Q2993" s="20"/>
      <c r="R2993" s="20"/>
      <c r="S2993" s="20"/>
      <c r="T2993" s="20"/>
    </row>
    <row r="2994" spans="1:20" x14ac:dyDescent="0.25">
      <c r="A2994" s="3">
        <v>41859</v>
      </c>
      <c r="B2994" s="36">
        <v>232</v>
      </c>
      <c r="C2994" t="s">
        <v>3645</v>
      </c>
      <c r="D2994">
        <v>3</v>
      </c>
      <c r="E2994" s="18">
        <v>300</v>
      </c>
      <c r="F2994" t="s">
        <v>889</v>
      </c>
      <c r="G2994" t="s">
        <v>3646</v>
      </c>
      <c r="H2994" s="18">
        <v>300</v>
      </c>
      <c r="I2994" s="3">
        <v>41859</v>
      </c>
      <c r="J2994"/>
      <c r="L2994"/>
      <c r="M2994"/>
      <c r="N2994" s="20"/>
      <c r="O2994"/>
      <c r="P2994" s="20"/>
      <c r="Q2994" s="20"/>
      <c r="R2994" s="20"/>
      <c r="S2994" s="20"/>
      <c r="T2994" s="20"/>
    </row>
    <row r="2995" spans="1:20" x14ac:dyDescent="0.25">
      <c r="A2995" s="3">
        <v>41865</v>
      </c>
      <c r="B2995" s="36">
        <v>232</v>
      </c>
      <c r="C2995" t="s">
        <v>1480</v>
      </c>
      <c r="E2995" s="18">
        <v>-162.2430645</v>
      </c>
      <c r="F2995" t="s">
        <v>891</v>
      </c>
      <c r="G2995" t="s">
        <v>442</v>
      </c>
      <c r="H2995" s="18" t="s">
        <v>442</v>
      </c>
      <c r="I2995" s="3" t="s">
        <v>442</v>
      </c>
      <c r="J2995"/>
      <c r="L2995"/>
      <c r="M2995"/>
      <c r="N2995" s="20"/>
      <c r="O2995" t="s">
        <v>1481</v>
      </c>
      <c r="P2995" s="20"/>
      <c r="Q2995" s="20" t="s">
        <v>401</v>
      </c>
      <c r="R2995" s="20"/>
      <c r="S2995" s="20"/>
      <c r="T2995" s="20"/>
    </row>
    <row r="2996" spans="1:20" x14ac:dyDescent="0.25">
      <c r="A2996" s="3">
        <v>41865</v>
      </c>
      <c r="B2996" s="36">
        <v>232</v>
      </c>
      <c r="C2996" t="s">
        <v>3647</v>
      </c>
      <c r="D2996">
        <v>3.25</v>
      </c>
      <c r="E2996" s="18">
        <v>325</v>
      </c>
      <c r="F2996" t="s">
        <v>889</v>
      </c>
      <c r="G2996" t="s">
        <v>3648</v>
      </c>
      <c r="H2996" s="18">
        <v>325</v>
      </c>
      <c r="I2996" s="3">
        <v>41865</v>
      </c>
      <c r="J2996"/>
      <c r="L2996"/>
      <c r="M2996"/>
      <c r="N2996" s="20"/>
      <c r="O2996"/>
      <c r="P2996" s="20"/>
      <c r="Q2996" s="20"/>
      <c r="R2996" s="20"/>
      <c r="S2996" s="20"/>
      <c r="T2996" s="20"/>
    </row>
    <row r="2997" spans="1:20" x14ac:dyDescent="0.25">
      <c r="A2997" s="3">
        <v>41865</v>
      </c>
      <c r="B2997" s="36">
        <v>232</v>
      </c>
      <c r="C2997" t="s">
        <v>3647</v>
      </c>
      <c r="D2997">
        <v>2.5</v>
      </c>
      <c r="E2997" s="18">
        <v>250</v>
      </c>
      <c r="F2997" t="s">
        <v>889</v>
      </c>
      <c r="G2997" t="s">
        <v>3649</v>
      </c>
      <c r="H2997" s="18">
        <v>250</v>
      </c>
      <c r="I2997" s="3">
        <v>41865</v>
      </c>
      <c r="J2997"/>
      <c r="L2997"/>
      <c r="M2997"/>
      <c r="N2997" s="20"/>
      <c r="O2997"/>
      <c r="P2997" s="20"/>
      <c r="Q2997" s="20"/>
      <c r="R2997" s="20"/>
      <c r="S2997" s="20"/>
      <c r="T2997" s="20"/>
    </row>
    <row r="2998" spans="1:20" x14ac:dyDescent="0.25">
      <c r="A2998" s="3">
        <v>41873</v>
      </c>
      <c r="B2998" s="36">
        <v>232</v>
      </c>
      <c r="C2998" t="s">
        <v>1106</v>
      </c>
      <c r="E2998" s="18">
        <v>-162.2430645</v>
      </c>
      <c r="F2998" t="s">
        <v>891</v>
      </c>
      <c r="G2998" t="s">
        <v>442</v>
      </c>
      <c r="H2998" s="18" t="s">
        <v>442</v>
      </c>
      <c r="I2998" s="3" t="s">
        <v>442</v>
      </c>
      <c r="J2998"/>
      <c r="L2998"/>
      <c r="M2998"/>
      <c r="N2998" s="20"/>
      <c r="O2998" t="s">
        <v>1107</v>
      </c>
      <c r="P2998" s="20"/>
      <c r="Q2998" s="20" t="s">
        <v>401</v>
      </c>
      <c r="R2998" s="20"/>
      <c r="S2998" s="20"/>
      <c r="T2998" s="20"/>
    </row>
    <row r="2999" spans="1:20" x14ac:dyDescent="0.25">
      <c r="A2999" s="3">
        <v>41873</v>
      </c>
      <c r="B2999" s="36">
        <v>232</v>
      </c>
      <c r="C2999" t="s">
        <v>3650</v>
      </c>
      <c r="D2999">
        <v>9</v>
      </c>
      <c r="E2999" s="18">
        <v>900</v>
      </c>
      <c r="F2999" t="s">
        <v>889</v>
      </c>
      <c r="G2999" t="s">
        <v>3651</v>
      </c>
      <c r="H2999" s="18">
        <v>900</v>
      </c>
      <c r="I2999" s="3">
        <v>41873</v>
      </c>
      <c r="J2999"/>
      <c r="L2999"/>
      <c r="M2999"/>
      <c r="N2999" s="20"/>
      <c r="O2999"/>
      <c r="P2999" s="20"/>
      <c r="Q2999" s="20"/>
      <c r="R2999" s="20"/>
      <c r="S2999" s="20"/>
      <c r="T2999" s="20"/>
    </row>
    <row r="3000" spans="1:20" x14ac:dyDescent="0.25">
      <c r="A3000" s="3">
        <v>41879</v>
      </c>
      <c r="B3000" s="36">
        <v>232</v>
      </c>
      <c r="C3000" t="s">
        <v>3467</v>
      </c>
      <c r="D3000">
        <v>4</v>
      </c>
      <c r="E3000" s="18">
        <v>-500</v>
      </c>
      <c r="F3000" t="s">
        <v>889</v>
      </c>
      <c r="G3000" t="s">
        <v>442</v>
      </c>
      <c r="H3000" s="18" t="s">
        <v>442</v>
      </c>
      <c r="I3000" s="3" t="s">
        <v>442</v>
      </c>
      <c r="J3000"/>
      <c r="L3000"/>
      <c r="M3000"/>
      <c r="N3000" s="20"/>
      <c r="O3000"/>
      <c r="P3000" s="20"/>
      <c r="Q3000" s="20"/>
      <c r="R3000" s="20"/>
      <c r="S3000" s="20"/>
      <c r="T3000" s="20" t="s">
        <v>401</v>
      </c>
    </row>
    <row r="3001" spans="1:20" x14ac:dyDescent="0.25">
      <c r="A3001" s="3">
        <v>41879</v>
      </c>
      <c r="B3001" s="36">
        <v>232</v>
      </c>
      <c r="C3001" t="s">
        <v>3652</v>
      </c>
      <c r="D3001">
        <v>11.75</v>
      </c>
      <c r="E3001" s="18">
        <v>1175</v>
      </c>
      <c r="F3001" t="s">
        <v>889</v>
      </c>
      <c r="G3001" t="s">
        <v>3653</v>
      </c>
      <c r="H3001" s="18">
        <v>1175</v>
      </c>
      <c r="I3001" s="3">
        <v>41879</v>
      </c>
      <c r="J3001"/>
      <c r="L3001"/>
      <c r="M3001"/>
      <c r="N3001" s="20"/>
      <c r="O3001"/>
      <c r="P3001" s="20"/>
      <c r="Q3001" s="20"/>
      <c r="R3001" s="20"/>
      <c r="S3001" s="20"/>
      <c r="T3001" s="20"/>
    </row>
    <row r="3002" spans="1:20" x14ac:dyDescent="0.25">
      <c r="A3002" s="3">
        <v>41879</v>
      </c>
      <c r="B3002" s="36">
        <v>232</v>
      </c>
      <c r="C3002" t="s">
        <v>2047</v>
      </c>
      <c r="D3002">
        <v>2</v>
      </c>
      <c r="E3002" s="18">
        <v>-200</v>
      </c>
      <c r="F3002" t="s">
        <v>891</v>
      </c>
      <c r="G3002" t="s">
        <v>442</v>
      </c>
      <c r="H3002" s="18" t="s">
        <v>442</v>
      </c>
      <c r="I3002" s="3" t="s">
        <v>442</v>
      </c>
      <c r="J3002"/>
      <c r="L3002"/>
      <c r="M3002"/>
      <c r="N3002" s="20"/>
      <c r="O3002" t="s">
        <v>2047</v>
      </c>
      <c r="P3002" s="20"/>
      <c r="Q3002" s="20"/>
      <c r="R3002" s="20" t="s">
        <v>401</v>
      </c>
      <c r="S3002" s="20"/>
      <c r="T3002" s="20"/>
    </row>
    <row r="3003" spans="1:20" x14ac:dyDescent="0.25">
      <c r="A3003" s="3">
        <v>41879</v>
      </c>
      <c r="B3003" s="36">
        <v>232</v>
      </c>
      <c r="C3003" t="s">
        <v>3643</v>
      </c>
      <c r="D3003">
        <v>4.5</v>
      </c>
      <c r="E3003" s="18">
        <v>-450</v>
      </c>
      <c r="F3003" t="s">
        <v>889</v>
      </c>
      <c r="G3003" t="s">
        <v>3644</v>
      </c>
      <c r="H3003" s="18" t="s">
        <v>442</v>
      </c>
      <c r="I3003" s="3" t="s">
        <v>442</v>
      </c>
      <c r="J3003"/>
      <c r="L3003"/>
      <c r="M3003"/>
      <c r="N3003" s="20"/>
      <c r="O3003"/>
      <c r="P3003" s="20"/>
      <c r="Q3003" s="20"/>
      <c r="R3003" s="20"/>
      <c r="S3003" s="20"/>
      <c r="T3003" s="20"/>
    </row>
    <row r="3004" spans="1:20" x14ac:dyDescent="0.25">
      <c r="A3004" s="3">
        <v>41879</v>
      </c>
      <c r="B3004" s="36">
        <v>232</v>
      </c>
      <c r="C3004" t="s">
        <v>1106</v>
      </c>
      <c r="E3004" s="18">
        <v>-162.2430645</v>
      </c>
      <c r="F3004" t="s">
        <v>891</v>
      </c>
      <c r="G3004" t="s">
        <v>442</v>
      </c>
      <c r="H3004" s="18" t="s">
        <v>442</v>
      </c>
      <c r="I3004" s="3" t="s">
        <v>442</v>
      </c>
      <c r="J3004"/>
      <c r="L3004"/>
      <c r="M3004"/>
      <c r="N3004" s="20"/>
      <c r="O3004" t="s">
        <v>1107</v>
      </c>
      <c r="P3004" s="20"/>
      <c r="Q3004" s="20" t="s">
        <v>401</v>
      </c>
      <c r="R3004" s="20"/>
      <c r="S3004" s="20"/>
      <c r="T3004" s="20"/>
    </row>
    <row r="3005" spans="1:20" x14ac:dyDescent="0.25">
      <c r="A3005" s="3">
        <v>41879</v>
      </c>
      <c r="B3005" s="36">
        <v>232</v>
      </c>
      <c r="C3005" t="s">
        <v>1108</v>
      </c>
      <c r="E3005" s="18">
        <v>-162.2430645</v>
      </c>
      <c r="F3005" t="s">
        <v>891</v>
      </c>
      <c r="G3005" t="s">
        <v>442</v>
      </c>
      <c r="H3005" s="18" t="s">
        <v>442</v>
      </c>
      <c r="I3005" s="3" t="s">
        <v>442</v>
      </c>
      <c r="J3005"/>
      <c r="L3005"/>
      <c r="M3005"/>
      <c r="N3005" s="20"/>
      <c r="O3005" t="s">
        <v>1109</v>
      </c>
      <c r="P3005" s="20"/>
      <c r="Q3005" s="20" t="s">
        <v>401</v>
      </c>
      <c r="R3005" s="20"/>
      <c r="S3005" s="20"/>
      <c r="T3005" s="20"/>
    </row>
    <row r="3006" spans="1:20" x14ac:dyDescent="0.25">
      <c r="A3006" s="3">
        <v>41879</v>
      </c>
      <c r="B3006" s="36">
        <v>232</v>
      </c>
      <c r="C3006" t="s">
        <v>1482</v>
      </c>
      <c r="E3006" s="18">
        <v>-162.2430645</v>
      </c>
      <c r="G3006" t="s">
        <v>442</v>
      </c>
      <c r="H3006" s="18" t="s">
        <v>442</v>
      </c>
      <c r="I3006" s="3" t="s">
        <v>442</v>
      </c>
      <c r="J3006"/>
      <c r="L3006"/>
      <c r="M3006"/>
      <c r="N3006" s="20"/>
      <c r="O3006" t="s">
        <v>1219</v>
      </c>
      <c r="P3006" s="20"/>
      <c r="Q3006" s="20" t="s">
        <v>401</v>
      </c>
      <c r="R3006" s="20"/>
      <c r="S3006" s="20"/>
      <c r="T3006" s="20"/>
    </row>
    <row r="3007" spans="1:20" x14ac:dyDescent="0.25">
      <c r="A3007" s="3">
        <v>41879</v>
      </c>
      <c r="B3007" s="36">
        <v>232</v>
      </c>
      <c r="C3007" t="s">
        <v>1483</v>
      </c>
      <c r="E3007" s="18">
        <v>-162.2430645</v>
      </c>
      <c r="G3007" t="s">
        <v>442</v>
      </c>
      <c r="H3007" s="18" t="s">
        <v>442</v>
      </c>
      <c r="I3007" s="3" t="s">
        <v>442</v>
      </c>
      <c r="J3007"/>
      <c r="L3007"/>
      <c r="M3007"/>
      <c r="N3007" s="20"/>
      <c r="O3007" t="s">
        <v>1228</v>
      </c>
      <c r="P3007" s="20"/>
      <c r="Q3007" s="20" t="s">
        <v>401</v>
      </c>
      <c r="R3007" s="20"/>
      <c r="S3007" s="20"/>
      <c r="T3007" s="20"/>
    </row>
    <row r="3008" spans="1:20" x14ac:dyDescent="0.25">
      <c r="A3008" s="3">
        <v>41879</v>
      </c>
      <c r="B3008" s="36">
        <v>232</v>
      </c>
      <c r="C3008" t="s">
        <v>1237</v>
      </c>
      <c r="E3008" s="18">
        <v>-162.2430645</v>
      </c>
      <c r="F3008" t="s">
        <v>1484</v>
      </c>
      <c r="G3008" t="s">
        <v>442</v>
      </c>
      <c r="H3008" s="18" t="s">
        <v>442</v>
      </c>
      <c r="I3008" s="3" t="s">
        <v>442</v>
      </c>
      <c r="J3008"/>
      <c r="L3008"/>
      <c r="M3008"/>
      <c r="N3008" s="20"/>
      <c r="O3008" t="s">
        <v>1238</v>
      </c>
      <c r="P3008" s="20"/>
      <c r="Q3008" s="20" t="s">
        <v>401</v>
      </c>
      <c r="R3008" s="20"/>
      <c r="S3008" s="20"/>
      <c r="T3008" s="20"/>
    </row>
    <row r="3009" spans="1:20" x14ac:dyDescent="0.25">
      <c r="A3009" s="3">
        <v>41879</v>
      </c>
      <c r="B3009" s="36">
        <v>232</v>
      </c>
      <c r="C3009" t="s">
        <v>3654</v>
      </c>
      <c r="D3009">
        <v>5.25</v>
      </c>
      <c r="E3009" s="18">
        <v>525</v>
      </c>
      <c r="F3009" t="s">
        <v>889</v>
      </c>
      <c r="G3009" t="s">
        <v>3655</v>
      </c>
      <c r="H3009" s="18">
        <v>525</v>
      </c>
      <c r="I3009" s="3">
        <v>41879</v>
      </c>
      <c r="J3009"/>
      <c r="L3009"/>
      <c r="M3009"/>
      <c r="N3009" s="20"/>
      <c r="O3009"/>
      <c r="P3009" s="20"/>
      <c r="Q3009" s="20"/>
      <c r="R3009" s="20"/>
      <c r="S3009" s="20"/>
      <c r="T3009" s="20"/>
    </row>
    <row r="3010" spans="1:20" x14ac:dyDescent="0.25">
      <c r="A3010" s="3">
        <v>41879</v>
      </c>
      <c r="B3010" s="36">
        <v>232</v>
      </c>
      <c r="C3010" t="s">
        <v>3453</v>
      </c>
      <c r="E3010" s="18">
        <v>-191.60133329999999</v>
      </c>
      <c r="G3010" t="s">
        <v>442</v>
      </c>
      <c r="H3010" s="18" t="s">
        <v>442</v>
      </c>
      <c r="I3010" s="3" t="s">
        <v>442</v>
      </c>
      <c r="J3010"/>
      <c r="L3010"/>
      <c r="M3010"/>
      <c r="N3010" s="20"/>
      <c r="O3010" t="s">
        <v>3454</v>
      </c>
      <c r="P3010" s="20"/>
      <c r="Q3010" s="20" t="s">
        <v>401</v>
      </c>
      <c r="R3010" s="20"/>
      <c r="S3010" s="20"/>
      <c r="T3010" s="20"/>
    </row>
    <row r="3011" spans="1:20" x14ac:dyDescent="0.25">
      <c r="A3011" s="3">
        <v>41879</v>
      </c>
      <c r="B3011" s="36">
        <v>232</v>
      </c>
      <c r="C3011" t="s">
        <v>3453</v>
      </c>
      <c r="E3011" s="18">
        <v>-215.5515</v>
      </c>
      <c r="G3011" t="s">
        <v>442</v>
      </c>
      <c r="H3011" s="18" t="s">
        <v>442</v>
      </c>
      <c r="I3011" s="3" t="s">
        <v>442</v>
      </c>
      <c r="J3011"/>
      <c r="L3011"/>
      <c r="M3011"/>
      <c r="N3011" s="20"/>
      <c r="O3011" t="s">
        <v>2654</v>
      </c>
      <c r="P3011" s="20"/>
      <c r="Q3011" s="20" t="s">
        <v>401</v>
      </c>
      <c r="R3011" s="20"/>
      <c r="S3011" s="20"/>
      <c r="T3011" s="20"/>
    </row>
    <row r="3012" spans="1:20" x14ac:dyDescent="0.25">
      <c r="A3012" s="3">
        <v>41879</v>
      </c>
      <c r="B3012" s="36">
        <v>232</v>
      </c>
      <c r="C3012" t="s">
        <v>3656</v>
      </c>
      <c r="D3012">
        <v>6.75</v>
      </c>
      <c r="E3012" s="18">
        <v>675</v>
      </c>
      <c r="F3012" t="s">
        <v>889</v>
      </c>
      <c r="G3012" t="s">
        <v>3657</v>
      </c>
      <c r="H3012" s="18">
        <v>675</v>
      </c>
      <c r="I3012" s="3">
        <v>41879</v>
      </c>
      <c r="J3012"/>
      <c r="L3012"/>
      <c r="M3012"/>
      <c r="N3012" s="20"/>
      <c r="O3012"/>
      <c r="P3012" s="20"/>
      <c r="Q3012" s="20"/>
      <c r="R3012" s="20"/>
      <c r="S3012" s="20"/>
      <c r="T3012" s="20"/>
    </row>
    <row r="3013" spans="1:20" x14ac:dyDescent="0.25">
      <c r="A3013" s="46">
        <v>41880</v>
      </c>
      <c r="B3013" s="36">
        <v>232</v>
      </c>
      <c r="C3013" s="47" t="s">
        <v>1313</v>
      </c>
      <c r="D3013" s="47"/>
      <c r="E3013" s="48">
        <v>1718.38</v>
      </c>
      <c r="F3013" s="47" t="s">
        <v>889</v>
      </c>
      <c r="G3013" s="20"/>
      <c r="H3013" s="18" t="s">
        <v>442</v>
      </c>
      <c r="I3013" s="3" t="s">
        <v>442</v>
      </c>
      <c r="J3013" s="20"/>
      <c r="K3013" s="20"/>
      <c r="L3013" s="20"/>
      <c r="M3013" s="20"/>
      <c r="N3013" s="20"/>
      <c r="O3013" s="47" t="s">
        <v>3658</v>
      </c>
      <c r="P3013" s="20"/>
      <c r="Q3013" s="20"/>
      <c r="R3013" s="20"/>
      <c r="S3013" s="20" t="s">
        <v>401</v>
      </c>
      <c r="T3013" s="20"/>
    </row>
    <row r="3014" spans="1:20" x14ac:dyDescent="0.25">
      <c r="A3014" s="3">
        <v>41886</v>
      </c>
      <c r="B3014" s="36">
        <v>232</v>
      </c>
      <c r="C3014" t="s">
        <v>3659</v>
      </c>
      <c r="D3014">
        <v>5.75</v>
      </c>
      <c r="E3014" s="18">
        <v>575</v>
      </c>
      <c r="G3014" t="s">
        <v>3660</v>
      </c>
      <c r="H3014" s="18">
        <v>575</v>
      </c>
      <c r="I3014" s="3">
        <v>41886</v>
      </c>
      <c r="J3014"/>
      <c r="L3014"/>
      <c r="M3014"/>
      <c r="N3014" s="20"/>
      <c r="O3014"/>
      <c r="P3014" s="20"/>
      <c r="Q3014" s="20"/>
      <c r="R3014" s="20"/>
      <c r="S3014" s="20"/>
      <c r="T3014" s="20"/>
    </row>
    <row r="3015" spans="1:20" x14ac:dyDescent="0.25">
      <c r="A3015" s="3">
        <v>41886</v>
      </c>
      <c r="B3015" s="36">
        <v>232</v>
      </c>
      <c r="C3015" t="s">
        <v>3661</v>
      </c>
      <c r="D3015">
        <v>7</v>
      </c>
      <c r="E3015" s="18">
        <v>700</v>
      </c>
      <c r="G3015" t="s">
        <v>3662</v>
      </c>
      <c r="H3015" s="18">
        <v>700</v>
      </c>
      <c r="I3015" s="3">
        <v>41886</v>
      </c>
      <c r="J3015"/>
      <c r="L3015"/>
      <c r="M3015"/>
      <c r="N3015" s="20"/>
      <c r="O3015"/>
      <c r="P3015" s="20"/>
      <c r="Q3015" s="20"/>
      <c r="R3015" s="20"/>
      <c r="S3015" s="20"/>
      <c r="T3015" s="20"/>
    </row>
    <row r="3016" spans="1:20" x14ac:dyDescent="0.25">
      <c r="A3016" s="3">
        <v>41886</v>
      </c>
      <c r="B3016" s="36">
        <v>232</v>
      </c>
      <c r="C3016" t="s">
        <v>3656</v>
      </c>
      <c r="D3016">
        <v>6.75</v>
      </c>
      <c r="E3016" s="18">
        <v>675</v>
      </c>
      <c r="G3016" t="s">
        <v>3657</v>
      </c>
      <c r="H3016" s="18">
        <v>675</v>
      </c>
      <c r="I3016" s="3">
        <v>41886</v>
      </c>
      <c r="J3016"/>
      <c r="L3016"/>
      <c r="M3016"/>
      <c r="N3016" s="20"/>
      <c r="O3016"/>
      <c r="P3016" s="20"/>
      <c r="Q3016" s="20"/>
      <c r="R3016" s="20"/>
      <c r="S3016" s="20"/>
      <c r="T3016" s="20"/>
    </row>
    <row r="3017" spans="1:20" x14ac:dyDescent="0.25">
      <c r="A3017" s="3">
        <v>41894</v>
      </c>
      <c r="B3017" s="36">
        <v>232</v>
      </c>
      <c r="C3017" t="s">
        <v>3663</v>
      </c>
      <c r="D3017">
        <v>7.25</v>
      </c>
      <c r="E3017" s="18">
        <v>725</v>
      </c>
      <c r="F3017" t="s">
        <v>889</v>
      </c>
      <c r="G3017" t="s">
        <v>3664</v>
      </c>
      <c r="H3017" s="18">
        <v>725</v>
      </c>
      <c r="I3017" s="3">
        <v>41894</v>
      </c>
      <c r="J3017"/>
      <c r="L3017"/>
      <c r="M3017"/>
      <c r="N3017" s="20"/>
      <c r="O3017"/>
      <c r="P3017" s="20"/>
      <c r="Q3017" s="20"/>
      <c r="R3017" s="20"/>
      <c r="S3017" s="20"/>
      <c r="T3017" s="20"/>
    </row>
    <row r="3018" spans="1:20" x14ac:dyDescent="0.25">
      <c r="A3018" s="3">
        <v>41894</v>
      </c>
      <c r="B3018" s="36">
        <v>232</v>
      </c>
      <c r="C3018" t="s">
        <v>3665</v>
      </c>
      <c r="D3018">
        <v>10.25</v>
      </c>
      <c r="E3018" s="18">
        <v>1025</v>
      </c>
      <c r="F3018" t="s">
        <v>889</v>
      </c>
      <c r="G3018" t="s">
        <v>3666</v>
      </c>
      <c r="H3018" s="18">
        <v>1025</v>
      </c>
      <c r="I3018" s="3">
        <v>41894</v>
      </c>
      <c r="J3018"/>
      <c r="L3018"/>
      <c r="M3018"/>
      <c r="N3018" s="20"/>
      <c r="O3018"/>
      <c r="P3018" s="20"/>
      <c r="Q3018" s="20"/>
      <c r="R3018" s="20"/>
      <c r="S3018" s="20"/>
      <c r="T3018" s="20"/>
    </row>
    <row r="3019" spans="1:20" x14ac:dyDescent="0.25">
      <c r="A3019" s="3">
        <v>41894</v>
      </c>
      <c r="B3019" s="36">
        <v>232</v>
      </c>
      <c r="C3019" t="s">
        <v>3667</v>
      </c>
      <c r="D3019">
        <v>5.5</v>
      </c>
      <c r="E3019" s="18">
        <v>550</v>
      </c>
      <c r="F3019" t="s">
        <v>889</v>
      </c>
      <c r="G3019" t="s">
        <v>3668</v>
      </c>
      <c r="H3019" s="18">
        <v>550</v>
      </c>
      <c r="I3019" s="3">
        <v>41894</v>
      </c>
      <c r="J3019"/>
      <c r="L3019"/>
      <c r="M3019"/>
      <c r="N3019" s="20"/>
      <c r="O3019"/>
      <c r="P3019" s="20"/>
      <c r="Q3019" s="20"/>
      <c r="R3019" s="20"/>
      <c r="S3019" s="20"/>
      <c r="T3019" s="20"/>
    </row>
    <row r="3020" spans="1:20" x14ac:dyDescent="0.25">
      <c r="A3020" s="3">
        <v>41894</v>
      </c>
      <c r="B3020" s="36">
        <v>232</v>
      </c>
      <c r="C3020" t="s">
        <v>3669</v>
      </c>
      <c r="D3020">
        <v>5.75</v>
      </c>
      <c r="E3020" s="18">
        <v>575</v>
      </c>
      <c r="F3020" t="s">
        <v>889</v>
      </c>
      <c r="G3020" t="s">
        <v>3670</v>
      </c>
      <c r="H3020" s="18">
        <v>575</v>
      </c>
      <c r="I3020" s="3">
        <v>41894</v>
      </c>
      <c r="J3020"/>
      <c r="L3020"/>
      <c r="M3020"/>
      <c r="N3020" s="20"/>
      <c r="O3020"/>
      <c r="P3020" s="20"/>
      <c r="Q3020" s="20"/>
      <c r="R3020" s="20"/>
      <c r="S3020" s="20"/>
      <c r="T3020" s="20"/>
    </row>
    <row r="3021" spans="1:20" x14ac:dyDescent="0.25">
      <c r="A3021" s="3">
        <v>41894</v>
      </c>
      <c r="B3021" s="36">
        <v>232</v>
      </c>
      <c r="C3021" t="s">
        <v>1269</v>
      </c>
      <c r="E3021" s="18">
        <v>-329.12164519999999</v>
      </c>
      <c r="F3021" t="s">
        <v>891</v>
      </c>
      <c r="G3021" t="s">
        <v>442</v>
      </c>
      <c r="H3021" s="18" t="s">
        <v>442</v>
      </c>
      <c r="I3021" s="3" t="s">
        <v>442</v>
      </c>
      <c r="J3021"/>
      <c r="L3021"/>
      <c r="M3021"/>
      <c r="N3021" s="20"/>
      <c r="O3021"/>
      <c r="P3021" s="20"/>
      <c r="Q3021" s="20" t="s">
        <v>401</v>
      </c>
      <c r="R3021" s="20"/>
      <c r="S3021" s="20"/>
      <c r="T3021" s="20"/>
    </row>
    <row r="3022" spans="1:20" x14ac:dyDescent="0.25">
      <c r="A3022" s="3">
        <v>41894</v>
      </c>
      <c r="B3022" s="36">
        <v>232</v>
      </c>
      <c r="C3022" t="s">
        <v>1111</v>
      </c>
      <c r="E3022" s="18">
        <v>-167.6511667</v>
      </c>
      <c r="F3022" t="s">
        <v>891</v>
      </c>
      <c r="G3022" t="s">
        <v>442</v>
      </c>
      <c r="H3022" s="18" t="s">
        <v>442</v>
      </c>
      <c r="I3022" s="3" t="s">
        <v>442</v>
      </c>
      <c r="J3022"/>
      <c r="L3022"/>
      <c r="M3022"/>
      <c r="N3022" s="20"/>
      <c r="O3022"/>
      <c r="P3022" s="20"/>
      <c r="Q3022" s="20" t="s">
        <v>401</v>
      </c>
      <c r="R3022" s="20"/>
      <c r="S3022" s="20"/>
      <c r="T3022" s="20"/>
    </row>
    <row r="3023" spans="1:20" x14ac:dyDescent="0.25">
      <c r="A3023" s="3">
        <v>41894</v>
      </c>
      <c r="B3023" s="36">
        <v>232</v>
      </c>
      <c r="C3023" t="s">
        <v>3671</v>
      </c>
      <c r="D3023">
        <v>8.75</v>
      </c>
      <c r="E3023" s="18">
        <v>875</v>
      </c>
      <c r="F3023" t="s">
        <v>889</v>
      </c>
      <c r="G3023" t="s">
        <v>3672</v>
      </c>
      <c r="H3023" s="18">
        <v>875</v>
      </c>
      <c r="I3023" s="3">
        <v>41894</v>
      </c>
      <c r="J3023"/>
      <c r="L3023"/>
      <c r="M3023"/>
      <c r="N3023" s="20"/>
      <c r="O3023"/>
      <c r="P3023" s="20"/>
      <c r="Q3023" s="20"/>
      <c r="R3023" s="20"/>
      <c r="S3023" s="20"/>
      <c r="T3023" s="20"/>
    </row>
    <row r="3024" spans="1:20" x14ac:dyDescent="0.25">
      <c r="A3024" s="3">
        <v>41901</v>
      </c>
      <c r="B3024" s="36">
        <v>232</v>
      </c>
      <c r="C3024" t="s">
        <v>2575</v>
      </c>
      <c r="E3024" s="18">
        <v>-119.7508333</v>
      </c>
      <c r="F3024" t="s">
        <v>891</v>
      </c>
      <c r="G3024" t="s">
        <v>442</v>
      </c>
      <c r="H3024" s="18" t="s">
        <v>442</v>
      </c>
      <c r="I3024" s="3" t="s">
        <v>442</v>
      </c>
      <c r="J3024"/>
      <c r="L3024"/>
      <c r="M3024"/>
      <c r="N3024" s="20"/>
      <c r="O3024"/>
      <c r="P3024" s="20"/>
      <c r="Q3024" s="20" t="s">
        <v>401</v>
      </c>
      <c r="R3024" s="20"/>
      <c r="S3024" s="20"/>
      <c r="T3024" s="20"/>
    </row>
    <row r="3025" spans="1:21" x14ac:dyDescent="0.25">
      <c r="A3025" s="3">
        <v>41901</v>
      </c>
      <c r="B3025" s="36">
        <v>232</v>
      </c>
      <c r="C3025" t="s">
        <v>3650</v>
      </c>
      <c r="D3025">
        <v>9</v>
      </c>
      <c r="E3025" s="18">
        <v>900</v>
      </c>
      <c r="F3025" t="s">
        <v>889</v>
      </c>
      <c r="G3025" t="s">
        <v>3651</v>
      </c>
      <c r="H3025" s="18">
        <v>900</v>
      </c>
      <c r="I3025" s="3">
        <v>41901</v>
      </c>
      <c r="J3025"/>
      <c r="L3025"/>
      <c r="M3025"/>
      <c r="N3025" s="20"/>
      <c r="O3025"/>
      <c r="P3025" s="20"/>
      <c r="Q3025" s="20"/>
      <c r="R3025" s="20"/>
      <c r="S3025" s="20"/>
      <c r="T3025" s="20"/>
    </row>
    <row r="3026" spans="1:21" x14ac:dyDescent="0.25">
      <c r="A3026" s="3">
        <v>41901</v>
      </c>
      <c r="B3026" s="36">
        <v>232</v>
      </c>
      <c r="C3026" t="s">
        <v>3673</v>
      </c>
      <c r="D3026">
        <v>3.75</v>
      </c>
      <c r="E3026" s="18">
        <v>375</v>
      </c>
      <c r="F3026" t="s">
        <v>889</v>
      </c>
      <c r="G3026" t="s">
        <v>3648</v>
      </c>
      <c r="H3026" s="18">
        <v>375</v>
      </c>
      <c r="I3026" s="3">
        <v>41901</v>
      </c>
      <c r="J3026"/>
      <c r="L3026"/>
      <c r="M3026"/>
      <c r="N3026" s="20"/>
      <c r="O3026"/>
      <c r="P3026" s="20"/>
      <c r="Q3026" s="20"/>
      <c r="R3026" s="20"/>
      <c r="S3026" s="20"/>
      <c r="T3026" s="20"/>
    </row>
    <row r="3027" spans="1:21" x14ac:dyDescent="0.25">
      <c r="A3027" s="3">
        <v>41901</v>
      </c>
      <c r="B3027" s="36">
        <v>232</v>
      </c>
      <c r="C3027" t="s">
        <v>3673</v>
      </c>
      <c r="D3027">
        <v>2</v>
      </c>
      <c r="E3027" s="18">
        <v>200</v>
      </c>
      <c r="F3027" t="s">
        <v>889</v>
      </c>
      <c r="G3027" t="s">
        <v>3649</v>
      </c>
      <c r="H3027" s="18">
        <v>200</v>
      </c>
      <c r="I3027" s="3">
        <v>41901</v>
      </c>
      <c r="J3027"/>
      <c r="L3027"/>
      <c r="M3027"/>
      <c r="N3027" s="20"/>
      <c r="O3027"/>
      <c r="P3027" s="20"/>
      <c r="Q3027" s="20"/>
      <c r="R3027" s="20"/>
      <c r="S3027" s="20"/>
      <c r="T3027" s="20"/>
    </row>
    <row r="3028" spans="1:21" x14ac:dyDescent="0.25">
      <c r="A3028" s="3">
        <v>41901</v>
      </c>
      <c r="B3028" s="36">
        <v>232</v>
      </c>
      <c r="C3028" t="s">
        <v>3656</v>
      </c>
      <c r="D3028">
        <v>6.75</v>
      </c>
      <c r="E3028" s="18">
        <v>-675</v>
      </c>
      <c r="F3028" t="s">
        <v>891</v>
      </c>
      <c r="G3028" t="s">
        <v>3657</v>
      </c>
      <c r="H3028" s="18" t="s">
        <v>442</v>
      </c>
      <c r="I3028" s="3" t="s">
        <v>442</v>
      </c>
      <c r="J3028"/>
      <c r="L3028"/>
      <c r="M3028"/>
      <c r="N3028" s="20"/>
      <c r="O3028" t="s">
        <v>3674</v>
      </c>
      <c r="P3028" s="20"/>
      <c r="Q3028" s="20"/>
      <c r="R3028" s="20"/>
      <c r="S3028" s="20"/>
      <c r="T3028" s="20"/>
    </row>
    <row r="3029" spans="1:21" x14ac:dyDescent="0.25">
      <c r="A3029" s="3">
        <v>42041</v>
      </c>
      <c r="B3029">
        <v>232</v>
      </c>
      <c r="C3029" t="s">
        <v>3652</v>
      </c>
      <c r="E3029" s="18">
        <v>391.66666666666669</v>
      </c>
      <c r="F3029" t="s">
        <v>889</v>
      </c>
      <c r="G3029" t="s">
        <v>3653</v>
      </c>
      <c r="I3029"/>
      <c r="J3029"/>
      <c r="L3029"/>
      <c r="M3029"/>
      <c r="O3029"/>
      <c r="P3029" s="20"/>
      <c r="Q3029" s="20"/>
      <c r="R3029" s="20"/>
      <c r="S3029" s="20"/>
      <c r="T3029" s="20"/>
    </row>
    <row r="3030" spans="1:21" x14ac:dyDescent="0.25">
      <c r="A3030" s="3">
        <v>42041</v>
      </c>
      <c r="B3030">
        <v>232</v>
      </c>
      <c r="C3030" t="s">
        <v>3652</v>
      </c>
      <c r="D3030">
        <v>11.75</v>
      </c>
      <c r="E3030" s="18">
        <v>391.66666666666669</v>
      </c>
      <c r="F3030" t="s">
        <v>889</v>
      </c>
      <c r="G3030" t="s">
        <v>3653</v>
      </c>
      <c r="I3030"/>
      <c r="J3030"/>
      <c r="L3030"/>
      <c r="M3030"/>
      <c r="O3030"/>
      <c r="P3030" s="20"/>
      <c r="Q3030" s="20"/>
      <c r="R3030" s="20"/>
      <c r="S3030" s="20"/>
      <c r="T3030" s="20"/>
    </row>
    <row r="3031" spans="1:21" x14ac:dyDescent="0.25">
      <c r="A3031" s="3">
        <v>42041</v>
      </c>
      <c r="B3031" s="20">
        <v>232</v>
      </c>
      <c r="C3031" s="20" t="s">
        <v>3665</v>
      </c>
      <c r="D3031" s="20">
        <v>8.5</v>
      </c>
      <c r="E3031" s="59">
        <v>-1025</v>
      </c>
      <c r="F3031" s="20" t="s">
        <v>889</v>
      </c>
      <c r="G3031" s="20" t="s">
        <v>3666</v>
      </c>
      <c r="H3031" s="20"/>
      <c r="I3031" s="20"/>
      <c r="J3031" s="20"/>
      <c r="K3031" s="20"/>
      <c r="L3031" s="20"/>
      <c r="M3031" s="20"/>
      <c r="N3031" s="20"/>
      <c r="O3031" s="20"/>
      <c r="P3031" s="20"/>
      <c r="Q3031" s="20"/>
      <c r="R3031" s="20"/>
      <c r="S3031" s="20"/>
      <c r="T3031" s="20"/>
      <c r="U3031" s="20"/>
    </row>
    <row r="3032" spans="1:21" x14ac:dyDescent="0.25">
      <c r="A3032" s="3">
        <v>42041</v>
      </c>
      <c r="B3032">
        <v>232</v>
      </c>
      <c r="C3032" t="s">
        <v>3669</v>
      </c>
      <c r="D3032">
        <v>5.75</v>
      </c>
      <c r="E3032" s="18">
        <v>575</v>
      </c>
      <c r="F3032" t="s">
        <v>889</v>
      </c>
      <c r="G3032" t="s">
        <v>3670</v>
      </c>
      <c r="I3032"/>
      <c r="J3032"/>
      <c r="L3032"/>
      <c r="M3032"/>
      <c r="O3032"/>
      <c r="P3032" s="20"/>
      <c r="Q3032" s="20"/>
      <c r="R3032" s="20"/>
      <c r="S3032" s="20"/>
      <c r="T3032" s="20"/>
    </row>
    <row r="3033" spans="1:21" x14ac:dyDescent="0.25">
      <c r="A3033" s="3">
        <v>42041</v>
      </c>
      <c r="B3033" s="20">
        <v>232</v>
      </c>
      <c r="C3033" s="20" t="s">
        <v>3675</v>
      </c>
      <c r="D3033" s="20">
        <v>3.75</v>
      </c>
      <c r="E3033" s="59">
        <v>382.5</v>
      </c>
      <c r="F3033" s="20" t="s">
        <v>889</v>
      </c>
      <c r="G3033" s="20" t="s">
        <v>3676</v>
      </c>
      <c r="H3033" s="20"/>
      <c r="I3033" s="20"/>
      <c r="J3033" s="20"/>
      <c r="K3033" s="20"/>
      <c r="L3033" s="20"/>
      <c r="M3033" s="20"/>
      <c r="N3033" s="20"/>
      <c r="O3033" s="20"/>
      <c r="P3033" s="20"/>
      <c r="Q3033" s="20"/>
      <c r="R3033" s="20"/>
      <c r="S3033" s="20"/>
      <c r="T3033" s="20"/>
      <c r="U3033" s="20"/>
    </row>
    <row r="3034" spans="1:21" x14ac:dyDescent="0.25">
      <c r="A3034" s="3">
        <v>42041</v>
      </c>
      <c r="B3034" s="20">
        <v>232</v>
      </c>
      <c r="C3034" s="20" t="s">
        <v>3639</v>
      </c>
      <c r="D3034" s="20">
        <v>3.25</v>
      </c>
      <c r="E3034" s="59">
        <v>-325</v>
      </c>
      <c r="F3034" s="20" t="s">
        <v>889</v>
      </c>
      <c r="G3034" s="20" t="s">
        <v>3640</v>
      </c>
      <c r="H3034" s="20"/>
      <c r="I3034" s="20"/>
      <c r="J3034" s="20"/>
      <c r="K3034" s="20"/>
      <c r="L3034" s="20"/>
      <c r="M3034" s="20"/>
      <c r="N3034" s="20"/>
      <c r="O3034" s="20"/>
      <c r="P3034" s="20"/>
      <c r="Q3034" s="20"/>
      <c r="R3034" s="20"/>
      <c r="S3034" s="20"/>
      <c r="T3034" s="20"/>
      <c r="U3034" s="20"/>
    </row>
    <row r="3035" spans="1:21" x14ac:dyDescent="0.25">
      <c r="A3035" s="3">
        <v>42041</v>
      </c>
      <c r="B3035" s="20">
        <v>232</v>
      </c>
      <c r="C3035" s="20" t="s">
        <v>3645</v>
      </c>
      <c r="D3035" s="20">
        <v>3</v>
      </c>
      <c r="E3035" s="59">
        <v>-300</v>
      </c>
      <c r="F3035" s="20" t="s">
        <v>889</v>
      </c>
      <c r="G3035" s="20" t="s">
        <v>3646</v>
      </c>
      <c r="H3035" s="20"/>
      <c r="I3035" s="20"/>
      <c r="J3035" s="20"/>
      <c r="K3035" s="20"/>
      <c r="L3035" s="20"/>
      <c r="M3035" s="20"/>
      <c r="N3035" s="20"/>
      <c r="O3035" s="20"/>
      <c r="P3035" s="20"/>
      <c r="Q3035" s="20"/>
      <c r="R3035" s="20"/>
      <c r="S3035" s="20"/>
      <c r="T3035" s="20"/>
      <c r="U3035" s="20"/>
    </row>
    <row r="3036" spans="1:21" x14ac:dyDescent="0.25">
      <c r="A3036" s="3">
        <v>42041</v>
      </c>
      <c r="B3036">
        <v>232</v>
      </c>
      <c r="C3036" t="s">
        <v>3650</v>
      </c>
      <c r="E3036" s="18">
        <v>300</v>
      </c>
      <c r="F3036" t="s">
        <v>889</v>
      </c>
      <c r="G3036" t="s">
        <v>3651</v>
      </c>
      <c r="I3036"/>
      <c r="J3036"/>
      <c r="L3036"/>
      <c r="M3036"/>
      <c r="O3036"/>
      <c r="P3036" s="20"/>
      <c r="Q3036" s="20"/>
      <c r="R3036" s="20"/>
      <c r="S3036" s="20"/>
      <c r="T3036" s="20"/>
    </row>
    <row r="3037" spans="1:21" x14ac:dyDescent="0.25">
      <c r="A3037" s="3">
        <v>42041</v>
      </c>
      <c r="B3037">
        <v>232</v>
      </c>
      <c r="C3037" t="s">
        <v>3650</v>
      </c>
      <c r="D3037">
        <v>9</v>
      </c>
      <c r="E3037" s="18">
        <v>300</v>
      </c>
      <c r="F3037" t="s">
        <v>889</v>
      </c>
      <c r="G3037" t="s">
        <v>3651</v>
      </c>
      <c r="I3037"/>
      <c r="J3037"/>
      <c r="L3037"/>
      <c r="M3037"/>
      <c r="O3037"/>
      <c r="P3037" s="20"/>
      <c r="Q3037" s="20"/>
      <c r="R3037" s="20"/>
      <c r="S3037" s="20"/>
      <c r="T3037" s="20"/>
    </row>
    <row r="3038" spans="1:21" x14ac:dyDescent="0.25">
      <c r="B3038">
        <v>232</v>
      </c>
      <c r="C3038" t="s">
        <v>1106</v>
      </c>
      <c r="E3038" s="18">
        <v>162.2430645</v>
      </c>
      <c r="F3038" t="s">
        <v>891</v>
      </c>
      <c r="G3038" t="s">
        <v>442</v>
      </c>
      <c r="I3038"/>
      <c r="J3038"/>
      <c r="L3038"/>
      <c r="M3038"/>
      <c r="O3038"/>
      <c r="P3038" s="20"/>
      <c r="Q3038" s="20"/>
      <c r="R3038" s="20"/>
      <c r="S3038" s="20"/>
      <c r="T3038" s="20"/>
      <c r="U3038" t="s">
        <v>401</v>
      </c>
    </row>
    <row r="3039" spans="1:21" x14ac:dyDescent="0.25">
      <c r="B3039">
        <v>232</v>
      </c>
      <c r="C3039" t="s">
        <v>3673</v>
      </c>
      <c r="D3039">
        <v>2</v>
      </c>
      <c r="E3039" s="18">
        <v>-50</v>
      </c>
      <c r="F3039" t="s">
        <v>889</v>
      </c>
      <c r="G3039" t="s">
        <v>3649</v>
      </c>
      <c r="I3039"/>
      <c r="J3039"/>
      <c r="L3039"/>
      <c r="M3039"/>
      <c r="O3039"/>
      <c r="P3039" s="20"/>
      <c r="Q3039" s="20"/>
      <c r="R3039" s="20"/>
      <c r="S3039" s="20"/>
      <c r="T3039" s="20"/>
      <c r="U3039" t="s">
        <v>401</v>
      </c>
    </row>
    <row r="3040" spans="1:21" x14ac:dyDescent="0.25">
      <c r="B3040">
        <v>232</v>
      </c>
      <c r="C3040" t="s">
        <v>3673</v>
      </c>
      <c r="D3040">
        <v>3.75</v>
      </c>
      <c r="E3040" s="18">
        <v>50</v>
      </c>
      <c r="F3040" t="s">
        <v>889</v>
      </c>
      <c r="G3040" t="s">
        <v>3648</v>
      </c>
      <c r="I3040"/>
      <c r="J3040"/>
      <c r="L3040"/>
      <c r="M3040"/>
      <c r="O3040"/>
      <c r="P3040" s="20"/>
      <c r="Q3040" s="20"/>
      <c r="R3040" s="20"/>
      <c r="S3040" s="20"/>
      <c r="T3040" s="20"/>
      <c r="U3040" t="s">
        <v>401</v>
      </c>
    </row>
    <row r="3041" spans="1:20" x14ac:dyDescent="0.25">
      <c r="A3041" s="3">
        <v>41851</v>
      </c>
      <c r="B3041" s="36">
        <v>233</v>
      </c>
      <c r="C3041" t="s">
        <v>1483</v>
      </c>
      <c r="E3041" s="18">
        <v>-162.2430645</v>
      </c>
      <c r="F3041" t="s">
        <v>891</v>
      </c>
      <c r="G3041" t="s">
        <v>442</v>
      </c>
      <c r="H3041" s="18" t="s">
        <v>442</v>
      </c>
      <c r="I3041" s="3" t="s">
        <v>442</v>
      </c>
      <c r="J3041"/>
      <c r="L3041"/>
      <c r="M3041"/>
      <c r="N3041" s="20"/>
      <c r="O3041" t="s">
        <v>1228</v>
      </c>
      <c r="P3041" s="20"/>
      <c r="Q3041" s="20" t="s">
        <v>401</v>
      </c>
      <c r="R3041" s="20"/>
      <c r="S3041" s="20"/>
      <c r="T3041" s="20"/>
    </row>
    <row r="3042" spans="1:20" x14ac:dyDescent="0.25">
      <c r="A3042" s="46">
        <v>41851</v>
      </c>
      <c r="B3042" s="36">
        <v>233</v>
      </c>
      <c r="C3042" s="47" t="s">
        <v>1313</v>
      </c>
      <c r="D3042" s="47"/>
      <c r="E3042" s="48">
        <v>1306.1199999999999</v>
      </c>
      <c r="F3042" s="47"/>
      <c r="G3042" s="20"/>
      <c r="H3042" s="18" t="s">
        <v>442</v>
      </c>
      <c r="I3042" s="3" t="s">
        <v>442</v>
      </c>
      <c r="J3042" s="20"/>
      <c r="K3042" s="20"/>
      <c r="L3042" s="20"/>
      <c r="M3042" s="20"/>
      <c r="N3042" s="20"/>
      <c r="O3042" s="47"/>
      <c r="P3042" s="20"/>
      <c r="Q3042" s="20"/>
      <c r="R3042" s="20"/>
      <c r="S3042" s="20" t="s">
        <v>401</v>
      </c>
      <c r="T3042" s="20"/>
    </row>
    <row r="3043" spans="1:20" x14ac:dyDescent="0.25">
      <c r="A3043" s="3">
        <v>41858</v>
      </c>
      <c r="B3043" s="36">
        <v>233</v>
      </c>
      <c r="C3043" t="s">
        <v>3467</v>
      </c>
      <c r="D3043">
        <v>8</v>
      </c>
      <c r="E3043" s="18">
        <v>500</v>
      </c>
      <c r="F3043" t="s">
        <v>889</v>
      </c>
      <c r="G3043" t="s">
        <v>442</v>
      </c>
      <c r="H3043" s="18" t="s">
        <v>442</v>
      </c>
      <c r="I3043" s="3" t="s">
        <v>442</v>
      </c>
      <c r="J3043"/>
      <c r="L3043"/>
      <c r="M3043"/>
      <c r="N3043" s="20"/>
      <c r="O3043"/>
      <c r="P3043" s="20"/>
      <c r="Q3043" s="20"/>
      <c r="R3043" s="20"/>
      <c r="S3043" s="20"/>
      <c r="T3043" s="20" t="s">
        <v>401</v>
      </c>
    </row>
    <row r="3044" spans="1:20" x14ac:dyDescent="0.25">
      <c r="A3044" s="3">
        <v>41859</v>
      </c>
      <c r="B3044" s="36">
        <v>233</v>
      </c>
      <c r="C3044" t="s">
        <v>3677</v>
      </c>
      <c r="D3044">
        <v>6</v>
      </c>
      <c r="E3044" s="18">
        <v>600</v>
      </c>
      <c r="F3044" t="s">
        <v>889</v>
      </c>
      <c r="G3044" t="s">
        <v>3678</v>
      </c>
      <c r="H3044" s="18">
        <v>600</v>
      </c>
      <c r="I3044" s="3">
        <v>41859</v>
      </c>
      <c r="J3044"/>
      <c r="L3044"/>
      <c r="M3044"/>
      <c r="N3044" s="20"/>
      <c r="O3044"/>
      <c r="P3044" s="20"/>
      <c r="Q3044" s="20"/>
      <c r="R3044" s="20"/>
      <c r="S3044" s="20"/>
      <c r="T3044" s="20"/>
    </row>
    <row r="3045" spans="1:20" x14ac:dyDescent="0.25">
      <c r="A3045" s="3">
        <v>41859</v>
      </c>
      <c r="B3045" s="36">
        <v>233</v>
      </c>
      <c r="C3045" t="s">
        <v>3679</v>
      </c>
      <c r="D3045">
        <v>10.75</v>
      </c>
      <c r="E3045" s="18">
        <v>1075</v>
      </c>
      <c r="F3045" t="s">
        <v>889</v>
      </c>
      <c r="G3045" t="s">
        <v>3680</v>
      </c>
      <c r="H3045" s="18">
        <v>1075</v>
      </c>
      <c r="I3045" s="3">
        <v>41859</v>
      </c>
      <c r="J3045"/>
      <c r="L3045"/>
      <c r="M3045"/>
      <c r="N3045" s="20"/>
      <c r="O3045"/>
      <c r="P3045" s="20"/>
      <c r="Q3045" s="20"/>
      <c r="R3045" s="20"/>
      <c r="S3045" s="20"/>
      <c r="T3045" s="20"/>
    </row>
    <row r="3046" spans="1:20" x14ac:dyDescent="0.25">
      <c r="A3046" s="3">
        <v>41859</v>
      </c>
      <c r="B3046" s="36">
        <v>233</v>
      </c>
      <c r="C3046" t="s">
        <v>3681</v>
      </c>
      <c r="D3046">
        <v>4.5</v>
      </c>
      <c r="E3046" s="18">
        <v>450</v>
      </c>
      <c r="F3046" t="s">
        <v>889</v>
      </c>
      <c r="G3046" t="s">
        <v>3682</v>
      </c>
      <c r="H3046" s="18">
        <v>450</v>
      </c>
      <c r="I3046" s="3">
        <v>41859</v>
      </c>
      <c r="J3046"/>
      <c r="L3046"/>
      <c r="M3046"/>
      <c r="N3046" s="20"/>
      <c r="O3046"/>
      <c r="P3046" s="20"/>
      <c r="Q3046" s="20"/>
      <c r="R3046" s="20"/>
      <c r="S3046" s="20"/>
      <c r="T3046" s="20"/>
    </row>
    <row r="3047" spans="1:20" x14ac:dyDescent="0.25">
      <c r="A3047" s="3">
        <v>41859</v>
      </c>
      <c r="B3047" s="36">
        <v>233</v>
      </c>
      <c r="C3047" t="s">
        <v>3683</v>
      </c>
      <c r="D3047">
        <v>15.5</v>
      </c>
      <c r="E3047" s="18">
        <v>1550</v>
      </c>
      <c r="F3047" t="s">
        <v>889</v>
      </c>
      <c r="G3047" t="s">
        <v>3684</v>
      </c>
      <c r="H3047" s="18">
        <v>1550</v>
      </c>
      <c r="I3047" s="3">
        <v>41859</v>
      </c>
      <c r="J3047"/>
      <c r="L3047"/>
      <c r="M3047"/>
      <c r="N3047" s="20"/>
      <c r="O3047"/>
      <c r="P3047" s="20"/>
      <c r="Q3047" s="20"/>
      <c r="R3047" s="20"/>
      <c r="S3047" s="20"/>
      <c r="T3047" s="20"/>
    </row>
    <row r="3048" spans="1:20" x14ac:dyDescent="0.25">
      <c r="A3048" s="3">
        <v>41873</v>
      </c>
      <c r="B3048" s="36">
        <v>233</v>
      </c>
      <c r="C3048" t="s">
        <v>3685</v>
      </c>
      <c r="D3048">
        <v>7</v>
      </c>
      <c r="E3048" s="18">
        <v>700</v>
      </c>
      <c r="F3048" t="s">
        <v>889</v>
      </c>
      <c r="G3048" t="s">
        <v>3686</v>
      </c>
      <c r="H3048" s="18">
        <v>700</v>
      </c>
      <c r="I3048" s="3">
        <v>41873</v>
      </c>
      <c r="J3048"/>
      <c r="L3048"/>
      <c r="M3048"/>
      <c r="N3048" s="20"/>
      <c r="O3048" t="s">
        <v>931</v>
      </c>
      <c r="P3048" s="20"/>
      <c r="Q3048" s="20"/>
      <c r="R3048" s="20"/>
      <c r="S3048" s="20"/>
      <c r="T3048" s="20"/>
    </row>
    <row r="3049" spans="1:20" x14ac:dyDescent="0.25">
      <c r="A3049" s="3">
        <v>41873</v>
      </c>
      <c r="B3049" s="36">
        <v>233</v>
      </c>
      <c r="C3049" t="s">
        <v>3687</v>
      </c>
      <c r="D3049">
        <v>10</v>
      </c>
      <c r="E3049" s="18">
        <v>1000</v>
      </c>
      <c r="F3049" t="s">
        <v>889</v>
      </c>
      <c r="G3049" t="s">
        <v>3688</v>
      </c>
      <c r="H3049" s="18">
        <v>1000</v>
      </c>
      <c r="I3049" s="3">
        <v>41873</v>
      </c>
      <c r="J3049"/>
      <c r="L3049"/>
      <c r="M3049"/>
      <c r="N3049" s="20"/>
      <c r="O3049" t="s">
        <v>931</v>
      </c>
      <c r="P3049" s="20"/>
      <c r="Q3049" s="20"/>
      <c r="R3049" s="20"/>
      <c r="S3049" s="20"/>
      <c r="T3049" s="20"/>
    </row>
    <row r="3050" spans="1:20" x14ac:dyDescent="0.25">
      <c r="A3050" s="3">
        <v>41880</v>
      </c>
      <c r="B3050" s="36">
        <v>233</v>
      </c>
      <c r="C3050" t="s">
        <v>3689</v>
      </c>
      <c r="D3050">
        <v>5.75</v>
      </c>
      <c r="E3050" s="18">
        <v>575</v>
      </c>
      <c r="F3050" t="s">
        <v>889</v>
      </c>
      <c r="G3050" t="s">
        <v>3690</v>
      </c>
      <c r="H3050" s="18">
        <v>575</v>
      </c>
      <c r="I3050" s="3">
        <v>41880</v>
      </c>
      <c r="J3050"/>
      <c r="L3050"/>
      <c r="M3050"/>
      <c r="N3050" s="20"/>
      <c r="O3050"/>
      <c r="P3050" s="20"/>
      <c r="Q3050" s="20"/>
      <c r="R3050" s="20"/>
      <c r="S3050" s="20"/>
      <c r="T3050" s="20"/>
    </row>
    <row r="3051" spans="1:20" x14ac:dyDescent="0.25">
      <c r="A3051" s="3">
        <v>41886</v>
      </c>
      <c r="B3051" s="36">
        <v>233</v>
      </c>
      <c r="C3051" t="s">
        <v>3691</v>
      </c>
      <c r="D3051">
        <v>6</v>
      </c>
      <c r="E3051" s="18">
        <v>600</v>
      </c>
      <c r="G3051" t="s">
        <v>3692</v>
      </c>
      <c r="H3051" s="18">
        <v>600</v>
      </c>
      <c r="I3051" s="3">
        <v>41886</v>
      </c>
      <c r="J3051"/>
      <c r="L3051"/>
      <c r="M3051"/>
      <c r="N3051" s="20"/>
      <c r="O3051"/>
      <c r="P3051" s="20"/>
      <c r="Q3051" s="20"/>
      <c r="R3051" s="20"/>
      <c r="S3051" s="20"/>
      <c r="T3051" s="20"/>
    </row>
    <row r="3052" spans="1:20" x14ac:dyDescent="0.25">
      <c r="A3052" s="3">
        <v>41886</v>
      </c>
      <c r="B3052" s="36">
        <v>233</v>
      </c>
      <c r="C3052" t="s">
        <v>3693</v>
      </c>
      <c r="D3052">
        <v>6.75</v>
      </c>
      <c r="E3052" s="18">
        <v>675</v>
      </c>
      <c r="G3052" t="s">
        <v>3694</v>
      </c>
      <c r="H3052" s="18">
        <v>675</v>
      </c>
      <c r="I3052" s="3">
        <v>41886</v>
      </c>
      <c r="J3052"/>
      <c r="L3052"/>
      <c r="M3052"/>
      <c r="N3052" s="20"/>
      <c r="O3052"/>
      <c r="P3052" s="20"/>
      <c r="Q3052" s="20"/>
      <c r="R3052" s="20"/>
      <c r="S3052" s="20"/>
      <c r="T3052" s="20"/>
    </row>
    <row r="3053" spans="1:20" x14ac:dyDescent="0.25">
      <c r="A3053" s="3">
        <v>41894</v>
      </c>
      <c r="B3053" s="36">
        <v>233</v>
      </c>
      <c r="C3053" t="s">
        <v>3695</v>
      </c>
      <c r="D3053">
        <v>23.5</v>
      </c>
      <c r="E3053" s="18">
        <v>2350</v>
      </c>
      <c r="F3053" t="s">
        <v>889</v>
      </c>
      <c r="G3053" t="s">
        <v>3696</v>
      </c>
      <c r="H3053" s="18">
        <v>2350</v>
      </c>
      <c r="I3053" s="3">
        <v>41894</v>
      </c>
      <c r="J3053"/>
      <c r="L3053"/>
      <c r="M3053"/>
      <c r="N3053" s="20"/>
      <c r="O3053"/>
      <c r="P3053" s="20"/>
      <c r="Q3053" s="20"/>
      <c r="R3053" s="20"/>
      <c r="S3053" s="20"/>
      <c r="T3053" s="20"/>
    </row>
    <row r="3054" spans="1:20" x14ac:dyDescent="0.25">
      <c r="A3054" s="3">
        <v>41894</v>
      </c>
      <c r="B3054" s="36">
        <v>233</v>
      </c>
      <c r="C3054" t="s">
        <v>3619</v>
      </c>
      <c r="D3054">
        <v>8</v>
      </c>
      <c r="E3054" s="18">
        <v>-411.73</v>
      </c>
      <c r="F3054" t="s">
        <v>889</v>
      </c>
      <c r="G3054" t="s">
        <v>442</v>
      </c>
      <c r="H3054" s="18" t="s">
        <v>442</v>
      </c>
      <c r="I3054" s="3" t="s">
        <v>442</v>
      </c>
      <c r="J3054"/>
      <c r="L3054"/>
      <c r="M3054"/>
      <c r="N3054" s="20"/>
      <c r="O3054"/>
      <c r="P3054" s="20"/>
      <c r="Q3054" s="20"/>
      <c r="R3054" s="20"/>
      <c r="S3054" s="20"/>
      <c r="T3054" s="20" t="s">
        <v>401</v>
      </c>
    </row>
    <row r="3055" spans="1:20" x14ac:dyDescent="0.25">
      <c r="A3055" s="3">
        <v>41894</v>
      </c>
      <c r="B3055" s="36">
        <v>233</v>
      </c>
      <c r="C3055" t="s">
        <v>3677</v>
      </c>
      <c r="D3055">
        <v>6</v>
      </c>
      <c r="E3055" s="18">
        <v>-600</v>
      </c>
      <c r="F3055" t="s">
        <v>889</v>
      </c>
      <c r="G3055" t="s">
        <v>3678</v>
      </c>
      <c r="H3055" s="18" t="s">
        <v>442</v>
      </c>
      <c r="I3055" s="3" t="s">
        <v>442</v>
      </c>
      <c r="J3055"/>
      <c r="L3055"/>
      <c r="M3055"/>
      <c r="N3055" s="20"/>
      <c r="O3055"/>
      <c r="P3055" s="20"/>
      <c r="Q3055" s="20"/>
      <c r="R3055" s="20"/>
      <c r="S3055" s="20"/>
      <c r="T3055" s="20"/>
    </row>
    <row r="3056" spans="1:20" x14ac:dyDescent="0.25">
      <c r="A3056" s="3">
        <v>41894</v>
      </c>
      <c r="B3056" s="36">
        <v>233</v>
      </c>
      <c r="C3056" t="s">
        <v>3677</v>
      </c>
      <c r="D3056">
        <v>6</v>
      </c>
      <c r="E3056" s="18">
        <v>600</v>
      </c>
      <c r="F3056" t="s">
        <v>889</v>
      </c>
      <c r="G3056" t="s">
        <v>3678</v>
      </c>
      <c r="H3056" s="18">
        <v>600</v>
      </c>
      <c r="I3056" s="3">
        <v>41894</v>
      </c>
      <c r="J3056"/>
      <c r="L3056"/>
      <c r="M3056"/>
      <c r="N3056" s="20"/>
      <c r="O3056"/>
      <c r="P3056" s="20"/>
      <c r="Q3056" s="20"/>
      <c r="R3056" s="20"/>
      <c r="S3056" s="20"/>
      <c r="T3056" s="20"/>
    </row>
    <row r="3057" spans="1:21" x14ac:dyDescent="0.25">
      <c r="A3057" s="3">
        <v>41894</v>
      </c>
      <c r="B3057" s="36">
        <v>233</v>
      </c>
      <c r="C3057" t="s">
        <v>3697</v>
      </c>
      <c r="D3057">
        <v>5</v>
      </c>
      <c r="E3057" s="18">
        <v>500</v>
      </c>
      <c r="F3057" t="s">
        <v>889</v>
      </c>
      <c r="G3057" t="s">
        <v>3698</v>
      </c>
      <c r="H3057" s="18">
        <v>500</v>
      </c>
      <c r="I3057" s="3">
        <v>41894</v>
      </c>
      <c r="J3057"/>
      <c r="L3057"/>
      <c r="M3057"/>
      <c r="N3057" s="20"/>
      <c r="O3057"/>
      <c r="P3057" s="20"/>
      <c r="Q3057" s="20"/>
      <c r="R3057" s="20"/>
      <c r="S3057" s="20"/>
      <c r="T3057" s="20"/>
    </row>
    <row r="3058" spans="1:21" x14ac:dyDescent="0.25">
      <c r="A3058" s="3">
        <v>41894</v>
      </c>
      <c r="B3058" s="36">
        <v>233</v>
      </c>
      <c r="C3058" t="s">
        <v>2584</v>
      </c>
      <c r="E3058" s="18">
        <v>-200</v>
      </c>
      <c r="F3058" t="s">
        <v>891</v>
      </c>
      <c r="G3058" t="s">
        <v>442</v>
      </c>
      <c r="H3058" s="18" t="s">
        <v>442</v>
      </c>
      <c r="I3058" s="3" t="s">
        <v>442</v>
      </c>
      <c r="J3058"/>
      <c r="L3058"/>
      <c r="M3058"/>
      <c r="N3058" s="20"/>
      <c r="O3058"/>
      <c r="P3058" s="20"/>
      <c r="Q3058" s="20"/>
      <c r="R3058" s="20" t="s">
        <v>401</v>
      </c>
      <c r="S3058" s="20"/>
      <c r="T3058" s="20"/>
    </row>
    <row r="3059" spans="1:21" x14ac:dyDescent="0.25">
      <c r="A3059" s="3">
        <v>41894</v>
      </c>
      <c r="B3059" s="36">
        <v>233</v>
      </c>
      <c r="C3059" t="s">
        <v>3681</v>
      </c>
      <c r="D3059">
        <v>4.5</v>
      </c>
      <c r="E3059" s="18">
        <v>-450</v>
      </c>
      <c r="F3059" t="s">
        <v>889</v>
      </c>
      <c r="G3059" t="s">
        <v>3682</v>
      </c>
      <c r="H3059" s="18" t="s">
        <v>442</v>
      </c>
      <c r="I3059" s="3" t="s">
        <v>442</v>
      </c>
      <c r="J3059"/>
      <c r="L3059"/>
      <c r="M3059"/>
      <c r="N3059" s="20"/>
      <c r="O3059"/>
      <c r="P3059" s="20"/>
      <c r="Q3059" s="20"/>
      <c r="R3059" s="20"/>
      <c r="S3059" s="20"/>
      <c r="T3059" s="20"/>
    </row>
    <row r="3060" spans="1:21" x14ac:dyDescent="0.25">
      <c r="A3060" s="3">
        <v>41894</v>
      </c>
      <c r="B3060" s="36">
        <v>233</v>
      </c>
      <c r="C3060" t="s">
        <v>1269</v>
      </c>
      <c r="E3060" s="18">
        <v>-329.12164519999999</v>
      </c>
      <c r="F3060" t="s">
        <v>891</v>
      </c>
      <c r="G3060" t="s">
        <v>442</v>
      </c>
      <c r="H3060" s="18" t="s">
        <v>442</v>
      </c>
      <c r="I3060" s="3" t="s">
        <v>442</v>
      </c>
      <c r="J3060"/>
      <c r="L3060"/>
      <c r="M3060"/>
      <c r="N3060" s="20"/>
      <c r="O3060"/>
      <c r="P3060" s="20"/>
      <c r="Q3060" s="20" t="s">
        <v>401</v>
      </c>
      <c r="R3060" s="20"/>
      <c r="S3060" s="20"/>
      <c r="T3060" s="20"/>
    </row>
    <row r="3061" spans="1:21" x14ac:dyDescent="0.25">
      <c r="A3061" s="3">
        <v>41894</v>
      </c>
      <c r="B3061" s="36">
        <v>233</v>
      </c>
      <c r="C3061" t="s">
        <v>1111</v>
      </c>
      <c r="E3061" s="18">
        <v>-167.6511667</v>
      </c>
      <c r="F3061" t="s">
        <v>891</v>
      </c>
      <c r="G3061" t="s">
        <v>442</v>
      </c>
      <c r="H3061" s="18" t="s">
        <v>442</v>
      </c>
      <c r="I3061" s="3" t="s">
        <v>442</v>
      </c>
      <c r="J3061"/>
      <c r="L3061"/>
      <c r="M3061"/>
      <c r="N3061" s="20"/>
      <c r="O3061"/>
      <c r="P3061" s="20"/>
      <c r="Q3061" s="20" t="s">
        <v>401</v>
      </c>
      <c r="R3061" s="20"/>
      <c r="S3061" s="20"/>
      <c r="T3061" s="20"/>
    </row>
    <row r="3062" spans="1:21" x14ac:dyDescent="0.25">
      <c r="A3062" s="3">
        <v>41901</v>
      </c>
      <c r="B3062" s="36">
        <v>233</v>
      </c>
      <c r="C3062" t="s">
        <v>3699</v>
      </c>
      <c r="D3062">
        <v>12.75</v>
      </c>
      <c r="E3062" s="18">
        <v>1275</v>
      </c>
      <c r="F3062" t="s">
        <v>889</v>
      </c>
      <c r="G3062" t="s">
        <v>3700</v>
      </c>
      <c r="H3062" s="18">
        <v>1275</v>
      </c>
      <c r="I3062" s="3">
        <v>41901</v>
      </c>
      <c r="J3062"/>
      <c r="L3062"/>
      <c r="M3062"/>
      <c r="N3062" s="20"/>
      <c r="O3062"/>
      <c r="P3062" s="20"/>
      <c r="Q3062" s="20"/>
      <c r="R3062" s="20"/>
      <c r="S3062" s="20"/>
      <c r="T3062" s="20"/>
    </row>
    <row r="3063" spans="1:21" x14ac:dyDescent="0.25">
      <c r="A3063" s="3">
        <v>41901</v>
      </c>
      <c r="B3063" s="36">
        <v>233</v>
      </c>
      <c r="C3063" t="s">
        <v>3689</v>
      </c>
      <c r="D3063">
        <v>5.75</v>
      </c>
      <c r="E3063" s="18">
        <v>-575</v>
      </c>
      <c r="F3063" t="s">
        <v>889</v>
      </c>
      <c r="G3063" t="s">
        <v>3690</v>
      </c>
      <c r="H3063" s="18" t="s">
        <v>442</v>
      </c>
      <c r="I3063" s="3" t="s">
        <v>442</v>
      </c>
      <c r="J3063"/>
      <c r="L3063"/>
      <c r="M3063"/>
      <c r="N3063" s="20"/>
      <c r="O3063"/>
      <c r="P3063" s="20"/>
      <c r="Q3063" s="20"/>
      <c r="R3063" s="20"/>
      <c r="S3063" s="20"/>
      <c r="T3063" s="20"/>
    </row>
    <row r="3064" spans="1:21" x14ac:dyDescent="0.25">
      <c r="A3064" s="3">
        <v>41901</v>
      </c>
      <c r="B3064" s="36">
        <v>233</v>
      </c>
      <c r="C3064" t="s">
        <v>3701</v>
      </c>
      <c r="D3064">
        <v>5</v>
      </c>
      <c r="E3064" s="18">
        <v>500</v>
      </c>
      <c r="F3064" t="s">
        <v>889</v>
      </c>
      <c r="G3064" t="s">
        <v>3702</v>
      </c>
      <c r="H3064" s="18">
        <v>500</v>
      </c>
      <c r="I3064" s="3">
        <v>41901</v>
      </c>
      <c r="J3064"/>
      <c r="L3064"/>
      <c r="M3064"/>
      <c r="N3064" s="20"/>
      <c r="O3064"/>
      <c r="P3064" s="20"/>
      <c r="Q3064" s="20"/>
      <c r="R3064" s="20"/>
      <c r="S3064" s="20"/>
      <c r="T3064" s="20"/>
    </row>
    <row r="3065" spans="1:21" x14ac:dyDescent="0.25">
      <c r="A3065" s="3">
        <v>41901</v>
      </c>
      <c r="B3065" s="36">
        <v>233</v>
      </c>
      <c r="C3065" t="s">
        <v>3701</v>
      </c>
      <c r="D3065">
        <v>2</v>
      </c>
      <c r="E3065" s="18">
        <v>200</v>
      </c>
      <c r="F3065" t="s">
        <v>889</v>
      </c>
      <c r="G3065" t="s">
        <v>3703</v>
      </c>
      <c r="H3065" s="18">
        <v>200</v>
      </c>
      <c r="I3065" s="3">
        <v>41901</v>
      </c>
      <c r="J3065"/>
      <c r="L3065"/>
      <c r="M3065"/>
      <c r="N3065" s="20"/>
      <c r="O3065"/>
      <c r="P3065" s="20"/>
      <c r="Q3065" s="20"/>
      <c r="R3065" s="20"/>
      <c r="S3065" s="20"/>
      <c r="T3065" s="20"/>
    </row>
    <row r="3066" spans="1:21" x14ac:dyDescent="0.25">
      <c r="A3066" s="3">
        <v>41901</v>
      </c>
      <c r="B3066" s="36">
        <v>233</v>
      </c>
      <c r="C3066" t="s">
        <v>2575</v>
      </c>
      <c r="E3066" s="18">
        <v>-119.7508333</v>
      </c>
      <c r="F3066" t="s">
        <v>891</v>
      </c>
      <c r="G3066" t="s">
        <v>442</v>
      </c>
      <c r="H3066" s="18" t="s">
        <v>442</v>
      </c>
      <c r="I3066" s="3" t="s">
        <v>442</v>
      </c>
      <c r="J3066"/>
      <c r="L3066"/>
      <c r="M3066"/>
      <c r="N3066" s="20"/>
      <c r="O3066"/>
      <c r="P3066" s="20"/>
      <c r="Q3066" s="20" t="s">
        <v>401</v>
      </c>
      <c r="R3066" s="20"/>
      <c r="S3066" s="20"/>
      <c r="T3066" s="20"/>
    </row>
    <row r="3067" spans="1:21" x14ac:dyDescent="0.25">
      <c r="A3067" s="3">
        <v>41922</v>
      </c>
      <c r="B3067" s="36">
        <v>233</v>
      </c>
      <c r="C3067" t="s">
        <v>3704</v>
      </c>
      <c r="D3067">
        <v>5.25</v>
      </c>
      <c r="E3067" s="18">
        <v>525</v>
      </c>
      <c r="F3067" t="s">
        <v>889</v>
      </c>
      <c r="G3067" t="s">
        <v>3705</v>
      </c>
      <c r="H3067" s="18">
        <v>525</v>
      </c>
      <c r="I3067" s="3">
        <v>41922</v>
      </c>
      <c r="J3067"/>
      <c r="L3067"/>
      <c r="M3067"/>
      <c r="N3067" s="20"/>
      <c r="O3067"/>
      <c r="P3067" s="20"/>
      <c r="Q3067" s="20"/>
      <c r="R3067" s="20"/>
      <c r="S3067" s="20"/>
      <c r="T3067" s="20"/>
    </row>
    <row r="3068" spans="1:21" x14ac:dyDescent="0.25">
      <c r="A3068" s="3">
        <v>41922</v>
      </c>
      <c r="B3068" s="36">
        <v>233</v>
      </c>
      <c r="C3068" t="s">
        <v>3677</v>
      </c>
      <c r="D3068">
        <v>6</v>
      </c>
      <c r="E3068" s="18">
        <v>-600</v>
      </c>
      <c r="F3068" t="s">
        <v>889</v>
      </c>
      <c r="G3068" t="s">
        <v>3678</v>
      </c>
      <c r="H3068" s="18" t="s">
        <v>442</v>
      </c>
      <c r="I3068" s="3" t="s">
        <v>442</v>
      </c>
      <c r="J3068"/>
      <c r="L3068"/>
      <c r="M3068"/>
      <c r="N3068" s="20"/>
      <c r="O3068"/>
      <c r="P3068" s="20"/>
      <c r="Q3068" s="20"/>
      <c r="R3068" s="20"/>
      <c r="S3068" s="20"/>
      <c r="T3068" s="20"/>
    </row>
    <row r="3069" spans="1:21" x14ac:dyDescent="0.25">
      <c r="A3069" s="3">
        <v>41922</v>
      </c>
      <c r="B3069" s="36">
        <v>233</v>
      </c>
      <c r="C3069" t="s">
        <v>3706</v>
      </c>
      <c r="D3069">
        <v>5.5</v>
      </c>
      <c r="E3069" s="18">
        <v>550</v>
      </c>
      <c r="F3069" t="s">
        <v>889</v>
      </c>
      <c r="G3069" t="s">
        <v>3707</v>
      </c>
      <c r="H3069" s="18">
        <v>550</v>
      </c>
      <c r="I3069" s="3">
        <v>41922</v>
      </c>
      <c r="J3069"/>
      <c r="L3069"/>
      <c r="M3069"/>
      <c r="N3069" s="20"/>
      <c r="O3069"/>
      <c r="P3069" s="20"/>
      <c r="Q3069" s="20"/>
      <c r="R3069" s="20"/>
      <c r="S3069" s="20"/>
      <c r="T3069" s="20"/>
    </row>
    <row r="3070" spans="1:21" x14ac:dyDescent="0.25">
      <c r="B3070">
        <v>233</v>
      </c>
      <c r="C3070" t="s">
        <v>3695</v>
      </c>
      <c r="D3070">
        <v>15</v>
      </c>
      <c r="E3070" s="18">
        <v>-2350</v>
      </c>
      <c r="F3070" t="s">
        <v>889</v>
      </c>
      <c r="G3070" t="s">
        <v>3696</v>
      </c>
      <c r="I3070"/>
      <c r="J3070"/>
      <c r="L3070"/>
      <c r="M3070"/>
      <c r="O3070"/>
      <c r="P3070" s="20"/>
      <c r="Q3070" s="20"/>
      <c r="R3070" s="20"/>
      <c r="S3070" s="20"/>
      <c r="T3070" s="20"/>
      <c r="U3070" t="s">
        <v>401</v>
      </c>
    </row>
    <row r="3071" spans="1:21" x14ac:dyDescent="0.25">
      <c r="B3071">
        <v>233</v>
      </c>
      <c r="C3071" t="s">
        <v>3634</v>
      </c>
      <c r="D3071">
        <v>8</v>
      </c>
      <c r="E3071" s="18">
        <v>-88.27</v>
      </c>
      <c r="F3071" t="s">
        <v>889</v>
      </c>
      <c r="G3071" t="s">
        <v>442</v>
      </c>
      <c r="I3071"/>
      <c r="J3071"/>
      <c r="L3071"/>
      <c r="M3071"/>
      <c r="O3071"/>
      <c r="P3071" s="20"/>
      <c r="Q3071" s="20"/>
      <c r="R3071" s="20"/>
      <c r="S3071" s="20"/>
      <c r="T3071" s="20"/>
      <c r="U3071" t="s">
        <v>401</v>
      </c>
    </row>
    <row r="3072" spans="1:21" x14ac:dyDescent="0.25">
      <c r="B3072">
        <v>233</v>
      </c>
      <c r="C3072" t="s">
        <v>3697</v>
      </c>
      <c r="D3072">
        <v>5</v>
      </c>
      <c r="E3072" s="18">
        <v>-500</v>
      </c>
      <c r="F3072" t="s">
        <v>889</v>
      </c>
      <c r="G3072" t="s">
        <v>3698</v>
      </c>
      <c r="I3072"/>
      <c r="J3072"/>
      <c r="L3072"/>
      <c r="M3072"/>
      <c r="O3072"/>
      <c r="P3072" s="20"/>
      <c r="Q3072" s="20"/>
      <c r="R3072" s="20"/>
      <c r="S3072" s="20"/>
      <c r="T3072" s="20"/>
      <c r="U3072" t="s">
        <v>401</v>
      </c>
    </row>
    <row r="3073" spans="1:21" x14ac:dyDescent="0.25">
      <c r="B3073">
        <v>233</v>
      </c>
      <c r="C3073" t="s">
        <v>3708</v>
      </c>
      <c r="D3073">
        <v>2.5</v>
      </c>
      <c r="E3073" s="18">
        <v>250</v>
      </c>
      <c r="F3073" t="s">
        <v>889</v>
      </c>
      <c r="G3073" t="s">
        <v>3709</v>
      </c>
      <c r="I3073"/>
      <c r="J3073"/>
      <c r="L3073"/>
      <c r="M3073"/>
      <c r="O3073"/>
      <c r="P3073" s="20"/>
      <c r="Q3073" s="20"/>
      <c r="R3073" s="20"/>
      <c r="S3073" s="20"/>
      <c r="T3073" s="20"/>
      <c r="U3073" t="s">
        <v>401</v>
      </c>
    </row>
    <row r="3074" spans="1:21" x14ac:dyDescent="0.25">
      <c r="B3074">
        <v>233</v>
      </c>
      <c r="C3074" t="s">
        <v>3708</v>
      </c>
      <c r="D3074">
        <v>2.5</v>
      </c>
      <c r="E3074" s="18">
        <v>-250</v>
      </c>
      <c r="F3074" t="s">
        <v>889</v>
      </c>
      <c r="G3074" t="s">
        <v>3709</v>
      </c>
      <c r="I3074"/>
      <c r="J3074"/>
      <c r="L3074"/>
      <c r="M3074"/>
      <c r="O3074"/>
      <c r="P3074" s="20"/>
      <c r="Q3074" s="20"/>
      <c r="R3074" s="20"/>
      <c r="S3074" s="20"/>
      <c r="T3074" s="20"/>
      <c r="U3074" t="s">
        <v>401</v>
      </c>
    </row>
    <row r="3075" spans="1:21" x14ac:dyDescent="0.25">
      <c r="B3075">
        <v>233</v>
      </c>
      <c r="C3075" t="s">
        <v>3691</v>
      </c>
      <c r="D3075">
        <v>6</v>
      </c>
      <c r="E3075" s="18">
        <v>-600</v>
      </c>
      <c r="F3075" t="s">
        <v>889</v>
      </c>
      <c r="G3075" t="s">
        <v>3692</v>
      </c>
      <c r="I3075"/>
      <c r="J3075"/>
      <c r="L3075"/>
      <c r="M3075"/>
      <c r="O3075"/>
      <c r="P3075" s="20"/>
      <c r="Q3075" s="20"/>
      <c r="R3075" s="20"/>
      <c r="S3075" s="20"/>
      <c r="T3075" s="20"/>
      <c r="U3075" t="s">
        <v>401</v>
      </c>
    </row>
    <row r="3076" spans="1:21" x14ac:dyDescent="0.25">
      <c r="B3076">
        <v>233</v>
      </c>
      <c r="C3076" t="s">
        <v>3710</v>
      </c>
      <c r="D3076">
        <v>5</v>
      </c>
      <c r="E3076" s="18">
        <v>500</v>
      </c>
      <c r="F3076" t="s">
        <v>889</v>
      </c>
      <c r="G3076" t="s">
        <v>3711</v>
      </c>
      <c r="I3076"/>
      <c r="J3076"/>
      <c r="L3076"/>
      <c r="M3076"/>
      <c r="O3076"/>
      <c r="P3076" s="20"/>
      <c r="Q3076" s="20"/>
      <c r="R3076" s="20"/>
      <c r="S3076" s="20"/>
      <c r="T3076" s="20"/>
      <c r="U3076" t="s">
        <v>401</v>
      </c>
    </row>
    <row r="3077" spans="1:21" x14ac:dyDescent="0.25">
      <c r="B3077">
        <v>233</v>
      </c>
      <c r="C3077" t="s">
        <v>3712</v>
      </c>
      <c r="D3077">
        <v>4.5</v>
      </c>
      <c r="E3077" s="18">
        <v>450</v>
      </c>
      <c r="F3077" t="s">
        <v>889</v>
      </c>
      <c r="G3077" t="s">
        <v>3713</v>
      </c>
      <c r="I3077"/>
      <c r="J3077"/>
      <c r="L3077"/>
      <c r="M3077"/>
      <c r="O3077"/>
      <c r="P3077" s="20"/>
      <c r="Q3077" s="20"/>
      <c r="R3077" s="20"/>
      <c r="S3077" s="20"/>
      <c r="T3077" s="20"/>
      <c r="U3077" t="s">
        <v>401</v>
      </c>
    </row>
    <row r="3078" spans="1:21" x14ac:dyDescent="0.25">
      <c r="B3078">
        <v>233</v>
      </c>
      <c r="C3078" t="s">
        <v>3679</v>
      </c>
      <c r="D3078">
        <v>10.75</v>
      </c>
      <c r="E3078" s="18">
        <v>358.33333333333331</v>
      </c>
      <c r="F3078" t="s">
        <v>889</v>
      </c>
      <c r="G3078" t="s">
        <v>3680</v>
      </c>
      <c r="I3078"/>
      <c r="J3078"/>
      <c r="L3078"/>
      <c r="M3078"/>
      <c r="O3078"/>
      <c r="P3078" s="20"/>
      <c r="Q3078" s="20"/>
      <c r="R3078" s="20"/>
      <c r="S3078" s="20"/>
      <c r="T3078" s="20"/>
      <c r="U3078" t="s">
        <v>401</v>
      </c>
    </row>
    <row r="3079" spans="1:21" x14ac:dyDescent="0.25">
      <c r="B3079">
        <v>233</v>
      </c>
      <c r="C3079" t="s">
        <v>3679</v>
      </c>
      <c r="E3079" s="18">
        <v>358.33333333333331</v>
      </c>
      <c r="G3079" t="s">
        <v>3680</v>
      </c>
      <c r="I3079"/>
      <c r="J3079"/>
      <c r="L3079"/>
      <c r="M3079"/>
      <c r="O3079"/>
      <c r="P3079" s="20"/>
      <c r="Q3079" s="20"/>
      <c r="R3079" s="20"/>
      <c r="S3079" s="20"/>
      <c r="T3079" s="20"/>
      <c r="U3079" t="s">
        <v>401</v>
      </c>
    </row>
    <row r="3080" spans="1:21" x14ac:dyDescent="0.25">
      <c r="B3080">
        <v>233</v>
      </c>
      <c r="C3080" t="s">
        <v>1480</v>
      </c>
      <c r="E3080" s="18">
        <v>-162.2430645</v>
      </c>
      <c r="F3080" t="s">
        <v>891</v>
      </c>
      <c r="G3080" t="s">
        <v>442</v>
      </c>
      <c r="I3080"/>
      <c r="J3080"/>
      <c r="L3080"/>
      <c r="M3080"/>
      <c r="O3080"/>
      <c r="P3080" s="20"/>
      <c r="Q3080" s="20"/>
      <c r="R3080" s="20"/>
      <c r="S3080" s="20"/>
      <c r="T3080" s="20"/>
      <c r="U3080" t="s">
        <v>401</v>
      </c>
    </row>
    <row r="3081" spans="1:21" x14ac:dyDescent="0.25">
      <c r="B3081">
        <v>233</v>
      </c>
      <c r="C3081" t="s">
        <v>1106</v>
      </c>
      <c r="E3081" s="18">
        <v>-162.2430645</v>
      </c>
      <c r="F3081" t="s">
        <v>891</v>
      </c>
      <c r="G3081" t="s">
        <v>442</v>
      </c>
      <c r="I3081"/>
      <c r="J3081"/>
      <c r="L3081"/>
      <c r="M3081"/>
      <c r="O3081"/>
      <c r="P3081" s="20"/>
      <c r="Q3081" s="20"/>
      <c r="R3081" s="20"/>
      <c r="S3081" s="20"/>
      <c r="T3081" s="20"/>
      <c r="U3081" t="s">
        <v>401</v>
      </c>
    </row>
    <row r="3082" spans="1:21" x14ac:dyDescent="0.25">
      <c r="B3082">
        <v>233</v>
      </c>
      <c r="C3082" t="s">
        <v>1108</v>
      </c>
      <c r="E3082" s="18">
        <v>-162.2430645</v>
      </c>
      <c r="F3082" t="s">
        <v>891</v>
      </c>
      <c r="G3082" t="s">
        <v>442</v>
      </c>
      <c r="I3082"/>
      <c r="J3082"/>
      <c r="L3082"/>
      <c r="M3082"/>
      <c r="O3082"/>
      <c r="P3082" s="20"/>
      <c r="Q3082" s="20"/>
      <c r="R3082" s="20"/>
      <c r="S3082" s="20"/>
      <c r="T3082" s="20"/>
      <c r="U3082" t="s">
        <v>401</v>
      </c>
    </row>
    <row r="3083" spans="1:21" x14ac:dyDescent="0.25">
      <c r="B3083">
        <v>233</v>
      </c>
      <c r="C3083" t="s">
        <v>1482</v>
      </c>
      <c r="E3083" s="18">
        <v>-162.2430645</v>
      </c>
      <c r="G3083" t="s">
        <v>442</v>
      </c>
      <c r="I3083"/>
      <c r="J3083"/>
      <c r="L3083"/>
      <c r="M3083"/>
      <c r="O3083"/>
      <c r="P3083" s="20"/>
      <c r="Q3083" s="20"/>
      <c r="R3083" s="20"/>
      <c r="S3083" s="20"/>
      <c r="T3083" s="20"/>
      <c r="U3083" t="s">
        <v>401</v>
      </c>
    </row>
    <row r="3084" spans="1:21" x14ac:dyDescent="0.25">
      <c r="B3084">
        <v>233</v>
      </c>
      <c r="C3084" t="s">
        <v>1237</v>
      </c>
      <c r="E3084" s="18">
        <v>-162.2430645</v>
      </c>
      <c r="F3084" t="s">
        <v>1484</v>
      </c>
      <c r="G3084" t="s">
        <v>442</v>
      </c>
      <c r="I3084"/>
      <c r="J3084"/>
      <c r="L3084"/>
      <c r="M3084"/>
      <c r="O3084"/>
      <c r="P3084" s="20"/>
      <c r="Q3084" s="20"/>
      <c r="R3084" s="20"/>
      <c r="S3084" s="20"/>
      <c r="T3084" s="20"/>
      <c r="U3084" t="s">
        <v>401</v>
      </c>
    </row>
    <row r="3085" spans="1:21" x14ac:dyDescent="0.25">
      <c r="B3085">
        <v>233</v>
      </c>
      <c r="C3085" t="s">
        <v>3453</v>
      </c>
      <c r="E3085" s="18">
        <v>-191.60133329999999</v>
      </c>
      <c r="G3085" t="s">
        <v>442</v>
      </c>
      <c r="I3085"/>
      <c r="J3085"/>
      <c r="L3085"/>
      <c r="M3085"/>
      <c r="O3085"/>
      <c r="P3085" s="20"/>
      <c r="Q3085" s="20"/>
      <c r="R3085" s="20"/>
      <c r="S3085" s="20"/>
      <c r="T3085" s="20"/>
      <c r="U3085" t="s">
        <v>401</v>
      </c>
    </row>
    <row r="3086" spans="1:21" x14ac:dyDescent="0.25">
      <c r="B3086">
        <v>233</v>
      </c>
      <c r="C3086" t="s">
        <v>3453</v>
      </c>
      <c r="E3086" s="18">
        <v>-215.5515</v>
      </c>
      <c r="G3086" t="s">
        <v>442</v>
      </c>
      <c r="I3086"/>
      <c r="J3086"/>
      <c r="L3086"/>
      <c r="M3086"/>
      <c r="O3086"/>
      <c r="P3086" s="20"/>
      <c r="Q3086" s="20"/>
      <c r="R3086" s="20"/>
      <c r="S3086" s="20"/>
      <c r="T3086" s="20"/>
      <c r="U3086" t="s">
        <v>401</v>
      </c>
    </row>
    <row r="3087" spans="1:21" x14ac:dyDescent="0.25">
      <c r="B3087">
        <v>233</v>
      </c>
      <c r="C3087" t="s">
        <v>3453</v>
      </c>
      <c r="E3087" s="18">
        <v>-162.2430645</v>
      </c>
      <c r="G3087" t="s">
        <v>442</v>
      </c>
      <c r="I3087"/>
      <c r="J3087"/>
      <c r="L3087"/>
      <c r="M3087"/>
      <c r="O3087"/>
      <c r="P3087" s="20"/>
      <c r="Q3087" s="20"/>
      <c r="R3087" s="20"/>
      <c r="S3087" s="20"/>
      <c r="T3087" s="20"/>
      <c r="U3087" t="s">
        <v>401</v>
      </c>
    </row>
    <row r="3088" spans="1:21" x14ac:dyDescent="0.25">
      <c r="A3088" s="3">
        <v>41845</v>
      </c>
      <c r="B3088" s="36">
        <v>234</v>
      </c>
      <c r="C3088" t="s">
        <v>3714</v>
      </c>
      <c r="D3088">
        <v>5.25</v>
      </c>
      <c r="E3088" s="18">
        <v>525</v>
      </c>
      <c r="G3088" t="s">
        <v>3715</v>
      </c>
      <c r="H3088" s="18">
        <v>525</v>
      </c>
      <c r="I3088" s="3">
        <v>41845</v>
      </c>
      <c r="J3088"/>
      <c r="L3088"/>
      <c r="M3088"/>
      <c r="N3088" s="20"/>
      <c r="O3088" t="s">
        <v>931</v>
      </c>
      <c r="P3088" s="20"/>
      <c r="Q3088" s="20"/>
      <c r="R3088" s="20"/>
      <c r="S3088" s="20"/>
      <c r="T3088" s="20"/>
    </row>
    <row r="3089" spans="1:21" x14ac:dyDescent="0.25">
      <c r="A3089" s="3">
        <v>41851</v>
      </c>
      <c r="B3089" s="36">
        <v>234</v>
      </c>
      <c r="C3089" t="s">
        <v>3716</v>
      </c>
      <c r="D3089">
        <v>4</v>
      </c>
      <c r="E3089" s="18">
        <v>400</v>
      </c>
      <c r="F3089" t="s">
        <v>889</v>
      </c>
      <c r="G3089" t="s">
        <v>3717</v>
      </c>
      <c r="H3089" s="18">
        <v>400</v>
      </c>
      <c r="I3089" s="3">
        <v>41851</v>
      </c>
      <c r="J3089"/>
      <c r="L3089"/>
      <c r="M3089"/>
      <c r="N3089" s="20"/>
      <c r="O3089"/>
      <c r="P3089" s="20"/>
      <c r="Q3089" s="20"/>
      <c r="R3089" s="20"/>
      <c r="S3089" s="20"/>
      <c r="T3089" s="20"/>
    </row>
    <row r="3090" spans="1:21" x14ac:dyDescent="0.25">
      <c r="A3090" s="3">
        <v>41859</v>
      </c>
      <c r="B3090" s="36">
        <v>234</v>
      </c>
      <c r="C3090" t="s">
        <v>3467</v>
      </c>
      <c r="E3090" s="18">
        <v>500</v>
      </c>
      <c r="G3090" t="s">
        <v>442</v>
      </c>
      <c r="H3090" s="18" t="s">
        <v>442</v>
      </c>
      <c r="I3090" s="3" t="s">
        <v>442</v>
      </c>
      <c r="J3090"/>
      <c r="L3090"/>
      <c r="M3090"/>
      <c r="N3090" s="20"/>
      <c r="O3090"/>
      <c r="P3090" s="20"/>
      <c r="Q3090" s="20"/>
      <c r="R3090" s="20"/>
      <c r="S3090" s="20"/>
      <c r="T3090" s="20" t="s">
        <v>401</v>
      </c>
    </row>
    <row r="3091" spans="1:21" x14ac:dyDescent="0.25">
      <c r="A3091" s="3">
        <v>41873</v>
      </c>
      <c r="B3091" s="36">
        <v>234</v>
      </c>
      <c r="C3091" t="s">
        <v>3718</v>
      </c>
      <c r="D3091">
        <v>9.5</v>
      </c>
      <c r="E3091" s="18">
        <v>950</v>
      </c>
      <c r="F3091" t="s">
        <v>889</v>
      </c>
      <c r="G3091" t="s">
        <v>3719</v>
      </c>
      <c r="H3091" s="18">
        <v>950</v>
      </c>
      <c r="I3091" s="3">
        <v>41873</v>
      </c>
      <c r="J3091"/>
      <c r="L3091"/>
      <c r="M3091"/>
      <c r="N3091" s="20"/>
      <c r="O3091"/>
      <c r="P3091" s="20"/>
      <c r="Q3091" s="20"/>
      <c r="R3091" s="20"/>
      <c r="S3091" s="20"/>
      <c r="T3091" s="20"/>
    </row>
    <row r="3092" spans="1:21" x14ac:dyDescent="0.25">
      <c r="A3092" s="3">
        <v>41879</v>
      </c>
      <c r="B3092" s="36">
        <v>234</v>
      </c>
      <c r="C3092" t="s">
        <v>3720</v>
      </c>
      <c r="E3092" s="18">
        <v>500</v>
      </c>
      <c r="G3092" t="s">
        <v>442</v>
      </c>
      <c r="H3092" s="18" t="s">
        <v>442</v>
      </c>
      <c r="I3092" s="3" t="s">
        <v>442</v>
      </c>
      <c r="J3092"/>
      <c r="L3092"/>
      <c r="M3092"/>
      <c r="N3092" s="20"/>
      <c r="O3092"/>
      <c r="P3092" s="20"/>
      <c r="Q3092" s="20"/>
      <c r="R3092" s="20"/>
      <c r="S3092" s="20"/>
      <c r="T3092" s="20" t="s">
        <v>401</v>
      </c>
    </row>
    <row r="3093" spans="1:21" x14ac:dyDescent="0.25">
      <c r="A3093" s="3">
        <v>41918</v>
      </c>
      <c r="B3093" s="36">
        <v>234</v>
      </c>
      <c r="C3093" t="s">
        <v>3720</v>
      </c>
      <c r="E3093" s="18">
        <v>-500</v>
      </c>
      <c r="F3093" t="s">
        <v>889</v>
      </c>
      <c r="G3093" t="s">
        <v>442</v>
      </c>
      <c r="H3093" s="18" t="s">
        <v>442</v>
      </c>
      <c r="I3093" s="3" t="s">
        <v>442</v>
      </c>
      <c r="J3093"/>
      <c r="L3093"/>
      <c r="M3093"/>
      <c r="N3093" s="20"/>
      <c r="O3093"/>
      <c r="P3093" s="20"/>
      <c r="Q3093" s="20"/>
      <c r="R3093" s="20"/>
      <c r="S3093" s="20"/>
      <c r="T3093" s="20" t="s">
        <v>401</v>
      </c>
    </row>
    <row r="3094" spans="1:21" x14ac:dyDescent="0.25">
      <c r="A3094" s="3">
        <v>41918</v>
      </c>
      <c r="B3094" s="36">
        <v>234</v>
      </c>
      <c r="C3094" t="s">
        <v>3467</v>
      </c>
      <c r="E3094" s="18">
        <v>-500</v>
      </c>
      <c r="F3094" t="s">
        <v>889</v>
      </c>
      <c r="G3094" t="s">
        <v>442</v>
      </c>
      <c r="H3094" s="18" t="s">
        <v>442</v>
      </c>
      <c r="I3094" s="3" t="s">
        <v>442</v>
      </c>
      <c r="J3094"/>
      <c r="L3094"/>
      <c r="M3094"/>
      <c r="N3094" s="20"/>
      <c r="O3094"/>
      <c r="P3094" s="20"/>
      <c r="Q3094" s="20"/>
      <c r="R3094" s="20"/>
      <c r="S3094" s="20"/>
      <c r="T3094" s="20" t="s">
        <v>401</v>
      </c>
    </row>
    <row r="3095" spans="1:21" x14ac:dyDescent="0.25">
      <c r="A3095" s="3">
        <v>41918</v>
      </c>
      <c r="B3095" s="36">
        <v>234</v>
      </c>
      <c r="C3095" t="s">
        <v>3721</v>
      </c>
      <c r="D3095">
        <v>7.5</v>
      </c>
      <c r="E3095" s="18">
        <v>750</v>
      </c>
      <c r="F3095" t="s">
        <v>889</v>
      </c>
      <c r="G3095" t="s">
        <v>3722</v>
      </c>
      <c r="H3095" s="18">
        <v>750</v>
      </c>
      <c r="I3095" s="3">
        <v>41918</v>
      </c>
      <c r="J3095"/>
      <c r="L3095"/>
      <c r="M3095"/>
      <c r="N3095" s="20"/>
      <c r="O3095"/>
      <c r="P3095" s="20"/>
      <c r="Q3095" s="20"/>
      <c r="R3095" s="20"/>
      <c r="S3095" s="20"/>
      <c r="T3095" s="20"/>
    </row>
    <row r="3096" spans="1:21" x14ac:dyDescent="0.25">
      <c r="A3096" s="3">
        <v>41918</v>
      </c>
      <c r="B3096" s="36">
        <v>234</v>
      </c>
      <c r="C3096" t="s">
        <v>3723</v>
      </c>
      <c r="D3096">
        <v>11.75</v>
      </c>
      <c r="E3096" s="18">
        <v>1175</v>
      </c>
      <c r="F3096" t="s">
        <v>889</v>
      </c>
      <c r="G3096" t="s">
        <v>3724</v>
      </c>
      <c r="H3096" s="18">
        <v>1175</v>
      </c>
      <c r="I3096" s="3">
        <v>41918</v>
      </c>
      <c r="J3096"/>
      <c r="L3096"/>
      <c r="M3096"/>
      <c r="N3096" s="20"/>
      <c r="O3096"/>
      <c r="P3096" s="20"/>
      <c r="Q3096" s="20"/>
      <c r="R3096" s="20"/>
      <c r="S3096" s="20"/>
      <c r="T3096" s="20"/>
    </row>
    <row r="3097" spans="1:21" x14ac:dyDescent="0.25">
      <c r="A3097" s="3">
        <v>41918</v>
      </c>
      <c r="B3097" s="36">
        <v>234</v>
      </c>
      <c r="C3097" t="s">
        <v>3716</v>
      </c>
      <c r="D3097">
        <v>4</v>
      </c>
      <c r="E3097" s="18">
        <v>-400</v>
      </c>
      <c r="G3097" t="s">
        <v>3717</v>
      </c>
      <c r="H3097" s="18" t="s">
        <v>442</v>
      </c>
      <c r="I3097" s="3" t="s">
        <v>442</v>
      </c>
      <c r="J3097"/>
      <c r="L3097"/>
      <c r="M3097"/>
      <c r="N3097" s="20"/>
      <c r="O3097"/>
      <c r="P3097" s="20"/>
      <c r="Q3097" s="20"/>
      <c r="R3097" s="20"/>
      <c r="S3097" s="20"/>
      <c r="T3097" s="20"/>
    </row>
    <row r="3098" spans="1:21" x14ac:dyDescent="0.25">
      <c r="A3098" s="3">
        <v>41964</v>
      </c>
      <c r="B3098" s="36">
        <v>234</v>
      </c>
      <c r="C3098" t="s">
        <v>3725</v>
      </c>
      <c r="E3098" s="18">
        <v>500</v>
      </c>
      <c r="F3098" t="s">
        <v>889</v>
      </c>
      <c r="G3098" t="s">
        <v>442</v>
      </c>
      <c r="H3098" s="18" t="s">
        <v>442</v>
      </c>
      <c r="I3098" s="3" t="s">
        <v>442</v>
      </c>
      <c r="J3098"/>
      <c r="L3098"/>
      <c r="M3098"/>
      <c r="N3098" s="20"/>
      <c r="O3098"/>
      <c r="P3098" s="20"/>
      <c r="Q3098" s="20"/>
      <c r="R3098" s="20"/>
      <c r="S3098" s="20"/>
      <c r="T3098" s="20" t="s">
        <v>401</v>
      </c>
    </row>
    <row r="3099" spans="1:21" x14ac:dyDescent="0.25">
      <c r="B3099">
        <v>234</v>
      </c>
      <c r="C3099" t="s">
        <v>3725</v>
      </c>
      <c r="E3099" s="18">
        <v>-500</v>
      </c>
      <c r="G3099" t="s">
        <v>442</v>
      </c>
      <c r="I3099"/>
      <c r="J3099"/>
      <c r="L3099"/>
      <c r="M3099"/>
      <c r="O3099"/>
      <c r="P3099" s="20"/>
      <c r="Q3099" s="20"/>
      <c r="R3099" s="20"/>
      <c r="S3099" s="20"/>
      <c r="T3099" s="20"/>
      <c r="U3099" t="s">
        <v>401</v>
      </c>
    </row>
    <row r="3100" spans="1:21" x14ac:dyDescent="0.25">
      <c r="B3100">
        <v>234</v>
      </c>
      <c r="C3100" t="s">
        <v>3721</v>
      </c>
      <c r="D3100">
        <v>7.5</v>
      </c>
      <c r="E3100" s="18">
        <v>-750</v>
      </c>
      <c r="F3100" t="s">
        <v>889</v>
      </c>
      <c r="G3100" t="s">
        <v>3722</v>
      </c>
      <c r="I3100"/>
      <c r="J3100"/>
      <c r="L3100"/>
      <c r="M3100"/>
      <c r="O3100"/>
      <c r="P3100" s="20"/>
      <c r="Q3100" s="20"/>
      <c r="R3100" s="20"/>
      <c r="S3100" s="20"/>
      <c r="T3100" s="20"/>
      <c r="U3100" t="s">
        <v>401</v>
      </c>
    </row>
    <row r="3101" spans="1:21" x14ac:dyDescent="0.25">
      <c r="B3101">
        <v>234</v>
      </c>
      <c r="C3101" t="s">
        <v>3723</v>
      </c>
      <c r="D3101">
        <v>11.75</v>
      </c>
      <c r="E3101" s="18">
        <v>-1175</v>
      </c>
      <c r="F3101" t="s">
        <v>889</v>
      </c>
      <c r="G3101" t="s">
        <v>3724</v>
      </c>
      <c r="I3101"/>
      <c r="J3101"/>
      <c r="L3101"/>
      <c r="M3101"/>
      <c r="O3101"/>
      <c r="P3101" s="20"/>
      <c r="Q3101" s="20"/>
      <c r="R3101" s="20"/>
      <c r="S3101" s="20"/>
      <c r="T3101" s="20"/>
      <c r="U3101" t="s">
        <v>401</v>
      </c>
    </row>
    <row r="3102" spans="1:21" x14ac:dyDescent="0.25">
      <c r="B3102">
        <v>234</v>
      </c>
      <c r="C3102" t="s">
        <v>1480</v>
      </c>
      <c r="E3102" s="18">
        <v>-162.2430645</v>
      </c>
      <c r="F3102" t="s">
        <v>891</v>
      </c>
      <c r="G3102" t="s">
        <v>442</v>
      </c>
      <c r="I3102"/>
      <c r="J3102"/>
      <c r="L3102"/>
      <c r="M3102"/>
      <c r="O3102"/>
      <c r="P3102" s="20"/>
      <c r="Q3102" s="20"/>
      <c r="R3102" s="20"/>
      <c r="S3102" s="20"/>
      <c r="T3102" s="20"/>
      <c r="U3102" t="s">
        <v>401</v>
      </c>
    </row>
    <row r="3103" spans="1:21" x14ac:dyDescent="0.25">
      <c r="B3103">
        <v>234</v>
      </c>
      <c r="C3103" t="s">
        <v>1106</v>
      </c>
      <c r="E3103" s="18">
        <v>-162.2430645</v>
      </c>
      <c r="F3103" t="s">
        <v>891</v>
      </c>
      <c r="G3103" t="s">
        <v>442</v>
      </c>
      <c r="I3103"/>
      <c r="J3103"/>
      <c r="L3103"/>
      <c r="M3103"/>
      <c r="O3103"/>
      <c r="P3103" s="20"/>
      <c r="Q3103" s="20"/>
      <c r="R3103" s="20"/>
      <c r="S3103" s="20"/>
      <c r="T3103" s="20"/>
      <c r="U3103" t="s">
        <v>401</v>
      </c>
    </row>
    <row r="3104" spans="1:21" x14ac:dyDescent="0.25">
      <c r="B3104">
        <v>234</v>
      </c>
      <c r="C3104" t="s">
        <v>1269</v>
      </c>
      <c r="E3104" s="18">
        <v>-329.12164519999999</v>
      </c>
      <c r="F3104" t="s">
        <v>891</v>
      </c>
      <c r="G3104" t="s">
        <v>442</v>
      </c>
      <c r="I3104"/>
      <c r="J3104"/>
      <c r="L3104"/>
      <c r="M3104"/>
      <c r="O3104"/>
      <c r="P3104" s="20"/>
      <c r="Q3104" s="20"/>
      <c r="R3104" s="20"/>
      <c r="S3104" s="20"/>
      <c r="T3104" s="20"/>
      <c r="U3104" t="s">
        <v>401</v>
      </c>
    </row>
    <row r="3105" spans="1:21" x14ac:dyDescent="0.25">
      <c r="B3105">
        <v>234</v>
      </c>
      <c r="C3105" t="s">
        <v>1108</v>
      </c>
      <c r="E3105" s="18">
        <v>-162.2430645</v>
      </c>
      <c r="F3105" t="s">
        <v>891</v>
      </c>
      <c r="G3105" t="s">
        <v>442</v>
      </c>
      <c r="I3105"/>
      <c r="J3105"/>
      <c r="L3105"/>
      <c r="M3105"/>
      <c r="O3105"/>
      <c r="P3105" s="20"/>
      <c r="Q3105" s="20"/>
      <c r="R3105" s="20"/>
      <c r="S3105" s="20"/>
      <c r="T3105" s="20"/>
      <c r="U3105" t="s">
        <v>401</v>
      </c>
    </row>
    <row r="3106" spans="1:21" x14ac:dyDescent="0.25">
      <c r="B3106">
        <v>234</v>
      </c>
      <c r="C3106" t="s">
        <v>1482</v>
      </c>
      <c r="E3106" s="18">
        <v>-162.2430645</v>
      </c>
      <c r="F3106" t="s">
        <v>891</v>
      </c>
      <c r="G3106" t="s">
        <v>442</v>
      </c>
      <c r="I3106"/>
      <c r="J3106"/>
      <c r="L3106"/>
      <c r="M3106"/>
      <c r="O3106"/>
      <c r="P3106" s="20"/>
      <c r="Q3106" s="20"/>
      <c r="R3106" s="20"/>
      <c r="S3106" s="20"/>
      <c r="T3106" s="20"/>
      <c r="U3106" t="s">
        <v>401</v>
      </c>
    </row>
    <row r="3107" spans="1:21" x14ac:dyDescent="0.25">
      <c r="B3107">
        <v>234</v>
      </c>
      <c r="C3107" t="s">
        <v>1483</v>
      </c>
      <c r="E3107" s="18">
        <v>-162.2430645</v>
      </c>
      <c r="F3107" t="s">
        <v>891</v>
      </c>
      <c r="G3107" t="s">
        <v>442</v>
      </c>
      <c r="I3107"/>
      <c r="J3107"/>
      <c r="L3107"/>
      <c r="M3107"/>
      <c r="O3107"/>
      <c r="P3107" s="20"/>
      <c r="Q3107" s="20"/>
      <c r="R3107" s="20"/>
      <c r="S3107" s="20"/>
      <c r="T3107" s="20"/>
      <c r="U3107" t="s">
        <v>401</v>
      </c>
    </row>
    <row r="3108" spans="1:21" x14ac:dyDescent="0.25">
      <c r="B3108">
        <v>234</v>
      </c>
      <c r="C3108" t="s">
        <v>1237</v>
      </c>
      <c r="E3108" s="18">
        <v>-162.2430645</v>
      </c>
      <c r="F3108" t="s">
        <v>891</v>
      </c>
      <c r="G3108" t="s">
        <v>442</v>
      </c>
      <c r="I3108"/>
      <c r="J3108"/>
      <c r="L3108"/>
      <c r="M3108"/>
      <c r="O3108"/>
      <c r="P3108" s="20"/>
      <c r="Q3108" s="20"/>
      <c r="R3108" s="20"/>
      <c r="S3108" s="20"/>
      <c r="T3108" s="20"/>
      <c r="U3108" t="s">
        <v>401</v>
      </c>
    </row>
    <row r="3109" spans="1:21" x14ac:dyDescent="0.25">
      <c r="B3109">
        <v>234</v>
      </c>
      <c r="C3109" t="s">
        <v>3726</v>
      </c>
      <c r="E3109" s="18">
        <v>-162.2430645</v>
      </c>
      <c r="F3109" t="s">
        <v>891</v>
      </c>
      <c r="G3109" t="s">
        <v>442</v>
      </c>
      <c r="I3109"/>
      <c r="J3109"/>
      <c r="L3109"/>
      <c r="M3109"/>
      <c r="O3109"/>
      <c r="P3109" s="20"/>
      <c r="Q3109" s="20"/>
      <c r="R3109" s="20"/>
      <c r="S3109" s="20"/>
      <c r="T3109" s="20"/>
      <c r="U3109" t="s">
        <v>401</v>
      </c>
    </row>
    <row r="3110" spans="1:21" x14ac:dyDescent="0.25">
      <c r="B3110">
        <v>234</v>
      </c>
      <c r="C3110" t="s">
        <v>3727</v>
      </c>
      <c r="E3110" s="18">
        <v>-191.60133329999999</v>
      </c>
      <c r="F3110" t="s">
        <v>891</v>
      </c>
      <c r="G3110" t="s">
        <v>442</v>
      </c>
      <c r="I3110"/>
      <c r="J3110"/>
      <c r="L3110"/>
      <c r="M3110"/>
      <c r="O3110"/>
      <c r="P3110" s="20"/>
      <c r="Q3110" s="20"/>
      <c r="R3110" s="20"/>
      <c r="S3110" s="20"/>
      <c r="T3110" s="20"/>
      <c r="U3110" t="s">
        <v>401</v>
      </c>
    </row>
    <row r="3111" spans="1:21" x14ac:dyDescent="0.25">
      <c r="B3111">
        <v>234</v>
      </c>
      <c r="C3111" t="s">
        <v>3728</v>
      </c>
      <c r="E3111" s="18">
        <v>-215.5515</v>
      </c>
      <c r="F3111" t="s">
        <v>891</v>
      </c>
      <c r="G3111" t="s">
        <v>442</v>
      </c>
      <c r="I3111"/>
      <c r="J3111"/>
      <c r="L3111"/>
      <c r="M3111"/>
      <c r="O3111"/>
      <c r="P3111" s="20"/>
      <c r="Q3111" s="20"/>
      <c r="R3111" s="20"/>
      <c r="S3111" s="20"/>
      <c r="T3111" s="20"/>
      <c r="U3111" t="s">
        <v>401</v>
      </c>
    </row>
    <row r="3112" spans="1:21" x14ac:dyDescent="0.25">
      <c r="B3112">
        <v>234</v>
      </c>
      <c r="C3112" t="s">
        <v>2575</v>
      </c>
      <c r="E3112" s="18">
        <v>-119.7508333</v>
      </c>
      <c r="F3112" t="s">
        <v>891</v>
      </c>
      <c r="G3112" t="s">
        <v>442</v>
      </c>
      <c r="I3112"/>
      <c r="J3112"/>
      <c r="L3112"/>
      <c r="M3112"/>
      <c r="O3112"/>
      <c r="P3112" s="20"/>
      <c r="Q3112" s="20"/>
      <c r="R3112" s="20"/>
      <c r="S3112" s="20"/>
      <c r="T3112" s="20"/>
      <c r="U3112" t="s">
        <v>401</v>
      </c>
    </row>
    <row r="3113" spans="1:21" x14ac:dyDescent="0.25">
      <c r="B3113">
        <v>234</v>
      </c>
      <c r="C3113" t="s">
        <v>1111</v>
      </c>
      <c r="E3113" s="18">
        <v>-167.6511667</v>
      </c>
      <c r="F3113" t="s">
        <v>891</v>
      </c>
      <c r="G3113" t="s">
        <v>442</v>
      </c>
      <c r="I3113"/>
      <c r="J3113"/>
      <c r="L3113"/>
      <c r="M3113"/>
      <c r="O3113"/>
      <c r="P3113" s="20"/>
      <c r="Q3113" s="20"/>
      <c r="R3113" s="20"/>
      <c r="S3113" s="20"/>
      <c r="T3113" s="20"/>
      <c r="U3113" t="s">
        <v>401</v>
      </c>
    </row>
    <row r="3114" spans="1:21" x14ac:dyDescent="0.25">
      <c r="A3114" s="3">
        <v>41817</v>
      </c>
      <c r="B3114" s="36">
        <v>236</v>
      </c>
      <c r="C3114" t="s">
        <v>3729</v>
      </c>
      <c r="E3114" s="18">
        <v>750</v>
      </c>
      <c r="G3114" t="s">
        <v>442</v>
      </c>
      <c r="H3114" s="18" t="s">
        <v>442</v>
      </c>
      <c r="I3114" s="3" t="s">
        <v>442</v>
      </c>
      <c r="J3114"/>
      <c r="L3114"/>
      <c r="M3114"/>
      <c r="N3114" s="20"/>
      <c r="O3114"/>
      <c r="P3114" s="20"/>
      <c r="Q3114" s="20"/>
      <c r="R3114" s="20"/>
      <c r="S3114" s="20"/>
      <c r="T3114" s="20" t="s">
        <v>401</v>
      </c>
    </row>
    <row r="3115" spans="1:21" x14ac:dyDescent="0.25">
      <c r="A3115" s="3">
        <v>41817</v>
      </c>
      <c r="B3115" s="36">
        <v>236</v>
      </c>
      <c r="C3115" t="s">
        <v>3536</v>
      </c>
      <c r="E3115" s="18">
        <v>-30.52108333</v>
      </c>
      <c r="G3115" t="s">
        <v>442</v>
      </c>
      <c r="H3115" s="18" t="s">
        <v>442</v>
      </c>
      <c r="I3115" s="3" t="s">
        <v>442</v>
      </c>
      <c r="J3115"/>
      <c r="L3115"/>
      <c r="M3115"/>
      <c r="N3115" s="20"/>
      <c r="O3115" t="s">
        <v>3730</v>
      </c>
      <c r="P3115" s="20"/>
      <c r="Q3115" s="20" t="s">
        <v>401</v>
      </c>
      <c r="R3115" s="20"/>
      <c r="S3115" s="20"/>
      <c r="T3115" s="20"/>
    </row>
    <row r="3116" spans="1:21" x14ac:dyDescent="0.25">
      <c r="A3116" s="3">
        <v>41831</v>
      </c>
      <c r="B3116" s="36">
        <v>236</v>
      </c>
      <c r="C3116" t="s">
        <v>3731</v>
      </c>
      <c r="E3116" s="18">
        <v>1200</v>
      </c>
      <c r="G3116" t="s">
        <v>442</v>
      </c>
      <c r="H3116" s="18" t="s">
        <v>442</v>
      </c>
      <c r="I3116" s="3" t="s">
        <v>442</v>
      </c>
      <c r="J3116"/>
      <c r="L3116"/>
      <c r="M3116"/>
      <c r="N3116" s="20"/>
      <c r="O3116"/>
      <c r="P3116" s="20"/>
      <c r="Q3116" s="20"/>
      <c r="R3116" s="20"/>
      <c r="S3116" s="20"/>
      <c r="T3116" s="20" t="s">
        <v>401</v>
      </c>
    </row>
    <row r="3117" spans="1:21" x14ac:dyDescent="0.25">
      <c r="A3117" s="3">
        <v>41831</v>
      </c>
      <c r="B3117" s="36">
        <v>236</v>
      </c>
      <c r="C3117" t="s">
        <v>1482</v>
      </c>
      <c r="E3117" s="18">
        <v>-206.75572579999999</v>
      </c>
      <c r="G3117" t="s">
        <v>442</v>
      </c>
      <c r="H3117" s="18" t="s">
        <v>442</v>
      </c>
      <c r="I3117" s="3" t="s">
        <v>442</v>
      </c>
      <c r="J3117"/>
      <c r="L3117"/>
      <c r="M3117"/>
      <c r="N3117" s="20"/>
      <c r="O3117" t="s">
        <v>1219</v>
      </c>
      <c r="P3117" s="20"/>
      <c r="Q3117" s="20" t="s">
        <v>401</v>
      </c>
      <c r="R3117" s="20"/>
      <c r="S3117" s="20"/>
      <c r="T3117" s="20"/>
    </row>
    <row r="3118" spans="1:21" x14ac:dyDescent="0.25">
      <c r="A3118" s="3">
        <v>41831</v>
      </c>
      <c r="B3118" s="36">
        <v>236</v>
      </c>
      <c r="C3118" t="s">
        <v>3536</v>
      </c>
      <c r="E3118" s="18">
        <v>-274.68975</v>
      </c>
      <c r="G3118" t="s">
        <v>442</v>
      </c>
      <c r="H3118" s="18" t="s">
        <v>442</v>
      </c>
      <c r="I3118" s="3" t="s">
        <v>442</v>
      </c>
      <c r="J3118"/>
      <c r="L3118"/>
      <c r="M3118"/>
      <c r="N3118" s="20"/>
      <c r="O3118" t="s">
        <v>2654</v>
      </c>
      <c r="P3118" s="20"/>
      <c r="Q3118" s="20" t="s">
        <v>401</v>
      </c>
      <c r="R3118" s="20"/>
      <c r="S3118" s="20"/>
      <c r="T3118" s="20"/>
    </row>
    <row r="3119" spans="1:21" x14ac:dyDescent="0.25">
      <c r="A3119" s="3">
        <v>41834</v>
      </c>
      <c r="B3119" s="36">
        <v>236</v>
      </c>
      <c r="C3119" t="s">
        <v>1313</v>
      </c>
      <c r="E3119" s="18">
        <v>681.45</v>
      </c>
      <c r="G3119" t="s">
        <v>442</v>
      </c>
      <c r="H3119" s="18" t="s">
        <v>442</v>
      </c>
      <c r="I3119" s="3" t="s">
        <v>442</v>
      </c>
      <c r="J3119"/>
      <c r="L3119"/>
      <c r="M3119"/>
      <c r="N3119" s="20"/>
      <c r="O3119"/>
      <c r="P3119" s="20"/>
      <c r="Q3119" s="20"/>
      <c r="R3119" s="20"/>
      <c r="S3119" s="20" t="s">
        <v>401</v>
      </c>
      <c r="T3119" s="20"/>
    </row>
    <row r="3120" spans="1:21" x14ac:dyDescent="0.25">
      <c r="A3120" s="3">
        <v>41845</v>
      </c>
      <c r="B3120" s="36">
        <v>236</v>
      </c>
      <c r="C3120" t="s">
        <v>3732</v>
      </c>
      <c r="E3120" s="18">
        <v>500</v>
      </c>
      <c r="G3120" t="s">
        <v>442</v>
      </c>
      <c r="H3120" s="18" t="s">
        <v>442</v>
      </c>
      <c r="I3120" s="3" t="s">
        <v>442</v>
      </c>
      <c r="J3120"/>
      <c r="L3120"/>
      <c r="M3120"/>
      <c r="N3120" s="20"/>
      <c r="O3120"/>
      <c r="P3120" s="20"/>
      <c r="Q3120" s="20"/>
      <c r="R3120" s="20"/>
      <c r="S3120" s="20"/>
      <c r="T3120" s="20" t="s">
        <v>401</v>
      </c>
    </row>
    <row r="3121" spans="1:20" x14ac:dyDescent="0.25">
      <c r="A3121" s="37">
        <v>41855</v>
      </c>
      <c r="B3121" s="36">
        <v>236</v>
      </c>
      <c r="C3121" s="38" t="s">
        <v>3733</v>
      </c>
      <c r="D3121" s="38"/>
      <c r="E3121" s="39">
        <v>200</v>
      </c>
      <c r="F3121" s="38" t="s">
        <v>889</v>
      </c>
      <c r="G3121" t="s">
        <v>442</v>
      </c>
      <c r="H3121" s="18" t="s">
        <v>442</v>
      </c>
      <c r="I3121" s="3" t="s">
        <v>442</v>
      </c>
      <c r="J3121"/>
      <c r="L3121"/>
      <c r="M3121"/>
      <c r="N3121" s="40"/>
      <c r="O3121" s="38"/>
      <c r="P3121" s="20"/>
      <c r="Q3121" s="20"/>
      <c r="R3121" s="20"/>
      <c r="S3121" s="20"/>
      <c r="T3121" s="20" t="s">
        <v>401</v>
      </c>
    </row>
    <row r="3122" spans="1:20" x14ac:dyDescent="0.25">
      <c r="A3122" s="3">
        <v>41855</v>
      </c>
      <c r="B3122" s="36">
        <v>236</v>
      </c>
      <c r="C3122" t="s">
        <v>3734</v>
      </c>
      <c r="D3122">
        <v>9</v>
      </c>
      <c r="E3122" s="18">
        <v>900</v>
      </c>
      <c r="F3122" t="s">
        <v>889</v>
      </c>
      <c r="G3122" t="s">
        <v>3735</v>
      </c>
      <c r="H3122" s="18">
        <v>900</v>
      </c>
      <c r="I3122" s="3">
        <v>41855</v>
      </c>
      <c r="J3122"/>
      <c r="L3122"/>
      <c r="M3122"/>
      <c r="N3122" s="20"/>
      <c r="O3122" t="s">
        <v>931</v>
      </c>
      <c r="P3122" s="20"/>
      <c r="Q3122" s="20"/>
      <c r="R3122" s="20"/>
      <c r="S3122" s="20"/>
      <c r="T3122" s="20"/>
    </row>
    <row r="3123" spans="1:20" x14ac:dyDescent="0.25">
      <c r="A3123" s="3">
        <v>41855</v>
      </c>
      <c r="B3123" s="36">
        <v>236</v>
      </c>
      <c r="C3123" t="s">
        <v>3736</v>
      </c>
      <c r="D3123">
        <v>12</v>
      </c>
      <c r="E3123" s="18">
        <v>1200</v>
      </c>
      <c r="F3123" t="s">
        <v>889</v>
      </c>
      <c r="G3123" t="s">
        <v>3737</v>
      </c>
      <c r="H3123" s="18">
        <v>1200</v>
      </c>
      <c r="I3123" s="3">
        <v>41855</v>
      </c>
      <c r="J3123"/>
      <c r="L3123"/>
      <c r="M3123"/>
      <c r="N3123" s="20"/>
      <c r="O3123" t="s">
        <v>931</v>
      </c>
      <c r="P3123" s="20"/>
      <c r="Q3123" s="20"/>
      <c r="R3123" s="20"/>
      <c r="S3123" s="20"/>
      <c r="T3123" s="20"/>
    </row>
    <row r="3124" spans="1:20" x14ac:dyDescent="0.25">
      <c r="A3124" s="37">
        <v>41858</v>
      </c>
      <c r="B3124" s="36">
        <v>236</v>
      </c>
      <c r="C3124" s="38" t="s">
        <v>3423</v>
      </c>
      <c r="D3124" s="38">
        <v>6</v>
      </c>
      <c r="E3124" s="39">
        <v>500</v>
      </c>
      <c r="F3124" s="38" t="s">
        <v>889</v>
      </c>
      <c r="G3124" t="s">
        <v>442</v>
      </c>
      <c r="H3124" s="18" t="s">
        <v>442</v>
      </c>
      <c r="I3124" s="3" t="s">
        <v>442</v>
      </c>
      <c r="J3124"/>
      <c r="L3124"/>
      <c r="M3124"/>
      <c r="N3124" s="40"/>
      <c r="O3124" s="38"/>
      <c r="P3124" s="20"/>
      <c r="Q3124" s="20"/>
      <c r="R3124" s="20"/>
      <c r="S3124" s="20"/>
      <c r="T3124" s="20" t="s">
        <v>401</v>
      </c>
    </row>
    <row r="3125" spans="1:20" x14ac:dyDescent="0.25">
      <c r="A3125" s="3">
        <v>41859</v>
      </c>
      <c r="B3125" s="36">
        <v>236</v>
      </c>
      <c r="C3125" t="s">
        <v>3738</v>
      </c>
      <c r="D3125">
        <v>14.75</v>
      </c>
      <c r="E3125" s="18">
        <v>1475</v>
      </c>
      <c r="F3125" t="s">
        <v>889</v>
      </c>
      <c r="G3125" t="s">
        <v>3739</v>
      </c>
      <c r="H3125" s="18">
        <v>1475</v>
      </c>
      <c r="I3125" s="3">
        <v>41859</v>
      </c>
      <c r="J3125"/>
      <c r="L3125"/>
      <c r="M3125"/>
      <c r="N3125" s="20"/>
      <c r="O3125"/>
      <c r="P3125" s="20"/>
      <c r="Q3125" s="20"/>
      <c r="R3125" s="20"/>
      <c r="S3125" s="20"/>
      <c r="T3125" s="20"/>
    </row>
    <row r="3126" spans="1:20" x14ac:dyDescent="0.25">
      <c r="A3126" s="3">
        <v>41859</v>
      </c>
      <c r="B3126" s="36">
        <v>236</v>
      </c>
      <c r="C3126" t="s">
        <v>3740</v>
      </c>
      <c r="D3126">
        <v>9.25</v>
      </c>
      <c r="E3126" s="18">
        <v>925</v>
      </c>
      <c r="F3126" t="s">
        <v>889</v>
      </c>
      <c r="G3126" t="s">
        <v>3741</v>
      </c>
      <c r="H3126" s="18">
        <v>925</v>
      </c>
      <c r="I3126" s="3">
        <v>41859</v>
      </c>
      <c r="J3126"/>
      <c r="L3126"/>
      <c r="M3126"/>
      <c r="N3126" s="20"/>
      <c r="O3126"/>
      <c r="P3126" s="20"/>
      <c r="Q3126" s="20"/>
      <c r="R3126" s="20"/>
      <c r="S3126" s="20"/>
      <c r="T3126" s="20"/>
    </row>
    <row r="3127" spans="1:20" x14ac:dyDescent="0.25">
      <c r="A3127" s="3">
        <v>41866</v>
      </c>
      <c r="B3127" s="36">
        <v>236</v>
      </c>
      <c r="C3127" t="s">
        <v>954</v>
      </c>
      <c r="E3127" s="18">
        <v>21.25</v>
      </c>
      <c r="G3127" t="s">
        <v>442</v>
      </c>
      <c r="H3127" s="18" t="s">
        <v>442</v>
      </c>
      <c r="I3127" s="3" t="s">
        <v>442</v>
      </c>
      <c r="J3127"/>
      <c r="L3127"/>
      <c r="M3127"/>
      <c r="N3127" s="20" t="s">
        <v>401</v>
      </c>
      <c r="O3127"/>
      <c r="P3127" s="20"/>
      <c r="Q3127" s="20"/>
      <c r="R3127" s="20"/>
      <c r="S3127" s="20"/>
      <c r="T3127" s="20"/>
    </row>
    <row r="3128" spans="1:20" x14ac:dyDescent="0.25">
      <c r="A3128" s="3">
        <v>41873</v>
      </c>
      <c r="B3128" s="36">
        <v>236</v>
      </c>
      <c r="C3128" t="s">
        <v>3742</v>
      </c>
      <c r="D3128">
        <v>5</v>
      </c>
      <c r="E3128" s="18">
        <v>500</v>
      </c>
      <c r="F3128" t="s">
        <v>889</v>
      </c>
      <c r="G3128" t="s">
        <v>3743</v>
      </c>
      <c r="H3128" s="18">
        <v>500</v>
      </c>
      <c r="I3128" s="3">
        <v>41873</v>
      </c>
      <c r="J3128"/>
      <c r="L3128"/>
      <c r="M3128"/>
      <c r="N3128" s="20"/>
      <c r="O3128"/>
      <c r="P3128" s="20"/>
      <c r="Q3128" s="20"/>
      <c r="R3128" s="20"/>
      <c r="S3128" s="20"/>
      <c r="T3128" s="20"/>
    </row>
    <row r="3129" spans="1:20" x14ac:dyDescent="0.25">
      <c r="A3129" s="3">
        <v>41873</v>
      </c>
      <c r="B3129" s="36">
        <v>236</v>
      </c>
      <c r="C3129" t="s">
        <v>3734</v>
      </c>
      <c r="D3129">
        <v>9</v>
      </c>
      <c r="E3129" s="18">
        <v>-900</v>
      </c>
      <c r="F3129" t="s">
        <v>889</v>
      </c>
      <c r="G3129" t="s">
        <v>3735</v>
      </c>
      <c r="H3129" s="18" t="s">
        <v>442</v>
      </c>
      <c r="I3129" s="3" t="s">
        <v>442</v>
      </c>
      <c r="J3129"/>
      <c r="L3129"/>
      <c r="M3129"/>
      <c r="N3129" s="20"/>
      <c r="O3129"/>
      <c r="P3129" s="20"/>
      <c r="Q3129" s="20"/>
      <c r="R3129" s="20"/>
      <c r="S3129" s="20"/>
      <c r="T3129" s="20"/>
    </row>
    <row r="3130" spans="1:20" x14ac:dyDescent="0.25">
      <c r="A3130" s="3">
        <v>41873</v>
      </c>
      <c r="B3130" s="36">
        <v>236</v>
      </c>
      <c r="C3130" t="s">
        <v>3744</v>
      </c>
      <c r="D3130">
        <v>6</v>
      </c>
      <c r="E3130" s="18">
        <v>600</v>
      </c>
      <c r="F3130" t="s">
        <v>889</v>
      </c>
      <c r="G3130" t="s">
        <v>3745</v>
      </c>
      <c r="H3130" s="18">
        <v>600</v>
      </c>
      <c r="I3130" s="3">
        <v>41873</v>
      </c>
      <c r="J3130"/>
      <c r="L3130"/>
      <c r="M3130"/>
      <c r="N3130" s="20"/>
      <c r="O3130"/>
      <c r="P3130" s="20"/>
      <c r="Q3130" s="20"/>
      <c r="R3130" s="20"/>
      <c r="S3130" s="20"/>
      <c r="T3130" s="20"/>
    </row>
    <row r="3131" spans="1:20" x14ac:dyDescent="0.25">
      <c r="A3131" s="3">
        <v>41873</v>
      </c>
      <c r="B3131" s="36">
        <v>236</v>
      </c>
      <c r="C3131" t="s">
        <v>3746</v>
      </c>
      <c r="D3131">
        <v>7.25</v>
      </c>
      <c r="E3131" s="18">
        <v>725</v>
      </c>
      <c r="F3131" t="s">
        <v>889</v>
      </c>
      <c r="G3131" t="s">
        <v>3747</v>
      </c>
      <c r="H3131" s="18">
        <v>725</v>
      </c>
      <c r="I3131" s="3">
        <v>41873</v>
      </c>
      <c r="J3131"/>
      <c r="L3131"/>
      <c r="M3131"/>
      <c r="N3131" s="20"/>
      <c r="O3131"/>
      <c r="P3131" s="20"/>
      <c r="Q3131" s="20"/>
      <c r="R3131" s="20"/>
      <c r="S3131" s="20"/>
      <c r="T3131" s="20"/>
    </row>
    <row r="3132" spans="1:20" x14ac:dyDescent="0.25">
      <c r="A3132" s="37">
        <v>41880</v>
      </c>
      <c r="B3132" s="36">
        <v>236</v>
      </c>
      <c r="C3132" s="38" t="s">
        <v>3748</v>
      </c>
      <c r="D3132" s="38"/>
      <c r="E3132" s="39">
        <v>800</v>
      </c>
      <c r="F3132" s="38" t="s">
        <v>889</v>
      </c>
      <c r="G3132" t="s">
        <v>442</v>
      </c>
      <c r="H3132" s="18" t="s">
        <v>442</v>
      </c>
      <c r="I3132" s="3" t="s">
        <v>442</v>
      </c>
      <c r="J3132"/>
      <c r="L3132"/>
      <c r="M3132"/>
      <c r="N3132" s="40"/>
      <c r="O3132" s="38"/>
      <c r="P3132" s="20"/>
      <c r="Q3132" s="20"/>
      <c r="R3132" s="20"/>
      <c r="S3132" s="20"/>
      <c r="T3132" s="20" t="s">
        <v>401</v>
      </c>
    </row>
    <row r="3133" spans="1:20" x14ac:dyDescent="0.25">
      <c r="A3133" s="3">
        <v>41886</v>
      </c>
      <c r="B3133" s="36">
        <v>236</v>
      </c>
      <c r="C3133" t="s">
        <v>3749</v>
      </c>
      <c r="D3133">
        <v>3</v>
      </c>
      <c r="E3133" s="18">
        <v>300</v>
      </c>
      <c r="G3133" t="s">
        <v>3750</v>
      </c>
      <c r="H3133" s="18">
        <v>300</v>
      </c>
      <c r="I3133" s="3">
        <v>41886</v>
      </c>
      <c r="J3133"/>
      <c r="L3133"/>
      <c r="M3133"/>
      <c r="N3133" s="20"/>
      <c r="O3133"/>
      <c r="P3133" s="20"/>
      <c r="Q3133" s="20"/>
      <c r="R3133" s="20"/>
      <c r="S3133" s="20"/>
      <c r="T3133" s="20"/>
    </row>
    <row r="3134" spans="1:20" x14ac:dyDescent="0.25">
      <c r="A3134" s="3">
        <v>41886</v>
      </c>
      <c r="B3134" s="36">
        <v>236</v>
      </c>
      <c r="C3134" t="s">
        <v>3751</v>
      </c>
      <c r="D3134">
        <v>3</v>
      </c>
      <c r="E3134" s="18">
        <v>300</v>
      </c>
      <c r="G3134" t="s">
        <v>3752</v>
      </c>
      <c r="H3134" s="18">
        <v>300</v>
      </c>
      <c r="I3134" s="3">
        <v>41886</v>
      </c>
      <c r="J3134"/>
      <c r="L3134"/>
      <c r="M3134"/>
      <c r="N3134" s="20"/>
      <c r="O3134"/>
      <c r="P3134" s="20"/>
      <c r="Q3134" s="20"/>
      <c r="R3134" s="20"/>
      <c r="S3134" s="20"/>
      <c r="T3134" s="20"/>
    </row>
    <row r="3135" spans="1:20" x14ac:dyDescent="0.25">
      <c r="A3135" s="3">
        <v>41886</v>
      </c>
      <c r="B3135" s="36">
        <v>236</v>
      </c>
      <c r="C3135" t="s">
        <v>3753</v>
      </c>
      <c r="D3135">
        <v>3</v>
      </c>
      <c r="E3135" s="18">
        <v>300</v>
      </c>
      <c r="G3135" t="s">
        <v>3754</v>
      </c>
      <c r="H3135" s="18">
        <v>300</v>
      </c>
      <c r="I3135" s="3">
        <v>41886</v>
      </c>
      <c r="J3135"/>
      <c r="L3135"/>
      <c r="M3135"/>
      <c r="N3135" s="20"/>
      <c r="O3135"/>
      <c r="P3135" s="20"/>
      <c r="Q3135" s="20"/>
      <c r="R3135" s="20"/>
      <c r="S3135" s="20"/>
      <c r="T3135" s="20"/>
    </row>
    <row r="3136" spans="1:20" x14ac:dyDescent="0.25">
      <c r="A3136" s="3">
        <v>42004</v>
      </c>
      <c r="B3136" s="36">
        <v>236</v>
      </c>
      <c r="C3136" t="s">
        <v>3751</v>
      </c>
      <c r="D3136">
        <v>3</v>
      </c>
      <c r="E3136" s="18">
        <v>100</v>
      </c>
      <c r="F3136" t="s">
        <v>889</v>
      </c>
      <c r="G3136" t="s">
        <v>3752</v>
      </c>
      <c r="H3136" s="18">
        <v>100</v>
      </c>
      <c r="I3136" s="3">
        <v>42004</v>
      </c>
      <c r="J3136"/>
      <c r="L3136"/>
      <c r="M3136"/>
      <c r="N3136" s="20"/>
      <c r="O3136"/>
      <c r="P3136" s="20"/>
      <c r="Q3136" s="20"/>
      <c r="R3136" s="20"/>
      <c r="S3136" s="20"/>
      <c r="T3136" s="20"/>
    </row>
    <row r="3137" spans="2:21" x14ac:dyDescent="0.25">
      <c r="B3137">
        <v>236</v>
      </c>
      <c r="C3137" t="s">
        <v>3755</v>
      </c>
      <c r="D3137">
        <v>4.25</v>
      </c>
      <c r="E3137" s="18">
        <v>425</v>
      </c>
      <c r="F3137" t="s">
        <v>889</v>
      </c>
      <c r="G3137" t="s">
        <v>3756</v>
      </c>
      <c r="I3137"/>
      <c r="J3137"/>
      <c r="L3137"/>
      <c r="M3137"/>
      <c r="O3137"/>
      <c r="P3137" s="20"/>
      <c r="Q3137" s="20"/>
      <c r="R3137" s="20"/>
      <c r="S3137" s="20"/>
      <c r="T3137" s="20"/>
      <c r="U3137" t="s">
        <v>401</v>
      </c>
    </row>
    <row r="3138" spans="2:21" x14ac:dyDescent="0.25">
      <c r="B3138">
        <v>236</v>
      </c>
      <c r="C3138" t="s">
        <v>3755</v>
      </c>
      <c r="D3138">
        <v>4.25</v>
      </c>
      <c r="E3138" s="18">
        <v>-425</v>
      </c>
      <c r="F3138" t="s">
        <v>889</v>
      </c>
      <c r="G3138" t="s">
        <v>3756</v>
      </c>
      <c r="I3138"/>
      <c r="J3138"/>
      <c r="L3138"/>
      <c r="M3138"/>
      <c r="O3138"/>
      <c r="P3138" s="20"/>
      <c r="Q3138" s="20"/>
      <c r="R3138" s="20"/>
      <c r="S3138" s="20"/>
      <c r="T3138" s="20"/>
      <c r="U3138" t="s">
        <v>401</v>
      </c>
    </row>
    <row r="3139" spans="2:21" x14ac:dyDescent="0.25">
      <c r="B3139">
        <v>236</v>
      </c>
      <c r="C3139" t="s">
        <v>3729</v>
      </c>
      <c r="E3139" s="18">
        <v>-750</v>
      </c>
      <c r="G3139" t="s">
        <v>442</v>
      </c>
      <c r="I3139"/>
      <c r="J3139"/>
      <c r="L3139"/>
      <c r="M3139"/>
      <c r="O3139"/>
      <c r="P3139" s="20"/>
      <c r="Q3139" s="20"/>
      <c r="R3139" s="20"/>
      <c r="S3139" s="20"/>
      <c r="T3139" s="20"/>
      <c r="U3139" t="s">
        <v>401</v>
      </c>
    </row>
    <row r="3140" spans="2:21" x14ac:dyDescent="0.25">
      <c r="B3140">
        <v>236</v>
      </c>
      <c r="C3140" t="s">
        <v>3731</v>
      </c>
      <c r="E3140" s="18">
        <v>-1200</v>
      </c>
      <c r="G3140" t="s">
        <v>442</v>
      </c>
      <c r="I3140"/>
      <c r="J3140"/>
      <c r="L3140"/>
      <c r="M3140"/>
      <c r="O3140"/>
      <c r="P3140" s="20"/>
      <c r="Q3140" s="20"/>
      <c r="R3140" s="20"/>
      <c r="S3140" s="20"/>
      <c r="T3140" s="20"/>
      <c r="U3140" t="s">
        <v>401</v>
      </c>
    </row>
    <row r="3141" spans="2:21" x14ac:dyDescent="0.25">
      <c r="B3141">
        <v>236</v>
      </c>
      <c r="C3141" t="s">
        <v>3732</v>
      </c>
      <c r="E3141" s="18">
        <v>-500</v>
      </c>
      <c r="G3141" t="s">
        <v>442</v>
      </c>
      <c r="I3141"/>
      <c r="J3141"/>
      <c r="L3141"/>
      <c r="M3141"/>
      <c r="O3141"/>
      <c r="P3141" s="20"/>
      <c r="Q3141" s="20"/>
      <c r="R3141" s="20"/>
      <c r="S3141" s="20"/>
      <c r="T3141" s="20"/>
      <c r="U3141" t="s">
        <v>401</v>
      </c>
    </row>
    <row r="3142" spans="2:21" x14ac:dyDescent="0.25">
      <c r="B3142">
        <v>236</v>
      </c>
      <c r="C3142" t="s">
        <v>3748</v>
      </c>
      <c r="E3142" s="18">
        <v>-800</v>
      </c>
      <c r="G3142" t="s">
        <v>442</v>
      </c>
      <c r="I3142"/>
      <c r="J3142"/>
      <c r="L3142"/>
      <c r="M3142"/>
      <c r="O3142"/>
      <c r="P3142" s="20"/>
      <c r="Q3142" s="20"/>
      <c r="R3142" s="20"/>
      <c r="S3142" s="20"/>
      <c r="T3142" s="20"/>
      <c r="U3142" t="s">
        <v>401</v>
      </c>
    </row>
    <row r="3143" spans="2:21" x14ac:dyDescent="0.25">
      <c r="B3143">
        <v>236</v>
      </c>
      <c r="C3143" t="s">
        <v>3733</v>
      </c>
      <c r="E3143" s="18">
        <v>-200</v>
      </c>
      <c r="F3143" t="s">
        <v>889</v>
      </c>
      <c r="G3143" t="s">
        <v>442</v>
      </c>
      <c r="I3143"/>
      <c r="J3143"/>
      <c r="L3143"/>
      <c r="M3143"/>
      <c r="O3143"/>
      <c r="P3143" s="20"/>
      <c r="Q3143" s="20"/>
      <c r="R3143" s="20"/>
      <c r="S3143" s="20"/>
      <c r="T3143" s="20"/>
      <c r="U3143" t="s">
        <v>401</v>
      </c>
    </row>
    <row r="3144" spans="2:21" x14ac:dyDescent="0.25">
      <c r="B3144">
        <v>236</v>
      </c>
      <c r="C3144" t="s">
        <v>3423</v>
      </c>
      <c r="D3144">
        <v>6</v>
      </c>
      <c r="E3144" s="18">
        <v>-500</v>
      </c>
      <c r="F3144" t="s">
        <v>889</v>
      </c>
      <c r="G3144" t="s">
        <v>442</v>
      </c>
      <c r="I3144"/>
      <c r="J3144"/>
      <c r="L3144"/>
      <c r="M3144"/>
      <c r="O3144"/>
      <c r="P3144" s="20"/>
      <c r="Q3144" s="20"/>
      <c r="R3144" s="20"/>
      <c r="S3144" s="20"/>
      <c r="T3144" s="20"/>
      <c r="U3144" t="s">
        <v>401</v>
      </c>
    </row>
    <row r="3145" spans="2:21" x14ac:dyDescent="0.25">
      <c r="B3145">
        <v>236</v>
      </c>
      <c r="C3145" t="s">
        <v>3757</v>
      </c>
      <c r="D3145">
        <v>2.5</v>
      </c>
      <c r="E3145" s="18">
        <v>250</v>
      </c>
      <c r="F3145" t="s">
        <v>889</v>
      </c>
      <c r="G3145" t="s">
        <v>3758</v>
      </c>
      <c r="I3145"/>
      <c r="J3145"/>
      <c r="L3145"/>
      <c r="M3145"/>
      <c r="O3145"/>
      <c r="P3145" s="20"/>
      <c r="Q3145" s="20"/>
      <c r="R3145" s="20"/>
      <c r="S3145" s="20"/>
      <c r="T3145" s="20"/>
      <c r="U3145" t="s">
        <v>401</v>
      </c>
    </row>
    <row r="3146" spans="2:21" x14ac:dyDescent="0.25">
      <c r="B3146">
        <v>236</v>
      </c>
      <c r="C3146" t="s">
        <v>3742</v>
      </c>
      <c r="D3146">
        <v>5</v>
      </c>
      <c r="E3146" s="18">
        <v>-500</v>
      </c>
      <c r="F3146" t="s">
        <v>889</v>
      </c>
      <c r="G3146" t="s">
        <v>3743</v>
      </c>
      <c r="I3146"/>
      <c r="J3146"/>
      <c r="L3146"/>
      <c r="M3146"/>
      <c r="O3146"/>
      <c r="P3146" s="20"/>
      <c r="Q3146" s="20"/>
      <c r="R3146" s="20"/>
      <c r="S3146" s="20"/>
      <c r="T3146" s="20"/>
      <c r="U3146" t="s">
        <v>401</v>
      </c>
    </row>
    <row r="3147" spans="2:21" x14ac:dyDescent="0.25">
      <c r="B3147">
        <v>236</v>
      </c>
      <c r="C3147" t="s">
        <v>3749</v>
      </c>
      <c r="D3147">
        <v>3.5</v>
      </c>
      <c r="E3147" s="18">
        <v>-300</v>
      </c>
      <c r="F3147" t="s">
        <v>889</v>
      </c>
      <c r="G3147" t="s">
        <v>3750</v>
      </c>
      <c r="I3147"/>
      <c r="J3147"/>
      <c r="L3147"/>
      <c r="M3147"/>
      <c r="O3147"/>
      <c r="P3147" s="20"/>
      <c r="Q3147" s="20"/>
      <c r="R3147" s="20"/>
      <c r="S3147" s="20"/>
      <c r="T3147" s="20"/>
      <c r="U3147" t="s">
        <v>401</v>
      </c>
    </row>
    <row r="3148" spans="2:21" x14ac:dyDescent="0.25">
      <c r="B3148">
        <v>236</v>
      </c>
      <c r="C3148" t="s">
        <v>2584</v>
      </c>
      <c r="E3148" s="18">
        <v>-200</v>
      </c>
      <c r="F3148" t="s">
        <v>891</v>
      </c>
      <c r="G3148" t="s">
        <v>442</v>
      </c>
      <c r="I3148"/>
      <c r="J3148"/>
      <c r="L3148"/>
      <c r="M3148"/>
      <c r="O3148"/>
      <c r="P3148" s="20"/>
      <c r="Q3148" s="20"/>
      <c r="R3148" s="20"/>
      <c r="S3148" s="20"/>
      <c r="T3148" s="20"/>
      <c r="U3148" t="s">
        <v>401</v>
      </c>
    </row>
    <row r="3149" spans="2:21" x14ac:dyDescent="0.25">
      <c r="B3149">
        <v>236</v>
      </c>
      <c r="C3149" t="s">
        <v>3740</v>
      </c>
      <c r="D3149">
        <v>9.8049999999999997</v>
      </c>
      <c r="E3149" s="18">
        <v>-925</v>
      </c>
      <c r="F3149" t="s">
        <v>889</v>
      </c>
      <c r="G3149" t="s">
        <v>3741</v>
      </c>
      <c r="I3149"/>
      <c r="J3149"/>
      <c r="L3149"/>
      <c r="M3149"/>
      <c r="O3149"/>
      <c r="P3149" s="20"/>
      <c r="Q3149" s="20"/>
      <c r="R3149" s="20"/>
      <c r="S3149" s="20"/>
      <c r="T3149" s="20"/>
      <c r="U3149" t="s">
        <v>401</v>
      </c>
    </row>
    <row r="3150" spans="2:21" x14ac:dyDescent="0.25">
      <c r="B3150">
        <v>236</v>
      </c>
      <c r="C3150" t="s">
        <v>3759</v>
      </c>
      <c r="D3150">
        <v>2.5</v>
      </c>
      <c r="E3150" s="18">
        <v>187.49999999999994</v>
      </c>
      <c r="G3150" t="s">
        <v>3758</v>
      </c>
      <c r="I3150"/>
      <c r="J3150"/>
      <c r="L3150"/>
      <c r="M3150"/>
      <c r="O3150"/>
      <c r="P3150" s="20"/>
      <c r="Q3150" s="20"/>
      <c r="R3150" s="20"/>
      <c r="S3150" s="20"/>
      <c r="T3150" s="20"/>
      <c r="U3150" t="s">
        <v>401</v>
      </c>
    </row>
    <row r="3151" spans="2:21" x14ac:dyDescent="0.25">
      <c r="B3151">
        <v>236</v>
      </c>
      <c r="C3151" t="s">
        <v>3760</v>
      </c>
      <c r="D3151">
        <v>4.25</v>
      </c>
      <c r="E3151" s="18">
        <v>425</v>
      </c>
      <c r="F3151" t="s">
        <v>889</v>
      </c>
      <c r="G3151" t="s">
        <v>3761</v>
      </c>
      <c r="I3151"/>
      <c r="J3151"/>
      <c r="L3151"/>
      <c r="M3151"/>
      <c r="O3151"/>
      <c r="P3151" s="20"/>
      <c r="Q3151" s="20"/>
      <c r="R3151" s="20"/>
      <c r="S3151" s="20"/>
      <c r="T3151" s="20"/>
      <c r="U3151" t="s">
        <v>401</v>
      </c>
    </row>
    <row r="3152" spans="2:21" x14ac:dyDescent="0.25">
      <c r="B3152">
        <v>236</v>
      </c>
      <c r="C3152" t="s">
        <v>3760</v>
      </c>
      <c r="D3152">
        <v>4.25</v>
      </c>
      <c r="E3152" s="18">
        <v>-425</v>
      </c>
      <c r="F3152" t="s">
        <v>889</v>
      </c>
      <c r="G3152" t="s">
        <v>3761</v>
      </c>
      <c r="I3152"/>
      <c r="J3152"/>
      <c r="L3152"/>
      <c r="M3152"/>
      <c r="O3152"/>
      <c r="P3152" s="20"/>
      <c r="Q3152" s="20"/>
      <c r="R3152" s="20"/>
      <c r="S3152" s="20"/>
      <c r="T3152" s="20"/>
      <c r="U3152" t="s">
        <v>401</v>
      </c>
    </row>
    <row r="3153" spans="1:21" x14ac:dyDescent="0.25">
      <c r="B3153">
        <v>236</v>
      </c>
      <c r="C3153" t="s">
        <v>3762</v>
      </c>
      <c r="D3153">
        <v>8.25</v>
      </c>
      <c r="E3153" s="18">
        <v>825</v>
      </c>
      <c r="F3153" t="s">
        <v>889</v>
      </c>
      <c r="G3153" t="s">
        <v>3763</v>
      </c>
      <c r="I3153"/>
      <c r="J3153"/>
      <c r="L3153"/>
      <c r="M3153"/>
      <c r="O3153"/>
      <c r="P3153" s="20"/>
      <c r="Q3153" s="20"/>
      <c r="R3153" s="20"/>
      <c r="S3153" s="20"/>
      <c r="T3153" s="20"/>
      <c r="U3153" t="s">
        <v>401</v>
      </c>
    </row>
    <row r="3154" spans="1:21" x14ac:dyDescent="0.25">
      <c r="B3154">
        <v>236</v>
      </c>
      <c r="C3154" t="s">
        <v>3744</v>
      </c>
      <c r="D3154">
        <v>6</v>
      </c>
      <c r="E3154" s="18">
        <v>-600</v>
      </c>
      <c r="F3154" t="s">
        <v>889</v>
      </c>
      <c r="G3154" t="s">
        <v>3745</v>
      </c>
      <c r="I3154"/>
      <c r="J3154"/>
      <c r="L3154"/>
      <c r="M3154"/>
      <c r="O3154"/>
      <c r="P3154" s="20"/>
      <c r="Q3154" s="20"/>
      <c r="R3154" s="20"/>
      <c r="S3154" s="20"/>
      <c r="T3154" s="20"/>
      <c r="U3154" t="s">
        <v>401</v>
      </c>
    </row>
    <row r="3155" spans="1:21" x14ac:dyDescent="0.25">
      <c r="B3155">
        <v>236</v>
      </c>
      <c r="C3155" t="s">
        <v>1484</v>
      </c>
      <c r="E3155" s="18">
        <v>-206.75572579999999</v>
      </c>
      <c r="F3155" t="s">
        <v>891</v>
      </c>
      <c r="G3155" t="s">
        <v>442</v>
      </c>
      <c r="I3155"/>
      <c r="J3155"/>
      <c r="L3155"/>
      <c r="M3155"/>
      <c r="O3155"/>
      <c r="P3155" s="20"/>
      <c r="Q3155" s="20"/>
      <c r="R3155" s="20"/>
      <c r="S3155" s="20"/>
      <c r="T3155" s="20"/>
      <c r="U3155" t="s">
        <v>401</v>
      </c>
    </row>
    <row r="3156" spans="1:21" x14ac:dyDescent="0.25">
      <c r="B3156">
        <v>236</v>
      </c>
      <c r="C3156" t="s">
        <v>1480</v>
      </c>
      <c r="E3156" s="18">
        <v>-206.75572579999999</v>
      </c>
      <c r="F3156" t="s">
        <v>891</v>
      </c>
      <c r="G3156" t="s">
        <v>442</v>
      </c>
      <c r="I3156"/>
      <c r="J3156"/>
      <c r="L3156"/>
      <c r="M3156"/>
      <c r="O3156"/>
      <c r="P3156" s="20"/>
      <c r="Q3156" s="20"/>
      <c r="R3156" s="20"/>
      <c r="S3156" s="20"/>
      <c r="T3156" s="20"/>
      <c r="U3156" t="s">
        <v>401</v>
      </c>
    </row>
    <row r="3157" spans="1:21" x14ac:dyDescent="0.25">
      <c r="B3157">
        <v>236</v>
      </c>
      <c r="C3157" t="s">
        <v>1269</v>
      </c>
      <c r="E3157" s="18">
        <v>-419.41875809999999</v>
      </c>
      <c r="F3157" t="s">
        <v>891</v>
      </c>
      <c r="G3157" t="s">
        <v>442</v>
      </c>
      <c r="I3157"/>
      <c r="J3157"/>
      <c r="L3157"/>
      <c r="M3157"/>
      <c r="O3157"/>
      <c r="P3157" s="20"/>
      <c r="Q3157" s="20"/>
      <c r="R3157" s="20"/>
      <c r="S3157" s="20"/>
      <c r="T3157" s="20"/>
      <c r="U3157" t="s">
        <v>401</v>
      </c>
    </row>
    <row r="3158" spans="1:21" x14ac:dyDescent="0.25">
      <c r="B3158">
        <v>236</v>
      </c>
      <c r="C3158" t="s">
        <v>1108</v>
      </c>
      <c r="E3158" s="18">
        <v>-206.75572579999999</v>
      </c>
      <c r="F3158" t="s">
        <v>891</v>
      </c>
      <c r="G3158" t="s">
        <v>442</v>
      </c>
      <c r="I3158"/>
      <c r="J3158"/>
      <c r="L3158"/>
      <c r="M3158"/>
      <c r="O3158"/>
      <c r="P3158" s="20"/>
      <c r="Q3158" s="20"/>
      <c r="R3158" s="20"/>
      <c r="S3158" s="20"/>
      <c r="T3158" s="20"/>
      <c r="U3158" t="s">
        <v>401</v>
      </c>
    </row>
    <row r="3159" spans="1:21" x14ac:dyDescent="0.25">
      <c r="B3159">
        <v>236</v>
      </c>
      <c r="C3159" t="s">
        <v>1483</v>
      </c>
      <c r="E3159" s="18">
        <v>-206.75572579999999</v>
      </c>
      <c r="F3159" t="s">
        <v>891</v>
      </c>
      <c r="G3159" t="s">
        <v>442</v>
      </c>
      <c r="I3159"/>
      <c r="J3159"/>
      <c r="L3159"/>
      <c r="M3159"/>
      <c r="O3159"/>
      <c r="P3159" s="20"/>
      <c r="Q3159" s="20"/>
      <c r="R3159" s="20"/>
      <c r="S3159" s="20"/>
      <c r="T3159" s="20"/>
      <c r="U3159" t="s">
        <v>401</v>
      </c>
    </row>
    <row r="3160" spans="1:21" x14ac:dyDescent="0.25">
      <c r="B3160">
        <v>236</v>
      </c>
      <c r="C3160" t="s">
        <v>1237</v>
      </c>
      <c r="E3160" s="18">
        <v>-206.75572579999999</v>
      </c>
      <c r="F3160" t="s">
        <v>891</v>
      </c>
      <c r="G3160" t="s">
        <v>442</v>
      </c>
      <c r="I3160"/>
      <c r="J3160"/>
      <c r="L3160"/>
      <c r="M3160"/>
      <c r="O3160"/>
      <c r="P3160" s="20"/>
      <c r="Q3160" s="20"/>
      <c r="R3160" s="20"/>
      <c r="S3160" s="20"/>
      <c r="T3160" s="20"/>
      <c r="U3160" t="s">
        <v>401</v>
      </c>
    </row>
    <row r="3161" spans="1:21" x14ac:dyDescent="0.25">
      <c r="B3161">
        <v>236</v>
      </c>
      <c r="C3161" t="s">
        <v>2575</v>
      </c>
      <c r="E3161" s="18">
        <v>-152.60541670000001</v>
      </c>
      <c r="F3161" t="s">
        <v>891</v>
      </c>
      <c r="G3161" t="s">
        <v>442</v>
      </c>
      <c r="I3161"/>
      <c r="J3161"/>
      <c r="L3161"/>
      <c r="M3161"/>
      <c r="O3161"/>
      <c r="P3161" s="20"/>
      <c r="Q3161" s="20"/>
      <c r="R3161" s="20"/>
      <c r="S3161" s="20"/>
      <c r="T3161" s="20"/>
      <c r="U3161" t="s">
        <v>401</v>
      </c>
    </row>
    <row r="3162" spans="1:21" x14ac:dyDescent="0.25">
      <c r="B3162">
        <v>236</v>
      </c>
      <c r="C3162" t="s">
        <v>1111</v>
      </c>
      <c r="E3162" s="18">
        <v>-213.64758330000001</v>
      </c>
      <c r="F3162" t="s">
        <v>891</v>
      </c>
      <c r="G3162" t="s">
        <v>442</v>
      </c>
      <c r="I3162"/>
      <c r="J3162"/>
      <c r="L3162"/>
      <c r="M3162"/>
      <c r="O3162"/>
      <c r="P3162" s="20"/>
      <c r="Q3162" s="20"/>
      <c r="R3162" s="20"/>
      <c r="S3162" s="20"/>
      <c r="T3162" s="20"/>
      <c r="U3162" t="s">
        <v>401</v>
      </c>
    </row>
    <row r="3163" spans="1:21" x14ac:dyDescent="0.25">
      <c r="B3163">
        <v>236</v>
      </c>
      <c r="C3163" t="s">
        <v>3736</v>
      </c>
      <c r="D3163">
        <v>12</v>
      </c>
      <c r="E3163" s="18">
        <v>-1200</v>
      </c>
      <c r="F3163" t="s">
        <v>889</v>
      </c>
      <c r="G3163" t="s">
        <v>3737</v>
      </c>
      <c r="I3163"/>
      <c r="J3163"/>
      <c r="L3163"/>
      <c r="M3163"/>
      <c r="O3163"/>
      <c r="P3163" s="20"/>
      <c r="Q3163" s="20"/>
      <c r="R3163" s="20"/>
      <c r="S3163" s="20"/>
      <c r="T3163" s="20"/>
      <c r="U3163" t="s">
        <v>401</v>
      </c>
    </row>
    <row r="3164" spans="1:21" x14ac:dyDescent="0.25">
      <c r="B3164">
        <v>236</v>
      </c>
      <c r="C3164" t="s">
        <v>3753</v>
      </c>
      <c r="D3164">
        <v>3</v>
      </c>
      <c r="E3164" s="18">
        <v>-300</v>
      </c>
      <c r="F3164" t="s">
        <v>889</v>
      </c>
      <c r="G3164" t="s">
        <v>3754</v>
      </c>
      <c r="I3164"/>
      <c r="J3164"/>
      <c r="L3164"/>
      <c r="M3164"/>
      <c r="O3164"/>
      <c r="P3164" s="20"/>
      <c r="Q3164" s="20"/>
      <c r="R3164" s="20"/>
      <c r="S3164" s="20"/>
      <c r="T3164" s="20"/>
      <c r="U3164" t="s">
        <v>401</v>
      </c>
    </row>
    <row r="3165" spans="1:21" x14ac:dyDescent="0.25">
      <c r="A3165" s="3">
        <v>41851</v>
      </c>
      <c r="B3165" s="36">
        <v>237</v>
      </c>
      <c r="C3165" t="s">
        <v>3061</v>
      </c>
      <c r="E3165" s="18">
        <v>500</v>
      </c>
      <c r="F3165" t="s">
        <v>889</v>
      </c>
      <c r="G3165" t="s">
        <v>442</v>
      </c>
      <c r="H3165" s="18" t="s">
        <v>442</v>
      </c>
      <c r="I3165" s="3" t="s">
        <v>442</v>
      </c>
      <c r="J3165"/>
      <c r="L3165"/>
      <c r="M3165"/>
      <c r="N3165" s="20"/>
      <c r="O3165"/>
      <c r="P3165" s="20"/>
      <c r="Q3165" s="20"/>
      <c r="R3165" s="20"/>
      <c r="S3165" s="20"/>
      <c r="T3165" s="20" t="s">
        <v>401</v>
      </c>
    </row>
    <row r="3166" spans="1:21" x14ac:dyDescent="0.25">
      <c r="A3166" s="3">
        <v>41858</v>
      </c>
      <c r="B3166" s="36">
        <v>237</v>
      </c>
      <c r="C3166" t="s">
        <v>3764</v>
      </c>
      <c r="E3166" s="18">
        <v>500</v>
      </c>
      <c r="F3166" t="s">
        <v>889</v>
      </c>
      <c r="G3166" t="s">
        <v>442</v>
      </c>
      <c r="H3166" s="18" t="s">
        <v>442</v>
      </c>
      <c r="I3166" s="3" t="s">
        <v>442</v>
      </c>
      <c r="J3166"/>
      <c r="L3166"/>
      <c r="M3166"/>
      <c r="N3166" s="20"/>
      <c r="O3166"/>
      <c r="P3166" s="20"/>
      <c r="Q3166" s="20"/>
      <c r="R3166" s="20"/>
      <c r="S3166" s="20"/>
      <c r="T3166" s="20" t="s">
        <v>401</v>
      </c>
    </row>
    <row r="3167" spans="1:21" x14ac:dyDescent="0.25">
      <c r="A3167" s="3">
        <v>41859</v>
      </c>
      <c r="B3167" s="36">
        <v>237</v>
      </c>
      <c r="C3167" t="s">
        <v>3765</v>
      </c>
      <c r="D3167">
        <v>4.25</v>
      </c>
      <c r="E3167" s="18">
        <v>425</v>
      </c>
      <c r="F3167" t="s">
        <v>889</v>
      </c>
      <c r="G3167" t="s">
        <v>3766</v>
      </c>
      <c r="H3167" s="18">
        <v>425</v>
      </c>
      <c r="I3167" s="3">
        <v>41859</v>
      </c>
      <c r="J3167"/>
      <c r="L3167"/>
      <c r="M3167"/>
      <c r="N3167" s="20"/>
      <c r="O3167"/>
      <c r="P3167" s="20"/>
      <c r="Q3167" s="20"/>
      <c r="R3167" s="20"/>
      <c r="S3167" s="20"/>
      <c r="T3167" s="20"/>
    </row>
    <row r="3168" spans="1:21" x14ac:dyDescent="0.25">
      <c r="A3168" s="3">
        <v>41879</v>
      </c>
      <c r="B3168" s="36">
        <v>237</v>
      </c>
      <c r="C3168" t="s">
        <v>3767</v>
      </c>
      <c r="E3168" s="18">
        <v>500</v>
      </c>
      <c r="G3168" t="s">
        <v>442</v>
      </c>
      <c r="H3168" s="18" t="s">
        <v>442</v>
      </c>
      <c r="I3168" s="3" t="s">
        <v>442</v>
      </c>
      <c r="J3168"/>
      <c r="L3168"/>
      <c r="M3168"/>
      <c r="N3168" s="20"/>
      <c r="O3168"/>
      <c r="P3168" s="20"/>
      <c r="Q3168" s="20"/>
      <c r="R3168" s="20"/>
      <c r="S3168" s="20"/>
      <c r="T3168" s="20" t="s">
        <v>401</v>
      </c>
    </row>
    <row r="3169" spans="2:21" x14ac:dyDescent="0.25">
      <c r="B3169">
        <v>237</v>
      </c>
      <c r="C3169" t="s">
        <v>3765</v>
      </c>
      <c r="D3169">
        <v>4.25</v>
      </c>
      <c r="E3169" s="18">
        <v>-425</v>
      </c>
      <c r="F3169" t="s">
        <v>889</v>
      </c>
      <c r="G3169" t="s">
        <v>3766</v>
      </c>
      <c r="I3169"/>
      <c r="J3169"/>
      <c r="L3169"/>
      <c r="M3169"/>
      <c r="O3169"/>
      <c r="P3169" s="20"/>
      <c r="Q3169" s="20"/>
      <c r="R3169" s="20"/>
      <c r="S3169" s="20"/>
      <c r="T3169" s="20"/>
      <c r="U3169" t="s">
        <v>401</v>
      </c>
    </row>
    <row r="3170" spans="2:21" x14ac:dyDescent="0.25">
      <c r="B3170">
        <v>237</v>
      </c>
      <c r="C3170" t="s">
        <v>3767</v>
      </c>
      <c r="E3170" s="18">
        <v>-500</v>
      </c>
      <c r="F3170" t="s">
        <v>889</v>
      </c>
      <c r="G3170" t="s">
        <v>442</v>
      </c>
      <c r="I3170"/>
      <c r="J3170"/>
      <c r="L3170"/>
      <c r="M3170"/>
      <c r="O3170"/>
      <c r="P3170" s="20"/>
      <c r="Q3170" s="20"/>
      <c r="R3170" s="20"/>
      <c r="S3170" s="20"/>
      <c r="T3170" s="20"/>
      <c r="U3170" t="s">
        <v>401</v>
      </c>
    </row>
    <row r="3171" spans="2:21" x14ac:dyDescent="0.25">
      <c r="B3171">
        <v>237</v>
      </c>
      <c r="C3171" t="s">
        <v>3768</v>
      </c>
      <c r="E3171" s="18">
        <v>-500</v>
      </c>
      <c r="F3171" t="s">
        <v>889</v>
      </c>
      <c r="G3171" t="s">
        <v>442</v>
      </c>
      <c r="I3171"/>
      <c r="J3171"/>
      <c r="L3171"/>
      <c r="M3171"/>
      <c r="O3171"/>
      <c r="P3171" s="20"/>
      <c r="Q3171" s="20"/>
      <c r="R3171" s="20"/>
      <c r="S3171" s="20"/>
      <c r="T3171" s="20"/>
      <c r="U3171" t="s">
        <v>401</v>
      </c>
    </row>
    <row r="3172" spans="2:21" x14ac:dyDescent="0.25">
      <c r="B3172">
        <v>237</v>
      </c>
      <c r="C3172" t="s">
        <v>3061</v>
      </c>
      <c r="E3172" s="18">
        <v>-500</v>
      </c>
      <c r="F3172" t="s">
        <v>889</v>
      </c>
      <c r="G3172" t="s">
        <v>442</v>
      </c>
      <c r="I3172"/>
      <c r="J3172"/>
      <c r="L3172"/>
      <c r="M3172"/>
      <c r="O3172"/>
      <c r="P3172" s="20"/>
      <c r="Q3172" s="20"/>
      <c r="R3172" s="20"/>
      <c r="S3172" s="20"/>
      <c r="T3172" s="20"/>
      <c r="U3172" t="s">
        <v>401</v>
      </c>
    </row>
    <row r="3173" spans="2:21" x14ac:dyDescent="0.25">
      <c r="B3173">
        <v>237</v>
      </c>
      <c r="C3173" t="s">
        <v>1480</v>
      </c>
      <c r="E3173" s="18">
        <v>-206.75572579999999</v>
      </c>
      <c r="F3173" t="s">
        <v>891</v>
      </c>
      <c r="G3173" t="s">
        <v>442</v>
      </c>
      <c r="I3173"/>
      <c r="J3173"/>
      <c r="L3173"/>
      <c r="M3173"/>
      <c r="O3173"/>
      <c r="P3173" s="20"/>
      <c r="Q3173" s="20"/>
      <c r="R3173" s="20"/>
      <c r="S3173" s="20"/>
      <c r="T3173" s="20"/>
      <c r="U3173" t="s">
        <v>401</v>
      </c>
    </row>
    <row r="3174" spans="2:21" x14ac:dyDescent="0.25">
      <c r="B3174">
        <v>237</v>
      </c>
      <c r="C3174" t="s">
        <v>1106</v>
      </c>
      <c r="E3174" s="18">
        <v>-206.75572579999999</v>
      </c>
      <c r="F3174" t="s">
        <v>891</v>
      </c>
      <c r="G3174" t="s">
        <v>442</v>
      </c>
      <c r="I3174"/>
      <c r="J3174"/>
      <c r="L3174"/>
      <c r="M3174"/>
      <c r="O3174"/>
      <c r="P3174" s="20"/>
      <c r="Q3174" s="20"/>
      <c r="R3174" s="20"/>
      <c r="S3174" s="20"/>
      <c r="T3174" s="20"/>
      <c r="U3174" t="s">
        <v>401</v>
      </c>
    </row>
    <row r="3175" spans="2:21" x14ac:dyDescent="0.25">
      <c r="B3175">
        <v>237</v>
      </c>
      <c r="C3175" t="s">
        <v>1269</v>
      </c>
      <c r="E3175" s="18">
        <v>-419.41875809999999</v>
      </c>
      <c r="F3175" t="s">
        <v>891</v>
      </c>
      <c r="G3175" t="s">
        <v>442</v>
      </c>
      <c r="I3175"/>
      <c r="J3175"/>
      <c r="L3175"/>
      <c r="M3175"/>
      <c r="O3175"/>
      <c r="P3175" s="20"/>
      <c r="Q3175" s="20"/>
      <c r="R3175" s="20"/>
      <c r="S3175" s="20"/>
      <c r="T3175" s="20"/>
      <c r="U3175" t="s">
        <v>401</v>
      </c>
    </row>
    <row r="3176" spans="2:21" x14ac:dyDescent="0.25">
      <c r="B3176">
        <v>237</v>
      </c>
      <c r="C3176" t="s">
        <v>1108</v>
      </c>
      <c r="E3176" s="18">
        <v>-206.75572579999999</v>
      </c>
      <c r="F3176" t="s">
        <v>891</v>
      </c>
      <c r="G3176" t="s">
        <v>442</v>
      </c>
      <c r="I3176"/>
      <c r="J3176"/>
      <c r="L3176"/>
      <c r="M3176"/>
      <c r="O3176"/>
      <c r="P3176" s="20"/>
      <c r="Q3176" s="20"/>
      <c r="R3176" s="20"/>
      <c r="S3176" s="20"/>
      <c r="T3176" s="20"/>
      <c r="U3176" t="s">
        <v>401</v>
      </c>
    </row>
    <row r="3177" spans="2:21" x14ac:dyDescent="0.25">
      <c r="B3177">
        <v>237</v>
      </c>
      <c r="C3177" t="s">
        <v>1482</v>
      </c>
      <c r="E3177" s="18">
        <v>-206.75572579999999</v>
      </c>
      <c r="G3177" t="s">
        <v>442</v>
      </c>
      <c r="I3177"/>
      <c r="J3177"/>
      <c r="L3177"/>
      <c r="M3177"/>
      <c r="O3177"/>
      <c r="P3177" s="20"/>
      <c r="Q3177" s="20"/>
      <c r="R3177" s="20"/>
      <c r="S3177" s="20"/>
      <c r="T3177" s="20"/>
      <c r="U3177" t="s">
        <v>401</v>
      </c>
    </row>
    <row r="3178" spans="2:21" x14ac:dyDescent="0.25">
      <c r="B3178">
        <v>237</v>
      </c>
      <c r="C3178" t="s">
        <v>1483</v>
      </c>
      <c r="E3178" s="18">
        <v>-206.75572579999999</v>
      </c>
      <c r="G3178" t="s">
        <v>442</v>
      </c>
      <c r="I3178"/>
      <c r="J3178"/>
      <c r="L3178"/>
      <c r="M3178"/>
      <c r="O3178"/>
      <c r="P3178" s="20"/>
      <c r="Q3178" s="20"/>
      <c r="R3178" s="20"/>
      <c r="S3178" s="20"/>
      <c r="T3178" s="20"/>
      <c r="U3178" t="s">
        <v>401</v>
      </c>
    </row>
    <row r="3179" spans="2:21" x14ac:dyDescent="0.25">
      <c r="B3179">
        <v>237</v>
      </c>
      <c r="C3179" t="s">
        <v>1237</v>
      </c>
      <c r="E3179" s="18">
        <v>-206.75572579999999</v>
      </c>
      <c r="F3179" t="s">
        <v>891</v>
      </c>
      <c r="G3179" t="s">
        <v>442</v>
      </c>
      <c r="I3179"/>
      <c r="J3179"/>
      <c r="L3179"/>
      <c r="M3179"/>
      <c r="O3179"/>
      <c r="P3179" s="20"/>
      <c r="Q3179" s="20"/>
      <c r="R3179" s="20"/>
      <c r="S3179" s="20"/>
      <c r="T3179" s="20"/>
      <c r="U3179" t="s">
        <v>401</v>
      </c>
    </row>
    <row r="3180" spans="2:21" x14ac:dyDescent="0.25">
      <c r="B3180">
        <v>237</v>
      </c>
      <c r="C3180" t="s">
        <v>2575</v>
      </c>
      <c r="E3180" s="18">
        <v>-152.60541670000001</v>
      </c>
      <c r="F3180" t="s">
        <v>891</v>
      </c>
      <c r="G3180" t="s">
        <v>442</v>
      </c>
      <c r="I3180"/>
      <c r="J3180"/>
      <c r="L3180"/>
      <c r="M3180"/>
      <c r="O3180"/>
      <c r="P3180" s="20"/>
      <c r="Q3180" s="20"/>
      <c r="R3180" s="20"/>
      <c r="S3180" s="20"/>
      <c r="T3180" s="20"/>
      <c r="U3180" t="s">
        <v>401</v>
      </c>
    </row>
    <row r="3181" spans="2:21" x14ac:dyDescent="0.25">
      <c r="B3181">
        <v>237</v>
      </c>
      <c r="C3181" t="s">
        <v>1111</v>
      </c>
      <c r="E3181" s="18">
        <v>-213.64758330000001</v>
      </c>
      <c r="F3181" t="s">
        <v>891</v>
      </c>
      <c r="G3181" t="s">
        <v>442</v>
      </c>
      <c r="I3181"/>
      <c r="J3181"/>
      <c r="L3181"/>
      <c r="M3181"/>
      <c r="O3181"/>
      <c r="P3181" s="20"/>
      <c r="Q3181" s="20"/>
      <c r="R3181" s="20"/>
      <c r="S3181" s="20"/>
      <c r="T3181" s="20"/>
      <c r="U3181" t="s">
        <v>401</v>
      </c>
    </row>
    <row r="3182" spans="2:21" x14ac:dyDescent="0.25">
      <c r="B3182">
        <v>237</v>
      </c>
      <c r="C3182" t="s">
        <v>3536</v>
      </c>
      <c r="E3182" s="18">
        <v>-30.52108333</v>
      </c>
      <c r="G3182" t="s">
        <v>442</v>
      </c>
      <c r="I3182"/>
      <c r="J3182"/>
      <c r="L3182"/>
      <c r="M3182"/>
      <c r="O3182"/>
      <c r="P3182" s="20"/>
      <c r="Q3182" s="20"/>
      <c r="R3182" s="20"/>
      <c r="S3182" s="20"/>
      <c r="T3182" s="20"/>
      <c r="U3182" t="s">
        <v>401</v>
      </c>
    </row>
    <row r="3183" spans="2:21" x14ac:dyDescent="0.25">
      <c r="B3183">
        <v>237</v>
      </c>
      <c r="C3183" t="s">
        <v>3536</v>
      </c>
      <c r="E3183" s="18">
        <v>-274.68975</v>
      </c>
      <c r="G3183" t="s">
        <v>442</v>
      </c>
      <c r="I3183"/>
      <c r="J3183"/>
      <c r="L3183"/>
      <c r="M3183"/>
      <c r="O3183"/>
      <c r="P3183" s="20"/>
      <c r="Q3183" s="20"/>
      <c r="R3183" s="20"/>
      <c r="S3183" s="20"/>
      <c r="T3183" s="20"/>
      <c r="U3183" t="s">
        <v>401</v>
      </c>
    </row>
    <row r="3184" spans="2:21" x14ac:dyDescent="0.25">
      <c r="B3184">
        <v>237</v>
      </c>
      <c r="C3184" t="s">
        <v>3536</v>
      </c>
      <c r="E3184" s="18">
        <v>-206.75572579999999</v>
      </c>
      <c r="G3184" t="s">
        <v>442</v>
      </c>
      <c r="I3184"/>
      <c r="J3184"/>
      <c r="L3184"/>
      <c r="M3184"/>
      <c r="O3184"/>
      <c r="P3184" s="20"/>
      <c r="Q3184" s="20"/>
      <c r="R3184" s="20"/>
      <c r="S3184" s="20"/>
      <c r="T3184" s="20"/>
      <c r="U3184" t="s">
        <v>401</v>
      </c>
    </row>
    <row r="3185" spans="1:21" x14ac:dyDescent="0.25">
      <c r="A3185" s="3">
        <v>41851</v>
      </c>
      <c r="B3185" s="36">
        <v>239</v>
      </c>
      <c r="C3185" t="s">
        <v>3769</v>
      </c>
      <c r="D3185">
        <v>6.8849999999999998</v>
      </c>
      <c r="E3185" s="18">
        <v>688.5</v>
      </c>
      <c r="F3185" t="s">
        <v>889</v>
      </c>
      <c r="G3185" t="s">
        <v>3770</v>
      </c>
      <c r="H3185" s="18">
        <v>688.5</v>
      </c>
      <c r="I3185" s="3">
        <v>41851</v>
      </c>
      <c r="J3185"/>
      <c r="L3185"/>
      <c r="M3185"/>
      <c r="N3185" s="20"/>
      <c r="O3185" t="s">
        <v>931</v>
      </c>
      <c r="P3185" s="20"/>
      <c r="Q3185" s="20"/>
      <c r="R3185" s="20"/>
      <c r="S3185" s="20"/>
      <c r="T3185" s="20"/>
    </row>
    <row r="3186" spans="1:21" x14ac:dyDescent="0.25">
      <c r="B3186">
        <v>239</v>
      </c>
      <c r="C3186" t="s">
        <v>3769</v>
      </c>
      <c r="D3186">
        <v>6.8849999999999998</v>
      </c>
      <c r="E3186" s="18">
        <v>-688.5</v>
      </c>
      <c r="F3186" t="s">
        <v>889</v>
      </c>
      <c r="G3186" t="s">
        <v>3770</v>
      </c>
      <c r="I3186"/>
      <c r="J3186"/>
      <c r="L3186"/>
      <c r="M3186"/>
      <c r="O3186"/>
      <c r="P3186" s="20"/>
      <c r="Q3186" s="20"/>
      <c r="R3186" s="20"/>
      <c r="S3186" s="20"/>
      <c r="T3186" s="20"/>
      <c r="U3186" t="s">
        <v>401</v>
      </c>
    </row>
    <row r="3187" spans="1:21" x14ac:dyDescent="0.25">
      <c r="A3187" s="3">
        <v>41831</v>
      </c>
      <c r="B3187" s="36">
        <v>242</v>
      </c>
      <c r="C3187" t="s">
        <v>3771</v>
      </c>
      <c r="D3187">
        <v>6.25</v>
      </c>
      <c r="E3187" s="18">
        <v>625</v>
      </c>
      <c r="G3187" t="s">
        <v>3772</v>
      </c>
      <c r="H3187" s="18">
        <v>625</v>
      </c>
      <c r="I3187" s="3">
        <v>41831</v>
      </c>
      <c r="J3187"/>
      <c r="L3187"/>
      <c r="M3187"/>
      <c r="N3187" s="20"/>
      <c r="O3187" t="s">
        <v>931</v>
      </c>
      <c r="P3187" s="20"/>
      <c r="Q3187" s="20"/>
      <c r="R3187" s="20"/>
      <c r="S3187" s="20"/>
      <c r="T3187" s="20"/>
    </row>
    <row r="3188" spans="1:21" x14ac:dyDescent="0.25">
      <c r="A3188" s="3">
        <v>41873</v>
      </c>
      <c r="B3188" s="36">
        <v>242</v>
      </c>
      <c r="C3188" t="s">
        <v>3773</v>
      </c>
      <c r="D3188">
        <v>4.08</v>
      </c>
      <c r="E3188" s="18">
        <v>408</v>
      </c>
      <c r="F3188" t="s">
        <v>889</v>
      </c>
      <c r="G3188" t="s">
        <v>3774</v>
      </c>
      <c r="H3188" s="18">
        <v>408</v>
      </c>
      <c r="I3188" s="3">
        <v>41873</v>
      </c>
      <c r="J3188"/>
      <c r="L3188"/>
      <c r="M3188"/>
      <c r="N3188" s="20"/>
      <c r="O3188"/>
      <c r="P3188" s="20"/>
      <c r="Q3188" s="20"/>
      <c r="R3188" s="20"/>
      <c r="S3188" s="20"/>
      <c r="T3188" s="20"/>
    </row>
    <row r="3189" spans="1:21" x14ac:dyDescent="0.25">
      <c r="A3189" s="3">
        <v>41841</v>
      </c>
      <c r="B3189" s="36">
        <v>244</v>
      </c>
      <c r="C3189" t="s">
        <v>3775</v>
      </c>
      <c r="D3189">
        <v>5.25</v>
      </c>
      <c r="E3189" s="18">
        <v>525</v>
      </c>
      <c r="G3189" t="s">
        <v>3776</v>
      </c>
      <c r="H3189" s="18">
        <v>525</v>
      </c>
      <c r="I3189" s="3">
        <v>41841</v>
      </c>
      <c r="J3189"/>
      <c r="L3189"/>
      <c r="M3189"/>
      <c r="N3189" s="20"/>
      <c r="O3189" t="s">
        <v>1009</v>
      </c>
      <c r="P3189" s="20"/>
      <c r="Q3189" s="20"/>
      <c r="R3189" s="20"/>
      <c r="S3189" s="20"/>
      <c r="T3189" s="20"/>
    </row>
    <row r="3190" spans="1:21" x14ac:dyDescent="0.25">
      <c r="A3190" s="3">
        <v>41841</v>
      </c>
      <c r="B3190" s="36">
        <v>244</v>
      </c>
      <c r="C3190" t="s">
        <v>1484</v>
      </c>
      <c r="E3190" s="18">
        <v>-25</v>
      </c>
      <c r="G3190" t="s">
        <v>442</v>
      </c>
      <c r="H3190" s="18" t="s">
        <v>442</v>
      </c>
      <c r="I3190" s="3" t="s">
        <v>442</v>
      </c>
      <c r="J3190"/>
      <c r="L3190"/>
      <c r="M3190"/>
      <c r="N3190" s="20"/>
      <c r="O3190"/>
      <c r="P3190" s="20"/>
      <c r="Q3190" s="20" t="s">
        <v>401</v>
      </c>
      <c r="R3190" s="20"/>
      <c r="S3190" s="20"/>
      <c r="T3190" s="20"/>
    </row>
    <row r="3191" spans="1:21" x14ac:dyDescent="0.25">
      <c r="A3191" s="3">
        <v>41845</v>
      </c>
      <c r="B3191" s="36">
        <v>244</v>
      </c>
      <c r="C3191" t="s">
        <v>3777</v>
      </c>
      <c r="D3191">
        <v>6.8849999999999998</v>
      </c>
      <c r="E3191" s="18">
        <v>688.5</v>
      </c>
      <c r="G3191" t="s">
        <v>3778</v>
      </c>
      <c r="H3191" s="18">
        <v>688.5</v>
      </c>
      <c r="I3191" s="3">
        <v>41845</v>
      </c>
      <c r="J3191"/>
      <c r="L3191"/>
      <c r="M3191"/>
      <c r="N3191" s="20"/>
      <c r="O3191" t="s">
        <v>1004</v>
      </c>
      <c r="P3191" s="20"/>
      <c r="Q3191" s="20"/>
      <c r="R3191" s="20"/>
      <c r="S3191" s="20"/>
      <c r="T3191" s="20"/>
    </row>
    <row r="3192" spans="1:21" x14ac:dyDescent="0.25">
      <c r="A3192" s="3">
        <v>41845</v>
      </c>
      <c r="B3192" s="36">
        <v>244</v>
      </c>
      <c r="C3192" t="s">
        <v>1482</v>
      </c>
      <c r="E3192" s="18">
        <v>-100</v>
      </c>
      <c r="G3192" t="s">
        <v>442</v>
      </c>
      <c r="H3192" s="18" t="s">
        <v>442</v>
      </c>
      <c r="I3192" s="3" t="s">
        <v>442</v>
      </c>
      <c r="J3192"/>
      <c r="L3192"/>
      <c r="M3192"/>
      <c r="N3192" s="20"/>
      <c r="O3192" t="s">
        <v>1219</v>
      </c>
      <c r="P3192" s="20"/>
      <c r="Q3192" s="20" t="s">
        <v>401</v>
      </c>
      <c r="R3192" s="20"/>
      <c r="S3192" s="20"/>
      <c r="T3192" s="20"/>
    </row>
    <row r="3193" spans="1:21" x14ac:dyDescent="0.25">
      <c r="A3193" s="3">
        <v>41845</v>
      </c>
      <c r="B3193" s="36">
        <v>244</v>
      </c>
      <c r="C3193" t="s">
        <v>1483</v>
      </c>
      <c r="E3193" s="18">
        <v>-100</v>
      </c>
      <c r="G3193" t="s">
        <v>442</v>
      </c>
      <c r="H3193" s="18" t="s">
        <v>442</v>
      </c>
      <c r="I3193" s="3" t="s">
        <v>442</v>
      </c>
      <c r="J3193"/>
      <c r="L3193"/>
      <c r="M3193"/>
      <c r="N3193" s="20"/>
      <c r="O3193" t="s">
        <v>1228</v>
      </c>
      <c r="P3193" s="20"/>
      <c r="Q3193" s="20" t="s">
        <v>401</v>
      </c>
      <c r="R3193" s="20"/>
      <c r="S3193" s="20"/>
      <c r="T3193" s="20"/>
    </row>
    <row r="3194" spans="1:21" x14ac:dyDescent="0.25">
      <c r="A3194" s="3">
        <v>41845</v>
      </c>
      <c r="B3194" s="36">
        <v>244</v>
      </c>
      <c r="C3194" t="s">
        <v>3779</v>
      </c>
      <c r="E3194" s="18">
        <v>-296.43</v>
      </c>
      <c r="G3194" t="s">
        <v>442</v>
      </c>
      <c r="H3194" s="18" t="s">
        <v>442</v>
      </c>
      <c r="I3194" s="3" t="s">
        <v>442</v>
      </c>
      <c r="J3194"/>
      <c r="L3194"/>
      <c r="M3194"/>
      <c r="N3194" s="20"/>
      <c r="O3194"/>
      <c r="P3194" s="20"/>
      <c r="Q3194" s="20" t="s">
        <v>401</v>
      </c>
      <c r="R3194" s="20"/>
      <c r="S3194" s="20"/>
      <c r="T3194" s="20"/>
    </row>
    <row r="3195" spans="1:21" x14ac:dyDescent="0.25">
      <c r="A3195" s="3">
        <v>41865</v>
      </c>
      <c r="B3195" s="36">
        <v>244</v>
      </c>
      <c r="C3195" t="s">
        <v>3780</v>
      </c>
      <c r="E3195" s="18">
        <v>25</v>
      </c>
      <c r="F3195" t="s">
        <v>889</v>
      </c>
      <c r="G3195" t="s">
        <v>442</v>
      </c>
      <c r="H3195" s="18" t="s">
        <v>442</v>
      </c>
      <c r="I3195" s="3" t="s">
        <v>442</v>
      </c>
      <c r="J3195"/>
      <c r="L3195"/>
      <c r="M3195"/>
      <c r="N3195" s="20"/>
      <c r="O3195"/>
      <c r="P3195" s="20"/>
      <c r="Q3195" s="20" t="s">
        <v>401</v>
      </c>
      <c r="R3195" s="20"/>
      <c r="S3195" s="20"/>
      <c r="T3195" s="20"/>
    </row>
    <row r="3196" spans="1:21" x14ac:dyDescent="0.25">
      <c r="A3196" s="3">
        <v>41866</v>
      </c>
      <c r="B3196" s="36">
        <v>244</v>
      </c>
      <c r="C3196" t="s">
        <v>954</v>
      </c>
      <c r="E3196" s="18">
        <v>289.3</v>
      </c>
      <c r="G3196" t="s">
        <v>442</v>
      </c>
      <c r="H3196" s="18" t="s">
        <v>442</v>
      </c>
      <c r="I3196" s="3" t="s">
        <v>442</v>
      </c>
      <c r="J3196"/>
      <c r="L3196"/>
      <c r="M3196"/>
      <c r="N3196" s="20" t="s">
        <v>401</v>
      </c>
      <c r="O3196"/>
      <c r="P3196" s="20"/>
      <c r="Q3196" s="20"/>
      <c r="R3196" s="20"/>
      <c r="S3196" s="20"/>
      <c r="T3196" s="20"/>
    </row>
    <row r="3197" spans="1:21" x14ac:dyDescent="0.25">
      <c r="A3197" s="3">
        <v>41873</v>
      </c>
      <c r="B3197" s="36">
        <v>244</v>
      </c>
      <c r="C3197" t="s">
        <v>2100</v>
      </c>
      <c r="E3197" s="18">
        <v>571.42999999999995</v>
      </c>
      <c r="F3197" t="s">
        <v>891</v>
      </c>
      <c r="H3197" s="18" t="s">
        <v>442</v>
      </c>
      <c r="I3197" s="3" t="s">
        <v>442</v>
      </c>
      <c r="J3197"/>
      <c r="L3197"/>
      <c r="M3197"/>
      <c r="N3197" s="20"/>
      <c r="O3197" t="s">
        <v>3781</v>
      </c>
      <c r="P3197" s="20" t="s">
        <v>401</v>
      </c>
      <c r="Q3197" s="20"/>
      <c r="R3197" s="20"/>
      <c r="S3197" s="20"/>
      <c r="T3197" s="20"/>
    </row>
    <row r="3198" spans="1:21" x14ac:dyDescent="0.25">
      <c r="A3198" s="3">
        <v>41901</v>
      </c>
      <c r="B3198" s="36">
        <v>244</v>
      </c>
      <c r="C3198" t="s">
        <v>1098</v>
      </c>
      <c r="E3198" s="18">
        <v>22.5</v>
      </c>
      <c r="F3198" t="s">
        <v>888</v>
      </c>
      <c r="G3198" t="s">
        <v>442</v>
      </c>
      <c r="H3198" s="18" t="s">
        <v>442</v>
      </c>
      <c r="I3198" s="3" t="s">
        <v>442</v>
      </c>
      <c r="J3198"/>
      <c r="L3198"/>
      <c r="M3198"/>
      <c r="N3198" s="20" t="s">
        <v>401</v>
      </c>
      <c r="O3198"/>
      <c r="P3198" s="20"/>
      <c r="Q3198" s="20"/>
      <c r="R3198" s="20"/>
      <c r="S3198" s="20"/>
      <c r="T3198" s="20"/>
    </row>
    <row r="3199" spans="1:21" x14ac:dyDescent="0.25">
      <c r="B3199">
        <v>244</v>
      </c>
      <c r="C3199" t="s">
        <v>3775</v>
      </c>
      <c r="D3199">
        <v>4.59</v>
      </c>
      <c r="E3199" s="18">
        <v>-525</v>
      </c>
      <c r="F3199" t="s">
        <v>889</v>
      </c>
      <c r="G3199" t="s">
        <v>3776</v>
      </c>
      <c r="I3199"/>
      <c r="J3199"/>
      <c r="L3199"/>
      <c r="M3199"/>
      <c r="O3199"/>
      <c r="P3199" s="20"/>
      <c r="Q3199" s="20"/>
      <c r="R3199" s="20"/>
      <c r="S3199" s="20"/>
      <c r="T3199" s="20"/>
      <c r="U3199" t="s">
        <v>401</v>
      </c>
    </row>
    <row r="3200" spans="1:21" x14ac:dyDescent="0.25">
      <c r="B3200">
        <v>244</v>
      </c>
      <c r="C3200" t="s">
        <v>3777</v>
      </c>
      <c r="D3200">
        <v>6.8849999999999998</v>
      </c>
      <c r="E3200" s="18">
        <v>-688.5</v>
      </c>
      <c r="F3200" t="s">
        <v>889</v>
      </c>
      <c r="G3200" t="s">
        <v>3778</v>
      </c>
      <c r="I3200"/>
      <c r="J3200"/>
      <c r="L3200"/>
      <c r="M3200"/>
      <c r="O3200"/>
      <c r="P3200" s="20"/>
      <c r="Q3200" s="20"/>
      <c r="R3200" s="20"/>
      <c r="S3200" s="20"/>
      <c r="T3200" s="20"/>
      <c r="U3200" t="s">
        <v>401</v>
      </c>
    </row>
    <row r="3201" spans="1:21" x14ac:dyDescent="0.25">
      <c r="B3201">
        <v>244</v>
      </c>
      <c r="C3201" t="s">
        <v>3782</v>
      </c>
      <c r="E3201" s="18">
        <v>25</v>
      </c>
      <c r="G3201" t="s">
        <v>442</v>
      </c>
      <c r="I3201"/>
      <c r="J3201"/>
      <c r="L3201"/>
      <c r="M3201"/>
      <c r="O3201"/>
      <c r="P3201" s="20"/>
      <c r="Q3201" s="20"/>
      <c r="R3201" s="20"/>
      <c r="S3201" s="20"/>
      <c r="T3201" s="20"/>
      <c r="U3201" t="s">
        <v>401</v>
      </c>
    </row>
    <row r="3202" spans="1:21" x14ac:dyDescent="0.25">
      <c r="A3202" s="3">
        <v>41831</v>
      </c>
      <c r="B3202" s="36">
        <v>245</v>
      </c>
      <c r="C3202" t="s">
        <v>3783</v>
      </c>
      <c r="D3202">
        <v>10.75</v>
      </c>
      <c r="E3202" s="18">
        <v>1075</v>
      </c>
      <c r="F3202" t="s">
        <v>889</v>
      </c>
      <c r="G3202" t="s">
        <v>3784</v>
      </c>
      <c r="H3202" s="18">
        <v>1075</v>
      </c>
      <c r="I3202" s="3">
        <v>41831</v>
      </c>
      <c r="J3202"/>
      <c r="L3202"/>
      <c r="M3202"/>
      <c r="N3202" s="20"/>
      <c r="O3202" t="s">
        <v>931</v>
      </c>
      <c r="P3202" s="20"/>
      <c r="Q3202" s="20"/>
      <c r="R3202" s="20"/>
      <c r="S3202" s="20"/>
      <c r="T3202" s="20"/>
    </row>
    <row r="3203" spans="1:21" x14ac:dyDescent="0.25">
      <c r="A3203" s="3">
        <v>41831</v>
      </c>
      <c r="B3203" s="36">
        <v>245</v>
      </c>
      <c r="C3203" t="s">
        <v>1482</v>
      </c>
      <c r="E3203" s="18">
        <v>-100</v>
      </c>
      <c r="F3203" t="s">
        <v>889</v>
      </c>
      <c r="G3203" t="s">
        <v>442</v>
      </c>
      <c r="H3203" s="18" t="s">
        <v>442</v>
      </c>
      <c r="I3203" s="3" t="s">
        <v>442</v>
      </c>
      <c r="J3203"/>
      <c r="L3203"/>
      <c r="M3203"/>
      <c r="N3203" s="20"/>
      <c r="O3203" t="s">
        <v>1219</v>
      </c>
      <c r="P3203" s="20"/>
      <c r="Q3203" s="20" t="s">
        <v>401</v>
      </c>
      <c r="R3203" s="20"/>
      <c r="S3203" s="20"/>
      <c r="T3203" s="20"/>
    </row>
    <row r="3204" spans="1:21" x14ac:dyDescent="0.25">
      <c r="A3204" s="3">
        <v>41831</v>
      </c>
      <c r="B3204" s="36">
        <v>245</v>
      </c>
      <c r="C3204" t="s">
        <v>1483</v>
      </c>
      <c r="E3204" s="18">
        <v>-100</v>
      </c>
      <c r="F3204" t="s">
        <v>889</v>
      </c>
      <c r="G3204" t="s">
        <v>442</v>
      </c>
      <c r="H3204" s="18" t="s">
        <v>442</v>
      </c>
      <c r="I3204" s="3" t="s">
        <v>442</v>
      </c>
      <c r="J3204"/>
      <c r="L3204"/>
      <c r="M3204"/>
      <c r="N3204" s="20"/>
      <c r="O3204" t="s">
        <v>1228</v>
      </c>
      <c r="P3204" s="20"/>
      <c r="Q3204" s="20" t="s">
        <v>401</v>
      </c>
      <c r="R3204" s="20"/>
      <c r="S3204" s="20"/>
      <c r="T3204" s="20"/>
    </row>
    <row r="3205" spans="1:21" x14ac:dyDescent="0.25">
      <c r="A3205" s="3">
        <v>41831</v>
      </c>
      <c r="B3205" s="36">
        <v>245</v>
      </c>
      <c r="C3205" t="s">
        <v>1237</v>
      </c>
      <c r="E3205" s="18">
        <v>-100</v>
      </c>
      <c r="F3205" t="s">
        <v>1484</v>
      </c>
      <c r="G3205" t="s">
        <v>442</v>
      </c>
      <c r="H3205" s="18" t="s">
        <v>442</v>
      </c>
      <c r="I3205" s="3" t="s">
        <v>442</v>
      </c>
      <c r="J3205"/>
      <c r="L3205"/>
      <c r="M3205"/>
      <c r="N3205" s="20"/>
      <c r="O3205" t="s">
        <v>1238</v>
      </c>
      <c r="P3205" s="20"/>
      <c r="Q3205" s="20" t="s">
        <v>401</v>
      </c>
      <c r="R3205" s="20"/>
      <c r="S3205" s="20"/>
      <c r="T3205" s="20"/>
    </row>
    <row r="3206" spans="1:21" x14ac:dyDescent="0.25">
      <c r="A3206" s="3">
        <v>41831</v>
      </c>
      <c r="B3206" s="36">
        <v>245</v>
      </c>
      <c r="C3206" t="s">
        <v>3779</v>
      </c>
      <c r="E3206" s="18">
        <v>-271.43</v>
      </c>
      <c r="F3206" t="s">
        <v>889</v>
      </c>
      <c r="G3206" t="s">
        <v>442</v>
      </c>
      <c r="H3206" s="18" t="s">
        <v>442</v>
      </c>
      <c r="I3206" s="3" t="s">
        <v>442</v>
      </c>
      <c r="J3206"/>
      <c r="L3206"/>
      <c r="M3206"/>
      <c r="N3206" s="20"/>
      <c r="O3206" t="s">
        <v>3785</v>
      </c>
      <c r="P3206" s="20"/>
      <c r="Q3206" s="20" t="s">
        <v>401</v>
      </c>
      <c r="R3206" s="20"/>
      <c r="S3206" s="20"/>
      <c r="T3206" s="20"/>
    </row>
    <row r="3207" spans="1:21" x14ac:dyDescent="0.25">
      <c r="A3207" s="3">
        <v>41831</v>
      </c>
      <c r="B3207" s="36">
        <v>245</v>
      </c>
      <c r="C3207" t="s">
        <v>3786</v>
      </c>
      <c r="D3207">
        <v>18.36</v>
      </c>
      <c r="E3207" s="18">
        <v>1836</v>
      </c>
      <c r="F3207" t="s">
        <v>889</v>
      </c>
      <c r="G3207" t="s">
        <v>3787</v>
      </c>
      <c r="H3207" s="18">
        <v>1836</v>
      </c>
      <c r="I3207" s="3">
        <v>41831</v>
      </c>
      <c r="J3207"/>
      <c r="L3207"/>
      <c r="M3207"/>
      <c r="N3207" s="20"/>
      <c r="O3207" t="s">
        <v>931</v>
      </c>
      <c r="P3207" s="20"/>
      <c r="Q3207" s="20"/>
      <c r="R3207" s="20"/>
      <c r="S3207" s="20"/>
      <c r="T3207" s="20"/>
    </row>
    <row r="3208" spans="1:21" x14ac:dyDescent="0.25">
      <c r="A3208" s="3">
        <v>41858</v>
      </c>
      <c r="B3208" s="36">
        <v>245</v>
      </c>
      <c r="C3208" t="s">
        <v>3788</v>
      </c>
      <c r="D3208">
        <v>14.25</v>
      </c>
      <c r="E3208" s="18">
        <v>1425</v>
      </c>
      <c r="F3208" t="s">
        <v>889</v>
      </c>
      <c r="G3208" t="s">
        <v>3789</v>
      </c>
      <c r="H3208" s="18">
        <v>1425</v>
      </c>
      <c r="I3208" s="3">
        <v>41858</v>
      </c>
      <c r="J3208"/>
      <c r="L3208"/>
      <c r="M3208"/>
      <c r="N3208" s="20"/>
      <c r="O3208" t="s">
        <v>931</v>
      </c>
      <c r="P3208" s="20"/>
      <c r="Q3208" s="20"/>
      <c r="R3208" s="20"/>
      <c r="S3208" s="20"/>
      <c r="T3208" s="20"/>
    </row>
    <row r="3209" spans="1:21" x14ac:dyDescent="0.25">
      <c r="A3209" s="3">
        <v>41858</v>
      </c>
      <c r="B3209" s="36">
        <v>245</v>
      </c>
      <c r="C3209" t="s">
        <v>1108</v>
      </c>
      <c r="D3209" t="s">
        <v>442</v>
      </c>
      <c r="E3209" s="18">
        <v>-150</v>
      </c>
      <c r="F3209" t="s">
        <v>891</v>
      </c>
      <c r="G3209" t="s">
        <v>442</v>
      </c>
      <c r="H3209" s="18" t="s">
        <v>442</v>
      </c>
      <c r="I3209" s="3" t="s">
        <v>442</v>
      </c>
      <c r="J3209"/>
      <c r="L3209"/>
      <c r="M3209"/>
      <c r="N3209" s="20"/>
      <c r="O3209" t="s">
        <v>1852</v>
      </c>
      <c r="P3209" s="20"/>
      <c r="Q3209" s="20" t="s">
        <v>401</v>
      </c>
      <c r="R3209" s="20"/>
      <c r="S3209" s="20"/>
      <c r="T3209" s="20"/>
    </row>
    <row r="3210" spans="1:21" x14ac:dyDescent="0.25">
      <c r="A3210" s="3">
        <v>41865</v>
      </c>
      <c r="B3210" s="36">
        <v>245</v>
      </c>
      <c r="C3210" t="s">
        <v>3790</v>
      </c>
      <c r="D3210">
        <v>4.5</v>
      </c>
      <c r="E3210" s="18">
        <v>450</v>
      </c>
      <c r="F3210" t="s">
        <v>889</v>
      </c>
      <c r="G3210" t="s">
        <v>3791</v>
      </c>
      <c r="H3210" s="18">
        <v>450</v>
      </c>
      <c r="I3210" s="3">
        <v>41865</v>
      </c>
      <c r="J3210" s="20"/>
      <c r="K3210" s="20"/>
      <c r="L3210" s="20"/>
      <c r="M3210" s="20"/>
      <c r="N3210" s="20"/>
      <c r="O3210"/>
      <c r="P3210" s="20"/>
      <c r="Q3210" s="20"/>
      <c r="R3210" s="20"/>
      <c r="S3210" s="20"/>
      <c r="T3210" s="20"/>
    </row>
    <row r="3211" spans="1:21" x14ac:dyDescent="0.25">
      <c r="A3211" s="3">
        <v>41873</v>
      </c>
      <c r="B3211" s="36">
        <v>245</v>
      </c>
      <c r="C3211" t="s">
        <v>3790</v>
      </c>
      <c r="D3211">
        <v>4.5</v>
      </c>
      <c r="E3211" s="18">
        <v>450</v>
      </c>
      <c r="F3211" t="s">
        <v>889</v>
      </c>
      <c r="G3211" t="s">
        <v>3791</v>
      </c>
      <c r="H3211" s="18">
        <v>450</v>
      </c>
      <c r="I3211" s="3">
        <v>41873</v>
      </c>
      <c r="J3211" s="20"/>
      <c r="K3211" s="20"/>
      <c r="L3211" s="20"/>
      <c r="M3211" s="20"/>
      <c r="N3211" s="20"/>
      <c r="O3211"/>
      <c r="P3211" s="20"/>
      <c r="Q3211" s="20"/>
      <c r="R3211" s="20"/>
      <c r="S3211" s="20"/>
      <c r="T3211" s="20"/>
    </row>
    <row r="3212" spans="1:21" x14ac:dyDescent="0.25">
      <c r="A3212" s="3">
        <v>41873</v>
      </c>
      <c r="B3212" s="36">
        <v>245</v>
      </c>
      <c r="C3212" t="s">
        <v>2100</v>
      </c>
      <c r="E3212" s="18">
        <v>721.43</v>
      </c>
      <c r="F3212" t="s">
        <v>891</v>
      </c>
      <c r="H3212" s="18" t="s">
        <v>442</v>
      </c>
      <c r="I3212" s="3" t="s">
        <v>442</v>
      </c>
      <c r="J3212"/>
      <c r="L3212"/>
      <c r="M3212"/>
      <c r="N3212" s="20"/>
      <c r="O3212" t="s">
        <v>3781</v>
      </c>
      <c r="P3212" s="20" t="s">
        <v>401</v>
      </c>
      <c r="Q3212" s="20"/>
      <c r="R3212" s="20"/>
      <c r="S3212" s="20"/>
      <c r="T3212" s="20"/>
    </row>
    <row r="3213" spans="1:21" x14ac:dyDescent="0.25">
      <c r="B3213">
        <v>245</v>
      </c>
      <c r="C3213" t="s">
        <v>3783</v>
      </c>
      <c r="D3213">
        <v>10.75</v>
      </c>
      <c r="E3213" s="18">
        <v>-1075</v>
      </c>
      <c r="F3213" t="s">
        <v>889</v>
      </c>
      <c r="G3213" t="s">
        <v>3784</v>
      </c>
      <c r="I3213"/>
      <c r="J3213"/>
      <c r="L3213"/>
      <c r="M3213"/>
      <c r="O3213"/>
      <c r="P3213" s="20"/>
      <c r="Q3213" s="20"/>
      <c r="R3213" s="20"/>
      <c r="S3213" s="20"/>
      <c r="T3213" s="20"/>
      <c r="U3213" t="s">
        <v>401</v>
      </c>
    </row>
    <row r="3214" spans="1:21" x14ac:dyDescent="0.25">
      <c r="B3214">
        <v>245</v>
      </c>
      <c r="C3214" t="s">
        <v>3786</v>
      </c>
      <c r="D3214">
        <v>18.36</v>
      </c>
      <c r="E3214" s="18">
        <v>-1836</v>
      </c>
      <c r="F3214" t="s">
        <v>889</v>
      </c>
      <c r="G3214" t="s">
        <v>3787</v>
      </c>
      <c r="I3214"/>
      <c r="J3214"/>
      <c r="L3214"/>
      <c r="M3214"/>
      <c r="O3214"/>
      <c r="P3214" s="20"/>
      <c r="Q3214" s="20"/>
      <c r="R3214" s="20"/>
      <c r="S3214" s="20"/>
      <c r="T3214" s="20"/>
      <c r="U3214" t="s">
        <v>401</v>
      </c>
    </row>
    <row r="3215" spans="1:21" x14ac:dyDescent="0.25">
      <c r="A3215" s="3">
        <v>41838</v>
      </c>
      <c r="B3215" s="36">
        <v>247</v>
      </c>
      <c r="C3215" t="s">
        <v>3792</v>
      </c>
      <c r="D3215">
        <v>5</v>
      </c>
      <c r="E3215" s="18">
        <v>500</v>
      </c>
      <c r="G3215" t="s">
        <v>3793</v>
      </c>
      <c r="H3215" s="18">
        <v>500</v>
      </c>
      <c r="I3215" s="3">
        <v>41838</v>
      </c>
      <c r="J3215"/>
      <c r="L3215"/>
      <c r="M3215"/>
      <c r="N3215" s="20"/>
      <c r="O3215" t="s">
        <v>931</v>
      </c>
      <c r="P3215" s="20"/>
      <c r="Q3215" s="20"/>
      <c r="R3215" s="20"/>
      <c r="S3215" s="20"/>
      <c r="T3215" s="20"/>
    </row>
    <row r="3216" spans="1:21" x14ac:dyDescent="0.25">
      <c r="A3216" s="3">
        <v>41845</v>
      </c>
      <c r="B3216" s="36">
        <v>247</v>
      </c>
      <c r="C3216" t="s">
        <v>3794</v>
      </c>
      <c r="D3216">
        <v>7</v>
      </c>
      <c r="E3216" s="18">
        <v>700</v>
      </c>
      <c r="G3216" t="s">
        <v>3795</v>
      </c>
      <c r="H3216" s="18">
        <v>700</v>
      </c>
      <c r="I3216" s="3">
        <v>41845</v>
      </c>
      <c r="J3216"/>
      <c r="L3216"/>
      <c r="M3216"/>
      <c r="N3216" s="20"/>
      <c r="O3216" t="s">
        <v>931</v>
      </c>
      <c r="P3216" s="20"/>
      <c r="Q3216" s="20"/>
      <c r="R3216" s="20"/>
      <c r="S3216" s="20"/>
      <c r="T3216" s="20"/>
    </row>
    <row r="3217" spans="1:21" x14ac:dyDescent="0.25">
      <c r="A3217" s="3">
        <v>41845</v>
      </c>
      <c r="B3217" s="36">
        <v>247</v>
      </c>
      <c r="C3217" t="s">
        <v>3796</v>
      </c>
      <c r="D3217">
        <v>4</v>
      </c>
      <c r="E3217" s="18">
        <v>400</v>
      </c>
      <c r="G3217" t="s">
        <v>3797</v>
      </c>
      <c r="H3217" s="18">
        <v>400</v>
      </c>
      <c r="I3217" s="3">
        <v>41845</v>
      </c>
      <c r="J3217"/>
      <c r="L3217"/>
      <c r="M3217"/>
      <c r="N3217" s="20"/>
      <c r="O3217" t="s">
        <v>931</v>
      </c>
      <c r="P3217" s="20"/>
      <c r="Q3217" s="20"/>
      <c r="R3217" s="20"/>
      <c r="S3217" s="20"/>
      <c r="T3217" s="20"/>
    </row>
    <row r="3218" spans="1:21" x14ac:dyDescent="0.25">
      <c r="A3218" s="3">
        <v>41873</v>
      </c>
      <c r="B3218" s="36">
        <v>247</v>
      </c>
      <c r="C3218" t="s">
        <v>3798</v>
      </c>
      <c r="D3218">
        <v>10</v>
      </c>
      <c r="E3218" s="18">
        <v>1000</v>
      </c>
      <c r="F3218" t="s">
        <v>889</v>
      </c>
      <c r="G3218" t="s">
        <v>3799</v>
      </c>
      <c r="H3218" s="18">
        <v>1000</v>
      </c>
      <c r="I3218" s="3">
        <v>41873</v>
      </c>
      <c r="J3218"/>
      <c r="L3218"/>
      <c r="M3218"/>
      <c r="N3218" s="20"/>
      <c r="O3218"/>
      <c r="P3218" s="20"/>
      <c r="Q3218" s="20"/>
      <c r="R3218" s="20"/>
      <c r="S3218" s="20"/>
      <c r="T3218" s="20"/>
    </row>
    <row r="3219" spans="1:21" x14ac:dyDescent="0.25">
      <c r="B3219">
        <v>247</v>
      </c>
      <c r="C3219" t="s">
        <v>3794</v>
      </c>
      <c r="D3219">
        <v>7</v>
      </c>
      <c r="E3219" s="18">
        <v>-700</v>
      </c>
      <c r="F3219" t="s">
        <v>889</v>
      </c>
      <c r="G3219" t="s">
        <v>3795</v>
      </c>
      <c r="I3219"/>
      <c r="J3219"/>
      <c r="L3219"/>
      <c r="M3219"/>
      <c r="O3219"/>
      <c r="P3219" s="20"/>
      <c r="Q3219" s="20"/>
      <c r="R3219" s="20"/>
      <c r="S3219" s="20"/>
      <c r="T3219" s="20"/>
      <c r="U3219" t="s">
        <v>401</v>
      </c>
    </row>
    <row r="3220" spans="1:21" x14ac:dyDescent="0.25">
      <c r="B3220">
        <v>247</v>
      </c>
      <c r="C3220" t="s">
        <v>3798</v>
      </c>
      <c r="D3220">
        <v>10</v>
      </c>
      <c r="E3220" s="18">
        <v>1000</v>
      </c>
      <c r="F3220" t="s">
        <v>889</v>
      </c>
      <c r="G3220" t="s">
        <v>3799</v>
      </c>
      <c r="I3220"/>
      <c r="J3220"/>
      <c r="L3220"/>
      <c r="M3220"/>
      <c r="O3220"/>
      <c r="P3220" s="20"/>
      <c r="Q3220" s="20"/>
      <c r="R3220" s="20"/>
      <c r="S3220" s="20"/>
      <c r="T3220" s="20"/>
      <c r="U3220" t="s">
        <v>401</v>
      </c>
    </row>
    <row r="3221" spans="1:21" x14ac:dyDescent="0.25">
      <c r="B3221">
        <v>247</v>
      </c>
      <c r="C3221" t="s">
        <v>3796</v>
      </c>
      <c r="D3221">
        <v>4</v>
      </c>
      <c r="E3221" s="18">
        <v>-400</v>
      </c>
      <c r="F3221" t="s">
        <v>889</v>
      </c>
      <c r="G3221" t="s">
        <v>3797</v>
      </c>
      <c r="I3221"/>
      <c r="J3221"/>
      <c r="L3221"/>
      <c r="M3221"/>
      <c r="O3221"/>
      <c r="P3221" s="20"/>
      <c r="Q3221" s="20"/>
      <c r="R3221" s="20"/>
      <c r="S3221" s="20"/>
      <c r="T3221" s="20"/>
      <c r="U3221" t="s">
        <v>401</v>
      </c>
    </row>
    <row r="3222" spans="1:21" x14ac:dyDescent="0.25">
      <c r="B3222">
        <v>247</v>
      </c>
      <c r="C3222" t="s">
        <v>3792</v>
      </c>
      <c r="D3222">
        <v>5</v>
      </c>
      <c r="E3222" s="18">
        <v>-500</v>
      </c>
      <c r="F3222" t="s">
        <v>889</v>
      </c>
      <c r="G3222" t="s">
        <v>3793</v>
      </c>
      <c r="I3222"/>
      <c r="J3222"/>
      <c r="L3222"/>
      <c r="M3222"/>
      <c r="O3222"/>
      <c r="P3222" s="20"/>
      <c r="Q3222" s="20"/>
      <c r="R3222" s="20"/>
      <c r="S3222" s="20"/>
      <c r="T3222" s="20"/>
      <c r="U3222" t="s">
        <v>401</v>
      </c>
    </row>
    <row r="3223" spans="1:21" x14ac:dyDescent="0.25">
      <c r="A3223" s="3">
        <v>41845</v>
      </c>
      <c r="B3223" s="36">
        <v>248</v>
      </c>
      <c r="C3223" t="s">
        <v>3800</v>
      </c>
      <c r="D3223">
        <v>6.375</v>
      </c>
      <c r="E3223" s="18">
        <v>637.5</v>
      </c>
      <c r="G3223" t="s">
        <v>3801</v>
      </c>
      <c r="H3223" s="18">
        <v>637.5</v>
      </c>
      <c r="I3223" s="3">
        <v>41845</v>
      </c>
      <c r="J3223"/>
      <c r="L3223"/>
      <c r="M3223"/>
      <c r="N3223" s="20"/>
      <c r="O3223" t="s">
        <v>1004</v>
      </c>
      <c r="P3223" s="20"/>
      <c r="Q3223" s="20"/>
      <c r="R3223" s="20"/>
      <c r="S3223" s="20"/>
      <c r="T3223" s="20"/>
    </row>
    <row r="3224" spans="1:21" x14ac:dyDescent="0.25">
      <c r="A3224" s="3">
        <v>41845</v>
      </c>
      <c r="B3224" s="36">
        <v>248</v>
      </c>
      <c r="C3224" t="s">
        <v>2584</v>
      </c>
      <c r="D3224">
        <v>2</v>
      </c>
      <c r="E3224" s="18">
        <v>-200</v>
      </c>
      <c r="G3224" t="s">
        <v>442</v>
      </c>
      <c r="H3224" s="18" t="s">
        <v>442</v>
      </c>
      <c r="I3224" s="3" t="s">
        <v>442</v>
      </c>
      <c r="J3224"/>
      <c r="L3224"/>
      <c r="M3224"/>
      <c r="N3224" s="20"/>
      <c r="O3224" t="s">
        <v>2047</v>
      </c>
      <c r="P3224" s="20"/>
      <c r="Q3224" s="20"/>
      <c r="R3224" s="20" t="s">
        <v>401</v>
      </c>
      <c r="S3224" s="20"/>
      <c r="T3224" s="20"/>
    </row>
    <row r="3225" spans="1:21" x14ac:dyDescent="0.25">
      <c r="A3225" s="3">
        <v>41845</v>
      </c>
      <c r="B3225" s="36">
        <v>248</v>
      </c>
      <c r="C3225" t="s">
        <v>3802</v>
      </c>
      <c r="D3225">
        <v>8.9250000000000007</v>
      </c>
      <c r="E3225" s="18">
        <v>892.50000000000011</v>
      </c>
      <c r="G3225" t="s">
        <v>3803</v>
      </c>
      <c r="H3225" s="18">
        <v>892.50000000000011</v>
      </c>
      <c r="I3225" s="3">
        <v>41845</v>
      </c>
      <c r="J3225"/>
      <c r="L3225"/>
      <c r="M3225"/>
      <c r="N3225" s="20"/>
      <c r="O3225" t="s">
        <v>1004</v>
      </c>
      <c r="P3225" s="20"/>
      <c r="Q3225" s="20"/>
      <c r="R3225" s="20"/>
      <c r="S3225" s="20"/>
      <c r="T3225" s="20"/>
    </row>
    <row r="3226" spans="1:21" x14ac:dyDescent="0.25">
      <c r="A3226" s="3">
        <v>41845</v>
      </c>
      <c r="B3226" s="36">
        <v>248</v>
      </c>
      <c r="C3226" t="s">
        <v>3804</v>
      </c>
      <c r="D3226">
        <v>3.57</v>
      </c>
      <c r="E3226" s="18">
        <v>357</v>
      </c>
      <c r="G3226" t="s">
        <v>3805</v>
      </c>
      <c r="H3226" s="18">
        <v>357</v>
      </c>
      <c r="I3226" s="3">
        <v>41845</v>
      </c>
      <c r="J3226"/>
      <c r="L3226"/>
      <c r="M3226"/>
      <c r="N3226" s="20"/>
      <c r="O3226" t="s">
        <v>1004</v>
      </c>
      <c r="P3226" s="20"/>
      <c r="Q3226" s="20"/>
      <c r="R3226" s="20"/>
      <c r="S3226" s="20"/>
      <c r="T3226" s="20"/>
    </row>
    <row r="3227" spans="1:21" x14ac:dyDescent="0.25">
      <c r="A3227" s="3">
        <v>41859</v>
      </c>
      <c r="B3227" s="36">
        <v>248</v>
      </c>
      <c r="C3227" t="s">
        <v>3806</v>
      </c>
      <c r="D3227">
        <v>7.3949999999999996</v>
      </c>
      <c r="E3227" s="18">
        <v>739.5</v>
      </c>
      <c r="F3227" t="s">
        <v>889</v>
      </c>
      <c r="G3227" t="s">
        <v>3807</v>
      </c>
      <c r="H3227" s="18">
        <v>739.5</v>
      </c>
      <c r="I3227" s="3">
        <v>41859</v>
      </c>
      <c r="J3227"/>
      <c r="L3227"/>
      <c r="M3227"/>
      <c r="N3227" s="20"/>
      <c r="O3227" t="s">
        <v>931</v>
      </c>
      <c r="P3227" s="20"/>
      <c r="Q3227" s="20"/>
      <c r="R3227" s="20"/>
      <c r="S3227" s="20"/>
      <c r="T3227" s="20"/>
    </row>
    <row r="3228" spans="1:21" x14ac:dyDescent="0.25">
      <c r="A3228" s="3">
        <v>41859</v>
      </c>
      <c r="B3228" s="36">
        <v>248</v>
      </c>
      <c r="C3228" t="s">
        <v>2584</v>
      </c>
      <c r="E3228" s="18">
        <v>-200</v>
      </c>
      <c r="F3228" t="s">
        <v>891</v>
      </c>
      <c r="G3228" t="s">
        <v>442</v>
      </c>
      <c r="H3228" s="18" t="s">
        <v>442</v>
      </c>
      <c r="I3228" s="3" t="s">
        <v>442</v>
      </c>
      <c r="J3228"/>
      <c r="L3228"/>
      <c r="M3228"/>
      <c r="N3228" s="20"/>
      <c r="O3228"/>
      <c r="P3228" s="20"/>
      <c r="Q3228" s="20"/>
      <c r="R3228" s="20" t="s">
        <v>401</v>
      </c>
      <c r="S3228" s="20"/>
      <c r="T3228" s="20"/>
    </row>
    <row r="3229" spans="1:21" x14ac:dyDescent="0.25">
      <c r="A3229" s="3">
        <v>41859</v>
      </c>
      <c r="B3229" s="36">
        <v>248</v>
      </c>
      <c r="C3229" t="s">
        <v>3808</v>
      </c>
      <c r="D3229">
        <v>3.57</v>
      </c>
      <c r="E3229" s="18">
        <v>357</v>
      </c>
      <c r="F3229" t="s">
        <v>889</v>
      </c>
      <c r="G3229" t="s">
        <v>3809</v>
      </c>
      <c r="H3229" s="18">
        <v>357</v>
      </c>
      <c r="I3229" s="3">
        <v>41859</v>
      </c>
      <c r="J3229"/>
      <c r="L3229"/>
      <c r="M3229"/>
      <c r="N3229" s="20"/>
      <c r="O3229" t="s">
        <v>931</v>
      </c>
      <c r="P3229" s="20"/>
      <c r="Q3229" s="20"/>
      <c r="R3229" s="20"/>
      <c r="S3229" s="20"/>
      <c r="T3229" s="20"/>
    </row>
    <row r="3230" spans="1:21" x14ac:dyDescent="0.25">
      <c r="A3230" s="3">
        <v>41859</v>
      </c>
      <c r="B3230" s="36">
        <v>248</v>
      </c>
      <c r="C3230" t="s">
        <v>3810</v>
      </c>
      <c r="D3230">
        <v>6.12</v>
      </c>
      <c r="E3230" s="18">
        <v>612</v>
      </c>
      <c r="F3230" t="s">
        <v>889</v>
      </c>
      <c r="G3230" t="s">
        <v>3811</v>
      </c>
      <c r="H3230" s="18">
        <v>612</v>
      </c>
      <c r="I3230" s="3">
        <v>41859</v>
      </c>
      <c r="J3230"/>
      <c r="L3230"/>
      <c r="M3230"/>
      <c r="N3230" s="20"/>
      <c r="O3230" t="s">
        <v>931</v>
      </c>
      <c r="P3230" s="20"/>
      <c r="Q3230" s="20"/>
      <c r="R3230" s="20"/>
      <c r="S3230" s="20"/>
      <c r="T3230" s="20"/>
    </row>
    <row r="3231" spans="1:21" x14ac:dyDescent="0.25">
      <c r="A3231" s="3">
        <v>41873</v>
      </c>
      <c r="B3231" s="36">
        <v>248</v>
      </c>
      <c r="C3231" t="s">
        <v>3812</v>
      </c>
      <c r="D3231">
        <v>11.475</v>
      </c>
      <c r="E3231" s="18">
        <v>1147.5</v>
      </c>
      <c r="F3231" t="s">
        <v>889</v>
      </c>
      <c r="G3231" t="s">
        <v>3813</v>
      </c>
      <c r="H3231" s="18">
        <v>1147.5</v>
      </c>
      <c r="I3231" s="3">
        <v>41873</v>
      </c>
      <c r="J3231"/>
      <c r="L3231"/>
      <c r="M3231"/>
      <c r="N3231" s="20"/>
      <c r="O3231"/>
      <c r="P3231" s="20"/>
      <c r="Q3231" s="20"/>
      <c r="R3231" s="20"/>
      <c r="S3231" s="20"/>
      <c r="T3231" s="20"/>
    </row>
    <row r="3232" spans="1:21" x14ac:dyDescent="0.25">
      <c r="A3232" s="3">
        <v>41873</v>
      </c>
      <c r="B3232" s="36">
        <v>248</v>
      </c>
      <c r="C3232" t="s">
        <v>3804</v>
      </c>
      <c r="D3232">
        <v>3.57</v>
      </c>
      <c r="E3232" s="18">
        <v>-357</v>
      </c>
      <c r="F3232" t="s">
        <v>889</v>
      </c>
      <c r="G3232" t="s">
        <v>3805</v>
      </c>
      <c r="H3232" s="18" t="s">
        <v>442</v>
      </c>
      <c r="I3232" s="3" t="s">
        <v>442</v>
      </c>
      <c r="J3232"/>
      <c r="L3232"/>
      <c r="M3232"/>
      <c r="N3232" s="20"/>
      <c r="O3232"/>
      <c r="P3232" s="20"/>
      <c r="Q3232" s="20"/>
      <c r="R3232" s="20"/>
      <c r="S3232" s="20"/>
      <c r="T3232" s="20"/>
    </row>
    <row r="3233" spans="1:20" x14ac:dyDescent="0.25">
      <c r="A3233" s="3">
        <v>41879</v>
      </c>
      <c r="B3233" s="36">
        <v>248</v>
      </c>
      <c r="C3233" t="s">
        <v>2584</v>
      </c>
      <c r="E3233" s="18">
        <v>200</v>
      </c>
      <c r="F3233" t="s">
        <v>891</v>
      </c>
      <c r="G3233" t="s">
        <v>442</v>
      </c>
      <c r="H3233" s="18" t="s">
        <v>442</v>
      </c>
      <c r="I3233" s="3" t="s">
        <v>442</v>
      </c>
      <c r="J3233"/>
      <c r="L3233"/>
      <c r="M3233"/>
      <c r="N3233" s="20"/>
      <c r="O3233" t="s">
        <v>3814</v>
      </c>
      <c r="P3233" s="20"/>
      <c r="Q3233" s="20"/>
      <c r="R3233" s="20" t="s">
        <v>401</v>
      </c>
      <c r="S3233" s="20"/>
      <c r="T3233" s="20"/>
    </row>
    <row r="3234" spans="1:20" x14ac:dyDescent="0.25">
      <c r="A3234" s="3">
        <v>41879</v>
      </c>
      <c r="B3234" s="36">
        <v>248</v>
      </c>
      <c r="C3234" t="s">
        <v>3815</v>
      </c>
      <c r="D3234">
        <v>6</v>
      </c>
      <c r="E3234" s="18">
        <v>688.5</v>
      </c>
      <c r="F3234" t="s">
        <v>889</v>
      </c>
      <c r="G3234" t="s">
        <v>3816</v>
      </c>
      <c r="H3234" s="18">
        <v>688.5</v>
      </c>
      <c r="I3234" s="3">
        <v>41879</v>
      </c>
      <c r="J3234"/>
      <c r="L3234"/>
      <c r="M3234"/>
      <c r="N3234" s="20"/>
      <c r="O3234"/>
      <c r="P3234" s="20"/>
      <c r="Q3234" s="20"/>
      <c r="R3234" s="20"/>
      <c r="S3234" s="20"/>
      <c r="T3234" s="20"/>
    </row>
    <row r="3235" spans="1:20" x14ac:dyDescent="0.25">
      <c r="A3235" s="3">
        <v>41879</v>
      </c>
      <c r="B3235" s="36">
        <v>248</v>
      </c>
      <c r="C3235" t="s">
        <v>3817</v>
      </c>
      <c r="D3235">
        <v>10.7</v>
      </c>
      <c r="E3235" s="18">
        <v>1071</v>
      </c>
      <c r="F3235" t="s">
        <v>889</v>
      </c>
      <c r="G3235" t="s">
        <v>3818</v>
      </c>
      <c r="H3235" s="18">
        <v>1071</v>
      </c>
      <c r="I3235" s="3">
        <v>41879</v>
      </c>
      <c r="J3235"/>
      <c r="L3235"/>
      <c r="M3235"/>
      <c r="N3235" s="20"/>
      <c r="O3235"/>
      <c r="P3235" s="20"/>
      <c r="Q3235" s="20"/>
      <c r="R3235" s="20"/>
      <c r="S3235" s="20"/>
      <c r="T3235" s="20"/>
    </row>
    <row r="3236" spans="1:20" x14ac:dyDescent="0.25">
      <c r="A3236" s="3">
        <v>41879</v>
      </c>
      <c r="B3236" s="36">
        <v>248</v>
      </c>
      <c r="C3236" t="s">
        <v>3808</v>
      </c>
      <c r="D3236">
        <v>3.57</v>
      </c>
      <c r="E3236" s="18">
        <v>-357</v>
      </c>
      <c r="F3236" t="s">
        <v>889</v>
      </c>
      <c r="G3236" t="s">
        <v>3809</v>
      </c>
      <c r="H3236" s="18" t="s">
        <v>442</v>
      </c>
      <c r="I3236" s="3" t="s">
        <v>442</v>
      </c>
      <c r="J3236"/>
      <c r="L3236"/>
      <c r="M3236"/>
      <c r="N3236" s="20"/>
      <c r="O3236"/>
      <c r="P3236" s="20"/>
      <c r="Q3236" s="20"/>
      <c r="R3236" s="20"/>
      <c r="S3236" s="20"/>
      <c r="T3236" s="20"/>
    </row>
    <row r="3237" spans="1:20" x14ac:dyDescent="0.25">
      <c r="A3237" s="3">
        <v>41886</v>
      </c>
      <c r="B3237" s="36">
        <v>248</v>
      </c>
      <c r="C3237" t="s">
        <v>3819</v>
      </c>
      <c r="D3237">
        <v>5.61</v>
      </c>
      <c r="E3237" s="18">
        <v>561</v>
      </c>
      <c r="F3237" t="s">
        <v>889</v>
      </c>
      <c r="G3237" t="s">
        <v>3820</v>
      </c>
      <c r="H3237" s="18">
        <v>561</v>
      </c>
      <c r="I3237" s="3">
        <v>41886</v>
      </c>
      <c r="J3237"/>
      <c r="L3237"/>
      <c r="M3237"/>
      <c r="N3237" s="20"/>
      <c r="O3237"/>
      <c r="P3237" s="20"/>
      <c r="Q3237" s="20"/>
      <c r="R3237" s="20"/>
      <c r="S3237" s="20"/>
      <c r="T3237" s="20"/>
    </row>
    <row r="3238" spans="1:20" x14ac:dyDescent="0.25">
      <c r="A3238" s="3">
        <v>41886</v>
      </c>
      <c r="B3238" s="36">
        <v>248</v>
      </c>
      <c r="C3238" t="s">
        <v>3808</v>
      </c>
      <c r="D3238">
        <v>3.57</v>
      </c>
      <c r="E3238" s="18">
        <v>-357</v>
      </c>
      <c r="F3238" t="s">
        <v>889</v>
      </c>
      <c r="G3238" t="s">
        <v>3809</v>
      </c>
      <c r="H3238" s="18" t="s">
        <v>442</v>
      </c>
      <c r="I3238" s="3" t="s">
        <v>442</v>
      </c>
      <c r="J3238"/>
      <c r="L3238"/>
      <c r="M3238"/>
      <c r="N3238" s="20"/>
      <c r="O3238"/>
      <c r="P3238" s="20"/>
      <c r="Q3238" s="20"/>
      <c r="R3238" s="20"/>
      <c r="S3238" s="20"/>
      <c r="T3238" s="20"/>
    </row>
    <row r="3239" spans="1:20" x14ac:dyDescent="0.25">
      <c r="A3239" s="3">
        <v>41886</v>
      </c>
      <c r="B3239" s="36">
        <v>248</v>
      </c>
      <c r="C3239" t="s">
        <v>3821</v>
      </c>
      <c r="D3239">
        <v>6.12</v>
      </c>
      <c r="E3239" s="18">
        <v>612</v>
      </c>
      <c r="F3239" t="s">
        <v>889</v>
      </c>
      <c r="G3239" t="s">
        <v>3822</v>
      </c>
      <c r="H3239" s="18">
        <v>612</v>
      </c>
      <c r="I3239" s="3">
        <v>41886</v>
      </c>
      <c r="J3239"/>
      <c r="L3239"/>
      <c r="M3239"/>
      <c r="N3239" s="20"/>
      <c r="O3239"/>
      <c r="P3239" s="20"/>
      <c r="Q3239" s="20"/>
      <c r="R3239" s="20"/>
      <c r="S3239" s="20"/>
      <c r="T3239" s="20"/>
    </row>
    <row r="3240" spans="1:20" x14ac:dyDescent="0.25">
      <c r="A3240" s="3">
        <v>41894</v>
      </c>
      <c r="B3240" s="36">
        <v>248</v>
      </c>
      <c r="C3240" t="s">
        <v>3808</v>
      </c>
      <c r="D3240">
        <v>3.57</v>
      </c>
      <c r="E3240" s="18">
        <v>357</v>
      </c>
      <c r="F3240" t="s">
        <v>889</v>
      </c>
      <c r="G3240" t="s">
        <v>3809</v>
      </c>
      <c r="H3240" s="18">
        <v>357</v>
      </c>
      <c r="I3240" s="3">
        <v>41894</v>
      </c>
      <c r="J3240"/>
      <c r="L3240"/>
      <c r="M3240"/>
      <c r="N3240" s="20"/>
      <c r="O3240" t="s">
        <v>1272</v>
      </c>
      <c r="P3240" s="20"/>
      <c r="Q3240" s="20"/>
      <c r="R3240" s="20"/>
      <c r="S3240" s="20"/>
      <c r="T3240" s="20"/>
    </row>
    <row r="3241" spans="1:20" x14ac:dyDescent="0.25">
      <c r="A3241" s="3">
        <v>41901</v>
      </c>
      <c r="B3241" s="36">
        <v>248</v>
      </c>
      <c r="C3241" t="s">
        <v>3823</v>
      </c>
      <c r="D3241">
        <v>5.61</v>
      </c>
      <c r="E3241" s="18">
        <v>561</v>
      </c>
      <c r="F3241" t="s">
        <v>889</v>
      </c>
      <c r="G3241" t="s">
        <v>3824</v>
      </c>
      <c r="H3241" s="18">
        <v>561</v>
      </c>
      <c r="I3241" s="3">
        <v>41901</v>
      </c>
      <c r="J3241"/>
      <c r="L3241"/>
      <c r="M3241"/>
      <c r="N3241" s="20"/>
      <c r="O3241"/>
      <c r="P3241" s="20"/>
      <c r="Q3241" s="20"/>
      <c r="R3241" s="20"/>
      <c r="S3241" s="20"/>
      <c r="T3241" s="20"/>
    </row>
    <row r="3242" spans="1:20" x14ac:dyDescent="0.25">
      <c r="A3242" s="3">
        <v>41907</v>
      </c>
      <c r="B3242" s="36">
        <v>248</v>
      </c>
      <c r="C3242" t="s">
        <v>3821</v>
      </c>
      <c r="D3242">
        <v>6.12</v>
      </c>
      <c r="E3242" s="18">
        <v>-612</v>
      </c>
      <c r="F3242" t="s">
        <v>889</v>
      </c>
      <c r="G3242" t="s">
        <v>3822</v>
      </c>
      <c r="H3242" s="18" t="s">
        <v>442</v>
      </c>
      <c r="I3242" s="3" t="s">
        <v>442</v>
      </c>
      <c r="J3242"/>
      <c r="L3242"/>
      <c r="M3242"/>
      <c r="N3242" s="20"/>
      <c r="O3242"/>
      <c r="P3242" s="20"/>
      <c r="Q3242" s="20"/>
      <c r="R3242" s="20"/>
      <c r="S3242" s="20"/>
      <c r="T3242" s="20"/>
    </row>
    <row r="3243" spans="1:20" x14ac:dyDescent="0.25">
      <c r="A3243" s="3">
        <v>41915</v>
      </c>
      <c r="B3243" s="36">
        <v>248</v>
      </c>
      <c r="C3243" t="s">
        <v>3825</v>
      </c>
      <c r="D3243">
        <v>10.455</v>
      </c>
      <c r="E3243" s="18">
        <v>1045.5</v>
      </c>
      <c r="F3243" t="s">
        <v>889</v>
      </c>
      <c r="G3243" t="s">
        <v>3826</v>
      </c>
      <c r="H3243" s="18">
        <v>1045.5</v>
      </c>
      <c r="I3243" s="3">
        <v>41915</v>
      </c>
      <c r="J3243"/>
      <c r="L3243"/>
      <c r="M3243"/>
      <c r="N3243" s="20"/>
      <c r="O3243"/>
      <c r="P3243" s="20"/>
      <c r="Q3243" s="20"/>
      <c r="R3243" s="20"/>
      <c r="S3243" s="20"/>
      <c r="T3243" s="20"/>
    </row>
    <row r="3244" spans="1:20" x14ac:dyDescent="0.25">
      <c r="A3244" s="3">
        <v>41915</v>
      </c>
      <c r="B3244" s="36">
        <v>248</v>
      </c>
      <c r="C3244" t="s">
        <v>3827</v>
      </c>
      <c r="D3244">
        <v>5.0999999999999996</v>
      </c>
      <c r="E3244" s="18">
        <v>509.99999999999994</v>
      </c>
      <c r="F3244" t="s">
        <v>889</v>
      </c>
      <c r="G3244" t="s">
        <v>3828</v>
      </c>
      <c r="H3244" s="18">
        <v>509.99999999999994</v>
      </c>
      <c r="I3244" s="3">
        <v>41915</v>
      </c>
      <c r="J3244"/>
      <c r="L3244"/>
      <c r="M3244"/>
      <c r="N3244" s="20"/>
      <c r="O3244"/>
      <c r="P3244" s="20"/>
      <c r="Q3244" s="20"/>
      <c r="R3244" s="20"/>
      <c r="S3244" s="20"/>
      <c r="T3244" s="20"/>
    </row>
    <row r="3245" spans="1:20" x14ac:dyDescent="0.25">
      <c r="A3245" s="3">
        <v>41929</v>
      </c>
      <c r="B3245" s="36">
        <v>248</v>
      </c>
      <c r="C3245" t="s">
        <v>3829</v>
      </c>
      <c r="D3245">
        <v>5.75</v>
      </c>
      <c r="E3245" s="18">
        <v>586.5</v>
      </c>
      <c r="F3245" t="s">
        <v>889</v>
      </c>
      <c r="G3245" t="s">
        <v>3830</v>
      </c>
      <c r="H3245" s="18">
        <v>586.5</v>
      </c>
      <c r="I3245" s="3">
        <v>41929</v>
      </c>
      <c r="J3245"/>
      <c r="L3245"/>
      <c r="M3245"/>
      <c r="N3245" s="20"/>
      <c r="O3245"/>
      <c r="P3245" s="20"/>
      <c r="Q3245" s="20"/>
      <c r="R3245" s="20"/>
      <c r="S3245" s="20"/>
      <c r="T3245" s="20"/>
    </row>
    <row r="3246" spans="1:20" x14ac:dyDescent="0.25">
      <c r="A3246" s="3">
        <v>41936</v>
      </c>
      <c r="B3246" s="36">
        <v>248</v>
      </c>
      <c r="C3246" t="s">
        <v>3831</v>
      </c>
      <c r="D3246">
        <v>21.17</v>
      </c>
      <c r="E3246" s="18">
        <v>2116.5</v>
      </c>
      <c r="F3246" t="s">
        <v>889</v>
      </c>
      <c r="G3246" t="s">
        <v>3832</v>
      </c>
      <c r="H3246" s="18">
        <v>2116.5</v>
      </c>
      <c r="I3246" s="3">
        <v>41936</v>
      </c>
      <c r="J3246"/>
      <c r="L3246"/>
      <c r="M3246"/>
      <c r="N3246" s="20"/>
      <c r="O3246"/>
      <c r="P3246" s="20"/>
      <c r="Q3246" s="20"/>
      <c r="R3246" s="20"/>
      <c r="S3246" s="20"/>
      <c r="T3246" s="20"/>
    </row>
    <row r="3247" spans="1:20" x14ac:dyDescent="0.25">
      <c r="A3247" s="3">
        <v>41936</v>
      </c>
      <c r="B3247" s="36">
        <v>248</v>
      </c>
      <c r="C3247" t="s">
        <v>3833</v>
      </c>
      <c r="D3247">
        <v>5.75</v>
      </c>
      <c r="E3247" s="18">
        <v>637.5</v>
      </c>
      <c r="F3247" t="s">
        <v>889</v>
      </c>
      <c r="G3247" t="s">
        <v>3834</v>
      </c>
      <c r="H3247" s="18">
        <v>637.5</v>
      </c>
      <c r="I3247" s="3">
        <v>41936</v>
      </c>
      <c r="J3247"/>
      <c r="L3247"/>
      <c r="M3247"/>
      <c r="N3247" s="20"/>
      <c r="O3247"/>
      <c r="P3247" s="20"/>
      <c r="Q3247" s="20"/>
      <c r="R3247" s="20"/>
      <c r="S3247" s="20"/>
      <c r="T3247" s="20"/>
    </row>
    <row r="3248" spans="1:20" x14ac:dyDescent="0.25">
      <c r="A3248" s="3">
        <v>41936</v>
      </c>
      <c r="B3248" s="36">
        <v>248</v>
      </c>
      <c r="C3248" t="s">
        <v>3825</v>
      </c>
      <c r="D3248">
        <v>9.5</v>
      </c>
      <c r="E3248" s="18">
        <v>-1045.5</v>
      </c>
      <c r="F3248" t="s">
        <v>889</v>
      </c>
      <c r="G3248" t="s">
        <v>3826</v>
      </c>
      <c r="H3248" s="18" t="s">
        <v>442</v>
      </c>
      <c r="I3248" s="3" t="s">
        <v>442</v>
      </c>
      <c r="J3248"/>
      <c r="L3248"/>
      <c r="M3248"/>
      <c r="N3248" s="20"/>
      <c r="O3248"/>
      <c r="P3248" s="20"/>
      <c r="Q3248" s="20"/>
      <c r="R3248" s="20"/>
      <c r="S3248" s="20"/>
      <c r="T3248" s="20"/>
    </row>
    <row r="3249" spans="1:21" x14ac:dyDescent="0.25">
      <c r="A3249" s="3">
        <v>41936</v>
      </c>
      <c r="B3249" s="36">
        <v>248</v>
      </c>
      <c r="C3249" t="s">
        <v>3835</v>
      </c>
      <c r="D3249">
        <v>7.5</v>
      </c>
      <c r="E3249" s="18">
        <v>765</v>
      </c>
      <c r="F3249" t="s">
        <v>889</v>
      </c>
      <c r="G3249" t="s">
        <v>3836</v>
      </c>
      <c r="H3249" s="18">
        <v>765</v>
      </c>
      <c r="I3249" s="3">
        <v>41936</v>
      </c>
      <c r="J3249"/>
      <c r="L3249"/>
      <c r="M3249"/>
      <c r="N3249" s="20"/>
      <c r="O3249"/>
      <c r="P3249" s="20"/>
      <c r="Q3249" s="20"/>
      <c r="R3249" s="20"/>
      <c r="S3249" s="20"/>
      <c r="T3249" s="20"/>
    </row>
    <row r="3250" spans="1:21" x14ac:dyDescent="0.25">
      <c r="A3250" s="3">
        <v>41943</v>
      </c>
      <c r="B3250" s="36">
        <v>248</v>
      </c>
      <c r="C3250" t="s">
        <v>3837</v>
      </c>
      <c r="D3250">
        <v>7.65</v>
      </c>
      <c r="E3250" s="18">
        <v>765</v>
      </c>
      <c r="F3250" t="s">
        <v>889</v>
      </c>
      <c r="G3250" t="s">
        <v>3838</v>
      </c>
      <c r="H3250" s="18">
        <v>765</v>
      </c>
      <c r="I3250" s="3">
        <v>41943</v>
      </c>
      <c r="J3250"/>
      <c r="L3250"/>
      <c r="M3250"/>
      <c r="N3250" s="20"/>
      <c r="O3250"/>
      <c r="P3250" s="20"/>
      <c r="Q3250" s="20"/>
      <c r="R3250" s="20"/>
      <c r="S3250" s="20"/>
      <c r="T3250" s="20"/>
    </row>
    <row r="3251" spans="1:21" x14ac:dyDescent="0.25">
      <c r="A3251" s="3">
        <v>41943</v>
      </c>
      <c r="B3251" s="36">
        <v>248</v>
      </c>
      <c r="C3251" t="s">
        <v>3839</v>
      </c>
      <c r="D3251">
        <v>3.8250000000000002</v>
      </c>
      <c r="E3251" s="18">
        <v>382.5</v>
      </c>
      <c r="F3251" t="s">
        <v>889</v>
      </c>
      <c r="G3251" t="s">
        <v>3840</v>
      </c>
      <c r="H3251" s="18">
        <v>382.5</v>
      </c>
      <c r="I3251" s="3">
        <v>41943</v>
      </c>
      <c r="J3251"/>
      <c r="L3251"/>
      <c r="M3251"/>
      <c r="N3251" s="20"/>
      <c r="O3251"/>
      <c r="P3251" s="20"/>
      <c r="Q3251" s="20"/>
      <c r="R3251" s="20"/>
      <c r="S3251" s="20"/>
      <c r="T3251" s="20"/>
    </row>
    <row r="3252" spans="1:21" x14ac:dyDescent="0.25">
      <c r="A3252" s="3">
        <v>41943</v>
      </c>
      <c r="B3252" s="36">
        <v>248</v>
      </c>
      <c r="C3252" t="s">
        <v>3841</v>
      </c>
      <c r="D3252">
        <v>4.8449999999999998</v>
      </c>
      <c r="E3252" s="18">
        <v>484.5</v>
      </c>
      <c r="F3252" t="s">
        <v>889</v>
      </c>
      <c r="G3252" t="s">
        <v>3842</v>
      </c>
      <c r="H3252" s="18">
        <v>484.5</v>
      </c>
      <c r="I3252" s="3">
        <v>41943</v>
      </c>
      <c r="J3252"/>
      <c r="L3252"/>
      <c r="M3252"/>
      <c r="N3252" s="20"/>
      <c r="O3252"/>
      <c r="P3252" s="20"/>
      <c r="Q3252" s="20"/>
      <c r="R3252" s="20"/>
      <c r="S3252" s="20"/>
      <c r="T3252" s="20"/>
    </row>
    <row r="3253" spans="1:21" x14ac:dyDescent="0.25">
      <c r="A3253" s="3">
        <v>41957</v>
      </c>
      <c r="B3253" s="36">
        <v>248</v>
      </c>
      <c r="C3253" t="s">
        <v>3800</v>
      </c>
      <c r="D3253">
        <v>6.375</v>
      </c>
      <c r="E3253" s="18">
        <v>637.5</v>
      </c>
      <c r="F3253" t="s">
        <v>889</v>
      </c>
      <c r="G3253" t="s">
        <v>3801</v>
      </c>
      <c r="H3253" s="18">
        <v>637.5</v>
      </c>
      <c r="I3253" s="3">
        <v>41957</v>
      </c>
      <c r="J3253"/>
      <c r="L3253"/>
      <c r="M3253"/>
      <c r="N3253" s="20"/>
      <c r="O3253" t="s">
        <v>959</v>
      </c>
      <c r="P3253" s="20"/>
      <c r="Q3253" s="20"/>
      <c r="R3253" s="20"/>
      <c r="S3253" s="20"/>
      <c r="T3253" s="20"/>
    </row>
    <row r="3254" spans="1:21" x14ac:dyDescent="0.25">
      <c r="A3254" s="3">
        <v>41957</v>
      </c>
      <c r="B3254" s="36">
        <v>248</v>
      </c>
      <c r="C3254" t="s">
        <v>3843</v>
      </c>
      <c r="D3254">
        <v>7.3949999999999996</v>
      </c>
      <c r="E3254" s="18">
        <v>739.5</v>
      </c>
      <c r="F3254" t="s">
        <v>889</v>
      </c>
      <c r="G3254" t="s">
        <v>3844</v>
      </c>
      <c r="H3254" s="18">
        <v>739.5</v>
      </c>
      <c r="I3254" s="3">
        <v>41957</v>
      </c>
      <c r="J3254"/>
      <c r="L3254"/>
      <c r="M3254"/>
      <c r="N3254" s="20"/>
      <c r="O3254"/>
      <c r="P3254" s="20"/>
      <c r="Q3254" s="20"/>
      <c r="R3254" s="20"/>
      <c r="S3254" s="20"/>
      <c r="T3254" s="20"/>
    </row>
    <row r="3255" spans="1:21" x14ac:dyDescent="0.25">
      <c r="A3255" s="3">
        <v>42027</v>
      </c>
      <c r="B3255" s="36">
        <v>248</v>
      </c>
      <c r="C3255" t="s">
        <v>3845</v>
      </c>
      <c r="D3255" s="55">
        <v>4.8449999999999998</v>
      </c>
      <c r="E3255" s="18">
        <v>484.5</v>
      </c>
      <c r="F3255" t="s">
        <v>889</v>
      </c>
      <c r="G3255" t="s">
        <v>3842</v>
      </c>
      <c r="H3255" s="18">
        <v>484.5</v>
      </c>
      <c r="I3255" s="3">
        <v>42027</v>
      </c>
      <c r="J3255"/>
      <c r="L3255"/>
      <c r="M3255"/>
      <c r="N3255" s="20"/>
      <c r="O3255"/>
      <c r="P3255" s="20"/>
      <c r="Q3255" s="20"/>
      <c r="R3255" s="20"/>
      <c r="S3255" s="20"/>
      <c r="T3255" s="20"/>
    </row>
    <row r="3256" spans="1:21" x14ac:dyDescent="0.25">
      <c r="A3256" s="3">
        <v>42027</v>
      </c>
      <c r="B3256" s="36">
        <v>248</v>
      </c>
      <c r="C3256" t="s">
        <v>3817</v>
      </c>
      <c r="D3256" s="55">
        <v>10.71</v>
      </c>
      <c r="E3256" s="18">
        <v>-1071</v>
      </c>
      <c r="F3256" t="s">
        <v>889</v>
      </c>
      <c r="G3256" t="s">
        <v>3818</v>
      </c>
      <c r="H3256" s="18" t="s">
        <v>442</v>
      </c>
      <c r="I3256" s="3" t="s">
        <v>442</v>
      </c>
      <c r="J3256"/>
      <c r="L3256"/>
      <c r="M3256"/>
      <c r="N3256" s="20"/>
      <c r="O3256"/>
      <c r="P3256" s="20"/>
      <c r="Q3256" s="20"/>
      <c r="R3256" s="20"/>
      <c r="S3256" s="20"/>
      <c r="T3256" s="20"/>
    </row>
    <row r="3257" spans="1:21" x14ac:dyDescent="0.25">
      <c r="A3257" s="3">
        <v>42027</v>
      </c>
      <c r="B3257" s="36">
        <v>248</v>
      </c>
      <c r="C3257" t="s">
        <v>3846</v>
      </c>
      <c r="D3257" s="55">
        <v>6.375</v>
      </c>
      <c r="E3257" s="18">
        <v>637.5</v>
      </c>
      <c r="F3257" t="s">
        <v>889</v>
      </c>
      <c r="G3257" t="s">
        <v>3834</v>
      </c>
      <c r="H3257" s="18">
        <v>637.5</v>
      </c>
      <c r="I3257" s="3">
        <v>42027</v>
      </c>
      <c r="J3257"/>
      <c r="L3257"/>
      <c r="M3257"/>
      <c r="N3257" s="20"/>
      <c r="O3257"/>
      <c r="P3257" s="20"/>
      <c r="Q3257" s="20"/>
      <c r="R3257" s="20"/>
      <c r="S3257" s="20"/>
      <c r="T3257" s="20"/>
    </row>
    <row r="3258" spans="1:21" x14ac:dyDescent="0.25">
      <c r="A3258" s="3">
        <v>42041</v>
      </c>
      <c r="B3258">
        <v>248</v>
      </c>
      <c r="C3258" t="s">
        <v>3843</v>
      </c>
      <c r="E3258" s="18">
        <v>246.5</v>
      </c>
      <c r="F3258" t="s">
        <v>889</v>
      </c>
      <c r="G3258" t="s">
        <v>3844</v>
      </c>
      <c r="I3258"/>
      <c r="J3258"/>
      <c r="L3258"/>
      <c r="M3258"/>
      <c r="O3258"/>
      <c r="P3258" s="20"/>
      <c r="Q3258" s="20"/>
      <c r="R3258" s="20"/>
      <c r="S3258" s="20"/>
      <c r="T3258" s="20"/>
    </row>
    <row r="3259" spans="1:21" x14ac:dyDescent="0.25">
      <c r="A3259" s="3">
        <v>42041</v>
      </c>
      <c r="B3259">
        <v>248</v>
      </c>
      <c r="C3259" t="s">
        <v>3847</v>
      </c>
      <c r="E3259" s="18">
        <v>484.5</v>
      </c>
      <c r="F3259" t="s">
        <v>889</v>
      </c>
      <c r="G3259" t="s">
        <v>3848</v>
      </c>
      <c r="I3259"/>
      <c r="J3259"/>
      <c r="L3259"/>
      <c r="M3259"/>
      <c r="O3259"/>
      <c r="P3259" s="20"/>
      <c r="Q3259" s="20"/>
      <c r="R3259" s="20"/>
      <c r="S3259" s="20"/>
      <c r="T3259" s="20"/>
    </row>
    <row r="3260" spans="1:21" x14ac:dyDescent="0.25">
      <c r="B3260">
        <v>248</v>
      </c>
      <c r="C3260" t="s">
        <v>3812</v>
      </c>
      <c r="D3260">
        <v>6.8849999999999998</v>
      </c>
      <c r="E3260" s="18">
        <v>229.5</v>
      </c>
      <c r="F3260" t="s">
        <v>889</v>
      </c>
      <c r="G3260" t="s">
        <v>3813</v>
      </c>
      <c r="I3260"/>
      <c r="J3260"/>
      <c r="L3260"/>
      <c r="M3260"/>
      <c r="O3260"/>
      <c r="P3260" s="20"/>
      <c r="Q3260" s="20"/>
      <c r="R3260" s="20"/>
      <c r="S3260" s="20"/>
      <c r="T3260" s="20"/>
      <c r="U3260" t="s">
        <v>401</v>
      </c>
    </row>
    <row r="3261" spans="1:21" x14ac:dyDescent="0.25">
      <c r="B3261">
        <v>248</v>
      </c>
      <c r="C3261" t="s">
        <v>3812</v>
      </c>
      <c r="D3261">
        <v>6.8849999999999998</v>
      </c>
      <c r="E3261" s="18">
        <v>229.5</v>
      </c>
      <c r="F3261" t="s">
        <v>889</v>
      </c>
      <c r="G3261" t="s">
        <v>3813</v>
      </c>
      <c r="I3261"/>
      <c r="J3261"/>
      <c r="L3261"/>
      <c r="M3261"/>
      <c r="O3261"/>
      <c r="P3261" s="20"/>
      <c r="Q3261" s="20"/>
      <c r="R3261" s="20"/>
      <c r="S3261" s="20"/>
      <c r="T3261" s="20"/>
      <c r="U3261" t="s">
        <v>401</v>
      </c>
    </row>
    <row r="3262" spans="1:21" x14ac:dyDescent="0.25">
      <c r="B3262">
        <v>248</v>
      </c>
      <c r="C3262" t="s">
        <v>3849</v>
      </c>
      <c r="D3262">
        <v>5.8650000000000002</v>
      </c>
      <c r="E3262" s="18">
        <v>586.5</v>
      </c>
      <c r="F3262" t="s">
        <v>889</v>
      </c>
      <c r="G3262" t="s">
        <v>3848</v>
      </c>
      <c r="I3262"/>
      <c r="J3262"/>
      <c r="L3262"/>
      <c r="M3262"/>
      <c r="O3262"/>
      <c r="P3262" s="20"/>
      <c r="Q3262" s="20"/>
      <c r="R3262" s="20"/>
      <c r="S3262" s="20"/>
      <c r="T3262" s="20"/>
      <c r="U3262" t="s">
        <v>401</v>
      </c>
    </row>
    <row r="3263" spans="1:21" x14ac:dyDescent="0.25">
      <c r="B3263">
        <v>248</v>
      </c>
      <c r="C3263" t="s">
        <v>3850</v>
      </c>
      <c r="D3263">
        <v>6.12</v>
      </c>
      <c r="E3263" s="18">
        <v>612</v>
      </c>
      <c r="F3263" t="s">
        <v>889</v>
      </c>
      <c r="G3263" t="s">
        <v>3822</v>
      </c>
      <c r="I3263"/>
      <c r="J3263"/>
      <c r="L3263"/>
      <c r="M3263"/>
      <c r="O3263"/>
      <c r="P3263" s="20"/>
      <c r="Q3263" s="20"/>
      <c r="R3263" s="20"/>
      <c r="S3263" s="20"/>
      <c r="T3263" s="20"/>
      <c r="U3263" t="s">
        <v>401</v>
      </c>
    </row>
    <row r="3264" spans="1:21" x14ac:dyDescent="0.25">
      <c r="B3264">
        <v>248</v>
      </c>
      <c r="C3264" t="s">
        <v>3819</v>
      </c>
      <c r="D3264">
        <v>5.61</v>
      </c>
      <c r="E3264" s="18">
        <v>-561</v>
      </c>
      <c r="F3264" t="s">
        <v>889</v>
      </c>
      <c r="G3264" t="s">
        <v>3820</v>
      </c>
      <c r="I3264"/>
      <c r="J3264"/>
      <c r="L3264"/>
      <c r="M3264"/>
      <c r="O3264"/>
      <c r="P3264" s="20"/>
      <c r="Q3264" s="20"/>
      <c r="R3264" s="20"/>
      <c r="S3264" s="20"/>
      <c r="T3264" s="20"/>
      <c r="U3264" t="s">
        <v>401</v>
      </c>
    </row>
    <row r="3265" spans="1:21" x14ac:dyDescent="0.25">
      <c r="B3265">
        <v>248</v>
      </c>
      <c r="C3265" t="s">
        <v>3806</v>
      </c>
      <c r="D3265">
        <v>7.3949999999999996</v>
      </c>
      <c r="E3265" s="18">
        <v>-739.5</v>
      </c>
      <c r="F3265" t="s">
        <v>889</v>
      </c>
      <c r="G3265" t="s">
        <v>3807</v>
      </c>
      <c r="I3265"/>
      <c r="J3265"/>
      <c r="L3265"/>
      <c r="M3265"/>
      <c r="O3265"/>
      <c r="P3265" s="20"/>
      <c r="Q3265" s="20"/>
      <c r="R3265" s="20"/>
      <c r="S3265" s="20"/>
      <c r="T3265" s="20"/>
      <c r="U3265" t="s">
        <v>401</v>
      </c>
    </row>
    <row r="3266" spans="1:21" x14ac:dyDescent="0.25">
      <c r="B3266">
        <v>248</v>
      </c>
      <c r="C3266" t="s">
        <v>1314</v>
      </c>
      <c r="E3266" s="18">
        <v>-50</v>
      </c>
      <c r="G3266" t="s">
        <v>442</v>
      </c>
      <c r="I3266"/>
      <c r="J3266"/>
      <c r="L3266"/>
      <c r="M3266"/>
      <c r="O3266"/>
      <c r="P3266" s="20"/>
      <c r="Q3266" s="20"/>
      <c r="R3266" s="20"/>
      <c r="S3266" s="20"/>
      <c r="T3266" s="20"/>
      <c r="U3266" t="s">
        <v>401</v>
      </c>
    </row>
    <row r="3267" spans="1:21" x14ac:dyDescent="0.25">
      <c r="B3267">
        <v>248</v>
      </c>
      <c r="C3267" t="s">
        <v>1314</v>
      </c>
      <c r="E3267" s="18">
        <v>-50</v>
      </c>
      <c r="F3267" t="s">
        <v>889</v>
      </c>
      <c r="I3267"/>
      <c r="J3267"/>
      <c r="L3267"/>
      <c r="M3267"/>
      <c r="O3267"/>
      <c r="P3267" s="20"/>
      <c r="Q3267" s="20"/>
      <c r="R3267" s="20"/>
      <c r="S3267" s="20"/>
      <c r="T3267" s="20"/>
      <c r="U3267" t="s">
        <v>401</v>
      </c>
    </row>
    <row r="3268" spans="1:21" x14ac:dyDescent="0.25">
      <c r="B3268">
        <v>248</v>
      </c>
      <c r="C3268" t="s">
        <v>3815</v>
      </c>
      <c r="D3268">
        <v>6.8849999999999998</v>
      </c>
      <c r="E3268" s="18">
        <v>-688.5</v>
      </c>
      <c r="F3268" t="s">
        <v>889</v>
      </c>
      <c r="G3268" t="s">
        <v>3816</v>
      </c>
      <c r="I3268"/>
      <c r="J3268"/>
      <c r="L3268"/>
      <c r="M3268"/>
      <c r="O3268"/>
      <c r="P3268" s="20"/>
      <c r="Q3268" s="20"/>
      <c r="R3268" s="20"/>
      <c r="S3268" s="20"/>
      <c r="T3268" s="20"/>
      <c r="U3268" t="s">
        <v>401</v>
      </c>
    </row>
    <row r="3269" spans="1:21" x14ac:dyDescent="0.25">
      <c r="B3269">
        <v>248</v>
      </c>
      <c r="C3269" t="s">
        <v>3810</v>
      </c>
      <c r="D3269">
        <v>6.12</v>
      </c>
      <c r="E3269" s="18">
        <v>-612</v>
      </c>
      <c r="F3269" t="s">
        <v>889</v>
      </c>
      <c r="G3269" t="s">
        <v>3811</v>
      </c>
      <c r="I3269"/>
      <c r="J3269"/>
      <c r="L3269"/>
      <c r="M3269"/>
      <c r="O3269"/>
      <c r="P3269" s="20"/>
      <c r="Q3269" s="20"/>
      <c r="R3269" s="20"/>
      <c r="S3269" s="20"/>
      <c r="T3269" s="20"/>
      <c r="U3269" t="s">
        <v>401</v>
      </c>
    </row>
    <row r="3270" spans="1:21" x14ac:dyDescent="0.25">
      <c r="B3270">
        <v>248</v>
      </c>
      <c r="C3270" t="s">
        <v>3829</v>
      </c>
      <c r="D3270">
        <v>5.8650000000000002</v>
      </c>
      <c r="E3270" s="18">
        <v>586.5</v>
      </c>
      <c r="F3270" t="s">
        <v>889</v>
      </c>
      <c r="G3270" t="s">
        <v>3830</v>
      </c>
      <c r="I3270"/>
      <c r="J3270"/>
      <c r="L3270"/>
      <c r="M3270"/>
      <c r="O3270"/>
      <c r="P3270" s="20"/>
      <c r="Q3270" s="20"/>
      <c r="R3270" s="20"/>
      <c r="S3270" s="20"/>
      <c r="T3270" s="20"/>
      <c r="U3270" t="s">
        <v>401</v>
      </c>
    </row>
    <row r="3271" spans="1:21" x14ac:dyDescent="0.25">
      <c r="B3271">
        <v>248</v>
      </c>
      <c r="C3271" t="s">
        <v>3843</v>
      </c>
      <c r="D3271">
        <v>7.3949999999999996</v>
      </c>
      <c r="E3271" s="18">
        <v>246.5</v>
      </c>
      <c r="F3271" t="s">
        <v>889</v>
      </c>
      <c r="G3271" t="s">
        <v>3844</v>
      </c>
      <c r="I3271"/>
      <c r="J3271"/>
      <c r="L3271"/>
      <c r="M3271"/>
      <c r="O3271"/>
      <c r="P3271" s="20"/>
      <c r="Q3271" s="20"/>
      <c r="R3271" s="20"/>
      <c r="S3271" s="20"/>
      <c r="T3271" s="20"/>
      <c r="U3271" t="s">
        <v>401</v>
      </c>
    </row>
    <row r="3272" spans="1:21" x14ac:dyDescent="0.25">
      <c r="B3272">
        <v>248</v>
      </c>
      <c r="C3272" t="s">
        <v>3851</v>
      </c>
      <c r="D3272">
        <v>7.65</v>
      </c>
      <c r="E3272" s="18">
        <v>765</v>
      </c>
      <c r="F3272" t="s">
        <v>889</v>
      </c>
      <c r="G3272" t="s">
        <v>3838</v>
      </c>
      <c r="I3272"/>
      <c r="J3272"/>
      <c r="L3272"/>
      <c r="M3272"/>
      <c r="O3272"/>
      <c r="P3272" s="20"/>
      <c r="Q3272" s="20"/>
      <c r="R3272" s="20"/>
      <c r="S3272" s="20"/>
      <c r="T3272" s="20"/>
      <c r="U3272" t="s">
        <v>401</v>
      </c>
    </row>
    <row r="3273" spans="1:21" x14ac:dyDescent="0.25">
      <c r="B3273">
        <v>248</v>
      </c>
      <c r="C3273" t="s">
        <v>3835</v>
      </c>
      <c r="D3273">
        <v>7.65</v>
      </c>
      <c r="E3273" s="18">
        <v>-765</v>
      </c>
      <c r="F3273" t="s">
        <v>889</v>
      </c>
      <c r="G3273" t="s">
        <v>3836</v>
      </c>
      <c r="I3273"/>
      <c r="J3273"/>
      <c r="L3273"/>
      <c r="M3273"/>
      <c r="O3273"/>
      <c r="P3273" s="20"/>
      <c r="Q3273" s="20"/>
      <c r="R3273" s="20"/>
      <c r="S3273" s="20"/>
      <c r="T3273" s="20"/>
      <c r="U3273" t="s">
        <v>401</v>
      </c>
    </row>
    <row r="3274" spans="1:21" x14ac:dyDescent="0.25">
      <c r="B3274">
        <v>248</v>
      </c>
      <c r="C3274" t="s">
        <v>3821</v>
      </c>
      <c r="D3274">
        <v>6.12</v>
      </c>
      <c r="E3274" s="18">
        <v>612</v>
      </c>
      <c r="F3274" t="s">
        <v>889</v>
      </c>
      <c r="G3274" t="s">
        <v>3822</v>
      </c>
      <c r="I3274"/>
      <c r="J3274"/>
      <c r="L3274"/>
      <c r="M3274"/>
      <c r="O3274"/>
      <c r="P3274" s="20"/>
      <c r="Q3274" s="20"/>
      <c r="R3274" s="20"/>
      <c r="S3274" s="20"/>
      <c r="T3274" s="20"/>
      <c r="U3274" t="s">
        <v>401</v>
      </c>
    </row>
    <row r="3275" spans="1:21" x14ac:dyDescent="0.25">
      <c r="B3275">
        <v>248</v>
      </c>
      <c r="C3275" t="s">
        <v>3827</v>
      </c>
      <c r="D3275">
        <v>5.0999999999999996</v>
      </c>
      <c r="E3275" s="18">
        <v>-509.99999999999994</v>
      </c>
      <c r="F3275" t="s">
        <v>889</v>
      </c>
      <c r="G3275" t="s">
        <v>3828</v>
      </c>
      <c r="I3275"/>
      <c r="J3275"/>
      <c r="L3275"/>
      <c r="M3275"/>
      <c r="O3275"/>
      <c r="P3275" s="20"/>
      <c r="Q3275" s="20"/>
      <c r="R3275" s="20"/>
      <c r="S3275" s="20"/>
      <c r="T3275" s="20"/>
      <c r="U3275" t="s">
        <v>401</v>
      </c>
    </row>
    <row r="3276" spans="1:21" x14ac:dyDescent="0.25">
      <c r="A3276" s="3">
        <v>41845</v>
      </c>
      <c r="B3276" s="36">
        <v>249</v>
      </c>
      <c r="C3276" t="s">
        <v>3852</v>
      </c>
      <c r="D3276">
        <v>8.16</v>
      </c>
      <c r="E3276" s="18">
        <v>816</v>
      </c>
      <c r="G3276" t="s">
        <v>3853</v>
      </c>
      <c r="H3276" s="18">
        <v>816</v>
      </c>
      <c r="I3276" s="3">
        <v>41845</v>
      </c>
      <c r="J3276"/>
      <c r="L3276"/>
      <c r="M3276"/>
      <c r="N3276" s="20"/>
      <c r="O3276"/>
      <c r="P3276" s="20"/>
      <c r="Q3276" s="20"/>
      <c r="R3276" s="20"/>
      <c r="S3276" s="20"/>
      <c r="T3276" s="20"/>
    </row>
    <row r="3277" spans="1:21" x14ac:dyDescent="0.25">
      <c r="A3277" s="3">
        <v>41964</v>
      </c>
      <c r="B3277" s="36">
        <v>249</v>
      </c>
      <c r="C3277" t="s">
        <v>3852</v>
      </c>
      <c r="D3277">
        <v>13.515000000000001</v>
      </c>
      <c r="E3277" s="18">
        <v>-816</v>
      </c>
      <c r="F3277" t="s">
        <v>889</v>
      </c>
      <c r="G3277" t="s">
        <v>3853</v>
      </c>
      <c r="H3277" s="18" t="s">
        <v>442</v>
      </c>
      <c r="I3277" s="3" t="s">
        <v>442</v>
      </c>
      <c r="J3277"/>
      <c r="L3277"/>
      <c r="M3277"/>
      <c r="N3277" s="20"/>
      <c r="O3277"/>
      <c r="P3277" s="20"/>
      <c r="Q3277" s="20"/>
      <c r="R3277" s="20"/>
      <c r="S3277" s="20"/>
      <c r="T3277" s="20"/>
    </row>
    <row r="3278" spans="1:21" x14ac:dyDescent="0.25">
      <c r="A3278" s="3">
        <v>41835</v>
      </c>
      <c r="B3278" s="36">
        <v>250</v>
      </c>
      <c r="C3278" t="s">
        <v>3854</v>
      </c>
      <c r="E3278" s="18">
        <v>100</v>
      </c>
      <c r="G3278" t="s">
        <v>442</v>
      </c>
      <c r="H3278" s="18" t="s">
        <v>442</v>
      </c>
      <c r="I3278" s="3" t="s">
        <v>442</v>
      </c>
      <c r="J3278"/>
      <c r="L3278"/>
      <c r="M3278"/>
      <c r="N3278" s="20"/>
      <c r="O3278"/>
      <c r="P3278" s="20"/>
      <c r="Q3278" s="20"/>
      <c r="R3278" s="20"/>
      <c r="S3278" s="20"/>
      <c r="T3278" s="20" t="s">
        <v>401</v>
      </c>
    </row>
    <row r="3279" spans="1:21" x14ac:dyDescent="0.25">
      <c r="A3279" s="3">
        <v>41838</v>
      </c>
      <c r="B3279" s="36">
        <v>250</v>
      </c>
      <c r="C3279" t="s">
        <v>3855</v>
      </c>
      <c r="E3279" s="18">
        <v>100</v>
      </c>
      <c r="G3279" t="s">
        <v>442</v>
      </c>
      <c r="H3279" s="18" t="s">
        <v>442</v>
      </c>
      <c r="I3279" s="3" t="s">
        <v>442</v>
      </c>
      <c r="J3279"/>
      <c r="L3279"/>
      <c r="M3279"/>
      <c r="N3279" s="20"/>
      <c r="O3279"/>
      <c r="P3279" s="20"/>
      <c r="Q3279" s="20"/>
      <c r="R3279" s="20"/>
      <c r="S3279" s="20"/>
      <c r="T3279" s="20" t="s">
        <v>401</v>
      </c>
    </row>
    <row r="3280" spans="1:21" x14ac:dyDescent="0.25">
      <c r="A3280" s="3">
        <v>41851</v>
      </c>
      <c r="B3280" s="36">
        <v>250</v>
      </c>
      <c r="C3280" t="s">
        <v>3856</v>
      </c>
      <c r="D3280">
        <v>10.455</v>
      </c>
      <c r="E3280" s="18">
        <v>1045.5</v>
      </c>
      <c r="F3280" t="s">
        <v>889</v>
      </c>
      <c r="G3280" t="s">
        <v>3857</v>
      </c>
      <c r="H3280" s="18">
        <v>1045.5</v>
      </c>
      <c r="I3280" s="3">
        <v>41851</v>
      </c>
      <c r="J3280"/>
      <c r="L3280"/>
      <c r="M3280"/>
      <c r="N3280" s="20"/>
      <c r="O3280" t="s">
        <v>931</v>
      </c>
      <c r="P3280" s="20"/>
      <c r="Q3280" s="20"/>
      <c r="R3280" s="20"/>
      <c r="S3280" s="20"/>
      <c r="T3280" s="20"/>
    </row>
    <row r="3281" spans="1:21" x14ac:dyDescent="0.25">
      <c r="A3281" s="3">
        <v>41873</v>
      </c>
      <c r="B3281" s="36">
        <v>250</v>
      </c>
      <c r="C3281" t="s">
        <v>3858</v>
      </c>
      <c r="D3281">
        <v>6.25</v>
      </c>
      <c r="E3281" s="18">
        <v>625</v>
      </c>
      <c r="F3281" t="s">
        <v>889</v>
      </c>
      <c r="G3281" t="s">
        <v>3859</v>
      </c>
      <c r="H3281" s="18">
        <v>625</v>
      </c>
      <c r="I3281" s="3">
        <v>41873</v>
      </c>
      <c r="J3281"/>
      <c r="L3281"/>
      <c r="M3281"/>
      <c r="N3281" s="20"/>
      <c r="O3281"/>
      <c r="P3281" s="20"/>
      <c r="Q3281" s="20"/>
      <c r="R3281" s="20"/>
      <c r="S3281" s="20"/>
      <c r="T3281" s="20"/>
    </row>
    <row r="3282" spans="1:21" x14ac:dyDescent="0.25">
      <c r="A3282" s="3">
        <v>41886</v>
      </c>
      <c r="B3282" s="36">
        <v>250</v>
      </c>
      <c r="C3282" t="s">
        <v>3860</v>
      </c>
      <c r="D3282">
        <v>4.335</v>
      </c>
      <c r="E3282" s="18">
        <v>433.5</v>
      </c>
      <c r="F3282" t="s">
        <v>889</v>
      </c>
      <c r="G3282" t="s">
        <v>3861</v>
      </c>
      <c r="H3282" s="18">
        <v>433.5</v>
      </c>
      <c r="I3282" s="3">
        <v>41886</v>
      </c>
      <c r="J3282"/>
      <c r="L3282"/>
      <c r="M3282"/>
      <c r="N3282" s="20"/>
      <c r="O3282"/>
      <c r="P3282" s="20"/>
      <c r="Q3282" s="20"/>
      <c r="R3282" s="20"/>
      <c r="S3282" s="20"/>
      <c r="T3282" s="20"/>
    </row>
    <row r="3283" spans="1:21" x14ac:dyDescent="0.25">
      <c r="A3283" s="3">
        <v>41929</v>
      </c>
      <c r="B3283" s="36">
        <v>250</v>
      </c>
      <c r="C3283" t="s">
        <v>3862</v>
      </c>
      <c r="D3283">
        <v>9</v>
      </c>
      <c r="E3283" s="18">
        <v>867</v>
      </c>
      <c r="F3283" t="s">
        <v>889</v>
      </c>
      <c r="G3283" t="s">
        <v>3863</v>
      </c>
      <c r="H3283" s="18">
        <v>867</v>
      </c>
      <c r="I3283" s="3">
        <v>41929</v>
      </c>
      <c r="J3283"/>
      <c r="L3283"/>
      <c r="M3283"/>
      <c r="N3283" s="20"/>
      <c r="O3283"/>
      <c r="P3283" s="20"/>
      <c r="Q3283" s="20"/>
      <c r="R3283" s="20"/>
      <c r="S3283" s="20"/>
      <c r="T3283" s="20"/>
    </row>
    <row r="3284" spans="1:21" x14ac:dyDescent="0.25">
      <c r="A3284" s="3">
        <v>41929</v>
      </c>
      <c r="B3284" s="36">
        <v>250</v>
      </c>
      <c r="C3284" t="s">
        <v>3860</v>
      </c>
      <c r="D3284">
        <v>4.335</v>
      </c>
      <c r="E3284" s="18">
        <v>-433.5</v>
      </c>
      <c r="F3284" t="s">
        <v>889</v>
      </c>
      <c r="G3284" t="s">
        <v>3861</v>
      </c>
      <c r="H3284" s="18" t="s">
        <v>442</v>
      </c>
      <c r="I3284" s="3" t="s">
        <v>442</v>
      </c>
      <c r="J3284"/>
      <c r="L3284"/>
      <c r="M3284"/>
      <c r="N3284" s="20"/>
      <c r="O3284"/>
      <c r="P3284" s="20"/>
      <c r="Q3284" s="20"/>
      <c r="R3284" s="20"/>
      <c r="S3284" s="20"/>
      <c r="T3284" s="20"/>
    </row>
    <row r="3285" spans="1:21" x14ac:dyDescent="0.25">
      <c r="A3285" s="3">
        <v>41950</v>
      </c>
      <c r="B3285" s="36">
        <v>250</v>
      </c>
      <c r="C3285" t="s">
        <v>3864</v>
      </c>
      <c r="D3285">
        <v>6.375</v>
      </c>
      <c r="E3285" s="18">
        <v>637.5</v>
      </c>
      <c r="F3285" t="s">
        <v>889</v>
      </c>
      <c r="G3285" t="s">
        <v>3865</v>
      </c>
      <c r="H3285" s="18">
        <v>637.5</v>
      </c>
      <c r="I3285" s="3">
        <v>41950</v>
      </c>
      <c r="J3285"/>
      <c r="L3285"/>
      <c r="M3285"/>
      <c r="N3285" s="20"/>
      <c r="O3285"/>
      <c r="P3285" s="20"/>
      <c r="Q3285" s="20"/>
      <c r="R3285" s="20"/>
      <c r="S3285" s="20"/>
      <c r="T3285" s="20"/>
    </row>
    <row r="3286" spans="1:21" x14ac:dyDescent="0.25">
      <c r="A3286" s="3">
        <v>41968</v>
      </c>
      <c r="B3286" s="36">
        <v>250</v>
      </c>
      <c r="C3286" t="s">
        <v>3858</v>
      </c>
      <c r="D3286">
        <v>6.25</v>
      </c>
      <c r="E3286" s="18">
        <v>-625</v>
      </c>
      <c r="F3286" t="s">
        <v>889</v>
      </c>
      <c r="G3286" t="s">
        <v>3859</v>
      </c>
      <c r="H3286" s="18" t="s">
        <v>442</v>
      </c>
      <c r="I3286" s="3" t="s">
        <v>442</v>
      </c>
      <c r="J3286"/>
      <c r="L3286"/>
      <c r="M3286"/>
      <c r="N3286" s="20"/>
      <c r="O3286"/>
      <c r="P3286" s="20"/>
      <c r="Q3286" s="20"/>
      <c r="R3286" s="20"/>
      <c r="S3286" s="20"/>
      <c r="T3286" s="20"/>
    </row>
    <row r="3287" spans="1:21" x14ac:dyDescent="0.25">
      <c r="A3287" s="3">
        <v>41968</v>
      </c>
      <c r="B3287" s="36">
        <v>250</v>
      </c>
      <c r="C3287" t="s">
        <v>3866</v>
      </c>
      <c r="D3287">
        <v>8.16</v>
      </c>
      <c r="E3287" s="18">
        <v>816</v>
      </c>
      <c r="F3287" t="s">
        <v>889</v>
      </c>
      <c r="G3287" t="s">
        <v>3867</v>
      </c>
      <c r="H3287" s="18">
        <v>816</v>
      </c>
      <c r="I3287" s="3">
        <v>41968</v>
      </c>
      <c r="J3287"/>
      <c r="L3287"/>
      <c r="M3287"/>
      <c r="N3287" s="20"/>
      <c r="O3287"/>
      <c r="P3287" s="20"/>
      <c r="Q3287" s="20"/>
      <c r="R3287" s="20"/>
      <c r="S3287" s="20"/>
      <c r="T3287" s="20"/>
    </row>
    <row r="3288" spans="1:21" x14ac:dyDescent="0.25">
      <c r="A3288" s="3">
        <v>41968</v>
      </c>
      <c r="B3288" s="36">
        <v>250</v>
      </c>
      <c r="C3288" t="s">
        <v>963</v>
      </c>
      <c r="E3288" s="18">
        <v>28.05</v>
      </c>
      <c r="F3288" t="s">
        <v>889</v>
      </c>
      <c r="G3288" t="s">
        <v>442</v>
      </c>
      <c r="H3288" s="18" t="s">
        <v>442</v>
      </c>
      <c r="I3288" s="3" t="s">
        <v>442</v>
      </c>
      <c r="J3288"/>
      <c r="L3288"/>
      <c r="M3288"/>
      <c r="N3288" s="40" t="s">
        <v>401</v>
      </c>
      <c r="O3288"/>
      <c r="P3288" s="20"/>
      <c r="Q3288" s="20"/>
      <c r="R3288" s="20"/>
      <c r="S3288" s="20"/>
      <c r="T3288" s="20"/>
    </row>
    <row r="3289" spans="1:21" x14ac:dyDescent="0.25">
      <c r="A3289" s="3">
        <v>41978</v>
      </c>
      <c r="B3289" s="36">
        <v>250</v>
      </c>
      <c r="C3289" t="s">
        <v>3868</v>
      </c>
      <c r="D3289">
        <v>3.8250000000000002</v>
      </c>
      <c r="E3289" s="18">
        <v>382.5</v>
      </c>
      <c r="F3289" t="s">
        <v>889</v>
      </c>
      <c r="G3289" t="s">
        <v>3869</v>
      </c>
      <c r="H3289" s="18">
        <v>382.5</v>
      </c>
      <c r="I3289" s="3">
        <v>41978</v>
      </c>
      <c r="J3289"/>
      <c r="L3289"/>
      <c r="M3289"/>
      <c r="N3289" s="20"/>
      <c r="O3289"/>
      <c r="P3289" s="20"/>
      <c r="Q3289" s="20"/>
      <c r="R3289" s="20"/>
      <c r="S3289" s="20"/>
      <c r="T3289" s="20"/>
    </row>
    <row r="3290" spans="1:21" x14ac:dyDescent="0.25">
      <c r="A3290" s="3">
        <v>42004</v>
      </c>
      <c r="B3290" s="36">
        <v>250</v>
      </c>
      <c r="C3290" t="s">
        <v>3864</v>
      </c>
      <c r="D3290">
        <v>6.375</v>
      </c>
      <c r="E3290" s="18">
        <v>212.5</v>
      </c>
      <c r="F3290" t="s">
        <v>889</v>
      </c>
      <c r="G3290" t="s">
        <v>3865</v>
      </c>
      <c r="H3290" s="18">
        <v>212.5</v>
      </c>
      <c r="I3290" s="3">
        <v>42004</v>
      </c>
      <c r="J3290"/>
      <c r="L3290"/>
      <c r="M3290"/>
      <c r="N3290" s="20"/>
      <c r="O3290"/>
      <c r="P3290" s="20"/>
      <c r="Q3290" s="20"/>
      <c r="R3290" s="20"/>
      <c r="S3290" s="20"/>
      <c r="T3290" s="20"/>
    </row>
    <row r="3291" spans="1:21" x14ac:dyDescent="0.25">
      <c r="A3291" s="3">
        <v>42004</v>
      </c>
      <c r="B3291" s="36">
        <v>250</v>
      </c>
      <c r="C3291" t="s">
        <v>3870</v>
      </c>
      <c r="E3291" s="18">
        <v>-50</v>
      </c>
      <c r="G3291" t="s">
        <v>442</v>
      </c>
      <c r="H3291" s="18" t="s">
        <v>442</v>
      </c>
      <c r="I3291" s="3" t="s">
        <v>442</v>
      </c>
      <c r="J3291"/>
      <c r="L3291"/>
      <c r="M3291"/>
      <c r="N3291" s="20"/>
      <c r="O3291"/>
      <c r="P3291" s="20"/>
      <c r="Q3291" s="20"/>
      <c r="R3291" s="20" t="s">
        <v>401</v>
      </c>
      <c r="S3291" s="20"/>
      <c r="T3291" s="20"/>
    </row>
    <row r="3292" spans="1:21" x14ac:dyDescent="0.25">
      <c r="A3292" s="3">
        <v>42004</v>
      </c>
      <c r="B3292" s="36">
        <v>250</v>
      </c>
      <c r="C3292" t="s">
        <v>3862</v>
      </c>
      <c r="D3292">
        <v>8.67</v>
      </c>
      <c r="E3292" s="18">
        <v>289</v>
      </c>
      <c r="F3292" t="s">
        <v>889</v>
      </c>
      <c r="G3292" t="s">
        <v>3863</v>
      </c>
      <c r="H3292" s="18">
        <v>289</v>
      </c>
      <c r="I3292" s="3">
        <v>42004</v>
      </c>
      <c r="J3292"/>
      <c r="L3292"/>
      <c r="M3292"/>
      <c r="N3292" s="20"/>
      <c r="O3292"/>
      <c r="P3292" s="20"/>
      <c r="Q3292" s="20"/>
      <c r="R3292" s="20"/>
      <c r="S3292" s="20"/>
      <c r="T3292" s="20"/>
    </row>
    <row r="3293" spans="1:21" x14ac:dyDescent="0.25">
      <c r="B3293">
        <v>250</v>
      </c>
      <c r="C3293" t="s">
        <v>3864</v>
      </c>
      <c r="E3293" s="18">
        <v>212.5</v>
      </c>
      <c r="F3293" t="s">
        <v>889</v>
      </c>
      <c r="G3293" t="s">
        <v>3865</v>
      </c>
      <c r="I3293"/>
      <c r="J3293"/>
      <c r="L3293"/>
      <c r="M3293"/>
      <c r="O3293"/>
      <c r="P3293" s="20"/>
      <c r="Q3293" s="20"/>
      <c r="R3293" s="20"/>
      <c r="S3293" s="20"/>
      <c r="T3293" s="20"/>
      <c r="U3293" t="s">
        <v>401</v>
      </c>
    </row>
    <row r="3294" spans="1:21" x14ac:dyDescent="0.25">
      <c r="B3294">
        <v>250</v>
      </c>
      <c r="C3294" t="s">
        <v>3854</v>
      </c>
      <c r="E3294" s="18">
        <v>-100</v>
      </c>
      <c r="G3294" t="s">
        <v>442</v>
      </c>
      <c r="I3294"/>
      <c r="J3294"/>
      <c r="L3294"/>
      <c r="M3294"/>
      <c r="O3294"/>
      <c r="P3294" s="20"/>
      <c r="Q3294" s="20"/>
      <c r="R3294" s="20"/>
      <c r="S3294" s="20"/>
      <c r="T3294" s="20"/>
      <c r="U3294" t="s">
        <v>401</v>
      </c>
    </row>
    <row r="3295" spans="1:21" x14ac:dyDescent="0.25">
      <c r="B3295">
        <v>250</v>
      </c>
      <c r="C3295" t="s">
        <v>3855</v>
      </c>
      <c r="E3295" s="18">
        <v>-100</v>
      </c>
      <c r="G3295" t="s">
        <v>442</v>
      </c>
      <c r="I3295"/>
      <c r="J3295"/>
      <c r="L3295"/>
      <c r="M3295"/>
      <c r="O3295"/>
      <c r="P3295" s="20"/>
      <c r="Q3295" s="20"/>
      <c r="R3295" s="20"/>
      <c r="S3295" s="20"/>
      <c r="T3295" s="20"/>
      <c r="U3295" t="s">
        <v>401</v>
      </c>
    </row>
    <row r="3296" spans="1:21" x14ac:dyDescent="0.25">
      <c r="B3296">
        <v>250</v>
      </c>
      <c r="C3296" t="s">
        <v>3856</v>
      </c>
      <c r="D3296">
        <v>10.66</v>
      </c>
      <c r="E3296" s="18">
        <v>-1045.5</v>
      </c>
      <c r="F3296" t="s">
        <v>889</v>
      </c>
      <c r="G3296" t="s">
        <v>3857</v>
      </c>
      <c r="I3296"/>
      <c r="J3296"/>
      <c r="L3296"/>
      <c r="M3296"/>
      <c r="O3296"/>
      <c r="P3296" s="20"/>
      <c r="Q3296" s="20"/>
      <c r="R3296" s="20"/>
      <c r="S3296" s="20"/>
      <c r="T3296" s="20"/>
      <c r="U3296" t="s">
        <v>401</v>
      </c>
    </row>
    <row r="3297" spans="1:21" x14ac:dyDescent="0.25">
      <c r="B3297">
        <v>250</v>
      </c>
      <c r="C3297" t="s">
        <v>3862</v>
      </c>
      <c r="E3297" s="18">
        <v>289</v>
      </c>
      <c r="F3297" t="s">
        <v>889</v>
      </c>
      <c r="G3297" t="s">
        <v>3863</v>
      </c>
      <c r="I3297"/>
      <c r="J3297"/>
      <c r="L3297"/>
      <c r="M3297"/>
      <c r="O3297"/>
      <c r="P3297" s="20"/>
      <c r="Q3297" s="20"/>
      <c r="R3297" s="20"/>
      <c r="S3297" s="20"/>
      <c r="T3297" s="20"/>
      <c r="U3297" t="s">
        <v>401</v>
      </c>
    </row>
    <row r="3298" spans="1:21" x14ac:dyDescent="0.25">
      <c r="A3298" s="3">
        <v>42041</v>
      </c>
      <c r="B3298">
        <v>251</v>
      </c>
      <c r="C3298" t="s">
        <v>3871</v>
      </c>
      <c r="E3298" s="18">
        <v>178.5</v>
      </c>
      <c r="F3298" t="s">
        <v>889</v>
      </c>
      <c r="G3298" t="s">
        <v>3872</v>
      </c>
      <c r="I3298"/>
      <c r="J3298"/>
      <c r="L3298"/>
      <c r="M3298"/>
      <c r="O3298"/>
      <c r="P3298" s="20"/>
      <c r="Q3298" s="20"/>
      <c r="R3298" s="20"/>
      <c r="S3298" s="20"/>
      <c r="T3298" s="20"/>
    </row>
    <row r="3299" spans="1:21" x14ac:dyDescent="0.25">
      <c r="A3299" s="3">
        <v>42041</v>
      </c>
      <c r="B3299">
        <v>251</v>
      </c>
      <c r="C3299" t="s">
        <v>3873</v>
      </c>
      <c r="E3299" s="18">
        <v>181.66666666666666</v>
      </c>
      <c r="F3299" t="s">
        <v>889</v>
      </c>
      <c r="G3299" t="s">
        <v>3874</v>
      </c>
      <c r="I3299"/>
      <c r="J3299"/>
      <c r="L3299"/>
      <c r="M3299"/>
      <c r="O3299"/>
      <c r="P3299" s="20"/>
      <c r="Q3299" s="20"/>
      <c r="R3299" s="20"/>
      <c r="S3299" s="20"/>
      <c r="T3299" s="20"/>
    </row>
    <row r="3300" spans="1:21" x14ac:dyDescent="0.25">
      <c r="A3300" s="3">
        <v>42041</v>
      </c>
      <c r="B3300">
        <v>251</v>
      </c>
      <c r="C3300" t="s">
        <v>3875</v>
      </c>
      <c r="D3300">
        <v>9.9450000000000003</v>
      </c>
      <c r="E3300" s="18">
        <v>989</v>
      </c>
      <c r="F3300" t="s">
        <v>889</v>
      </c>
      <c r="G3300" t="s">
        <v>3876</v>
      </c>
      <c r="I3300"/>
      <c r="J3300"/>
      <c r="L3300"/>
      <c r="M3300"/>
      <c r="O3300"/>
      <c r="P3300" s="20"/>
      <c r="Q3300" s="20"/>
      <c r="R3300" s="20"/>
      <c r="S3300" s="20"/>
      <c r="T3300" s="20"/>
    </row>
    <row r="3301" spans="1:21" x14ac:dyDescent="0.25">
      <c r="A3301" s="3">
        <v>42041</v>
      </c>
      <c r="B3301">
        <v>251</v>
      </c>
      <c r="C3301" t="s">
        <v>3877</v>
      </c>
      <c r="D3301">
        <v>9.18</v>
      </c>
      <c r="E3301" s="18">
        <v>918</v>
      </c>
      <c r="F3301" t="s">
        <v>889</v>
      </c>
      <c r="G3301" t="s">
        <v>3878</v>
      </c>
      <c r="I3301"/>
      <c r="J3301"/>
      <c r="L3301"/>
      <c r="M3301"/>
      <c r="O3301"/>
      <c r="P3301" s="20"/>
      <c r="Q3301" s="20"/>
      <c r="R3301" s="20"/>
      <c r="S3301" s="20"/>
      <c r="T3301" s="20"/>
    </row>
    <row r="3302" spans="1:21" x14ac:dyDescent="0.25">
      <c r="A3302" s="3">
        <v>42041</v>
      </c>
      <c r="B3302">
        <v>251</v>
      </c>
      <c r="C3302" t="s">
        <v>3879</v>
      </c>
      <c r="E3302" s="18">
        <v>191</v>
      </c>
      <c r="F3302" t="s">
        <v>889</v>
      </c>
      <c r="G3302" t="s">
        <v>3880</v>
      </c>
      <c r="I3302"/>
      <c r="J3302"/>
      <c r="L3302"/>
      <c r="M3302"/>
      <c r="O3302"/>
      <c r="P3302" s="20"/>
      <c r="Q3302" s="20"/>
      <c r="R3302" s="20"/>
      <c r="S3302" s="20"/>
      <c r="T3302" s="20"/>
    </row>
    <row r="3303" spans="1:21" x14ac:dyDescent="0.25">
      <c r="A3303" s="3">
        <v>42041</v>
      </c>
      <c r="B3303">
        <v>251</v>
      </c>
      <c r="C3303" t="s">
        <v>3881</v>
      </c>
      <c r="E3303" s="18">
        <v>130</v>
      </c>
      <c r="F3303" t="s">
        <v>889</v>
      </c>
      <c r="G3303" t="s">
        <v>3882</v>
      </c>
      <c r="I3303"/>
      <c r="J3303"/>
      <c r="L3303"/>
      <c r="M3303"/>
      <c r="O3303"/>
      <c r="P3303" s="20"/>
      <c r="Q3303" s="20"/>
      <c r="R3303" s="20"/>
      <c r="S3303" s="20"/>
      <c r="T3303" s="20"/>
    </row>
    <row r="3304" spans="1:21" x14ac:dyDescent="0.25">
      <c r="A3304" s="3">
        <v>42041</v>
      </c>
      <c r="B3304">
        <v>251</v>
      </c>
      <c r="C3304" t="s">
        <v>3883</v>
      </c>
      <c r="D3304">
        <v>6.12</v>
      </c>
      <c r="E3304" s="18">
        <v>612</v>
      </c>
      <c r="F3304" t="s">
        <v>889</v>
      </c>
      <c r="G3304" t="s">
        <v>3884</v>
      </c>
      <c r="I3304"/>
      <c r="J3304"/>
      <c r="L3304"/>
      <c r="M3304"/>
      <c r="O3304"/>
      <c r="P3304" s="20"/>
      <c r="Q3304" s="20"/>
      <c r="R3304" s="20"/>
      <c r="S3304" s="20"/>
      <c r="T3304" s="20"/>
    </row>
    <row r="3305" spans="1:21" x14ac:dyDescent="0.25">
      <c r="A3305" s="3">
        <v>42041</v>
      </c>
      <c r="B3305">
        <v>251</v>
      </c>
      <c r="C3305" t="s">
        <v>969</v>
      </c>
      <c r="E3305" s="18">
        <v>166.5</v>
      </c>
      <c r="F3305" t="s">
        <v>889</v>
      </c>
      <c r="I3305"/>
      <c r="J3305"/>
      <c r="L3305"/>
      <c r="M3305"/>
      <c r="N3305" s="40" t="s">
        <v>401</v>
      </c>
      <c r="O3305"/>
      <c r="P3305" s="20"/>
      <c r="Q3305" s="20"/>
      <c r="R3305" s="20"/>
      <c r="S3305" s="20"/>
      <c r="T3305" s="20"/>
    </row>
    <row r="3306" spans="1:21" x14ac:dyDescent="0.25">
      <c r="A3306" s="3">
        <v>42041</v>
      </c>
      <c r="B3306">
        <v>251</v>
      </c>
      <c r="C3306" t="s">
        <v>3885</v>
      </c>
      <c r="E3306" s="18">
        <v>84.999999999999986</v>
      </c>
      <c r="F3306" t="s">
        <v>889</v>
      </c>
      <c r="G3306" t="s">
        <v>3886</v>
      </c>
      <c r="I3306"/>
      <c r="J3306"/>
      <c r="L3306"/>
      <c r="M3306"/>
      <c r="O3306"/>
      <c r="P3306" s="20"/>
      <c r="Q3306" s="20"/>
      <c r="R3306" s="20"/>
      <c r="S3306" s="20"/>
      <c r="T3306" s="20"/>
    </row>
    <row r="3307" spans="1:21" x14ac:dyDescent="0.25">
      <c r="A3307" s="3">
        <v>42041</v>
      </c>
      <c r="B3307">
        <v>251</v>
      </c>
      <c r="C3307" t="s">
        <v>3887</v>
      </c>
      <c r="E3307" s="18">
        <v>169.99999999999997</v>
      </c>
      <c r="F3307" t="s">
        <v>889</v>
      </c>
      <c r="G3307" t="s">
        <v>3888</v>
      </c>
      <c r="I3307"/>
      <c r="J3307"/>
      <c r="L3307"/>
      <c r="M3307"/>
      <c r="O3307"/>
      <c r="P3307" s="20"/>
      <c r="Q3307" s="20"/>
      <c r="R3307" s="20"/>
      <c r="S3307" s="20"/>
      <c r="T3307" s="20"/>
    </row>
    <row r="3308" spans="1:21" x14ac:dyDescent="0.25">
      <c r="A3308" s="3">
        <v>42041</v>
      </c>
      <c r="B3308">
        <v>251</v>
      </c>
      <c r="C3308" t="s">
        <v>3889</v>
      </c>
      <c r="D3308">
        <v>3.3149999999999999</v>
      </c>
      <c r="E3308" s="18">
        <v>331.5</v>
      </c>
      <c r="F3308" t="s">
        <v>889</v>
      </c>
      <c r="G3308" t="s">
        <v>3890</v>
      </c>
      <c r="I3308"/>
      <c r="J3308"/>
      <c r="L3308"/>
      <c r="M3308"/>
      <c r="O3308"/>
      <c r="P3308" s="20"/>
      <c r="Q3308" s="20"/>
      <c r="R3308" s="20"/>
      <c r="S3308" s="20"/>
      <c r="T3308" s="20"/>
    </row>
    <row r="3309" spans="1:21" x14ac:dyDescent="0.25">
      <c r="A3309" s="3">
        <v>42041</v>
      </c>
      <c r="B3309">
        <v>251</v>
      </c>
      <c r="C3309" t="s">
        <v>3891</v>
      </c>
      <c r="E3309" s="18">
        <v>153</v>
      </c>
      <c r="F3309" t="s">
        <v>889</v>
      </c>
      <c r="G3309" t="s">
        <v>3892</v>
      </c>
      <c r="I3309"/>
      <c r="J3309"/>
      <c r="L3309"/>
      <c r="M3309"/>
      <c r="O3309"/>
      <c r="P3309" s="20"/>
      <c r="Q3309" s="20"/>
      <c r="R3309" s="20"/>
      <c r="S3309" s="20"/>
      <c r="T3309" s="20"/>
    </row>
    <row r="3310" spans="1:21" x14ac:dyDescent="0.25">
      <c r="A3310" s="3">
        <v>42041</v>
      </c>
      <c r="B3310">
        <v>251</v>
      </c>
      <c r="C3310" t="s">
        <v>3893</v>
      </c>
      <c r="D3310">
        <v>4.335</v>
      </c>
      <c r="E3310" s="18">
        <v>433.5</v>
      </c>
      <c r="F3310" t="s">
        <v>889</v>
      </c>
      <c r="G3310" t="s">
        <v>3894</v>
      </c>
      <c r="I3310"/>
      <c r="J3310"/>
      <c r="L3310"/>
      <c r="M3310"/>
      <c r="O3310"/>
      <c r="P3310" s="20"/>
      <c r="Q3310" s="20"/>
      <c r="R3310" s="20"/>
      <c r="S3310" s="20"/>
      <c r="T3310" s="20"/>
    </row>
    <row r="3311" spans="1:21" x14ac:dyDescent="0.25">
      <c r="A3311" s="3">
        <v>42041</v>
      </c>
      <c r="B3311">
        <v>251</v>
      </c>
      <c r="C3311" t="s">
        <v>3895</v>
      </c>
      <c r="D3311">
        <v>7.65</v>
      </c>
      <c r="E3311" s="18">
        <v>730</v>
      </c>
      <c r="F3311" t="s">
        <v>889</v>
      </c>
      <c r="G3311" t="s">
        <v>3896</v>
      </c>
      <c r="I3311"/>
      <c r="J3311"/>
      <c r="L3311"/>
      <c r="M3311"/>
      <c r="O3311"/>
      <c r="P3311" s="20"/>
      <c r="Q3311" s="20"/>
      <c r="R3311" s="20"/>
      <c r="S3311" s="20"/>
      <c r="T3311" s="20"/>
    </row>
    <row r="3312" spans="1:21" x14ac:dyDescent="0.25">
      <c r="A3312" s="3">
        <v>42041</v>
      </c>
      <c r="B3312">
        <v>251</v>
      </c>
      <c r="C3312" t="s">
        <v>3897</v>
      </c>
      <c r="E3312" s="18">
        <v>331.5</v>
      </c>
      <c r="F3312" t="s">
        <v>889</v>
      </c>
      <c r="G3312" t="s">
        <v>3898</v>
      </c>
      <c r="I3312"/>
      <c r="J3312"/>
      <c r="L3312"/>
      <c r="M3312"/>
      <c r="O3312"/>
      <c r="P3312" s="20"/>
      <c r="Q3312" s="20"/>
      <c r="R3312" s="20"/>
      <c r="S3312" s="20"/>
      <c r="T3312" s="20"/>
    </row>
    <row r="3313" spans="1:20" x14ac:dyDescent="0.25">
      <c r="A3313" s="3">
        <v>42041</v>
      </c>
      <c r="B3313">
        <v>251</v>
      </c>
      <c r="C3313" t="s">
        <v>3899</v>
      </c>
      <c r="E3313" s="18">
        <v>130.66666666666666</v>
      </c>
      <c r="F3313" t="s">
        <v>889</v>
      </c>
      <c r="G3313" t="s">
        <v>3900</v>
      </c>
      <c r="I3313"/>
      <c r="J3313"/>
      <c r="L3313"/>
      <c r="M3313"/>
      <c r="O3313"/>
      <c r="P3313" s="20"/>
      <c r="Q3313" s="20"/>
      <c r="R3313" s="20"/>
      <c r="S3313" s="20"/>
      <c r="T3313" s="20"/>
    </row>
    <row r="3314" spans="1:20" x14ac:dyDescent="0.25">
      <c r="A3314" s="3">
        <v>42041</v>
      </c>
      <c r="B3314">
        <v>251</v>
      </c>
      <c r="C3314" t="s">
        <v>3901</v>
      </c>
      <c r="E3314" s="18">
        <v>209</v>
      </c>
      <c r="F3314" t="s">
        <v>889</v>
      </c>
      <c r="G3314" t="s">
        <v>3902</v>
      </c>
      <c r="I3314"/>
      <c r="J3314"/>
      <c r="L3314"/>
      <c r="M3314"/>
      <c r="O3314"/>
      <c r="P3314" s="20"/>
      <c r="Q3314" s="20"/>
      <c r="R3314" s="20"/>
      <c r="S3314" s="20"/>
      <c r="T3314" s="20"/>
    </row>
    <row r="3315" spans="1:20" x14ac:dyDescent="0.25">
      <c r="A3315" s="3">
        <v>42041</v>
      </c>
      <c r="B3315">
        <v>251</v>
      </c>
      <c r="C3315" t="s">
        <v>3903</v>
      </c>
      <c r="E3315" s="18">
        <v>269.33333333333326</v>
      </c>
      <c r="F3315" t="s">
        <v>889</v>
      </c>
      <c r="G3315" t="s">
        <v>3904</v>
      </c>
      <c r="I3315"/>
      <c r="J3315"/>
      <c r="L3315"/>
      <c r="M3315"/>
      <c r="O3315"/>
      <c r="P3315" s="20"/>
      <c r="Q3315" s="20"/>
      <c r="R3315" s="20"/>
      <c r="S3315" s="20"/>
      <c r="T3315" s="20"/>
    </row>
    <row r="3316" spans="1:20" x14ac:dyDescent="0.25">
      <c r="A3316" s="3">
        <v>42041</v>
      </c>
      <c r="B3316">
        <v>251</v>
      </c>
      <c r="C3316" t="s">
        <v>3905</v>
      </c>
      <c r="E3316" s="18">
        <v>297.50000000000006</v>
      </c>
      <c r="F3316" t="s">
        <v>889</v>
      </c>
      <c r="G3316" t="s">
        <v>3906</v>
      </c>
      <c r="I3316"/>
      <c r="J3316"/>
      <c r="L3316"/>
      <c r="M3316"/>
      <c r="O3316"/>
      <c r="P3316" s="20"/>
      <c r="Q3316" s="20"/>
      <c r="R3316" s="20"/>
      <c r="S3316" s="20"/>
      <c r="T3316" s="20"/>
    </row>
    <row r="3317" spans="1:20" x14ac:dyDescent="0.25">
      <c r="A3317" s="3">
        <v>42041</v>
      </c>
      <c r="B3317">
        <v>251</v>
      </c>
      <c r="C3317" t="s">
        <v>3907</v>
      </c>
      <c r="D3317">
        <v>6.375</v>
      </c>
      <c r="E3317" s="18">
        <v>375</v>
      </c>
      <c r="F3317" t="s">
        <v>889</v>
      </c>
      <c r="G3317" t="s">
        <v>3908</v>
      </c>
      <c r="I3317"/>
      <c r="J3317"/>
      <c r="L3317"/>
      <c r="M3317"/>
      <c r="O3317"/>
      <c r="P3317" s="20"/>
      <c r="Q3317" s="20"/>
      <c r="R3317" s="20"/>
      <c r="S3317" s="20"/>
      <c r="T3317" s="20"/>
    </row>
    <row r="3318" spans="1:20" x14ac:dyDescent="0.25">
      <c r="A3318" s="3">
        <v>42041</v>
      </c>
      <c r="B3318">
        <v>251</v>
      </c>
      <c r="C3318" t="s">
        <v>3909</v>
      </c>
      <c r="D3318">
        <v>5.5</v>
      </c>
      <c r="E3318" s="18">
        <v>525</v>
      </c>
      <c r="F3318" t="s">
        <v>889</v>
      </c>
      <c r="G3318" t="s">
        <v>3910</v>
      </c>
      <c r="I3318"/>
      <c r="J3318"/>
      <c r="L3318"/>
      <c r="M3318"/>
      <c r="O3318"/>
      <c r="P3318" s="20"/>
      <c r="Q3318" s="20"/>
      <c r="R3318" s="20"/>
      <c r="S3318" s="20"/>
      <c r="T3318" s="20"/>
    </row>
    <row r="3319" spans="1:20" x14ac:dyDescent="0.25">
      <c r="A3319" s="3">
        <v>42041</v>
      </c>
      <c r="B3319">
        <v>251</v>
      </c>
      <c r="C3319" t="s">
        <v>3909</v>
      </c>
      <c r="E3319" s="18">
        <v>46.333333333333336</v>
      </c>
      <c r="F3319" t="s">
        <v>889</v>
      </c>
      <c r="G3319" t="s">
        <v>3911</v>
      </c>
      <c r="I3319"/>
      <c r="J3319"/>
      <c r="L3319"/>
      <c r="M3319"/>
      <c r="O3319"/>
      <c r="P3319" s="20"/>
      <c r="Q3319" s="20"/>
      <c r="R3319" s="20"/>
      <c r="S3319" s="20"/>
      <c r="T3319" s="20"/>
    </row>
    <row r="3320" spans="1:20" x14ac:dyDescent="0.25">
      <c r="A3320" s="3">
        <v>42041</v>
      </c>
      <c r="B3320">
        <v>251</v>
      </c>
      <c r="C3320" t="s">
        <v>3912</v>
      </c>
      <c r="D3320">
        <v>4.335</v>
      </c>
      <c r="E3320" s="18">
        <v>367</v>
      </c>
      <c r="F3320" t="s">
        <v>889</v>
      </c>
      <c r="G3320" t="s">
        <v>3913</v>
      </c>
      <c r="I3320"/>
      <c r="J3320"/>
      <c r="L3320"/>
      <c r="M3320"/>
      <c r="O3320"/>
      <c r="P3320" s="20"/>
      <c r="Q3320" s="20"/>
      <c r="R3320" s="20"/>
      <c r="S3320" s="20"/>
      <c r="T3320" s="20"/>
    </row>
    <row r="3321" spans="1:20" x14ac:dyDescent="0.25">
      <c r="A3321" s="3">
        <v>42041</v>
      </c>
      <c r="B3321">
        <v>251</v>
      </c>
      <c r="C3321" t="s">
        <v>3914</v>
      </c>
      <c r="E3321" s="18">
        <v>331.5</v>
      </c>
      <c r="F3321" t="s">
        <v>889</v>
      </c>
      <c r="G3321" t="s">
        <v>3915</v>
      </c>
      <c r="I3321"/>
      <c r="J3321"/>
      <c r="L3321"/>
      <c r="M3321"/>
      <c r="O3321"/>
      <c r="P3321" s="20"/>
      <c r="Q3321" s="20"/>
      <c r="R3321" s="20"/>
      <c r="S3321" s="20"/>
      <c r="T3321" s="20"/>
    </row>
    <row r="3322" spans="1:20" x14ac:dyDescent="0.25">
      <c r="A3322" s="3">
        <v>42041</v>
      </c>
      <c r="B3322">
        <v>251</v>
      </c>
      <c r="C3322" t="s">
        <v>3916</v>
      </c>
      <c r="E3322" s="18">
        <v>-2500</v>
      </c>
      <c r="F3322" t="s">
        <v>891</v>
      </c>
      <c r="I3322"/>
      <c r="J3322"/>
      <c r="L3322"/>
      <c r="M3322"/>
      <c r="O3322"/>
      <c r="P3322" s="20"/>
      <c r="Q3322" s="20" t="s">
        <v>401</v>
      </c>
      <c r="R3322" s="20"/>
      <c r="S3322" s="20"/>
      <c r="T3322" s="20"/>
    </row>
    <row r="3323" spans="1:20" x14ac:dyDescent="0.25">
      <c r="A3323" s="3">
        <v>42041</v>
      </c>
      <c r="B3323">
        <v>251</v>
      </c>
      <c r="C3323" t="s">
        <v>3917</v>
      </c>
      <c r="E3323" s="18">
        <v>-3420</v>
      </c>
      <c r="F3323" t="s">
        <v>891</v>
      </c>
      <c r="I3323"/>
      <c r="J3323"/>
      <c r="L3323"/>
      <c r="M3323"/>
      <c r="O3323"/>
      <c r="P3323" s="20"/>
      <c r="Q3323" s="20" t="s">
        <v>401</v>
      </c>
      <c r="R3323" s="20"/>
      <c r="S3323" s="20"/>
      <c r="T3323" s="20"/>
    </row>
    <row r="3324" spans="1:20" x14ac:dyDescent="0.25">
      <c r="A3324" s="3">
        <v>42041</v>
      </c>
      <c r="B3324">
        <v>251</v>
      </c>
      <c r="C3324" t="s">
        <v>3918</v>
      </c>
      <c r="D3324">
        <v>8.67</v>
      </c>
      <c r="E3324" s="18">
        <v>1484</v>
      </c>
      <c r="F3324" t="s">
        <v>889</v>
      </c>
      <c r="G3324" t="s">
        <v>3919</v>
      </c>
      <c r="I3324"/>
      <c r="J3324"/>
      <c r="L3324"/>
      <c r="M3324"/>
      <c r="O3324"/>
      <c r="P3324" s="20"/>
      <c r="Q3324" s="20"/>
      <c r="R3324" s="20"/>
      <c r="S3324" s="20"/>
      <c r="T3324" s="20"/>
    </row>
    <row r="3325" spans="1:20" x14ac:dyDescent="0.25">
      <c r="A3325" s="3">
        <v>42041</v>
      </c>
      <c r="B3325">
        <v>251</v>
      </c>
      <c r="C3325" t="s">
        <v>3920</v>
      </c>
      <c r="D3325">
        <v>7.65</v>
      </c>
      <c r="E3325" s="18">
        <v>555</v>
      </c>
      <c r="F3325" t="s">
        <v>889</v>
      </c>
      <c r="G3325" t="s">
        <v>3921</v>
      </c>
      <c r="I3325"/>
      <c r="J3325"/>
      <c r="L3325"/>
      <c r="M3325"/>
      <c r="O3325"/>
      <c r="P3325" s="20"/>
      <c r="Q3325" s="20"/>
      <c r="R3325" s="20"/>
      <c r="S3325" s="20"/>
      <c r="T3325" s="20"/>
    </row>
    <row r="3326" spans="1:20" x14ac:dyDescent="0.25">
      <c r="A3326" s="3">
        <v>42041</v>
      </c>
      <c r="B3326">
        <v>251</v>
      </c>
      <c r="C3326" t="s">
        <v>3922</v>
      </c>
      <c r="D3326">
        <v>3.57</v>
      </c>
      <c r="E3326" s="18">
        <v>239</v>
      </c>
      <c r="F3326" t="s">
        <v>889</v>
      </c>
      <c r="G3326" t="s">
        <v>3923</v>
      </c>
      <c r="I3326"/>
      <c r="J3326"/>
      <c r="L3326"/>
      <c r="M3326"/>
      <c r="O3326"/>
      <c r="P3326" s="20"/>
      <c r="Q3326" s="20"/>
      <c r="R3326" s="20"/>
      <c r="S3326" s="20"/>
      <c r="T3326" s="20"/>
    </row>
    <row r="3327" spans="1:20" x14ac:dyDescent="0.25">
      <c r="A3327" s="3">
        <v>42041</v>
      </c>
      <c r="B3327">
        <v>251</v>
      </c>
      <c r="C3327" t="s">
        <v>3924</v>
      </c>
      <c r="D3327">
        <v>2.8050000000000002</v>
      </c>
      <c r="E3327" s="18">
        <v>280.5</v>
      </c>
      <c r="F3327" t="s">
        <v>889</v>
      </c>
      <c r="G3327" t="s">
        <v>3925</v>
      </c>
      <c r="I3327"/>
      <c r="J3327"/>
      <c r="L3327"/>
      <c r="M3327"/>
      <c r="O3327"/>
      <c r="P3327" s="20"/>
      <c r="Q3327" s="20"/>
      <c r="R3327" s="20"/>
      <c r="S3327" s="20"/>
      <c r="T3327" s="20"/>
    </row>
    <row r="3328" spans="1:20" x14ac:dyDescent="0.25">
      <c r="A3328" s="3">
        <v>42041</v>
      </c>
      <c r="B3328">
        <v>251</v>
      </c>
      <c r="C3328" t="s">
        <v>3926</v>
      </c>
      <c r="E3328" s="18">
        <v>277.33333333333331</v>
      </c>
      <c r="F3328" t="s">
        <v>889</v>
      </c>
      <c r="G3328" t="s">
        <v>3927</v>
      </c>
      <c r="I3328"/>
      <c r="J3328"/>
      <c r="L3328"/>
      <c r="M3328"/>
      <c r="O3328"/>
      <c r="P3328" s="20"/>
      <c r="Q3328" s="20"/>
      <c r="R3328" s="20"/>
      <c r="S3328" s="20"/>
      <c r="T3328" s="20"/>
    </row>
    <row r="3329" spans="1:21" x14ac:dyDescent="0.25">
      <c r="A3329" s="3">
        <v>42041</v>
      </c>
      <c r="B3329">
        <v>251</v>
      </c>
      <c r="C3329" t="s">
        <v>3928</v>
      </c>
      <c r="E3329" s="18">
        <v>141.66666666666666</v>
      </c>
      <c r="F3329" t="s">
        <v>889</v>
      </c>
      <c r="G3329" t="s">
        <v>3929</v>
      </c>
      <c r="I3329"/>
      <c r="J3329"/>
      <c r="L3329"/>
      <c r="M3329"/>
      <c r="O3329"/>
      <c r="P3329" s="20"/>
      <c r="Q3329" s="20"/>
      <c r="R3329" s="20"/>
      <c r="S3329" s="20"/>
      <c r="T3329" s="20"/>
    </row>
    <row r="3330" spans="1:21" x14ac:dyDescent="0.25">
      <c r="A3330" s="3">
        <v>42041</v>
      </c>
      <c r="B3330">
        <v>251</v>
      </c>
      <c r="C3330" t="s">
        <v>3928</v>
      </c>
      <c r="E3330" s="18">
        <v>84.999999999999986</v>
      </c>
      <c r="F3330" t="s">
        <v>889</v>
      </c>
      <c r="G3330" t="s">
        <v>3930</v>
      </c>
      <c r="I3330"/>
      <c r="J3330"/>
      <c r="L3330"/>
      <c r="M3330"/>
      <c r="O3330"/>
      <c r="P3330" s="20"/>
      <c r="Q3330" s="20"/>
      <c r="R3330" s="20"/>
      <c r="S3330" s="20"/>
      <c r="T3330" s="20"/>
    </row>
    <row r="3331" spans="1:21" x14ac:dyDescent="0.25">
      <c r="A3331" s="3">
        <v>41873</v>
      </c>
      <c r="B3331" s="36">
        <v>254</v>
      </c>
      <c r="C3331" t="s">
        <v>3931</v>
      </c>
      <c r="D3331">
        <v>10.5</v>
      </c>
      <c r="E3331" s="18">
        <v>1050</v>
      </c>
      <c r="F3331" t="s">
        <v>889</v>
      </c>
      <c r="G3331" t="s">
        <v>3932</v>
      </c>
      <c r="H3331" s="18">
        <v>1050</v>
      </c>
      <c r="I3331" s="3">
        <v>41873</v>
      </c>
      <c r="J3331"/>
      <c r="L3331"/>
      <c r="M3331"/>
      <c r="N3331" s="20"/>
      <c r="O3331"/>
      <c r="P3331" s="20"/>
      <c r="Q3331" s="20"/>
      <c r="R3331" s="20"/>
      <c r="S3331" s="20"/>
      <c r="T3331" s="20"/>
    </row>
    <row r="3332" spans="1:21" x14ac:dyDescent="0.25">
      <c r="A3332" s="3">
        <v>41873</v>
      </c>
      <c r="B3332" s="36">
        <v>254</v>
      </c>
      <c r="C3332" t="s">
        <v>3933</v>
      </c>
      <c r="D3332">
        <v>6.25</v>
      </c>
      <c r="E3332" s="18">
        <v>625</v>
      </c>
      <c r="F3332" t="s">
        <v>889</v>
      </c>
      <c r="G3332" t="s">
        <v>3934</v>
      </c>
      <c r="H3332" s="18">
        <v>625</v>
      </c>
      <c r="I3332" s="3">
        <v>41873</v>
      </c>
      <c r="J3332"/>
      <c r="L3332"/>
      <c r="M3332"/>
      <c r="N3332" s="20"/>
      <c r="O3332"/>
      <c r="P3332" s="20"/>
      <c r="Q3332" s="20"/>
      <c r="R3332" s="20"/>
      <c r="S3332" s="20"/>
      <c r="T3332" s="20"/>
    </row>
    <row r="3333" spans="1:21" x14ac:dyDescent="0.25">
      <c r="A3333" s="3">
        <v>41873</v>
      </c>
      <c r="B3333" s="36">
        <v>254</v>
      </c>
      <c r="C3333" t="s">
        <v>3935</v>
      </c>
      <c r="D3333">
        <v>8.5</v>
      </c>
      <c r="E3333" s="18">
        <v>850</v>
      </c>
      <c r="F3333" t="s">
        <v>889</v>
      </c>
      <c r="G3333" t="s">
        <v>3936</v>
      </c>
      <c r="H3333" s="18">
        <v>850</v>
      </c>
      <c r="I3333" s="3">
        <v>41873</v>
      </c>
      <c r="J3333"/>
      <c r="L3333"/>
      <c r="M3333"/>
      <c r="N3333" s="20"/>
      <c r="O3333"/>
      <c r="P3333" s="20"/>
      <c r="Q3333" s="20"/>
      <c r="R3333" s="20"/>
      <c r="S3333" s="20"/>
      <c r="T3333" s="20"/>
    </row>
    <row r="3334" spans="1:21" x14ac:dyDescent="0.25">
      <c r="A3334" s="3">
        <v>41873</v>
      </c>
      <c r="B3334" s="36">
        <v>254</v>
      </c>
      <c r="C3334" t="s">
        <v>3937</v>
      </c>
      <c r="D3334">
        <v>10.5</v>
      </c>
      <c r="E3334" s="18">
        <v>1050</v>
      </c>
      <c r="F3334" t="s">
        <v>889</v>
      </c>
      <c r="G3334" t="s">
        <v>3938</v>
      </c>
      <c r="H3334" s="18">
        <v>1050</v>
      </c>
      <c r="I3334" s="3">
        <v>41873</v>
      </c>
      <c r="J3334"/>
      <c r="L3334"/>
      <c r="M3334"/>
      <c r="N3334" s="20"/>
      <c r="O3334"/>
      <c r="P3334" s="20"/>
      <c r="Q3334" s="20"/>
      <c r="R3334" s="20"/>
      <c r="S3334" s="20"/>
      <c r="T3334" s="20"/>
    </row>
    <row r="3335" spans="1:21" x14ac:dyDescent="0.25">
      <c r="A3335" s="3">
        <v>41880</v>
      </c>
      <c r="B3335" s="36">
        <v>254</v>
      </c>
      <c r="C3335" t="s">
        <v>3933</v>
      </c>
      <c r="D3335">
        <v>10.25</v>
      </c>
      <c r="E3335" s="18">
        <v>1025</v>
      </c>
      <c r="F3335" t="s">
        <v>889</v>
      </c>
      <c r="G3335" t="s">
        <v>3939</v>
      </c>
      <c r="H3335" s="18">
        <v>1025</v>
      </c>
      <c r="I3335" s="3">
        <v>41880</v>
      </c>
      <c r="J3335"/>
      <c r="L3335"/>
      <c r="M3335"/>
      <c r="N3335" s="20"/>
      <c r="O3335"/>
      <c r="P3335" s="20"/>
      <c r="Q3335" s="20"/>
      <c r="R3335" s="20"/>
      <c r="S3335" s="20"/>
      <c r="T3335" s="20"/>
    </row>
    <row r="3336" spans="1:21" x14ac:dyDescent="0.25">
      <c r="A3336" s="3">
        <v>41880</v>
      </c>
      <c r="B3336" s="36">
        <v>254</v>
      </c>
      <c r="C3336" t="s">
        <v>3940</v>
      </c>
      <c r="D3336">
        <v>16</v>
      </c>
      <c r="E3336" s="18">
        <v>1500</v>
      </c>
      <c r="F3336" t="s">
        <v>889</v>
      </c>
      <c r="G3336" t="s">
        <v>3941</v>
      </c>
      <c r="H3336" s="18">
        <v>1500</v>
      </c>
      <c r="I3336" s="3">
        <v>41880</v>
      </c>
      <c r="J3336"/>
      <c r="L3336"/>
      <c r="M3336"/>
      <c r="N3336" s="20"/>
      <c r="O3336"/>
      <c r="P3336" s="20"/>
      <c r="Q3336" s="20"/>
      <c r="R3336" s="20"/>
      <c r="S3336" s="20"/>
      <c r="T3336" s="20"/>
    </row>
    <row r="3337" spans="1:21" x14ac:dyDescent="0.25">
      <c r="A3337" s="3">
        <v>41880</v>
      </c>
      <c r="B3337" s="36">
        <v>254</v>
      </c>
      <c r="C3337" t="s">
        <v>3942</v>
      </c>
      <c r="D3337">
        <v>15.5</v>
      </c>
      <c r="E3337" s="18">
        <v>1400</v>
      </c>
      <c r="F3337" t="s">
        <v>889</v>
      </c>
      <c r="G3337" t="s">
        <v>3943</v>
      </c>
      <c r="H3337" s="18">
        <v>1400</v>
      </c>
      <c r="I3337" s="3">
        <v>41880</v>
      </c>
      <c r="J3337"/>
      <c r="L3337"/>
      <c r="M3337"/>
      <c r="N3337" s="20"/>
      <c r="O3337"/>
      <c r="P3337" s="20"/>
      <c r="Q3337" s="20"/>
      <c r="R3337" s="20"/>
      <c r="S3337" s="20"/>
      <c r="T3337" s="20"/>
    </row>
    <row r="3338" spans="1:21" x14ac:dyDescent="0.25">
      <c r="A3338" s="3">
        <v>41887</v>
      </c>
      <c r="B3338" s="36">
        <v>254</v>
      </c>
      <c r="C3338" t="s">
        <v>3944</v>
      </c>
      <c r="D3338">
        <v>14.28</v>
      </c>
      <c r="E3338" s="18">
        <v>1428</v>
      </c>
      <c r="F3338" t="s">
        <v>889</v>
      </c>
      <c r="G3338" t="s">
        <v>3945</v>
      </c>
      <c r="H3338" s="18">
        <v>1428</v>
      </c>
      <c r="I3338" s="3">
        <v>41887</v>
      </c>
      <c r="J3338"/>
      <c r="L3338"/>
      <c r="M3338"/>
      <c r="N3338" s="20"/>
      <c r="O3338"/>
      <c r="P3338" s="20"/>
      <c r="Q3338" s="20"/>
      <c r="R3338" s="20"/>
      <c r="S3338" s="20"/>
      <c r="T3338" s="20"/>
    </row>
    <row r="3339" spans="1:21" x14ac:dyDescent="0.25">
      <c r="A3339" s="3">
        <v>41887</v>
      </c>
      <c r="B3339" s="36">
        <v>254</v>
      </c>
      <c r="C3339" t="s">
        <v>3946</v>
      </c>
      <c r="D3339">
        <v>5.25</v>
      </c>
      <c r="E3339" s="18">
        <v>525</v>
      </c>
      <c r="F3339" t="s">
        <v>889</v>
      </c>
      <c r="G3339" t="s">
        <v>3947</v>
      </c>
      <c r="H3339" s="18">
        <v>525</v>
      </c>
      <c r="I3339" s="3">
        <v>41887</v>
      </c>
      <c r="J3339"/>
      <c r="L3339"/>
      <c r="M3339"/>
      <c r="N3339" s="20"/>
      <c r="O3339"/>
      <c r="P3339" s="20"/>
      <c r="Q3339" s="20"/>
      <c r="R3339" s="20"/>
      <c r="S3339" s="20"/>
      <c r="T3339" s="20"/>
    </row>
    <row r="3340" spans="1:21" x14ac:dyDescent="0.25">
      <c r="A3340" s="3">
        <v>41887</v>
      </c>
      <c r="B3340" s="36">
        <v>254</v>
      </c>
      <c r="C3340" t="s">
        <v>3948</v>
      </c>
      <c r="D3340">
        <v>9.25</v>
      </c>
      <c r="E3340" s="18">
        <v>925</v>
      </c>
      <c r="F3340" t="s">
        <v>889</v>
      </c>
      <c r="G3340" t="s">
        <v>3949</v>
      </c>
      <c r="H3340" s="18">
        <v>925</v>
      </c>
      <c r="I3340" s="3">
        <v>41887</v>
      </c>
      <c r="J3340"/>
      <c r="L3340"/>
      <c r="M3340"/>
      <c r="N3340" s="20"/>
      <c r="O3340"/>
      <c r="P3340" s="20"/>
      <c r="Q3340" s="20"/>
      <c r="R3340" s="20"/>
      <c r="S3340" s="20"/>
      <c r="T3340" s="20"/>
    </row>
    <row r="3341" spans="1:21" x14ac:dyDescent="0.25">
      <c r="A3341" s="3">
        <v>41887</v>
      </c>
      <c r="B3341" s="36">
        <v>254</v>
      </c>
      <c r="C3341" t="s">
        <v>3950</v>
      </c>
      <c r="D3341">
        <v>15.5</v>
      </c>
      <c r="E3341" s="18">
        <v>1550</v>
      </c>
      <c r="F3341" t="s">
        <v>889</v>
      </c>
      <c r="G3341" t="s">
        <v>3951</v>
      </c>
      <c r="H3341" s="18">
        <v>1550</v>
      </c>
      <c r="I3341" s="3">
        <v>41887</v>
      </c>
      <c r="J3341"/>
      <c r="L3341"/>
      <c r="M3341"/>
      <c r="N3341" s="20"/>
      <c r="O3341"/>
      <c r="P3341" s="20"/>
      <c r="Q3341" s="20"/>
      <c r="R3341" s="20"/>
      <c r="S3341" s="20"/>
      <c r="T3341" s="20"/>
    </row>
    <row r="3342" spans="1:21" x14ac:dyDescent="0.25">
      <c r="A3342" s="3">
        <v>41894</v>
      </c>
      <c r="B3342" s="36">
        <v>254</v>
      </c>
      <c r="C3342" t="s">
        <v>3952</v>
      </c>
      <c r="D3342">
        <v>13.5</v>
      </c>
      <c r="E3342" s="18">
        <v>1350</v>
      </c>
      <c r="F3342" t="s">
        <v>889</v>
      </c>
      <c r="G3342" t="s">
        <v>3953</v>
      </c>
      <c r="H3342" s="18">
        <v>1350</v>
      </c>
      <c r="I3342" s="3">
        <v>41894</v>
      </c>
      <c r="J3342"/>
      <c r="L3342"/>
      <c r="M3342"/>
      <c r="N3342" s="20"/>
      <c r="O3342"/>
      <c r="P3342" s="20"/>
      <c r="Q3342" s="20"/>
      <c r="R3342" s="20"/>
      <c r="S3342" s="20"/>
      <c r="T3342" s="20"/>
    </row>
    <row r="3343" spans="1:21" x14ac:dyDescent="0.25">
      <c r="B3343">
        <v>254</v>
      </c>
      <c r="C3343" t="s">
        <v>3931</v>
      </c>
      <c r="D3343">
        <v>10.5</v>
      </c>
      <c r="E3343" s="18">
        <v>-1050</v>
      </c>
      <c r="F3343" t="s">
        <v>889</v>
      </c>
      <c r="G3343" t="s">
        <v>3932</v>
      </c>
      <c r="I3343"/>
      <c r="J3343"/>
      <c r="L3343"/>
      <c r="M3343"/>
      <c r="O3343"/>
      <c r="P3343" s="20"/>
      <c r="Q3343" s="20"/>
      <c r="R3343" s="20"/>
      <c r="S3343" s="20"/>
      <c r="T3343" s="20"/>
      <c r="U3343" t="s">
        <v>401</v>
      </c>
    </row>
    <row r="3344" spans="1:21" x14ac:dyDescent="0.25">
      <c r="B3344">
        <v>254</v>
      </c>
      <c r="C3344" t="s">
        <v>3946</v>
      </c>
      <c r="D3344">
        <v>5.25</v>
      </c>
      <c r="E3344" s="18">
        <v>-525</v>
      </c>
      <c r="F3344" t="s">
        <v>889</v>
      </c>
      <c r="G3344" t="s">
        <v>3947</v>
      </c>
      <c r="I3344"/>
      <c r="J3344"/>
      <c r="L3344"/>
      <c r="M3344"/>
      <c r="O3344"/>
      <c r="P3344" s="20"/>
      <c r="Q3344" s="20"/>
      <c r="R3344" s="20"/>
      <c r="S3344" s="20"/>
      <c r="T3344" s="20"/>
      <c r="U3344" t="s">
        <v>401</v>
      </c>
    </row>
    <row r="3345" spans="1:21" x14ac:dyDescent="0.25">
      <c r="B3345">
        <v>254</v>
      </c>
      <c r="C3345" t="s">
        <v>3933</v>
      </c>
      <c r="D3345">
        <v>6.25</v>
      </c>
      <c r="E3345" s="18">
        <v>-625</v>
      </c>
      <c r="F3345" t="s">
        <v>889</v>
      </c>
      <c r="G3345" t="s">
        <v>3934</v>
      </c>
      <c r="I3345"/>
      <c r="J3345"/>
      <c r="L3345"/>
      <c r="M3345"/>
      <c r="O3345"/>
      <c r="P3345" s="20"/>
      <c r="Q3345" s="20"/>
      <c r="R3345" s="20"/>
      <c r="S3345" s="20"/>
      <c r="T3345" s="20"/>
      <c r="U3345" t="s">
        <v>401</v>
      </c>
    </row>
    <row r="3346" spans="1:21" x14ac:dyDescent="0.25">
      <c r="B3346">
        <v>254</v>
      </c>
      <c r="C3346" t="s">
        <v>3933</v>
      </c>
      <c r="D3346">
        <v>10.25</v>
      </c>
      <c r="E3346" s="18">
        <v>-1025</v>
      </c>
      <c r="F3346" t="s">
        <v>889</v>
      </c>
      <c r="G3346" t="s">
        <v>3939</v>
      </c>
      <c r="I3346"/>
      <c r="J3346"/>
      <c r="L3346"/>
      <c r="M3346"/>
      <c r="O3346"/>
      <c r="P3346" s="20"/>
      <c r="Q3346" s="20"/>
      <c r="R3346" s="20"/>
      <c r="S3346" s="20"/>
      <c r="T3346" s="20"/>
      <c r="U3346" t="s">
        <v>401</v>
      </c>
    </row>
    <row r="3347" spans="1:21" x14ac:dyDescent="0.25">
      <c r="B3347">
        <v>254</v>
      </c>
      <c r="C3347" t="s">
        <v>3940</v>
      </c>
      <c r="D3347">
        <v>15</v>
      </c>
      <c r="E3347" s="18">
        <v>1500</v>
      </c>
      <c r="F3347" t="s">
        <v>889</v>
      </c>
      <c r="G3347" t="s">
        <v>3941</v>
      </c>
      <c r="I3347"/>
      <c r="J3347"/>
      <c r="L3347"/>
      <c r="M3347"/>
      <c r="O3347"/>
      <c r="P3347" s="20"/>
      <c r="Q3347" s="20"/>
      <c r="R3347" s="20"/>
      <c r="S3347" s="20"/>
      <c r="T3347" s="20"/>
      <c r="U3347" t="s">
        <v>401</v>
      </c>
    </row>
    <row r="3348" spans="1:21" x14ac:dyDescent="0.25">
      <c r="B3348">
        <v>254</v>
      </c>
      <c r="C3348" t="s">
        <v>3935</v>
      </c>
      <c r="D3348">
        <v>8.5</v>
      </c>
      <c r="E3348" s="18">
        <v>-850</v>
      </c>
      <c r="F3348" t="s">
        <v>889</v>
      </c>
      <c r="G3348" t="s">
        <v>3936</v>
      </c>
      <c r="I3348"/>
      <c r="J3348"/>
      <c r="L3348"/>
      <c r="M3348"/>
      <c r="O3348"/>
      <c r="P3348" s="20"/>
      <c r="Q3348" s="20"/>
      <c r="R3348" s="20"/>
      <c r="S3348" s="20"/>
      <c r="T3348" s="20"/>
      <c r="U3348" t="s">
        <v>401</v>
      </c>
    </row>
    <row r="3349" spans="1:21" x14ac:dyDescent="0.25">
      <c r="B3349">
        <v>254</v>
      </c>
      <c r="C3349" t="s">
        <v>3948</v>
      </c>
      <c r="D3349">
        <v>9.25</v>
      </c>
      <c r="E3349" s="18">
        <v>-925</v>
      </c>
      <c r="F3349" t="s">
        <v>889</v>
      </c>
      <c r="G3349" t="s">
        <v>3949</v>
      </c>
      <c r="I3349"/>
      <c r="J3349"/>
      <c r="L3349"/>
      <c r="M3349"/>
      <c r="O3349"/>
      <c r="P3349" s="20"/>
      <c r="Q3349" s="20"/>
      <c r="R3349" s="20"/>
      <c r="S3349" s="20"/>
      <c r="T3349" s="20"/>
      <c r="U3349" t="s">
        <v>401</v>
      </c>
    </row>
    <row r="3350" spans="1:21" x14ac:dyDescent="0.25">
      <c r="B3350">
        <v>254</v>
      </c>
      <c r="C3350" t="s">
        <v>3950</v>
      </c>
      <c r="D3350">
        <v>15.5</v>
      </c>
      <c r="E3350" s="18">
        <v>-1550</v>
      </c>
      <c r="F3350" t="s">
        <v>889</v>
      </c>
      <c r="G3350" t="s">
        <v>3951</v>
      </c>
      <c r="I3350"/>
      <c r="J3350"/>
      <c r="L3350"/>
      <c r="M3350"/>
      <c r="O3350"/>
      <c r="P3350" s="20"/>
      <c r="Q3350" s="20"/>
      <c r="R3350" s="20"/>
      <c r="S3350" s="20"/>
      <c r="T3350" s="20"/>
      <c r="U3350" t="s">
        <v>401</v>
      </c>
    </row>
    <row r="3351" spans="1:21" x14ac:dyDescent="0.25">
      <c r="B3351">
        <v>254</v>
      </c>
      <c r="C3351" t="s">
        <v>3942</v>
      </c>
      <c r="D3351">
        <v>14</v>
      </c>
      <c r="E3351" s="18">
        <v>195.15151515151516</v>
      </c>
      <c r="F3351" t="s">
        <v>889</v>
      </c>
      <c r="G3351" t="s">
        <v>3943</v>
      </c>
      <c r="I3351"/>
      <c r="J3351"/>
      <c r="L3351"/>
      <c r="M3351"/>
      <c r="O3351"/>
      <c r="P3351" s="20"/>
      <c r="Q3351" s="20"/>
      <c r="R3351" s="20"/>
      <c r="S3351" s="20"/>
      <c r="T3351" s="20"/>
      <c r="U3351" t="s">
        <v>401</v>
      </c>
    </row>
    <row r="3352" spans="1:21" x14ac:dyDescent="0.25">
      <c r="B3352">
        <v>254</v>
      </c>
      <c r="C3352" t="s">
        <v>3942</v>
      </c>
      <c r="D3352">
        <v>14</v>
      </c>
      <c r="E3352" s="18">
        <v>195.15151515151516</v>
      </c>
      <c r="F3352" t="s">
        <v>889</v>
      </c>
      <c r="G3352" t="s">
        <v>3943</v>
      </c>
      <c r="I3352"/>
      <c r="J3352"/>
      <c r="L3352"/>
      <c r="M3352"/>
      <c r="O3352"/>
      <c r="P3352" s="20"/>
      <c r="Q3352" s="20"/>
      <c r="R3352" s="20"/>
      <c r="S3352" s="20"/>
      <c r="T3352" s="20"/>
      <c r="U3352" t="s">
        <v>401</v>
      </c>
    </row>
    <row r="3353" spans="1:21" x14ac:dyDescent="0.25">
      <c r="B3353">
        <v>254</v>
      </c>
      <c r="C3353" t="s">
        <v>3937</v>
      </c>
      <c r="D3353">
        <v>10.5</v>
      </c>
      <c r="E3353" s="18">
        <v>-1050</v>
      </c>
      <c r="F3353" t="s">
        <v>889</v>
      </c>
      <c r="G3353" t="s">
        <v>3938</v>
      </c>
      <c r="I3353"/>
      <c r="J3353"/>
      <c r="L3353"/>
      <c r="M3353"/>
      <c r="O3353"/>
      <c r="P3353" s="20"/>
      <c r="Q3353" s="20"/>
      <c r="R3353" s="20"/>
      <c r="S3353" s="20"/>
      <c r="T3353" s="20"/>
      <c r="U3353" t="s">
        <v>401</v>
      </c>
    </row>
    <row r="3354" spans="1:21" x14ac:dyDescent="0.25">
      <c r="B3354">
        <v>254</v>
      </c>
      <c r="C3354" t="s">
        <v>3954</v>
      </c>
      <c r="D3354">
        <v>13.75</v>
      </c>
      <c r="E3354" s="18">
        <v>1375</v>
      </c>
      <c r="F3354" t="s">
        <v>889</v>
      </c>
      <c r="G3354" t="s">
        <v>3955</v>
      </c>
      <c r="I3354"/>
      <c r="J3354"/>
      <c r="L3354"/>
      <c r="M3354"/>
      <c r="O3354"/>
      <c r="P3354" s="20"/>
      <c r="Q3354" s="20"/>
      <c r="R3354" s="20"/>
      <c r="S3354" s="20"/>
      <c r="T3354" s="20"/>
      <c r="U3354" t="s">
        <v>401</v>
      </c>
    </row>
    <row r="3355" spans="1:21" x14ac:dyDescent="0.25">
      <c r="B3355">
        <v>254</v>
      </c>
      <c r="C3355" t="s">
        <v>3954</v>
      </c>
      <c r="D3355">
        <v>13.75</v>
      </c>
      <c r="E3355" s="18">
        <v>-1375</v>
      </c>
      <c r="F3355" t="s">
        <v>889</v>
      </c>
      <c r="G3355" t="s">
        <v>3955</v>
      </c>
      <c r="I3355"/>
      <c r="J3355"/>
      <c r="L3355"/>
      <c r="M3355"/>
      <c r="O3355"/>
      <c r="P3355" s="20"/>
      <c r="Q3355" s="20"/>
      <c r="R3355" s="20"/>
      <c r="S3355" s="20"/>
      <c r="T3355" s="20"/>
      <c r="U3355" t="s">
        <v>401</v>
      </c>
    </row>
    <row r="3356" spans="1:21" x14ac:dyDescent="0.25">
      <c r="A3356" s="57">
        <v>41838</v>
      </c>
      <c r="B3356" s="42">
        <v>255</v>
      </c>
      <c r="C3356" s="45" t="s">
        <v>3147</v>
      </c>
      <c r="D3356" s="45">
        <v>6.12</v>
      </c>
      <c r="E3356" s="58">
        <v>612</v>
      </c>
      <c r="F3356" s="45"/>
      <c r="G3356" s="45" t="s">
        <v>3148</v>
      </c>
      <c r="H3356" s="18">
        <v>612</v>
      </c>
      <c r="I3356" s="3">
        <v>41838</v>
      </c>
      <c r="J3356" s="45"/>
      <c r="K3356" s="45"/>
      <c r="L3356" s="45"/>
      <c r="M3356" s="45"/>
      <c r="N3356" s="45"/>
      <c r="O3356" s="45" t="s">
        <v>905</v>
      </c>
      <c r="P3356" s="20"/>
      <c r="Q3356" s="20"/>
      <c r="R3356" s="20"/>
      <c r="S3356" s="20"/>
      <c r="T3356" s="20"/>
    </row>
    <row r="3357" spans="1:21" x14ac:dyDescent="0.25">
      <c r="A3357" s="3">
        <v>41845</v>
      </c>
      <c r="B3357" s="36">
        <v>255</v>
      </c>
      <c r="C3357" t="s">
        <v>21</v>
      </c>
      <c r="D3357">
        <v>10.75</v>
      </c>
      <c r="E3357" s="18">
        <v>1075</v>
      </c>
      <c r="G3357" t="s">
        <v>3956</v>
      </c>
      <c r="H3357" s="18">
        <v>1075</v>
      </c>
      <c r="I3357" s="3">
        <v>41845</v>
      </c>
      <c r="J3357"/>
      <c r="L3357"/>
      <c r="M3357"/>
      <c r="N3357" s="20"/>
      <c r="O3357" t="s">
        <v>931</v>
      </c>
      <c r="P3357" s="20"/>
      <c r="Q3357" s="20"/>
      <c r="R3357" s="20"/>
      <c r="S3357" s="20"/>
      <c r="T3357" s="20"/>
    </row>
    <row r="3358" spans="1:21" x14ac:dyDescent="0.25">
      <c r="A3358" s="57">
        <v>41851</v>
      </c>
      <c r="B3358" s="42">
        <v>255</v>
      </c>
      <c r="C3358" s="45" t="s">
        <v>3149</v>
      </c>
      <c r="D3358" s="45">
        <v>5.5</v>
      </c>
      <c r="E3358" s="58">
        <v>550</v>
      </c>
      <c r="F3358" s="45" t="s">
        <v>889</v>
      </c>
      <c r="G3358" s="45" t="s">
        <v>3150</v>
      </c>
      <c r="H3358" s="18">
        <v>550</v>
      </c>
      <c r="I3358" s="3">
        <v>41851</v>
      </c>
      <c r="J3358" s="45"/>
      <c r="K3358" s="45"/>
      <c r="L3358" s="45"/>
      <c r="M3358" s="45"/>
      <c r="N3358" s="45"/>
      <c r="O3358" s="45" t="s">
        <v>931</v>
      </c>
      <c r="P3358" s="20"/>
      <c r="Q3358" s="20"/>
      <c r="R3358" s="20"/>
      <c r="S3358" s="20"/>
      <c r="T3358" s="20"/>
    </row>
    <row r="3359" spans="1:21" x14ac:dyDescent="0.25">
      <c r="A3359" s="57">
        <v>41851</v>
      </c>
      <c r="B3359" s="42">
        <v>255</v>
      </c>
      <c r="C3359" s="45" t="s">
        <v>3143</v>
      </c>
      <c r="D3359" s="45">
        <v>7</v>
      </c>
      <c r="E3359" s="58">
        <v>700</v>
      </c>
      <c r="F3359" s="45" t="s">
        <v>889</v>
      </c>
      <c r="G3359" s="45" t="s">
        <v>3144</v>
      </c>
      <c r="H3359" s="18">
        <v>700</v>
      </c>
      <c r="I3359" s="3">
        <v>41851</v>
      </c>
      <c r="J3359" s="45"/>
      <c r="K3359" s="45"/>
      <c r="L3359" s="45"/>
      <c r="M3359" s="45"/>
      <c r="N3359" s="45"/>
      <c r="O3359" s="45" t="s">
        <v>931</v>
      </c>
      <c r="P3359" s="20"/>
      <c r="Q3359" s="20"/>
      <c r="R3359" s="20"/>
      <c r="S3359" s="20"/>
      <c r="T3359" s="20"/>
    </row>
    <row r="3360" spans="1:21" x14ac:dyDescent="0.25">
      <c r="A3360" s="3">
        <v>41904</v>
      </c>
      <c r="B3360" s="36">
        <v>255</v>
      </c>
      <c r="C3360" t="s">
        <v>1589</v>
      </c>
      <c r="E3360" s="18">
        <v>50</v>
      </c>
      <c r="F3360" t="s">
        <v>889</v>
      </c>
      <c r="H3360" s="18" t="s">
        <v>442</v>
      </c>
      <c r="I3360" s="3" t="s">
        <v>442</v>
      </c>
      <c r="J3360"/>
      <c r="L3360"/>
      <c r="M3360"/>
      <c r="N3360" s="20"/>
      <c r="O3360"/>
      <c r="P3360" s="20"/>
      <c r="Q3360" s="20"/>
      <c r="R3360" s="20"/>
      <c r="S3360" s="20" t="s">
        <v>401</v>
      </c>
      <c r="T3360" s="20"/>
    </row>
    <row r="3361" spans="1:21" x14ac:dyDescent="0.25">
      <c r="A3361" s="3">
        <v>41922</v>
      </c>
      <c r="B3361" s="36">
        <v>255</v>
      </c>
      <c r="C3361" t="s">
        <v>3957</v>
      </c>
      <c r="D3361">
        <v>5.5</v>
      </c>
      <c r="E3361" s="18">
        <v>550</v>
      </c>
      <c r="F3361" t="s">
        <v>889</v>
      </c>
      <c r="G3361" t="s">
        <v>3958</v>
      </c>
      <c r="H3361" s="18">
        <v>550</v>
      </c>
      <c r="I3361" s="3">
        <v>41922</v>
      </c>
      <c r="J3361"/>
      <c r="L3361"/>
      <c r="M3361"/>
      <c r="N3361" s="20"/>
      <c r="O3361"/>
      <c r="P3361" s="20"/>
      <c r="Q3361" s="20"/>
      <c r="R3361" s="20"/>
      <c r="S3361" s="20"/>
      <c r="T3361" s="20"/>
    </row>
    <row r="3362" spans="1:21" x14ac:dyDescent="0.25">
      <c r="A3362" s="3">
        <v>41922</v>
      </c>
      <c r="B3362" s="36">
        <v>255</v>
      </c>
      <c r="C3362" t="s">
        <v>3959</v>
      </c>
      <c r="D3362">
        <v>6.25</v>
      </c>
      <c r="E3362" s="18">
        <v>625</v>
      </c>
      <c r="F3362" t="s">
        <v>889</v>
      </c>
      <c r="G3362" t="s">
        <v>3960</v>
      </c>
      <c r="H3362" s="18">
        <v>625</v>
      </c>
      <c r="I3362" s="3">
        <v>41922</v>
      </c>
      <c r="J3362"/>
      <c r="L3362"/>
      <c r="M3362"/>
      <c r="N3362" s="20"/>
      <c r="O3362"/>
      <c r="P3362" s="20"/>
      <c r="Q3362" s="20"/>
      <c r="R3362" s="20"/>
      <c r="S3362" s="20"/>
      <c r="T3362" s="20"/>
    </row>
    <row r="3363" spans="1:21" x14ac:dyDescent="0.25">
      <c r="A3363" s="57">
        <v>41922</v>
      </c>
      <c r="B3363" s="42">
        <v>255</v>
      </c>
      <c r="C3363" s="45" t="s">
        <v>3147</v>
      </c>
      <c r="D3363" s="45">
        <v>6.12</v>
      </c>
      <c r="E3363" s="58">
        <v>-612</v>
      </c>
      <c r="F3363" s="45" t="s">
        <v>889</v>
      </c>
      <c r="G3363" s="45" t="s">
        <v>3148</v>
      </c>
      <c r="H3363" s="18" t="s">
        <v>442</v>
      </c>
      <c r="I3363" s="3" t="s">
        <v>442</v>
      </c>
      <c r="J3363" s="45"/>
      <c r="K3363" s="45"/>
      <c r="L3363" s="45"/>
      <c r="M3363" s="45"/>
      <c r="N3363" s="45"/>
      <c r="O3363" s="45"/>
      <c r="P3363" s="20"/>
      <c r="Q3363" s="20"/>
      <c r="R3363" s="20"/>
      <c r="S3363" s="20"/>
      <c r="T3363" s="20"/>
    </row>
    <row r="3364" spans="1:21" x14ac:dyDescent="0.25">
      <c r="A3364" s="3">
        <v>41922</v>
      </c>
      <c r="B3364" s="36">
        <v>255</v>
      </c>
      <c r="C3364" t="s">
        <v>3961</v>
      </c>
      <c r="D3364">
        <v>12.25</v>
      </c>
      <c r="E3364" s="18">
        <v>1225</v>
      </c>
      <c r="F3364" t="s">
        <v>889</v>
      </c>
      <c r="G3364" t="s">
        <v>3962</v>
      </c>
      <c r="H3364" s="18">
        <v>1225</v>
      </c>
      <c r="I3364" s="3">
        <v>41922</v>
      </c>
      <c r="J3364"/>
      <c r="L3364"/>
      <c r="M3364"/>
      <c r="N3364" s="20"/>
      <c r="O3364"/>
      <c r="P3364" s="20"/>
      <c r="Q3364" s="20"/>
      <c r="R3364" s="20"/>
      <c r="S3364" s="20"/>
      <c r="T3364" s="20"/>
    </row>
    <row r="3365" spans="1:21" x14ac:dyDescent="0.25">
      <c r="A3365" s="3">
        <v>41995</v>
      </c>
      <c r="B3365" s="36">
        <v>255</v>
      </c>
      <c r="C3365" t="s">
        <v>494</v>
      </c>
      <c r="D3365">
        <v>8.5</v>
      </c>
      <c r="E3365" s="18">
        <v>350</v>
      </c>
      <c r="F3365" t="s">
        <v>889</v>
      </c>
      <c r="G3365" t="s">
        <v>495</v>
      </c>
      <c r="H3365" s="18">
        <v>350</v>
      </c>
      <c r="I3365" s="3">
        <v>41995</v>
      </c>
      <c r="J3365"/>
      <c r="L3365"/>
      <c r="M3365"/>
      <c r="N3365" s="20"/>
      <c r="O3365"/>
      <c r="P3365" s="20"/>
      <c r="Q3365" s="20"/>
      <c r="R3365" s="20"/>
      <c r="S3365" s="20"/>
      <c r="T3365" s="20"/>
    </row>
    <row r="3366" spans="1:21" x14ac:dyDescent="0.25">
      <c r="A3366" s="3">
        <v>41995</v>
      </c>
      <c r="B3366" s="36">
        <v>255</v>
      </c>
      <c r="C3366" t="s">
        <v>488</v>
      </c>
      <c r="D3366">
        <v>8.5</v>
      </c>
      <c r="E3366" s="18">
        <v>350</v>
      </c>
      <c r="F3366" t="s">
        <v>889</v>
      </c>
      <c r="G3366" t="s">
        <v>489</v>
      </c>
      <c r="H3366" s="18">
        <v>350</v>
      </c>
      <c r="I3366" s="3">
        <v>41995</v>
      </c>
      <c r="J3366"/>
      <c r="L3366"/>
      <c r="M3366"/>
      <c r="N3366" s="20"/>
      <c r="O3366"/>
      <c r="P3366" s="20"/>
      <c r="Q3366" s="20"/>
      <c r="R3366" s="20"/>
      <c r="S3366" s="20"/>
      <c r="T3366" s="20"/>
    </row>
    <row r="3367" spans="1:21" x14ac:dyDescent="0.25">
      <c r="A3367" s="3">
        <v>41995</v>
      </c>
      <c r="B3367" s="36">
        <v>255</v>
      </c>
      <c r="C3367" t="s">
        <v>788</v>
      </c>
      <c r="D3367">
        <v>10.75</v>
      </c>
      <c r="E3367" s="18">
        <v>350</v>
      </c>
      <c r="F3367" t="s">
        <v>889</v>
      </c>
      <c r="G3367" t="s">
        <v>789</v>
      </c>
      <c r="H3367" s="18">
        <v>350</v>
      </c>
      <c r="I3367" s="3">
        <v>41995</v>
      </c>
      <c r="J3367"/>
      <c r="L3367"/>
      <c r="M3367"/>
      <c r="N3367" s="20"/>
      <c r="O3367"/>
      <c r="P3367" s="20"/>
      <c r="Q3367" s="20"/>
      <c r="R3367" s="20"/>
      <c r="S3367" s="20"/>
      <c r="T3367" s="20"/>
    </row>
    <row r="3368" spans="1:21" x14ac:dyDescent="0.25">
      <c r="A3368" s="3">
        <v>41999</v>
      </c>
      <c r="B3368" s="36">
        <v>255</v>
      </c>
      <c r="C3368" t="s">
        <v>3957</v>
      </c>
      <c r="D3368">
        <v>5.8650000000000002</v>
      </c>
      <c r="E3368" s="18">
        <v>623</v>
      </c>
      <c r="F3368" t="s">
        <v>889</v>
      </c>
      <c r="G3368" t="s">
        <v>3958</v>
      </c>
      <c r="H3368" s="18">
        <v>623</v>
      </c>
      <c r="I3368" s="3">
        <v>41999</v>
      </c>
      <c r="J3368"/>
      <c r="L3368"/>
      <c r="M3368"/>
      <c r="N3368" s="20"/>
      <c r="O3368" t="s">
        <v>959</v>
      </c>
      <c r="P3368" s="20"/>
      <c r="Q3368" s="20"/>
      <c r="R3368" s="20"/>
      <c r="S3368" s="20"/>
      <c r="T3368" s="20"/>
    </row>
    <row r="3369" spans="1:21" x14ac:dyDescent="0.25">
      <c r="A3369" s="3">
        <v>42027</v>
      </c>
      <c r="B3369" s="36">
        <v>255</v>
      </c>
      <c r="C3369" t="s">
        <v>482</v>
      </c>
      <c r="D3369" s="55">
        <v>3</v>
      </c>
      <c r="E3369" s="18">
        <v>250</v>
      </c>
      <c r="F3369" t="s">
        <v>889</v>
      </c>
      <c r="G3369" t="s">
        <v>483</v>
      </c>
      <c r="H3369" s="18">
        <v>250</v>
      </c>
      <c r="I3369" s="3">
        <v>42027</v>
      </c>
      <c r="J3369"/>
      <c r="L3369"/>
      <c r="M3369"/>
      <c r="N3369" s="20"/>
      <c r="O3369"/>
      <c r="P3369" s="20"/>
      <c r="Q3369" s="20"/>
      <c r="R3369" s="20"/>
      <c r="S3369" s="20"/>
      <c r="T3369" s="20"/>
    </row>
    <row r="3370" spans="1:21" x14ac:dyDescent="0.25">
      <c r="A3370" s="3">
        <v>42027</v>
      </c>
      <c r="B3370" s="36">
        <v>255</v>
      </c>
      <c r="C3370" t="s">
        <v>638</v>
      </c>
      <c r="D3370" s="55">
        <v>5.75</v>
      </c>
      <c r="E3370" s="18">
        <v>537.5</v>
      </c>
      <c r="F3370" t="s">
        <v>889</v>
      </c>
      <c r="G3370" t="s">
        <v>639</v>
      </c>
      <c r="H3370" s="18">
        <v>537.5</v>
      </c>
      <c r="I3370" s="3">
        <v>42027</v>
      </c>
      <c r="J3370"/>
      <c r="L3370"/>
      <c r="M3370"/>
      <c r="N3370" s="20"/>
      <c r="O3370"/>
      <c r="P3370" s="20"/>
      <c r="Q3370" s="20"/>
      <c r="R3370" s="20"/>
      <c r="S3370" s="20"/>
      <c r="T3370" s="20"/>
    </row>
    <row r="3371" spans="1:21" x14ac:dyDescent="0.25">
      <c r="A3371" s="3">
        <v>42041</v>
      </c>
      <c r="B3371">
        <v>255</v>
      </c>
      <c r="C3371" t="s">
        <v>3963</v>
      </c>
      <c r="E3371" s="18">
        <v>625</v>
      </c>
      <c r="F3371" t="s">
        <v>889</v>
      </c>
      <c r="G3371" t="s">
        <v>3960</v>
      </c>
      <c r="I3371"/>
      <c r="J3371"/>
      <c r="L3371"/>
      <c r="M3371"/>
      <c r="O3371"/>
      <c r="P3371" s="20"/>
      <c r="Q3371" s="20"/>
      <c r="R3371" s="20"/>
      <c r="S3371" s="20"/>
      <c r="T3371" s="20"/>
    </row>
    <row r="3372" spans="1:21" x14ac:dyDescent="0.25">
      <c r="A3372" s="3">
        <v>42041</v>
      </c>
      <c r="B3372">
        <v>255</v>
      </c>
      <c r="C3372" t="s">
        <v>3957</v>
      </c>
      <c r="D3372">
        <v>5.5</v>
      </c>
      <c r="E3372" s="18">
        <v>-393</v>
      </c>
      <c r="F3372" t="s">
        <v>889</v>
      </c>
      <c r="G3372" t="s">
        <v>3958</v>
      </c>
      <c r="I3372"/>
      <c r="J3372"/>
      <c r="L3372"/>
      <c r="M3372"/>
      <c r="O3372"/>
      <c r="P3372" s="20"/>
      <c r="Q3372" s="20"/>
      <c r="R3372" s="20"/>
      <c r="S3372" s="20"/>
      <c r="T3372" s="20"/>
    </row>
    <row r="3373" spans="1:21" x14ac:dyDescent="0.25">
      <c r="A3373" s="3">
        <v>42041</v>
      </c>
      <c r="B3373">
        <v>255</v>
      </c>
      <c r="C3373" t="s">
        <v>21</v>
      </c>
      <c r="E3373" s="18">
        <v>123.10606060606067</v>
      </c>
      <c r="F3373" t="s">
        <v>889</v>
      </c>
      <c r="G3373" t="s">
        <v>3956</v>
      </c>
      <c r="I3373"/>
      <c r="J3373"/>
      <c r="L3373"/>
      <c r="M3373"/>
      <c r="O3373"/>
      <c r="P3373" s="20"/>
      <c r="Q3373" s="20"/>
      <c r="R3373" s="20"/>
      <c r="S3373" s="20"/>
      <c r="T3373" s="20"/>
    </row>
    <row r="3374" spans="1:21" x14ac:dyDescent="0.25">
      <c r="A3374" s="3">
        <v>42041</v>
      </c>
      <c r="B3374">
        <v>255</v>
      </c>
      <c r="C3374" t="s">
        <v>3961</v>
      </c>
      <c r="E3374" s="18">
        <v>167.04545454545459</v>
      </c>
      <c r="F3374" t="s">
        <v>889</v>
      </c>
      <c r="G3374" t="s">
        <v>3962</v>
      </c>
      <c r="I3374"/>
      <c r="J3374"/>
      <c r="L3374"/>
      <c r="M3374"/>
      <c r="O3374"/>
      <c r="P3374" s="20"/>
      <c r="Q3374" s="20"/>
      <c r="R3374" s="20"/>
      <c r="S3374" s="20"/>
      <c r="T3374" s="20"/>
    </row>
    <row r="3375" spans="1:21" x14ac:dyDescent="0.25">
      <c r="B3375">
        <v>255</v>
      </c>
      <c r="C3375" t="s">
        <v>3149</v>
      </c>
      <c r="D3375">
        <v>5.5</v>
      </c>
      <c r="E3375" s="18">
        <v>-550</v>
      </c>
      <c r="F3375" t="s">
        <v>889</v>
      </c>
      <c r="G3375" t="s">
        <v>3150</v>
      </c>
      <c r="I3375"/>
      <c r="J3375"/>
      <c r="L3375"/>
      <c r="M3375"/>
      <c r="O3375"/>
      <c r="P3375" s="20"/>
      <c r="Q3375" s="20"/>
      <c r="R3375" s="20"/>
      <c r="S3375" s="20"/>
      <c r="T3375" s="20"/>
      <c r="U3375" t="s">
        <v>401</v>
      </c>
    </row>
    <row r="3376" spans="1:21" x14ac:dyDescent="0.25">
      <c r="B3376">
        <v>255</v>
      </c>
      <c r="C3376" t="s">
        <v>21</v>
      </c>
      <c r="D3376">
        <v>10.25</v>
      </c>
      <c r="E3376" s="18">
        <v>123.10606060606067</v>
      </c>
      <c r="F3376" t="s">
        <v>889</v>
      </c>
      <c r="G3376" t="s">
        <v>3956</v>
      </c>
      <c r="I3376"/>
      <c r="J3376"/>
      <c r="L3376"/>
      <c r="M3376"/>
      <c r="O3376"/>
      <c r="P3376" s="20"/>
      <c r="Q3376" s="20"/>
      <c r="R3376" s="20"/>
      <c r="S3376" s="20"/>
      <c r="T3376" s="20"/>
      <c r="U3376" t="s">
        <v>401</v>
      </c>
    </row>
    <row r="3377" spans="1:21" x14ac:dyDescent="0.25">
      <c r="B3377">
        <v>255</v>
      </c>
      <c r="C3377" t="s">
        <v>3143</v>
      </c>
      <c r="D3377">
        <v>7</v>
      </c>
      <c r="E3377" s="18">
        <v>-700</v>
      </c>
      <c r="F3377" t="s">
        <v>889</v>
      </c>
      <c r="G3377" t="s">
        <v>3144</v>
      </c>
      <c r="I3377"/>
      <c r="J3377"/>
      <c r="L3377"/>
      <c r="M3377"/>
      <c r="O3377"/>
      <c r="P3377" s="20"/>
      <c r="Q3377" s="20"/>
      <c r="R3377" s="20"/>
      <c r="S3377" s="20"/>
      <c r="T3377" s="20"/>
      <c r="U3377" t="s">
        <v>401</v>
      </c>
    </row>
    <row r="3378" spans="1:21" x14ac:dyDescent="0.25">
      <c r="A3378" s="3">
        <v>41726</v>
      </c>
      <c r="B3378" s="36">
        <v>257</v>
      </c>
      <c r="C3378" t="s">
        <v>3964</v>
      </c>
      <c r="D3378">
        <v>2.75</v>
      </c>
      <c r="E3378" s="18">
        <v>275</v>
      </c>
      <c r="G3378" t="s">
        <v>3965</v>
      </c>
      <c r="H3378" s="18">
        <v>275</v>
      </c>
      <c r="I3378" s="3">
        <v>41726</v>
      </c>
      <c r="J3378"/>
      <c r="L3378"/>
      <c r="M3378"/>
      <c r="N3378" s="20"/>
      <c r="O3378"/>
      <c r="P3378" s="20"/>
      <c r="Q3378" s="20"/>
      <c r="R3378" s="20"/>
      <c r="S3378" s="20"/>
      <c r="T3378" s="20"/>
    </row>
    <row r="3379" spans="1:21" x14ac:dyDescent="0.25">
      <c r="A3379" s="3">
        <v>41726</v>
      </c>
      <c r="B3379" s="36">
        <v>257</v>
      </c>
      <c r="C3379" t="s">
        <v>3966</v>
      </c>
      <c r="D3379">
        <v>7</v>
      </c>
      <c r="E3379" s="18">
        <v>700</v>
      </c>
      <c r="G3379" t="s">
        <v>3967</v>
      </c>
      <c r="H3379" s="18">
        <v>700</v>
      </c>
      <c r="I3379" s="3">
        <v>41726</v>
      </c>
      <c r="J3379"/>
      <c r="L3379"/>
      <c r="M3379"/>
      <c r="N3379" s="20"/>
      <c r="O3379"/>
      <c r="P3379" s="20"/>
      <c r="Q3379" s="20"/>
      <c r="R3379" s="20"/>
      <c r="S3379" s="20"/>
      <c r="T3379" s="20"/>
    </row>
    <row r="3380" spans="1:21" x14ac:dyDescent="0.25">
      <c r="A3380" s="3">
        <v>41732</v>
      </c>
      <c r="B3380" s="36">
        <v>257</v>
      </c>
      <c r="C3380" t="s">
        <v>3968</v>
      </c>
      <c r="D3380">
        <v>3.895</v>
      </c>
      <c r="E3380" s="18">
        <v>389.5</v>
      </c>
      <c r="G3380" t="s">
        <v>3969</v>
      </c>
      <c r="H3380" s="18">
        <v>389.5</v>
      </c>
      <c r="I3380" s="3">
        <v>41732</v>
      </c>
      <c r="J3380"/>
      <c r="L3380"/>
      <c r="M3380"/>
      <c r="N3380" s="20"/>
      <c r="O3380"/>
      <c r="P3380" s="20"/>
      <c r="Q3380" s="20"/>
      <c r="R3380" s="20"/>
      <c r="S3380" s="20"/>
      <c r="T3380" s="20"/>
    </row>
    <row r="3381" spans="1:21" x14ac:dyDescent="0.25">
      <c r="A3381" s="3">
        <v>41732</v>
      </c>
      <c r="B3381" s="36">
        <v>257</v>
      </c>
      <c r="C3381" t="s">
        <v>3970</v>
      </c>
      <c r="D3381">
        <v>3</v>
      </c>
      <c r="E3381" s="18">
        <v>300</v>
      </c>
      <c r="G3381" t="s">
        <v>3971</v>
      </c>
      <c r="H3381" s="18">
        <v>300</v>
      </c>
      <c r="I3381" s="3">
        <v>41732</v>
      </c>
      <c r="J3381"/>
      <c r="L3381"/>
      <c r="M3381"/>
      <c r="N3381" s="20"/>
      <c r="O3381"/>
      <c r="P3381" s="20"/>
      <c r="Q3381" s="20"/>
      <c r="R3381" s="20"/>
      <c r="S3381" s="20"/>
      <c r="T3381" s="20"/>
    </row>
    <row r="3382" spans="1:21" x14ac:dyDescent="0.25">
      <c r="A3382" s="3">
        <v>41740</v>
      </c>
      <c r="B3382" s="36">
        <v>257</v>
      </c>
      <c r="C3382" t="s">
        <v>3972</v>
      </c>
      <c r="D3382">
        <v>3.75</v>
      </c>
      <c r="E3382" s="18">
        <v>375</v>
      </c>
      <c r="G3382" t="s">
        <v>3973</v>
      </c>
      <c r="H3382" s="18">
        <v>375</v>
      </c>
      <c r="I3382" s="3">
        <v>41740</v>
      </c>
      <c r="J3382"/>
      <c r="L3382"/>
      <c r="M3382"/>
      <c r="N3382" s="20"/>
      <c r="O3382"/>
      <c r="P3382" s="20"/>
      <c r="Q3382" s="20"/>
      <c r="R3382" s="20"/>
      <c r="S3382" s="20"/>
      <c r="T3382" s="20"/>
    </row>
    <row r="3383" spans="1:21" x14ac:dyDescent="0.25">
      <c r="A3383" s="3">
        <v>41746</v>
      </c>
      <c r="B3383" s="36">
        <v>257</v>
      </c>
      <c r="C3383" t="s">
        <v>3974</v>
      </c>
      <c r="D3383">
        <v>5.25</v>
      </c>
      <c r="E3383" s="18">
        <v>525</v>
      </c>
      <c r="G3383" t="s">
        <v>3975</v>
      </c>
      <c r="H3383" s="18">
        <v>525</v>
      </c>
      <c r="I3383" s="3">
        <v>41746</v>
      </c>
      <c r="J3383"/>
      <c r="L3383"/>
      <c r="M3383"/>
      <c r="N3383" s="20"/>
      <c r="O3383"/>
      <c r="P3383" s="20"/>
      <c r="Q3383" s="20"/>
      <c r="R3383" s="20"/>
      <c r="S3383" s="20"/>
      <c r="T3383" s="20"/>
    </row>
    <row r="3384" spans="1:21" x14ac:dyDescent="0.25">
      <c r="B3384">
        <v>257</v>
      </c>
      <c r="C3384" t="s">
        <v>3964</v>
      </c>
      <c r="D3384">
        <v>2.75</v>
      </c>
      <c r="E3384" s="18">
        <v>-275</v>
      </c>
      <c r="F3384" t="s">
        <v>889</v>
      </c>
      <c r="G3384" t="s">
        <v>3965</v>
      </c>
      <c r="I3384"/>
      <c r="J3384"/>
      <c r="L3384"/>
      <c r="M3384"/>
      <c r="O3384"/>
      <c r="P3384" s="20"/>
      <c r="Q3384" s="20"/>
      <c r="R3384" s="20"/>
      <c r="S3384" s="20"/>
      <c r="T3384" s="20"/>
      <c r="U3384" t="s">
        <v>401</v>
      </c>
    </row>
    <row r="3385" spans="1:21" x14ac:dyDescent="0.25">
      <c r="B3385">
        <v>257</v>
      </c>
      <c r="C3385" t="s">
        <v>3974</v>
      </c>
      <c r="D3385">
        <v>5.25</v>
      </c>
      <c r="E3385" s="18">
        <v>-525</v>
      </c>
      <c r="G3385" t="s">
        <v>3975</v>
      </c>
      <c r="I3385"/>
      <c r="J3385"/>
      <c r="L3385"/>
      <c r="M3385"/>
      <c r="O3385"/>
      <c r="P3385" s="20"/>
      <c r="Q3385" s="20"/>
      <c r="R3385" s="20"/>
      <c r="S3385" s="20"/>
      <c r="T3385" s="20"/>
      <c r="U3385" t="s">
        <v>401</v>
      </c>
    </row>
    <row r="3386" spans="1:21" x14ac:dyDescent="0.25">
      <c r="B3386">
        <v>257</v>
      </c>
      <c r="C3386" t="s">
        <v>3968</v>
      </c>
      <c r="D3386">
        <v>3.895</v>
      </c>
      <c r="E3386" s="18">
        <v>-389.5</v>
      </c>
      <c r="F3386" t="s">
        <v>889</v>
      </c>
      <c r="G3386" t="s">
        <v>3969</v>
      </c>
      <c r="I3386"/>
      <c r="J3386"/>
      <c r="L3386"/>
      <c r="M3386"/>
      <c r="O3386"/>
      <c r="P3386" s="20"/>
      <c r="Q3386" s="20"/>
      <c r="R3386" s="20"/>
      <c r="S3386" s="20"/>
      <c r="T3386" s="20"/>
      <c r="U3386" t="s">
        <v>401</v>
      </c>
    </row>
    <row r="3387" spans="1:21" x14ac:dyDescent="0.25">
      <c r="B3387">
        <v>257</v>
      </c>
      <c r="C3387" t="s">
        <v>3972</v>
      </c>
      <c r="D3387">
        <v>3.75</v>
      </c>
      <c r="E3387" s="18">
        <v>-375</v>
      </c>
      <c r="F3387" t="s">
        <v>889</v>
      </c>
      <c r="G3387" t="s">
        <v>3973</v>
      </c>
      <c r="I3387"/>
      <c r="J3387"/>
      <c r="L3387"/>
      <c r="M3387"/>
      <c r="O3387"/>
      <c r="P3387" s="20"/>
      <c r="Q3387" s="20"/>
      <c r="R3387" s="20"/>
      <c r="S3387" s="20"/>
      <c r="T3387" s="20"/>
      <c r="U3387" t="s">
        <v>401</v>
      </c>
    </row>
    <row r="3388" spans="1:21" x14ac:dyDescent="0.25">
      <c r="B3388">
        <v>257</v>
      </c>
      <c r="C3388" t="s">
        <v>3970</v>
      </c>
      <c r="D3388">
        <v>3</v>
      </c>
      <c r="E3388" s="18">
        <v>-300</v>
      </c>
      <c r="G3388" t="s">
        <v>3971</v>
      </c>
      <c r="I3388"/>
      <c r="J3388"/>
      <c r="L3388"/>
      <c r="M3388"/>
      <c r="O3388"/>
      <c r="P3388" s="20"/>
      <c r="Q3388" s="20"/>
      <c r="R3388" s="20"/>
      <c r="S3388" s="20"/>
      <c r="T3388" s="20"/>
      <c r="U3388" t="s">
        <v>401</v>
      </c>
    </row>
    <row r="3389" spans="1:21" x14ac:dyDescent="0.25">
      <c r="B3389">
        <v>257</v>
      </c>
      <c r="C3389" t="s">
        <v>3966</v>
      </c>
      <c r="D3389">
        <v>7</v>
      </c>
      <c r="E3389" s="18">
        <v>-700</v>
      </c>
      <c r="G3389" t="s">
        <v>3967</v>
      </c>
      <c r="I3389"/>
      <c r="J3389"/>
      <c r="L3389"/>
      <c r="M3389"/>
      <c r="O3389"/>
      <c r="P3389" s="20"/>
      <c r="Q3389" s="20"/>
      <c r="R3389" s="20"/>
      <c r="S3389" s="20"/>
      <c r="T3389" s="20"/>
      <c r="U3389" t="s">
        <v>401</v>
      </c>
    </row>
    <row r="3390" spans="1:21" x14ac:dyDescent="0.25">
      <c r="A3390" s="3">
        <v>41838</v>
      </c>
      <c r="B3390" s="36">
        <v>260</v>
      </c>
      <c r="C3390" t="s">
        <v>3976</v>
      </c>
      <c r="D3390">
        <v>5.0999999999999996</v>
      </c>
      <c r="E3390" s="18">
        <v>509.99999999999994</v>
      </c>
      <c r="G3390" t="s">
        <v>3977</v>
      </c>
      <c r="H3390" s="18">
        <v>509.99999999999994</v>
      </c>
      <c r="I3390" s="3">
        <v>41838</v>
      </c>
      <c r="J3390"/>
      <c r="L3390"/>
      <c r="M3390"/>
      <c r="N3390" s="20"/>
      <c r="O3390" t="s">
        <v>931</v>
      </c>
      <c r="P3390" s="20"/>
      <c r="Q3390" s="20"/>
      <c r="R3390" s="20"/>
      <c r="S3390" s="20"/>
      <c r="T3390" s="20"/>
    </row>
    <row r="3391" spans="1:21" x14ac:dyDescent="0.25">
      <c r="A3391" s="3">
        <v>41873</v>
      </c>
      <c r="B3391" s="36">
        <v>260</v>
      </c>
      <c r="C3391" t="s">
        <v>3978</v>
      </c>
      <c r="D3391">
        <v>5.75</v>
      </c>
      <c r="E3391" s="18">
        <v>575</v>
      </c>
      <c r="F3391" t="s">
        <v>889</v>
      </c>
      <c r="G3391" t="s">
        <v>3979</v>
      </c>
      <c r="H3391" s="18">
        <v>575</v>
      </c>
      <c r="I3391" s="3">
        <v>41873</v>
      </c>
      <c r="J3391"/>
      <c r="L3391"/>
      <c r="M3391"/>
      <c r="N3391" s="20"/>
      <c r="O3391"/>
      <c r="P3391" s="20"/>
      <c r="Q3391" s="20"/>
      <c r="R3391" s="20"/>
      <c r="S3391" s="20"/>
      <c r="T3391" s="20"/>
    </row>
    <row r="3392" spans="1:21" x14ac:dyDescent="0.25">
      <c r="A3392" s="3">
        <v>41879</v>
      </c>
      <c r="B3392" s="36">
        <v>260</v>
      </c>
      <c r="C3392" t="s">
        <v>3980</v>
      </c>
      <c r="D3392">
        <v>7.5</v>
      </c>
      <c r="E3392" s="18">
        <v>825</v>
      </c>
      <c r="F3392" t="s">
        <v>889</v>
      </c>
      <c r="G3392" t="s">
        <v>3981</v>
      </c>
      <c r="H3392" s="18">
        <v>825</v>
      </c>
      <c r="I3392" s="3">
        <v>41879</v>
      </c>
      <c r="J3392"/>
      <c r="L3392"/>
      <c r="M3392"/>
      <c r="N3392" s="20"/>
      <c r="O3392"/>
      <c r="P3392" s="20"/>
      <c r="Q3392" s="20"/>
      <c r="R3392" s="20"/>
      <c r="S3392" s="20"/>
      <c r="T3392" s="20"/>
    </row>
    <row r="3393" spans="1:21" x14ac:dyDescent="0.25">
      <c r="A3393" s="3">
        <v>41886</v>
      </c>
      <c r="B3393" s="36">
        <v>260</v>
      </c>
      <c r="C3393" t="s">
        <v>3982</v>
      </c>
      <c r="D3393">
        <v>4.25</v>
      </c>
      <c r="E3393" s="18">
        <v>425</v>
      </c>
      <c r="F3393" t="s">
        <v>889</v>
      </c>
      <c r="G3393" t="s">
        <v>3983</v>
      </c>
      <c r="H3393" s="18">
        <v>425</v>
      </c>
      <c r="I3393" s="3">
        <v>41886</v>
      </c>
      <c r="J3393"/>
      <c r="L3393"/>
      <c r="M3393"/>
      <c r="N3393" s="20"/>
      <c r="O3393" t="s">
        <v>1107</v>
      </c>
      <c r="P3393" s="20"/>
      <c r="Q3393" s="20"/>
      <c r="R3393" s="20"/>
      <c r="S3393" s="20"/>
      <c r="T3393" s="20"/>
    </row>
    <row r="3394" spans="1:21" x14ac:dyDescent="0.25">
      <c r="B3394">
        <v>260</v>
      </c>
      <c r="C3394" t="s">
        <v>3976</v>
      </c>
      <c r="D3394">
        <v>5.0999999999999996</v>
      </c>
      <c r="E3394" s="18">
        <v>-510</v>
      </c>
      <c r="F3394" t="s">
        <v>889</v>
      </c>
      <c r="G3394" t="s">
        <v>3977</v>
      </c>
      <c r="I3394"/>
      <c r="J3394"/>
      <c r="L3394"/>
      <c r="M3394"/>
      <c r="O3394"/>
      <c r="P3394" s="20"/>
      <c r="Q3394" s="20"/>
      <c r="R3394" s="20"/>
      <c r="S3394" s="20"/>
      <c r="T3394" s="20"/>
      <c r="U3394" t="s">
        <v>401</v>
      </c>
    </row>
    <row r="3395" spans="1:21" x14ac:dyDescent="0.25">
      <c r="A3395" s="21">
        <v>41845</v>
      </c>
      <c r="B3395" s="36">
        <v>261</v>
      </c>
      <c r="C3395" s="20" t="s">
        <v>3984</v>
      </c>
      <c r="D3395" s="20">
        <v>7.14</v>
      </c>
      <c r="E3395" s="59">
        <v>714</v>
      </c>
      <c r="F3395" s="20"/>
      <c r="G3395" t="s">
        <v>3985</v>
      </c>
      <c r="H3395" s="18">
        <v>714</v>
      </c>
      <c r="I3395" s="3">
        <v>41845</v>
      </c>
      <c r="J3395"/>
      <c r="L3395"/>
      <c r="M3395"/>
      <c r="N3395" s="20"/>
      <c r="O3395" s="20" t="s">
        <v>931</v>
      </c>
      <c r="P3395" s="20"/>
      <c r="Q3395" s="20"/>
      <c r="R3395" s="20"/>
      <c r="S3395" s="20"/>
      <c r="T3395" s="20"/>
    </row>
    <row r="3396" spans="1:21" x14ac:dyDescent="0.25">
      <c r="A3396" s="21">
        <v>41845</v>
      </c>
      <c r="B3396" s="36">
        <v>261</v>
      </c>
      <c r="C3396" s="20" t="s">
        <v>3986</v>
      </c>
      <c r="D3396" s="20">
        <v>7</v>
      </c>
      <c r="E3396" s="59">
        <v>700</v>
      </c>
      <c r="F3396" s="20"/>
      <c r="G3396" t="s">
        <v>3987</v>
      </c>
      <c r="H3396" s="18">
        <v>700</v>
      </c>
      <c r="I3396" s="3">
        <v>41845</v>
      </c>
      <c r="J3396"/>
      <c r="L3396"/>
      <c r="M3396"/>
      <c r="N3396" s="20"/>
      <c r="O3396" s="20" t="s">
        <v>931</v>
      </c>
      <c r="P3396" s="20"/>
      <c r="Q3396" s="20"/>
      <c r="R3396" s="20"/>
      <c r="S3396" s="20"/>
      <c r="T3396" s="20"/>
    </row>
    <row r="3397" spans="1:21" x14ac:dyDescent="0.25">
      <c r="A3397" s="21">
        <v>41845</v>
      </c>
      <c r="B3397" s="36">
        <v>261</v>
      </c>
      <c r="C3397" s="20" t="s">
        <v>3988</v>
      </c>
      <c r="D3397" s="20">
        <v>4.75</v>
      </c>
      <c r="E3397" s="59">
        <v>475</v>
      </c>
      <c r="F3397" s="20"/>
      <c r="G3397" t="s">
        <v>3989</v>
      </c>
      <c r="H3397" s="18">
        <v>475</v>
      </c>
      <c r="I3397" s="3">
        <v>41845</v>
      </c>
      <c r="J3397"/>
      <c r="L3397"/>
      <c r="M3397"/>
      <c r="N3397" s="20"/>
      <c r="O3397" s="20" t="s">
        <v>931</v>
      </c>
      <c r="P3397" s="20"/>
      <c r="Q3397" s="20"/>
      <c r="R3397" s="20"/>
      <c r="S3397" s="20"/>
      <c r="T3397" s="20"/>
    </row>
    <row r="3398" spans="1:21" x14ac:dyDescent="0.25">
      <c r="A3398" s="21">
        <v>41853</v>
      </c>
      <c r="B3398" s="36">
        <v>261</v>
      </c>
      <c r="C3398" s="20" t="s">
        <v>3990</v>
      </c>
      <c r="D3398" s="20">
        <v>4.75</v>
      </c>
      <c r="E3398" s="59">
        <v>475</v>
      </c>
      <c r="F3398" s="20" t="s">
        <v>889</v>
      </c>
      <c r="G3398" t="s">
        <v>3991</v>
      </c>
      <c r="H3398" s="18">
        <v>475</v>
      </c>
      <c r="I3398" s="3">
        <v>41853</v>
      </c>
      <c r="J3398"/>
      <c r="L3398"/>
      <c r="M3398"/>
      <c r="N3398" s="20"/>
      <c r="O3398" s="20" t="s">
        <v>931</v>
      </c>
      <c r="P3398" s="20"/>
      <c r="Q3398" s="20"/>
      <c r="R3398" s="20"/>
      <c r="S3398" s="20"/>
      <c r="T3398" s="20"/>
    </row>
    <row r="3399" spans="1:21" x14ac:dyDescent="0.25">
      <c r="A3399" s="21">
        <v>41853</v>
      </c>
      <c r="B3399" s="36">
        <v>261</v>
      </c>
      <c r="C3399" s="20" t="s">
        <v>3992</v>
      </c>
      <c r="D3399" s="20">
        <v>2.5</v>
      </c>
      <c r="E3399" s="59">
        <v>250</v>
      </c>
      <c r="F3399" s="20" t="s">
        <v>889</v>
      </c>
      <c r="G3399" t="s">
        <v>3993</v>
      </c>
      <c r="H3399" s="18">
        <v>250</v>
      </c>
      <c r="I3399" s="3">
        <v>41853</v>
      </c>
      <c r="J3399"/>
      <c r="L3399"/>
      <c r="M3399"/>
      <c r="N3399" s="20"/>
      <c r="O3399" s="20" t="s">
        <v>931</v>
      </c>
      <c r="P3399" s="20"/>
      <c r="Q3399" s="20"/>
      <c r="R3399" s="20"/>
      <c r="S3399" s="20"/>
      <c r="T3399" s="20"/>
    </row>
    <row r="3400" spans="1:21" x14ac:dyDescent="0.25">
      <c r="A3400" s="21">
        <v>41853</v>
      </c>
      <c r="B3400" s="36">
        <v>261</v>
      </c>
      <c r="C3400" s="20" t="s">
        <v>3994</v>
      </c>
      <c r="D3400" s="20">
        <v>4</v>
      </c>
      <c r="E3400" s="59">
        <v>400</v>
      </c>
      <c r="F3400" s="20" t="s">
        <v>889</v>
      </c>
      <c r="G3400" t="s">
        <v>3995</v>
      </c>
      <c r="H3400" s="18">
        <v>400</v>
      </c>
      <c r="I3400" s="3">
        <v>41853</v>
      </c>
      <c r="J3400"/>
      <c r="L3400"/>
      <c r="M3400"/>
      <c r="N3400" s="20"/>
      <c r="O3400" s="20" t="s">
        <v>931</v>
      </c>
      <c r="P3400" s="20"/>
      <c r="Q3400" s="20"/>
      <c r="R3400" s="20"/>
      <c r="S3400" s="20"/>
      <c r="T3400" s="20"/>
    </row>
    <row r="3401" spans="1:21" x14ac:dyDescent="0.25">
      <c r="A3401" s="21">
        <v>41859</v>
      </c>
      <c r="B3401" s="36">
        <v>261</v>
      </c>
      <c r="C3401" s="20" t="s">
        <v>3996</v>
      </c>
      <c r="D3401" s="20">
        <v>8.25</v>
      </c>
      <c r="E3401" s="59">
        <v>825</v>
      </c>
      <c r="F3401" s="20" t="s">
        <v>889</v>
      </c>
      <c r="G3401" t="s">
        <v>3997</v>
      </c>
      <c r="H3401" s="18">
        <v>825</v>
      </c>
      <c r="I3401" s="3">
        <v>41859</v>
      </c>
      <c r="J3401"/>
      <c r="L3401"/>
      <c r="M3401"/>
      <c r="N3401" s="20"/>
      <c r="O3401" s="20"/>
      <c r="P3401" s="20"/>
      <c r="Q3401" s="20"/>
      <c r="R3401" s="20"/>
      <c r="S3401" s="20"/>
      <c r="T3401" s="20"/>
    </row>
    <row r="3402" spans="1:21" x14ac:dyDescent="0.25">
      <c r="A3402" s="21">
        <v>41859</v>
      </c>
      <c r="B3402" s="36">
        <v>261</v>
      </c>
      <c r="C3402" s="20" t="s">
        <v>3990</v>
      </c>
      <c r="D3402" s="20">
        <v>4.75</v>
      </c>
      <c r="E3402" s="59">
        <v>-475</v>
      </c>
      <c r="F3402" s="20" t="s">
        <v>889</v>
      </c>
      <c r="G3402" t="s">
        <v>3991</v>
      </c>
      <c r="H3402" s="18" t="s">
        <v>442</v>
      </c>
      <c r="I3402" s="3" t="s">
        <v>442</v>
      </c>
      <c r="J3402"/>
      <c r="L3402"/>
      <c r="M3402"/>
      <c r="N3402" s="20"/>
      <c r="O3402" s="20"/>
      <c r="P3402" s="20"/>
      <c r="Q3402" s="20"/>
      <c r="R3402" s="20"/>
      <c r="S3402" s="20"/>
      <c r="T3402" s="20"/>
    </row>
    <row r="3403" spans="1:21" x14ac:dyDescent="0.25">
      <c r="A3403" s="21">
        <v>41859</v>
      </c>
      <c r="B3403" s="36">
        <v>261</v>
      </c>
      <c r="C3403" s="20" t="s">
        <v>3998</v>
      </c>
      <c r="D3403" s="20">
        <v>5.75</v>
      </c>
      <c r="E3403" s="59">
        <v>575</v>
      </c>
      <c r="F3403" s="20" t="s">
        <v>889</v>
      </c>
      <c r="G3403" t="s">
        <v>3999</v>
      </c>
      <c r="H3403" s="18">
        <v>575</v>
      </c>
      <c r="I3403" s="3">
        <v>41859</v>
      </c>
      <c r="J3403"/>
      <c r="L3403"/>
      <c r="M3403"/>
      <c r="N3403" s="20"/>
      <c r="O3403" s="20"/>
      <c r="P3403" s="20"/>
      <c r="Q3403" s="20"/>
      <c r="R3403" s="20"/>
      <c r="S3403" s="20"/>
      <c r="T3403" s="20"/>
    </row>
    <row r="3404" spans="1:21" x14ac:dyDescent="0.25">
      <c r="A3404" s="21">
        <v>41859</v>
      </c>
      <c r="B3404" s="36">
        <v>261</v>
      </c>
      <c r="C3404" s="20" t="s">
        <v>4000</v>
      </c>
      <c r="D3404" s="20">
        <v>10.5</v>
      </c>
      <c r="E3404" s="59">
        <v>1050</v>
      </c>
      <c r="F3404" s="20" t="s">
        <v>889</v>
      </c>
      <c r="G3404" t="s">
        <v>4001</v>
      </c>
      <c r="H3404" s="18">
        <v>1050</v>
      </c>
      <c r="I3404" s="3">
        <v>41859</v>
      </c>
      <c r="J3404"/>
      <c r="L3404"/>
      <c r="M3404"/>
      <c r="N3404" s="20"/>
      <c r="O3404" s="20"/>
      <c r="P3404" s="20"/>
      <c r="Q3404" s="20"/>
      <c r="R3404" s="20"/>
      <c r="S3404" s="20"/>
      <c r="T3404" s="20"/>
    </row>
    <row r="3405" spans="1:21" x14ac:dyDescent="0.25">
      <c r="A3405" s="21">
        <v>41866</v>
      </c>
      <c r="B3405" s="36">
        <v>261</v>
      </c>
      <c r="C3405" s="20" t="s">
        <v>4000</v>
      </c>
      <c r="D3405" s="20">
        <v>10.5</v>
      </c>
      <c r="E3405" s="59">
        <v>-1050</v>
      </c>
      <c r="F3405" s="20" t="s">
        <v>889</v>
      </c>
      <c r="G3405" t="s">
        <v>4001</v>
      </c>
      <c r="H3405" s="18" t="s">
        <v>442</v>
      </c>
      <c r="I3405" s="3" t="s">
        <v>442</v>
      </c>
      <c r="J3405"/>
      <c r="L3405"/>
      <c r="M3405"/>
      <c r="N3405" s="20"/>
      <c r="O3405" s="20"/>
      <c r="P3405" s="20"/>
      <c r="Q3405" s="20"/>
      <c r="R3405" s="20"/>
      <c r="S3405" s="20"/>
      <c r="T3405" s="20"/>
    </row>
    <row r="3406" spans="1:21" x14ac:dyDescent="0.25">
      <c r="A3406" s="21">
        <v>41866</v>
      </c>
      <c r="B3406" s="36">
        <v>261</v>
      </c>
      <c r="C3406" s="20" t="s">
        <v>4002</v>
      </c>
      <c r="D3406" s="20">
        <v>6.5</v>
      </c>
      <c r="E3406" s="59">
        <v>650</v>
      </c>
      <c r="F3406" s="20" t="s">
        <v>889</v>
      </c>
      <c r="G3406" t="s">
        <v>4003</v>
      </c>
      <c r="H3406" s="18">
        <v>650</v>
      </c>
      <c r="I3406" s="3">
        <v>41866</v>
      </c>
      <c r="J3406"/>
      <c r="L3406"/>
      <c r="M3406"/>
      <c r="N3406" s="20"/>
      <c r="O3406" s="20"/>
      <c r="P3406" s="20"/>
      <c r="Q3406" s="20"/>
      <c r="R3406" s="20"/>
      <c r="S3406" s="20"/>
      <c r="T3406" s="20"/>
    </row>
    <row r="3407" spans="1:21" x14ac:dyDescent="0.25">
      <c r="A3407" s="21">
        <v>41866</v>
      </c>
      <c r="B3407" s="36">
        <v>261</v>
      </c>
      <c r="C3407" s="20" t="s">
        <v>4004</v>
      </c>
      <c r="D3407" s="20">
        <v>7.5</v>
      </c>
      <c r="E3407" s="59">
        <v>750</v>
      </c>
      <c r="F3407" s="20" t="s">
        <v>889</v>
      </c>
      <c r="G3407" t="s">
        <v>4005</v>
      </c>
      <c r="H3407" s="18">
        <v>750</v>
      </c>
      <c r="I3407" s="3">
        <v>41866</v>
      </c>
      <c r="J3407"/>
      <c r="L3407"/>
      <c r="M3407"/>
      <c r="N3407" s="20"/>
      <c r="O3407" s="20"/>
      <c r="P3407" s="20"/>
      <c r="Q3407" s="20"/>
      <c r="R3407" s="20"/>
      <c r="S3407" s="20"/>
      <c r="T3407" s="20"/>
    </row>
    <row r="3408" spans="1:21" x14ac:dyDescent="0.25">
      <c r="A3408" s="21">
        <v>41866</v>
      </c>
      <c r="B3408" s="36">
        <v>261</v>
      </c>
      <c r="C3408" s="20" t="s">
        <v>4006</v>
      </c>
      <c r="D3408" s="20">
        <v>4.5</v>
      </c>
      <c r="E3408" s="59">
        <v>450</v>
      </c>
      <c r="F3408" s="20" t="s">
        <v>889</v>
      </c>
      <c r="G3408" t="s">
        <v>4007</v>
      </c>
      <c r="H3408" s="18">
        <v>450</v>
      </c>
      <c r="I3408" s="3">
        <v>41866</v>
      </c>
      <c r="J3408"/>
      <c r="L3408"/>
      <c r="M3408"/>
      <c r="N3408" s="20"/>
      <c r="O3408" s="20"/>
      <c r="P3408" s="20"/>
      <c r="Q3408" s="20"/>
      <c r="R3408" s="20"/>
      <c r="S3408" s="20"/>
      <c r="T3408" s="20"/>
    </row>
    <row r="3409" spans="1:20" x14ac:dyDescent="0.25">
      <c r="A3409" s="21">
        <v>41873</v>
      </c>
      <c r="B3409" s="36">
        <v>261</v>
      </c>
      <c r="C3409" s="20" t="s">
        <v>4008</v>
      </c>
      <c r="D3409" s="20"/>
      <c r="E3409" s="59">
        <v>500</v>
      </c>
      <c r="F3409" s="20" t="s">
        <v>889</v>
      </c>
      <c r="G3409" t="s">
        <v>442</v>
      </c>
      <c r="H3409" s="18" t="s">
        <v>442</v>
      </c>
      <c r="I3409" s="3" t="s">
        <v>442</v>
      </c>
      <c r="J3409"/>
      <c r="L3409"/>
      <c r="M3409"/>
      <c r="N3409" s="20"/>
      <c r="O3409" s="20"/>
      <c r="P3409" s="20"/>
      <c r="Q3409" s="20"/>
      <c r="R3409" s="20"/>
      <c r="S3409" s="20"/>
      <c r="T3409" s="20" t="s">
        <v>401</v>
      </c>
    </row>
    <row r="3410" spans="1:20" x14ac:dyDescent="0.25">
      <c r="A3410" s="21">
        <v>41880</v>
      </c>
      <c r="B3410" s="36">
        <v>261</v>
      </c>
      <c r="C3410" s="20" t="s">
        <v>4008</v>
      </c>
      <c r="D3410" s="20"/>
      <c r="E3410" s="59">
        <v>-500</v>
      </c>
      <c r="F3410" s="20" t="s">
        <v>889</v>
      </c>
      <c r="G3410" t="s">
        <v>442</v>
      </c>
      <c r="H3410" s="18" t="s">
        <v>442</v>
      </c>
      <c r="I3410" s="3" t="s">
        <v>442</v>
      </c>
      <c r="J3410"/>
      <c r="L3410"/>
      <c r="M3410"/>
      <c r="N3410" s="20"/>
      <c r="O3410" s="20"/>
      <c r="P3410" s="20"/>
      <c r="Q3410" s="20"/>
      <c r="R3410" s="20"/>
      <c r="S3410" s="20"/>
      <c r="T3410" s="20" t="s">
        <v>401</v>
      </c>
    </row>
    <row r="3411" spans="1:20" x14ac:dyDescent="0.25">
      <c r="A3411" s="21">
        <v>41880</v>
      </c>
      <c r="B3411" s="36">
        <v>261</v>
      </c>
      <c r="C3411" s="20" t="s">
        <v>3994</v>
      </c>
      <c r="D3411" s="20">
        <v>4</v>
      </c>
      <c r="E3411" s="59">
        <v>-400</v>
      </c>
      <c r="F3411" s="20" t="s">
        <v>889</v>
      </c>
      <c r="G3411" t="s">
        <v>3995</v>
      </c>
      <c r="H3411" s="18" t="s">
        <v>442</v>
      </c>
      <c r="I3411" s="3" t="s">
        <v>442</v>
      </c>
      <c r="J3411"/>
      <c r="L3411"/>
      <c r="M3411"/>
      <c r="N3411" s="20"/>
      <c r="O3411" s="20"/>
      <c r="P3411" s="20"/>
      <c r="Q3411" s="20"/>
      <c r="R3411" s="20"/>
      <c r="S3411" s="20"/>
      <c r="T3411" s="20"/>
    </row>
    <row r="3412" spans="1:20" x14ac:dyDescent="0.25">
      <c r="A3412" s="21">
        <v>41880</v>
      </c>
      <c r="B3412" s="36">
        <v>261</v>
      </c>
      <c r="C3412" s="20" t="s">
        <v>4009</v>
      </c>
      <c r="D3412" s="20">
        <v>12</v>
      </c>
      <c r="E3412" s="59">
        <v>1200</v>
      </c>
      <c r="F3412" s="20" t="s">
        <v>889</v>
      </c>
      <c r="G3412" t="s">
        <v>4010</v>
      </c>
      <c r="H3412" s="18">
        <v>1200</v>
      </c>
      <c r="I3412" s="3">
        <v>41880</v>
      </c>
      <c r="J3412"/>
      <c r="L3412"/>
      <c r="M3412"/>
      <c r="N3412" s="20"/>
      <c r="O3412" s="20"/>
      <c r="P3412" s="20"/>
      <c r="Q3412" s="20"/>
      <c r="R3412" s="20"/>
      <c r="S3412" s="20"/>
      <c r="T3412" s="20"/>
    </row>
    <row r="3413" spans="1:20" x14ac:dyDescent="0.25">
      <c r="A3413" s="21">
        <v>41880</v>
      </c>
      <c r="B3413" s="36">
        <v>261</v>
      </c>
      <c r="C3413" s="20" t="s">
        <v>4011</v>
      </c>
      <c r="D3413" s="20">
        <v>9.5</v>
      </c>
      <c r="E3413" s="59">
        <v>950</v>
      </c>
      <c r="F3413" s="20" t="s">
        <v>889</v>
      </c>
      <c r="G3413" t="s">
        <v>4012</v>
      </c>
      <c r="H3413" s="18">
        <v>950</v>
      </c>
      <c r="I3413" s="3">
        <v>41880</v>
      </c>
      <c r="J3413"/>
      <c r="L3413"/>
      <c r="M3413"/>
      <c r="N3413" s="20"/>
      <c r="O3413" s="20"/>
      <c r="P3413" s="20"/>
      <c r="Q3413" s="20"/>
      <c r="R3413" s="20"/>
      <c r="S3413" s="20"/>
      <c r="T3413" s="20"/>
    </row>
    <row r="3414" spans="1:20" x14ac:dyDescent="0.25">
      <c r="A3414" s="21">
        <v>41880</v>
      </c>
      <c r="B3414" s="36">
        <v>261</v>
      </c>
      <c r="C3414" s="20" t="s">
        <v>4013</v>
      </c>
      <c r="D3414" s="20">
        <v>5.75</v>
      </c>
      <c r="E3414" s="59">
        <v>575</v>
      </c>
      <c r="F3414" s="20" t="s">
        <v>889</v>
      </c>
      <c r="G3414" t="s">
        <v>4014</v>
      </c>
      <c r="H3414" s="18">
        <v>575</v>
      </c>
      <c r="I3414" s="3">
        <v>41880</v>
      </c>
      <c r="J3414"/>
      <c r="L3414"/>
      <c r="M3414"/>
      <c r="N3414" s="20"/>
      <c r="O3414" s="20"/>
      <c r="P3414" s="20"/>
      <c r="Q3414" s="20"/>
      <c r="R3414" s="20"/>
      <c r="S3414" s="20"/>
      <c r="T3414" s="20"/>
    </row>
    <row r="3415" spans="1:20" x14ac:dyDescent="0.25">
      <c r="A3415" s="21">
        <v>41887</v>
      </c>
      <c r="B3415" s="36">
        <v>261</v>
      </c>
      <c r="C3415" s="20" t="s">
        <v>4015</v>
      </c>
      <c r="D3415" s="20">
        <v>10</v>
      </c>
      <c r="E3415" s="59">
        <v>1000</v>
      </c>
      <c r="F3415" s="20"/>
      <c r="G3415" t="s">
        <v>4016</v>
      </c>
      <c r="H3415" s="18">
        <v>1000</v>
      </c>
      <c r="I3415" s="3">
        <v>41887</v>
      </c>
      <c r="J3415"/>
      <c r="L3415"/>
      <c r="M3415"/>
      <c r="N3415" s="20"/>
      <c r="O3415" s="20"/>
      <c r="P3415" s="20"/>
      <c r="Q3415" s="20"/>
      <c r="R3415" s="20"/>
      <c r="S3415" s="20"/>
      <c r="T3415" s="20"/>
    </row>
    <row r="3416" spans="1:20" x14ac:dyDescent="0.25">
      <c r="A3416" s="21">
        <v>41887</v>
      </c>
      <c r="B3416" s="36">
        <v>261</v>
      </c>
      <c r="C3416" s="20" t="s">
        <v>4017</v>
      </c>
      <c r="D3416" s="20">
        <v>6.25</v>
      </c>
      <c r="E3416" s="59">
        <v>625</v>
      </c>
      <c r="F3416" s="20"/>
      <c r="G3416" t="s">
        <v>4018</v>
      </c>
      <c r="H3416" s="18">
        <v>625</v>
      </c>
      <c r="I3416" s="3">
        <v>41887</v>
      </c>
      <c r="J3416"/>
      <c r="L3416"/>
      <c r="M3416"/>
      <c r="N3416" s="20"/>
      <c r="O3416" s="20"/>
      <c r="P3416" s="20"/>
      <c r="Q3416" s="20"/>
      <c r="R3416" s="20"/>
      <c r="S3416" s="20"/>
      <c r="T3416" s="20"/>
    </row>
    <row r="3417" spans="1:20" x14ac:dyDescent="0.25">
      <c r="A3417" s="21">
        <v>41887</v>
      </c>
      <c r="B3417" s="36">
        <v>261</v>
      </c>
      <c r="C3417" s="20" t="s">
        <v>4019</v>
      </c>
      <c r="D3417" s="20">
        <v>9.5</v>
      </c>
      <c r="E3417" s="59">
        <v>950</v>
      </c>
      <c r="F3417" s="20"/>
      <c r="G3417" t="s">
        <v>4020</v>
      </c>
      <c r="H3417" s="18">
        <v>950</v>
      </c>
      <c r="I3417" s="3">
        <v>41887</v>
      </c>
      <c r="J3417"/>
      <c r="L3417"/>
      <c r="M3417"/>
      <c r="N3417" s="20"/>
      <c r="O3417" s="20"/>
      <c r="P3417" s="20"/>
      <c r="Q3417" s="20"/>
      <c r="R3417" s="20"/>
      <c r="S3417" s="20"/>
      <c r="T3417" s="20"/>
    </row>
    <row r="3418" spans="1:20" x14ac:dyDescent="0.25">
      <c r="A3418" s="21">
        <v>41887</v>
      </c>
      <c r="B3418" s="36">
        <v>261</v>
      </c>
      <c r="C3418" s="20" t="s">
        <v>4021</v>
      </c>
      <c r="D3418" s="20">
        <v>9.25</v>
      </c>
      <c r="E3418" s="59">
        <v>925</v>
      </c>
      <c r="F3418" s="20"/>
      <c r="G3418" t="s">
        <v>4022</v>
      </c>
      <c r="H3418" s="18">
        <v>925</v>
      </c>
      <c r="I3418" s="3">
        <v>41887</v>
      </c>
      <c r="J3418"/>
      <c r="L3418"/>
      <c r="M3418"/>
      <c r="N3418" s="20"/>
      <c r="O3418" s="20"/>
      <c r="P3418" s="20"/>
      <c r="Q3418" s="20"/>
      <c r="R3418" s="20"/>
      <c r="S3418" s="20"/>
      <c r="T3418" s="20"/>
    </row>
    <row r="3419" spans="1:20" x14ac:dyDescent="0.25">
      <c r="A3419" s="21">
        <v>41887</v>
      </c>
      <c r="B3419" s="36">
        <v>261</v>
      </c>
      <c r="C3419" s="20" t="s">
        <v>4023</v>
      </c>
      <c r="D3419" s="20">
        <v>6.5</v>
      </c>
      <c r="E3419" s="59">
        <v>650</v>
      </c>
      <c r="F3419" s="20"/>
      <c r="G3419" t="s">
        <v>4024</v>
      </c>
      <c r="H3419" s="18">
        <v>650</v>
      </c>
      <c r="I3419" s="3">
        <v>41887</v>
      </c>
      <c r="J3419"/>
      <c r="L3419"/>
      <c r="M3419"/>
      <c r="N3419" s="20"/>
      <c r="O3419" s="20"/>
      <c r="P3419" s="20"/>
      <c r="Q3419" s="20"/>
      <c r="R3419" s="20"/>
      <c r="S3419" s="20"/>
      <c r="T3419" s="20"/>
    </row>
    <row r="3420" spans="1:20" x14ac:dyDescent="0.25">
      <c r="A3420" s="21">
        <v>41894</v>
      </c>
      <c r="B3420" s="36">
        <v>261</v>
      </c>
      <c r="C3420" s="20" t="s">
        <v>4025</v>
      </c>
      <c r="D3420" s="20">
        <v>7.75</v>
      </c>
      <c r="E3420" s="59">
        <v>775</v>
      </c>
      <c r="F3420" s="20" t="s">
        <v>889</v>
      </c>
      <c r="G3420" t="s">
        <v>4026</v>
      </c>
      <c r="H3420" s="18">
        <v>775</v>
      </c>
      <c r="I3420" s="3">
        <v>41894</v>
      </c>
      <c r="J3420"/>
      <c r="L3420"/>
      <c r="M3420"/>
      <c r="N3420" s="20"/>
      <c r="O3420" s="20"/>
      <c r="P3420" s="20"/>
      <c r="Q3420" s="20"/>
      <c r="R3420" s="20"/>
      <c r="S3420" s="20"/>
      <c r="T3420" s="20"/>
    </row>
    <row r="3421" spans="1:20" x14ac:dyDescent="0.25">
      <c r="A3421" s="21">
        <v>41894</v>
      </c>
      <c r="B3421" s="36">
        <v>261</v>
      </c>
      <c r="C3421" s="20" t="s">
        <v>3996</v>
      </c>
      <c r="D3421" s="20">
        <v>8.25</v>
      </c>
      <c r="E3421" s="59">
        <v>-825</v>
      </c>
      <c r="F3421" s="20" t="s">
        <v>889</v>
      </c>
      <c r="G3421" t="s">
        <v>3997</v>
      </c>
      <c r="H3421" s="18" t="s">
        <v>442</v>
      </c>
      <c r="I3421" s="3" t="s">
        <v>442</v>
      </c>
      <c r="J3421"/>
      <c r="L3421"/>
      <c r="M3421"/>
      <c r="N3421" s="20"/>
      <c r="O3421" s="20"/>
      <c r="P3421" s="20"/>
      <c r="Q3421" s="20"/>
      <c r="R3421" s="20"/>
      <c r="S3421" s="20"/>
      <c r="T3421" s="20"/>
    </row>
    <row r="3422" spans="1:20" x14ac:dyDescent="0.25">
      <c r="A3422" s="21">
        <v>41894</v>
      </c>
      <c r="B3422" s="36">
        <v>261</v>
      </c>
      <c r="C3422" s="20" t="s">
        <v>4027</v>
      </c>
      <c r="D3422" s="20">
        <v>7.75</v>
      </c>
      <c r="E3422" s="59">
        <v>775</v>
      </c>
      <c r="F3422" s="20" t="s">
        <v>889</v>
      </c>
      <c r="G3422" t="s">
        <v>4028</v>
      </c>
      <c r="H3422" s="18">
        <v>775</v>
      </c>
      <c r="I3422" s="3">
        <v>41894</v>
      </c>
      <c r="J3422"/>
      <c r="L3422"/>
      <c r="M3422"/>
      <c r="N3422" s="20"/>
      <c r="O3422" s="20"/>
      <c r="P3422" s="20"/>
      <c r="Q3422" s="20"/>
      <c r="R3422" s="20"/>
      <c r="S3422" s="20"/>
      <c r="T3422" s="20"/>
    </row>
    <row r="3423" spans="1:20" x14ac:dyDescent="0.25">
      <c r="A3423" s="21">
        <v>41894</v>
      </c>
      <c r="B3423" s="36">
        <v>261</v>
      </c>
      <c r="C3423" s="20" t="s">
        <v>4029</v>
      </c>
      <c r="D3423" s="20">
        <v>5.5</v>
      </c>
      <c r="E3423" s="59">
        <v>550</v>
      </c>
      <c r="F3423" s="20" t="s">
        <v>889</v>
      </c>
      <c r="G3423" t="s">
        <v>4030</v>
      </c>
      <c r="H3423" s="18">
        <v>550</v>
      </c>
      <c r="I3423" s="3">
        <v>41894</v>
      </c>
      <c r="J3423"/>
      <c r="L3423"/>
      <c r="M3423"/>
      <c r="N3423" s="20"/>
      <c r="O3423" s="20"/>
      <c r="P3423" s="20"/>
      <c r="Q3423" s="20"/>
      <c r="R3423" s="20"/>
      <c r="S3423" s="20"/>
      <c r="T3423" s="20"/>
    </row>
    <row r="3424" spans="1:20" x14ac:dyDescent="0.25">
      <c r="A3424" s="21">
        <v>41894</v>
      </c>
      <c r="B3424" s="36">
        <v>261</v>
      </c>
      <c r="C3424" s="20" t="s">
        <v>4031</v>
      </c>
      <c r="D3424" s="20">
        <v>6.75</v>
      </c>
      <c r="E3424" s="59">
        <v>675</v>
      </c>
      <c r="F3424" s="20" t="s">
        <v>889</v>
      </c>
      <c r="G3424" t="s">
        <v>4032</v>
      </c>
      <c r="H3424" s="18">
        <v>675</v>
      </c>
      <c r="I3424" s="3">
        <v>41894</v>
      </c>
      <c r="J3424"/>
      <c r="L3424"/>
      <c r="M3424"/>
      <c r="N3424" s="20"/>
      <c r="O3424" s="20"/>
      <c r="P3424" s="20"/>
      <c r="Q3424" s="20"/>
      <c r="R3424" s="20"/>
      <c r="S3424" s="20"/>
      <c r="T3424" s="20"/>
    </row>
    <row r="3425" spans="1:20" x14ac:dyDescent="0.25">
      <c r="A3425" s="21">
        <v>41894</v>
      </c>
      <c r="B3425" s="36">
        <v>261</v>
      </c>
      <c r="C3425" s="20" t="s">
        <v>4021</v>
      </c>
      <c r="D3425" s="20">
        <v>9.25</v>
      </c>
      <c r="E3425" s="59">
        <v>-925</v>
      </c>
      <c r="F3425" s="20" t="s">
        <v>889</v>
      </c>
      <c r="G3425" t="s">
        <v>4022</v>
      </c>
      <c r="H3425" s="18" t="s">
        <v>442</v>
      </c>
      <c r="I3425" s="3" t="s">
        <v>442</v>
      </c>
      <c r="J3425"/>
      <c r="L3425"/>
      <c r="M3425"/>
      <c r="N3425" s="20"/>
      <c r="O3425" s="20"/>
      <c r="P3425" s="20"/>
      <c r="Q3425" s="20"/>
      <c r="R3425" s="20"/>
      <c r="S3425" s="20"/>
      <c r="T3425" s="20"/>
    </row>
    <row r="3426" spans="1:20" x14ac:dyDescent="0.25">
      <c r="A3426" s="21">
        <v>41894</v>
      </c>
      <c r="B3426" s="36">
        <v>261</v>
      </c>
      <c r="C3426" s="20" t="s">
        <v>4033</v>
      </c>
      <c r="D3426" s="20">
        <v>9</v>
      </c>
      <c r="E3426" s="59">
        <v>900</v>
      </c>
      <c r="F3426" s="20" t="s">
        <v>889</v>
      </c>
      <c r="G3426" t="s">
        <v>4034</v>
      </c>
      <c r="H3426" s="18">
        <v>900</v>
      </c>
      <c r="I3426" s="3">
        <v>41894</v>
      </c>
      <c r="J3426"/>
      <c r="L3426"/>
      <c r="M3426"/>
      <c r="N3426" s="20"/>
      <c r="O3426" s="20"/>
      <c r="P3426" s="20"/>
      <c r="Q3426" s="20"/>
      <c r="R3426" s="20"/>
      <c r="S3426" s="20"/>
      <c r="T3426" s="20"/>
    </row>
    <row r="3427" spans="1:20" x14ac:dyDescent="0.25">
      <c r="A3427" s="21">
        <v>41894</v>
      </c>
      <c r="B3427" s="36">
        <v>261</v>
      </c>
      <c r="C3427" s="20" t="s">
        <v>4035</v>
      </c>
      <c r="D3427" s="20">
        <v>5.25</v>
      </c>
      <c r="E3427" s="59">
        <v>525</v>
      </c>
      <c r="F3427" s="20" t="s">
        <v>889</v>
      </c>
      <c r="G3427" t="s">
        <v>4036</v>
      </c>
      <c r="H3427" s="18">
        <v>525</v>
      </c>
      <c r="I3427" s="3">
        <v>41894</v>
      </c>
      <c r="J3427"/>
      <c r="L3427"/>
      <c r="M3427"/>
      <c r="N3427" s="20"/>
      <c r="O3427" s="20"/>
      <c r="P3427" s="20"/>
      <c r="Q3427" s="20"/>
      <c r="R3427" s="20"/>
      <c r="S3427" s="20"/>
      <c r="T3427" s="20"/>
    </row>
    <row r="3428" spans="1:20" x14ac:dyDescent="0.25">
      <c r="A3428" s="21">
        <v>41894</v>
      </c>
      <c r="B3428" s="36">
        <v>261</v>
      </c>
      <c r="C3428" s="20" t="s">
        <v>4037</v>
      </c>
      <c r="D3428" s="20">
        <v>5.25</v>
      </c>
      <c r="E3428" s="59">
        <v>525</v>
      </c>
      <c r="F3428" s="20" t="s">
        <v>889</v>
      </c>
      <c r="G3428" t="s">
        <v>4038</v>
      </c>
      <c r="H3428" s="18">
        <v>525</v>
      </c>
      <c r="I3428" s="3">
        <v>41894</v>
      </c>
      <c r="J3428"/>
      <c r="L3428"/>
      <c r="M3428"/>
      <c r="N3428" s="20"/>
      <c r="O3428" s="20"/>
      <c r="P3428" s="20"/>
      <c r="Q3428" s="20"/>
      <c r="R3428" s="20"/>
      <c r="S3428" s="20"/>
      <c r="T3428" s="20"/>
    </row>
    <row r="3429" spans="1:20" x14ac:dyDescent="0.25">
      <c r="A3429" s="21">
        <v>41901</v>
      </c>
      <c r="B3429" s="36">
        <v>261</v>
      </c>
      <c r="C3429" s="20" t="s">
        <v>4039</v>
      </c>
      <c r="D3429" s="20">
        <v>20.5</v>
      </c>
      <c r="E3429" s="59">
        <v>2050</v>
      </c>
      <c r="F3429" s="20" t="s">
        <v>889</v>
      </c>
      <c r="G3429" t="s">
        <v>4040</v>
      </c>
      <c r="H3429" s="18">
        <v>2050</v>
      </c>
      <c r="I3429" s="3">
        <v>41901</v>
      </c>
      <c r="J3429"/>
      <c r="L3429"/>
      <c r="M3429"/>
      <c r="N3429" s="20"/>
      <c r="O3429" s="20"/>
      <c r="P3429" s="20"/>
      <c r="Q3429" s="20"/>
      <c r="R3429" s="20"/>
      <c r="S3429" s="20"/>
      <c r="T3429" s="20"/>
    </row>
    <row r="3430" spans="1:20" x14ac:dyDescent="0.25">
      <c r="A3430" s="21">
        <v>41901</v>
      </c>
      <c r="B3430" s="36">
        <v>261</v>
      </c>
      <c r="C3430" s="20" t="s">
        <v>4041</v>
      </c>
      <c r="D3430" s="20">
        <v>6</v>
      </c>
      <c r="E3430" s="59">
        <v>600</v>
      </c>
      <c r="F3430" s="20" t="s">
        <v>889</v>
      </c>
      <c r="G3430" t="s">
        <v>4042</v>
      </c>
      <c r="H3430" s="18">
        <v>600</v>
      </c>
      <c r="I3430" s="3">
        <v>41901</v>
      </c>
      <c r="J3430"/>
      <c r="L3430"/>
      <c r="M3430"/>
      <c r="N3430" s="20"/>
      <c r="O3430" s="20"/>
      <c r="P3430" s="20"/>
      <c r="Q3430" s="20"/>
      <c r="R3430" s="20"/>
      <c r="S3430" s="20"/>
      <c r="T3430" s="20"/>
    </row>
    <row r="3431" spans="1:20" x14ac:dyDescent="0.25">
      <c r="A3431" s="21">
        <v>41907</v>
      </c>
      <c r="B3431" s="36">
        <v>261</v>
      </c>
      <c r="C3431" t="s">
        <v>1098</v>
      </c>
      <c r="D3431" s="20"/>
      <c r="E3431" s="59">
        <v>310</v>
      </c>
      <c r="F3431" s="20" t="s">
        <v>889</v>
      </c>
      <c r="G3431" t="s">
        <v>442</v>
      </c>
      <c r="H3431" s="18" t="s">
        <v>442</v>
      </c>
      <c r="I3431" s="3" t="s">
        <v>442</v>
      </c>
      <c r="J3431"/>
      <c r="L3431"/>
      <c r="M3431"/>
      <c r="N3431" s="20" t="s">
        <v>401</v>
      </c>
      <c r="O3431" s="20"/>
      <c r="P3431" s="20"/>
      <c r="Q3431" s="20"/>
      <c r="R3431" s="20"/>
      <c r="S3431" s="20"/>
      <c r="T3431" s="20"/>
    </row>
    <row r="3432" spans="1:20" x14ac:dyDescent="0.25">
      <c r="A3432" s="21">
        <v>41907</v>
      </c>
      <c r="B3432" s="36">
        <v>261</v>
      </c>
      <c r="C3432" s="20" t="s">
        <v>4043</v>
      </c>
      <c r="D3432" s="20">
        <v>9.5</v>
      </c>
      <c r="E3432" s="59">
        <v>950</v>
      </c>
      <c r="F3432" s="20" t="s">
        <v>889</v>
      </c>
      <c r="G3432" t="s">
        <v>4044</v>
      </c>
      <c r="H3432" s="18">
        <v>950</v>
      </c>
      <c r="I3432" s="3">
        <v>41907</v>
      </c>
      <c r="J3432"/>
      <c r="L3432"/>
      <c r="M3432"/>
      <c r="N3432" s="20"/>
      <c r="O3432" s="20"/>
      <c r="P3432" s="20"/>
      <c r="Q3432" s="20"/>
      <c r="R3432" s="20"/>
      <c r="S3432" s="20"/>
      <c r="T3432" s="20"/>
    </row>
    <row r="3433" spans="1:20" x14ac:dyDescent="0.25">
      <c r="A3433" s="21">
        <v>41907</v>
      </c>
      <c r="B3433" s="36">
        <v>261</v>
      </c>
      <c r="C3433" s="20" t="s">
        <v>4045</v>
      </c>
      <c r="D3433" s="20">
        <v>5.25</v>
      </c>
      <c r="E3433" s="59">
        <v>525</v>
      </c>
      <c r="F3433" s="20" t="s">
        <v>889</v>
      </c>
      <c r="G3433" t="s">
        <v>4046</v>
      </c>
      <c r="H3433" s="18">
        <v>525</v>
      </c>
      <c r="I3433" s="3">
        <v>41907</v>
      </c>
      <c r="J3433"/>
      <c r="L3433"/>
      <c r="M3433"/>
      <c r="N3433" s="20"/>
      <c r="O3433" s="20"/>
      <c r="P3433" s="20"/>
      <c r="Q3433" s="20"/>
      <c r="R3433" s="20"/>
      <c r="S3433" s="20"/>
      <c r="T3433" s="20"/>
    </row>
    <row r="3434" spans="1:20" x14ac:dyDescent="0.25">
      <c r="A3434" s="21">
        <v>41907</v>
      </c>
      <c r="B3434" s="36">
        <v>261</v>
      </c>
      <c r="C3434" s="20" t="s">
        <v>4033</v>
      </c>
      <c r="D3434" s="20">
        <v>9</v>
      </c>
      <c r="E3434" s="59">
        <v>-900</v>
      </c>
      <c r="F3434" s="20" t="s">
        <v>889</v>
      </c>
      <c r="G3434" t="s">
        <v>4034</v>
      </c>
      <c r="H3434" s="18" t="s">
        <v>442</v>
      </c>
      <c r="I3434" s="3" t="s">
        <v>442</v>
      </c>
      <c r="J3434"/>
      <c r="L3434"/>
      <c r="M3434"/>
      <c r="N3434" s="20"/>
      <c r="O3434" s="20"/>
      <c r="P3434" s="20"/>
      <c r="Q3434" s="20"/>
      <c r="R3434" s="20"/>
      <c r="S3434" s="20"/>
      <c r="T3434" s="20"/>
    </row>
    <row r="3435" spans="1:20" x14ac:dyDescent="0.25">
      <c r="A3435" s="21">
        <v>41915</v>
      </c>
      <c r="B3435" s="36">
        <v>261</v>
      </c>
      <c r="C3435" t="s">
        <v>4047</v>
      </c>
      <c r="D3435" s="20">
        <v>8.25</v>
      </c>
      <c r="E3435" s="59">
        <v>825</v>
      </c>
      <c r="F3435" s="20" t="s">
        <v>889</v>
      </c>
      <c r="G3435" t="s">
        <v>4048</v>
      </c>
      <c r="H3435" s="18">
        <v>825</v>
      </c>
      <c r="I3435" s="3">
        <v>41915</v>
      </c>
      <c r="J3435"/>
      <c r="L3435"/>
      <c r="M3435"/>
      <c r="N3435" s="20"/>
      <c r="O3435" s="20"/>
      <c r="P3435" s="20"/>
      <c r="Q3435" s="20"/>
      <c r="R3435" s="20"/>
      <c r="S3435" s="20"/>
      <c r="T3435" s="20"/>
    </row>
    <row r="3436" spans="1:20" x14ac:dyDescent="0.25">
      <c r="A3436" s="21">
        <v>41915</v>
      </c>
      <c r="B3436" s="36">
        <v>261</v>
      </c>
      <c r="C3436" s="20" t="s">
        <v>4019</v>
      </c>
      <c r="D3436" s="20">
        <v>9.5</v>
      </c>
      <c r="E3436" s="59">
        <v>-950</v>
      </c>
      <c r="F3436" s="20" t="s">
        <v>889</v>
      </c>
      <c r="G3436" t="s">
        <v>4020</v>
      </c>
      <c r="H3436" s="18" t="s">
        <v>442</v>
      </c>
      <c r="I3436" s="3" t="s">
        <v>442</v>
      </c>
      <c r="J3436"/>
      <c r="L3436"/>
      <c r="M3436"/>
      <c r="N3436" s="20"/>
      <c r="O3436" s="20"/>
      <c r="P3436" s="20"/>
      <c r="Q3436" s="20"/>
      <c r="R3436" s="20"/>
      <c r="S3436" s="20"/>
      <c r="T3436" s="20"/>
    </row>
    <row r="3437" spans="1:20" x14ac:dyDescent="0.25">
      <c r="A3437" s="21">
        <v>41915</v>
      </c>
      <c r="B3437" s="36">
        <v>261</v>
      </c>
      <c r="C3437" s="20" t="s">
        <v>4049</v>
      </c>
      <c r="D3437" s="20">
        <v>7.25</v>
      </c>
      <c r="E3437" s="59">
        <v>725</v>
      </c>
      <c r="F3437" s="20" t="s">
        <v>889</v>
      </c>
      <c r="G3437" t="s">
        <v>4050</v>
      </c>
      <c r="H3437" s="18">
        <v>725</v>
      </c>
      <c r="I3437" s="3">
        <v>41915</v>
      </c>
      <c r="J3437"/>
      <c r="L3437"/>
      <c r="M3437"/>
      <c r="N3437" s="20"/>
      <c r="O3437" s="20"/>
      <c r="P3437" s="20"/>
      <c r="Q3437" s="20"/>
      <c r="R3437" s="20"/>
      <c r="S3437" s="20"/>
      <c r="T3437" s="20"/>
    </row>
    <row r="3438" spans="1:20" x14ac:dyDescent="0.25">
      <c r="A3438" s="21">
        <v>41915</v>
      </c>
      <c r="B3438" s="36">
        <v>261</v>
      </c>
      <c r="C3438" s="20" t="s">
        <v>4051</v>
      </c>
      <c r="D3438" s="20">
        <v>6.25</v>
      </c>
      <c r="E3438" s="59">
        <v>625</v>
      </c>
      <c r="F3438" s="20" t="s">
        <v>889</v>
      </c>
      <c r="G3438" t="s">
        <v>4052</v>
      </c>
      <c r="H3438" s="18">
        <v>625</v>
      </c>
      <c r="I3438" s="3">
        <v>41915</v>
      </c>
      <c r="J3438"/>
      <c r="L3438"/>
      <c r="M3438"/>
      <c r="N3438" s="20"/>
      <c r="O3438" s="20"/>
      <c r="P3438" s="20"/>
      <c r="Q3438" s="20"/>
      <c r="R3438" s="20"/>
      <c r="S3438" s="20"/>
      <c r="T3438" s="20"/>
    </row>
    <row r="3439" spans="1:20" x14ac:dyDescent="0.25">
      <c r="A3439" s="21">
        <v>41915</v>
      </c>
      <c r="B3439" s="36">
        <v>261</v>
      </c>
      <c r="C3439" s="20" t="s">
        <v>4004</v>
      </c>
      <c r="D3439" s="20">
        <v>7.5</v>
      </c>
      <c r="E3439" s="59">
        <v>750</v>
      </c>
      <c r="F3439" s="20" t="s">
        <v>889</v>
      </c>
      <c r="G3439" t="s">
        <v>4005</v>
      </c>
      <c r="H3439" s="18">
        <v>750</v>
      </c>
      <c r="I3439" s="3">
        <v>41915</v>
      </c>
      <c r="J3439"/>
      <c r="L3439"/>
      <c r="M3439"/>
      <c r="N3439" s="20"/>
      <c r="O3439" s="20"/>
      <c r="P3439" s="20"/>
      <c r="Q3439" s="20"/>
      <c r="R3439" s="20"/>
      <c r="S3439" s="20"/>
      <c r="T3439" s="20"/>
    </row>
    <row r="3440" spans="1:20" x14ac:dyDescent="0.25">
      <c r="A3440" s="21">
        <v>41922</v>
      </c>
      <c r="B3440" s="36">
        <v>261</v>
      </c>
      <c r="C3440" s="20" t="s">
        <v>4053</v>
      </c>
      <c r="D3440" s="20">
        <v>3.5</v>
      </c>
      <c r="E3440" s="59">
        <v>350</v>
      </c>
      <c r="F3440" s="20" t="s">
        <v>889</v>
      </c>
      <c r="G3440" t="s">
        <v>4054</v>
      </c>
      <c r="H3440" s="18">
        <v>350</v>
      </c>
      <c r="I3440" s="3">
        <v>41922</v>
      </c>
      <c r="J3440"/>
      <c r="L3440"/>
      <c r="M3440"/>
      <c r="N3440" s="20"/>
      <c r="O3440" s="20"/>
      <c r="P3440" s="20"/>
      <c r="Q3440" s="20"/>
      <c r="R3440" s="20"/>
      <c r="S3440" s="20"/>
      <c r="T3440" s="20"/>
    </row>
    <row r="3441" spans="1:20" x14ac:dyDescent="0.25">
      <c r="A3441" s="21">
        <v>41922</v>
      </c>
      <c r="B3441" s="36">
        <v>261</v>
      </c>
      <c r="C3441" s="20" t="s">
        <v>4055</v>
      </c>
      <c r="D3441" s="20">
        <v>4.5</v>
      </c>
      <c r="E3441" s="59">
        <v>450</v>
      </c>
      <c r="F3441" s="20" t="s">
        <v>889</v>
      </c>
      <c r="G3441" t="s">
        <v>4056</v>
      </c>
      <c r="H3441" s="18">
        <v>450</v>
      </c>
      <c r="I3441" s="3">
        <v>41922</v>
      </c>
      <c r="J3441"/>
      <c r="L3441"/>
      <c r="M3441"/>
      <c r="N3441" s="20"/>
      <c r="O3441" s="20"/>
      <c r="P3441" s="20"/>
      <c r="Q3441" s="20"/>
      <c r="R3441" s="20"/>
      <c r="S3441" s="20"/>
      <c r="T3441" s="20"/>
    </row>
    <row r="3442" spans="1:20" x14ac:dyDescent="0.25">
      <c r="A3442" s="21">
        <v>41922</v>
      </c>
      <c r="B3442" s="36">
        <v>261</v>
      </c>
      <c r="C3442" s="20" t="s">
        <v>4057</v>
      </c>
      <c r="D3442" s="20">
        <v>9.75</v>
      </c>
      <c r="E3442" s="59">
        <v>975</v>
      </c>
      <c r="F3442" s="20" t="s">
        <v>889</v>
      </c>
      <c r="G3442" t="s">
        <v>4058</v>
      </c>
      <c r="H3442" s="18">
        <v>975</v>
      </c>
      <c r="I3442" s="3">
        <v>41922</v>
      </c>
      <c r="J3442"/>
      <c r="L3442"/>
      <c r="M3442"/>
      <c r="N3442" s="20"/>
      <c r="O3442" s="20"/>
      <c r="P3442" s="20"/>
      <c r="Q3442" s="20"/>
      <c r="R3442" s="20"/>
      <c r="S3442" s="20"/>
      <c r="T3442" s="20"/>
    </row>
    <row r="3443" spans="1:20" x14ac:dyDescent="0.25">
      <c r="A3443" s="21">
        <v>41922</v>
      </c>
      <c r="B3443" s="36">
        <v>261</v>
      </c>
      <c r="C3443" s="20" t="s">
        <v>4059</v>
      </c>
      <c r="D3443" s="20">
        <v>7</v>
      </c>
      <c r="E3443" s="59">
        <v>700</v>
      </c>
      <c r="F3443" s="20" t="s">
        <v>889</v>
      </c>
      <c r="G3443" t="s">
        <v>4060</v>
      </c>
      <c r="H3443" s="18">
        <v>700</v>
      </c>
      <c r="I3443" s="3">
        <v>41922</v>
      </c>
      <c r="J3443"/>
      <c r="L3443"/>
      <c r="M3443"/>
      <c r="N3443" s="20"/>
      <c r="O3443" s="20"/>
      <c r="P3443" s="20"/>
      <c r="Q3443" s="20"/>
      <c r="R3443" s="20"/>
      <c r="S3443" s="20"/>
      <c r="T3443" s="20"/>
    </row>
    <row r="3444" spans="1:20" x14ac:dyDescent="0.25">
      <c r="A3444" s="21">
        <v>41929</v>
      </c>
      <c r="B3444" s="36">
        <v>261</v>
      </c>
      <c r="C3444" s="20" t="s">
        <v>4061</v>
      </c>
      <c r="D3444" s="20">
        <v>4.75</v>
      </c>
      <c r="E3444" s="59">
        <v>400</v>
      </c>
      <c r="F3444" s="20" t="s">
        <v>889</v>
      </c>
      <c r="G3444" t="s">
        <v>4062</v>
      </c>
      <c r="H3444" s="18">
        <v>400</v>
      </c>
      <c r="I3444" s="3">
        <v>41929</v>
      </c>
      <c r="J3444"/>
      <c r="L3444"/>
      <c r="M3444"/>
      <c r="N3444" s="20"/>
      <c r="O3444" s="20"/>
      <c r="P3444" s="20"/>
      <c r="Q3444" s="20"/>
      <c r="R3444" s="20"/>
      <c r="S3444" s="20"/>
      <c r="T3444" s="20"/>
    </row>
    <row r="3445" spans="1:20" x14ac:dyDescent="0.25">
      <c r="A3445" s="21">
        <v>41929</v>
      </c>
      <c r="B3445" s="36">
        <v>261</v>
      </c>
      <c r="C3445" s="20" t="s">
        <v>4063</v>
      </c>
      <c r="D3445" s="20">
        <v>10</v>
      </c>
      <c r="E3445" s="59">
        <v>1000</v>
      </c>
      <c r="F3445" s="20" t="s">
        <v>889</v>
      </c>
      <c r="G3445" t="s">
        <v>4064</v>
      </c>
      <c r="H3445" s="18">
        <v>1000</v>
      </c>
      <c r="I3445" s="3">
        <v>41929</v>
      </c>
      <c r="J3445"/>
      <c r="L3445"/>
      <c r="M3445"/>
      <c r="N3445" s="20"/>
      <c r="O3445" s="20"/>
      <c r="P3445" s="20"/>
      <c r="Q3445" s="20"/>
      <c r="R3445" s="20"/>
      <c r="S3445" s="20"/>
      <c r="T3445" s="20"/>
    </row>
    <row r="3446" spans="1:20" x14ac:dyDescent="0.25">
      <c r="A3446" s="21">
        <v>41929</v>
      </c>
      <c r="B3446" s="36">
        <v>261</v>
      </c>
      <c r="C3446" s="20" t="s">
        <v>4045</v>
      </c>
      <c r="D3446" s="20">
        <v>5.25</v>
      </c>
      <c r="E3446" s="59">
        <v>-525</v>
      </c>
      <c r="F3446" s="20" t="s">
        <v>889</v>
      </c>
      <c r="G3446" t="s">
        <v>4046</v>
      </c>
      <c r="H3446" s="18" t="s">
        <v>442</v>
      </c>
      <c r="I3446" s="3" t="s">
        <v>442</v>
      </c>
      <c r="J3446"/>
      <c r="L3446"/>
      <c r="M3446"/>
      <c r="N3446" s="20"/>
      <c r="O3446" s="20"/>
      <c r="P3446" s="20"/>
      <c r="Q3446" s="20"/>
      <c r="R3446" s="20"/>
      <c r="S3446" s="20"/>
      <c r="T3446" s="20"/>
    </row>
    <row r="3447" spans="1:20" x14ac:dyDescent="0.25">
      <c r="A3447" s="21">
        <v>41929</v>
      </c>
      <c r="B3447" s="36">
        <v>261</v>
      </c>
      <c r="C3447" s="20" t="s">
        <v>960</v>
      </c>
      <c r="D3447" s="20"/>
      <c r="E3447" s="59">
        <v>690.90000000000009</v>
      </c>
      <c r="F3447" s="20"/>
      <c r="G3447" t="s">
        <v>442</v>
      </c>
      <c r="H3447" s="18" t="s">
        <v>442</v>
      </c>
      <c r="I3447" s="3" t="s">
        <v>442</v>
      </c>
      <c r="J3447"/>
      <c r="L3447"/>
      <c r="M3447"/>
      <c r="N3447" s="20" t="s">
        <v>401</v>
      </c>
      <c r="O3447" s="20"/>
      <c r="P3447" s="20"/>
      <c r="Q3447" s="20"/>
      <c r="R3447" s="20"/>
      <c r="S3447" s="20"/>
      <c r="T3447" s="20"/>
    </row>
    <row r="3448" spans="1:20" x14ac:dyDescent="0.25">
      <c r="A3448" s="21">
        <v>41929</v>
      </c>
      <c r="B3448" s="36">
        <v>261</v>
      </c>
      <c r="C3448" s="20" t="s">
        <v>4065</v>
      </c>
      <c r="D3448" s="20"/>
      <c r="E3448" s="59">
        <v>690.90000000000009</v>
      </c>
      <c r="F3448" s="20"/>
      <c r="G3448" t="s">
        <v>442</v>
      </c>
      <c r="H3448" s="18" t="s">
        <v>442</v>
      </c>
      <c r="I3448" s="3" t="s">
        <v>442</v>
      </c>
      <c r="J3448"/>
      <c r="L3448"/>
      <c r="M3448"/>
      <c r="N3448" s="20" t="s">
        <v>401</v>
      </c>
      <c r="O3448" s="20"/>
      <c r="P3448" s="20"/>
      <c r="Q3448" s="20"/>
      <c r="R3448" s="20"/>
      <c r="S3448" s="20"/>
      <c r="T3448" s="20"/>
    </row>
    <row r="3449" spans="1:20" x14ac:dyDescent="0.25">
      <c r="A3449" s="21">
        <v>41936</v>
      </c>
      <c r="B3449" s="36">
        <v>261</v>
      </c>
      <c r="C3449" s="20" t="s">
        <v>4066</v>
      </c>
      <c r="D3449" s="20">
        <v>4.25</v>
      </c>
      <c r="E3449" s="59">
        <v>357</v>
      </c>
      <c r="F3449" s="20" t="s">
        <v>889</v>
      </c>
      <c r="G3449" t="s">
        <v>4067</v>
      </c>
      <c r="H3449" s="18">
        <v>357</v>
      </c>
      <c r="I3449" s="3">
        <v>41936</v>
      </c>
      <c r="J3449"/>
      <c r="L3449"/>
      <c r="M3449"/>
      <c r="N3449" s="20"/>
      <c r="O3449" s="20"/>
      <c r="P3449" s="20"/>
      <c r="Q3449" s="20"/>
      <c r="R3449" s="20"/>
      <c r="S3449" s="20"/>
      <c r="T3449" s="20"/>
    </row>
    <row r="3450" spans="1:20" x14ac:dyDescent="0.25">
      <c r="A3450" s="21">
        <v>41936</v>
      </c>
      <c r="B3450" s="36">
        <v>261</v>
      </c>
      <c r="C3450" s="20" t="s">
        <v>4068</v>
      </c>
      <c r="D3450" s="20">
        <v>6.5</v>
      </c>
      <c r="E3450" s="59">
        <v>637.5</v>
      </c>
      <c r="F3450" s="20" t="s">
        <v>889</v>
      </c>
      <c r="G3450" t="s">
        <v>4069</v>
      </c>
      <c r="H3450" s="18">
        <v>637.5</v>
      </c>
      <c r="I3450" s="3">
        <v>41936</v>
      </c>
      <c r="J3450"/>
      <c r="L3450"/>
      <c r="M3450"/>
      <c r="N3450" s="20"/>
      <c r="O3450" s="20"/>
      <c r="P3450" s="20"/>
      <c r="Q3450" s="20"/>
      <c r="R3450" s="20"/>
      <c r="S3450" s="20"/>
      <c r="T3450" s="20"/>
    </row>
    <row r="3451" spans="1:20" x14ac:dyDescent="0.25">
      <c r="A3451" s="21">
        <v>41936</v>
      </c>
      <c r="B3451" s="36">
        <v>261</v>
      </c>
      <c r="C3451" s="20" t="s">
        <v>4070</v>
      </c>
      <c r="D3451" s="20">
        <v>6.25</v>
      </c>
      <c r="E3451" s="59">
        <v>637.5</v>
      </c>
      <c r="F3451" s="20" t="s">
        <v>889</v>
      </c>
      <c r="G3451" t="s">
        <v>4071</v>
      </c>
      <c r="H3451" s="18">
        <v>637.5</v>
      </c>
      <c r="I3451" s="3">
        <v>41936</v>
      </c>
      <c r="J3451"/>
      <c r="L3451"/>
      <c r="M3451"/>
      <c r="N3451" s="20"/>
      <c r="O3451" s="20"/>
      <c r="P3451" s="20"/>
      <c r="Q3451" s="20"/>
      <c r="R3451" s="20"/>
      <c r="S3451" s="20"/>
      <c r="T3451" s="20"/>
    </row>
    <row r="3452" spans="1:20" x14ac:dyDescent="0.25">
      <c r="A3452" s="21">
        <v>41936</v>
      </c>
      <c r="B3452" s="36">
        <v>261</v>
      </c>
      <c r="C3452" s="20" t="s">
        <v>4072</v>
      </c>
      <c r="D3452" s="20">
        <v>10.199999999999999</v>
      </c>
      <c r="E3452" s="59">
        <v>1019.9999999999999</v>
      </c>
      <c r="F3452" s="20" t="s">
        <v>889</v>
      </c>
      <c r="G3452" t="s">
        <v>4073</v>
      </c>
      <c r="H3452" s="18">
        <v>1019.9999999999999</v>
      </c>
      <c r="I3452" s="3">
        <v>41936</v>
      </c>
      <c r="J3452"/>
      <c r="L3452"/>
      <c r="M3452"/>
      <c r="N3452" s="20"/>
      <c r="O3452" s="20"/>
      <c r="P3452" s="20"/>
      <c r="Q3452" s="20"/>
      <c r="R3452" s="20"/>
      <c r="S3452" s="20"/>
      <c r="T3452" s="20"/>
    </row>
    <row r="3453" spans="1:20" x14ac:dyDescent="0.25">
      <c r="A3453" s="21">
        <v>41943</v>
      </c>
      <c r="B3453" s="36">
        <v>261</v>
      </c>
      <c r="C3453" s="20" t="s">
        <v>4074</v>
      </c>
      <c r="D3453" s="20">
        <v>9.69</v>
      </c>
      <c r="E3453" s="59">
        <v>969</v>
      </c>
      <c r="F3453" s="20" t="s">
        <v>889</v>
      </c>
      <c r="G3453" t="s">
        <v>4075</v>
      </c>
      <c r="H3453" s="18">
        <v>969</v>
      </c>
      <c r="I3453" s="3">
        <v>41943</v>
      </c>
      <c r="J3453"/>
      <c r="L3453"/>
      <c r="M3453"/>
      <c r="N3453" s="20"/>
      <c r="O3453" s="20"/>
      <c r="P3453" s="20"/>
      <c r="Q3453" s="20"/>
      <c r="R3453" s="20"/>
      <c r="S3453" s="20"/>
      <c r="T3453" s="20"/>
    </row>
    <row r="3454" spans="1:20" x14ac:dyDescent="0.25">
      <c r="A3454" s="21">
        <v>41943</v>
      </c>
      <c r="B3454" s="36">
        <v>261</v>
      </c>
      <c r="C3454" s="20" t="s">
        <v>4076</v>
      </c>
      <c r="D3454" s="20">
        <v>8.4149999999999991</v>
      </c>
      <c r="E3454" s="59">
        <v>841.49999999999989</v>
      </c>
      <c r="F3454" s="20" t="s">
        <v>889</v>
      </c>
      <c r="G3454" t="s">
        <v>4077</v>
      </c>
      <c r="H3454" s="18">
        <v>841.49999999999989</v>
      </c>
      <c r="I3454" s="3">
        <v>41943</v>
      </c>
      <c r="J3454"/>
      <c r="L3454"/>
      <c r="M3454"/>
      <c r="N3454" s="20"/>
      <c r="O3454" s="20"/>
      <c r="P3454" s="20"/>
      <c r="Q3454" s="20"/>
      <c r="R3454" s="20"/>
      <c r="S3454" s="20"/>
      <c r="T3454" s="20"/>
    </row>
    <row r="3455" spans="1:20" x14ac:dyDescent="0.25">
      <c r="A3455" s="21">
        <v>41943</v>
      </c>
      <c r="B3455" s="36">
        <v>261</v>
      </c>
      <c r="C3455" s="20" t="s">
        <v>4078</v>
      </c>
      <c r="D3455" s="20">
        <v>5.61</v>
      </c>
      <c r="E3455" s="59">
        <v>561</v>
      </c>
      <c r="F3455" s="20" t="s">
        <v>889</v>
      </c>
      <c r="G3455" t="s">
        <v>4079</v>
      </c>
      <c r="H3455" s="18">
        <v>561</v>
      </c>
      <c r="I3455" s="3">
        <v>41943</v>
      </c>
      <c r="J3455"/>
      <c r="L3455"/>
      <c r="M3455"/>
      <c r="N3455" s="20"/>
      <c r="O3455" s="20"/>
      <c r="P3455" s="20"/>
      <c r="Q3455" s="20"/>
      <c r="R3455" s="20"/>
      <c r="S3455" s="20"/>
      <c r="T3455" s="20"/>
    </row>
    <row r="3456" spans="1:20" x14ac:dyDescent="0.25">
      <c r="A3456" s="21">
        <v>41943</v>
      </c>
      <c r="B3456" s="36">
        <v>261</v>
      </c>
      <c r="C3456" s="20" t="s">
        <v>4045</v>
      </c>
      <c r="D3456" s="20">
        <v>5.25</v>
      </c>
      <c r="E3456" s="59">
        <v>525</v>
      </c>
      <c r="F3456" s="20" t="s">
        <v>889</v>
      </c>
      <c r="G3456" t="s">
        <v>4046</v>
      </c>
      <c r="H3456" s="18">
        <v>525</v>
      </c>
      <c r="I3456" s="3">
        <v>41943</v>
      </c>
      <c r="J3456"/>
      <c r="L3456"/>
      <c r="M3456"/>
      <c r="N3456" s="20"/>
      <c r="O3456" s="20"/>
      <c r="P3456" s="20"/>
      <c r="Q3456" s="20"/>
      <c r="R3456" s="20"/>
      <c r="S3456" s="20"/>
      <c r="T3456" s="20"/>
    </row>
    <row r="3457" spans="1:20" x14ac:dyDescent="0.25">
      <c r="A3457" s="21">
        <v>41943</v>
      </c>
      <c r="B3457" s="36">
        <v>261</v>
      </c>
      <c r="C3457" s="20" t="s">
        <v>4080</v>
      </c>
      <c r="D3457" s="20">
        <v>7.9050000000000002</v>
      </c>
      <c r="E3457" s="59">
        <v>790.5</v>
      </c>
      <c r="F3457" s="20" t="s">
        <v>889</v>
      </c>
      <c r="G3457" t="s">
        <v>4081</v>
      </c>
      <c r="H3457" s="18">
        <v>790.5</v>
      </c>
      <c r="I3457" s="3">
        <v>41943</v>
      </c>
      <c r="J3457"/>
      <c r="L3457"/>
      <c r="M3457"/>
      <c r="N3457" s="20"/>
      <c r="O3457" s="20"/>
      <c r="P3457" s="20"/>
      <c r="Q3457" s="20"/>
      <c r="R3457" s="20"/>
      <c r="S3457" s="20"/>
      <c r="T3457" s="20"/>
    </row>
    <row r="3458" spans="1:20" x14ac:dyDescent="0.25">
      <c r="A3458" s="21">
        <v>41950</v>
      </c>
      <c r="B3458" s="36">
        <v>261</v>
      </c>
      <c r="C3458" s="20" t="s">
        <v>4066</v>
      </c>
      <c r="D3458" s="20">
        <v>3.57</v>
      </c>
      <c r="E3458" s="59">
        <v>-357</v>
      </c>
      <c r="F3458" s="20" t="s">
        <v>889</v>
      </c>
      <c r="G3458" t="s">
        <v>4067</v>
      </c>
      <c r="H3458" s="18" t="s">
        <v>442</v>
      </c>
      <c r="I3458" s="3" t="s">
        <v>442</v>
      </c>
      <c r="J3458"/>
      <c r="L3458"/>
      <c r="M3458"/>
      <c r="N3458" s="20"/>
      <c r="O3458" s="20"/>
      <c r="P3458" s="20"/>
      <c r="Q3458" s="20"/>
      <c r="R3458" s="20"/>
      <c r="S3458" s="20"/>
      <c r="T3458" s="20"/>
    </row>
    <row r="3459" spans="1:20" x14ac:dyDescent="0.25">
      <c r="A3459" s="21">
        <v>41950</v>
      </c>
      <c r="B3459" s="36">
        <v>261</v>
      </c>
      <c r="C3459" s="20" t="s">
        <v>4082</v>
      </c>
      <c r="D3459" s="20">
        <v>7.14</v>
      </c>
      <c r="E3459" s="59">
        <v>714</v>
      </c>
      <c r="F3459" s="20" t="s">
        <v>889</v>
      </c>
      <c r="G3459" t="s">
        <v>4083</v>
      </c>
      <c r="H3459" s="18">
        <v>714</v>
      </c>
      <c r="I3459" s="3">
        <v>41950</v>
      </c>
      <c r="J3459"/>
      <c r="L3459"/>
      <c r="M3459"/>
      <c r="N3459" s="20"/>
      <c r="O3459" s="20"/>
      <c r="P3459" s="20"/>
      <c r="Q3459" s="20"/>
      <c r="R3459" s="20"/>
      <c r="S3459" s="20"/>
      <c r="T3459" s="20"/>
    </row>
    <row r="3460" spans="1:20" x14ac:dyDescent="0.25">
      <c r="A3460" s="21">
        <v>41950</v>
      </c>
      <c r="B3460" s="36">
        <v>261</v>
      </c>
      <c r="C3460" s="20" t="s">
        <v>4084</v>
      </c>
      <c r="D3460" s="20"/>
      <c r="E3460" s="59">
        <v>371.25</v>
      </c>
      <c r="F3460" s="20" t="s">
        <v>889</v>
      </c>
      <c r="G3460" t="s">
        <v>442</v>
      </c>
      <c r="H3460" s="18" t="s">
        <v>442</v>
      </c>
      <c r="I3460" s="3" t="s">
        <v>442</v>
      </c>
      <c r="J3460"/>
      <c r="L3460"/>
      <c r="M3460"/>
      <c r="N3460" s="20"/>
      <c r="O3460" s="20"/>
      <c r="P3460" s="20"/>
      <c r="Q3460" s="20"/>
      <c r="R3460" s="20"/>
      <c r="S3460" s="20" t="s">
        <v>401</v>
      </c>
      <c r="T3460" s="20"/>
    </row>
    <row r="3461" spans="1:20" x14ac:dyDescent="0.25">
      <c r="A3461" s="21">
        <v>41950</v>
      </c>
      <c r="B3461" s="36">
        <v>261</v>
      </c>
      <c r="C3461" s="20" t="s">
        <v>4085</v>
      </c>
      <c r="D3461" s="20">
        <v>8.4149999999999991</v>
      </c>
      <c r="E3461" s="59">
        <v>841.49999999999989</v>
      </c>
      <c r="F3461" s="20" t="s">
        <v>889</v>
      </c>
      <c r="G3461" t="s">
        <v>4086</v>
      </c>
      <c r="H3461" s="18">
        <v>841.49999999999989</v>
      </c>
      <c r="I3461" s="3">
        <v>41950</v>
      </c>
      <c r="J3461"/>
      <c r="L3461"/>
      <c r="M3461"/>
      <c r="N3461" s="20"/>
      <c r="O3461" s="20"/>
      <c r="P3461" s="20"/>
      <c r="Q3461" s="20"/>
      <c r="R3461" s="20"/>
      <c r="S3461" s="20"/>
      <c r="T3461" s="20"/>
    </row>
    <row r="3462" spans="1:20" x14ac:dyDescent="0.25">
      <c r="A3462" s="21">
        <v>41950</v>
      </c>
      <c r="B3462" s="36">
        <v>261</v>
      </c>
      <c r="C3462" s="20" t="s">
        <v>4087</v>
      </c>
      <c r="D3462" s="20">
        <v>4.335</v>
      </c>
      <c r="E3462" s="59">
        <v>433.5</v>
      </c>
      <c r="F3462" s="20" t="s">
        <v>889</v>
      </c>
      <c r="G3462" t="s">
        <v>4088</v>
      </c>
      <c r="H3462" s="18">
        <v>433.5</v>
      </c>
      <c r="I3462" s="3">
        <v>41950</v>
      </c>
      <c r="J3462"/>
      <c r="L3462"/>
      <c r="M3462"/>
      <c r="N3462" s="20"/>
      <c r="O3462" s="20"/>
      <c r="P3462" s="20"/>
      <c r="Q3462" s="20"/>
      <c r="R3462" s="20"/>
      <c r="S3462" s="20"/>
      <c r="T3462" s="20"/>
    </row>
    <row r="3463" spans="1:20" x14ac:dyDescent="0.25">
      <c r="A3463" s="21">
        <v>41950</v>
      </c>
      <c r="B3463" s="36">
        <v>261</v>
      </c>
      <c r="C3463" s="20" t="s">
        <v>4089</v>
      </c>
      <c r="D3463" s="20">
        <v>7.14</v>
      </c>
      <c r="E3463" s="59">
        <v>714</v>
      </c>
      <c r="F3463" s="20" t="s">
        <v>889</v>
      </c>
      <c r="G3463" t="s">
        <v>4090</v>
      </c>
      <c r="H3463" s="18">
        <v>714</v>
      </c>
      <c r="I3463" s="3">
        <v>41950</v>
      </c>
      <c r="J3463"/>
      <c r="L3463"/>
      <c r="M3463"/>
      <c r="N3463" s="20"/>
      <c r="O3463" s="20"/>
      <c r="P3463" s="20"/>
      <c r="Q3463" s="20"/>
      <c r="R3463" s="20"/>
      <c r="S3463" s="20"/>
      <c r="T3463" s="20"/>
    </row>
    <row r="3464" spans="1:20" x14ac:dyDescent="0.25">
      <c r="A3464" s="21">
        <v>41950</v>
      </c>
      <c r="B3464" s="36">
        <v>261</v>
      </c>
      <c r="C3464" s="20" t="s">
        <v>4091</v>
      </c>
      <c r="D3464" s="20">
        <v>3.8250000000000002</v>
      </c>
      <c r="E3464" s="59">
        <v>382.5</v>
      </c>
      <c r="F3464" s="20" t="s">
        <v>889</v>
      </c>
      <c r="G3464" t="s">
        <v>4092</v>
      </c>
      <c r="H3464" s="18">
        <v>382.5</v>
      </c>
      <c r="I3464" s="3">
        <v>41950</v>
      </c>
      <c r="J3464"/>
      <c r="L3464"/>
      <c r="M3464"/>
      <c r="N3464" s="20"/>
      <c r="O3464" s="20"/>
      <c r="P3464" s="20"/>
      <c r="Q3464" s="20"/>
      <c r="R3464" s="20"/>
      <c r="S3464" s="20"/>
      <c r="T3464" s="20"/>
    </row>
    <row r="3465" spans="1:20" x14ac:dyDescent="0.25">
      <c r="A3465" s="21">
        <v>41950</v>
      </c>
      <c r="B3465" s="36">
        <v>261</v>
      </c>
      <c r="C3465" s="20" t="s">
        <v>4093</v>
      </c>
      <c r="D3465" s="20">
        <v>8.9250000000000007</v>
      </c>
      <c r="E3465" s="59">
        <v>892.50000000000011</v>
      </c>
      <c r="F3465" s="20" t="s">
        <v>889</v>
      </c>
      <c r="G3465" t="s">
        <v>4094</v>
      </c>
      <c r="H3465" s="18">
        <v>892.50000000000011</v>
      </c>
      <c r="I3465" s="3">
        <v>41950</v>
      </c>
      <c r="J3465"/>
      <c r="L3465"/>
      <c r="M3465"/>
      <c r="N3465" s="20"/>
      <c r="O3465" s="20"/>
      <c r="P3465" s="20"/>
      <c r="Q3465" s="20"/>
      <c r="R3465" s="20"/>
      <c r="S3465" s="20"/>
      <c r="T3465" s="20"/>
    </row>
    <row r="3466" spans="1:20" x14ac:dyDescent="0.25">
      <c r="A3466" s="21">
        <v>41957</v>
      </c>
      <c r="B3466" s="36">
        <v>261</v>
      </c>
      <c r="C3466" s="20" t="s">
        <v>4025</v>
      </c>
      <c r="D3466" s="20">
        <v>6.75</v>
      </c>
      <c r="E3466" s="59">
        <v>-775</v>
      </c>
      <c r="F3466" s="20" t="s">
        <v>889</v>
      </c>
      <c r="G3466" t="s">
        <v>4026</v>
      </c>
      <c r="H3466" s="18" t="s">
        <v>442</v>
      </c>
      <c r="I3466" s="3" t="s">
        <v>442</v>
      </c>
      <c r="J3466"/>
      <c r="L3466"/>
      <c r="M3466"/>
      <c r="N3466" s="20"/>
      <c r="O3466" s="20"/>
      <c r="P3466" s="20"/>
      <c r="Q3466" s="20"/>
      <c r="R3466" s="20"/>
      <c r="S3466" s="20"/>
      <c r="T3466" s="20"/>
    </row>
    <row r="3467" spans="1:20" x14ac:dyDescent="0.25">
      <c r="A3467" s="21">
        <v>41957</v>
      </c>
      <c r="B3467" s="36">
        <v>261</v>
      </c>
      <c r="C3467" s="20" t="s">
        <v>4095</v>
      </c>
      <c r="D3467" s="20">
        <v>4.8449999999999998</v>
      </c>
      <c r="E3467" s="59">
        <v>484.5</v>
      </c>
      <c r="F3467" s="20" t="s">
        <v>889</v>
      </c>
      <c r="G3467" t="s">
        <v>4096</v>
      </c>
      <c r="H3467" s="18">
        <v>484.5</v>
      </c>
      <c r="I3467" s="3">
        <v>41957</v>
      </c>
      <c r="J3467"/>
      <c r="L3467"/>
      <c r="M3467"/>
      <c r="N3467" s="20"/>
      <c r="O3467" s="20"/>
      <c r="P3467" s="20"/>
      <c r="Q3467" s="20"/>
      <c r="R3467" s="20"/>
      <c r="S3467" s="20"/>
      <c r="T3467" s="20"/>
    </row>
    <row r="3468" spans="1:20" x14ac:dyDescent="0.25">
      <c r="A3468" s="21">
        <v>41957</v>
      </c>
      <c r="B3468" s="36">
        <v>261</v>
      </c>
      <c r="C3468" s="20" t="s">
        <v>4097</v>
      </c>
      <c r="D3468" s="20">
        <v>8.9250000000000007</v>
      </c>
      <c r="E3468" s="59">
        <v>892.50000000000011</v>
      </c>
      <c r="F3468" s="20" t="s">
        <v>889</v>
      </c>
      <c r="G3468" t="s">
        <v>4098</v>
      </c>
      <c r="H3468" s="18">
        <v>892.50000000000011</v>
      </c>
      <c r="I3468" s="3">
        <v>41957</v>
      </c>
      <c r="J3468"/>
      <c r="L3468"/>
      <c r="M3468"/>
      <c r="N3468" s="20"/>
      <c r="O3468" s="20"/>
      <c r="P3468" s="20"/>
      <c r="Q3468" s="20"/>
      <c r="R3468" s="20"/>
      <c r="S3468" s="20"/>
      <c r="T3468" s="20"/>
    </row>
    <row r="3469" spans="1:20" x14ac:dyDescent="0.25">
      <c r="A3469" s="21">
        <v>41957</v>
      </c>
      <c r="B3469" s="36">
        <v>261</v>
      </c>
      <c r="C3469" s="20" t="s">
        <v>3986</v>
      </c>
      <c r="D3469" s="20">
        <v>7</v>
      </c>
      <c r="E3469" s="59">
        <v>279.99999999999989</v>
      </c>
      <c r="F3469" s="20" t="s">
        <v>889</v>
      </c>
      <c r="G3469" t="s">
        <v>3987</v>
      </c>
      <c r="H3469" s="18">
        <v>279.99999999999989</v>
      </c>
      <c r="I3469" s="3">
        <v>41957</v>
      </c>
      <c r="J3469"/>
      <c r="L3469"/>
      <c r="M3469"/>
      <c r="N3469" s="20"/>
      <c r="O3469" s="20" t="s">
        <v>959</v>
      </c>
      <c r="P3469" s="20"/>
      <c r="Q3469" s="20"/>
      <c r="R3469" s="20"/>
      <c r="S3469" s="20"/>
      <c r="T3469" s="20"/>
    </row>
    <row r="3470" spans="1:20" x14ac:dyDescent="0.25">
      <c r="A3470" s="21">
        <v>41964</v>
      </c>
      <c r="B3470" s="36">
        <v>261</v>
      </c>
      <c r="C3470" s="20" t="s">
        <v>4099</v>
      </c>
      <c r="D3470" s="20">
        <v>7.9050000000000002</v>
      </c>
      <c r="E3470" s="59">
        <v>790.5</v>
      </c>
      <c r="F3470" s="20" t="s">
        <v>889</v>
      </c>
      <c r="G3470" t="s">
        <v>4100</v>
      </c>
      <c r="H3470" s="18">
        <v>790.5</v>
      </c>
      <c r="I3470" s="3">
        <v>41964</v>
      </c>
      <c r="J3470"/>
      <c r="L3470"/>
      <c r="M3470"/>
      <c r="N3470" s="20"/>
      <c r="O3470" s="20"/>
      <c r="P3470" s="20"/>
      <c r="Q3470" s="20"/>
      <c r="R3470" s="20"/>
      <c r="S3470" s="20"/>
      <c r="T3470" s="20"/>
    </row>
    <row r="3471" spans="1:20" x14ac:dyDescent="0.25">
      <c r="A3471" s="21">
        <v>41964</v>
      </c>
      <c r="B3471" s="36">
        <v>261</v>
      </c>
      <c r="C3471" s="20" t="s">
        <v>4101</v>
      </c>
      <c r="D3471" s="20">
        <v>3.06</v>
      </c>
      <c r="E3471" s="59">
        <v>306</v>
      </c>
      <c r="F3471" s="20" t="s">
        <v>889</v>
      </c>
      <c r="G3471" t="s">
        <v>4102</v>
      </c>
      <c r="H3471" s="18">
        <v>306</v>
      </c>
      <c r="I3471" s="3">
        <v>41964</v>
      </c>
      <c r="J3471"/>
      <c r="L3471"/>
      <c r="M3471"/>
      <c r="N3471" s="20"/>
      <c r="O3471" s="20"/>
      <c r="P3471" s="20"/>
      <c r="Q3471" s="20"/>
      <c r="R3471" s="20"/>
      <c r="S3471" s="20"/>
      <c r="T3471" s="20"/>
    </row>
    <row r="3472" spans="1:20" x14ac:dyDescent="0.25">
      <c r="A3472" s="21">
        <v>41964</v>
      </c>
      <c r="B3472" s="36">
        <v>261</v>
      </c>
      <c r="C3472" s="20" t="s">
        <v>4103</v>
      </c>
      <c r="D3472" s="20">
        <v>9.18</v>
      </c>
      <c r="E3472" s="59">
        <v>918</v>
      </c>
      <c r="F3472" s="20" t="s">
        <v>889</v>
      </c>
      <c r="G3472" t="s">
        <v>4104</v>
      </c>
      <c r="H3472" s="18">
        <v>918</v>
      </c>
      <c r="I3472" s="3">
        <v>41964</v>
      </c>
      <c r="J3472"/>
      <c r="L3472"/>
      <c r="M3472"/>
      <c r="N3472" s="20"/>
      <c r="O3472" s="20"/>
      <c r="P3472" s="20"/>
      <c r="Q3472" s="20"/>
      <c r="R3472" s="20"/>
      <c r="S3472" s="20"/>
      <c r="T3472" s="20"/>
    </row>
    <row r="3473" spans="1:20" x14ac:dyDescent="0.25">
      <c r="A3473" s="21">
        <v>41964</v>
      </c>
      <c r="B3473" s="36">
        <v>261</v>
      </c>
      <c r="C3473" s="20" t="s">
        <v>4089</v>
      </c>
      <c r="D3473" s="20">
        <v>7.14</v>
      </c>
      <c r="E3473" s="59">
        <v>-714</v>
      </c>
      <c r="F3473" s="20" t="s">
        <v>889</v>
      </c>
      <c r="G3473" t="s">
        <v>4090</v>
      </c>
      <c r="H3473" s="18" t="s">
        <v>442</v>
      </c>
      <c r="I3473" s="3" t="s">
        <v>442</v>
      </c>
      <c r="J3473"/>
      <c r="L3473"/>
      <c r="M3473"/>
      <c r="N3473" s="20"/>
      <c r="O3473" s="20"/>
      <c r="P3473" s="20"/>
      <c r="Q3473" s="20"/>
      <c r="R3473" s="20"/>
      <c r="S3473" s="20"/>
      <c r="T3473" s="20"/>
    </row>
    <row r="3474" spans="1:20" x14ac:dyDescent="0.25">
      <c r="A3474" s="21">
        <v>41964</v>
      </c>
      <c r="B3474" s="36">
        <v>261</v>
      </c>
      <c r="C3474" s="20" t="s">
        <v>4105</v>
      </c>
      <c r="D3474" s="20">
        <v>9.9450000000000003</v>
      </c>
      <c r="E3474" s="59">
        <v>994.5</v>
      </c>
      <c r="F3474" s="20" t="s">
        <v>889</v>
      </c>
      <c r="G3474" t="s">
        <v>4106</v>
      </c>
      <c r="H3474" s="18">
        <v>994.5</v>
      </c>
      <c r="I3474" s="3">
        <v>41964</v>
      </c>
      <c r="J3474"/>
      <c r="L3474"/>
      <c r="M3474"/>
      <c r="N3474" s="20"/>
      <c r="O3474" s="20"/>
      <c r="P3474" s="20"/>
      <c r="Q3474" s="20"/>
      <c r="R3474" s="20"/>
      <c r="S3474" s="20"/>
      <c r="T3474" s="20"/>
    </row>
    <row r="3475" spans="1:20" x14ac:dyDescent="0.25">
      <c r="A3475" s="21">
        <v>41964</v>
      </c>
      <c r="B3475" s="36">
        <v>261</v>
      </c>
      <c r="C3475" s="20" t="s">
        <v>963</v>
      </c>
      <c r="D3475" s="20"/>
      <c r="E3475" s="59">
        <v>164.5</v>
      </c>
      <c r="F3475" s="20" t="s">
        <v>889</v>
      </c>
      <c r="G3475" t="s">
        <v>442</v>
      </c>
      <c r="H3475" s="18" t="s">
        <v>442</v>
      </c>
      <c r="I3475" s="3" t="s">
        <v>442</v>
      </c>
      <c r="J3475"/>
      <c r="L3475"/>
      <c r="M3475"/>
      <c r="N3475" s="40" t="s">
        <v>401</v>
      </c>
      <c r="O3475" s="20"/>
      <c r="P3475" s="20"/>
      <c r="Q3475" s="20"/>
      <c r="R3475" s="20"/>
      <c r="S3475" s="20"/>
      <c r="T3475" s="20"/>
    </row>
    <row r="3476" spans="1:20" x14ac:dyDescent="0.25">
      <c r="A3476" s="21">
        <v>41964</v>
      </c>
      <c r="B3476" s="36">
        <v>261</v>
      </c>
      <c r="C3476" s="20" t="s">
        <v>4107</v>
      </c>
      <c r="D3476" s="20">
        <v>7.9050000000000002</v>
      </c>
      <c r="E3476" s="59">
        <v>790.5</v>
      </c>
      <c r="F3476" s="20" t="s">
        <v>889</v>
      </c>
      <c r="G3476" t="s">
        <v>4108</v>
      </c>
      <c r="H3476" s="18">
        <v>790.5</v>
      </c>
      <c r="I3476" s="3">
        <v>41964</v>
      </c>
      <c r="J3476"/>
      <c r="L3476"/>
      <c r="M3476"/>
      <c r="N3476" s="20"/>
      <c r="O3476" s="20"/>
      <c r="P3476" s="20"/>
      <c r="Q3476" s="20"/>
      <c r="R3476" s="20"/>
      <c r="S3476" s="20"/>
      <c r="T3476" s="20"/>
    </row>
    <row r="3477" spans="1:20" x14ac:dyDescent="0.25">
      <c r="A3477" s="21">
        <v>41971</v>
      </c>
      <c r="B3477" s="36">
        <v>261</v>
      </c>
      <c r="C3477" s="20" t="s">
        <v>4109</v>
      </c>
      <c r="D3477" s="20">
        <v>6.375</v>
      </c>
      <c r="E3477" s="59">
        <v>637.5</v>
      </c>
      <c r="F3477" s="20" t="s">
        <v>889</v>
      </c>
      <c r="G3477" t="s">
        <v>4110</v>
      </c>
      <c r="H3477" s="18">
        <v>637.5</v>
      </c>
      <c r="I3477" s="3">
        <v>41971</v>
      </c>
      <c r="J3477"/>
      <c r="L3477"/>
      <c r="M3477"/>
      <c r="N3477" s="20"/>
      <c r="O3477" s="20"/>
      <c r="P3477" s="20"/>
      <c r="Q3477" s="20"/>
      <c r="R3477" s="20"/>
      <c r="S3477" s="20"/>
      <c r="T3477" s="20"/>
    </row>
    <row r="3478" spans="1:20" x14ac:dyDescent="0.25">
      <c r="A3478" s="21">
        <v>41971</v>
      </c>
      <c r="B3478" s="36">
        <v>261</v>
      </c>
      <c r="C3478" s="20" t="s">
        <v>4111</v>
      </c>
      <c r="D3478" s="20">
        <v>7.25</v>
      </c>
      <c r="E3478" s="59">
        <v>725</v>
      </c>
      <c r="F3478" s="20" t="s">
        <v>889</v>
      </c>
      <c r="G3478" t="s">
        <v>4112</v>
      </c>
      <c r="H3478" s="18">
        <v>725</v>
      </c>
      <c r="I3478" s="3">
        <v>41971</v>
      </c>
      <c r="J3478"/>
      <c r="L3478"/>
      <c r="M3478"/>
      <c r="N3478" s="20"/>
      <c r="O3478" s="20"/>
      <c r="P3478" s="20"/>
      <c r="Q3478" s="20"/>
      <c r="R3478" s="20"/>
      <c r="S3478" s="20"/>
      <c r="T3478" s="20"/>
    </row>
    <row r="3479" spans="1:20" x14ac:dyDescent="0.25">
      <c r="A3479" s="21">
        <v>41971</v>
      </c>
      <c r="B3479" s="36">
        <v>261</v>
      </c>
      <c r="C3479" s="20" t="s">
        <v>4113</v>
      </c>
      <c r="D3479" s="20">
        <v>8.4149999999999991</v>
      </c>
      <c r="E3479" s="59">
        <v>841.49999999999989</v>
      </c>
      <c r="F3479" s="20" t="s">
        <v>889</v>
      </c>
      <c r="G3479" t="s">
        <v>4114</v>
      </c>
      <c r="H3479" s="18">
        <v>841.49999999999989</v>
      </c>
      <c r="I3479" s="3">
        <v>41971</v>
      </c>
      <c r="J3479"/>
      <c r="L3479"/>
      <c r="M3479"/>
      <c r="N3479" s="20"/>
      <c r="O3479" s="20"/>
      <c r="P3479" s="20"/>
      <c r="Q3479" s="20"/>
      <c r="R3479" s="20"/>
      <c r="S3479" s="20"/>
      <c r="T3479" s="20"/>
    </row>
    <row r="3480" spans="1:20" x14ac:dyDescent="0.25">
      <c r="A3480" s="21">
        <v>41978</v>
      </c>
      <c r="B3480" s="36">
        <v>261</v>
      </c>
      <c r="C3480" s="20" t="s">
        <v>4115</v>
      </c>
      <c r="D3480" s="20">
        <v>6.75</v>
      </c>
      <c r="E3480" s="59">
        <v>675</v>
      </c>
      <c r="F3480" s="20" t="s">
        <v>889</v>
      </c>
      <c r="G3480" t="s">
        <v>4116</v>
      </c>
      <c r="H3480" s="18">
        <v>675</v>
      </c>
      <c r="I3480" s="3">
        <v>41978</v>
      </c>
      <c r="J3480"/>
      <c r="L3480"/>
      <c r="M3480"/>
      <c r="N3480" s="20"/>
      <c r="O3480" s="20"/>
      <c r="P3480" s="20"/>
      <c r="Q3480" s="20"/>
      <c r="R3480" s="20"/>
      <c r="S3480" s="20"/>
      <c r="T3480" s="20"/>
    </row>
    <row r="3481" spans="1:20" x14ac:dyDescent="0.25">
      <c r="A3481" s="21">
        <v>41978</v>
      </c>
      <c r="B3481" s="36">
        <v>261</v>
      </c>
      <c r="C3481" s="20" t="s">
        <v>4117</v>
      </c>
      <c r="D3481" s="20">
        <v>7.9050000000000002</v>
      </c>
      <c r="E3481" s="59">
        <v>790.5</v>
      </c>
      <c r="F3481" s="20" t="s">
        <v>889</v>
      </c>
      <c r="G3481" t="s">
        <v>4118</v>
      </c>
      <c r="H3481" s="18">
        <v>790.5</v>
      </c>
      <c r="I3481" s="3">
        <v>41978</v>
      </c>
      <c r="J3481"/>
      <c r="L3481"/>
      <c r="M3481"/>
      <c r="N3481" s="20"/>
      <c r="O3481" s="20"/>
      <c r="P3481" s="20"/>
      <c r="Q3481" s="20"/>
      <c r="R3481" s="20"/>
      <c r="S3481" s="20"/>
      <c r="T3481" s="20"/>
    </row>
    <row r="3482" spans="1:20" x14ac:dyDescent="0.25">
      <c r="A3482" s="21">
        <v>41978</v>
      </c>
      <c r="B3482" s="36">
        <v>261</v>
      </c>
      <c r="C3482" s="20" t="s">
        <v>4119</v>
      </c>
      <c r="D3482" s="20">
        <v>8.4149999999999991</v>
      </c>
      <c r="E3482" s="59">
        <v>841.49999999999989</v>
      </c>
      <c r="F3482" s="20" t="s">
        <v>889</v>
      </c>
      <c r="G3482" t="s">
        <v>4120</v>
      </c>
      <c r="H3482" s="18">
        <v>841.49999999999989</v>
      </c>
      <c r="I3482" s="3">
        <v>41978</v>
      </c>
      <c r="J3482"/>
      <c r="L3482"/>
      <c r="M3482"/>
      <c r="N3482" s="20"/>
      <c r="O3482" s="20"/>
      <c r="P3482" s="20"/>
      <c r="Q3482" s="20"/>
      <c r="R3482" s="20"/>
      <c r="S3482" s="20"/>
      <c r="T3482" s="20"/>
    </row>
    <row r="3483" spans="1:20" x14ac:dyDescent="0.25">
      <c r="A3483" s="21">
        <v>41978</v>
      </c>
      <c r="B3483" s="36">
        <v>261</v>
      </c>
      <c r="C3483" s="20" t="s">
        <v>4121</v>
      </c>
      <c r="D3483" s="20">
        <v>4.335</v>
      </c>
      <c r="E3483" s="59">
        <v>433.5</v>
      </c>
      <c r="F3483" s="20" t="s">
        <v>889</v>
      </c>
      <c r="G3483" t="s">
        <v>4122</v>
      </c>
      <c r="H3483" s="18">
        <v>433.5</v>
      </c>
      <c r="I3483" s="3">
        <v>41978</v>
      </c>
      <c r="J3483"/>
      <c r="L3483"/>
      <c r="M3483"/>
      <c r="N3483" s="20"/>
      <c r="O3483" s="20"/>
      <c r="P3483" s="20"/>
      <c r="Q3483" s="20"/>
      <c r="R3483" s="20"/>
      <c r="S3483" s="20"/>
      <c r="T3483" s="20"/>
    </row>
    <row r="3484" spans="1:20" x14ac:dyDescent="0.25">
      <c r="A3484" s="21">
        <v>41978</v>
      </c>
      <c r="B3484" s="36">
        <v>261</v>
      </c>
      <c r="C3484" s="20" t="s">
        <v>4123</v>
      </c>
      <c r="D3484" s="20">
        <v>3.64</v>
      </c>
      <c r="E3484" s="59">
        <v>364</v>
      </c>
      <c r="F3484" s="20" t="s">
        <v>889</v>
      </c>
      <c r="G3484" t="s">
        <v>4124</v>
      </c>
      <c r="H3484" s="18">
        <v>364</v>
      </c>
      <c r="I3484" s="3">
        <v>41978</v>
      </c>
      <c r="J3484"/>
      <c r="L3484"/>
      <c r="M3484"/>
      <c r="N3484" s="20"/>
      <c r="O3484" s="20"/>
      <c r="P3484" s="20"/>
      <c r="Q3484" s="20"/>
      <c r="R3484" s="20"/>
      <c r="S3484" s="20"/>
      <c r="T3484" s="20"/>
    </row>
    <row r="3485" spans="1:20" x14ac:dyDescent="0.25">
      <c r="A3485" s="21">
        <v>41985</v>
      </c>
      <c r="B3485" s="36">
        <v>261</v>
      </c>
      <c r="C3485" s="20" t="s">
        <v>4125</v>
      </c>
      <c r="D3485" s="20">
        <v>9.6199999999999992</v>
      </c>
      <c r="E3485" s="59">
        <v>961.99999999999989</v>
      </c>
      <c r="F3485" s="20" t="s">
        <v>889</v>
      </c>
      <c r="G3485" t="s">
        <v>4126</v>
      </c>
      <c r="H3485" s="18">
        <v>961.99999999999989</v>
      </c>
      <c r="I3485" s="3">
        <v>41985</v>
      </c>
      <c r="J3485"/>
      <c r="L3485"/>
      <c r="M3485"/>
      <c r="N3485" s="20"/>
      <c r="O3485" s="20"/>
      <c r="P3485" s="20"/>
      <c r="Q3485" s="20"/>
      <c r="R3485" s="20"/>
      <c r="S3485" s="20"/>
      <c r="T3485" s="20"/>
    </row>
    <row r="3486" spans="1:20" x14ac:dyDescent="0.25">
      <c r="A3486" s="21">
        <v>41985</v>
      </c>
      <c r="B3486" s="36">
        <v>261</v>
      </c>
      <c r="C3486" s="20" t="s">
        <v>4043</v>
      </c>
      <c r="D3486" s="20">
        <v>9.5</v>
      </c>
      <c r="E3486" s="59">
        <v>950</v>
      </c>
      <c r="F3486" s="20" t="s">
        <v>889</v>
      </c>
      <c r="G3486" t="s">
        <v>4044</v>
      </c>
      <c r="H3486" s="18">
        <v>950</v>
      </c>
      <c r="I3486" s="3">
        <v>41985</v>
      </c>
      <c r="J3486"/>
      <c r="L3486"/>
      <c r="M3486"/>
      <c r="N3486" s="20"/>
      <c r="O3486" s="20" t="s">
        <v>959</v>
      </c>
      <c r="P3486" s="20"/>
      <c r="Q3486" s="20"/>
      <c r="R3486" s="20"/>
      <c r="S3486" s="20"/>
      <c r="T3486" s="20"/>
    </row>
    <row r="3487" spans="1:20" x14ac:dyDescent="0.25">
      <c r="A3487" s="21">
        <v>41985</v>
      </c>
      <c r="B3487" s="36">
        <v>261</v>
      </c>
      <c r="C3487" s="20" t="s">
        <v>4011</v>
      </c>
      <c r="D3487" s="20">
        <v>10.25</v>
      </c>
      <c r="E3487" s="59">
        <v>1100</v>
      </c>
      <c r="F3487" s="20" t="s">
        <v>889</v>
      </c>
      <c r="G3487" t="s">
        <v>4012</v>
      </c>
      <c r="H3487" s="18">
        <v>1100</v>
      </c>
      <c r="I3487" s="3">
        <v>41985</v>
      </c>
      <c r="J3487"/>
      <c r="L3487"/>
      <c r="M3487"/>
      <c r="N3487" s="20"/>
      <c r="O3487" s="20" t="s">
        <v>959</v>
      </c>
      <c r="P3487" s="20"/>
      <c r="Q3487" s="20"/>
      <c r="R3487" s="20"/>
      <c r="S3487" s="20"/>
      <c r="T3487" s="20"/>
    </row>
    <row r="3488" spans="1:20" x14ac:dyDescent="0.25">
      <c r="A3488" s="21">
        <v>41985</v>
      </c>
      <c r="B3488" s="36">
        <v>261</v>
      </c>
      <c r="C3488" s="20" t="s">
        <v>4004</v>
      </c>
      <c r="D3488" s="20">
        <v>7.5</v>
      </c>
      <c r="E3488" s="59">
        <v>0</v>
      </c>
      <c r="F3488" s="20" t="s">
        <v>889</v>
      </c>
      <c r="G3488" t="s">
        <v>4005</v>
      </c>
      <c r="H3488" s="18">
        <v>0</v>
      </c>
      <c r="I3488" s="3">
        <v>41985</v>
      </c>
      <c r="J3488"/>
      <c r="L3488"/>
      <c r="M3488"/>
      <c r="N3488" s="20"/>
      <c r="O3488" s="20" t="s">
        <v>959</v>
      </c>
      <c r="P3488" s="20"/>
      <c r="Q3488" s="20"/>
      <c r="R3488" s="20"/>
      <c r="S3488" s="20"/>
      <c r="T3488" s="20"/>
    </row>
    <row r="3489" spans="1:20" x14ac:dyDescent="0.25">
      <c r="A3489" s="21">
        <v>41985</v>
      </c>
      <c r="B3489" s="36">
        <v>261</v>
      </c>
      <c r="C3489" s="20" t="s">
        <v>4037</v>
      </c>
      <c r="D3489" s="20">
        <v>5.25</v>
      </c>
      <c r="E3489" s="59">
        <v>525</v>
      </c>
      <c r="F3489" s="20" t="s">
        <v>889</v>
      </c>
      <c r="G3489" t="s">
        <v>4038</v>
      </c>
      <c r="H3489" s="18">
        <v>525</v>
      </c>
      <c r="I3489" s="3">
        <v>41985</v>
      </c>
      <c r="J3489"/>
      <c r="L3489"/>
      <c r="M3489"/>
      <c r="N3489" s="20"/>
      <c r="O3489" s="20" t="s">
        <v>959</v>
      </c>
      <c r="P3489" s="20"/>
      <c r="Q3489" s="20"/>
      <c r="R3489" s="20"/>
      <c r="S3489" s="20"/>
      <c r="T3489" s="20"/>
    </row>
    <row r="3490" spans="1:20" x14ac:dyDescent="0.25">
      <c r="A3490" s="21">
        <v>41992</v>
      </c>
      <c r="B3490" s="36">
        <v>261</v>
      </c>
      <c r="C3490" s="20" t="s">
        <v>4127</v>
      </c>
      <c r="D3490" s="20">
        <v>7.5</v>
      </c>
      <c r="E3490" s="59">
        <v>600</v>
      </c>
      <c r="F3490" s="20" t="s">
        <v>889</v>
      </c>
      <c r="G3490" t="s">
        <v>4005</v>
      </c>
      <c r="H3490" s="18">
        <v>600</v>
      </c>
      <c r="I3490" s="3">
        <v>41992</v>
      </c>
      <c r="J3490"/>
      <c r="L3490"/>
      <c r="M3490"/>
      <c r="N3490" s="20"/>
      <c r="O3490" s="20"/>
      <c r="P3490" s="20"/>
      <c r="Q3490" s="20"/>
      <c r="R3490" s="20"/>
      <c r="S3490" s="20"/>
      <c r="T3490" s="20"/>
    </row>
    <row r="3491" spans="1:20" x14ac:dyDescent="0.25">
      <c r="A3491" s="21">
        <v>41992</v>
      </c>
      <c r="B3491" s="36">
        <v>261</v>
      </c>
      <c r="C3491" s="20" t="s">
        <v>4128</v>
      </c>
      <c r="D3491" s="20">
        <v>9.5</v>
      </c>
      <c r="E3491" s="59">
        <v>475</v>
      </c>
      <c r="F3491" s="20" t="s">
        <v>889</v>
      </c>
      <c r="G3491" t="s">
        <v>4044</v>
      </c>
      <c r="H3491" s="18">
        <v>475</v>
      </c>
      <c r="I3491" s="3">
        <v>41992</v>
      </c>
      <c r="J3491"/>
      <c r="L3491"/>
      <c r="M3491"/>
      <c r="N3491" s="20"/>
      <c r="O3491" s="20"/>
      <c r="P3491" s="20"/>
      <c r="Q3491" s="20"/>
      <c r="R3491" s="20"/>
      <c r="S3491" s="20"/>
      <c r="T3491" s="20"/>
    </row>
    <row r="3492" spans="1:20" x14ac:dyDescent="0.25">
      <c r="A3492" s="21">
        <v>41992</v>
      </c>
      <c r="B3492" s="36">
        <v>261</v>
      </c>
      <c r="C3492" s="20" t="s">
        <v>4129</v>
      </c>
      <c r="D3492" s="20">
        <v>5.25</v>
      </c>
      <c r="E3492" s="59">
        <v>420</v>
      </c>
      <c r="F3492" s="20" t="s">
        <v>889</v>
      </c>
      <c r="G3492" t="s">
        <v>4038</v>
      </c>
      <c r="H3492" s="18">
        <v>420</v>
      </c>
      <c r="I3492" s="3">
        <v>41992</v>
      </c>
      <c r="J3492"/>
      <c r="L3492"/>
      <c r="M3492"/>
      <c r="N3492" s="20"/>
      <c r="O3492" s="20"/>
      <c r="P3492" s="20"/>
      <c r="Q3492" s="20"/>
      <c r="R3492" s="20"/>
      <c r="S3492" s="20"/>
      <c r="T3492" s="20"/>
    </row>
    <row r="3493" spans="1:20" x14ac:dyDescent="0.25">
      <c r="A3493" s="21">
        <v>41992</v>
      </c>
      <c r="B3493" s="36">
        <v>261</v>
      </c>
      <c r="C3493" s="20" t="s">
        <v>4130</v>
      </c>
      <c r="D3493" s="20">
        <v>10.25</v>
      </c>
      <c r="E3493" s="59">
        <v>820</v>
      </c>
      <c r="F3493" s="20" t="s">
        <v>889</v>
      </c>
      <c r="G3493" t="s">
        <v>4012</v>
      </c>
      <c r="H3493" s="18">
        <v>820</v>
      </c>
      <c r="I3493" s="3">
        <v>41992</v>
      </c>
      <c r="J3493"/>
      <c r="L3493"/>
      <c r="M3493"/>
      <c r="N3493" s="20"/>
      <c r="O3493" s="20"/>
      <c r="P3493" s="20"/>
      <c r="Q3493" s="20"/>
      <c r="R3493" s="20"/>
      <c r="S3493" s="20"/>
      <c r="T3493" s="20"/>
    </row>
    <row r="3494" spans="1:20" x14ac:dyDescent="0.25">
      <c r="A3494" s="21">
        <v>41999</v>
      </c>
      <c r="B3494" s="36">
        <v>261</v>
      </c>
      <c r="C3494" s="20" t="s">
        <v>4082</v>
      </c>
      <c r="D3494" s="20">
        <v>7.14</v>
      </c>
      <c r="E3494" s="59">
        <v>714</v>
      </c>
      <c r="F3494" s="20" t="s">
        <v>889</v>
      </c>
      <c r="G3494" t="s">
        <v>4083</v>
      </c>
      <c r="H3494" s="18">
        <v>714</v>
      </c>
      <c r="I3494" s="3">
        <v>41999</v>
      </c>
      <c r="J3494"/>
      <c r="L3494"/>
      <c r="M3494"/>
      <c r="N3494" s="20"/>
      <c r="O3494" s="20" t="s">
        <v>959</v>
      </c>
      <c r="P3494" s="20"/>
      <c r="Q3494" s="20"/>
      <c r="R3494" s="20"/>
      <c r="S3494" s="20"/>
      <c r="T3494" s="20"/>
    </row>
    <row r="3495" spans="1:20" x14ac:dyDescent="0.25">
      <c r="A3495" s="21">
        <v>41999</v>
      </c>
      <c r="B3495" s="36">
        <v>261</v>
      </c>
      <c r="C3495" s="20" t="s">
        <v>4055</v>
      </c>
      <c r="D3495" s="20">
        <v>6.8849999999999998</v>
      </c>
      <c r="E3495" s="59">
        <v>927</v>
      </c>
      <c r="F3495" s="20" t="s">
        <v>889</v>
      </c>
      <c r="G3495" t="s">
        <v>4056</v>
      </c>
      <c r="H3495" s="18">
        <v>927</v>
      </c>
      <c r="I3495" s="3">
        <v>41999</v>
      </c>
      <c r="J3495"/>
      <c r="L3495"/>
      <c r="M3495"/>
      <c r="N3495" s="20"/>
      <c r="O3495" s="20" t="s">
        <v>959</v>
      </c>
      <c r="P3495" s="20"/>
      <c r="Q3495" s="20"/>
      <c r="R3495" s="20"/>
      <c r="S3495" s="20"/>
      <c r="T3495" s="20"/>
    </row>
    <row r="3496" spans="1:20" x14ac:dyDescent="0.25">
      <c r="A3496" s="21">
        <v>41999</v>
      </c>
      <c r="B3496" s="36">
        <v>261</v>
      </c>
      <c r="C3496" s="20" t="s">
        <v>4101</v>
      </c>
      <c r="D3496" s="20">
        <v>3.06</v>
      </c>
      <c r="E3496" s="59">
        <v>306</v>
      </c>
      <c r="F3496" s="20" t="s">
        <v>889</v>
      </c>
      <c r="G3496" t="s">
        <v>4102</v>
      </c>
      <c r="H3496" s="18">
        <v>306</v>
      </c>
      <c r="I3496" s="3">
        <v>41999</v>
      </c>
      <c r="J3496"/>
      <c r="L3496"/>
      <c r="M3496"/>
      <c r="N3496" s="20"/>
      <c r="O3496" s="20" t="s">
        <v>959</v>
      </c>
      <c r="P3496" s="20"/>
      <c r="Q3496" s="20"/>
      <c r="R3496" s="20"/>
      <c r="S3496" s="20"/>
      <c r="T3496" s="20"/>
    </row>
    <row r="3497" spans="1:20" x14ac:dyDescent="0.25">
      <c r="A3497" s="21">
        <v>41999</v>
      </c>
      <c r="B3497" s="36">
        <v>261</v>
      </c>
      <c r="C3497" s="20" t="s">
        <v>4057</v>
      </c>
      <c r="D3497" s="20">
        <v>10.455</v>
      </c>
      <c r="E3497" s="59">
        <v>1638.75</v>
      </c>
      <c r="F3497" s="20" t="s">
        <v>889</v>
      </c>
      <c r="G3497" t="s">
        <v>4058</v>
      </c>
      <c r="H3497" s="18">
        <v>1638.75</v>
      </c>
      <c r="I3497" s="3">
        <v>41999</v>
      </c>
      <c r="J3497"/>
      <c r="L3497"/>
      <c r="M3497"/>
      <c r="N3497" s="20"/>
      <c r="O3497" s="20" t="s">
        <v>959</v>
      </c>
      <c r="P3497" s="20"/>
      <c r="Q3497" s="20"/>
      <c r="R3497" s="20"/>
      <c r="S3497" s="20"/>
      <c r="T3497" s="20"/>
    </row>
    <row r="3498" spans="1:20" x14ac:dyDescent="0.25">
      <c r="A3498" s="21">
        <v>41999</v>
      </c>
      <c r="B3498" s="36">
        <v>261</v>
      </c>
      <c r="C3498" s="20" t="s">
        <v>4015</v>
      </c>
      <c r="D3498" s="20">
        <v>8.67</v>
      </c>
      <c r="E3498" s="59">
        <v>734</v>
      </c>
      <c r="F3498" s="20" t="s">
        <v>889</v>
      </c>
      <c r="G3498" t="s">
        <v>4016</v>
      </c>
      <c r="H3498" s="18">
        <v>734</v>
      </c>
      <c r="I3498" s="3">
        <v>41999</v>
      </c>
      <c r="J3498"/>
      <c r="L3498"/>
      <c r="M3498"/>
      <c r="N3498" s="20"/>
      <c r="O3498" s="20" t="s">
        <v>959</v>
      </c>
      <c r="P3498" s="20"/>
      <c r="Q3498" s="20"/>
      <c r="R3498" s="20"/>
      <c r="S3498" s="20"/>
      <c r="T3498" s="20"/>
    </row>
    <row r="3499" spans="1:20" x14ac:dyDescent="0.25">
      <c r="A3499" s="21">
        <v>41999</v>
      </c>
      <c r="B3499" s="36">
        <v>261</v>
      </c>
      <c r="C3499" s="20" t="s">
        <v>4059</v>
      </c>
      <c r="D3499" s="20">
        <v>10.199999999999999</v>
      </c>
      <c r="E3499" s="59">
        <v>1850</v>
      </c>
      <c r="F3499" s="20" t="s">
        <v>889</v>
      </c>
      <c r="G3499" t="s">
        <v>4060</v>
      </c>
      <c r="H3499" s="18">
        <v>1850</v>
      </c>
      <c r="I3499" s="3">
        <v>41999</v>
      </c>
      <c r="J3499"/>
      <c r="L3499"/>
      <c r="M3499"/>
      <c r="N3499" s="20"/>
      <c r="O3499" s="20" t="s">
        <v>959</v>
      </c>
      <c r="P3499" s="20"/>
      <c r="Q3499" s="20"/>
      <c r="R3499" s="20"/>
      <c r="S3499" s="20"/>
      <c r="T3499" s="20"/>
    </row>
    <row r="3500" spans="1:20" x14ac:dyDescent="0.25">
      <c r="A3500" s="21">
        <v>41999</v>
      </c>
      <c r="B3500" s="36">
        <v>261</v>
      </c>
      <c r="C3500" s="20" t="s">
        <v>4087</v>
      </c>
      <c r="D3500" s="20">
        <v>4.335</v>
      </c>
      <c r="E3500" s="59">
        <v>433.5</v>
      </c>
      <c r="F3500" s="20" t="s">
        <v>889</v>
      </c>
      <c r="G3500" t="s">
        <v>4088</v>
      </c>
      <c r="H3500" s="18">
        <v>433.5</v>
      </c>
      <c r="I3500" s="3">
        <v>41999</v>
      </c>
      <c r="J3500"/>
      <c r="L3500"/>
      <c r="M3500"/>
      <c r="N3500" s="20"/>
      <c r="O3500" s="20" t="s">
        <v>959</v>
      </c>
      <c r="P3500" s="20"/>
      <c r="Q3500" s="20"/>
      <c r="R3500" s="20"/>
      <c r="S3500" s="20"/>
      <c r="T3500" s="20"/>
    </row>
    <row r="3501" spans="1:20" x14ac:dyDescent="0.25">
      <c r="A3501" s="21">
        <v>41999</v>
      </c>
      <c r="B3501" s="36">
        <v>261</v>
      </c>
      <c r="C3501" s="20" t="s">
        <v>4097</v>
      </c>
      <c r="D3501" s="20">
        <v>8.9250000000000007</v>
      </c>
      <c r="E3501" s="59">
        <v>892.50000000000011</v>
      </c>
      <c r="F3501" s="20" t="s">
        <v>889</v>
      </c>
      <c r="G3501" t="s">
        <v>4098</v>
      </c>
      <c r="H3501" s="18">
        <v>892.50000000000011</v>
      </c>
      <c r="I3501" s="3">
        <v>41999</v>
      </c>
      <c r="J3501"/>
      <c r="L3501"/>
      <c r="M3501"/>
      <c r="N3501" s="20"/>
      <c r="O3501" s="20" t="s">
        <v>959</v>
      </c>
      <c r="P3501" s="20"/>
      <c r="Q3501" s="20"/>
      <c r="R3501" s="20"/>
      <c r="S3501" s="20"/>
      <c r="T3501" s="20"/>
    </row>
    <row r="3502" spans="1:20" x14ac:dyDescent="0.25">
      <c r="A3502" s="21">
        <v>41999</v>
      </c>
      <c r="B3502" s="36">
        <v>261</v>
      </c>
      <c r="C3502" s="20" t="s">
        <v>4078</v>
      </c>
      <c r="D3502" s="20">
        <v>5.61</v>
      </c>
      <c r="E3502" s="59">
        <v>561</v>
      </c>
      <c r="F3502" s="20" t="s">
        <v>889</v>
      </c>
      <c r="G3502" t="s">
        <v>4079</v>
      </c>
      <c r="H3502" s="18">
        <v>561</v>
      </c>
      <c r="I3502" s="3">
        <v>41999</v>
      </c>
      <c r="J3502"/>
      <c r="L3502"/>
      <c r="M3502"/>
      <c r="N3502" s="20"/>
      <c r="O3502" s="20" t="s">
        <v>959</v>
      </c>
      <c r="P3502" s="20"/>
      <c r="Q3502" s="20"/>
      <c r="R3502" s="20"/>
      <c r="S3502" s="20"/>
      <c r="T3502" s="20"/>
    </row>
    <row r="3503" spans="1:20" x14ac:dyDescent="0.25">
      <c r="A3503" s="21">
        <v>41999</v>
      </c>
      <c r="B3503" s="36">
        <v>261</v>
      </c>
      <c r="C3503" s="20" t="s">
        <v>4051</v>
      </c>
      <c r="D3503" s="20">
        <v>14</v>
      </c>
      <c r="E3503" s="59">
        <v>2175</v>
      </c>
      <c r="F3503" s="20" t="s">
        <v>889</v>
      </c>
      <c r="G3503" t="s">
        <v>4052</v>
      </c>
      <c r="H3503" s="18">
        <v>2175</v>
      </c>
      <c r="I3503" s="3">
        <v>41999</v>
      </c>
      <c r="J3503"/>
      <c r="L3503"/>
      <c r="M3503"/>
      <c r="N3503" s="20"/>
      <c r="O3503" s="20" t="s">
        <v>959</v>
      </c>
      <c r="P3503" s="20"/>
      <c r="Q3503" s="20"/>
      <c r="R3503" s="20"/>
      <c r="S3503" s="20"/>
      <c r="T3503" s="20"/>
    </row>
    <row r="3504" spans="1:20" x14ac:dyDescent="0.25">
      <c r="A3504" s="21">
        <v>42004</v>
      </c>
      <c r="B3504" s="36">
        <v>261</v>
      </c>
      <c r="C3504" s="20" t="s">
        <v>4109</v>
      </c>
      <c r="D3504" s="20">
        <v>6.375</v>
      </c>
      <c r="E3504" s="59">
        <v>318.75</v>
      </c>
      <c r="F3504" s="20" t="s">
        <v>889</v>
      </c>
      <c r="G3504" t="s">
        <v>4110</v>
      </c>
      <c r="H3504" s="18">
        <v>318.75</v>
      </c>
      <c r="I3504" s="3">
        <v>42004</v>
      </c>
      <c r="J3504"/>
      <c r="L3504"/>
      <c r="M3504"/>
      <c r="N3504" s="20"/>
      <c r="O3504" s="20"/>
      <c r="P3504" s="20"/>
      <c r="Q3504" s="20"/>
      <c r="R3504" s="20"/>
      <c r="S3504" s="20"/>
      <c r="T3504" s="20"/>
    </row>
    <row r="3505" spans="1:20" x14ac:dyDescent="0.25">
      <c r="A3505" s="21">
        <v>42004</v>
      </c>
      <c r="B3505" s="36">
        <v>261</v>
      </c>
      <c r="C3505" s="20" t="s">
        <v>4099</v>
      </c>
      <c r="D3505" s="20">
        <v>7.9050000000000002</v>
      </c>
      <c r="E3505" s="59">
        <v>395.25</v>
      </c>
      <c r="F3505" s="20" t="s">
        <v>889</v>
      </c>
      <c r="G3505" t="s">
        <v>4100</v>
      </c>
      <c r="H3505" s="18">
        <v>395.25</v>
      </c>
      <c r="I3505" s="3">
        <v>42004</v>
      </c>
      <c r="J3505"/>
      <c r="L3505"/>
      <c r="M3505"/>
      <c r="N3505" s="20"/>
      <c r="O3505" s="20"/>
      <c r="P3505" s="20"/>
      <c r="Q3505" s="20"/>
      <c r="R3505" s="20"/>
      <c r="S3505" s="20"/>
      <c r="T3505" s="20"/>
    </row>
    <row r="3506" spans="1:20" x14ac:dyDescent="0.25">
      <c r="A3506" s="21">
        <v>42004</v>
      </c>
      <c r="B3506" s="36">
        <v>261</v>
      </c>
      <c r="C3506" s="20" t="s">
        <v>4085</v>
      </c>
      <c r="D3506" s="20">
        <v>8.4149999999999991</v>
      </c>
      <c r="E3506" s="59">
        <v>420.75</v>
      </c>
      <c r="F3506" s="20" t="s">
        <v>889</v>
      </c>
      <c r="G3506" t="s">
        <v>4086</v>
      </c>
      <c r="H3506" s="18">
        <v>420.75</v>
      </c>
      <c r="I3506" s="3">
        <v>42004</v>
      </c>
      <c r="J3506"/>
      <c r="L3506"/>
      <c r="M3506"/>
      <c r="N3506" s="20"/>
      <c r="O3506" s="20"/>
      <c r="P3506" s="20"/>
      <c r="Q3506" s="20"/>
      <c r="R3506" s="20"/>
      <c r="S3506" s="20"/>
      <c r="T3506" s="20"/>
    </row>
    <row r="3507" spans="1:20" x14ac:dyDescent="0.25">
      <c r="A3507" s="21">
        <v>42004</v>
      </c>
      <c r="B3507" s="36">
        <v>261</v>
      </c>
      <c r="C3507" s="20" t="s">
        <v>4039</v>
      </c>
      <c r="D3507" s="20">
        <v>20.5</v>
      </c>
      <c r="E3507" s="59">
        <v>1230</v>
      </c>
      <c r="F3507" s="20" t="s">
        <v>889</v>
      </c>
      <c r="G3507" t="s">
        <v>4040</v>
      </c>
      <c r="H3507" s="18">
        <v>1230</v>
      </c>
      <c r="I3507" s="3">
        <v>42004</v>
      </c>
      <c r="J3507"/>
      <c r="L3507"/>
      <c r="M3507"/>
      <c r="N3507" s="20"/>
      <c r="O3507" s="20"/>
      <c r="P3507" s="20"/>
      <c r="Q3507" s="20"/>
      <c r="R3507" s="20"/>
      <c r="S3507" s="20"/>
      <c r="T3507" s="20"/>
    </row>
    <row r="3508" spans="1:20" x14ac:dyDescent="0.25">
      <c r="A3508" s="21">
        <v>42004</v>
      </c>
      <c r="B3508" s="36">
        <v>261</v>
      </c>
      <c r="C3508" s="20" t="s">
        <v>4061</v>
      </c>
      <c r="D3508" s="20">
        <v>4</v>
      </c>
      <c r="E3508" s="59">
        <v>200</v>
      </c>
      <c r="F3508" s="20" t="s">
        <v>889</v>
      </c>
      <c r="G3508" t="s">
        <v>4062</v>
      </c>
      <c r="H3508" s="18">
        <v>200</v>
      </c>
      <c r="I3508" s="3">
        <v>42004</v>
      </c>
      <c r="J3508"/>
      <c r="L3508"/>
      <c r="M3508"/>
      <c r="N3508" s="20"/>
      <c r="O3508" s="20"/>
      <c r="P3508" s="20"/>
      <c r="Q3508" s="20"/>
      <c r="R3508" s="20"/>
      <c r="S3508" s="20"/>
      <c r="T3508" s="20"/>
    </row>
    <row r="3509" spans="1:20" x14ac:dyDescent="0.25">
      <c r="A3509" s="21">
        <v>42004</v>
      </c>
      <c r="B3509" s="36">
        <v>261</v>
      </c>
      <c r="C3509" s="20" t="s">
        <v>4095</v>
      </c>
      <c r="D3509" s="20">
        <v>4.8449999999999998</v>
      </c>
      <c r="E3509" s="59">
        <v>242.25</v>
      </c>
      <c r="F3509" s="20" t="s">
        <v>889</v>
      </c>
      <c r="G3509" t="s">
        <v>4096</v>
      </c>
      <c r="H3509" s="18">
        <v>242.25</v>
      </c>
      <c r="I3509" s="3">
        <v>42004</v>
      </c>
      <c r="J3509"/>
      <c r="L3509"/>
      <c r="M3509"/>
      <c r="N3509" s="20"/>
      <c r="O3509" s="20"/>
      <c r="P3509" s="20"/>
      <c r="Q3509" s="20"/>
      <c r="R3509" s="20"/>
      <c r="S3509" s="20"/>
      <c r="T3509" s="20"/>
    </row>
    <row r="3510" spans="1:20" x14ac:dyDescent="0.25">
      <c r="A3510" s="21">
        <v>42004</v>
      </c>
      <c r="B3510" s="36">
        <v>261</v>
      </c>
      <c r="C3510" s="20" t="s">
        <v>4074</v>
      </c>
      <c r="D3510" s="20">
        <v>9.69</v>
      </c>
      <c r="E3510" s="59">
        <v>484.5</v>
      </c>
      <c r="F3510" s="20" t="s">
        <v>889</v>
      </c>
      <c r="G3510" t="s">
        <v>4075</v>
      </c>
      <c r="H3510" s="18">
        <v>484.5</v>
      </c>
      <c r="I3510" s="3">
        <v>42004</v>
      </c>
      <c r="J3510"/>
      <c r="L3510"/>
      <c r="M3510"/>
      <c r="N3510" s="20"/>
      <c r="O3510" s="20"/>
      <c r="P3510" s="20"/>
      <c r="Q3510" s="20"/>
      <c r="R3510" s="20"/>
      <c r="S3510" s="20"/>
      <c r="T3510" s="20"/>
    </row>
    <row r="3511" spans="1:20" x14ac:dyDescent="0.25">
      <c r="A3511" s="21">
        <v>42004</v>
      </c>
      <c r="B3511" s="36">
        <v>261</v>
      </c>
      <c r="C3511" s="20" t="s">
        <v>4002</v>
      </c>
      <c r="D3511" s="20">
        <v>10.75</v>
      </c>
      <c r="E3511" s="59">
        <v>344</v>
      </c>
      <c r="F3511" s="20" t="s">
        <v>889</v>
      </c>
      <c r="G3511" t="s">
        <v>4003</v>
      </c>
      <c r="H3511" s="18">
        <v>344</v>
      </c>
      <c r="I3511" s="3">
        <v>42004</v>
      </c>
      <c r="J3511"/>
      <c r="L3511"/>
      <c r="M3511"/>
      <c r="N3511" s="20"/>
      <c r="O3511" s="20"/>
      <c r="P3511" s="20"/>
      <c r="Q3511" s="20"/>
      <c r="R3511" s="20"/>
      <c r="S3511" s="20"/>
      <c r="T3511" s="20"/>
    </row>
    <row r="3512" spans="1:20" x14ac:dyDescent="0.25">
      <c r="A3512" s="21">
        <v>42004</v>
      </c>
      <c r="B3512" s="36">
        <v>261</v>
      </c>
      <c r="C3512" s="20" t="s">
        <v>4103</v>
      </c>
      <c r="D3512" s="20">
        <v>9.18</v>
      </c>
      <c r="E3512" s="59">
        <v>459</v>
      </c>
      <c r="F3512" s="20" t="s">
        <v>889</v>
      </c>
      <c r="G3512" t="s">
        <v>4104</v>
      </c>
      <c r="H3512" s="18">
        <v>459</v>
      </c>
      <c r="I3512" s="3">
        <v>42004</v>
      </c>
      <c r="J3512"/>
      <c r="L3512"/>
      <c r="M3512"/>
      <c r="N3512" s="20"/>
      <c r="O3512" s="20"/>
      <c r="P3512" s="20"/>
      <c r="Q3512" s="20"/>
      <c r="R3512" s="20"/>
      <c r="S3512" s="20"/>
      <c r="T3512" s="20"/>
    </row>
    <row r="3513" spans="1:20" x14ac:dyDescent="0.25">
      <c r="A3513" s="21">
        <v>42004</v>
      </c>
      <c r="B3513" s="36">
        <v>261</v>
      </c>
      <c r="C3513" s="20" t="s">
        <v>4017</v>
      </c>
      <c r="D3513" s="20">
        <v>6.25</v>
      </c>
      <c r="E3513" s="59">
        <v>375</v>
      </c>
      <c r="F3513" s="20" t="s">
        <v>889</v>
      </c>
      <c r="G3513" t="s">
        <v>4018</v>
      </c>
      <c r="H3513" s="18">
        <v>375</v>
      </c>
      <c r="I3513" s="3">
        <v>42004</v>
      </c>
      <c r="J3513"/>
      <c r="L3513"/>
      <c r="M3513"/>
      <c r="N3513" s="20"/>
      <c r="O3513" s="20"/>
      <c r="P3513" s="20"/>
      <c r="Q3513" s="20"/>
      <c r="R3513" s="20"/>
      <c r="S3513" s="20"/>
      <c r="T3513" s="20"/>
    </row>
    <row r="3514" spans="1:20" x14ac:dyDescent="0.25">
      <c r="A3514" s="21">
        <v>42004</v>
      </c>
      <c r="B3514" s="36">
        <v>261</v>
      </c>
      <c r="C3514" s="20" t="s">
        <v>4009</v>
      </c>
      <c r="D3514" s="20">
        <v>12</v>
      </c>
      <c r="E3514" s="59">
        <v>418.87976101568364</v>
      </c>
      <c r="F3514" s="20" t="s">
        <v>889</v>
      </c>
      <c r="G3514" t="s">
        <v>4010</v>
      </c>
      <c r="H3514" s="18">
        <v>418.87976101568364</v>
      </c>
      <c r="I3514" s="3">
        <v>42004</v>
      </c>
      <c r="J3514"/>
      <c r="L3514"/>
      <c r="M3514"/>
      <c r="N3514" s="20"/>
      <c r="O3514" s="20"/>
      <c r="P3514" s="20"/>
      <c r="Q3514" s="20"/>
      <c r="R3514" s="20"/>
      <c r="S3514" s="20"/>
      <c r="T3514" s="20"/>
    </row>
    <row r="3515" spans="1:20" x14ac:dyDescent="0.25">
      <c r="A3515" s="21">
        <v>42004</v>
      </c>
      <c r="B3515" s="36">
        <v>261</v>
      </c>
      <c r="C3515" s="20" t="s">
        <v>4121</v>
      </c>
      <c r="D3515" s="20">
        <v>4.335</v>
      </c>
      <c r="E3515" s="59">
        <v>-433.5</v>
      </c>
      <c r="F3515" s="20" t="s">
        <v>889</v>
      </c>
      <c r="G3515" t="s">
        <v>4122</v>
      </c>
      <c r="H3515" s="18" t="s">
        <v>442</v>
      </c>
      <c r="I3515" s="3" t="s">
        <v>442</v>
      </c>
      <c r="J3515"/>
      <c r="L3515"/>
      <c r="M3515"/>
      <c r="N3515" s="20"/>
      <c r="O3515" s="20"/>
      <c r="P3515" s="20"/>
      <c r="Q3515" s="20"/>
      <c r="R3515" s="20"/>
      <c r="S3515" s="20"/>
      <c r="T3515" s="20"/>
    </row>
    <row r="3516" spans="1:20" x14ac:dyDescent="0.25">
      <c r="A3516" s="21">
        <v>42004</v>
      </c>
      <c r="B3516" s="36">
        <v>261</v>
      </c>
      <c r="C3516" s="20" t="s">
        <v>4091</v>
      </c>
      <c r="D3516" s="20">
        <v>3.8250000000000002</v>
      </c>
      <c r="E3516" s="59">
        <v>191.25</v>
      </c>
      <c r="F3516" s="20" t="s">
        <v>889</v>
      </c>
      <c r="G3516" t="s">
        <v>4092</v>
      </c>
      <c r="H3516" s="18">
        <v>191.25</v>
      </c>
      <c r="I3516" s="3">
        <v>42004</v>
      </c>
      <c r="J3516"/>
      <c r="L3516"/>
      <c r="M3516"/>
      <c r="N3516" s="20"/>
      <c r="O3516" s="20"/>
      <c r="P3516" s="20"/>
      <c r="Q3516" s="20"/>
      <c r="R3516" s="20"/>
      <c r="S3516" s="20"/>
      <c r="T3516" s="20"/>
    </row>
    <row r="3517" spans="1:20" x14ac:dyDescent="0.25">
      <c r="A3517" s="21">
        <v>42004</v>
      </c>
      <c r="B3517" s="36">
        <v>261</v>
      </c>
      <c r="C3517" s="20" t="s">
        <v>4029</v>
      </c>
      <c r="D3517" s="20">
        <v>5.5</v>
      </c>
      <c r="E3517" s="59">
        <v>275</v>
      </c>
      <c r="F3517" s="20" t="s">
        <v>889</v>
      </c>
      <c r="G3517" t="s">
        <v>4030</v>
      </c>
      <c r="H3517" s="18">
        <v>275</v>
      </c>
      <c r="I3517" s="3">
        <v>42004</v>
      </c>
      <c r="J3517"/>
      <c r="L3517"/>
      <c r="M3517"/>
      <c r="N3517" s="20"/>
      <c r="O3517" s="20"/>
      <c r="P3517" s="20"/>
      <c r="Q3517" s="20"/>
      <c r="R3517" s="20"/>
      <c r="S3517" s="20"/>
      <c r="T3517" s="20"/>
    </row>
    <row r="3518" spans="1:20" x14ac:dyDescent="0.25">
      <c r="A3518" s="21">
        <v>42004</v>
      </c>
      <c r="B3518" s="36">
        <v>261</v>
      </c>
      <c r="C3518" s="20" t="s">
        <v>4113</v>
      </c>
      <c r="D3518" s="20">
        <v>8.4149999999999991</v>
      </c>
      <c r="E3518" s="59">
        <v>420.75</v>
      </c>
      <c r="F3518" s="20" t="s">
        <v>889</v>
      </c>
      <c r="G3518" t="s">
        <v>4114</v>
      </c>
      <c r="H3518" s="18">
        <v>420.75</v>
      </c>
      <c r="I3518" s="3">
        <v>42004</v>
      </c>
      <c r="J3518"/>
      <c r="L3518"/>
      <c r="M3518"/>
      <c r="N3518" s="20"/>
      <c r="O3518" s="20"/>
      <c r="P3518" s="20"/>
      <c r="Q3518" s="20"/>
      <c r="R3518" s="20"/>
      <c r="S3518" s="20"/>
      <c r="T3518" s="20"/>
    </row>
    <row r="3519" spans="1:20" x14ac:dyDescent="0.25">
      <c r="A3519" s="21">
        <v>42004</v>
      </c>
      <c r="B3519" s="36">
        <v>261</v>
      </c>
      <c r="C3519" s="20" t="s">
        <v>4068</v>
      </c>
      <c r="D3519" s="20">
        <v>6.375</v>
      </c>
      <c r="E3519" s="59">
        <v>318.75</v>
      </c>
      <c r="F3519" s="20" t="s">
        <v>889</v>
      </c>
      <c r="G3519" t="s">
        <v>4069</v>
      </c>
      <c r="H3519" s="18">
        <v>318.75</v>
      </c>
      <c r="I3519" s="3">
        <v>42004</v>
      </c>
      <c r="J3519"/>
      <c r="L3519"/>
      <c r="M3519"/>
      <c r="N3519" s="20"/>
      <c r="O3519" s="20"/>
      <c r="P3519" s="20"/>
      <c r="Q3519" s="20"/>
      <c r="R3519" s="20"/>
      <c r="S3519" s="20"/>
      <c r="T3519" s="20"/>
    </row>
    <row r="3520" spans="1:20" x14ac:dyDescent="0.25">
      <c r="A3520" s="21">
        <v>42004</v>
      </c>
      <c r="B3520" s="36">
        <v>261</v>
      </c>
      <c r="C3520" s="20" t="s">
        <v>4049</v>
      </c>
      <c r="D3520" s="20">
        <v>7.25</v>
      </c>
      <c r="E3520" s="59">
        <v>362.5</v>
      </c>
      <c r="F3520" s="20" t="s">
        <v>889</v>
      </c>
      <c r="G3520" t="s">
        <v>4050</v>
      </c>
      <c r="H3520" s="18">
        <v>362.5</v>
      </c>
      <c r="I3520" s="3">
        <v>42004</v>
      </c>
      <c r="J3520"/>
      <c r="L3520"/>
      <c r="M3520"/>
      <c r="N3520" s="20"/>
      <c r="O3520" s="20"/>
      <c r="P3520" s="20"/>
      <c r="Q3520" s="20"/>
      <c r="R3520" s="20"/>
      <c r="S3520" s="20"/>
      <c r="T3520" s="20"/>
    </row>
    <row r="3521" spans="1:20" x14ac:dyDescent="0.25">
      <c r="A3521" s="21">
        <v>42004</v>
      </c>
      <c r="B3521" s="36">
        <v>261</v>
      </c>
      <c r="C3521" s="20" t="s">
        <v>4045</v>
      </c>
      <c r="D3521" s="20">
        <v>5.25</v>
      </c>
      <c r="E3521" s="59">
        <v>168</v>
      </c>
      <c r="F3521" s="20" t="s">
        <v>889</v>
      </c>
      <c r="G3521" t="s">
        <v>4046</v>
      </c>
      <c r="H3521" s="18">
        <v>168</v>
      </c>
      <c r="I3521" s="3">
        <v>42004</v>
      </c>
      <c r="J3521"/>
      <c r="L3521"/>
      <c r="M3521"/>
      <c r="N3521" s="20"/>
      <c r="O3521" s="20"/>
      <c r="P3521" s="20"/>
      <c r="Q3521" s="20"/>
      <c r="R3521" s="20"/>
      <c r="S3521" s="20"/>
      <c r="T3521" s="20"/>
    </row>
    <row r="3522" spans="1:20" x14ac:dyDescent="0.25">
      <c r="A3522" s="21">
        <v>42004</v>
      </c>
      <c r="B3522" s="36">
        <v>261</v>
      </c>
      <c r="C3522" s="20" t="s">
        <v>4080</v>
      </c>
      <c r="D3522" s="20">
        <v>7.9050000000000002</v>
      </c>
      <c r="E3522" s="59">
        <v>395.25</v>
      </c>
      <c r="F3522" s="20" t="s">
        <v>889</v>
      </c>
      <c r="G3522" t="s">
        <v>4081</v>
      </c>
      <c r="H3522" s="18">
        <v>395.25</v>
      </c>
      <c r="I3522" s="3">
        <v>42004</v>
      </c>
      <c r="J3522"/>
      <c r="L3522"/>
      <c r="M3522"/>
      <c r="N3522" s="20"/>
      <c r="O3522" s="20"/>
      <c r="P3522" s="20"/>
      <c r="Q3522" s="20"/>
      <c r="R3522" s="20"/>
      <c r="S3522" s="20"/>
      <c r="T3522" s="20"/>
    </row>
    <row r="3523" spans="1:20" x14ac:dyDescent="0.25">
      <c r="A3523" s="21">
        <v>42004</v>
      </c>
      <c r="B3523" s="36">
        <v>261</v>
      </c>
      <c r="C3523" s="20" t="s">
        <v>4023</v>
      </c>
      <c r="D3523" s="20">
        <v>6.5</v>
      </c>
      <c r="E3523" s="59">
        <v>390</v>
      </c>
      <c r="F3523" s="20" t="s">
        <v>889</v>
      </c>
      <c r="G3523" t="s">
        <v>4024</v>
      </c>
      <c r="H3523" s="18">
        <v>390</v>
      </c>
      <c r="I3523" s="3">
        <v>42004</v>
      </c>
      <c r="J3523"/>
      <c r="L3523"/>
      <c r="M3523"/>
      <c r="N3523" s="20"/>
      <c r="O3523" s="20"/>
      <c r="P3523" s="20"/>
      <c r="Q3523" s="20"/>
      <c r="R3523" s="20"/>
      <c r="S3523" s="20"/>
      <c r="T3523" s="20"/>
    </row>
    <row r="3524" spans="1:20" x14ac:dyDescent="0.25">
      <c r="A3524" s="21">
        <v>42004</v>
      </c>
      <c r="B3524" s="36">
        <v>261</v>
      </c>
      <c r="C3524" s="20" t="s">
        <v>4035</v>
      </c>
      <c r="D3524" s="20">
        <v>5.25</v>
      </c>
      <c r="E3524" s="59">
        <v>168</v>
      </c>
      <c r="F3524" s="20" t="s">
        <v>889</v>
      </c>
      <c r="G3524" t="s">
        <v>4036</v>
      </c>
      <c r="H3524" s="18">
        <v>168</v>
      </c>
      <c r="I3524" s="3">
        <v>42004</v>
      </c>
      <c r="J3524"/>
      <c r="L3524"/>
      <c r="M3524"/>
      <c r="N3524" s="20"/>
      <c r="O3524" s="20"/>
      <c r="P3524" s="20"/>
      <c r="Q3524" s="20"/>
      <c r="R3524" s="20"/>
      <c r="S3524" s="20"/>
      <c r="T3524" s="20"/>
    </row>
    <row r="3525" spans="1:20" x14ac:dyDescent="0.25">
      <c r="A3525" s="21">
        <v>42004</v>
      </c>
      <c r="B3525" s="36">
        <v>261</v>
      </c>
      <c r="C3525" s="20" t="s">
        <v>4041</v>
      </c>
      <c r="D3525" s="20">
        <v>6</v>
      </c>
      <c r="E3525" s="59">
        <v>300</v>
      </c>
      <c r="F3525" s="20" t="s">
        <v>889</v>
      </c>
      <c r="G3525" t="s">
        <v>4042</v>
      </c>
      <c r="H3525" s="18">
        <v>300</v>
      </c>
      <c r="I3525" s="3">
        <v>42004</v>
      </c>
      <c r="J3525"/>
      <c r="L3525"/>
      <c r="M3525"/>
      <c r="N3525" s="20"/>
      <c r="O3525" s="20"/>
      <c r="P3525" s="20"/>
      <c r="Q3525" s="20"/>
      <c r="R3525" s="20"/>
      <c r="S3525" s="20"/>
      <c r="T3525" s="20"/>
    </row>
    <row r="3526" spans="1:20" x14ac:dyDescent="0.25">
      <c r="A3526" s="21">
        <v>42013</v>
      </c>
      <c r="B3526" s="36">
        <v>261</v>
      </c>
      <c r="C3526" s="20" t="s">
        <v>678</v>
      </c>
      <c r="D3526" s="20">
        <v>6.12</v>
      </c>
      <c r="E3526" s="59">
        <v>656</v>
      </c>
      <c r="F3526" s="20" t="s">
        <v>889</v>
      </c>
      <c r="G3526" t="s">
        <v>679</v>
      </c>
      <c r="H3526" s="18">
        <v>656</v>
      </c>
      <c r="I3526" s="3">
        <v>42013</v>
      </c>
      <c r="J3526"/>
      <c r="L3526"/>
      <c r="M3526"/>
      <c r="N3526" s="20"/>
      <c r="O3526" s="20"/>
      <c r="P3526" s="20"/>
      <c r="Q3526" s="20"/>
      <c r="R3526" s="20"/>
      <c r="S3526" s="20"/>
      <c r="T3526" s="20"/>
    </row>
    <row r="3527" spans="1:20" x14ac:dyDescent="0.25">
      <c r="A3527" s="21">
        <v>42013</v>
      </c>
      <c r="B3527" s="36">
        <v>261</v>
      </c>
      <c r="C3527" s="20" t="s">
        <v>466</v>
      </c>
      <c r="D3527" s="20">
        <v>8</v>
      </c>
      <c r="E3527" s="59">
        <v>770.75</v>
      </c>
      <c r="F3527" s="20" t="s">
        <v>889</v>
      </c>
      <c r="G3527" t="s">
        <v>467</v>
      </c>
      <c r="H3527" s="18">
        <v>770.75</v>
      </c>
      <c r="I3527" s="3">
        <v>42013</v>
      </c>
      <c r="J3527"/>
      <c r="L3527"/>
      <c r="M3527"/>
      <c r="N3527" s="20"/>
      <c r="O3527" s="20"/>
      <c r="P3527" s="20"/>
      <c r="Q3527" s="20"/>
      <c r="R3527" s="20"/>
      <c r="S3527" s="20"/>
      <c r="T3527" s="20"/>
    </row>
    <row r="3528" spans="1:20" x14ac:dyDescent="0.25">
      <c r="A3528" s="21">
        <v>42013</v>
      </c>
      <c r="B3528" s="36">
        <v>261</v>
      </c>
      <c r="C3528" s="20" t="s">
        <v>748</v>
      </c>
      <c r="D3528" s="20">
        <v>8.5</v>
      </c>
      <c r="E3528" s="59">
        <v>783.5</v>
      </c>
      <c r="F3528" s="20" t="s">
        <v>889</v>
      </c>
      <c r="G3528" t="s">
        <v>749</v>
      </c>
      <c r="H3528" s="18">
        <v>783.5</v>
      </c>
      <c r="I3528" s="3">
        <v>42013</v>
      </c>
      <c r="J3528"/>
      <c r="L3528"/>
      <c r="M3528"/>
      <c r="N3528" s="20"/>
      <c r="O3528" s="20"/>
      <c r="P3528" s="20"/>
      <c r="Q3528" s="20"/>
      <c r="R3528" s="20"/>
      <c r="S3528" s="20"/>
      <c r="T3528" s="20"/>
    </row>
    <row r="3529" spans="1:20" x14ac:dyDescent="0.25">
      <c r="A3529" s="21">
        <v>42013</v>
      </c>
      <c r="B3529" s="36">
        <v>261</v>
      </c>
      <c r="C3529" s="20" t="s">
        <v>666</v>
      </c>
      <c r="D3529" s="20">
        <v>9.5</v>
      </c>
      <c r="E3529" s="59">
        <v>758</v>
      </c>
      <c r="F3529" s="20" t="s">
        <v>889</v>
      </c>
      <c r="G3529" t="s">
        <v>667</v>
      </c>
      <c r="H3529" s="18">
        <v>758</v>
      </c>
      <c r="I3529" s="3">
        <v>42013</v>
      </c>
      <c r="J3529"/>
      <c r="L3529"/>
      <c r="M3529"/>
      <c r="N3529" s="20"/>
      <c r="O3529" s="20"/>
      <c r="P3529" s="20"/>
      <c r="Q3529" s="20"/>
      <c r="R3529" s="20"/>
      <c r="S3529" s="20"/>
      <c r="T3529" s="20"/>
    </row>
    <row r="3530" spans="1:20" x14ac:dyDescent="0.25">
      <c r="A3530" s="3">
        <v>42019</v>
      </c>
      <c r="B3530" s="36">
        <v>261</v>
      </c>
      <c r="C3530" t="s">
        <v>4131</v>
      </c>
      <c r="D3530" s="55">
        <v>8.25</v>
      </c>
      <c r="E3530" s="18">
        <v>825</v>
      </c>
      <c r="F3530" t="s">
        <v>889</v>
      </c>
      <c r="G3530" s="55" t="s">
        <v>4048</v>
      </c>
      <c r="H3530" s="18">
        <v>825</v>
      </c>
      <c r="I3530" s="3">
        <v>42019</v>
      </c>
      <c r="J3530" s="55"/>
      <c r="K3530" s="55"/>
      <c r="L3530" s="55"/>
      <c r="M3530" s="55"/>
      <c r="N3530" s="20"/>
      <c r="O3530" t="s">
        <v>4048</v>
      </c>
      <c r="P3530" s="20"/>
      <c r="Q3530" s="21"/>
      <c r="R3530" s="71"/>
      <c r="S3530" s="21"/>
      <c r="T3530" s="71">
        <v>825</v>
      </c>
    </row>
    <row r="3531" spans="1:20" x14ac:dyDescent="0.25">
      <c r="A3531" s="3">
        <v>42019</v>
      </c>
      <c r="B3531" s="36">
        <v>261</v>
      </c>
      <c r="C3531" t="s">
        <v>678</v>
      </c>
      <c r="D3531" s="55">
        <v>6.12</v>
      </c>
      <c r="E3531" s="18">
        <v>568</v>
      </c>
      <c r="F3531" t="s">
        <v>889</v>
      </c>
      <c r="G3531" s="55" t="s">
        <v>679</v>
      </c>
      <c r="H3531" s="18">
        <v>568</v>
      </c>
      <c r="I3531" s="3">
        <v>42019</v>
      </c>
      <c r="J3531" s="55"/>
      <c r="K3531" s="55"/>
      <c r="L3531" s="55"/>
      <c r="M3531" s="55"/>
      <c r="N3531" s="20"/>
      <c r="O3531" t="s">
        <v>679</v>
      </c>
      <c r="P3531" s="20"/>
      <c r="Q3531" s="21">
        <v>42013</v>
      </c>
      <c r="R3531" s="71">
        <v>306</v>
      </c>
      <c r="S3531" s="21">
        <v>42013</v>
      </c>
      <c r="T3531" s="71">
        <v>568</v>
      </c>
    </row>
    <row r="3532" spans="1:20" x14ac:dyDescent="0.25">
      <c r="A3532" s="3">
        <v>42019</v>
      </c>
      <c r="B3532" s="36">
        <v>261</v>
      </c>
      <c r="C3532" t="s">
        <v>3992</v>
      </c>
      <c r="D3532" s="55">
        <v>3</v>
      </c>
      <c r="E3532" s="18">
        <v>-250</v>
      </c>
      <c r="F3532" t="s">
        <v>889</v>
      </c>
      <c r="G3532" s="55" t="s">
        <v>3993</v>
      </c>
      <c r="H3532" s="18" t="s">
        <v>442</v>
      </c>
      <c r="I3532" s="3" t="s">
        <v>442</v>
      </c>
      <c r="J3532" s="55"/>
      <c r="K3532" s="55"/>
      <c r="L3532" s="55"/>
      <c r="M3532" s="55"/>
      <c r="N3532" s="20"/>
      <c r="O3532" t="s">
        <v>3993</v>
      </c>
      <c r="P3532" s="20"/>
      <c r="Q3532" s="21"/>
      <c r="R3532" s="71"/>
      <c r="S3532" s="21"/>
      <c r="T3532" s="71"/>
    </row>
    <row r="3533" spans="1:20" x14ac:dyDescent="0.25">
      <c r="A3533" s="3">
        <v>42019</v>
      </c>
      <c r="B3533" s="36">
        <v>261</v>
      </c>
      <c r="C3533" t="s">
        <v>4132</v>
      </c>
      <c r="D3533" s="55">
        <v>8.58</v>
      </c>
      <c r="E3533" s="18">
        <v>350</v>
      </c>
      <c r="F3533" t="s">
        <v>889</v>
      </c>
      <c r="G3533" t="s">
        <v>430</v>
      </c>
      <c r="H3533" s="18">
        <v>350</v>
      </c>
      <c r="I3533" s="3">
        <v>42019</v>
      </c>
      <c r="J3533" s="55"/>
      <c r="K3533" s="55"/>
      <c r="L3533" s="55"/>
      <c r="M3533" s="55"/>
      <c r="N3533" s="20"/>
      <c r="O3533" t="s">
        <v>430</v>
      </c>
      <c r="P3533" s="20"/>
      <c r="Q3533" s="21">
        <v>42020</v>
      </c>
      <c r="R3533" s="71"/>
      <c r="S3533" s="21"/>
      <c r="T3533" s="71"/>
    </row>
    <row r="3534" spans="1:20" x14ac:dyDescent="0.25">
      <c r="A3534" s="3">
        <v>42019</v>
      </c>
      <c r="B3534" s="36">
        <v>261</v>
      </c>
      <c r="C3534" t="s">
        <v>4132</v>
      </c>
      <c r="D3534" s="55">
        <v>8.06</v>
      </c>
      <c r="E3534" s="18">
        <v>350</v>
      </c>
      <c r="F3534" t="s">
        <v>889</v>
      </c>
      <c r="G3534" t="s">
        <v>556</v>
      </c>
      <c r="H3534" s="18">
        <v>350</v>
      </c>
      <c r="I3534" s="3">
        <v>42019</v>
      </c>
      <c r="J3534" s="55"/>
      <c r="K3534" s="55"/>
      <c r="L3534" s="55"/>
      <c r="M3534" s="55"/>
      <c r="N3534" s="20"/>
      <c r="O3534" t="s">
        <v>556</v>
      </c>
      <c r="P3534" s="20"/>
      <c r="Q3534" s="21">
        <v>42020</v>
      </c>
      <c r="R3534" s="71"/>
      <c r="S3534" s="21"/>
      <c r="T3534" s="71"/>
    </row>
    <row r="3535" spans="1:20" x14ac:dyDescent="0.25">
      <c r="A3535" s="3">
        <v>42019</v>
      </c>
      <c r="B3535" s="36">
        <v>261</v>
      </c>
      <c r="C3535" t="s">
        <v>4133</v>
      </c>
      <c r="D3535" s="55">
        <v>8.58</v>
      </c>
      <c r="E3535" s="18">
        <v>350</v>
      </c>
      <c r="F3535" t="s">
        <v>889</v>
      </c>
      <c r="G3535" s="55" t="s">
        <v>686</v>
      </c>
      <c r="H3535" s="18">
        <v>350</v>
      </c>
      <c r="I3535" s="3">
        <v>42019</v>
      </c>
      <c r="J3535" s="55"/>
      <c r="K3535" s="55"/>
      <c r="L3535" s="55"/>
      <c r="M3535" s="55"/>
      <c r="N3535" s="20"/>
      <c r="O3535" t="s">
        <v>686</v>
      </c>
      <c r="P3535" s="20"/>
      <c r="Q3535" s="21">
        <v>42020</v>
      </c>
      <c r="R3535" s="71"/>
      <c r="S3535" s="21"/>
      <c r="T3535" s="71"/>
    </row>
    <row r="3536" spans="1:20" x14ac:dyDescent="0.25">
      <c r="A3536" s="3">
        <v>42027</v>
      </c>
      <c r="B3536" s="36">
        <v>261</v>
      </c>
      <c r="C3536" t="s">
        <v>4134</v>
      </c>
      <c r="D3536" s="55">
        <v>7.14</v>
      </c>
      <c r="E3536" s="18">
        <v>714</v>
      </c>
      <c r="F3536" t="s">
        <v>889</v>
      </c>
      <c r="G3536" s="55" t="s">
        <v>3985</v>
      </c>
      <c r="H3536" s="18">
        <v>714</v>
      </c>
      <c r="I3536" s="3">
        <v>42027</v>
      </c>
      <c r="J3536" s="55"/>
      <c r="K3536" s="55"/>
      <c r="L3536" s="55"/>
      <c r="M3536" s="55"/>
      <c r="N3536" s="20"/>
      <c r="O3536" t="s">
        <v>3985</v>
      </c>
      <c r="P3536" s="20"/>
      <c r="Q3536" s="21"/>
      <c r="R3536" s="71"/>
      <c r="S3536" s="21"/>
      <c r="T3536" s="71"/>
    </row>
    <row r="3537" spans="1:20" x14ac:dyDescent="0.25">
      <c r="A3537" s="3">
        <v>42027</v>
      </c>
      <c r="B3537" s="36">
        <v>261</v>
      </c>
      <c r="C3537" t="s">
        <v>4135</v>
      </c>
      <c r="D3537" s="55">
        <v>8.9250000000000007</v>
      </c>
      <c r="E3537" s="18">
        <v>892.50000000000011</v>
      </c>
      <c r="F3537" t="s">
        <v>889</v>
      </c>
      <c r="G3537" s="55" t="s">
        <v>4094</v>
      </c>
      <c r="H3537" s="18">
        <v>892.50000000000011</v>
      </c>
      <c r="I3537" s="3">
        <v>42027</v>
      </c>
      <c r="J3537" s="55"/>
      <c r="K3537" s="55"/>
      <c r="L3537" s="55"/>
      <c r="M3537" s="55"/>
      <c r="N3537" s="20"/>
      <c r="O3537" t="s">
        <v>4094</v>
      </c>
      <c r="P3537" s="20"/>
      <c r="Q3537" s="21"/>
      <c r="R3537" s="71"/>
      <c r="S3537" s="21"/>
      <c r="T3537" s="71"/>
    </row>
    <row r="3538" spans="1:20" x14ac:dyDescent="0.25">
      <c r="A3538" s="3">
        <v>42027</v>
      </c>
      <c r="B3538" s="36">
        <v>261</v>
      </c>
      <c r="C3538" t="s">
        <v>659</v>
      </c>
      <c r="D3538" s="55">
        <v>5.0999999999999996</v>
      </c>
      <c r="E3538" s="18">
        <v>254.99999999999997</v>
      </c>
      <c r="F3538" t="s">
        <v>889</v>
      </c>
      <c r="G3538" s="55" t="s">
        <v>660</v>
      </c>
      <c r="H3538" s="18">
        <v>254.99999999999997</v>
      </c>
      <c r="I3538" s="3">
        <v>42027</v>
      </c>
      <c r="J3538" s="55"/>
      <c r="K3538" s="55"/>
      <c r="L3538" s="55"/>
      <c r="M3538" s="55"/>
      <c r="N3538" s="20"/>
      <c r="O3538" t="s">
        <v>660</v>
      </c>
      <c r="P3538" s="20"/>
      <c r="Q3538" s="21"/>
      <c r="R3538" s="71"/>
      <c r="S3538" s="21"/>
      <c r="T3538" s="71"/>
    </row>
    <row r="3539" spans="1:20" x14ac:dyDescent="0.25">
      <c r="A3539" s="3">
        <v>42027</v>
      </c>
      <c r="B3539" s="36">
        <v>261</v>
      </c>
      <c r="C3539" t="s">
        <v>4136</v>
      </c>
      <c r="D3539" s="55">
        <v>3.64</v>
      </c>
      <c r="E3539" s="18">
        <v>364</v>
      </c>
      <c r="F3539" t="s">
        <v>889</v>
      </c>
      <c r="G3539" s="55" t="s">
        <v>4124</v>
      </c>
      <c r="H3539" s="18">
        <v>364</v>
      </c>
      <c r="I3539" s="3">
        <v>42027</v>
      </c>
      <c r="J3539" s="55"/>
      <c r="K3539" s="55"/>
      <c r="L3539" s="55"/>
      <c r="M3539" s="55"/>
      <c r="N3539" s="20"/>
      <c r="O3539" t="s">
        <v>4124</v>
      </c>
      <c r="P3539" s="20"/>
      <c r="Q3539" s="21"/>
      <c r="R3539" s="71"/>
      <c r="S3539" s="21"/>
      <c r="T3539" s="71"/>
    </row>
    <row r="3540" spans="1:20" x14ac:dyDescent="0.25">
      <c r="A3540" s="3">
        <v>42027</v>
      </c>
      <c r="B3540" s="36">
        <v>261</v>
      </c>
      <c r="C3540" t="s">
        <v>4031</v>
      </c>
      <c r="D3540" s="55">
        <v>6.75</v>
      </c>
      <c r="E3540" s="18">
        <v>-675</v>
      </c>
      <c r="F3540" t="s">
        <v>889</v>
      </c>
      <c r="G3540" s="55" t="s">
        <v>4032</v>
      </c>
      <c r="H3540" s="18" t="s">
        <v>442</v>
      </c>
      <c r="I3540" s="3" t="s">
        <v>442</v>
      </c>
      <c r="J3540" s="55"/>
      <c r="K3540" s="55"/>
      <c r="L3540" s="55"/>
      <c r="M3540" s="55"/>
      <c r="N3540" s="20"/>
      <c r="O3540" t="s">
        <v>4032</v>
      </c>
      <c r="P3540" s="20"/>
      <c r="Q3540" s="21"/>
      <c r="R3540" s="71"/>
      <c r="S3540" s="21"/>
      <c r="T3540" s="71"/>
    </row>
    <row r="3541" spans="1:20" x14ac:dyDescent="0.25">
      <c r="A3541" s="3">
        <v>42027</v>
      </c>
      <c r="B3541" s="36">
        <v>261</v>
      </c>
      <c r="C3541" t="s">
        <v>666</v>
      </c>
      <c r="D3541" s="55">
        <v>8.16</v>
      </c>
      <c r="E3541" s="18">
        <v>874</v>
      </c>
      <c r="F3541" t="s">
        <v>889</v>
      </c>
      <c r="G3541" s="55" t="s">
        <v>667</v>
      </c>
      <c r="H3541" s="18">
        <v>874</v>
      </c>
      <c r="I3541" s="3">
        <v>42027</v>
      </c>
      <c r="J3541" s="55"/>
      <c r="K3541" s="55"/>
      <c r="L3541" s="55"/>
      <c r="M3541" s="55"/>
      <c r="N3541" s="20"/>
      <c r="O3541" t="s">
        <v>667</v>
      </c>
      <c r="P3541" s="20"/>
      <c r="Q3541" s="21"/>
      <c r="R3541" s="71"/>
      <c r="S3541" s="21"/>
      <c r="T3541" s="71"/>
    </row>
    <row r="3542" spans="1:20" x14ac:dyDescent="0.25">
      <c r="A3542" s="3">
        <v>42027</v>
      </c>
      <c r="B3542" s="36">
        <v>261</v>
      </c>
      <c r="C3542" t="s">
        <v>634</v>
      </c>
      <c r="D3542" s="55">
        <v>2.86</v>
      </c>
      <c r="E3542" s="18">
        <v>572</v>
      </c>
      <c r="F3542" t="s">
        <v>889</v>
      </c>
      <c r="G3542" s="55" t="s">
        <v>635</v>
      </c>
      <c r="H3542" s="18">
        <v>572</v>
      </c>
      <c r="I3542" s="3">
        <v>42027</v>
      </c>
      <c r="J3542" s="55"/>
      <c r="K3542" s="55"/>
      <c r="L3542" s="55"/>
      <c r="M3542" s="55"/>
      <c r="N3542" s="20"/>
      <c r="O3542" t="s">
        <v>635</v>
      </c>
      <c r="P3542" s="20"/>
      <c r="Q3542" s="21"/>
      <c r="R3542" s="71"/>
      <c r="S3542" s="21"/>
      <c r="T3542" s="71"/>
    </row>
    <row r="3543" spans="1:20" x14ac:dyDescent="0.25">
      <c r="A3543" s="3">
        <v>42027</v>
      </c>
      <c r="B3543" s="36">
        <v>261</v>
      </c>
      <c r="C3543" t="s">
        <v>4137</v>
      </c>
      <c r="D3543" s="55">
        <v>8.4149999999999991</v>
      </c>
      <c r="E3543" s="18">
        <v>841.49999999999989</v>
      </c>
      <c r="F3543" t="s">
        <v>889</v>
      </c>
      <c r="G3543" s="55" t="s">
        <v>4120</v>
      </c>
      <c r="H3543" s="18">
        <v>841.49999999999989</v>
      </c>
      <c r="I3543" s="3">
        <v>42027</v>
      </c>
      <c r="J3543" s="55"/>
      <c r="K3543" s="55"/>
      <c r="L3543" s="55"/>
      <c r="M3543" s="55"/>
      <c r="N3543" s="20"/>
      <c r="O3543" t="s">
        <v>4120</v>
      </c>
      <c r="P3543" s="20"/>
      <c r="Q3543" s="21"/>
      <c r="R3543" s="71"/>
      <c r="S3543" s="21"/>
      <c r="T3543" s="71"/>
    </row>
    <row r="3544" spans="1:20" x14ac:dyDescent="0.25">
      <c r="A3544" s="3">
        <v>42034</v>
      </c>
      <c r="B3544">
        <v>261</v>
      </c>
      <c r="C3544" t="s">
        <v>480</v>
      </c>
      <c r="D3544" s="19">
        <v>6.375</v>
      </c>
      <c r="E3544" s="18">
        <v>318.75</v>
      </c>
      <c r="F3544" s="23" t="s">
        <v>889</v>
      </c>
      <c r="G3544" t="s">
        <v>481</v>
      </c>
      <c r="H3544" s="18"/>
      <c r="J3544"/>
      <c r="L3544"/>
      <c r="M3544"/>
      <c r="N3544" s="20"/>
      <c r="O3544"/>
      <c r="P3544" s="20"/>
      <c r="Q3544" s="20"/>
      <c r="R3544" s="20"/>
      <c r="S3544" s="20"/>
      <c r="T3544" s="20"/>
    </row>
    <row r="3545" spans="1:20" x14ac:dyDescent="0.25">
      <c r="A3545" s="3">
        <v>42041</v>
      </c>
      <c r="B3545">
        <v>261</v>
      </c>
      <c r="C3545" t="s">
        <v>4109</v>
      </c>
      <c r="E3545" s="18">
        <v>318.75</v>
      </c>
      <c r="F3545" t="s">
        <v>889</v>
      </c>
      <c r="G3545" t="s">
        <v>4110</v>
      </c>
      <c r="I3545"/>
      <c r="J3545"/>
      <c r="L3545"/>
      <c r="M3545"/>
      <c r="O3545"/>
      <c r="P3545" s="20"/>
      <c r="Q3545" s="20"/>
      <c r="R3545" s="20"/>
      <c r="S3545" s="20"/>
      <c r="T3545" s="20"/>
    </row>
    <row r="3546" spans="1:20" x14ac:dyDescent="0.25">
      <c r="A3546" s="3">
        <v>42041</v>
      </c>
      <c r="B3546">
        <v>261</v>
      </c>
      <c r="C3546" t="s">
        <v>4099</v>
      </c>
      <c r="E3546" s="18">
        <v>395.25</v>
      </c>
      <c r="F3546" t="s">
        <v>889</v>
      </c>
      <c r="G3546" t="s">
        <v>4100</v>
      </c>
      <c r="I3546"/>
      <c r="J3546"/>
      <c r="L3546"/>
      <c r="M3546"/>
      <c r="O3546"/>
      <c r="P3546" s="20"/>
      <c r="Q3546" s="20"/>
      <c r="R3546" s="20"/>
      <c r="S3546" s="20"/>
      <c r="T3546" s="20"/>
    </row>
    <row r="3547" spans="1:20" x14ac:dyDescent="0.25">
      <c r="A3547" s="3">
        <v>42041</v>
      </c>
      <c r="B3547">
        <v>261</v>
      </c>
      <c r="C3547" t="s">
        <v>4085</v>
      </c>
      <c r="E3547" s="18">
        <v>420.75</v>
      </c>
      <c r="F3547" t="s">
        <v>889</v>
      </c>
      <c r="G3547" t="s">
        <v>4086</v>
      </c>
      <c r="I3547"/>
      <c r="J3547"/>
      <c r="L3547"/>
      <c r="M3547"/>
      <c r="O3547"/>
      <c r="P3547" s="20"/>
      <c r="Q3547" s="20"/>
      <c r="R3547" s="20"/>
      <c r="S3547" s="20"/>
      <c r="T3547" s="20"/>
    </row>
    <row r="3548" spans="1:20" x14ac:dyDescent="0.25">
      <c r="A3548" s="3">
        <v>42041</v>
      </c>
      <c r="B3548">
        <v>261</v>
      </c>
      <c r="C3548" t="s">
        <v>4039</v>
      </c>
      <c r="E3548" s="18">
        <v>1230</v>
      </c>
      <c r="F3548" t="s">
        <v>889</v>
      </c>
      <c r="G3548" t="s">
        <v>4040</v>
      </c>
      <c r="I3548"/>
      <c r="J3548"/>
      <c r="L3548"/>
      <c r="M3548"/>
      <c r="O3548"/>
      <c r="P3548" s="20"/>
      <c r="Q3548" s="20"/>
      <c r="R3548" s="20"/>
      <c r="S3548" s="20"/>
      <c r="T3548" s="20"/>
    </row>
    <row r="3549" spans="1:20" x14ac:dyDescent="0.25">
      <c r="A3549" s="3">
        <v>42041</v>
      </c>
      <c r="B3549">
        <v>261</v>
      </c>
      <c r="C3549" t="s">
        <v>429</v>
      </c>
      <c r="D3549">
        <v>8.06</v>
      </c>
      <c r="E3549" s="18">
        <v>403</v>
      </c>
      <c r="F3549" t="s">
        <v>889</v>
      </c>
      <c r="G3549" t="s">
        <v>430</v>
      </c>
      <c r="I3549"/>
      <c r="J3549"/>
      <c r="L3549"/>
      <c r="M3549"/>
      <c r="O3549"/>
      <c r="P3549" s="20"/>
      <c r="Q3549" s="20"/>
      <c r="R3549" s="20"/>
      <c r="S3549" s="20"/>
      <c r="T3549" s="20"/>
    </row>
    <row r="3550" spans="1:20" x14ac:dyDescent="0.25">
      <c r="A3550" s="3">
        <v>42041</v>
      </c>
      <c r="B3550">
        <v>261</v>
      </c>
      <c r="C3550" t="s">
        <v>429</v>
      </c>
      <c r="D3550">
        <v>7.54</v>
      </c>
      <c r="E3550" s="18">
        <v>377</v>
      </c>
      <c r="F3550" t="s">
        <v>889</v>
      </c>
      <c r="G3550" t="s">
        <v>556</v>
      </c>
      <c r="I3550"/>
      <c r="J3550"/>
      <c r="L3550"/>
      <c r="M3550"/>
      <c r="O3550"/>
      <c r="P3550" s="20"/>
      <c r="Q3550" s="20"/>
      <c r="R3550" s="20"/>
      <c r="S3550" s="20"/>
      <c r="T3550" s="20"/>
    </row>
    <row r="3551" spans="1:20" x14ac:dyDescent="0.25">
      <c r="A3551" s="3">
        <v>42041</v>
      </c>
      <c r="B3551">
        <v>261</v>
      </c>
      <c r="C3551" t="s">
        <v>4061</v>
      </c>
      <c r="E3551" s="18">
        <v>200</v>
      </c>
      <c r="F3551" t="s">
        <v>889</v>
      </c>
      <c r="G3551" t="s">
        <v>4062</v>
      </c>
      <c r="I3551"/>
      <c r="J3551"/>
      <c r="L3551"/>
      <c r="M3551"/>
      <c r="O3551"/>
      <c r="P3551" s="20"/>
      <c r="Q3551" s="20"/>
      <c r="R3551" s="20"/>
      <c r="S3551" s="20"/>
      <c r="T3551" s="20"/>
    </row>
    <row r="3552" spans="1:20" x14ac:dyDescent="0.25">
      <c r="A3552" s="3">
        <v>42041</v>
      </c>
      <c r="B3552">
        <v>261</v>
      </c>
      <c r="C3552" t="s">
        <v>4095</v>
      </c>
      <c r="E3552" s="18">
        <v>242.25</v>
      </c>
      <c r="F3552" t="s">
        <v>889</v>
      </c>
      <c r="G3552" t="s">
        <v>4096</v>
      </c>
      <c r="I3552"/>
      <c r="J3552"/>
      <c r="L3552"/>
      <c r="M3552"/>
      <c r="O3552"/>
      <c r="P3552" s="20"/>
      <c r="Q3552" s="20"/>
      <c r="R3552" s="20"/>
      <c r="S3552" s="20"/>
      <c r="T3552" s="20"/>
    </row>
    <row r="3553" spans="1:20" x14ac:dyDescent="0.25">
      <c r="A3553" s="3">
        <v>42041</v>
      </c>
      <c r="B3553">
        <v>261</v>
      </c>
      <c r="C3553" t="s">
        <v>4074</v>
      </c>
      <c r="E3553" s="18">
        <v>484.5</v>
      </c>
      <c r="F3553" t="s">
        <v>889</v>
      </c>
      <c r="G3553" t="s">
        <v>4075</v>
      </c>
      <c r="I3553"/>
      <c r="J3553"/>
      <c r="L3553"/>
      <c r="M3553"/>
      <c r="O3553"/>
      <c r="P3553" s="20"/>
      <c r="Q3553" s="20"/>
      <c r="R3553" s="20"/>
      <c r="S3553" s="20"/>
      <c r="T3553" s="20"/>
    </row>
    <row r="3554" spans="1:20" x14ac:dyDescent="0.25">
      <c r="A3554" s="3">
        <v>42041</v>
      </c>
      <c r="B3554">
        <v>261</v>
      </c>
      <c r="C3554" t="s">
        <v>4002</v>
      </c>
      <c r="E3554" s="18">
        <v>344</v>
      </c>
      <c r="F3554" t="s">
        <v>889</v>
      </c>
      <c r="G3554" t="s">
        <v>4003</v>
      </c>
      <c r="I3554"/>
      <c r="J3554"/>
      <c r="L3554"/>
      <c r="M3554"/>
      <c r="O3554"/>
      <c r="P3554" s="20"/>
      <c r="Q3554" s="20"/>
      <c r="R3554" s="20"/>
      <c r="S3554" s="20"/>
      <c r="T3554" s="20"/>
    </row>
    <row r="3555" spans="1:20" x14ac:dyDescent="0.25">
      <c r="A3555" s="3">
        <v>42041</v>
      </c>
      <c r="B3555">
        <v>261</v>
      </c>
      <c r="C3555" t="s">
        <v>4103</v>
      </c>
      <c r="E3555" s="18">
        <v>459</v>
      </c>
      <c r="F3555" t="s">
        <v>889</v>
      </c>
      <c r="G3555" t="s">
        <v>4104</v>
      </c>
      <c r="I3555"/>
      <c r="J3555"/>
      <c r="L3555"/>
      <c r="M3555"/>
      <c r="O3555"/>
      <c r="P3555" s="20"/>
      <c r="Q3555" s="20"/>
      <c r="R3555" s="20"/>
      <c r="S3555" s="20"/>
      <c r="T3555" s="20"/>
    </row>
    <row r="3556" spans="1:20" x14ac:dyDescent="0.25">
      <c r="A3556" s="3">
        <v>42041</v>
      </c>
      <c r="B3556">
        <v>261</v>
      </c>
      <c r="C3556" t="s">
        <v>4017</v>
      </c>
      <c r="E3556" s="18">
        <v>375</v>
      </c>
      <c r="F3556" t="s">
        <v>889</v>
      </c>
      <c r="G3556" t="s">
        <v>4018</v>
      </c>
      <c r="I3556"/>
      <c r="J3556"/>
      <c r="L3556"/>
      <c r="M3556"/>
      <c r="O3556"/>
      <c r="P3556" s="20"/>
      <c r="Q3556" s="20"/>
      <c r="R3556" s="20"/>
      <c r="S3556" s="20"/>
      <c r="T3556" s="20"/>
    </row>
    <row r="3557" spans="1:20" x14ac:dyDescent="0.25">
      <c r="A3557" s="3">
        <v>42041</v>
      </c>
      <c r="B3557">
        <v>261</v>
      </c>
      <c r="C3557" t="s">
        <v>4009</v>
      </c>
      <c r="E3557" s="18">
        <v>418.87976101568364</v>
      </c>
      <c r="F3557" t="s">
        <v>889</v>
      </c>
      <c r="G3557" t="s">
        <v>4010</v>
      </c>
      <c r="I3557"/>
      <c r="J3557"/>
      <c r="L3557"/>
      <c r="M3557"/>
      <c r="O3557"/>
      <c r="P3557" s="20"/>
      <c r="Q3557" s="20"/>
      <c r="R3557" s="20"/>
      <c r="S3557" s="20"/>
      <c r="T3557" s="20"/>
    </row>
    <row r="3558" spans="1:20" x14ac:dyDescent="0.25">
      <c r="A3558" s="3">
        <v>42041</v>
      </c>
      <c r="B3558">
        <v>261</v>
      </c>
      <c r="C3558" t="s">
        <v>466</v>
      </c>
      <c r="D3558">
        <v>8.4149999999999991</v>
      </c>
      <c r="E3558" s="18">
        <v>912.24999999999977</v>
      </c>
      <c r="F3558" t="s">
        <v>889</v>
      </c>
      <c r="G3558" t="s">
        <v>467</v>
      </c>
      <c r="I3558"/>
      <c r="J3558"/>
      <c r="L3558"/>
      <c r="M3558"/>
      <c r="O3558"/>
      <c r="P3558" s="20"/>
      <c r="Q3558" s="20"/>
      <c r="R3558" s="20"/>
      <c r="S3558" s="20"/>
      <c r="T3558" s="20"/>
    </row>
    <row r="3559" spans="1:20" x14ac:dyDescent="0.25">
      <c r="A3559" s="3">
        <v>42041</v>
      </c>
      <c r="B3559">
        <v>261</v>
      </c>
      <c r="C3559" t="s">
        <v>4091</v>
      </c>
      <c r="E3559" s="18">
        <v>191.25</v>
      </c>
      <c r="F3559" t="s">
        <v>889</v>
      </c>
      <c r="G3559" t="s">
        <v>4092</v>
      </c>
      <c r="I3559"/>
      <c r="J3559"/>
      <c r="L3559"/>
      <c r="M3559"/>
      <c r="O3559"/>
      <c r="P3559" s="20"/>
      <c r="Q3559" s="20"/>
      <c r="R3559" s="20"/>
      <c r="S3559" s="20"/>
      <c r="T3559" s="20"/>
    </row>
    <row r="3560" spans="1:20" x14ac:dyDescent="0.25">
      <c r="A3560" s="3">
        <v>42041</v>
      </c>
      <c r="B3560">
        <v>261</v>
      </c>
      <c r="C3560" t="s">
        <v>4029</v>
      </c>
      <c r="E3560" s="18">
        <v>275</v>
      </c>
      <c r="F3560" t="s">
        <v>889</v>
      </c>
      <c r="G3560" t="s">
        <v>4030</v>
      </c>
      <c r="I3560"/>
      <c r="J3560"/>
      <c r="L3560"/>
      <c r="M3560"/>
      <c r="O3560"/>
      <c r="P3560" s="20"/>
      <c r="Q3560" s="20"/>
      <c r="R3560" s="20"/>
      <c r="S3560" s="20"/>
      <c r="T3560" s="20"/>
    </row>
    <row r="3561" spans="1:20" x14ac:dyDescent="0.25">
      <c r="A3561" s="3">
        <v>42041</v>
      </c>
      <c r="B3561">
        <v>261</v>
      </c>
      <c r="C3561" t="s">
        <v>561</v>
      </c>
      <c r="D3561">
        <v>10.4</v>
      </c>
      <c r="E3561" s="18">
        <v>520</v>
      </c>
      <c r="F3561" t="s">
        <v>889</v>
      </c>
      <c r="G3561" t="s">
        <v>562</v>
      </c>
      <c r="I3561"/>
      <c r="J3561"/>
      <c r="L3561"/>
      <c r="M3561"/>
      <c r="O3561"/>
      <c r="P3561" s="20"/>
      <c r="Q3561" s="20"/>
      <c r="R3561" s="20"/>
      <c r="S3561" s="20"/>
      <c r="T3561" s="20"/>
    </row>
    <row r="3562" spans="1:20" x14ac:dyDescent="0.25">
      <c r="A3562" s="3">
        <v>42041</v>
      </c>
      <c r="B3562">
        <v>261</v>
      </c>
      <c r="C3562" t="s">
        <v>4113</v>
      </c>
      <c r="E3562" s="18">
        <v>420.75</v>
      </c>
      <c r="F3562" t="s">
        <v>889</v>
      </c>
      <c r="G3562" t="s">
        <v>4114</v>
      </c>
      <c r="I3562"/>
      <c r="J3562"/>
      <c r="L3562"/>
      <c r="M3562"/>
      <c r="O3562"/>
      <c r="P3562" s="20"/>
      <c r="Q3562" s="20"/>
      <c r="R3562" s="20"/>
      <c r="S3562" s="20"/>
      <c r="T3562" s="20"/>
    </row>
    <row r="3563" spans="1:20" x14ac:dyDescent="0.25">
      <c r="A3563" s="3">
        <v>42041</v>
      </c>
      <c r="B3563">
        <v>261</v>
      </c>
      <c r="C3563" t="s">
        <v>4068</v>
      </c>
      <c r="E3563" s="18">
        <v>318.75</v>
      </c>
      <c r="F3563" t="s">
        <v>889</v>
      </c>
      <c r="G3563" t="s">
        <v>4069</v>
      </c>
      <c r="I3563"/>
      <c r="J3563"/>
      <c r="L3563"/>
      <c r="M3563"/>
      <c r="O3563"/>
      <c r="P3563" s="20"/>
      <c r="Q3563" s="20"/>
      <c r="R3563" s="20"/>
      <c r="S3563" s="20"/>
      <c r="T3563" s="20"/>
    </row>
    <row r="3564" spans="1:20" x14ac:dyDescent="0.25">
      <c r="A3564" s="3">
        <v>42041</v>
      </c>
      <c r="B3564">
        <v>261</v>
      </c>
      <c r="C3564" t="s">
        <v>4049</v>
      </c>
      <c r="E3564" s="18">
        <v>362.5</v>
      </c>
      <c r="F3564" t="s">
        <v>889</v>
      </c>
      <c r="G3564" t="s">
        <v>4050</v>
      </c>
      <c r="I3564"/>
      <c r="J3564"/>
      <c r="L3564"/>
      <c r="M3564"/>
      <c r="O3564"/>
      <c r="P3564" s="20"/>
      <c r="Q3564" s="20"/>
      <c r="R3564" s="20"/>
      <c r="S3564" s="20"/>
      <c r="T3564" s="20"/>
    </row>
    <row r="3565" spans="1:20" x14ac:dyDescent="0.25">
      <c r="A3565" s="3">
        <v>42041</v>
      </c>
      <c r="B3565">
        <v>261</v>
      </c>
      <c r="C3565" t="s">
        <v>4045</v>
      </c>
      <c r="E3565" s="18">
        <v>168</v>
      </c>
      <c r="F3565" t="s">
        <v>889</v>
      </c>
      <c r="G3565" t="s">
        <v>4046</v>
      </c>
      <c r="I3565"/>
      <c r="J3565"/>
      <c r="L3565"/>
      <c r="M3565"/>
      <c r="O3565"/>
      <c r="P3565" s="20"/>
      <c r="Q3565" s="20"/>
      <c r="R3565" s="20"/>
      <c r="S3565" s="20"/>
      <c r="T3565" s="20"/>
    </row>
    <row r="3566" spans="1:20" x14ac:dyDescent="0.25">
      <c r="A3566" s="3">
        <v>42041</v>
      </c>
      <c r="B3566">
        <v>261</v>
      </c>
      <c r="C3566" t="s">
        <v>4080</v>
      </c>
      <c r="E3566" s="18">
        <v>395.25</v>
      </c>
      <c r="F3566" t="s">
        <v>889</v>
      </c>
      <c r="G3566" t="s">
        <v>4081</v>
      </c>
      <c r="I3566"/>
      <c r="J3566"/>
      <c r="L3566"/>
      <c r="M3566"/>
      <c r="O3566"/>
      <c r="P3566" s="20"/>
      <c r="Q3566" s="20"/>
      <c r="R3566" s="20"/>
      <c r="S3566" s="20"/>
      <c r="T3566" s="20"/>
    </row>
    <row r="3567" spans="1:20" x14ac:dyDescent="0.25">
      <c r="A3567" s="3">
        <v>42041</v>
      </c>
      <c r="B3567">
        <v>261</v>
      </c>
      <c r="C3567" t="s">
        <v>4023</v>
      </c>
      <c r="E3567" s="18">
        <v>390</v>
      </c>
      <c r="F3567" t="s">
        <v>889</v>
      </c>
      <c r="G3567" t="s">
        <v>4024</v>
      </c>
      <c r="I3567"/>
      <c r="J3567"/>
      <c r="L3567"/>
      <c r="M3567"/>
      <c r="O3567"/>
      <c r="P3567" s="20"/>
      <c r="Q3567" s="20"/>
      <c r="R3567" s="20"/>
      <c r="S3567" s="20"/>
      <c r="T3567" s="20"/>
    </row>
    <row r="3568" spans="1:20" x14ac:dyDescent="0.25">
      <c r="A3568" s="3">
        <v>42041</v>
      </c>
      <c r="B3568">
        <v>261</v>
      </c>
      <c r="C3568" t="s">
        <v>4035</v>
      </c>
      <c r="E3568" s="18">
        <v>168</v>
      </c>
      <c r="F3568" t="s">
        <v>889</v>
      </c>
      <c r="G3568" t="s">
        <v>4036</v>
      </c>
      <c r="I3568"/>
      <c r="J3568"/>
      <c r="L3568"/>
      <c r="M3568"/>
      <c r="O3568"/>
      <c r="P3568" s="20"/>
      <c r="Q3568" s="20"/>
      <c r="R3568" s="20"/>
      <c r="S3568" s="20"/>
      <c r="T3568" s="20"/>
    </row>
    <row r="3569" spans="1:21" x14ac:dyDescent="0.25">
      <c r="A3569" s="3">
        <v>42041</v>
      </c>
      <c r="B3569">
        <v>261</v>
      </c>
      <c r="C3569" t="s">
        <v>4041</v>
      </c>
      <c r="E3569" s="18">
        <v>300</v>
      </c>
      <c r="F3569" t="s">
        <v>889</v>
      </c>
      <c r="G3569" t="s">
        <v>4042</v>
      </c>
      <c r="I3569"/>
      <c r="J3569"/>
      <c r="L3569"/>
      <c r="M3569"/>
      <c r="O3569"/>
      <c r="P3569" s="20"/>
      <c r="Q3569" s="20"/>
      <c r="R3569" s="20"/>
      <c r="S3569" s="20"/>
      <c r="T3569" s="20"/>
    </row>
    <row r="3570" spans="1:21" x14ac:dyDescent="0.25">
      <c r="B3570">
        <v>261</v>
      </c>
      <c r="C3570" t="s">
        <v>4055</v>
      </c>
      <c r="D3570">
        <v>4.5</v>
      </c>
      <c r="E3570" s="18">
        <v>-477</v>
      </c>
      <c r="F3570" t="s">
        <v>889</v>
      </c>
      <c r="G3570" t="s">
        <v>4056</v>
      </c>
      <c r="I3570"/>
      <c r="J3570"/>
      <c r="L3570"/>
      <c r="M3570"/>
      <c r="O3570"/>
      <c r="P3570" s="20"/>
      <c r="Q3570" s="20"/>
      <c r="R3570" s="20"/>
      <c r="S3570" s="20"/>
      <c r="T3570" s="20"/>
      <c r="U3570" t="s">
        <v>401</v>
      </c>
    </row>
    <row r="3571" spans="1:21" x14ac:dyDescent="0.25">
      <c r="B3571">
        <v>261</v>
      </c>
      <c r="C3571" t="s">
        <v>4057</v>
      </c>
      <c r="D3571">
        <v>9.75</v>
      </c>
      <c r="E3571" s="18">
        <v>-663.75</v>
      </c>
      <c r="F3571" t="s">
        <v>889</v>
      </c>
      <c r="G3571" t="s">
        <v>4058</v>
      </c>
      <c r="I3571"/>
      <c r="J3571"/>
      <c r="L3571"/>
      <c r="M3571"/>
      <c r="O3571"/>
      <c r="P3571" s="20"/>
      <c r="Q3571" s="20"/>
      <c r="R3571" s="20"/>
      <c r="S3571" s="20"/>
      <c r="T3571" s="20"/>
      <c r="U3571" t="s">
        <v>401</v>
      </c>
    </row>
    <row r="3572" spans="1:21" x14ac:dyDescent="0.25">
      <c r="B3572">
        <v>261</v>
      </c>
      <c r="C3572" t="s">
        <v>4015</v>
      </c>
      <c r="D3572">
        <v>10</v>
      </c>
      <c r="E3572" s="18">
        <v>266</v>
      </c>
      <c r="F3572" t="s">
        <v>889</v>
      </c>
      <c r="G3572" t="s">
        <v>4016</v>
      </c>
      <c r="I3572"/>
      <c r="J3572"/>
      <c r="L3572"/>
      <c r="M3572"/>
      <c r="O3572"/>
      <c r="P3572" s="20"/>
      <c r="Q3572" s="20"/>
      <c r="R3572" s="20"/>
      <c r="S3572" s="20"/>
      <c r="T3572" s="20"/>
      <c r="U3572" t="s">
        <v>401</v>
      </c>
    </row>
    <row r="3573" spans="1:21" x14ac:dyDescent="0.25">
      <c r="B3573">
        <v>261</v>
      </c>
      <c r="C3573" t="s">
        <v>4059</v>
      </c>
      <c r="D3573">
        <v>7</v>
      </c>
      <c r="E3573" s="18">
        <v>-1150</v>
      </c>
      <c r="F3573" t="s">
        <v>889</v>
      </c>
      <c r="G3573" t="s">
        <v>4060</v>
      </c>
      <c r="I3573"/>
      <c r="J3573"/>
      <c r="L3573"/>
      <c r="M3573"/>
      <c r="O3573"/>
      <c r="P3573" s="20"/>
      <c r="Q3573" s="20"/>
      <c r="R3573" s="20"/>
      <c r="S3573" s="20"/>
      <c r="T3573" s="20"/>
      <c r="U3573" t="s">
        <v>401</v>
      </c>
    </row>
    <row r="3574" spans="1:21" x14ac:dyDescent="0.25">
      <c r="B3574">
        <v>261</v>
      </c>
      <c r="C3574" t="s">
        <v>4097</v>
      </c>
      <c r="D3574">
        <v>13.77</v>
      </c>
      <c r="E3574" s="18">
        <v>968.99999999999989</v>
      </c>
      <c r="F3574" t="s">
        <v>889</v>
      </c>
      <c r="G3574" t="s">
        <v>4098</v>
      </c>
      <c r="I3574"/>
      <c r="J3574"/>
      <c r="L3574"/>
      <c r="M3574"/>
      <c r="O3574"/>
      <c r="P3574" s="20"/>
      <c r="Q3574" s="20"/>
      <c r="R3574" s="20"/>
      <c r="S3574" s="20"/>
      <c r="T3574" s="20"/>
      <c r="U3574" t="s">
        <v>401</v>
      </c>
    </row>
    <row r="3575" spans="1:21" x14ac:dyDescent="0.25">
      <c r="B3575">
        <v>261</v>
      </c>
      <c r="C3575" t="s">
        <v>967</v>
      </c>
      <c r="E3575" s="18">
        <v>-102</v>
      </c>
      <c r="F3575" t="s">
        <v>889</v>
      </c>
      <c r="G3575" t="s">
        <v>442</v>
      </c>
      <c r="I3575"/>
      <c r="J3575"/>
      <c r="L3575"/>
      <c r="M3575"/>
      <c r="O3575"/>
      <c r="P3575" s="20"/>
      <c r="Q3575" s="20"/>
      <c r="R3575" s="20"/>
      <c r="S3575" s="20"/>
      <c r="T3575" s="20"/>
      <c r="U3575" t="s">
        <v>401</v>
      </c>
    </row>
    <row r="3576" spans="1:21" x14ac:dyDescent="0.25">
      <c r="B3576">
        <v>261</v>
      </c>
      <c r="C3576" t="s">
        <v>4051</v>
      </c>
      <c r="D3576">
        <v>6.25</v>
      </c>
      <c r="E3576" s="18">
        <v>-1550</v>
      </c>
      <c r="F3576" t="s">
        <v>889</v>
      </c>
      <c r="G3576" t="s">
        <v>4052</v>
      </c>
      <c r="I3576"/>
      <c r="J3576"/>
      <c r="L3576"/>
      <c r="M3576"/>
      <c r="O3576"/>
      <c r="P3576" s="20"/>
      <c r="Q3576" s="20"/>
      <c r="R3576" s="20"/>
      <c r="S3576" s="20"/>
      <c r="T3576" s="20"/>
      <c r="U3576" t="s">
        <v>401</v>
      </c>
    </row>
    <row r="3577" spans="1:21" x14ac:dyDescent="0.25">
      <c r="B3577">
        <v>261</v>
      </c>
      <c r="C3577" t="s">
        <v>4065</v>
      </c>
      <c r="E3577" s="18">
        <v>-690.9</v>
      </c>
      <c r="G3577" t="s">
        <v>442</v>
      </c>
      <c r="I3577"/>
      <c r="J3577"/>
      <c r="L3577"/>
      <c r="M3577"/>
      <c r="O3577"/>
      <c r="P3577" s="20"/>
      <c r="Q3577" s="20"/>
      <c r="R3577" s="20"/>
      <c r="S3577" s="20"/>
      <c r="T3577" s="20"/>
      <c r="U3577" t="s">
        <v>401</v>
      </c>
    </row>
    <row r="3578" spans="1:21" x14ac:dyDescent="0.25">
      <c r="A3578" s="3">
        <v>41838</v>
      </c>
      <c r="B3578" s="36">
        <v>263</v>
      </c>
      <c r="C3578" t="s">
        <v>4138</v>
      </c>
      <c r="D3578">
        <v>3.06</v>
      </c>
      <c r="E3578" s="18">
        <v>306</v>
      </c>
      <c r="G3578" t="s">
        <v>4139</v>
      </c>
      <c r="H3578" s="18">
        <v>306</v>
      </c>
      <c r="I3578" s="3">
        <v>41838</v>
      </c>
      <c r="J3578"/>
      <c r="L3578"/>
      <c r="M3578"/>
      <c r="N3578" s="20"/>
      <c r="O3578" t="s">
        <v>931</v>
      </c>
      <c r="P3578" s="20"/>
      <c r="Q3578" s="20"/>
      <c r="R3578" s="20"/>
      <c r="S3578" s="20"/>
      <c r="T3578" s="20"/>
    </row>
    <row r="3579" spans="1:21" x14ac:dyDescent="0.25">
      <c r="B3579">
        <v>263</v>
      </c>
      <c r="C3579" t="s">
        <v>4138</v>
      </c>
      <c r="D3579">
        <v>3.06</v>
      </c>
      <c r="E3579" s="18">
        <v>-306</v>
      </c>
      <c r="F3579" t="s">
        <v>889</v>
      </c>
      <c r="G3579" t="s">
        <v>4139</v>
      </c>
      <c r="I3579"/>
      <c r="J3579"/>
      <c r="L3579"/>
      <c r="M3579"/>
      <c r="O3579"/>
      <c r="P3579" s="20"/>
      <c r="Q3579" s="20"/>
      <c r="R3579" s="20"/>
      <c r="S3579" s="20"/>
      <c r="T3579" s="20"/>
      <c r="U3579" t="s">
        <v>401</v>
      </c>
    </row>
    <row r="3580" spans="1:21" x14ac:dyDescent="0.25">
      <c r="A3580" s="3">
        <v>41831</v>
      </c>
      <c r="B3580" s="36">
        <v>268</v>
      </c>
      <c r="C3580" t="s">
        <v>4140</v>
      </c>
      <c r="D3580">
        <v>2.8050000000000002</v>
      </c>
      <c r="E3580" s="18">
        <v>280.5</v>
      </c>
      <c r="G3580" t="s">
        <v>4141</v>
      </c>
      <c r="H3580" s="18">
        <v>280.5</v>
      </c>
      <c r="I3580" s="3">
        <v>41831</v>
      </c>
      <c r="J3580"/>
      <c r="L3580"/>
      <c r="M3580"/>
      <c r="N3580" s="20"/>
      <c r="O3580" t="s">
        <v>905</v>
      </c>
      <c r="P3580" s="20"/>
      <c r="Q3580" s="20"/>
      <c r="R3580" s="20"/>
      <c r="S3580" s="20"/>
      <c r="T3580" s="20"/>
    </row>
    <row r="3581" spans="1:21" x14ac:dyDescent="0.25">
      <c r="A3581" s="3">
        <v>41853</v>
      </c>
      <c r="B3581" s="36">
        <v>268</v>
      </c>
      <c r="C3581" t="s">
        <v>4142</v>
      </c>
      <c r="D3581">
        <v>4</v>
      </c>
      <c r="E3581" s="18">
        <v>400</v>
      </c>
      <c r="F3581" t="s">
        <v>889</v>
      </c>
      <c r="G3581" t="s">
        <v>4143</v>
      </c>
      <c r="H3581" s="18">
        <v>400</v>
      </c>
      <c r="I3581" s="3">
        <v>41853</v>
      </c>
      <c r="J3581"/>
      <c r="L3581"/>
      <c r="M3581"/>
      <c r="N3581" s="20"/>
      <c r="O3581" t="s">
        <v>931</v>
      </c>
      <c r="P3581" s="20"/>
      <c r="Q3581" s="20"/>
      <c r="R3581" s="20"/>
      <c r="S3581" s="20"/>
      <c r="T3581" s="20"/>
    </row>
    <row r="3582" spans="1:21" x14ac:dyDescent="0.25">
      <c r="A3582" s="3">
        <v>41853</v>
      </c>
      <c r="B3582" s="36">
        <v>268</v>
      </c>
      <c r="C3582" t="s">
        <v>4144</v>
      </c>
      <c r="D3582">
        <v>6.5</v>
      </c>
      <c r="E3582" s="18">
        <v>650</v>
      </c>
      <c r="F3582" t="s">
        <v>889</v>
      </c>
      <c r="G3582" t="s">
        <v>4145</v>
      </c>
      <c r="H3582" s="18">
        <v>650</v>
      </c>
      <c r="I3582" s="3">
        <v>41853</v>
      </c>
      <c r="J3582"/>
      <c r="L3582"/>
      <c r="M3582"/>
      <c r="N3582" s="20"/>
      <c r="O3582" t="s">
        <v>931</v>
      </c>
      <c r="P3582" s="20"/>
      <c r="Q3582" s="20"/>
      <c r="R3582" s="20"/>
      <c r="S3582" s="20"/>
      <c r="T3582" s="20"/>
    </row>
    <row r="3583" spans="1:21" x14ac:dyDescent="0.25">
      <c r="A3583" s="3">
        <v>41880</v>
      </c>
      <c r="B3583" s="36">
        <v>268</v>
      </c>
      <c r="C3583" t="s">
        <v>4146</v>
      </c>
      <c r="D3583">
        <v>4.5</v>
      </c>
      <c r="E3583" s="18">
        <v>400</v>
      </c>
      <c r="F3583" t="s">
        <v>889</v>
      </c>
      <c r="G3583" t="s">
        <v>4147</v>
      </c>
      <c r="H3583" s="18">
        <v>400</v>
      </c>
      <c r="I3583" s="3">
        <v>41880</v>
      </c>
      <c r="J3583"/>
      <c r="L3583"/>
      <c r="M3583"/>
      <c r="N3583" s="20"/>
      <c r="O3583"/>
      <c r="P3583" s="20"/>
      <c r="Q3583" s="20"/>
      <c r="R3583" s="20"/>
      <c r="S3583" s="20"/>
      <c r="T3583" s="20"/>
    </row>
    <row r="3584" spans="1:21" x14ac:dyDescent="0.25">
      <c r="A3584" s="3">
        <v>41880</v>
      </c>
      <c r="B3584" s="36">
        <v>268</v>
      </c>
      <c r="C3584" t="s">
        <v>4148</v>
      </c>
      <c r="D3584">
        <v>7</v>
      </c>
      <c r="E3584" s="18">
        <v>550</v>
      </c>
      <c r="F3584" t="s">
        <v>889</v>
      </c>
      <c r="G3584" t="s">
        <v>4149</v>
      </c>
      <c r="H3584" s="18">
        <v>550</v>
      </c>
      <c r="I3584" s="3">
        <v>41880</v>
      </c>
      <c r="J3584"/>
      <c r="L3584"/>
      <c r="M3584"/>
      <c r="N3584" s="20"/>
      <c r="O3584"/>
      <c r="P3584" s="20"/>
      <c r="Q3584" s="20"/>
      <c r="R3584" s="20"/>
      <c r="S3584" s="20"/>
      <c r="T3584" s="20"/>
    </row>
    <row r="3585" spans="1:20" x14ac:dyDescent="0.25">
      <c r="A3585" s="3">
        <v>41880</v>
      </c>
      <c r="B3585" s="36">
        <v>268</v>
      </c>
      <c r="C3585" t="s">
        <v>4150</v>
      </c>
      <c r="D3585">
        <v>6.5</v>
      </c>
      <c r="E3585" s="18">
        <v>675</v>
      </c>
      <c r="F3585" t="s">
        <v>889</v>
      </c>
      <c r="G3585" t="s">
        <v>4151</v>
      </c>
      <c r="H3585" s="18">
        <v>675</v>
      </c>
      <c r="I3585" s="3">
        <v>41880</v>
      </c>
      <c r="J3585"/>
      <c r="L3585"/>
      <c r="M3585"/>
      <c r="N3585" s="20"/>
      <c r="O3585"/>
      <c r="P3585" s="20"/>
      <c r="Q3585" s="20"/>
      <c r="R3585" s="20"/>
      <c r="S3585" s="20"/>
      <c r="T3585" s="20"/>
    </row>
    <row r="3586" spans="1:20" x14ac:dyDescent="0.25">
      <c r="A3586" s="3">
        <v>41880</v>
      </c>
      <c r="B3586" s="36">
        <v>268</v>
      </c>
      <c r="C3586" t="s">
        <v>4140</v>
      </c>
      <c r="D3586">
        <v>2.8050000000000002</v>
      </c>
      <c r="E3586" s="18">
        <v>-280.5</v>
      </c>
      <c r="F3586" t="s">
        <v>889</v>
      </c>
      <c r="G3586" t="s">
        <v>4141</v>
      </c>
      <c r="H3586" s="18" t="s">
        <v>442</v>
      </c>
      <c r="I3586" s="3" t="s">
        <v>442</v>
      </c>
      <c r="J3586"/>
      <c r="L3586"/>
      <c r="M3586"/>
      <c r="N3586" s="20"/>
      <c r="O3586"/>
      <c r="P3586" s="20"/>
      <c r="Q3586" s="20"/>
      <c r="R3586" s="20"/>
      <c r="S3586" s="20"/>
      <c r="T3586" s="20"/>
    </row>
    <row r="3587" spans="1:20" x14ac:dyDescent="0.25">
      <c r="A3587" s="3">
        <v>41887</v>
      </c>
      <c r="B3587" s="36">
        <v>268</v>
      </c>
      <c r="C3587" t="s">
        <v>4152</v>
      </c>
      <c r="D3587">
        <v>10.25</v>
      </c>
      <c r="E3587" s="18">
        <v>1025</v>
      </c>
      <c r="F3587" t="s">
        <v>889</v>
      </c>
      <c r="G3587" t="s">
        <v>4153</v>
      </c>
      <c r="H3587" s="18">
        <v>1025</v>
      </c>
      <c r="I3587" s="3">
        <v>41887</v>
      </c>
      <c r="J3587"/>
      <c r="L3587"/>
      <c r="M3587"/>
      <c r="N3587" s="20"/>
      <c r="O3587"/>
      <c r="P3587" s="20"/>
      <c r="Q3587" s="20"/>
      <c r="R3587" s="20"/>
      <c r="S3587" s="20"/>
      <c r="T3587" s="20"/>
    </row>
    <row r="3588" spans="1:20" x14ac:dyDescent="0.25">
      <c r="A3588" s="3">
        <v>41887</v>
      </c>
      <c r="B3588" s="36">
        <v>268</v>
      </c>
      <c r="C3588" t="s">
        <v>4144</v>
      </c>
      <c r="D3588">
        <v>6.5</v>
      </c>
      <c r="E3588" s="18">
        <v>-650</v>
      </c>
      <c r="F3588" t="s">
        <v>889</v>
      </c>
      <c r="G3588" t="s">
        <v>4145</v>
      </c>
      <c r="H3588" s="18" t="s">
        <v>442</v>
      </c>
      <c r="I3588" s="3" t="s">
        <v>442</v>
      </c>
      <c r="J3588"/>
      <c r="L3588"/>
      <c r="M3588"/>
      <c r="N3588" s="20"/>
      <c r="O3588"/>
      <c r="P3588" s="20"/>
      <c r="Q3588" s="20"/>
      <c r="R3588" s="20"/>
      <c r="S3588" s="20"/>
      <c r="T3588" s="20"/>
    </row>
    <row r="3589" spans="1:20" x14ac:dyDescent="0.25">
      <c r="A3589" s="3">
        <v>41887</v>
      </c>
      <c r="B3589" s="36">
        <v>268</v>
      </c>
      <c r="C3589" t="s">
        <v>4154</v>
      </c>
      <c r="D3589">
        <v>3</v>
      </c>
      <c r="E3589" s="18">
        <v>300</v>
      </c>
      <c r="F3589" t="s">
        <v>889</v>
      </c>
      <c r="G3589" t="s">
        <v>4155</v>
      </c>
      <c r="H3589" s="18">
        <v>300</v>
      </c>
      <c r="I3589" s="3">
        <v>41887</v>
      </c>
      <c r="J3589"/>
      <c r="L3589"/>
      <c r="M3589"/>
      <c r="N3589" s="20"/>
      <c r="O3589"/>
      <c r="P3589" s="20"/>
      <c r="Q3589" s="20"/>
      <c r="R3589" s="20"/>
      <c r="S3589" s="20"/>
      <c r="T3589" s="20"/>
    </row>
    <row r="3590" spans="1:20" x14ac:dyDescent="0.25">
      <c r="A3590" s="3">
        <v>41894</v>
      </c>
      <c r="B3590" s="36">
        <v>268</v>
      </c>
      <c r="C3590" t="s">
        <v>4156</v>
      </c>
      <c r="D3590">
        <v>6.5</v>
      </c>
      <c r="E3590" s="18">
        <v>650</v>
      </c>
      <c r="F3590" t="s">
        <v>889</v>
      </c>
      <c r="G3590" t="s">
        <v>4157</v>
      </c>
      <c r="H3590" s="18">
        <v>650</v>
      </c>
      <c r="I3590" s="3">
        <v>41894</v>
      </c>
      <c r="J3590"/>
      <c r="L3590"/>
      <c r="M3590"/>
      <c r="N3590" s="20"/>
      <c r="O3590"/>
      <c r="P3590" s="20"/>
      <c r="Q3590" s="20"/>
      <c r="R3590" s="20"/>
      <c r="S3590" s="20"/>
      <c r="T3590" s="20"/>
    </row>
    <row r="3591" spans="1:20" x14ac:dyDescent="0.25">
      <c r="A3591" s="3">
        <v>41894</v>
      </c>
      <c r="B3591" s="36">
        <v>268</v>
      </c>
      <c r="C3591" t="s">
        <v>4158</v>
      </c>
      <c r="D3591">
        <v>7</v>
      </c>
      <c r="E3591" s="18">
        <v>700</v>
      </c>
      <c r="F3591" t="s">
        <v>889</v>
      </c>
      <c r="G3591" t="s">
        <v>4159</v>
      </c>
      <c r="H3591" s="18">
        <v>700</v>
      </c>
      <c r="I3591" s="3">
        <v>41894</v>
      </c>
      <c r="J3591"/>
      <c r="L3591"/>
      <c r="M3591"/>
      <c r="N3591" s="20"/>
      <c r="O3591"/>
      <c r="P3591" s="20"/>
      <c r="Q3591" s="20"/>
      <c r="R3591" s="20"/>
      <c r="S3591" s="20"/>
      <c r="T3591" s="20"/>
    </row>
    <row r="3592" spans="1:20" x14ac:dyDescent="0.25">
      <c r="A3592" s="3">
        <v>41894</v>
      </c>
      <c r="B3592" s="36">
        <v>268</v>
      </c>
      <c r="C3592" t="s">
        <v>4160</v>
      </c>
      <c r="D3592">
        <v>4.75</v>
      </c>
      <c r="E3592" s="18">
        <v>475</v>
      </c>
      <c r="F3592" t="s">
        <v>889</v>
      </c>
      <c r="G3592" t="s">
        <v>4161</v>
      </c>
      <c r="H3592" s="18">
        <v>475</v>
      </c>
      <c r="I3592" s="3">
        <v>41894</v>
      </c>
      <c r="J3592"/>
      <c r="L3592"/>
      <c r="M3592"/>
      <c r="N3592" s="20"/>
      <c r="O3592"/>
      <c r="P3592" s="20"/>
      <c r="Q3592" s="20"/>
      <c r="R3592" s="20"/>
      <c r="S3592" s="20"/>
      <c r="T3592" s="20"/>
    </row>
    <row r="3593" spans="1:20" x14ac:dyDescent="0.25">
      <c r="A3593" s="3">
        <v>41894</v>
      </c>
      <c r="B3593" s="36">
        <v>268</v>
      </c>
      <c r="C3593" t="s">
        <v>4162</v>
      </c>
      <c r="D3593">
        <v>13.75</v>
      </c>
      <c r="E3593" s="18">
        <v>1375</v>
      </c>
      <c r="F3593" t="s">
        <v>889</v>
      </c>
      <c r="G3593" t="s">
        <v>4163</v>
      </c>
      <c r="H3593" s="18">
        <v>1375</v>
      </c>
      <c r="I3593" s="3">
        <v>41894</v>
      </c>
      <c r="J3593"/>
      <c r="L3593"/>
      <c r="M3593"/>
      <c r="N3593" s="20"/>
      <c r="O3593"/>
      <c r="P3593" s="20"/>
      <c r="Q3593" s="20"/>
      <c r="R3593" s="20"/>
      <c r="S3593" s="20"/>
      <c r="T3593" s="20"/>
    </row>
    <row r="3594" spans="1:20" x14ac:dyDescent="0.25">
      <c r="A3594" s="3">
        <v>41907</v>
      </c>
      <c r="B3594" s="36">
        <v>268</v>
      </c>
      <c r="C3594" t="s">
        <v>4146</v>
      </c>
      <c r="D3594">
        <v>4</v>
      </c>
      <c r="E3594" s="18">
        <v>-400</v>
      </c>
      <c r="F3594" t="s">
        <v>889</v>
      </c>
      <c r="G3594" t="s">
        <v>4147</v>
      </c>
      <c r="H3594" s="18" t="s">
        <v>442</v>
      </c>
      <c r="I3594" s="3" t="s">
        <v>442</v>
      </c>
      <c r="J3594"/>
      <c r="L3594"/>
      <c r="M3594"/>
      <c r="N3594" s="20"/>
      <c r="O3594"/>
      <c r="P3594" s="20"/>
      <c r="Q3594" s="20"/>
      <c r="R3594" s="20"/>
      <c r="S3594" s="20"/>
      <c r="T3594" s="20"/>
    </row>
    <row r="3595" spans="1:20" x14ac:dyDescent="0.25">
      <c r="A3595" s="3">
        <v>41907</v>
      </c>
      <c r="B3595" s="36">
        <v>268</v>
      </c>
      <c r="C3595" t="s">
        <v>4164</v>
      </c>
      <c r="D3595">
        <v>7.5</v>
      </c>
      <c r="E3595" s="18">
        <v>750</v>
      </c>
      <c r="F3595" t="s">
        <v>889</v>
      </c>
      <c r="G3595" t="s">
        <v>4165</v>
      </c>
      <c r="H3595" s="18">
        <v>750</v>
      </c>
      <c r="I3595" s="3">
        <v>41907</v>
      </c>
      <c r="J3595"/>
      <c r="L3595"/>
      <c r="M3595"/>
      <c r="N3595" s="20"/>
      <c r="O3595"/>
      <c r="P3595" s="20"/>
      <c r="Q3595" s="20"/>
      <c r="R3595" s="20"/>
      <c r="S3595" s="20"/>
      <c r="T3595" s="20"/>
    </row>
    <row r="3596" spans="1:20" x14ac:dyDescent="0.25">
      <c r="A3596" s="3">
        <v>41907</v>
      </c>
      <c r="B3596" s="36">
        <v>268</v>
      </c>
      <c r="C3596" t="s">
        <v>4166</v>
      </c>
      <c r="D3596">
        <v>11.5</v>
      </c>
      <c r="E3596" s="18">
        <v>1150</v>
      </c>
      <c r="F3596" t="s">
        <v>889</v>
      </c>
      <c r="G3596" t="s">
        <v>4167</v>
      </c>
      <c r="H3596" s="18">
        <v>1150</v>
      </c>
      <c r="I3596" s="3">
        <v>41907</v>
      </c>
      <c r="J3596"/>
      <c r="L3596"/>
      <c r="M3596"/>
      <c r="N3596" s="20"/>
      <c r="O3596"/>
      <c r="P3596" s="20"/>
      <c r="Q3596" s="20"/>
      <c r="R3596" s="20"/>
      <c r="S3596" s="20"/>
      <c r="T3596" s="20"/>
    </row>
    <row r="3597" spans="1:20" x14ac:dyDescent="0.25">
      <c r="A3597" s="3">
        <v>41908</v>
      </c>
      <c r="B3597" s="36">
        <v>268</v>
      </c>
      <c r="C3597" t="s">
        <v>4146</v>
      </c>
      <c r="D3597">
        <v>4</v>
      </c>
      <c r="E3597" s="18">
        <v>400</v>
      </c>
      <c r="F3597" t="s">
        <v>889</v>
      </c>
      <c r="G3597" t="s">
        <v>4147</v>
      </c>
      <c r="H3597" s="18">
        <v>400</v>
      </c>
      <c r="I3597" s="3">
        <v>41908</v>
      </c>
      <c r="J3597"/>
      <c r="L3597"/>
      <c r="M3597"/>
      <c r="N3597" s="20"/>
      <c r="O3597"/>
      <c r="P3597" s="20"/>
      <c r="Q3597" s="20"/>
      <c r="R3597" s="20"/>
      <c r="S3597" s="20"/>
      <c r="T3597" s="20"/>
    </row>
    <row r="3598" spans="1:20" x14ac:dyDescent="0.25">
      <c r="A3598" s="3">
        <v>41918</v>
      </c>
      <c r="B3598" s="36">
        <v>268</v>
      </c>
      <c r="C3598" t="s">
        <v>4146</v>
      </c>
      <c r="D3598">
        <v>4</v>
      </c>
      <c r="E3598" s="18">
        <v>-400</v>
      </c>
      <c r="F3598" t="s">
        <v>889</v>
      </c>
      <c r="G3598" t="s">
        <v>4147</v>
      </c>
      <c r="H3598" s="18" t="s">
        <v>442</v>
      </c>
      <c r="I3598" s="3" t="s">
        <v>442</v>
      </c>
      <c r="J3598"/>
      <c r="L3598"/>
      <c r="M3598"/>
      <c r="N3598" s="20"/>
      <c r="O3598"/>
      <c r="P3598" s="20"/>
      <c r="Q3598" s="20"/>
      <c r="R3598" s="20"/>
      <c r="S3598" s="20"/>
      <c r="T3598" s="20"/>
    </row>
    <row r="3599" spans="1:20" x14ac:dyDescent="0.25">
      <c r="A3599" s="3">
        <v>41918</v>
      </c>
      <c r="B3599" s="36">
        <v>268</v>
      </c>
      <c r="C3599" t="s">
        <v>4168</v>
      </c>
      <c r="D3599">
        <v>2.75</v>
      </c>
      <c r="E3599" s="18">
        <v>275</v>
      </c>
      <c r="F3599" t="s">
        <v>889</v>
      </c>
      <c r="G3599" t="s">
        <v>4169</v>
      </c>
      <c r="H3599" s="18">
        <v>275</v>
      </c>
      <c r="I3599" s="3">
        <v>41918</v>
      </c>
      <c r="J3599"/>
      <c r="L3599"/>
      <c r="M3599"/>
      <c r="N3599" s="20"/>
      <c r="O3599"/>
      <c r="P3599" s="20"/>
      <c r="Q3599" s="20"/>
      <c r="R3599" s="20"/>
      <c r="S3599" s="20"/>
      <c r="T3599" s="20"/>
    </row>
    <row r="3600" spans="1:20" x14ac:dyDescent="0.25">
      <c r="A3600" s="3">
        <v>41918</v>
      </c>
      <c r="B3600" s="36">
        <v>268</v>
      </c>
      <c r="C3600" t="s">
        <v>4170</v>
      </c>
      <c r="D3600">
        <v>8</v>
      </c>
      <c r="E3600" s="18">
        <v>800</v>
      </c>
      <c r="F3600" t="s">
        <v>889</v>
      </c>
      <c r="G3600" t="s">
        <v>4171</v>
      </c>
      <c r="H3600" s="18">
        <v>800</v>
      </c>
      <c r="I3600" s="3">
        <v>41918</v>
      </c>
      <c r="J3600"/>
      <c r="L3600"/>
      <c r="M3600"/>
      <c r="N3600" s="20"/>
      <c r="O3600"/>
      <c r="P3600" s="20"/>
      <c r="Q3600" s="20"/>
      <c r="R3600" s="20"/>
      <c r="S3600" s="20"/>
      <c r="T3600" s="20"/>
    </row>
    <row r="3601" spans="1:20" x14ac:dyDescent="0.25">
      <c r="A3601" s="3">
        <v>41922</v>
      </c>
      <c r="B3601" s="36">
        <v>268</v>
      </c>
      <c r="C3601" t="s">
        <v>4172</v>
      </c>
      <c r="D3601">
        <v>7</v>
      </c>
      <c r="E3601" s="18">
        <v>700</v>
      </c>
      <c r="F3601" t="s">
        <v>889</v>
      </c>
      <c r="G3601" t="s">
        <v>4173</v>
      </c>
      <c r="H3601" s="18">
        <v>700</v>
      </c>
      <c r="I3601" s="3">
        <v>41922</v>
      </c>
      <c r="J3601"/>
      <c r="L3601"/>
      <c r="M3601"/>
      <c r="N3601" s="20"/>
      <c r="O3601"/>
      <c r="P3601" s="20"/>
      <c r="Q3601" s="20"/>
      <c r="R3601" s="20"/>
      <c r="S3601" s="20"/>
      <c r="T3601" s="20"/>
    </row>
    <row r="3602" spans="1:20" x14ac:dyDescent="0.25">
      <c r="A3602" s="3">
        <v>41922</v>
      </c>
      <c r="B3602" s="36">
        <v>268</v>
      </c>
      <c r="C3602" t="s">
        <v>4154</v>
      </c>
      <c r="D3602">
        <v>3</v>
      </c>
      <c r="E3602" s="18">
        <v>-300</v>
      </c>
      <c r="F3602" t="s">
        <v>889</v>
      </c>
      <c r="G3602" t="s">
        <v>4155</v>
      </c>
      <c r="H3602" s="18" t="s">
        <v>442</v>
      </c>
      <c r="I3602" s="3" t="s">
        <v>442</v>
      </c>
      <c r="J3602"/>
      <c r="L3602"/>
      <c r="M3602"/>
      <c r="N3602" s="20"/>
      <c r="O3602"/>
      <c r="P3602" s="20"/>
      <c r="Q3602" s="20"/>
      <c r="R3602" s="20"/>
      <c r="S3602" s="20"/>
      <c r="T3602" s="20"/>
    </row>
    <row r="3603" spans="1:20" x14ac:dyDescent="0.25">
      <c r="A3603" s="3">
        <v>41936</v>
      </c>
      <c r="B3603" s="36">
        <v>268</v>
      </c>
      <c r="C3603" t="s">
        <v>4174</v>
      </c>
      <c r="D3603">
        <v>4.5</v>
      </c>
      <c r="E3603" s="18">
        <v>450</v>
      </c>
      <c r="F3603" t="s">
        <v>889</v>
      </c>
      <c r="G3603" t="s">
        <v>4175</v>
      </c>
      <c r="H3603" s="18">
        <v>450</v>
      </c>
      <c r="I3603" s="3">
        <v>41936</v>
      </c>
      <c r="J3603"/>
      <c r="L3603"/>
      <c r="M3603"/>
      <c r="N3603" s="20"/>
      <c r="O3603"/>
      <c r="P3603" s="20"/>
      <c r="Q3603" s="20"/>
      <c r="R3603" s="20"/>
      <c r="S3603" s="20"/>
      <c r="T3603" s="20"/>
    </row>
    <row r="3604" spans="1:20" x14ac:dyDescent="0.25">
      <c r="A3604" s="3">
        <v>41936</v>
      </c>
      <c r="B3604" s="36">
        <v>268</v>
      </c>
      <c r="C3604" t="s">
        <v>4176</v>
      </c>
      <c r="D3604">
        <v>4.5</v>
      </c>
      <c r="E3604" s="18">
        <v>450</v>
      </c>
      <c r="F3604" t="s">
        <v>889</v>
      </c>
      <c r="G3604" t="s">
        <v>4177</v>
      </c>
      <c r="H3604" s="18">
        <v>450</v>
      </c>
      <c r="I3604" s="3">
        <v>41936</v>
      </c>
      <c r="J3604"/>
      <c r="L3604"/>
      <c r="M3604"/>
      <c r="N3604" s="20"/>
      <c r="O3604"/>
      <c r="P3604" s="20"/>
      <c r="Q3604" s="20"/>
      <c r="R3604" s="20"/>
      <c r="S3604" s="20"/>
      <c r="T3604" s="20"/>
    </row>
    <row r="3605" spans="1:20" x14ac:dyDescent="0.25">
      <c r="A3605" s="3">
        <v>41943</v>
      </c>
      <c r="B3605" s="36">
        <v>268</v>
      </c>
      <c r="C3605" t="s">
        <v>3490</v>
      </c>
      <c r="E3605" s="18">
        <v>650</v>
      </c>
      <c r="F3605" t="s">
        <v>889</v>
      </c>
      <c r="G3605" t="s">
        <v>442</v>
      </c>
      <c r="H3605" s="18" t="s">
        <v>442</v>
      </c>
      <c r="I3605" s="3" t="s">
        <v>442</v>
      </c>
      <c r="J3605"/>
      <c r="L3605"/>
      <c r="M3605"/>
      <c r="N3605" s="20"/>
      <c r="O3605"/>
      <c r="P3605" s="20"/>
      <c r="Q3605" s="20"/>
      <c r="R3605" s="20"/>
      <c r="S3605" s="20"/>
      <c r="T3605" s="20" t="s">
        <v>401</v>
      </c>
    </row>
    <row r="3606" spans="1:20" x14ac:dyDescent="0.25">
      <c r="A3606" s="3">
        <v>41943</v>
      </c>
      <c r="B3606" s="36">
        <v>268</v>
      </c>
      <c r="C3606" t="s">
        <v>4178</v>
      </c>
      <c r="D3606">
        <v>3.8250000000000002</v>
      </c>
      <c r="E3606" s="18">
        <v>382.5</v>
      </c>
      <c r="F3606" t="s">
        <v>889</v>
      </c>
      <c r="G3606" t="s">
        <v>4179</v>
      </c>
      <c r="H3606" s="18">
        <v>382.5</v>
      </c>
      <c r="I3606" s="3">
        <v>41943</v>
      </c>
      <c r="J3606"/>
      <c r="L3606"/>
      <c r="M3606"/>
      <c r="N3606" s="20"/>
      <c r="O3606"/>
      <c r="P3606" s="20"/>
      <c r="Q3606" s="20"/>
      <c r="R3606" s="20"/>
      <c r="S3606" s="20"/>
      <c r="T3606" s="20"/>
    </row>
    <row r="3607" spans="1:20" x14ac:dyDescent="0.25">
      <c r="A3607" s="3">
        <v>41943</v>
      </c>
      <c r="B3607" s="36">
        <v>268</v>
      </c>
      <c r="C3607" t="s">
        <v>4180</v>
      </c>
      <c r="D3607">
        <v>5.0999999999999996</v>
      </c>
      <c r="E3607" s="18">
        <v>509.99999999999994</v>
      </c>
      <c r="F3607" t="s">
        <v>889</v>
      </c>
      <c r="G3607" t="s">
        <v>4181</v>
      </c>
      <c r="H3607" s="18">
        <v>509.99999999999994</v>
      </c>
      <c r="I3607" s="3">
        <v>41943</v>
      </c>
      <c r="J3607"/>
      <c r="L3607"/>
      <c r="M3607"/>
      <c r="N3607" s="20"/>
      <c r="O3607"/>
      <c r="P3607" s="20"/>
      <c r="Q3607" s="20"/>
      <c r="R3607" s="20"/>
      <c r="S3607" s="20"/>
      <c r="T3607" s="20"/>
    </row>
    <row r="3608" spans="1:20" x14ac:dyDescent="0.25">
      <c r="A3608" s="3">
        <v>41950</v>
      </c>
      <c r="B3608" s="36">
        <v>268</v>
      </c>
      <c r="C3608" t="s">
        <v>4178</v>
      </c>
      <c r="D3608">
        <v>3.8250000000000002</v>
      </c>
      <c r="E3608" s="18">
        <v>382.5</v>
      </c>
      <c r="F3608" t="s">
        <v>889</v>
      </c>
      <c r="G3608" t="s">
        <v>4179</v>
      </c>
      <c r="H3608" s="18">
        <v>382.5</v>
      </c>
      <c r="I3608" s="3">
        <v>41950</v>
      </c>
      <c r="J3608"/>
      <c r="L3608"/>
      <c r="M3608"/>
      <c r="N3608" s="20"/>
      <c r="O3608"/>
      <c r="P3608" s="20"/>
      <c r="Q3608" s="20"/>
      <c r="R3608" s="20"/>
      <c r="S3608" s="20"/>
      <c r="T3608" s="20"/>
    </row>
    <row r="3609" spans="1:20" x14ac:dyDescent="0.25">
      <c r="A3609" s="3">
        <v>41950</v>
      </c>
      <c r="B3609" s="36">
        <v>268</v>
      </c>
      <c r="C3609" t="s">
        <v>4180</v>
      </c>
      <c r="D3609">
        <v>5.0999999999999996</v>
      </c>
      <c r="E3609" s="18">
        <v>509.99999999999994</v>
      </c>
      <c r="F3609" t="s">
        <v>889</v>
      </c>
      <c r="G3609" t="s">
        <v>4181</v>
      </c>
      <c r="H3609" s="18">
        <v>509.99999999999994</v>
      </c>
      <c r="I3609" s="3">
        <v>41950</v>
      </c>
      <c r="J3609"/>
      <c r="L3609"/>
      <c r="M3609"/>
      <c r="N3609" s="20"/>
      <c r="O3609"/>
      <c r="P3609" s="20"/>
      <c r="Q3609" s="20"/>
      <c r="R3609" s="20"/>
      <c r="S3609" s="20"/>
      <c r="T3609" s="20"/>
    </row>
    <row r="3610" spans="1:20" x14ac:dyDescent="0.25">
      <c r="A3610" s="3">
        <v>41957</v>
      </c>
      <c r="B3610" s="36">
        <v>268</v>
      </c>
      <c r="C3610" t="s">
        <v>4182</v>
      </c>
      <c r="D3610">
        <v>8.16</v>
      </c>
      <c r="E3610" s="18">
        <v>816</v>
      </c>
      <c r="F3610" t="s">
        <v>889</v>
      </c>
      <c r="G3610" t="s">
        <v>4183</v>
      </c>
      <c r="H3610" s="18">
        <v>816</v>
      </c>
      <c r="I3610" s="3">
        <v>41957</v>
      </c>
      <c r="J3610"/>
      <c r="L3610"/>
      <c r="M3610"/>
      <c r="N3610" s="20"/>
      <c r="O3610"/>
      <c r="P3610" s="20"/>
      <c r="Q3610" s="20"/>
      <c r="R3610" s="20"/>
      <c r="S3610" s="20"/>
      <c r="T3610" s="20"/>
    </row>
    <row r="3611" spans="1:20" x14ac:dyDescent="0.25">
      <c r="A3611" s="3">
        <v>41957</v>
      </c>
      <c r="B3611" s="36">
        <v>268</v>
      </c>
      <c r="C3611" t="s">
        <v>4184</v>
      </c>
      <c r="D3611">
        <v>2.5499999999999998</v>
      </c>
      <c r="E3611" s="18">
        <v>254.99999999999997</v>
      </c>
      <c r="F3611" t="s">
        <v>889</v>
      </c>
      <c r="G3611" t="s">
        <v>4185</v>
      </c>
      <c r="H3611" s="18">
        <v>254.99999999999997</v>
      </c>
      <c r="I3611" s="3">
        <v>41957</v>
      </c>
      <c r="J3611"/>
      <c r="L3611"/>
      <c r="M3611"/>
      <c r="N3611" s="20"/>
      <c r="O3611"/>
      <c r="P3611" s="20"/>
      <c r="Q3611" s="20"/>
      <c r="R3611" s="20"/>
      <c r="S3611" s="20"/>
      <c r="T3611" s="20"/>
    </row>
    <row r="3612" spans="1:20" x14ac:dyDescent="0.25">
      <c r="A3612" s="3">
        <v>41978</v>
      </c>
      <c r="B3612" s="36">
        <v>268</v>
      </c>
      <c r="C3612" t="s">
        <v>4186</v>
      </c>
      <c r="E3612" s="18">
        <v>1300</v>
      </c>
      <c r="F3612" t="s">
        <v>889</v>
      </c>
      <c r="G3612" t="s">
        <v>442</v>
      </c>
      <c r="H3612" s="18" t="s">
        <v>442</v>
      </c>
      <c r="I3612" s="3" t="s">
        <v>442</v>
      </c>
      <c r="J3612"/>
      <c r="L3612"/>
      <c r="M3612"/>
      <c r="N3612" s="20"/>
      <c r="O3612"/>
      <c r="P3612" s="20"/>
      <c r="Q3612" s="20"/>
      <c r="R3612" s="20"/>
      <c r="S3612" s="20"/>
      <c r="T3612" s="20" t="s">
        <v>401</v>
      </c>
    </row>
    <row r="3613" spans="1:20" x14ac:dyDescent="0.25">
      <c r="A3613" s="3">
        <v>41995</v>
      </c>
      <c r="B3613" s="36">
        <v>268</v>
      </c>
      <c r="C3613" t="s">
        <v>1055</v>
      </c>
      <c r="E3613" s="18">
        <v>500</v>
      </c>
      <c r="F3613" t="s">
        <v>889</v>
      </c>
      <c r="G3613" t="s">
        <v>442</v>
      </c>
      <c r="H3613" s="18" t="s">
        <v>442</v>
      </c>
      <c r="I3613" s="3" t="s">
        <v>442</v>
      </c>
      <c r="J3613"/>
      <c r="L3613"/>
      <c r="M3613"/>
      <c r="N3613" s="20"/>
      <c r="O3613"/>
      <c r="P3613" s="20"/>
      <c r="Q3613" s="20"/>
      <c r="R3613" s="20"/>
      <c r="S3613" s="20"/>
      <c r="T3613" s="20" t="s">
        <v>401</v>
      </c>
    </row>
    <row r="3614" spans="1:20" x14ac:dyDescent="0.25">
      <c r="A3614" s="3">
        <v>41995</v>
      </c>
      <c r="B3614" s="36">
        <v>268</v>
      </c>
      <c r="C3614" t="s">
        <v>1055</v>
      </c>
      <c r="E3614" s="18">
        <v>-500</v>
      </c>
      <c r="F3614" t="s">
        <v>889</v>
      </c>
      <c r="G3614" t="s">
        <v>442</v>
      </c>
      <c r="H3614" s="18" t="s">
        <v>442</v>
      </c>
      <c r="I3614" s="3" t="s">
        <v>442</v>
      </c>
      <c r="J3614"/>
      <c r="L3614"/>
      <c r="M3614"/>
      <c r="N3614" s="20"/>
      <c r="O3614"/>
      <c r="P3614" s="20"/>
      <c r="Q3614" s="20"/>
      <c r="R3614" s="20"/>
      <c r="S3614" s="20"/>
      <c r="T3614" s="20" t="s">
        <v>401</v>
      </c>
    </row>
    <row r="3615" spans="1:20" x14ac:dyDescent="0.25">
      <c r="A3615" s="3">
        <v>41999</v>
      </c>
      <c r="B3615" s="36">
        <v>268</v>
      </c>
      <c r="C3615" t="s">
        <v>4186</v>
      </c>
      <c r="E3615" s="18">
        <v>-1300</v>
      </c>
      <c r="F3615" t="s">
        <v>889</v>
      </c>
      <c r="G3615" t="s">
        <v>442</v>
      </c>
      <c r="H3615" s="18" t="s">
        <v>442</v>
      </c>
      <c r="I3615" s="3" t="s">
        <v>442</v>
      </c>
      <c r="J3615"/>
      <c r="L3615"/>
      <c r="M3615"/>
      <c r="N3615" s="20"/>
      <c r="O3615"/>
      <c r="P3615" s="20"/>
      <c r="Q3615" s="20"/>
      <c r="R3615" s="20"/>
      <c r="S3615" s="20"/>
      <c r="T3615" s="20" t="s">
        <v>401</v>
      </c>
    </row>
    <row r="3616" spans="1:20" x14ac:dyDescent="0.25">
      <c r="A3616" s="3">
        <v>41999</v>
      </c>
      <c r="B3616" s="36">
        <v>268</v>
      </c>
      <c r="C3616" t="s">
        <v>4174</v>
      </c>
      <c r="D3616">
        <v>4.5</v>
      </c>
      <c r="E3616" s="18">
        <v>450</v>
      </c>
      <c r="F3616" t="s">
        <v>889</v>
      </c>
      <c r="G3616" t="s">
        <v>4175</v>
      </c>
      <c r="H3616" s="18">
        <v>450</v>
      </c>
      <c r="I3616" s="3">
        <v>41999</v>
      </c>
      <c r="J3616"/>
      <c r="L3616"/>
      <c r="M3616"/>
      <c r="N3616" s="20"/>
      <c r="O3616" t="s">
        <v>959</v>
      </c>
      <c r="P3616" s="20"/>
      <c r="Q3616" s="20"/>
      <c r="R3616" s="20"/>
      <c r="S3616" s="20"/>
      <c r="T3616" s="20"/>
    </row>
    <row r="3617" spans="1:21" x14ac:dyDescent="0.25">
      <c r="A3617" s="3">
        <v>41999</v>
      </c>
      <c r="B3617" s="36">
        <v>268</v>
      </c>
      <c r="C3617" t="s">
        <v>4148</v>
      </c>
      <c r="D3617">
        <v>11</v>
      </c>
      <c r="E3617" s="18">
        <v>1650</v>
      </c>
      <c r="F3617" t="s">
        <v>889</v>
      </c>
      <c r="G3617" t="s">
        <v>4149</v>
      </c>
      <c r="H3617" s="18">
        <v>1650</v>
      </c>
      <c r="I3617" s="3">
        <v>41999</v>
      </c>
      <c r="J3617"/>
      <c r="L3617"/>
      <c r="M3617"/>
      <c r="N3617" s="20"/>
      <c r="O3617" t="s">
        <v>959</v>
      </c>
      <c r="P3617" s="20"/>
      <c r="Q3617" s="20"/>
      <c r="R3617" s="20"/>
      <c r="S3617" s="20"/>
      <c r="T3617" s="20"/>
    </row>
    <row r="3618" spans="1:21" x14ac:dyDescent="0.25">
      <c r="A3618" s="3">
        <v>41999</v>
      </c>
      <c r="B3618" s="36">
        <v>268</v>
      </c>
      <c r="C3618" t="s">
        <v>4142</v>
      </c>
      <c r="D3618">
        <v>6.25</v>
      </c>
      <c r="E3618" s="18">
        <v>850</v>
      </c>
      <c r="F3618" t="s">
        <v>889</v>
      </c>
      <c r="G3618" t="s">
        <v>4143</v>
      </c>
      <c r="H3618" s="18">
        <v>850</v>
      </c>
      <c r="I3618" s="3">
        <v>41999</v>
      </c>
      <c r="J3618"/>
      <c r="L3618"/>
      <c r="M3618"/>
      <c r="N3618" s="20"/>
      <c r="O3618" t="s">
        <v>959</v>
      </c>
      <c r="P3618" s="20"/>
      <c r="Q3618" s="20"/>
      <c r="R3618" s="20"/>
      <c r="S3618" s="20"/>
      <c r="T3618" s="20"/>
    </row>
    <row r="3619" spans="1:21" x14ac:dyDescent="0.25">
      <c r="A3619" s="3">
        <v>41999</v>
      </c>
      <c r="B3619" s="36">
        <v>268</v>
      </c>
      <c r="C3619" t="s">
        <v>4162</v>
      </c>
      <c r="D3619">
        <v>13.75</v>
      </c>
      <c r="E3619" s="18">
        <v>-1375</v>
      </c>
      <c r="F3619" t="s">
        <v>889</v>
      </c>
      <c r="G3619" t="s">
        <v>4163</v>
      </c>
      <c r="H3619" s="18" t="s">
        <v>442</v>
      </c>
      <c r="I3619" s="3" t="s">
        <v>442</v>
      </c>
      <c r="J3619"/>
      <c r="L3619"/>
      <c r="M3619"/>
      <c r="N3619" s="20"/>
      <c r="O3619"/>
      <c r="P3619" s="20"/>
      <c r="Q3619" s="20"/>
      <c r="R3619" s="20"/>
      <c r="S3619" s="20"/>
      <c r="T3619" s="20"/>
    </row>
    <row r="3620" spans="1:21" x14ac:dyDescent="0.25">
      <c r="A3620" s="3">
        <v>41999</v>
      </c>
      <c r="B3620" s="36">
        <v>268</v>
      </c>
      <c r="C3620" t="s">
        <v>4176</v>
      </c>
      <c r="D3620">
        <v>14.5</v>
      </c>
      <c r="E3620" s="18">
        <v>3175</v>
      </c>
      <c r="F3620" t="s">
        <v>889</v>
      </c>
      <c r="G3620" t="s">
        <v>4177</v>
      </c>
      <c r="H3620" s="18">
        <v>3175</v>
      </c>
      <c r="I3620" s="3">
        <v>41999</v>
      </c>
      <c r="J3620"/>
      <c r="L3620"/>
      <c r="M3620"/>
      <c r="N3620" s="20"/>
      <c r="O3620" t="s">
        <v>959</v>
      </c>
      <c r="P3620" s="20"/>
      <c r="Q3620" s="20"/>
      <c r="R3620" s="20"/>
      <c r="S3620" s="20"/>
      <c r="T3620" s="20"/>
    </row>
    <row r="3621" spans="1:21" x14ac:dyDescent="0.25">
      <c r="A3621" s="3">
        <v>42013</v>
      </c>
      <c r="B3621" s="36">
        <v>268</v>
      </c>
      <c r="C3621" t="s">
        <v>701</v>
      </c>
      <c r="D3621">
        <v>7.75</v>
      </c>
      <c r="E3621" s="18">
        <v>632.5</v>
      </c>
      <c r="F3621" t="s">
        <v>889</v>
      </c>
      <c r="G3621" t="s">
        <v>702</v>
      </c>
      <c r="H3621" s="18">
        <v>632.5</v>
      </c>
      <c r="I3621" s="3">
        <v>42013</v>
      </c>
      <c r="J3621"/>
      <c r="L3621"/>
      <c r="M3621"/>
      <c r="N3621" s="20"/>
      <c r="O3621"/>
      <c r="P3621" s="20"/>
      <c r="Q3621" s="20"/>
      <c r="R3621" s="20"/>
      <c r="S3621" s="20"/>
      <c r="T3621" s="20"/>
    </row>
    <row r="3622" spans="1:21" x14ac:dyDescent="0.25">
      <c r="A3622" s="3">
        <v>42013</v>
      </c>
      <c r="B3622" s="36">
        <v>268</v>
      </c>
      <c r="C3622" t="s">
        <v>717</v>
      </c>
      <c r="D3622">
        <v>10.965</v>
      </c>
      <c r="E3622" s="18">
        <v>798.25</v>
      </c>
      <c r="F3622" t="s">
        <v>889</v>
      </c>
      <c r="G3622" t="s">
        <v>718</v>
      </c>
      <c r="H3622" s="18">
        <v>798.25</v>
      </c>
      <c r="I3622" s="3">
        <v>42013</v>
      </c>
      <c r="J3622"/>
      <c r="L3622"/>
      <c r="M3622"/>
      <c r="N3622" s="20"/>
      <c r="O3622"/>
      <c r="P3622" s="20"/>
      <c r="Q3622" s="20"/>
      <c r="R3622" s="20"/>
      <c r="S3622" s="20"/>
      <c r="T3622" s="20"/>
    </row>
    <row r="3623" spans="1:21" x14ac:dyDescent="0.25">
      <c r="A3623" s="3">
        <v>42020</v>
      </c>
      <c r="B3623" s="36">
        <v>268</v>
      </c>
      <c r="C3623" t="s">
        <v>691</v>
      </c>
      <c r="D3623" s="19">
        <v>6.8849999999999998</v>
      </c>
      <c r="E3623" s="18">
        <v>594.25</v>
      </c>
      <c r="F3623" t="s">
        <v>889</v>
      </c>
      <c r="G3623" t="s">
        <v>692</v>
      </c>
      <c r="H3623" s="18">
        <v>594.25</v>
      </c>
      <c r="I3623" s="3">
        <v>42020</v>
      </c>
      <c r="J3623"/>
      <c r="L3623"/>
      <c r="M3623"/>
      <c r="N3623" s="20"/>
      <c r="O3623"/>
      <c r="P3623" s="20"/>
      <c r="Q3623" s="20"/>
      <c r="R3623" s="20"/>
      <c r="S3623" s="20"/>
      <c r="T3623" s="20"/>
    </row>
    <row r="3624" spans="1:21" x14ac:dyDescent="0.25">
      <c r="A3624" s="3">
        <v>42027</v>
      </c>
      <c r="B3624" s="36">
        <v>268</v>
      </c>
      <c r="C3624" t="s">
        <v>571</v>
      </c>
      <c r="D3624" s="55">
        <v>12.75</v>
      </c>
      <c r="E3624" s="59">
        <v>637.5</v>
      </c>
      <c r="F3624" t="s">
        <v>889</v>
      </c>
      <c r="G3624" t="s">
        <v>572</v>
      </c>
      <c r="H3624" s="18">
        <v>637.5</v>
      </c>
      <c r="I3624" s="3">
        <v>42027</v>
      </c>
      <c r="J3624"/>
      <c r="L3624"/>
      <c r="M3624"/>
      <c r="N3624" s="20"/>
      <c r="O3624"/>
      <c r="P3624" s="20"/>
      <c r="Q3624" s="20"/>
      <c r="R3624" s="20"/>
      <c r="S3624" s="20"/>
      <c r="T3624" s="20"/>
    </row>
    <row r="3625" spans="1:21" x14ac:dyDescent="0.25">
      <c r="A3625" s="3">
        <v>42034</v>
      </c>
      <c r="B3625">
        <v>268</v>
      </c>
      <c r="C3625" t="s">
        <v>571</v>
      </c>
      <c r="D3625" s="19">
        <v>12.75</v>
      </c>
      <c r="E3625" s="18">
        <v>250</v>
      </c>
      <c r="F3625" s="23" t="s">
        <v>889</v>
      </c>
      <c r="G3625" t="s">
        <v>572</v>
      </c>
      <c r="H3625" s="18"/>
      <c r="J3625"/>
      <c r="L3625"/>
      <c r="M3625"/>
      <c r="N3625" s="20"/>
      <c r="O3625"/>
      <c r="P3625" s="20"/>
      <c r="Q3625" s="20"/>
      <c r="R3625" s="20"/>
      <c r="S3625" s="20"/>
      <c r="T3625" s="20"/>
    </row>
    <row r="3626" spans="1:21" x14ac:dyDescent="0.25">
      <c r="A3626" s="3">
        <v>42034</v>
      </c>
      <c r="B3626">
        <v>268</v>
      </c>
      <c r="C3626" t="s">
        <v>577</v>
      </c>
      <c r="D3626" s="19">
        <v>9.18</v>
      </c>
      <c r="E3626" s="18">
        <v>250</v>
      </c>
      <c r="F3626" s="23" t="s">
        <v>889</v>
      </c>
      <c r="G3626" t="s">
        <v>578</v>
      </c>
      <c r="H3626" s="18"/>
      <c r="J3626"/>
      <c r="L3626"/>
      <c r="M3626"/>
      <c r="N3626" s="20"/>
      <c r="O3626"/>
      <c r="P3626" s="20"/>
      <c r="Q3626" s="20"/>
      <c r="R3626" s="20"/>
      <c r="S3626" s="20"/>
      <c r="T3626" s="20"/>
    </row>
    <row r="3627" spans="1:21" x14ac:dyDescent="0.25">
      <c r="B3627">
        <v>268</v>
      </c>
      <c r="C3627" t="s">
        <v>3490</v>
      </c>
      <c r="E3627" s="18">
        <v>-650</v>
      </c>
      <c r="F3627" t="s">
        <v>889</v>
      </c>
      <c r="G3627" t="s">
        <v>442</v>
      </c>
      <c r="I3627"/>
      <c r="J3627"/>
      <c r="L3627"/>
      <c r="M3627"/>
      <c r="O3627"/>
      <c r="P3627" s="20"/>
      <c r="Q3627" s="20"/>
      <c r="R3627" s="20"/>
      <c r="S3627" s="20"/>
      <c r="T3627" s="20"/>
      <c r="U3627" t="s">
        <v>401</v>
      </c>
    </row>
    <row r="3628" spans="1:21" x14ac:dyDescent="0.25">
      <c r="B3628">
        <v>268</v>
      </c>
      <c r="C3628" t="s">
        <v>4178</v>
      </c>
      <c r="D3628">
        <v>3.8250000000000002</v>
      </c>
      <c r="E3628" s="18">
        <v>-382.5</v>
      </c>
      <c r="F3628" t="s">
        <v>889</v>
      </c>
      <c r="G3628" t="s">
        <v>4179</v>
      </c>
      <c r="I3628"/>
      <c r="J3628"/>
      <c r="L3628"/>
      <c r="M3628"/>
      <c r="O3628"/>
      <c r="P3628" s="20"/>
      <c r="Q3628" s="20"/>
      <c r="R3628" s="20"/>
      <c r="S3628" s="20"/>
      <c r="T3628" s="20"/>
      <c r="U3628" t="s">
        <v>401</v>
      </c>
    </row>
    <row r="3629" spans="1:21" x14ac:dyDescent="0.25">
      <c r="B3629">
        <v>268</v>
      </c>
      <c r="C3629" t="s">
        <v>4182</v>
      </c>
      <c r="D3629">
        <v>8.16</v>
      </c>
      <c r="E3629" s="18">
        <v>-816</v>
      </c>
      <c r="F3629" t="s">
        <v>889</v>
      </c>
      <c r="G3629" t="s">
        <v>4183</v>
      </c>
      <c r="I3629"/>
      <c r="J3629"/>
      <c r="L3629"/>
      <c r="M3629"/>
      <c r="O3629"/>
      <c r="P3629" s="20"/>
      <c r="Q3629" s="20"/>
      <c r="R3629" s="20"/>
      <c r="S3629" s="20"/>
      <c r="T3629" s="20"/>
      <c r="U3629" t="s">
        <v>401</v>
      </c>
    </row>
    <row r="3630" spans="1:21" x14ac:dyDescent="0.25">
      <c r="B3630">
        <v>268</v>
      </c>
      <c r="C3630" t="s">
        <v>969</v>
      </c>
      <c r="E3630" s="18">
        <v>168.3</v>
      </c>
      <c r="I3630"/>
      <c r="J3630"/>
      <c r="L3630"/>
      <c r="M3630"/>
      <c r="O3630"/>
      <c r="P3630" s="20"/>
      <c r="Q3630" s="20"/>
      <c r="R3630" s="20"/>
      <c r="S3630" s="20"/>
      <c r="T3630" s="20"/>
      <c r="U3630" t="s">
        <v>401</v>
      </c>
    </row>
    <row r="3631" spans="1:21" x14ac:dyDescent="0.25">
      <c r="B3631">
        <v>268</v>
      </c>
      <c r="C3631" t="s">
        <v>4148</v>
      </c>
      <c r="D3631">
        <v>5.5</v>
      </c>
      <c r="E3631" s="18">
        <v>-1430</v>
      </c>
      <c r="F3631" t="s">
        <v>889</v>
      </c>
      <c r="G3631" t="s">
        <v>4149</v>
      </c>
      <c r="I3631"/>
      <c r="J3631"/>
      <c r="L3631"/>
      <c r="M3631"/>
      <c r="O3631"/>
      <c r="P3631" s="20"/>
      <c r="Q3631" s="20"/>
      <c r="R3631" s="20"/>
      <c r="S3631" s="20"/>
      <c r="T3631" s="20"/>
      <c r="U3631" t="s">
        <v>401</v>
      </c>
    </row>
    <row r="3632" spans="1:21" x14ac:dyDescent="0.25">
      <c r="B3632">
        <v>268</v>
      </c>
      <c r="C3632" t="s">
        <v>4168</v>
      </c>
      <c r="D3632">
        <v>2.75</v>
      </c>
      <c r="E3632" s="18">
        <v>91.666666666666671</v>
      </c>
      <c r="F3632" t="s">
        <v>889</v>
      </c>
      <c r="G3632" t="s">
        <v>4169</v>
      </c>
      <c r="I3632"/>
      <c r="J3632"/>
      <c r="L3632"/>
      <c r="M3632"/>
      <c r="O3632"/>
      <c r="P3632" s="20"/>
      <c r="Q3632" s="20"/>
      <c r="R3632" s="20"/>
      <c r="S3632" s="20"/>
      <c r="T3632" s="20"/>
      <c r="U3632" t="s">
        <v>401</v>
      </c>
    </row>
    <row r="3633" spans="1:21" x14ac:dyDescent="0.25">
      <c r="B3633">
        <v>268</v>
      </c>
      <c r="C3633" t="s">
        <v>4168</v>
      </c>
      <c r="D3633">
        <v>2.75</v>
      </c>
      <c r="E3633" s="18">
        <v>91.666666666666671</v>
      </c>
      <c r="F3633" t="s">
        <v>889</v>
      </c>
      <c r="G3633" t="s">
        <v>4169</v>
      </c>
      <c r="I3633"/>
      <c r="J3633"/>
      <c r="L3633"/>
      <c r="M3633"/>
      <c r="O3633"/>
      <c r="P3633" s="20"/>
      <c r="Q3633" s="20"/>
      <c r="R3633" s="20"/>
      <c r="S3633" s="20"/>
      <c r="T3633" s="20"/>
      <c r="U3633" t="s">
        <v>401</v>
      </c>
    </row>
    <row r="3634" spans="1:21" x14ac:dyDescent="0.25">
      <c r="B3634">
        <v>268</v>
      </c>
      <c r="C3634" t="s">
        <v>4160</v>
      </c>
      <c r="D3634">
        <v>4.75</v>
      </c>
      <c r="E3634" s="18">
        <v>158.33333333333334</v>
      </c>
      <c r="F3634" t="s">
        <v>889</v>
      </c>
      <c r="G3634" t="s">
        <v>4161</v>
      </c>
      <c r="I3634"/>
      <c r="J3634"/>
      <c r="L3634"/>
      <c r="M3634"/>
      <c r="O3634"/>
      <c r="P3634" s="20"/>
      <c r="Q3634" s="20"/>
      <c r="R3634" s="20"/>
      <c r="S3634" s="20"/>
      <c r="T3634" s="20"/>
      <c r="U3634" t="s">
        <v>401</v>
      </c>
    </row>
    <row r="3635" spans="1:21" x14ac:dyDescent="0.25">
      <c r="B3635">
        <v>268</v>
      </c>
      <c r="C3635" t="s">
        <v>4160</v>
      </c>
      <c r="D3635">
        <v>4.75</v>
      </c>
      <c r="E3635" s="18">
        <v>158.33333333333334</v>
      </c>
      <c r="F3635" t="s">
        <v>889</v>
      </c>
      <c r="G3635" t="s">
        <v>4161</v>
      </c>
      <c r="I3635"/>
      <c r="J3635"/>
      <c r="L3635"/>
      <c r="M3635"/>
      <c r="O3635"/>
      <c r="P3635" s="20"/>
      <c r="Q3635" s="20"/>
      <c r="R3635" s="20"/>
      <c r="S3635" s="20"/>
      <c r="T3635" s="20"/>
      <c r="U3635" t="s">
        <v>401</v>
      </c>
    </row>
    <row r="3636" spans="1:21" x14ac:dyDescent="0.25">
      <c r="B3636">
        <v>268</v>
      </c>
      <c r="C3636" t="s">
        <v>4184</v>
      </c>
      <c r="D3636">
        <v>2.5499999999999998</v>
      </c>
      <c r="E3636" s="18">
        <v>84.999999999999986</v>
      </c>
      <c r="F3636" t="s">
        <v>889</v>
      </c>
      <c r="G3636" t="s">
        <v>4185</v>
      </c>
      <c r="I3636"/>
      <c r="J3636"/>
      <c r="L3636"/>
      <c r="M3636"/>
      <c r="O3636"/>
      <c r="P3636" s="20"/>
      <c r="Q3636" s="20"/>
      <c r="R3636" s="20"/>
      <c r="S3636" s="20"/>
      <c r="T3636" s="20"/>
      <c r="U3636" t="s">
        <v>401</v>
      </c>
    </row>
    <row r="3637" spans="1:21" x14ac:dyDescent="0.25">
      <c r="B3637">
        <v>268</v>
      </c>
      <c r="C3637" t="s">
        <v>4184</v>
      </c>
      <c r="D3637">
        <v>2.5499999999999998</v>
      </c>
      <c r="E3637" s="18">
        <v>84.999999999999986</v>
      </c>
      <c r="F3637" t="s">
        <v>889</v>
      </c>
      <c r="G3637" t="s">
        <v>4185</v>
      </c>
      <c r="I3637"/>
      <c r="J3637"/>
      <c r="L3637"/>
      <c r="M3637"/>
      <c r="O3637"/>
      <c r="P3637" s="20"/>
      <c r="Q3637" s="20"/>
      <c r="R3637" s="20"/>
      <c r="S3637" s="20"/>
      <c r="T3637" s="20"/>
      <c r="U3637" t="s">
        <v>401</v>
      </c>
    </row>
    <row r="3638" spans="1:21" x14ac:dyDescent="0.25">
      <c r="B3638">
        <v>268</v>
      </c>
      <c r="C3638" t="s">
        <v>4142</v>
      </c>
      <c r="D3638">
        <v>4</v>
      </c>
      <c r="E3638" s="18">
        <v>-690</v>
      </c>
      <c r="F3638" t="s">
        <v>889</v>
      </c>
      <c r="G3638" t="s">
        <v>4143</v>
      </c>
      <c r="I3638"/>
      <c r="J3638"/>
      <c r="L3638"/>
      <c r="M3638"/>
      <c r="O3638"/>
      <c r="P3638" s="20"/>
      <c r="Q3638" s="20"/>
      <c r="R3638" s="20"/>
      <c r="S3638" s="20"/>
      <c r="T3638" s="20"/>
      <c r="U3638" t="s">
        <v>401</v>
      </c>
    </row>
    <row r="3639" spans="1:21" x14ac:dyDescent="0.25">
      <c r="B3639">
        <v>268</v>
      </c>
      <c r="C3639" t="s">
        <v>4180</v>
      </c>
      <c r="D3639">
        <v>5.0999999999999996</v>
      </c>
      <c r="E3639" s="18">
        <v>-510</v>
      </c>
      <c r="F3639" t="s">
        <v>889</v>
      </c>
      <c r="G3639" t="s">
        <v>4181</v>
      </c>
      <c r="I3639"/>
      <c r="J3639"/>
      <c r="L3639"/>
      <c r="M3639"/>
      <c r="O3639"/>
      <c r="P3639" s="20"/>
      <c r="Q3639" s="20"/>
      <c r="R3639" s="20"/>
      <c r="S3639" s="20"/>
      <c r="T3639" s="20"/>
      <c r="U3639" t="s">
        <v>401</v>
      </c>
    </row>
    <row r="3640" spans="1:21" x14ac:dyDescent="0.25">
      <c r="B3640">
        <v>268</v>
      </c>
      <c r="C3640" t="s">
        <v>4187</v>
      </c>
      <c r="D3640">
        <v>7</v>
      </c>
      <c r="E3640" s="18">
        <v>700</v>
      </c>
      <c r="F3640" t="s">
        <v>889</v>
      </c>
      <c r="G3640" t="s">
        <v>4159</v>
      </c>
      <c r="I3640"/>
      <c r="J3640"/>
      <c r="L3640"/>
      <c r="M3640"/>
      <c r="O3640"/>
      <c r="P3640" s="20"/>
      <c r="Q3640" s="20"/>
      <c r="R3640" s="20"/>
      <c r="S3640" s="20"/>
      <c r="T3640" s="20"/>
      <c r="U3640" t="s">
        <v>401</v>
      </c>
    </row>
    <row r="3641" spans="1:21" x14ac:dyDescent="0.25">
      <c r="B3641">
        <v>268</v>
      </c>
      <c r="C3641" t="s">
        <v>4176</v>
      </c>
      <c r="D3641">
        <v>4.5</v>
      </c>
      <c r="E3641" s="18">
        <v>-2725</v>
      </c>
      <c r="F3641" t="s">
        <v>889</v>
      </c>
      <c r="G3641" t="s">
        <v>4177</v>
      </c>
      <c r="I3641"/>
      <c r="J3641"/>
      <c r="L3641"/>
      <c r="M3641"/>
      <c r="O3641"/>
      <c r="P3641" s="20"/>
      <c r="Q3641" s="20"/>
      <c r="R3641" s="20"/>
      <c r="S3641" s="20"/>
      <c r="T3641" s="20"/>
      <c r="U3641" t="s">
        <v>401</v>
      </c>
    </row>
    <row r="3642" spans="1:21" x14ac:dyDescent="0.25">
      <c r="B3642">
        <v>268</v>
      </c>
      <c r="C3642" t="s">
        <v>4188</v>
      </c>
      <c r="D3642">
        <v>7.5</v>
      </c>
      <c r="E3642" s="18">
        <v>750</v>
      </c>
      <c r="G3642" t="s">
        <v>4165</v>
      </c>
      <c r="I3642"/>
      <c r="J3642"/>
      <c r="L3642"/>
      <c r="M3642"/>
      <c r="O3642"/>
      <c r="P3642" s="20"/>
      <c r="Q3642" s="20"/>
      <c r="R3642" s="20"/>
      <c r="S3642" s="20"/>
      <c r="T3642" s="20"/>
      <c r="U3642" t="s">
        <v>401</v>
      </c>
    </row>
    <row r="3643" spans="1:21" x14ac:dyDescent="0.25">
      <c r="A3643" s="3" t="s">
        <v>4189</v>
      </c>
      <c r="B3643" s="36">
        <v>269</v>
      </c>
      <c r="C3643" t="s">
        <v>4190</v>
      </c>
      <c r="D3643">
        <v>5.25</v>
      </c>
      <c r="E3643" s="18">
        <v>525</v>
      </c>
      <c r="G3643" t="s">
        <v>4191</v>
      </c>
      <c r="H3643" s="18">
        <v>525</v>
      </c>
      <c r="I3643" s="3" t="s">
        <v>4189</v>
      </c>
      <c r="J3643"/>
      <c r="L3643"/>
      <c r="M3643"/>
      <c r="N3643" s="20"/>
      <c r="O3643" t="s">
        <v>931</v>
      </c>
      <c r="P3643" s="20"/>
      <c r="Q3643" s="20"/>
      <c r="R3643" s="20"/>
      <c r="S3643" s="20"/>
      <c r="T3643" s="20"/>
    </row>
    <row r="3644" spans="1:21" x14ac:dyDescent="0.25">
      <c r="A3644" s="3" t="s">
        <v>4192</v>
      </c>
      <c r="B3644" s="36">
        <v>269</v>
      </c>
      <c r="C3644" t="s">
        <v>4193</v>
      </c>
      <c r="E3644" s="18">
        <v>1000</v>
      </c>
      <c r="G3644" t="s">
        <v>442</v>
      </c>
      <c r="H3644" s="18" t="s">
        <v>442</v>
      </c>
      <c r="I3644" s="3" t="s">
        <v>442</v>
      </c>
      <c r="J3644"/>
      <c r="L3644"/>
      <c r="M3644"/>
      <c r="N3644" s="20"/>
      <c r="O3644"/>
      <c r="P3644" s="20"/>
      <c r="Q3644" s="20"/>
      <c r="R3644" s="20"/>
      <c r="S3644" s="20"/>
      <c r="T3644" s="20" t="s">
        <v>401</v>
      </c>
    </row>
    <row r="3645" spans="1:21" x14ac:dyDescent="0.25">
      <c r="A3645" s="3" t="s">
        <v>4194</v>
      </c>
      <c r="B3645" s="36">
        <v>269</v>
      </c>
      <c r="C3645" t="s">
        <v>4195</v>
      </c>
      <c r="E3645" s="18">
        <v>1000</v>
      </c>
      <c r="G3645" t="s">
        <v>442</v>
      </c>
      <c r="H3645" s="18" t="s">
        <v>442</v>
      </c>
      <c r="I3645" s="3" t="s">
        <v>442</v>
      </c>
      <c r="J3645"/>
      <c r="L3645"/>
      <c r="M3645"/>
      <c r="N3645" s="20"/>
      <c r="O3645"/>
      <c r="P3645" s="20"/>
      <c r="Q3645" s="20"/>
      <c r="R3645" s="20"/>
      <c r="S3645" s="20"/>
      <c r="T3645" s="20" t="s">
        <v>401</v>
      </c>
    </row>
    <row r="3646" spans="1:21" x14ac:dyDescent="0.25">
      <c r="A3646" s="3" t="s">
        <v>4196</v>
      </c>
      <c r="B3646" s="36">
        <v>269</v>
      </c>
      <c r="C3646" t="s">
        <v>4197</v>
      </c>
      <c r="E3646" s="18">
        <v>1000</v>
      </c>
      <c r="G3646" t="s">
        <v>442</v>
      </c>
      <c r="H3646" s="18" t="s">
        <v>442</v>
      </c>
      <c r="I3646" s="3" t="s">
        <v>442</v>
      </c>
      <c r="J3646"/>
      <c r="L3646"/>
      <c r="M3646"/>
      <c r="N3646" s="20"/>
      <c r="O3646"/>
      <c r="P3646" s="20"/>
      <c r="Q3646" s="20"/>
      <c r="R3646" s="20"/>
      <c r="S3646" s="20"/>
      <c r="T3646" s="20" t="s">
        <v>401</v>
      </c>
    </row>
    <row r="3647" spans="1:21" x14ac:dyDescent="0.25">
      <c r="A3647" s="3" t="s">
        <v>4198</v>
      </c>
      <c r="B3647" s="36">
        <v>269</v>
      </c>
      <c r="C3647" t="s">
        <v>4199</v>
      </c>
      <c r="E3647" s="18">
        <v>1000</v>
      </c>
      <c r="G3647" t="s">
        <v>442</v>
      </c>
      <c r="H3647" s="18" t="s">
        <v>442</v>
      </c>
      <c r="I3647" s="3" t="s">
        <v>442</v>
      </c>
      <c r="J3647"/>
      <c r="L3647"/>
      <c r="M3647"/>
      <c r="N3647" s="20"/>
      <c r="O3647"/>
      <c r="P3647" s="20"/>
      <c r="Q3647" s="20"/>
      <c r="R3647" s="20"/>
      <c r="S3647" s="20"/>
      <c r="T3647" s="20" t="s">
        <v>401</v>
      </c>
    </row>
    <row r="3648" spans="1:21" x14ac:dyDescent="0.25">
      <c r="A3648" s="3" t="s">
        <v>4200</v>
      </c>
      <c r="B3648" s="36">
        <v>269</v>
      </c>
      <c r="C3648" t="s">
        <v>4201</v>
      </c>
      <c r="E3648" s="18">
        <v>1000</v>
      </c>
      <c r="G3648" t="s">
        <v>442</v>
      </c>
      <c r="H3648" s="18" t="s">
        <v>442</v>
      </c>
      <c r="I3648" s="3" t="s">
        <v>442</v>
      </c>
      <c r="J3648"/>
      <c r="L3648"/>
      <c r="M3648"/>
      <c r="N3648" s="20"/>
      <c r="O3648"/>
      <c r="P3648" s="20"/>
      <c r="Q3648" s="20"/>
      <c r="R3648" s="20"/>
      <c r="S3648" s="20"/>
      <c r="T3648" s="20" t="s">
        <v>401</v>
      </c>
    </row>
    <row r="3649" spans="1:21" x14ac:dyDescent="0.25">
      <c r="A3649" s="3" t="s">
        <v>4202</v>
      </c>
      <c r="B3649" s="36">
        <v>269</v>
      </c>
      <c r="C3649" t="s">
        <v>4203</v>
      </c>
      <c r="E3649" s="18">
        <v>1000</v>
      </c>
      <c r="G3649" t="s">
        <v>442</v>
      </c>
      <c r="H3649" s="18" t="s">
        <v>442</v>
      </c>
      <c r="I3649" s="3" t="s">
        <v>442</v>
      </c>
      <c r="J3649"/>
      <c r="L3649"/>
      <c r="M3649"/>
      <c r="N3649" s="20"/>
      <c r="O3649"/>
      <c r="P3649" s="20"/>
      <c r="Q3649" s="20"/>
      <c r="R3649" s="20"/>
      <c r="S3649" s="20"/>
      <c r="T3649" s="20" t="s">
        <v>401</v>
      </c>
    </row>
    <row r="3650" spans="1:21" x14ac:dyDescent="0.25">
      <c r="A3650" s="3" t="s">
        <v>4204</v>
      </c>
      <c r="B3650" s="36">
        <v>269</v>
      </c>
      <c r="C3650" t="s">
        <v>4205</v>
      </c>
      <c r="E3650" s="18">
        <v>1000</v>
      </c>
      <c r="G3650" t="s">
        <v>442</v>
      </c>
      <c r="H3650" s="18" t="s">
        <v>442</v>
      </c>
      <c r="I3650" s="3" t="s">
        <v>442</v>
      </c>
      <c r="J3650"/>
      <c r="L3650"/>
      <c r="M3650"/>
      <c r="N3650" s="20"/>
      <c r="O3650"/>
      <c r="P3650" s="20"/>
      <c r="Q3650" s="20"/>
      <c r="R3650" s="20"/>
      <c r="S3650" s="20"/>
      <c r="T3650" s="20" t="s">
        <v>401</v>
      </c>
    </row>
    <row r="3651" spans="1:21" x14ac:dyDescent="0.25">
      <c r="A3651" s="3" t="s">
        <v>4206</v>
      </c>
      <c r="B3651" s="36">
        <v>269</v>
      </c>
      <c r="C3651" t="s">
        <v>4207</v>
      </c>
      <c r="E3651" s="18">
        <v>1000</v>
      </c>
      <c r="G3651" t="s">
        <v>442</v>
      </c>
      <c r="H3651" s="18" t="s">
        <v>442</v>
      </c>
      <c r="I3651" s="3" t="s">
        <v>442</v>
      </c>
      <c r="J3651"/>
      <c r="L3651"/>
      <c r="M3651"/>
      <c r="N3651" s="20"/>
      <c r="O3651"/>
      <c r="P3651" s="20"/>
      <c r="Q3651" s="20"/>
      <c r="R3651" s="20"/>
      <c r="S3651" s="20"/>
      <c r="T3651" s="20" t="s">
        <v>401</v>
      </c>
    </row>
    <row r="3652" spans="1:21" x14ac:dyDescent="0.25">
      <c r="A3652" s="3">
        <v>41929</v>
      </c>
      <c r="B3652" s="36">
        <v>269</v>
      </c>
      <c r="C3652" t="s">
        <v>4190</v>
      </c>
      <c r="E3652" s="18">
        <v>0</v>
      </c>
      <c r="F3652" t="s">
        <v>889</v>
      </c>
      <c r="G3652" t="s">
        <v>4191</v>
      </c>
      <c r="H3652" s="18">
        <v>0</v>
      </c>
      <c r="I3652" s="3">
        <v>41929</v>
      </c>
      <c r="J3652"/>
      <c r="L3652"/>
      <c r="M3652"/>
      <c r="N3652" s="20"/>
      <c r="O3652" t="s">
        <v>959</v>
      </c>
      <c r="P3652" s="20"/>
      <c r="Q3652" s="20"/>
      <c r="R3652" s="20"/>
      <c r="S3652" s="20"/>
      <c r="T3652" s="20"/>
    </row>
    <row r="3653" spans="1:21" x14ac:dyDescent="0.25">
      <c r="A3653" s="3" t="s">
        <v>4208</v>
      </c>
      <c r="B3653" s="36">
        <v>269</v>
      </c>
      <c r="C3653" t="s">
        <v>4209</v>
      </c>
      <c r="E3653" s="18">
        <v>1000</v>
      </c>
      <c r="G3653" t="s">
        <v>442</v>
      </c>
      <c r="H3653" s="18" t="s">
        <v>442</v>
      </c>
      <c r="I3653" s="3" t="s">
        <v>442</v>
      </c>
      <c r="J3653"/>
      <c r="L3653"/>
      <c r="M3653"/>
      <c r="N3653" s="20"/>
      <c r="O3653"/>
      <c r="P3653" s="20"/>
      <c r="Q3653" s="20"/>
      <c r="R3653" s="20"/>
      <c r="S3653" s="20"/>
      <c r="T3653" s="20" t="s">
        <v>401</v>
      </c>
    </row>
    <row r="3654" spans="1:21" x14ac:dyDescent="0.25">
      <c r="A3654" s="3">
        <v>41929</v>
      </c>
      <c r="B3654" s="36">
        <v>269</v>
      </c>
      <c r="C3654" t="s">
        <v>960</v>
      </c>
      <c r="E3654" s="18">
        <v>194.38</v>
      </c>
      <c r="G3654" t="s">
        <v>442</v>
      </c>
      <c r="H3654" s="18" t="s">
        <v>442</v>
      </c>
      <c r="I3654" s="3" t="s">
        <v>442</v>
      </c>
      <c r="J3654"/>
      <c r="L3654"/>
      <c r="M3654"/>
      <c r="N3654" s="20" t="s">
        <v>401</v>
      </c>
      <c r="O3654"/>
      <c r="P3654" s="20"/>
      <c r="Q3654" s="20"/>
      <c r="R3654" s="20"/>
      <c r="S3654" s="20"/>
      <c r="T3654" s="20"/>
    </row>
    <row r="3655" spans="1:21" x14ac:dyDescent="0.25">
      <c r="A3655" s="3" t="s">
        <v>4210</v>
      </c>
      <c r="B3655" s="36">
        <v>269</v>
      </c>
      <c r="C3655" t="s">
        <v>4211</v>
      </c>
      <c r="E3655" s="18">
        <v>1000</v>
      </c>
      <c r="G3655" t="s">
        <v>442</v>
      </c>
      <c r="H3655" s="18" t="s">
        <v>442</v>
      </c>
      <c r="I3655" s="3" t="s">
        <v>442</v>
      </c>
      <c r="J3655"/>
      <c r="L3655"/>
      <c r="M3655"/>
      <c r="N3655" s="20"/>
      <c r="O3655"/>
      <c r="P3655" s="20"/>
      <c r="Q3655" s="20"/>
      <c r="R3655" s="20"/>
      <c r="S3655" s="20"/>
      <c r="T3655" s="20" t="s">
        <v>401</v>
      </c>
    </row>
    <row r="3656" spans="1:21" x14ac:dyDescent="0.25">
      <c r="A3656" s="3" t="s">
        <v>4212</v>
      </c>
      <c r="B3656" s="36">
        <v>269</v>
      </c>
      <c r="C3656" t="s">
        <v>4213</v>
      </c>
      <c r="E3656" s="18">
        <v>1000</v>
      </c>
      <c r="G3656" t="s">
        <v>442</v>
      </c>
      <c r="H3656" s="18" t="s">
        <v>442</v>
      </c>
      <c r="I3656" s="3" t="s">
        <v>442</v>
      </c>
      <c r="J3656"/>
      <c r="L3656"/>
      <c r="M3656"/>
      <c r="N3656" s="20"/>
      <c r="O3656"/>
      <c r="P3656" s="20"/>
      <c r="Q3656" s="20"/>
      <c r="R3656" s="20"/>
      <c r="S3656" s="20"/>
      <c r="T3656" s="20" t="s">
        <v>401</v>
      </c>
    </row>
    <row r="3657" spans="1:21" x14ac:dyDescent="0.25">
      <c r="A3657" s="3" t="s">
        <v>4214</v>
      </c>
      <c r="B3657" s="36">
        <v>269</v>
      </c>
      <c r="C3657" t="s">
        <v>4215</v>
      </c>
      <c r="E3657" s="18">
        <v>1000</v>
      </c>
      <c r="G3657" t="s">
        <v>442</v>
      </c>
      <c r="H3657" s="18" t="s">
        <v>442</v>
      </c>
      <c r="I3657" s="3" t="s">
        <v>442</v>
      </c>
      <c r="J3657"/>
      <c r="L3657"/>
      <c r="M3657"/>
      <c r="N3657" s="20"/>
      <c r="O3657"/>
      <c r="P3657" s="20"/>
      <c r="Q3657" s="20"/>
      <c r="R3657" s="20"/>
      <c r="S3657" s="20"/>
      <c r="T3657" s="20" t="s">
        <v>401</v>
      </c>
    </row>
    <row r="3658" spans="1:21" x14ac:dyDescent="0.25">
      <c r="A3658" s="3" t="s">
        <v>4216</v>
      </c>
      <c r="B3658" s="36">
        <v>269</v>
      </c>
      <c r="C3658" t="s">
        <v>4217</v>
      </c>
      <c r="E3658" s="18">
        <v>1000</v>
      </c>
      <c r="G3658" t="s">
        <v>442</v>
      </c>
      <c r="H3658" s="18" t="s">
        <v>442</v>
      </c>
      <c r="I3658" s="3" t="s">
        <v>442</v>
      </c>
      <c r="J3658"/>
      <c r="L3658"/>
      <c r="M3658"/>
      <c r="N3658" s="20"/>
      <c r="O3658"/>
      <c r="P3658" s="20"/>
      <c r="Q3658" s="20"/>
      <c r="R3658" s="20"/>
      <c r="S3658" s="20"/>
      <c r="T3658" s="20" t="s">
        <v>401</v>
      </c>
    </row>
    <row r="3659" spans="1:21" x14ac:dyDescent="0.25">
      <c r="A3659" s="3">
        <v>41964</v>
      </c>
      <c r="B3659" s="36">
        <v>269</v>
      </c>
      <c r="C3659" t="s">
        <v>963</v>
      </c>
      <c r="E3659" s="18">
        <v>25.5</v>
      </c>
      <c r="F3659" t="s">
        <v>889</v>
      </c>
      <c r="G3659" t="s">
        <v>442</v>
      </c>
      <c r="H3659" s="18" t="s">
        <v>442</v>
      </c>
      <c r="I3659" s="3" t="s">
        <v>442</v>
      </c>
      <c r="J3659"/>
      <c r="L3659"/>
      <c r="M3659"/>
      <c r="N3659" s="40" t="s">
        <v>401</v>
      </c>
      <c r="O3659"/>
      <c r="P3659" s="20"/>
      <c r="Q3659" s="20"/>
      <c r="R3659" s="20"/>
      <c r="S3659" s="20"/>
      <c r="T3659" s="20"/>
    </row>
    <row r="3660" spans="1:21" x14ac:dyDescent="0.25">
      <c r="A3660" s="3" t="s">
        <v>4218</v>
      </c>
      <c r="B3660" s="36">
        <v>269</v>
      </c>
      <c r="C3660" t="s">
        <v>4219</v>
      </c>
      <c r="E3660" s="18">
        <v>2000</v>
      </c>
      <c r="G3660" t="s">
        <v>442</v>
      </c>
      <c r="H3660" s="18" t="s">
        <v>442</v>
      </c>
      <c r="I3660" s="3" t="s">
        <v>442</v>
      </c>
      <c r="J3660"/>
      <c r="L3660"/>
      <c r="M3660"/>
      <c r="N3660" s="20"/>
      <c r="O3660"/>
      <c r="P3660" s="20"/>
      <c r="Q3660" s="20"/>
      <c r="R3660" s="20"/>
      <c r="S3660" s="20"/>
      <c r="T3660" s="20" t="s">
        <v>401</v>
      </c>
    </row>
    <row r="3661" spans="1:21" x14ac:dyDescent="0.25">
      <c r="B3661">
        <v>269</v>
      </c>
      <c r="C3661" t="s">
        <v>969</v>
      </c>
      <c r="E3661" s="18">
        <v>25.5</v>
      </c>
      <c r="I3661"/>
      <c r="J3661"/>
      <c r="L3661"/>
      <c r="M3661"/>
      <c r="O3661"/>
      <c r="P3661" s="20"/>
      <c r="Q3661" s="20"/>
      <c r="R3661" s="20"/>
      <c r="S3661" s="20"/>
      <c r="T3661" s="20"/>
      <c r="U3661" t="s">
        <v>401</v>
      </c>
    </row>
    <row r="3662" spans="1:21" x14ac:dyDescent="0.25">
      <c r="B3662">
        <v>269</v>
      </c>
      <c r="C3662" t="s">
        <v>4193</v>
      </c>
      <c r="E3662" s="18">
        <v>-1000</v>
      </c>
      <c r="G3662" t="s">
        <v>442</v>
      </c>
      <c r="I3662"/>
      <c r="J3662"/>
      <c r="L3662"/>
      <c r="M3662"/>
      <c r="O3662"/>
      <c r="P3662" s="20"/>
      <c r="Q3662" s="20"/>
      <c r="R3662" s="20"/>
      <c r="S3662" s="20"/>
      <c r="T3662" s="20"/>
      <c r="U3662" t="s">
        <v>401</v>
      </c>
    </row>
    <row r="3663" spans="1:21" x14ac:dyDescent="0.25">
      <c r="B3663">
        <v>269</v>
      </c>
      <c r="C3663" t="s">
        <v>4195</v>
      </c>
      <c r="E3663" s="18">
        <v>-1000</v>
      </c>
      <c r="G3663" t="s">
        <v>442</v>
      </c>
      <c r="I3663"/>
      <c r="J3663"/>
      <c r="L3663"/>
      <c r="M3663"/>
      <c r="O3663"/>
      <c r="P3663" s="20"/>
      <c r="Q3663" s="20"/>
      <c r="R3663" s="20"/>
      <c r="S3663" s="20"/>
      <c r="T3663" s="20"/>
      <c r="U3663" t="s">
        <v>401</v>
      </c>
    </row>
    <row r="3664" spans="1:21" x14ac:dyDescent="0.25">
      <c r="B3664">
        <v>269</v>
      </c>
      <c r="C3664" t="s">
        <v>4197</v>
      </c>
      <c r="E3664" s="18">
        <v>-1000</v>
      </c>
      <c r="G3664" t="s">
        <v>442</v>
      </c>
      <c r="I3664"/>
      <c r="J3664"/>
      <c r="L3664"/>
      <c r="M3664"/>
      <c r="O3664"/>
      <c r="P3664" s="20"/>
      <c r="Q3664" s="20"/>
      <c r="R3664" s="20"/>
      <c r="S3664" s="20"/>
      <c r="T3664" s="20"/>
      <c r="U3664" t="s">
        <v>401</v>
      </c>
    </row>
    <row r="3665" spans="1:21" x14ac:dyDescent="0.25">
      <c r="B3665">
        <v>269</v>
      </c>
      <c r="C3665" t="s">
        <v>4199</v>
      </c>
      <c r="E3665" s="18">
        <v>-1000</v>
      </c>
      <c r="G3665" t="s">
        <v>442</v>
      </c>
      <c r="I3665"/>
      <c r="J3665"/>
      <c r="L3665"/>
      <c r="M3665"/>
      <c r="O3665"/>
      <c r="P3665" s="20"/>
      <c r="Q3665" s="20"/>
      <c r="R3665" s="20"/>
      <c r="S3665" s="20"/>
      <c r="T3665" s="20"/>
      <c r="U3665" t="s">
        <v>401</v>
      </c>
    </row>
    <row r="3666" spans="1:21" x14ac:dyDescent="0.25">
      <c r="B3666">
        <v>269</v>
      </c>
      <c r="C3666" t="s">
        <v>4201</v>
      </c>
      <c r="E3666" s="18">
        <v>-1000</v>
      </c>
      <c r="G3666" t="s">
        <v>442</v>
      </c>
      <c r="I3666"/>
      <c r="J3666"/>
      <c r="L3666"/>
      <c r="M3666"/>
      <c r="O3666"/>
      <c r="P3666" s="20"/>
      <c r="Q3666" s="20"/>
      <c r="R3666" s="20"/>
      <c r="S3666" s="20"/>
      <c r="T3666" s="20"/>
      <c r="U3666" t="s">
        <v>401</v>
      </c>
    </row>
    <row r="3667" spans="1:21" x14ac:dyDescent="0.25">
      <c r="B3667">
        <v>269</v>
      </c>
      <c r="C3667" t="s">
        <v>4203</v>
      </c>
      <c r="E3667" s="18">
        <v>-1000</v>
      </c>
      <c r="G3667" t="s">
        <v>442</v>
      </c>
      <c r="I3667"/>
      <c r="J3667"/>
      <c r="L3667"/>
      <c r="M3667"/>
      <c r="O3667"/>
      <c r="P3667" s="20"/>
      <c r="Q3667" s="20"/>
      <c r="R3667" s="20"/>
      <c r="S3667" s="20"/>
      <c r="T3667" s="20"/>
      <c r="U3667" t="s">
        <v>401</v>
      </c>
    </row>
    <row r="3668" spans="1:21" x14ac:dyDescent="0.25">
      <c r="B3668">
        <v>269</v>
      </c>
      <c r="C3668" t="s">
        <v>4205</v>
      </c>
      <c r="E3668" s="18">
        <v>-1000</v>
      </c>
      <c r="G3668" t="s">
        <v>442</v>
      </c>
      <c r="I3668"/>
      <c r="J3668"/>
      <c r="L3668"/>
      <c r="M3668"/>
      <c r="O3668"/>
      <c r="P3668" s="20"/>
      <c r="Q3668" s="20"/>
      <c r="R3668" s="20"/>
      <c r="S3668" s="20"/>
      <c r="T3668" s="20"/>
      <c r="U3668" t="s">
        <v>401</v>
      </c>
    </row>
    <row r="3669" spans="1:21" x14ac:dyDescent="0.25">
      <c r="B3669">
        <v>269</v>
      </c>
      <c r="C3669" t="s">
        <v>4207</v>
      </c>
      <c r="E3669" s="18">
        <v>-1000</v>
      </c>
      <c r="G3669" t="s">
        <v>442</v>
      </c>
      <c r="I3669"/>
      <c r="J3669"/>
      <c r="L3669"/>
      <c r="M3669"/>
      <c r="O3669"/>
      <c r="P3669" s="20"/>
      <c r="Q3669" s="20"/>
      <c r="R3669" s="20"/>
      <c r="S3669" s="20"/>
      <c r="T3669" s="20"/>
      <c r="U3669" t="s">
        <v>401</v>
      </c>
    </row>
    <row r="3670" spans="1:21" x14ac:dyDescent="0.25">
      <c r="B3670">
        <v>269</v>
      </c>
      <c r="C3670" t="s">
        <v>4209</v>
      </c>
      <c r="E3670" s="18">
        <v>-1000</v>
      </c>
      <c r="G3670" t="s">
        <v>442</v>
      </c>
      <c r="I3670"/>
      <c r="J3670"/>
      <c r="L3670"/>
      <c r="M3670"/>
      <c r="O3670"/>
      <c r="P3670" s="20"/>
      <c r="Q3670" s="20"/>
      <c r="R3670" s="20"/>
      <c r="S3670" s="20"/>
      <c r="T3670" s="20"/>
      <c r="U3670" t="s">
        <v>401</v>
      </c>
    </row>
    <row r="3671" spans="1:21" x14ac:dyDescent="0.25">
      <c r="B3671">
        <v>269</v>
      </c>
      <c r="C3671" t="s">
        <v>4211</v>
      </c>
      <c r="E3671" s="18">
        <v>-1000</v>
      </c>
      <c r="G3671" t="s">
        <v>442</v>
      </c>
      <c r="I3671"/>
      <c r="J3671"/>
      <c r="L3671"/>
      <c r="M3671"/>
      <c r="O3671"/>
      <c r="P3671" s="20"/>
      <c r="Q3671" s="20"/>
      <c r="R3671" s="20"/>
      <c r="S3671" s="20"/>
      <c r="T3671" s="20"/>
      <c r="U3671" t="s">
        <v>401</v>
      </c>
    </row>
    <row r="3672" spans="1:21" x14ac:dyDescent="0.25">
      <c r="B3672">
        <v>269</v>
      </c>
      <c r="C3672" t="s">
        <v>4213</v>
      </c>
      <c r="E3672" s="18">
        <v>-1000</v>
      </c>
      <c r="G3672" t="s">
        <v>442</v>
      </c>
      <c r="I3672"/>
      <c r="J3672"/>
      <c r="L3672"/>
      <c r="M3672"/>
      <c r="O3672"/>
      <c r="P3672" s="20"/>
      <c r="Q3672" s="20"/>
      <c r="R3672" s="20"/>
      <c r="S3672" s="20"/>
      <c r="T3672" s="20"/>
      <c r="U3672" t="s">
        <v>401</v>
      </c>
    </row>
    <row r="3673" spans="1:21" x14ac:dyDescent="0.25">
      <c r="B3673">
        <v>269</v>
      </c>
      <c r="C3673" t="s">
        <v>4215</v>
      </c>
      <c r="E3673" s="18">
        <v>-1000</v>
      </c>
      <c r="G3673" t="s">
        <v>442</v>
      </c>
      <c r="I3673"/>
      <c r="J3673"/>
      <c r="L3673"/>
      <c r="M3673"/>
      <c r="O3673"/>
      <c r="P3673" s="20"/>
      <c r="Q3673" s="20"/>
      <c r="R3673" s="20"/>
      <c r="S3673" s="20"/>
      <c r="T3673" s="20"/>
      <c r="U3673" t="s">
        <v>401</v>
      </c>
    </row>
    <row r="3674" spans="1:21" x14ac:dyDescent="0.25">
      <c r="B3674">
        <v>269</v>
      </c>
      <c r="C3674" t="s">
        <v>4217</v>
      </c>
      <c r="E3674" s="18">
        <v>-1000</v>
      </c>
      <c r="G3674" t="s">
        <v>442</v>
      </c>
      <c r="I3674"/>
      <c r="J3674"/>
      <c r="L3674"/>
      <c r="M3674"/>
      <c r="O3674"/>
      <c r="P3674" s="20"/>
      <c r="Q3674" s="20"/>
      <c r="R3674" s="20"/>
      <c r="S3674" s="20"/>
      <c r="T3674" s="20"/>
      <c r="U3674" t="s">
        <v>401</v>
      </c>
    </row>
    <row r="3675" spans="1:21" x14ac:dyDescent="0.25">
      <c r="B3675">
        <v>269</v>
      </c>
      <c r="C3675" t="s">
        <v>4219</v>
      </c>
      <c r="E3675" s="18">
        <v>-2000</v>
      </c>
      <c r="G3675" t="s">
        <v>442</v>
      </c>
      <c r="I3675"/>
      <c r="J3675"/>
      <c r="L3675"/>
      <c r="M3675"/>
      <c r="O3675"/>
      <c r="P3675" s="20"/>
      <c r="Q3675" s="20"/>
      <c r="R3675" s="20"/>
      <c r="S3675" s="20"/>
      <c r="T3675" s="20"/>
      <c r="U3675" t="s">
        <v>401</v>
      </c>
    </row>
    <row r="3676" spans="1:21" x14ac:dyDescent="0.25">
      <c r="B3676">
        <v>269</v>
      </c>
      <c r="C3676" t="s">
        <v>974</v>
      </c>
      <c r="E3676" s="18">
        <v>32.916666666666664</v>
      </c>
      <c r="I3676"/>
      <c r="J3676"/>
      <c r="L3676"/>
      <c r="M3676"/>
      <c r="O3676"/>
      <c r="P3676" s="20"/>
      <c r="Q3676" s="20"/>
      <c r="R3676" s="20"/>
      <c r="S3676" s="20"/>
      <c r="T3676" s="20"/>
      <c r="U3676" t="s">
        <v>401</v>
      </c>
    </row>
    <row r="3677" spans="1:21" x14ac:dyDescent="0.25">
      <c r="A3677" s="3">
        <v>41831</v>
      </c>
      <c r="B3677" s="36">
        <v>276</v>
      </c>
      <c r="C3677" t="s">
        <v>4220</v>
      </c>
      <c r="D3677">
        <v>9.25</v>
      </c>
      <c r="E3677" s="18">
        <v>925</v>
      </c>
      <c r="G3677" t="s">
        <v>1086</v>
      </c>
      <c r="H3677" s="18">
        <v>925</v>
      </c>
      <c r="I3677" s="3">
        <v>41831</v>
      </c>
      <c r="J3677"/>
      <c r="L3677"/>
      <c r="M3677"/>
      <c r="N3677" s="20"/>
      <c r="O3677" t="s">
        <v>1087</v>
      </c>
      <c r="P3677" s="20"/>
      <c r="Q3677" s="20"/>
      <c r="R3677" s="20"/>
      <c r="S3677" s="20"/>
      <c r="T3677" s="20"/>
    </row>
    <row r="3678" spans="1:21" x14ac:dyDescent="0.25">
      <c r="A3678" s="3">
        <v>41831</v>
      </c>
      <c r="B3678" s="36">
        <v>276</v>
      </c>
      <c r="C3678" t="s">
        <v>4221</v>
      </c>
      <c r="D3678">
        <v>6.5</v>
      </c>
      <c r="E3678" s="18">
        <v>650</v>
      </c>
      <c r="G3678" t="s">
        <v>1086</v>
      </c>
      <c r="H3678" s="18">
        <v>650</v>
      </c>
      <c r="I3678" s="3">
        <v>41831</v>
      </c>
      <c r="J3678"/>
      <c r="L3678"/>
      <c r="M3678"/>
      <c r="N3678" s="20"/>
      <c r="O3678" t="s">
        <v>1087</v>
      </c>
      <c r="P3678" s="20"/>
      <c r="Q3678" s="20"/>
      <c r="R3678" s="20"/>
      <c r="S3678" s="20"/>
      <c r="T3678" s="20"/>
    </row>
    <row r="3679" spans="1:21" x14ac:dyDescent="0.25">
      <c r="A3679" s="3">
        <v>41831</v>
      </c>
      <c r="B3679" s="36">
        <v>276</v>
      </c>
      <c r="C3679" t="s">
        <v>4222</v>
      </c>
      <c r="D3679">
        <v>11</v>
      </c>
      <c r="E3679" s="18">
        <v>1100</v>
      </c>
      <c r="G3679" t="s">
        <v>1086</v>
      </c>
      <c r="H3679" s="18">
        <v>1100</v>
      </c>
      <c r="I3679" s="3">
        <v>41831</v>
      </c>
      <c r="J3679"/>
      <c r="L3679"/>
      <c r="M3679"/>
      <c r="N3679" s="20"/>
      <c r="O3679" t="s">
        <v>1087</v>
      </c>
      <c r="P3679" s="20"/>
      <c r="Q3679" s="20"/>
      <c r="R3679" s="20"/>
      <c r="S3679" s="20"/>
      <c r="T3679" s="20"/>
    </row>
    <row r="3680" spans="1:21" x14ac:dyDescent="0.25">
      <c r="A3680" s="3">
        <v>41853</v>
      </c>
      <c r="B3680" s="36">
        <v>276</v>
      </c>
      <c r="C3680" t="s">
        <v>4223</v>
      </c>
      <c r="D3680">
        <v>11</v>
      </c>
      <c r="E3680" s="18">
        <v>220</v>
      </c>
      <c r="F3680" t="s">
        <v>889</v>
      </c>
      <c r="G3680" t="s">
        <v>1086</v>
      </c>
      <c r="H3680" s="18">
        <v>220</v>
      </c>
      <c r="I3680" s="3">
        <v>41853</v>
      </c>
      <c r="J3680"/>
      <c r="L3680"/>
      <c r="M3680"/>
      <c r="N3680" s="20"/>
      <c r="O3680"/>
      <c r="P3680" s="20"/>
      <c r="Q3680" s="20"/>
      <c r="R3680" s="20"/>
      <c r="S3680" s="20"/>
      <c r="T3680" s="20"/>
    </row>
    <row r="3681" spans="1:20" x14ac:dyDescent="0.25">
      <c r="A3681" s="3">
        <v>41853</v>
      </c>
      <c r="B3681" s="36">
        <v>276</v>
      </c>
      <c r="C3681" t="s">
        <v>4224</v>
      </c>
      <c r="D3681">
        <v>14.25</v>
      </c>
      <c r="E3681" s="18">
        <v>285</v>
      </c>
      <c r="F3681" t="s">
        <v>889</v>
      </c>
      <c r="G3681" t="s">
        <v>1086</v>
      </c>
      <c r="H3681" s="18">
        <v>285</v>
      </c>
      <c r="I3681" s="3">
        <v>41853</v>
      </c>
      <c r="J3681"/>
      <c r="L3681"/>
      <c r="M3681"/>
      <c r="N3681" s="20"/>
      <c r="O3681"/>
      <c r="P3681" s="20"/>
      <c r="Q3681" s="20"/>
      <c r="R3681" s="20"/>
      <c r="S3681" s="20"/>
      <c r="T3681" s="20"/>
    </row>
    <row r="3682" spans="1:20" x14ac:dyDescent="0.25">
      <c r="A3682" s="3">
        <v>41853</v>
      </c>
      <c r="B3682" s="36">
        <v>276</v>
      </c>
      <c r="C3682" t="s">
        <v>4225</v>
      </c>
      <c r="D3682">
        <v>11.75</v>
      </c>
      <c r="E3682" s="18">
        <v>235</v>
      </c>
      <c r="F3682" t="s">
        <v>889</v>
      </c>
      <c r="G3682" t="s">
        <v>1086</v>
      </c>
      <c r="H3682" s="18">
        <v>235</v>
      </c>
      <c r="I3682" s="3">
        <v>41853</v>
      </c>
      <c r="J3682"/>
      <c r="L3682"/>
      <c r="M3682"/>
      <c r="N3682" s="20"/>
      <c r="O3682"/>
      <c r="P3682" s="20"/>
      <c r="Q3682" s="20"/>
      <c r="R3682" s="20"/>
      <c r="S3682" s="20"/>
      <c r="T3682" s="20"/>
    </row>
    <row r="3683" spans="1:20" x14ac:dyDescent="0.25">
      <c r="A3683" s="3">
        <v>41859</v>
      </c>
      <c r="B3683" s="36">
        <v>276</v>
      </c>
      <c r="C3683" t="s">
        <v>4224</v>
      </c>
      <c r="D3683">
        <v>15.75</v>
      </c>
      <c r="E3683" s="18">
        <v>1575</v>
      </c>
      <c r="F3683" t="s">
        <v>889</v>
      </c>
      <c r="G3683" t="s">
        <v>1086</v>
      </c>
      <c r="H3683" s="18">
        <v>1575</v>
      </c>
      <c r="I3683" s="3">
        <v>41859</v>
      </c>
      <c r="J3683"/>
      <c r="L3683"/>
      <c r="M3683"/>
      <c r="N3683" s="20"/>
      <c r="O3683"/>
      <c r="P3683" s="20"/>
      <c r="Q3683" s="20"/>
      <c r="R3683" s="20"/>
      <c r="S3683" s="20"/>
      <c r="T3683" s="20"/>
    </row>
    <row r="3684" spans="1:20" x14ac:dyDescent="0.25">
      <c r="A3684" s="3">
        <v>41873</v>
      </c>
      <c r="B3684" s="36">
        <v>276</v>
      </c>
      <c r="C3684" t="s">
        <v>4226</v>
      </c>
      <c r="D3684">
        <v>12.25</v>
      </c>
      <c r="E3684" s="18">
        <v>1225</v>
      </c>
      <c r="F3684" t="s">
        <v>889</v>
      </c>
      <c r="G3684" t="s">
        <v>1086</v>
      </c>
      <c r="H3684" s="18">
        <v>1225</v>
      </c>
      <c r="I3684" s="3">
        <v>41873</v>
      </c>
      <c r="J3684"/>
      <c r="L3684"/>
      <c r="M3684"/>
      <c r="N3684" s="20"/>
      <c r="O3684"/>
      <c r="P3684" s="20"/>
      <c r="Q3684" s="20"/>
      <c r="R3684" s="20"/>
      <c r="S3684" s="20"/>
      <c r="T3684" s="20"/>
    </row>
    <row r="3685" spans="1:20" x14ac:dyDescent="0.25">
      <c r="A3685" s="3">
        <v>41873</v>
      </c>
      <c r="B3685" s="36">
        <v>276</v>
      </c>
      <c r="C3685" t="s">
        <v>4221</v>
      </c>
      <c r="D3685">
        <v>10.5</v>
      </c>
      <c r="E3685" s="18">
        <v>1050</v>
      </c>
      <c r="F3685" t="s">
        <v>889</v>
      </c>
      <c r="G3685" t="s">
        <v>1086</v>
      </c>
      <c r="H3685" s="18">
        <v>1050</v>
      </c>
      <c r="I3685" s="3">
        <v>41873</v>
      </c>
      <c r="J3685"/>
      <c r="L3685"/>
      <c r="M3685"/>
      <c r="N3685" s="20"/>
      <c r="O3685"/>
      <c r="P3685" s="20"/>
      <c r="Q3685" s="20"/>
      <c r="R3685" s="20"/>
      <c r="S3685" s="20"/>
      <c r="T3685" s="20"/>
    </row>
    <row r="3686" spans="1:20" x14ac:dyDescent="0.25">
      <c r="A3686" s="3">
        <v>41873</v>
      </c>
      <c r="B3686" s="36">
        <v>276</v>
      </c>
      <c r="C3686" t="s">
        <v>4227</v>
      </c>
      <c r="D3686">
        <v>5.61</v>
      </c>
      <c r="E3686" s="18">
        <v>561</v>
      </c>
      <c r="F3686" t="s">
        <v>889</v>
      </c>
      <c r="G3686" t="s">
        <v>1086</v>
      </c>
      <c r="H3686" s="18">
        <v>561</v>
      </c>
      <c r="I3686" s="3">
        <v>41873</v>
      </c>
      <c r="J3686"/>
      <c r="L3686"/>
      <c r="M3686"/>
      <c r="N3686" s="20"/>
      <c r="O3686"/>
      <c r="P3686" s="20"/>
      <c r="Q3686" s="20"/>
      <c r="R3686" s="20"/>
      <c r="S3686" s="20"/>
      <c r="T3686" s="20"/>
    </row>
    <row r="3687" spans="1:20" x14ac:dyDescent="0.25">
      <c r="A3687" s="3">
        <v>41845</v>
      </c>
      <c r="B3687" s="36">
        <v>282</v>
      </c>
      <c r="C3687" t="s">
        <v>4228</v>
      </c>
      <c r="D3687">
        <v>11.22</v>
      </c>
      <c r="E3687" s="18">
        <v>1122</v>
      </c>
      <c r="G3687" t="s">
        <v>4229</v>
      </c>
      <c r="H3687" s="18">
        <v>1122</v>
      </c>
      <c r="I3687" s="3">
        <v>41845</v>
      </c>
      <c r="J3687"/>
      <c r="L3687"/>
      <c r="M3687"/>
      <c r="N3687" s="20"/>
      <c r="O3687" t="s">
        <v>1004</v>
      </c>
      <c r="P3687" s="20"/>
      <c r="Q3687" s="20"/>
      <c r="R3687" s="20"/>
      <c r="S3687" s="20"/>
      <c r="T3687" s="20"/>
    </row>
    <row r="3688" spans="1:20" x14ac:dyDescent="0.25">
      <c r="A3688" s="3">
        <v>41865</v>
      </c>
      <c r="B3688" s="36">
        <v>282</v>
      </c>
      <c r="C3688" t="s">
        <v>4230</v>
      </c>
      <c r="D3688">
        <v>8.75</v>
      </c>
      <c r="E3688" s="18">
        <v>875</v>
      </c>
      <c r="F3688" t="s">
        <v>889</v>
      </c>
      <c r="G3688" t="s">
        <v>4231</v>
      </c>
      <c r="H3688" s="18">
        <v>875</v>
      </c>
      <c r="I3688" s="3">
        <v>41865</v>
      </c>
      <c r="J3688"/>
      <c r="L3688"/>
      <c r="M3688"/>
      <c r="N3688" s="20"/>
      <c r="O3688" t="s">
        <v>931</v>
      </c>
      <c r="P3688" s="20"/>
      <c r="Q3688" s="20"/>
      <c r="R3688" s="20"/>
      <c r="S3688" s="20"/>
      <c r="T3688" s="20"/>
    </row>
    <row r="3689" spans="1:20" x14ac:dyDescent="0.25">
      <c r="A3689" s="3">
        <v>41865</v>
      </c>
      <c r="B3689" s="36">
        <v>282</v>
      </c>
      <c r="C3689" t="s">
        <v>4232</v>
      </c>
      <c r="D3689">
        <v>8.25</v>
      </c>
      <c r="E3689" s="18">
        <v>825</v>
      </c>
      <c r="F3689" t="s">
        <v>889</v>
      </c>
      <c r="G3689" t="s">
        <v>4233</v>
      </c>
      <c r="H3689" s="18">
        <v>825</v>
      </c>
      <c r="I3689" s="3">
        <v>41865</v>
      </c>
      <c r="J3689"/>
      <c r="L3689"/>
      <c r="M3689"/>
      <c r="N3689" s="20"/>
      <c r="O3689"/>
      <c r="P3689" s="20"/>
      <c r="Q3689" s="20"/>
      <c r="R3689" s="20"/>
      <c r="S3689" s="20"/>
      <c r="T3689" s="20"/>
    </row>
    <row r="3690" spans="1:20" x14ac:dyDescent="0.25">
      <c r="A3690" s="3">
        <v>41865</v>
      </c>
      <c r="B3690" s="36">
        <v>282</v>
      </c>
      <c r="C3690" t="s">
        <v>4228</v>
      </c>
      <c r="D3690">
        <v>11.22</v>
      </c>
      <c r="E3690" s="18">
        <v>-1122</v>
      </c>
      <c r="F3690" t="s">
        <v>889</v>
      </c>
      <c r="G3690" t="s">
        <v>4229</v>
      </c>
      <c r="H3690" s="18" t="s">
        <v>442</v>
      </c>
      <c r="I3690" s="3" t="s">
        <v>442</v>
      </c>
      <c r="J3690"/>
      <c r="L3690"/>
      <c r="M3690"/>
      <c r="N3690" s="20"/>
      <c r="O3690" t="s">
        <v>2392</v>
      </c>
      <c r="P3690" s="20"/>
      <c r="Q3690" s="20"/>
      <c r="R3690" s="20"/>
      <c r="S3690" s="20"/>
      <c r="T3690" s="20"/>
    </row>
    <row r="3691" spans="1:20" x14ac:dyDescent="0.25">
      <c r="A3691" s="3">
        <v>41865</v>
      </c>
      <c r="B3691" s="36">
        <v>282</v>
      </c>
      <c r="C3691" t="s">
        <v>4234</v>
      </c>
      <c r="D3691">
        <v>8.25</v>
      </c>
      <c r="E3691" s="18">
        <v>825</v>
      </c>
      <c r="F3691" t="s">
        <v>889</v>
      </c>
      <c r="G3691" t="s">
        <v>4235</v>
      </c>
      <c r="H3691" s="18">
        <v>825</v>
      </c>
      <c r="I3691" s="3">
        <v>41865</v>
      </c>
      <c r="J3691"/>
      <c r="L3691"/>
      <c r="M3691"/>
      <c r="N3691" s="20"/>
      <c r="O3691"/>
      <c r="P3691" s="20"/>
      <c r="Q3691" s="20"/>
      <c r="R3691" s="20"/>
      <c r="S3691" s="20"/>
      <c r="T3691" s="20"/>
    </row>
    <row r="3692" spans="1:20" x14ac:dyDescent="0.25">
      <c r="A3692" s="3">
        <v>41873</v>
      </c>
      <c r="B3692" s="36">
        <v>282</v>
      </c>
      <c r="C3692" t="s">
        <v>4232</v>
      </c>
      <c r="D3692">
        <v>8.25</v>
      </c>
      <c r="E3692" s="18">
        <v>-825</v>
      </c>
      <c r="F3692" t="s">
        <v>889</v>
      </c>
      <c r="G3692" t="s">
        <v>4233</v>
      </c>
      <c r="H3692" s="18" t="s">
        <v>442</v>
      </c>
      <c r="I3692" s="3" t="s">
        <v>442</v>
      </c>
      <c r="J3692"/>
      <c r="L3692"/>
      <c r="M3692"/>
      <c r="N3692" s="20"/>
      <c r="O3692"/>
      <c r="P3692" s="20"/>
      <c r="Q3692" s="20"/>
      <c r="R3692" s="20"/>
      <c r="S3692" s="20"/>
      <c r="T3692" s="20"/>
    </row>
    <row r="3693" spans="1:20" x14ac:dyDescent="0.25">
      <c r="A3693" s="3">
        <v>41873</v>
      </c>
      <c r="B3693" s="36">
        <v>282</v>
      </c>
      <c r="C3693" t="s">
        <v>4236</v>
      </c>
      <c r="D3693">
        <v>8.5</v>
      </c>
      <c r="E3693" s="18">
        <v>850</v>
      </c>
      <c r="F3693" t="s">
        <v>889</v>
      </c>
      <c r="G3693" t="s">
        <v>4237</v>
      </c>
      <c r="H3693" s="18">
        <v>850</v>
      </c>
      <c r="I3693" s="3">
        <v>41873</v>
      </c>
      <c r="J3693"/>
      <c r="L3693"/>
      <c r="M3693"/>
      <c r="N3693" s="20"/>
      <c r="O3693"/>
      <c r="P3693" s="20"/>
      <c r="Q3693" s="20"/>
      <c r="R3693" s="20"/>
      <c r="S3693" s="20"/>
      <c r="T3693" s="20"/>
    </row>
    <row r="3694" spans="1:20" x14ac:dyDescent="0.25">
      <c r="A3694" s="3">
        <v>41891</v>
      </c>
      <c r="B3694" s="36">
        <v>282</v>
      </c>
      <c r="C3694" t="s">
        <v>4238</v>
      </c>
      <c r="D3694">
        <v>9.75</v>
      </c>
      <c r="E3694" s="18">
        <v>975</v>
      </c>
      <c r="G3694" t="s">
        <v>4239</v>
      </c>
      <c r="H3694" s="18">
        <v>975</v>
      </c>
      <c r="I3694" s="3">
        <v>41891</v>
      </c>
      <c r="J3694"/>
      <c r="L3694"/>
      <c r="M3694"/>
      <c r="N3694" s="20"/>
      <c r="O3694"/>
      <c r="P3694" s="20"/>
      <c r="Q3694" s="20"/>
      <c r="R3694" s="20"/>
      <c r="S3694" s="20"/>
      <c r="T3694" s="20"/>
    </row>
    <row r="3695" spans="1:20" x14ac:dyDescent="0.25">
      <c r="A3695" s="3">
        <v>41894</v>
      </c>
      <c r="B3695" s="36">
        <v>282</v>
      </c>
      <c r="C3695" t="s">
        <v>4240</v>
      </c>
      <c r="D3695">
        <v>12</v>
      </c>
      <c r="E3695" s="18">
        <v>1200</v>
      </c>
      <c r="F3695" t="s">
        <v>889</v>
      </c>
      <c r="G3695" t="s">
        <v>4241</v>
      </c>
      <c r="H3695" s="18">
        <v>1200</v>
      </c>
      <c r="I3695" s="3">
        <v>41894</v>
      </c>
      <c r="J3695"/>
      <c r="L3695"/>
      <c r="M3695"/>
      <c r="N3695" s="20"/>
      <c r="O3695"/>
      <c r="P3695" s="20"/>
      <c r="Q3695" s="20"/>
      <c r="R3695" s="20"/>
      <c r="S3695" s="20"/>
      <c r="T3695" s="20"/>
    </row>
    <row r="3696" spans="1:20" x14ac:dyDescent="0.25">
      <c r="A3696" s="3">
        <v>41894</v>
      </c>
      <c r="B3696" s="36">
        <v>282</v>
      </c>
      <c r="C3696" t="s">
        <v>4242</v>
      </c>
      <c r="D3696">
        <v>12.25</v>
      </c>
      <c r="E3696" s="18">
        <v>1225</v>
      </c>
      <c r="F3696" t="s">
        <v>889</v>
      </c>
      <c r="G3696" t="s">
        <v>4243</v>
      </c>
      <c r="H3696" s="18">
        <v>1225</v>
      </c>
      <c r="I3696" s="3">
        <v>41894</v>
      </c>
      <c r="J3696"/>
      <c r="L3696"/>
      <c r="M3696"/>
      <c r="N3696" s="20"/>
      <c r="O3696"/>
      <c r="P3696" s="20"/>
      <c r="Q3696" s="20"/>
      <c r="R3696" s="20"/>
      <c r="S3696" s="20"/>
      <c r="T3696" s="20"/>
    </row>
    <row r="3697" spans="1:20" x14ac:dyDescent="0.25">
      <c r="A3697" s="3">
        <v>41901</v>
      </c>
      <c r="B3697" s="36">
        <v>282</v>
      </c>
      <c r="C3697" t="s">
        <v>4244</v>
      </c>
      <c r="D3697">
        <v>12</v>
      </c>
      <c r="E3697" s="18">
        <v>1200</v>
      </c>
      <c r="F3697" t="s">
        <v>889</v>
      </c>
      <c r="G3697" t="s">
        <v>4245</v>
      </c>
      <c r="H3697" s="18">
        <v>1200</v>
      </c>
      <c r="I3697" s="3">
        <v>41901</v>
      </c>
      <c r="J3697"/>
      <c r="L3697"/>
      <c r="M3697"/>
      <c r="N3697" s="20"/>
      <c r="O3697"/>
      <c r="P3697" s="20"/>
      <c r="Q3697" s="20"/>
      <c r="R3697" s="20"/>
      <c r="S3697" s="20"/>
      <c r="T3697" s="20"/>
    </row>
    <row r="3698" spans="1:20" x14ac:dyDescent="0.25">
      <c r="A3698" s="3">
        <v>41918</v>
      </c>
      <c r="B3698" s="36">
        <v>282</v>
      </c>
      <c r="C3698" t="s">
        <v>4240</v>
      </c>
      <c r="D3698">
        <v>12</v>
      </c>
      <c r="E3698" s="18">
        <v>-1200</v>
      </c>
      <c r="F3698" t="s">
        <v>889</v>
      </c>
      <c r="G3698" t="s">
        <v>4241</v>
      </c>
      <c r="H3698" s="18" t="s">
        <v>442</v>
      </c>
      <c r="I3698" s="3" t="s">
        <v>442</v>
      </c>
      <c r="J3698"/>
      <c r="L3698"/>
      <c r="M3698"/>
      <c r="N3698" s="20"/>
      <c r="O3698"/>
      <c r="P3698" s="20"/>
      <c r="Q3698" s="20"/>
      <c r="R3698" s="20"/>
      <c r="S3698" s="20"/>
      <c r="T3698" s="20"/>
    </row>
    <row r="3699" spans="1:20" x14ac:dyDescent="0.25">
      <c r="A3699" s="3">
        <v>41918</v>
      </c>
      <c r="B3699" s="36">
        <v>282</v>
      </c>
      <c r="C3699" t="s">
        <v>4246</v>
      </c>
      <c r="D3699">
        <v>6</v>
      </c>
      <c r="E3699" s="18">
        <v>600</v>
      </c>
      <c r="F3699" t="s">
        <v>889</v>
      </c>
      <c r="G3699" t="s">
        <v>4247</v>
      </c>
      <c r="H3699" s="18">
        <v>600</v>
      </c>
      <c r="I3699" s="3">
        <v>41918</v>
      </c>
      <c r="J3699"/>
      <c r="L3699"/>
      <c r="M3699"/>
      <c r="N3699" s="20"/>
      <c r="O3699"/>
      <c r="P3699" s="20"/>
      <c r="Q3699" s="20"/>
      <c r="R3699" s="20"/>
      <c r="S3699" s="20"/>
      <c r="T3699" s="20"/>
    </row>
    <row r="3700" spans="1:20" x14ac:dyDescent="0.25">
      <c r="A3700" s="3">
        <v>41918</v>
      </c>
      <c r="B3700" s="36">
        <v>282</v>
      </c>
      <c r="C3700" t="s">
        <v>4248</v>
      </c>
      <c r="D3700">
        <v>9</v>
      </c>
      <c r="E3700" s="18">
        <v>900</v>
      </c>
      <c r="F3700" t="s">
        <v>889</v>
      </c>
      <c r="G3700" t="s">
        <v>4249</v>
      </c>
      <c r="H3700" s="18">
        <v>900</v>
      </c>
      <c r="I3700" s="3">
        <v>41918</v>
      </c>
      <c r="J3700"/>
      <c r="L3700"/>
      <c r="M3700"/>
      <c r="N3700" s="20"/>
      <c r="O3700"/>
      <c r="P3700" s="20"/>
      <c r="Q3700" s="20"/>
      <c r="R3700" s="20"/>
      <c r="S3700" s="20"/>
      <c r="T3700" s="20"/>
    </row>
    <row r="3701" spans="1:20" x14ac:dyDescent="0.25">
      <c r="A3701" s="3">
        <v>41929</v>
      </c>
      <c r="B3701" s="36">
        <v>282</v>
      </c>
      <c r="C3701" t="s">
        <v>4250</v>
      </c>
      <c r="D3701">
        <v>5</v>
      </c>
      <c r="E3701" s="18">
        <v>525</v>
      </c>
      <c r="F3701" t="s">
        <v>889</v>
      </c>
      <c r="G3701" t="s">
        <v>4251</v>
      </c>
      <c r="H3701" s="18">
        <v>525</v>
      </c>
      <c r="I3701" s="3">
        <v>41929</v>
      </c>
      <c r="J3701"/>
      <c r="L3701"/>
      <c r="M3701"/>
      <c r="N3701" s="20"/>
      <c r="O3701"/>
      <c r="P3701" s="20"/>
      <c r="Q3701" s="20"/>
      <c r="R3701" s="20"/>
      <c r="S3701" s="20"/>
      <c r="T3701" s="20"/>
    </row>
    <row r="3702" spans="1:20" x14ac:dyDescent="0.25">
      <c r="A3702" s="3">
        <v>41929</v>
      </c>
      <c r="B3702" s="36">
        <v>282</v>
      </c>
      <c r="C3702" t="s">
        <v>4252</v>
      </c>
      <c r="D3702">
        <v>6.5</v>
      </c>
      <c r="E3702" s="18">
        <v>650</v>
      </c>
      <c r="F3702" t="s">
        <v>889</v>
      </c>
      <c r="G3702" t="s">
        <v>4253</v>
      </c>
      <c r="H3702" s="18">
        <v>650</v>
      </c>
      <c r="I3702" s="3">
        <v>41929</v>
      </c>
      <c r="J3702"/>
      <c r="L3702"/>
      <c r="M3702"/>
      <c r="N3702" s="20"/>
      <c r="O3702"/>
      <c r="P3702" s="20"/>
      <c r="Q3702" s="20"/>
      <c r="R3702" s="20"/>
      <c r="S3702" s="20"/>
      <c r="T3702" s="20"/>
    </row>
    <row r="3703" spans="1:20" x14ac:dyDescent="0.25">
      <c r="A3703" s="3">
        <v>41943</v>
      </c>
      <c r="B3703" s="36">
        <v>282</v>
      </c>
      <c r="C3703" t="s">
        <v>4254</v>
      </c>
      <c r="D3703">
        <v>15</v>
      </c>
      <c r="E3703" s="18">
        <v>1500</v>
      </c>
      <c r="F3703" t="s">
        <v>889</v>
      </c>
      <c r="G3703" t="s">
        <v>4255</v>
      </c>
      <c r="H3703" s="18">
        <v>1500</v>
      </c>
      <c r="I3703" s="3">
        <v>41943</v>
      </c>
      <c r="J3703"/>
      <c r="L3703"/>
      <c r="M3703"/>
      <c r="N3703" s="20"/>
      <c r="O3703"/>
      <c r="P3703" s="20"/>
      <c r="Q3703" s="20"/>
      <c r="R3703" s="20"/>
      <c r="S3703" s="20"/>
      <c r="T3703" s="20"/>
    </row>
    <row r="3704" spans="1:20" x14ac:dyDescent="0.25">
      <c r="A3704" s="3">
        <v>41943</v>
      </c>
      <c r="B3704" s="36">
        <v>282</v>
      </c>
      <c r="C3704" t="s">
        <v>4256</v>
      </c>
      <c r="D3704">
        <v>9</v>
      </c>
      <c r="E3704" s="18">
        <v>900</v>
      </c>
      <c r="F3704" t="s">
        <v>889</v>
      </c>
      <c r="G3704" t="s">
        <v>4257</v>
      </c>
      <c r="H3704" s="18">
        <v>900</v>
      </c>
      <c r="I3704" s="3">
        <v>41943</v>
      </c>
      <c r="J3704"/>
      <c r="L3704"/>
      <c r="M3704"/>
      <c r="N3704" s="20"/>
      <c r="O3704"/>
      <c r="P3704" s="20"/>
      <c r="Q3704" s="20"/>
      <c r="R3704" s="20"/>
      <c r="S3704" s="20"/>
      <c r="T3704" s="20"/>
    </row>
    <row r="3705" spans="1:20" x14ac:dyDescent="0.25">
      <c r="A3705" s="3">
        <v>41957</v>
      </c>
      <c r="B3705" s="36">
        <v>282</v>
      </c>
      <c r="C3705" t="s">
        <v>4258</v>
      </c>
      <c r="D3705">
        <v>9</v>
      </c>
      <c r="E3705" s="18">
        <v>900</v>
      </c>
      <c r="F3705" t="s">
        <v>889</v>
      </c>
      <c r="G3705" t="s">
        <v>4259</v>
      </c>
      <c r="H3705" s="18">
        <v>900</v>
      </c>
      <c r="I3705" s="3">
        <v>41957</v>
      </c>
      <c r="J3705"/>
      <c r="L3705"/>
      <c r="M3705"/>
      <c r="N3705" s="20"/>
      <c r="O3705"/>
      <c r="P3705" s="20"/>
      <c r="Q3705" s="20"/>
      <c r="R3705" s="20"/>
      <c r="S3705" s="20"/>
      <c r="T3705" s="20"/>
    </row>
    <row r="3706" spans="1:20" x14ac:dyDescent="0.25">
      <c r="A3706" s="3">
        <v>41957</v>
      </c>
      <c r="B3706" s="36">
        <v>282</v>
      </c>
      <c r="C3706" t="s">
        <v>4250</v>
      </c>
      <c r="D3706">
        <v>5.25</v>
      </c>
      <c r="E3706" s="18">
        <v>-525</v>
      </c>
      <c r="F3706" t="s">
        <v>889</v>
      </c>
      <c r="G3706" t="s">
        <v>4251</v>
      </c>
      <c r="H3706" s="18" t="s">
        <v>442</v>
      </c>
      <c r="I3706" s="3" t="s">
        <v>442</v>
      </c>
      <c r="J3706"/>
      <c r="L3706"/>
      <c r="M3706"/>
      <c r="N3706" s="20"/>
      <c r="O3706"/>
      <c r="P3706" s="20"/>
      <c r="Q3706" s="20"/>
      <c r="R3706" s="20"/>
      <c r="S3706" s="20"/>
      <c r="T3706" s="20"/>
    </row>
    <row r="3707" spans="1:20" x14ac:dyDescent="0.25">
      <c r="A3707" s="3">
        <v>41964</v>
      </c>
      <c r="B3707" s="36">
        <v>282</v>
      </c>
      <c r="C3707" t="s">
        <v>4260</v>
      </c>
      <c r="D3707">
        <v>9.5</v>
      </c>
      <c r="E3707" s="18">
        <v>950</v>
      </c>
      <c r="F3707" t="s">
        <v>889</v>
      </c>
      <c r="G3707" t="s">
        <v>4261</v>
      </c>
      <c r="H3707" s="18">
        <v>950</v>
      </c>
      <c r="I3707" s="3">
        <v>41964</v>
      </c>
      <c r="J3707"/>
      <c r="L3707"/>
      <c r="M3707"/>
      <c r="N3707" s="20"/>
      <c r="O3707"/>
      <c r="P3707" s="20"/>
      <c r="Q3707" s="20"/>
      <c r="R3707" s="20"/>
      <c r="S3707" s="20"/>
      <c r="T3707" s="20"/>
    </row>
    <row r="3708" spans="1:20" x14ac:dyDescent="0.25">
      <c r="A3708" s="3">
        <v>41964</v>
      </c>
      <c r="B3708" s="36">
        <v>282</v>
      </c>
      <c r="C3708" t="s">
        <v>4256</v>
      </c>
      <c r="D3708">
        <v>16.25</v>
      </c>
      <c r="E3708" s="18">
        <v>-900</v>
      </c>
      <c r="F3708" t="s">
        <v>889</v>
      </c>
      <c r="G3708" t="s">
        <v>4257</v>
      </c>
      <c r="H3708" s="18" t="s">
        <v>442</v>
      </c>
      <c r="I3708" s="3" t="s">
        <v>442</v>
      </c>
      <c r="J3708"/>
      <c r="L3708"/>
      <c r="M3708"/>
      <c r="N3708" s="20"/>
      <c r="O3708"/>
      <c r="P3708" s="20"/>
      <c r="Q3708" s="20"/>
      <c r="R3708" s="20"/>
      <c r="S3708" s="20"/>
      <c r="T3708" s="20"/>
    </row>
    <row r="3709" spans="1:20" x14ac:dyDescent="0.25">
      <c r="A3709" s="3">
        <v>41964</v>
      </c>
      <c r="B3709" s="36">
        <v>282</v>
      </c>
      <c r="C3709" t="s">
        <v>4262</v>
      </c>
      <c r="D3709">
        <v>11.75</v>
      </c>
      <c r="E3709" s="18">
        <v>1175</v>
      </c>
      <c r="F3709" t="s">
        <v>889</v>
      </c>
      <c r="G3709" t="s">
        <v>4263</v>
      </c>
      <c r="H3709" s="18">
        <v>1175</v>
      </c>
      <c r="I3709" s="3">
        <v>41964</v>
      </c>
      <c r="J3709"/>
      <c r="L3709"/>
      <c r="M3709"/>
      <c r="N3709" s="20"/>
      <c r="O3709"/>
      <c r="P3709" s="20"/>
      <c r="Q3709" s="20"/>
      <c r="R3709" s="20"/>
      <c r="S3709" s="20"/>
      <c r="T3709" s="20"/>
    </row>
    <row r="3710" spans="1:20" x14ac:dyDescent="0.25">
      <c r="A3710" s="3">
        <v>41985</v>
      </c>
      <c r="B3710" s="36">
        <v>282</v>
      </c>
      <c r="C3710" t="s">
        <v>4230</v>
      </c>
      <c r="D3710">
        <v>8.9250000000000007</v>
      </c>
      <c r="E3710" s="18">
        <v>910.00000000000023</v>
      </c>
      <c r="F3710" t="s">
        <v>889</v>
      </c>
      <c r="G3710" t="s">
        <v>4231</v>
      </c>
      <c r="H3710" s="18">
        <v>910.00000000000023</v>
      </c>
      <c r="I3710" s="3">
        <v>41985</v>
      </c>
      <c r="J3710"/>
      <c r="L3710"/>
      <c r="M3710"/>
      <c r="N3710" s="20"/>
      <c r="O3710" t="s">
        <v>959</v>
      </c>
      <c r="P3710" s="20"/>
      <c r="Q3710" s="20"/>
      <c r="R3710" s="20"/>
      <c r="S3710" s="20"/>
      <c r="T3710" s="20"/>
    </row>
    <row r="3711" spans="1:20" x14ac:dyDescent="0.25">
      <c r="A3711" s="3">
        <v>41985</v>
      </c>
      <c r="B3711" s="36">
        <v>282</v>
      </c>
      <c r="C3711" t="s">
        <v>4236</v>
      </c>
      <c r="D3711">
        <v>8.5</v>
      </c>
      <c r="E3711" s="18">
        <v>850</v>
      </c>
      <c r="F3711" t="s">
        <v>889</v>
      </c>
      <c r="G3711" t="s">
        <v>4237</v>
      </c>
      <c r="H3711" s="18">
        <v>850</v>
      </c>
      <c r="I3711" s="3">
        <v>41985</v>
      </c>
      <c r="J3711"/>
      <c r="L3711"/>
      <c r="M3711"/>
      <c r="N3711" s="20"/>
      <c r="O3711" t="s">
        <v>959</v>
      </c>
      <c r="P3711" s="20"/>
      <c r="Q3711" s="20"/>
      <c r="R3711" s="20"/>
      <c r="S3711" s="20"/>
      <c r="T3711" s="20"/>
    </row>
    <row r="3712" spans="1:20" x14ac:dyDescent="0.25">
      <c r="A3712" s="3">
        <v>41985</v>
      </c>
      <c r="B3712" s="36">
        <v>282</v>
      </c>
      <c r="C3712" t="s">
        <v>4234</v>
      </c>
      <c r="D3712">
        <v>8.25</v>
      </c>
      <c r="E3712" s="18">
        <v>825</v>
      </c>
      <c r="F3712" t="s">
        <v>889</v>
      </c>
      <c r="G3712" t="s">
        <v>4235</v>
      </c>
      <c r="H3712" s="18">
        <v>825</v>
      </c>
      <c r="I3712" s="3">
        <v>41985</v>
      </c>
      <c r="J3712"/>
      <c r="L3712"/>
      <c r="M3712"/>
      <c r="N3712" s="20"/>
      <c r="O3712" t="s">
        <v>959</v>
      </c>
      <c r="P3712" s="20"/>
      <c r="Q3712" s="20"/>
      <c r="R3712" s="20"/>
      <c r="S3712" s="20"/>
      <c r="T3712" s="20"/>
    </row>
    <row r="3713" spans="1:20" x14ac:dyDescent="0.25">
      <c r="A3713" s="3">
        <v>42004</v>
      </c>
      <c r="B3713" s="36">
        <v>282</v>
      </c>
      <c r="C3713" t="s">
        <v>4244</v>
      </c>
      <c r="D3713">
        <v>12</v>
      </c>
      <c r="E3713" s="18">
        <v>400</v>
      </c>
      <c r="F3713" t="s">
        <v>889</v>
      </c>
      <c r="G3713" t="s">
        <v>4245</v>
      </c>
      <c r="H3713" s="18">
        <v>400</v>
      </c>
      <c r="I3713" s="3">
        <v>42004</v>
      </c>
      <c r="J3713"/>
      <c r="L3713"/>
      <c r="M3713"/>
      <c r="N3713" s="20"/>
      <c r="O3713"/>
      <c r="P3713" s="20"/>
      <c r="Q3713" s="20"/>
      <c r="R3713" s="20"/>
      <c r="S3713" s="20"/>
      <c r="T3713" s="20"/>
    </row>
    <row r="3714" spans="1:20" x14ac:dyDescent="0.25">
      <c r="A3714" s="3">
        <v>42004</v>
      </c>
      <c r="B3714" s="36">
        <v>282</v>
      </c>
      <c r="C3714" t="s">
        <v>4246</v>
      </c>
      <c r="D3714">
        <v>6</v>
      </c>
      <c r="E3714" s="18">
        <v>200</v>
      </c>
      <c r="F3714" t="s">
        <v>889</v>
      </c>
      <c r="G3714" t="s">
        <v>4247</v>
      </c>
      <c r="H3714" s="18">
        <v>200</v>
      </c>
      <c r="I3714" s="3">
        <v>42004</v>
      </c>
      <c r="J3714"/>
      <c r="L3714"/>
      <c r="M3714"/>
      <c r="N3714" s="20"/>
      <c r="O3714"/>
      <c r="P3714" s="20"/>
      <c r="Q3714" s="20"/>
      <c r="R3714" s="20"/>
      <c r="S3714" s="20"/>
      <c r="T3714" s="20"/>
    </row>
    <row r="3715" spans="1:20" x14ac:dyDescent="0.25">
      <c r="A3715" s="3">
        <v>42004</v>
      </c>
      <c r="B3715" s="36">
        <v>282</v>
      </c>
      <c r="C3715" t="s">
        <v>4262</v>
      </c>
      <c r="D3715">
        <v>11.75</v>
      </c>
      <c r="E3715" s="18">
        <v>391.66666666666669</v>
      </c>
      <c r="F3715" t="s">
        <v>889</v>
      </c>
      <c r="G3715" t="s">
        <v>4263</v>
      </c>
      <c r="H3715" s="18">
        <v>391.66666666666669</v>
      </c>
      <c r="I3715" s="3">
        <v>42004</v>
      </c>
      <c r="J3715"/>
      <c r="L3715"/>
      <c r="M3715"/>
      <c r="N3715" s="20"/>
      <c r="O3715"/>
      <c r="P3715" s="20"/>
      <c r="Q3715" s="20"/>
      <c r="R3715" s="20"/>
      <c r="S3715" s="20"/>
      <c r="T3715" s="20"/>
    </row>
    <row r="3716" spans="1:20" x14ac:dyDescent="0.25">
      <c r="A3716" s="3">
        <v>42004</v>
      </c>
      <c r="B3716" s="36">
        <v>282</v>
      </c>
      <c r="C3716" t="s">
        <v>4238</v>
      </c>
      <c r="D3716">
        <v>9.75</v>
      </c>
      <c r="E3716" s="18">
        <v>325</v>
      </c>
      <c r="F3716" t="s">
        <v>889</v>
      </c>
      <c r="G3716" t="s">
        <v>4239</v>
      </c>
      <c r="H3716" s="18">
        <v>325</v>
      </c>
      <c r="I3716" s="3">
        <v>42004</v>
      </c>
      <c r="J3716"/>
      <c r="L3716"/>
      <c r="M3716"/>
      <c r="N3716" s="20"/>
      <c r="O3716"/>
      <c r="P3716" s="20"/>
      <c r="Q3716" s="20"/>
      <c r="R3716" s="20"/>
      <c r="S3716" s="20"/>
      <c r="T3716" s="20"/>
    </row>
    <row r="3717" spans="1:20" x14ac:dyDescent="0.25">
      <c r="A3717" s="3">
        <v>42004</v>
      </c>
      <c r="B3717" s="36">
        <v>282</v>
      </c>
      <c r="C3717" t="s">
        <v>4252</v>
      </c>
      <c r="D3717">
        <v>6.5</v>
      </c>
      <c r="E3717" s="18">
        <v>216.66666666666666</v>
      </c>
      <c r="F3717" t="s">
        <v>889</v>
      </c>
      <c r="G3717" t="s">
        <v>4253</v>
      </c>
      <c r="H3717" s="18">
        <v>216.66666666666666</v>
      </c>
      <c r="I3717" s="3">
        <v>42004</v>
      </c>
      <c r="J3717"/>
      <c r="L3717"/>
      <c r="M3717"/>
      <c r="N3717" s="20"/>
      <c r="O3717"/>
      <c r="P3717" s="20"/>
      <c r="Q3717" s="20"/>
      <c r="R3717" s="20"/>
      <c r="S3717" s="20"/>
      <c r="T3717" s="20"/>
    </row>
    <row r="3718" spans="1:20" x14ac:dyDescent="0.25">
      <c r="A3718" s="3">
        <v>42013</v>
      </c>
      <c r="B3718" s="36">
        <v>282</v>
      </c>
      <c r="C3718" t="s">
        <v>668</v>
      </c>
      <c r="D3718">
        <v>13</v>
      </c>
      <c r="E3718" s="18">
        <v>250</v>
      </c>
      <c r="F3718" t="s">
        <v>889</v>
      </c>
      <c r="G3718" t="s">
        <v>669</v>
      </c>
      <c r="H3718" s="18">
        <v>250</v>
      </c>
      <c r="I3718" s="3">
        <v>42013</v>
      </c>
      <c r="J3718"/>
      <c r="L3718"/>
      <c r="M3718"/>
      <c r="N3718" s="20"/>
      <c r="O3718"/>
      <c r="P3718" s="20"/>
      <c r="Q3718" s="20"/>
      <c r="R3718" s="20"/>
      <c r="S3718" s="20"/>
      <c r="T3718" s="20"/>
    </row>
    <row r="3719" spans="1:20" x14ac:dyDescent="0.25">
      <c r="A3719" s="3">
        <v>42013</v>
      </c>
      <c r="B3719" s="36">
        <v>282</v>
      </c>
      <c r="C3719" t="s">
        <v>4242</v>
      </c>
      <c r="D3719">
        <v>12.25</v>
      </c>
      <c r="E3719" s="18">
        <v>1225</v>
      </c>
      <c r="F3719" t="s">
        <v>889</v>
      </c>
      <c r="G3719" t="s">
        <v>4243</v>
      </c>
      <c r="H3719" s="18">
        <v>1225</v>
      </c>
      <c r="I3719" s="3">
        <v>42013</v>
      </c>
      <c r="J3719"/>
      <c r="L3719"/>
      <c r="M3719"/>
      <c r="N3719" s="20"/>
      <c r="O3719"/>
      <c r="P3719" s="20"/>
      <c r="Q3719" s="20"/>
      <c r="R3719" s="20"/>
      <c r="S3719" s="20"/>
      <c r="T3719" s="20"/>
    </row>
    <row r="3720" spans="1:20" x14ac:dyDescent="0.25">
      <c r="A3720" s="3">
        <v>42019</v>
      </c>
      <c r="B3720" s="36">
        <v>282</v>
      </c>
      <c r="C3720" t="s">
        <v>668</v>
      </c>
      <c r="D3720" s="55">
        <v>12.5</v>
      </c>
      <c r="E3720" s="18">
        <v>625</v>
      </c>
      <c r="F3720" t="s">
        <v>889</v>
      </c>
      <c r="G3720" t="s">
        <v>669</v>
      </c>
      <c r="H3720" s="18">
        <v>625</v>
      </c>
      <c r="I3720" s="3">
        <v>42019</v>
      </c>
      <c r="J3720"/>
      <c r="L3720"/>
      <c r="M3720"/>
      <c r="N3720" s="20"/>
      <c r="O3720"/>
      <c r="P3720" s="20"/>
      <c r="Q3720" s="20"/>
      <c r="R3720" s="20"/>
      <c r="S3720" s="20"/>
      <c r="T3720" s="20"/>
    </row>
    <row r="3721" spans="1:20" x14ac:dyDescent="0.25">
      <c r="A3721" s="3">
        <v>42019</v>
      </c>
      <c r="B3721" s="36">
        <v>282</v>
      </c>
      <c r="C3721" t="s">
        <v>522</v>
      </c>
      <c r="D3721" s="55">
        <v>10.5</v>
      </c>
      <c r="E3721" s="18">
        <v>525</v>
      </c>
      <c r="F3721" t="s">
        <v>889</v>
      </c>
      <c r="G3721" t="s">
        <v>523</v>
      </c>
      <c r="H3721" s="18">
        <v>525</v>
      </c>
      <c r="I3721" s="3">
        <v>42019</v>
      </c>
      <c r="J3721"/>
      <c r="L3721"/>
      <c r="M3721"/>
      <c r="N3721" s="20"/>
      <c r="O3721"/>
      <c r="P3721" s="20"/>
      <c r="Q3721" s="20"/>
      <c r="R3721" s="20"/>
      <c r="S3721" s="20"/>
      <c r="T3721" s="20"/>
    </row>
    <row r="3722" spans="1:20" x14ac:dyDescent="0.25">
      <c r="A3722" s="3">
        <v>42027</v>
      </c>
      <c r="B3722" s="36">
        <v>282</v>
      </c>
      <c r="C3722" t="s">
        <v>668</v>
      </c>
      <c r="D3722" s="55">
        <v>12.5</v>
      </c>
      <c r="E3722" s="18">
        <v>1625</v>
      </c>
      <c r="F3722" t="s">
        <v>889</v>
      </c>
      <c r="G3722" t="s">
        <v>669</v>
      </c>
      <c r="H3722" s="18">
        <v>1625</v>
      </c>
      <c r="I3722" s="3">
        <v>42027</v>
      </c>
      <c r="J3722"/>
      <c r="L3722"/>
      <c r="M3722"/>
      <c r="N3722" s="20"/>
      <c r="O3722"/>
      <c r="P3722" s="20"/>
      <c r="Q3722" s="20"/>
      <c r="R3722" s="20"/>
      <c r="S3722" s="20"/>
      <c r="T3722" s="20"/>
    </row>
    <row r="3723" spans="1:20" x14ac:dyDescent="0.25">
      <c r="A3723" s="3">
        <v>42041</v>
      </c>
      <c r="B3723">
        <v>282</v>
      </c>
      <c r="C3723" t="s">
        <v>4244</v>
      </c>
      <c r="E3723" s="18">
        <v>400</v>
      </c>
      <c r="F3723" t="s">
        <v>889</v>
      </c>
      <c r="G3723" t="s">
        <v>4245</v>
      </c>
      <c r="I3723"/>
      <c r="J3723"/>
      <c r="L3723"/>
      <c r="M3723"/>
      <c r="O3723"/>
      <c r="P3723" s="20"/>
      <c r="Q3723" s="20"/>
      <c r="R3723" s="20"/>
      <c r="S3723" s="20"/>
      <c r="T3723" s="20"/>
    </row>
    <row r="3724" spans="1:20" x14ac:dyDescent="0.25">
      <c r="A3724" s="3">
        <v>42041</v>
      </c>
      <c r="B3724">
        <v>282</v>
      </c>
      <c r="C3724" t="s">
        <v>522</v>
      </c>
      <c r="D3724">
        <v>10.5</v>
      </c>
      <c r="E3724" s="18">
        <v>250</v>
      </c>
      <c r="F3724" t="s">
        <v>889</v>
      </c>
      <c r="G3724" t="s">
        <v>523</v>
      </c>
      <c r="I3724"/>
      <c r="J3724"/>
      <c r="L3724"/>
      <c r="M3724"/>
      <c r="O3724"/>
      <c r="P3724" s="20"/>
      <c r="Q3724" s="20"/>
      <c r="R3724" s="20"/>
      <c r="S3724" s="20"/>
      <c r="T3724" s="20"/>
    </row>
    <row r="3725" spans="1:20" x14ac:dyDescent="0.25">
      <c r="A3725" s="3">
        <v>42041</v>
      </c>
      <c r="B3725">
        <v>282</v>
      </c>
      <c r="C3725" t="s">
        <v>4246</v>
      </c>
      <c r="E3725" s="18">
        <v>200</v>
      </c>
      <c r="F3725" t="s">
        <v>889</v>
      </c>
      <c r="G3725" t="s">
        <v>4247</v>
      </c>
      <c r="I3725"/>
      <c r="J3725"/>
      <c r="L3725"/>
      <c r="M3725"/>
      <c r="O3725"/>
      <c r="P3725" s="20"/>
      <c r="Q3725" s="20"/>
      <c r="R3725" s="20"/>
      <c r="S3725" s="20"/>
      <c r="T3725" s="20"/>
    </row>
    <row r="3726" spans="1:20" x14ac:dyDescent="0.25">
      <c r="A3726" s="3">
        <v>42041</v>
      </c>
      <c r="B3726">
        <v>282</v>
      </c>
      <c r="C3726" t="s">
        <v>4262</v>
      </c>
      <c r="E3726" s="18">
        <v>391.66666666666669</v>
      </c>
      <c r="F3726" t="s">
        <v>889</v>
      </c>
      <c r="G3726" t="s">
        <v>4263</v>
      </c>
      <c r="I3726"/>
      <c r="J3726"/>
      <c r="L3726"/>
      <c r="M3726"/>
      <c r="O3726"/>
      <c r="P3726" s="20"/>
      <c r="Q3726" s="20"/>
      <c r="R3726" s="20"/>
      <c r="S3726" s="20"/>
      <c r="T3726" s="20"/>
    </row>
    <row r="3727" spans="1:20" x14ac:dyDescent="0.25">
      <c r="A3727" s="3">
        <v>42041</v>
      </c>
      <c r="B3727">
        <v>282</v>
      </c>
      <c r="C3727" t="s">
        <v>4238</v>
      </c>
      <c r="E3727" s="18">
        <v>325</v>
      </c>
      <c r="F3727" t="s">
        <v>889</v>
      </c>
      <c r="G3727" t="s">
        <v>4239</v>
      </c>
      <c r="I3727"/>
      <c r="J3727"/>
      <c r="L3727"/>
      <c r="M3727"/>
      <c r="O3727"/>
      <c r="P3727" s="20"/>
      <c r="Q3727" s="20"/>
      <c r="R3727" s="20"/>
      <c r="S3727" s="20"/>
      <c r="T3727" s="20"/>
    </row>
    <row r="3728" spans="1:20" x14ac:dyDescent="0.25">
      <c r="A3728" s="3">
        <v>42041</v>
      </c>
      <c r="B3728">
        <v>282</v>
      </c>
      <c r="C3728" t="s">
        <v>4252</v>
      </c>
      <c r="E3728" s="18">
        <v>216.66666666666666</v>
      </c>
      <c r="F3728" t="s">
        <v>889</v>
      </c>
      <c r="G3728" t="s">
        <v>4253</v>
      </c>
      <c r="I3728"/>
      <c r="J3728"/>
      <c r="L3728"/>
      <c r="M3728"/>
      <c r="O3728"/>
      <c r="P3728" s="20"/>
      <c r="Q3728" s="20"/>
      <c r="R3728" s="20"/>
      <c r="S3728" s="20"/>
      <c r="T3728" s="20"/>
    </row>
    <row r="3729" spans="1:21" x14ac:dyDescent="0.25">
      <c r="A3729" s="3">
        <v>42041</v>
      </c>
      <c r="B3729">
        <v>283</v>
      </c>
      <c r="C3729" t="s">
        <v>4264</v>
      </c>
      <c r="E3729" s="18">
        <v>161.5</v>
      </c>
      <c r="F3729" t="s">
        <v>889</v>
      </c>
      <c r="G3729" t="s">
        <v>4265</v>
      </c>
      <c r="I3729"/>
      <c r="J3729"/>
      <c r="L3729"/>
      <c r="M3729"/>
      <c r="O3729"/>
      <c r="P3729" s="20"/>
      <c r="Q3729" s="20"/>
      <c r="R3729" s="20"/>
      <c r="S3729" s="20"/>
      <c r="T3729" s="20"/>
    </row>
    <row r="3730" spans="1:21" x14ac:dyDescent="0.25">
      <c r="B3730">
        <v>283</v>
      </c>
      <c r="C3730" t="s">
        <v>4266</v>
      </c>
      <c r="D3730">
        <v>6.63</v>
      </c>
      <c r="E3730" s="18">
        <v>663</v>
      </c>
      <c r="F3730" t="s">
        <v>889</v>
      </c>
      <c r="G3730" t="s">
        <v>4267</v>
      </c>
      <c r="I3730"/>
      <c r="J3730"/>
      <c r="L3730"/>
      <c r="M3730"/>
      <c r="O3730"/>
      <c r="P3730" s="20"/>
      <c r="Q3730" s="20"/>
      <c r="R3730" s="20"/>
      <c r="S3730" s="20"/>
      <c r="T3730" s="20"/>
      <c r="U3730" t="s">
        <v>401</v>
      </c>
    </row>
    <row r="3731" spans="1:21" x14ac:dyDescent="0.25">
      <c r="B3731">
        <v>283</v>
      </c>
      <c r="C3731" t="s">
        <v>4266</v>
      </c>
      <c r="D3731">
        <v>6.63</v>
      </c>
      <c r="E3731" s="18">
        <v>-663</v>
      </c>
      <c r="F3731" t="s">
        <v>889</v>
      </c>
      <c r="G3731" t="s">
        <v>4267</v>
      </c>
      <c r="I3731"/>
      <c r="J3731"/>
      <c r="L3731"/>
      <c r="M3731"/>
      <c r="O3731"/>
      <c r="P3731" s="20"/>
      <c r="Q3731" s="20"/>
      <c r="R3731" s="20"/>
      <c r="S3731" s="20"/>
      <c r="T3731" s="20"/>
      <c r="U3731" t="s">
        <v>401</v>
      </c>
    </row>
    <row r="3732" spans="1:21" x14ac:dyDescent="0.25">
      <c r="B3732">
        <v>283</v>
      </c>
      <c r="C3732" t="s">
        <v>4268</v>
      </c>
      <c r="D3732">
        <v>5.0999999999999996</v>
      </c>
      <c r="E3732" s="18">
        <v>509.99999999999994</v>
      </c>
      <c r="F3732" t="s">
        <v>889</v>
      </c>
      <c r="G3732" t="s">
        <v>4269</v>
      </c>
      <c r="I3732"/>
      <c r="J3732"/>
      <c r="L3732"/>
      <c r="M3732"/>
      <c r="O3732"/>
      <c r="P3732" s="20"/>
      <c r="Q3732" s="20"/>
      <c r="R3732" s="20"/>
      <c r="S3732" s="20"/>
      <c r="T3732" s="20"/>
      <c r="U3732" t="s">
        <v>401</v>
      </c>
    </row>
    <row r="3733" spans="1:21" x14ac:dyDescent="0.25">
      <c r="B3733">
        <v>283</v>
      </c>
      <c r="C3733" t="s">
        <v>4268</v>
      </c>
      <c r="D3733">
        <v>5.0999999999999996</v>
      </c>
      <c r="E3733" s="18">
        <v>-510</v>
      </c>
      <c r="F3733" t="s">
        <v>889</v>
      </c>
      <c r="G3733" t="s">
        <v>4269</v>
      </c>
      <c r="I3733"/>
      <c r="J3733"/>
      <c r="L3733"/>
      <c r="M3733"/>
      <c r="O3733"/>
      <c r="P3733" s="20"/>
      <c r="Q3733" s="20"/>
      <c r="R3733" s="20"/>
      <c r="S3733" s="20"/>
      <c r="T3733" s="20"/>
      <c r="U3733" t="s">
        <v>401</v>
      </c>
    </row>
    <row r="3734" spans="1:21" x14ac:dyDescent="0.25">
      <c r="B3734">
        <v>283</v>
      </c>
      <c r="C3734" t="s">
        <v>4264</v>
      </c>
      <c r="D3734">
        <v>4.8449999999999998</v>
      </c>
      <c r="E3734" s="18">
        <v>484.5</v>
      </c>
      <c r="F3734" t="s">
        <v>889</v>
      </c>
      <c r="G3734" t="s">
        <v>4265</v>
      </c>
      <c r="I3734"/>
      <c r="J3734"/>
      <c r="L3734"/>
      <c r="M3734"/>
      <c r="O3734"/>
      <c r="P3734" s="20"/>
      <c r="Q3734" s="20"/>
      <c r="R3734" s="20"/>
      <c r="S3734" s="20"/>
      <c r="T3734" s="20"/>
      <c r="U3734" t="s">
        <v>401</v>
      </c>
    </row>
    <row r="3735" spans="1:21" x14ac:dyDescent="0.25">
      <c r="B3735">
        <v>283</v>
      </c>
      <c r="C3735" t="s">
        <v>4264</v>
      </c>
      <c r="D3735">
        <v>4.8449999999999998</v>
      </c>
      <c r="E3735" s="18">
        <v>161.5</v>
      </c>
      <c r="F3735" t="s">
        <v>889</v>
      </c>
      <c r="G3735" t="s">
        <v>4265</v>
      </c>
      <c r="I3735"/>
      <c r="J3735"/>
      <c r="L3735"/>
      <c r="M3735"/>
      <c r="O3735"/>
      <c r="P3735" s="20"/>
      <c r="Q3735" s="20"/>
      <c r="R3735" s="20"/>
      <c r="S3735" s="20"/>
      <c r="T3735" s="20"/>
      <c r="U3735" t="s">
        <v>401</v>
      </c>
    </row>
    <row r="3736" spans="1:21" x14ac:dyDescent="0.25">
      <c r="B3736">
        <v>283</v>
      </c>
      <c r="C3736" t="s">
        <v>4264</v>
      </c>
      <c r="D3736">
        <v>4.8449999999999998</v>
      </c>
      <c r="E3736" s="18">
        <v>646</v>
      </c>
      <c r="F3736" t="s">
        <v>889</v>
      </c>
      <c r="G3736" t="s">
        <v>4265</v>
      </c>
      <c r="I3736"/>
      <c r="J3736"/>
      <c r="L3736"/>
      <c r="M3736"/>
      <c r="O3736"/>
      <c r="P3736" s="20"/>
      <c r="Q3736" s="20"/>
      <c r="R3736" s="20"/>
      <c r="S3736" s="20"/>
      <c r="T3736" s="20"/>
      <c r="U3736" t="s">
        <v>401</v>
      </c>
    </row>
    <row r="3737" spans="1:21" x14ac:dyDescent="0.25">
      <c r="A3737" s="3">
        <v>41853</v>
      </c>
      <c r="B3737" s="36">
        <v>285</v>
      </c>
      <c r="C3737" t="s">
        <v>4270</v>
      </c>
      <c r="D3737">
        <v>2.5499999999999998</v>
      </c>
      <c r="E3737" s="18">
        <v>254.99999999999997</v>
      </c>
      <c r="F3737" t="s">
        <v>889</v>
      </c>
      <c r="G3737" t="s">
        <v>4271</v>
      </c>
      <c r="H3737" s="18">
        <v>254.99999999999997</v>
      </c>
      <c r="I3737" s="3">
        <v>41853</v>
      </c>
      <c r="J3737"/>
      <c r="L3737"/>
      <c r="M3737"/>
      <c r="N3737" s="20"/>
      <c r="O3737" t="s">
        <v>931</v>
      </c>
      <c r="P3737" s="20"/>
      <c r="Q3737" s="20"/>
      <c r="R3737" s="20"/>
      <c r="S3737" s="20"/>
      <c r="T3737" s="20"/>
    </row>
    <row r="3738" spans="1:21" x14ac:dyDescent="0.25">
      <c r="A3738" s="3">
        <v>41866</v>
      </c>
      <c r="B3738" s="36">
        <v>285</v>
      </c>
      <c r="C3738" t="s">
        <v>954</v>
      </c>
      <c r="E3738" s="18">
        <v>76.5</v>
      </c>
      <c r="G3738" t="s">
        <v>442</v>
      </c>
      <c r="H3738" s="18" t="s">
        <v>442</v>
      </c>
      <c r="I3738" s="3" t="s">
        <v>442</v>
      </c>
      <c r="J3738"/>
      <c r="L3738"/>
      <c r="M3738"/>
      <c r="N3738" s="20" t="s">
        <v>401</v>
      </c>
      <c r="O3738"/>
      <c r="P3738" s="20"/>
      <c r="Q3738" s="20"/>
      <c r="R3738" s="20"/>
      <c r="S3738" s="20"/>
      <c r="T3738" s="20"/>
    </row>
    <row r="3739" spans="1:21" x14ac:dyDescent="0.25">
      <c r="A3739" s="3">
        <v>41894</v>
      </c>
      <c r="B3739" s="36">
        <v>285</v>
      </c>
      <c r="C3739" t="s">
        <v>4272</v>
      </c>
      <c r="D3739">
        <v>9.9450000000000003</v>
      </c>
      <c r="E3739" s="18">
        <v>994.5</v>
      </c>
      <c r="F3739" t="s">
        <v>889</v>
      </c>
      <c r="G3739" t="s">
        <v>4273</v>
      </c>
      <c r="H3739" s="18">
        <v>994.5</v>
      </c>
      <c r="I3739" s="3">
        <v>41894</v>
      </c>
      <c r="J3739"/>
      <c r="L3739"/>
      <c r="M3739"/>
      <c r="N3739" s="20"/>
      <c r="O3739"/>
      <c r="P3739" s="20"/>
      <c r="Q3739" s="20"/>
      <c r="R3739" s="20"/>
      <c r="S3739" s="20"/>
      <c r="T3739" s="20"/>
    </row>
    <row r="3740" spans="1:21" x14ac:dyDescent="0.25">
      <c r="A3740" s="3">
        <v>41922</v>
      </c>
      <c r="B3740" s="36">
        <v>285</v>
      </c>
      <c r="C3740" t="s">
        <v>4274</v>
      </c>
      <c r="D3740">
        <v>9.9450000000000003</v>
      </c>
      <c r="E3740" s="18">
        <v>1491.75</v>
      </c>
      <c r="G3740" t="s">
        <v>4273</v>
      </c>
      <c r="H3740" s="18">
        <v>1491.75</v>
      </c>
      <c r="I3740" s="3">
        <v>41922</v>
      </c>
      <c r="J3740"/>
      <c r="L3740"/>
      <c r="M3740"/>
      <c r="N3740" s="20"/>
      <c r="O3740"/>
      <c r="P3740" s="20"/>
      <c r="Q3740" s="20"/>
      <c r="R3740" s="20"/>
      <c r="S3740" s="20"/>
      <c r="T3740" s="20"/>
    </row>
    <row r="3741" spans="1:21" x14ac:dyDescent="0.25">
      <c r="A3741" s="3">
        <v>42004</v>
      </c>
      <c r="B3741" s="36">
        <v>285</v>
      </c>
      <c r="C3741" t="s">
        <v>4272</v>
      </c>
      <c r="D3741">
        <v>9.9450000000000003</v>
      </c>
      <c r="E3741" s="18">
        <v>497.25</v>
      </c>
      <c r="F3741" t="s">
        <v>889</v>
      </c>
      <c r="G3741" t="s">
        <v>4273</v>
      </c>
      <c r="H3741" s="18">
        <v>497.25</v>
      </c>
      <c r="I3741" s="3">
        <v>42004</v>
      </c>
      <c r="J3741"/>
      <c r="L3741"/>
      <c r="M3741"/>
      <c r="N3741" s="20"/>
      <c r="O3741"/>
      <c r="P3741" s="20"/>
      <c r="Q3741" s="20"/>
      <c r="R3741" s="20"/>
      <c r="S3741" s="20"/>
      <c r="T3741" s="20"/>
    </row>
    <row r="3742" spans="1:21" x14ac:dyDescent="0.25">
      <c r="A3742" s="3">
        <v>42041</v>
      </c>
      <c r="B3742">
        <v>285</v>
      </c>
      <c r="C3742" t="s">
        <v>4272</v>
      </c>
      <c r="E3742" s="18">
        <v>497.25</v>
      </c>
      <c r="F3742" t="s">
        <v>889</v>
      </c>
      <c r="G3742" t="s">
        <v>4273</v>
      </c>
      <c r="I3742"/>
      <c r="J3742"/>
      <c r="L3742"/>
      <c r="M3742"/>
      <c r="O3742"/>
      <c r="P3742" s="20"/>
      <c r="Q3742" s="20"/>
      <c r="R3742" s="20"/>
      <c r="S3742" s="20"/>
      <c r="T3742" s="20"/>
    </row>
    <row r="3743" spans="1:21" x14ac:dyDescent="0.25">
      <c r="A3743" s="3">
        <v>41858</v>
      </c>
      <c r="B3743" s="36">
        <v>286</v>
      </c>
      <c r="C3743" t="s">
        <v>4275</v>
      </c>
      <c r="D3743">
        <v>3.06</v>
      </c>
      <c r="E3743" s="18">
        <v>306</v>
      </c>
      <c r="F3743" t="s">
        <v>889</v>
      </c>
      <c r="G3743" t="s">
        <v>4276</v>
      </c>
      <c r="H3743" s="18">
        <v>306</v>
      </c>
      <c r="I3743" s="3">
        <v>41858</v>
      </c>
      <c r="J3743"/>
      <c r="L3743"/>
      <c r="M3743"/>
      <c r="N3743" s="20"/>
      <c r="O3743"/>
      <c r="P3743" s="20"/>
      <c r="Q3743" s="20"/>
      <c r="R3743" s="20"/>
      <c r="S3743" s="20"/>
      <c r="T3743" s="20"/>
    </row>
    <row r="3744" spans="1:21" x14ac:dyDescent="0.25">
      <c r="A3744" s="46">
        <v>41873</v>
      </c>
      <c r="B3744" s="36">
        <v>286</v>
      </c>
      <c r="C3744" s="47" t="s">
        <v>1313</v>
      </c>
      <c r="D3744" s="47"/>
      <c r="E3744" s="48">
        <v>45</v>
      </c>
      <c r="F3744" s="47"/>
      <c r="G3744" s="20"/>
      <c r="H3744" s="18" t="s">
        <v>442</v>
      </c>
      <c r="I3744" s="3" t="s">
        <v>442</v>
      </c>
      <c r="J3744" s="20"/>
      <c r="K3744" s="20"/>
      <c r="L3744" s="20"/>
      <c r="M3744" s="20"/>
      <c r="N3744" s="20"/>
      <c r="O3744" s="47"/>
      <c r="P3744" s="20"/>
      <c r="Q3744" s="20"/>
      <c r="R3744" s="20"/>
      <c r="S3744" s="20" t="s">
        <v>401</v>
      </c>
      <c r="T3744" s="20"/>
    </row>
    <row r="3745" spans="1:21" x14ac:dyDescent="0.25">
      <c r="A3745" s="3">
        <v>41957</v>
      </c>
      <c r="B3745" s="36">
        <v>286</v>
      </c>
      <c r="C3745" t="s">
        <v>4275</v>
      </c>
      <c r="D3745">
        <v>3.06</v>
      </c>
      <c r="E3745" s="18">
        <v>306</v>
      </c>
      <c r="F3745" t="s">
        <v>889</v>
      </c>
      <c r="G3745" t="s">
        <v>4276</v>
      </c>
      <c r="H3745" s="18">
        <v>306</v>
      </c>
      <c r="I3745" s="3">
        <v>41957</v>
      </c>
      <c r="J3745"/>
      <c r="L3745"/>
      <c r="M3745"/>
      <c r="N3745" s="20"/>
      <c r="O3745" t="s">
        <v>959</v>
      </c>
      <c r="P3745" s="20"/>
      <c r="Q3745" s="20"/>
      <c r="R3745" s="20"/>
      <c r="S3745" s="20"/>
      <c r="T3745" s="20"/>
    </row>
    <row r="3746" spans="1:21" x14ac:dyDescent="0.25">
      <c r="A3746" s="3">
        <v>41908</v>
      </c>
      <c r="B3746" s="36">
        <v>293</v>
      </c>
      <c r="C3746" t="s">
        <v>4277</v>
      </c>
      <c r="D3746">
        <v>5.75</v>
      </c>
      <c r="E3746" s="18">
        <v>575</v>
      </c>
      <c r="F3746" t="s">
        <v>889</v>
      </c>
      <c r="G3746" t="s">
        <v>4278</v>
      </c>
      <c r="H3746" s="18">
        <v>575</v>
      </c>
      <c r="I3746" s="3">
        <v>41908</v>
      </c>
      <c r="J3746"/>
      <c r="L3746"/>
      <c r="M3746"/>
      <c r="N3746" s="20"/>
      <c r="O3746"/>
      <c r="P3746" s="20"/>
      <c r="Q3746" s="20"/>
      <c r="R3746" s="20"/>
      <c r="S3746" s="20"/>
      <c r="T3746" s="20"/>
    </row>
    <row r="3747" spans="1:21" x14ac:dyDescent="0.25">
      <c r="B3747">
        <v>293</v>
      </c>
      <c r="C3747" t="s">
        <v>4277</v>
      </c>
      <c r="D3747">
        <v>5.75</v>
      </c>
      <c r="E3747" s="18">
        <v>-575</v>
      </c>
      <c r="F3747" t="s">
        <v>889</v>
      </c>
      <c r="G3747" t="s">
        <v>4278</v>
      </c>
      <c r="I3747"/>
      <c r="J3747"/>
      <c r="L3747"/>
      <c r="M3747"/>
      <c r="O3747"/>
      <c r="P3747" s="20"/>
      <c r="Q3747" s="20"/>
      <c r="R3747" s="20"/>
      <c r="S3747" s="20"/>
      <c r="T3747" s="20"/>
      <c r="U3747" t="s">
        <v>401</v>
      </c>
    </row>
    <row r="3748" spans="1:21" x14ac:dyDescent="0.25">
      <c r="A3748" s="37">
        <v>41851</v>
      </c>
      <c r="B3748" s="36">
        <v>295</v>
      </c>
      <c r="C3748" s="38" t="s">
        <v>4279</v>
      </c>
      <c r="D3748" s="38">
        <v>6.5</v>
      </c>
      <c r="E3748" s="39">
        <v>650</v>
      </c>
      <c r="F3748" s="38" t="s">
        <v>889</v>
      </c>
      <c r="G3748" t="s">
        <v>4280</v>
      </c>
      <c r="H3748" s="18">
        <v>650</v>
      </c>
      <c r="I3748" s="3">
        <v>41851</v>
      </c>
      <c r="J3748"/>
      <c r="L3748"/>
      <c r="M3748"/>
      <c r="N3748" s="40"/>
      <c r="O3748" s="38" t="s">
        <v>1009</v>
      </c>
      <c r="P3748" s="20"/>
      <c r="Q3748" s="20"/>
      <c r="R3748" s="20"/>
      <c r="S3748" s="20"/>
      <c r="T3748" s="20"/>
    </row>
    <row r="3749" spans="1:21" x14ac:dyDescent="0.25">
      <c r="A3749" s="37">
        <v>41859</v>
      </c>
      <c r="B3749" s="36">
        <v>295</v>
      </c>
      <c r="C3749" s="38" t="s">
        <v>4281</v>
      </c>
      <c r="D3749" s="38">
        <v>7.25</v>
      </c>
      <c r="E3749" s="39">
        <v>725</v>
      </c>
      <c r="F3749" s="38" t="s">
        <v>889</v>
      </c>
      <c r="G3749" t="s">
        <v>4282</v>
      </c>
      <c r="H3749" s="18">
        <v>725</v>
      </c>
      <c r="I3749" s="3">
        <v>41859</v>
      </c>
      <c r="J3749"/>
      <c r="L3749"/>
      <c r="M3749"/>
      <c r="N3749" s="40"/>
      <c r="O3749" s="38"/>
      <c r="P3749" s="20"/>
      <c r="Q3749" s="20"/>
      <c r="R3749" s="20"/>
      <c r="S3749" s="20"/>
      <c r="T3749" s="20"/>
    </row>
    <row r="3750" spans="1:21" x14ac:dyDescent="0.25">
      <c r="A3750" s="37">
        <v>41859</v>
      </c>
      <c r="B3750" s="36">
        <v>295</v>
      </c>
      <c r="C3750" s="38" t="s">
        <v>4283</v>
      </c>
      <c r="D3750" s="38">
        <v>7.5</v>
      </c>
      <c r="E3750" s="39">
        <v>750</v>
      </c>
      <c r="F3750" s="38" t="s">
        <v>889</v>
      </c>
      <c r="G3750" t="s">
        <v>4284</v>
      </c>
      <c r="H3750" s="18">
        <v>750</v>
      </c>
      <c r="I3750" s="3">
        <v>41859</v>
      </c>
      <c r="J3750"/>
      <c r="L3750"/>
      <c r="M3750"/>
      <c r="N3750" s="40"/>
      <c r="O3750" s="38"/>
      <c r="P3750" s="20"/>
      <c r="Q3750" s="20"/>
      <c r="R3750" s="20"/>
      <c r="S3750" s="20"/>
      <c r="T3750" s="20"/>
    </row>
    <row r="3751" spans="1:21" x14ac:dyDescent="0.25">
      <c r="A3751" s="37">
        <v>41873</v>
      </c>
      <c r="B3751" s="36">
        <v>295</v>
      </c>
      <c r="C3751" s="38" t="s">
        <v>4285</v>
      </c>
      <c r="D3751" s="38"/>
      <c r="E3751" s="39">
        <v>1000</v>
      </c>
      <c r="F3751" s="38" t="s">
        <v>889</v>
      </c>
      <c r="G3751" t="s">
        <v>442</v>
      </c>
      <c r="H3751" s="18" t="s">
        <v>442</v>
      </c>
      <c r="I3751" s="3" t="s">
        <v>442</v>
      </c>
      <c r="J3751"/>
      <c r="L3751"/>
      <c r="M3751"/>
      <c r="N3751" s="40"/>
      <c r="O3751" s="38"/>
      <c r="P3751" s="20"/>
      <c r="Q3751" s="20"/>
      <c r="R3751" s="20"/>
      <c r="S3751" s="20"/>
      <c r="T3751" s="20" t="s">
        <v>401</v>
      </c>
    </row>
    <row r="3752" spans="1:21" x14ac:dyDescent="0.25">
      <c r="A3752" s="37">
        <v>41907</v>
      </c>
      <c r="B3752" s="36">
        <v>295</v>
      </c>
      <c r="C3752" s="38" t="s">
        <v>4286</v>
      </c>
      <c r="D3752" s="38"/>
      <c r="E3752" s="39">
        <v>650</v>
      </c>
      <c r="F3752" s="38"/>
      <c r="H3752" s="18" t="s">
        <v>442</v>
      </c>
      <c r="I3752" s="3" t="s">
        <v>442</v>
      </c>
      <c r="J3752"/>
      <c r="L3752"/>
      <c r="M3752"/>
      <c r="N3752" s="40"/>
      <c r="O3752" s="38"/>
      <c r="P3752" s="20"/>
      <c r="Q3752" s="20"/>
      <c r="R3752" s="20"/>
      <c r="S3752" s="20" t="s">
        <v>401</v>
      </c>
      <c r="T3752" s="20"/>
    </row>
    <row r="3753" spans="1:21" x14ac:dyDescent="0.25">
      <c r="A3753" s="37">
        <v>41907</v>
      </c>
      <c r="B3753" s="36">
        <v>295</v>
      </c>
      <c r="C3753" s="38" t="s">
        <v>4287</v>
      </c>
      <c r="D3753" s="38"/>
      <c r="E3753" s="39">
        <v>650</v>
      </c>
      <c r="F3753" s="38"/>
      <c r="G3753" t="s">
        <v>442</v>
      </c>
      <c r="H3753" s="18" t="s">
        <v>442</v>
      </c>
      <c r="I3753" s="3" t="s">
        <v>442</v>
      </c>
      <c r="J3753"/>
      <c r="L3753"/>
      <c r="M3753"/>
      <c r="N3753" s="40"/>
      <c r="O3753" s="38" t="s">
        <v>4288</v>
      </c>
      <c r="P3753" s="20"/>
      <c r="Q3753" s="20"/>
      <c r="R3753" s="20"/>
      <c r="S3753" s="20"/>
      <c r="T3753" s="20" t="s">
        <v>401</v>
      </c>
    </row>
    <row r="3754" spans="1:21" x14ac:dyDescent="0.25">
      <c r="A3754" s="37">
        <v>41918</v>
      </c>
      <c r="B3754" s="36">
        <v>295</v>
      </c>
      <c r="C3754" s="38" t="s">
        <v>4287</v>
      </c>
      <c r="D3754" s="38"/>
      <c r="E3754" s="39">
        <v>-650</v>
      </c>
      <c r="F3754" s="38" t="s">
        <v>889</v>
      </c>
      <c r="G3754" t="s">
        <v>442</v>
      </c>
      <c r="H3754" s="18" t="s">
        <v>442</v>
      </c>
      <c r="I3754" s="3" t="s">
        <v>442</v>
      </c>
      <c r="J3754"/>
      <c r="L3754"/>
      <c r="M3754"/>
      <c r="N3754" s="40"/>
      <c r="O3754" s="38"/>
      <c r="P3754" s="20"/>
      <c r="Q3754" s="20"/>
      <c r="R3754" s="20"/>
      <c r="S3754" s="20"/>
      <c r="T3754" s="20" t="s">
        <v>401</v>
      </c>
    </row>
    <row r="3755" spans="1:21" x14ac:dyDescent="0.25">
      <c r="A3755" s="37">
        <v>41918</v>
      </c>
      <c r="B3755" s="36">
        <v>295</v>
      </c>
      <c r="C3755" s="38" t="s">
        <v>4289</v>
      </c>
      <c r="D3755" s="38">
        <v>6.75</v>
      </c>
      <c r="E3755" s="39">
        <v>675</v>
      </c>
      <c r="F3755" s="38" t="s">
        <v>889</v>
      </c>
      <c r="G3755" t="s">
        <v>4290</v>
      </c>
      <c r="H3755" s="18">
        <v>675</v>
      </c>
      <c r="I3755" s="3">
        <v>41918</v>
      </c>
      <c r="J3755"/>
      <c r="L3755"/>
      <c r="M3755"/>
      <c r="N3755" s="40"/>
      <c r="O3755" s="38"/>
      <c r="P3755" s="20"/>
      <c r="Q3755" s="20"/>
      <c r="R3755" s="20"/>
      <c r="S3755" s="20"/>
      <c r="T3755" s="20"/>
    </row>
    <row r="3756" spans="1:21" x14ac:dyDescent="0.25">
      <c r="A3756" s="3">
        <v>41918</v>
      </c>
      <c r="B3756" s="36">
        <v>295</v>
      </c>
      <c r="C3756" t="s">
        <v>4291</v>
      </c>
      <c r="D3756">
        <v>8.5</v>
      </c>
      <c r="E3756" s="18">
        <v>850</v>
      </c>
      <c r="F3756" t="s">
        <v>889</v>
      </c>
      <c r="G3756" t="s">
        <v>4292</v>
      </c>
      <c r="H3756" s="18">
        <v>850</v>
      </c>
      <c r="I3756" s="3">
        <v>41918</v>
      </c>
      <c r="J3756"/>
      <c r="L3756"/>
      <c r="M3756"/>
      <c r="N3756" s="20"/>
      <c r="O3756"/>
      <c r="P3756" s="20"/>
      <c r="Q3756" s="20"/>
      <c r="R3756" s="20"/>
      <c r="S3756" s="20"/>
      <c r="T3756" s="20"/>
    </row>
    <row r="3757" spans="1:21" x14ac:dyDescent="0.25">
      <c r="A3757" s="3">
        <v>41922</v>
      </c>
      <c r="B3757" s="36">
        <v>295</v>
      </c>
      <c r="C3757" t="s">
        <v>2239</v>
      </c>
      <c r="D3757">
        <v>7</v>
      </c>
      <c r="E3757" s="18">
        <v>700</v>
      </c>
      <c r="F3757" t="s">
        <v>889</v>
      </c>
      <c r="G3757" t="s">
        <v>2252</v>
      </c>
      <c r="H3757" s="18">
        <v>700</v>
      </c>
      <c r="I3757" s="3">
        <v>41922</v>
      </c>
      <c r="J3757"/>
      <c r="L3757"/>
      <c r="M3757"/>
      <c r="N3757" s="20"/>
      <c r="O3757"/>
      <c r="P3757" s="20"/>
      <c r="Q3757" s="20"/>
      <c r="R3757" s="20"/>
      <c r="S3757" s="20"/>
      <c r="T3757" s="20"/>
    </row>
    <row r="3758" spans="1:21" x14ac:dyDescent="0.25">
      <c r="A3758" s="3">
        <v>41922</v>
      </c>
      <c r="B3758" s="36">
        <v>295</v>
      </c>
      <c r="C3758" t="s">
        <v>4293</v>
      </c>
      <c r="D3758">
        <v>12</v>
      </c>
      <c r="E3758" s="18">
        <v>1200</v>
      </c>
      <c r="F3758" t="s">
        <v>889</v>
      </c>
      <c r="G3758" t="s">
        <v>4294</v>
      </c>
      <c r="H3758" s="18">
        <v>1200</v>
      </c>
      <c r="I3758" s="3">
        <v>41922</v>
      </c>
      <c r="J3758"/>
      <c r="L3758"/>
      <c r="M3758"/>
      <c r="N3758" s="20"/>
      <c r="O3758"/>
      <c r="P3758" s="20"/>
      <c r="Q3758" s="20"/>
      <c r="R3758" s="20"/>
      <c r="S3758" s="20"/>
      <c r="T3758" s="20"/>
    </row>
    <row r="3759" spans="1:21" x14ac:dyDescent="0.25">
      <c r="A3759" s="3">
        <v>41936</v>
      </c>
      <c r="B3759" s="56">
        <v>295</v>
      </c>
      <c r="C3759" s="64" t="s">
        <v>4289</v>
      </c>
      <c r="D3759" s="64">
        <v>6.75</v>
      </c>
      <c r="E3759" s="65">
        <v>-675</v>
      </c>
      <c r="F3759" s="64" t="s">
        <v>889</v>
      </c>
      <c r="G3759" s="64" t="s">
        <v>4290</v>
      </c>
      <c r="H3759" s="18"/>
      <c r="J3759"/>
      <c r="L3759"/>
      <c r="M3759"/>
      <c r="N3759" s="20"/>
      <c r="O3759"/>
      <c r="P3759" s="20"/>
      <c r="Q3759" s="20"/>
      <c r="R3759" s="20"/>
      <c r="S3759" s="20"/>
      <c r="T3759" s="20"/>
    </row>
    <row r="3760" spans="1:21" x14ac:dyDescent="0.25">
      <c r="A3760" s="3">
        <v>41936</v>
      </c>
      <c r="B3760" s="36">
        <v>295</v>
      </c>
      <c r="C3760" t="s">
        <v>4295</v>
      </c>
      <c r="D3760">
        <v>7.75</v>
      </c>
      <c r="E3760" s="18">
        <v>575</v>
      </c>
      <c r="F3760" t="s">
        <v>889</v>
      </c>
      <c r="G3760" t="s">
        <v>4296</v>
      </c>
      <c r="H3760" s="18">
        <v>575</v>
      </c>
      <c r="I3760" s="3">
        <v>41936</v>
      </c>
      <c r="J3760"/>
      <c r="L3760"/>
      <c r="M3760"/>
      <c r="N3760" s="20"/>
      <c r="O3760"/>
      <c r="P3760" s="20"/>
      <c r="Q3760" s="20"/>
      <c r="R3760" s="20"/>
      <c r="S3760" s="20"/>
      <c r="T3760" s="20"/>
    </row>
    <row r="3761" spans="1:21" x14ac:dyDescent="0.25">
      <c r="A3761" s="3">
        <v>41936</v>
      </c>
      <c r="B3761" s="36">
        <v>295</v>
      </c>
      <c r="C3761" t="s">
        <v>4297</v>
      </c>
      <c r="D3761">
        <v>6.75</v>
      </c>
      <c r="E3761" s="18">
        <v>675</v>
      </c>
      <c r="F3761" t="s">
        <v>889</v>
      </c>
      <c r="G3761" t="s">
        <v>4298</v>
      </c>
      <c r="H3761" s="18">
        <v>675</v>
      </c>
      <c r="I3761" s="3">
        <v>41936</v>
      </c>
      <c r="J3761"/>
      <c r="L3761"/>
      <c r="M3761"/>
      <c r="N3761" s="20"/>
      <c r="O3761"/>
      <c r="P3761" s="20"/>
      <c r="Q3761" s="20"/>
      <c r="R3761" s="20"/>
      <c r="S3761" s="20"/>
      <c r="T3761" s="20"/>
    </row>
    <row r="3762" spans="1:21" x14ac:dyDescent="0.25">
      <c r="A3762" s="3">
        <v>41936</v>
      </c>
      <c r="B3762" s="56">
        <v>295</v>
      </c>
      <c r="C3762" s="64" t="s">
        <v>4299</v>
      </c>
      <c r="D3762" s="64">
        <v>5.5</v>
      </c>
      <c r="E3762" s="65">
        <v>550</v>
      </c>
      <c r="F3762" s="64" t="s">
        <v>889</v>
      </c>
      <c r="G3762" s="64" t="s">
        <v>4300</v>
      </c>
      <c r="H3762" s="18"/>
      <c r="J3762"/>
      <c r="L3762"/>
      <c r="M3762"/>
      <c r="N3762" s="20"/>
      <c r="O3762"/>
      <c r="P3762" s="20"/>
      <c r="Q3762" s="20"/>
      <c r="R3762" s="20"/>
      <c r="S3762" s="20"/>
      <c r="T3762" s="20"/>
    </row>
    <row r="3763" spans="1:21" x14ac:dyDescent="0.25">
      <c r="A3763" s="37">
        <v>41943</v>
      </c>
      <c r="B3763" s="36">
        <v>295</v>
      </c>
      <c r="C3763" s="38" t="s">
        <v>4301</v>
      </c>
      <c r="D3763" s="38"/>
      <c r="E3763" s="39">
        <v>650</v>
      </c>
      <c r="F3763" s="38" t="s">
        <v>889</v>
      </c>
      <c r="G3763" t="s">
        <v>442</v>
      </c>
      <c r="H3763" s="18" t="s">
        <v>442</v>
      </c>
      <c r="I3763" s="3" t="s">
        <v>442</v>
      </c>
      <c r="J3763"/>
      <c r="L3763"/>
      <c r="M3763"/>
      <c r="N3763" s="40"/>
      <c r="O3763" s="38"/>
      <c r="P3763" s="20"/>
      <c r="Q3763" s="20"/>
      <c r="R3763" s="20"/>
      <c r="S3763" s="20"/>
      <c r="T3763" s="20" t="s">
        <v>401</v>
      </c>
    </row>
    <row r="3764" spans="1:21" x14ac:dyDescent="0.25">
      <c r="A3764" s="37">
        <v>41957</v>
      </c>
      <c r="B3764" s="36">
        <v>295</v>
      </c>
      <c r="C3764" s="38" t="s">
        <v>4302</v>
      </c>
      <c r="D3764" s="38">
        <v>9.25</v>
      </c>
      <c r="E3764" s="39">
        <v>-925</v>
      </c>
      <c r="F3764" s="38" t="s">
        <v>889</v>
      </c>
      <c r="G3764" t="s">
        <v>442</v>
      </c>
      <c r="H3764" s="18" t="s">
        <v>442</v>
      </c>
      <c r="I3764" s="3" t="s">
        <v>442</v>
      </c>
      <c r="J3764"/>
      <c r="L3764"/>
      <c r="M3764"/>
      <c r="N3764" s="40"/>
      <c r="O3764" s="38"/>
      <c r="P3764" s="20"/>
      <c r="Q3764" s="20"/>
      <c r="R3764" s="20"/>
      <c r="S3764" s="20"/>
      <c r="T3764" s="20" t="s">
        <v>401</v>
      </c>
    </row>
    <row r="3765" spans="1:21" x14ac:dyDescent="0.25">
      <c r="A3765" s="3">
        <v>41957</v>
      </c>
      <c r="B3765" s="36">
        <v>295</v>
      </c>
      <c r="C3765" t="s">
        <v>4303</v>
      </c>
      <c r="D3765">
        <v>3</v>
      </c>
      <c r="E3765" s="18">
        <v>300</v>
      </c>
      <c r="F3765" t="s">
        <v>889</v>
      </c>
      <c r="G3765" t="s">
        <v>4304</v>
      </c>
      <c r="H3765" s="18">
        <v>300</v>
      </c>
      <c r="I3765" s="3">
        <v>41957</v>
      </c>
      <c r="J3765"/>
      <c r="L3765"/>
      <c r="M3765"/>
      <c r="N3765" s="20"/>
      <c r="O3765"/>
      <c r="P3765" s="20"/>
      <c r="Q3765" s="20"/>
      <c r="R3765" s="20"/>
      <c r="S3765" s="20"/>
      <c r="T3765" s="20"/>
    </row>
    <row r="3766" spans="1:21" x14ac:dyDescent="0.25">
      <c r="A3766" s="3">
        <v>41957</v>
      </c>
      <c r="B3766" s="36">
        <v>295</v>
      </c>
      <c r="C3766" t="s">
        <v>4305</v>
      </c>
      <c r="D3766">
        <v>6</v>
      </c>
      <c r="E3766" s="18">
        <v>600</v>
      </c>
      <c r="F3766" t="s">
        <v>889</v>
      </c>
      <c r="G3766" t="s">
        <v>4306</v>
      </c>
      <c r="H3766" s="18">
        <v>600</v>
      </c>
      <c r="I3766" s="3">
        <v>41957</v>
      </c>
      <c r="J3766"/>
      <c r="L3766"/>
      <c r="M3766"/>
      <c r="N3766" s="20"/>
      <c r="O3766"/>
      <c r="P3766" s="20"/>
      <c r="Q3766" s="20"/>
      <c r="R3766" s="20"/>
      <c r="S3766" s="20"/>
      <c r="T3766" s="20"/>
    </row>
    <row r="3767" spans="1:21" x14ac:dyDescent="0.25">
      <c r="A3767" s="3">
        <v>41957</v>
      </c>
      <c r="B3767" s="36">
        <v>295</v>
      </c>
      <c r="C3767" t="s">
        <v>4307</v>
      </c>
      <c r="D3767">
        <v>4</v>
      </c>
      <c r="E3767" s="18">
        <v>400</v>
      </c>
      <c r="F3767" t="s">
        <v>889</v>
      </c>
      <c r="G3767" t="s">
        <v>4308</v>
      </c>
      <c r="H3767" s="18">
        <v>400</v>
      </c>
      <c r="I3767" s="3">
        <v>41957</v>
      </c>
      <c r="J3767"/>
      <c r="L3767"/>
      <c r="M3767"/>
      <c r="N3767" s="20"/>
      <c r="O3767"/>
      <c r="P3767" s="20"/>
      <c r="Q3767" s="20"/>
      <c r="R3767" s="20"/>
      <c r="S3767" s="20"/>
      <c r="T3767" s="20"/>
    </row>
    <row r="3768" spans="1:21" x14ac:dyDescent="0.25">
      <c r="A3768" s="37">
        <v>41964</v>
      </c>
      <c r="B3768" s="36">
        <v>295</v>
      </c>
      <c r="C3768" s="38" t="s">
        <v>4309</v>
      </c>
      <c r="D3768" s="38">
        <v>8</v>
      </c>
      <c r="E3768" s="39">
        <v>800</v>
      </c>
      <c r="F3768" s="38" t="s">
        <v>889</v>
      </c>
      <c r="G3768" t="s">
        <v>4310</v>
      </c>
      <c r="H3768" s="18">
        <v>800</v>
      </c>
      <c r="I3768" s="3">
        <v>41964</v>
      </c>
      <c r="J3768"/>
      <c r="L3768"/>
      <c r="M3768"/>
      <c r="N3768" s="40"/>
      <c r="O3768" s="38"/>
      <c r="P3768" s="20"/>
      <c r="Q3768" s="20"/>
      <c r="R3768" s="20"/>
      <c r="S3768" s="20"/>
      <c r="T3768" s="20"/>
    </row>
    <row r="3769" spans="1:21" x14ac:dyDescent="0.25">
      <c r="A3769" s="3">
        <v>41964</v>
      </c>
      <c r="B3769" s="36">
        <v>295</v>
      </c>
      <c r="C3769" t="s">
        <v>4311</v>
      </c>
      <c r="D3769">
        <v>12.5</v>
      </c>
      <c r="E3769" s="18">
        <v>1250</v>
      </c>
      <c r="F3769" t="s">
        <v>889</v>
      </c>
      <c r="G3769" t="s">
        <v>4312</v>
      </c>
      <c r="H3769" s="18">
        <v>1250</v>
      </c>
      <c r="I3769" s="3">
        <v>41964</v>
      </c>
      <c r="J3769"/>
      <c r="L3769"/>
      <c r="M3769"/>
      <c r="N3769" s="20"/>
      <c r="O3769"/>
      <c r="P3769" s="20"/>
      <c r="Q3769" s="20"/>
      <c r="R3769" s="20"/>
      <c r="S3769" s="20"/>
      <c r="T3769" s="20"/>
    </row>
    <row r="3770" spans="1:21" x14ac:dyDescent="0.25">
      <c r="A3770" s="3">
        <v>41966</v>
      </c>
      <c r="B3770" s="36">
        <v>295</v>
      </c>
      <c r="C3770" t="s">
        <v>4313</v>
      </c>
      <c r="D3770">
        <v>4.5</v>
      </c>
      <c r="E3770" s="18">
        <v>450</v>
      </c>
      <c r="F3770" t="s">
        <v>889</v>
      </c>
      <c r="G3770" t="s">
        <v>4314</v>
      </c>
      <c r="H3770" s="18">
        <v>450</v>
      </c>
      <c r="I3770" s="3">
        <v>41966</v>
      </c>
      <c r="J3770"/>
      <c r="L3770"/>
      <c r="M3770"/>
      <c r="N3770" s="20"/>
      <c r="O3770"/>
      <c r="P3770" s="20"/>
      <c r="Q3770" s="20"/>
      <c r="R3770" s="20"/>
      <c r="S3770" s="20"/>
      <c r="T3770" s="20"/>
    </row>
    <row r="3771" spans="1:21" x14ac:dyDescent="0.25">
      <c r="A3771" s="3">
        <v>41966</v>
      </c>
      <c r="B3771" s="36">
        <v>295</v>
      </c>
      <c r="C3771" t="s">
        <v>4315</v>
      </c>
      <c r="D3771">
        <v>8.5</v>
      </c>
      <c r="E3771" s="18">
        <v>850</v>
      </c>
      <c r="F3771" t="s">
        <v>889</v>
      </c>
      <c r="G3771" t="s">
        <v>4316</v>
      </c>
      <c r="H3771" s="18">
        <v>850</v>
      </c>
      <c r="I3771" s="3">
        <v>41966</v>
      </c>
      <c r="J3771"/>
      <c r="L3771"/>
      <c r="M3771"/>
      <c r="N3771" s="20"/>
      <c r="O3771"/>
      <c r="P3771" s="20"/>
      <c r="Q3771" s="20"/>
      <c r="R3771" s="20"/>
      <c r="S3771" s="20"/>
      <c r="T3771" s="20"/>
    </row>
    <row r="3772" spans="1:21" x14ac:dyDescent="0.25">
      <c r="A3772" s="3">
        <v>41966</v>
      </c>
      <c r="B3772" s="36">
        <v>295</v>
      </c>
      <c r="C3772" t="s">
        <v>4317</v>
      </c>
      <c r="D3772">
        <v>10</v>
      </c>
      <c r="E3772" s="18">
        <v>1000</v>
      </c>
      <c r="F3772" t="s">
        <v>889</v>
      </c>
      <c r="G3772" t="s">
        <v>4318</v>
      </c>
      <c r="H3772" s="18">
        <v>1000</v>
      </c>
      <c r="I3772" s="3">
        <v>41966</v>
      </c>
      <c r="J3772"/>
      <c r="L3772"/>
      <c r="M3772"/>
      <c r="N3772" s="20"/>
      <c r="O3772"/>
      <c r="P3772" s="20"/>
      <c r="Q3772" s="20"/>
      <c r="R3772" s="20"/>
      <c r="S3772" s="20"/>
      <c r="T3772" s="20"/>
    </row>
    <row r="3773" spans="1:21" x14ac:dyDescent="0.25">
      <c r="A3773" s="3">
        <v>41985</v>
      </c>
      <c r="B3773" s="36">
        <v>295</v>
      </c>
      <c r="C3773" t="s">
        <v>4281</v>
      </c>
      <c r="D3773">
        <v>7.25</v>
      </c>
      <c r="E3773" s="18">
        <v>725</v>
      </c>
      <c r="F3773" t="s">
        <v>889</v>
      </c>
      <c r="G3773" t="s">
        <v>4282</v>
      </c>
      <c r="H3773" s="18">
        <v>725</v>
      </c>
      <c r="I3773" s="3">
        <v>41985</v>
      </c>
      <c r="J3773"/>
      <c r="L3773"/>
      <c r="M3773"/>
      <c r="N3773" s="20"/>
      <c r="O3773" t="s">
        <v>959</v>
      </c>
      <c r="P3773" s="20"/>
      <c r="Q3773" s="20"/>
      <c r="R3773" s="20"/>
      <c r="S3773" s="20"/>
      <c r="T3773" s="20"/>
    </row>
    <row r="3774" spans="1:21" x14ac:dyDescent="0.25">
      <c r="A3774" s="3">
        <v>42004</v>
      </c>
      <c r="B3774" s="36">
        <v>295</v>
      </c>
      <c r="C3774" t="s">
        <v>4295</v>
      </c>
      <c r="D3774">
        <v>5.75</v>
      </c>
      <c r="E3774" s="18">
        <v>191.66666666666666</v>
      </c>
      <c r="F3774" t="s">
        <v>889</v>
      </c>
      <c r="G3774" t="s">
        <v>4296</v>
      </c>
      <c r="H3774" s="18">
        <v>191.66666666666666</v>
      </c>
      <c r="I3774" s="3">
        <v>42004</v>
      </c>
      <c r="J3774"/>
      <c r="L3774"/>
      <c r="M3774"/>
      <c r="N3774" s="20"/>
      <c r="O3774"/>
      <c r="P3774" s="20"/>
      <c r="Q3774" s="20"/>
      <c r="R3774" s="20"/>
      <c r="S3774" s="20"/>
      <c r="T3774" s="20"/>
    </row>
    <row r="3775" spans="1:21" x14ac:dyDescent="0.25">
      <c r="A3775" s="3">
        <v>42041</v>
      </c>
      <c r="B3775">
        <v>295</v>
      </c>
      <c r="C3775" t="s">
        <v>4295</v>
      </c>
      <c r="E3775" s="18">
        <v>191.66666666666666</v>
      </c>
      <c r="F3775" t="s">
        <v>889</v>
      </c>
      <c r="G3775" t="s">
        <v>4296</v>
      </c>
      <c r="I3775"/>
      <c r="J3775"/>
      <c r="L3775"/>
      <c r="M3775"/>
      <c r="O3775"/>
      <c r="P3775" s="20"/>
      <c r="Q3775" s="20"/>
      <c r="R3775" s="20"/>
      <c r="S3775" s="20"/>
      <c r="T3775" s="20"/>
    </row>
    <row r="3776" spans="1:21" x14ac:dyDescent="0.25">
      <c r="B3776">
        <v>295</v>
      </c>
      <c r="C3776" t="s">
        <v>4319</v>
      </c>
      <c r="E3776" s="18">
        <v>-75</v>
      </c>
      <c r="F3776" t="s">
        <v>889</v>
      </c>
      <c r="I3776"/>
      <c r="J3776"/>
      <c r="L3776"/>
      <c r="M3776"/>
      <c r="O3776"/>
      <c r="P3776" s="20"/>
      <c r="Q3776" s="20"/>
      <c r="R3776" s="20"/>
      <c r="S3776" s="20"/>
      <c r="T3776" s="20"/>
      <c r="U3776" t="s">
        <v>401</v>
      </c>
    </row>
    <row r="3777" spans="2:21" x14ac:dyDescent="0.25">
      <c r="B3777">
        <v>295</v>
      </c>
      <c r="C3777" t="s">
        <v>4320</v>
      </c>
      <c r="D3777">
        <v>8</v>
      </c>
      <c r="E3777" s="18">
        <v>-800</v>
      </c>
      <c r="F3777" t="s">
        <v>889</v>
      </c>
      <c r="G3777" t="s">
        <v>4310</v>
      </c>
      <c r="I3777"/>
      <c r="J3777"/>
      <c r="L3777"/>
      <c r="M3777"/>
      <c r="O3777"/>
      <c r="P3777" s="20"/>
      <c r="Q3777" s="20"/>
      <c r="R3777" s="20"/>
      <c r="S3777" s="20"/>
      <c r="T3777" s="20"/>
      <c r="U3777" t="s">
        <v>401</v>
      </c>
    </row>
    <row r="3778" spans="2:21" x14ac:dyDescent="0.25">
      <c r="B3778">
        <v>295</v>
      </c>
      <c r="C3778" t="s">
        <v>4315</v>
      </c>
      <c r="D3778">
        <v>8.5</v>
      </c>
      <c r="E3778" s="18">
        <v>-850</v>
      </c>
      <c r="F3778" t="s">
        <v>889</v>
      </c>
      <c r="G3778" t="s">
        <v>4316</v>
      </c>
      <c r="I3778"/>
      <c r="J3778"/>
      <c r="L3778"/>
      <c r="M3778"/>
      <c r="O3778"/>
      <c r="P3778" s="20"/>
      <c r="Q3778" s="20"/>
      <c r="R3778" s="20"/>
      <c r="S3778" s="20"/>
      <c r="T3778" s="20"/>
      <c r="U3778" t="s">
        <v>401</v>
      </c>
    </row>
    <row r="3779" spans="2:21" x14ac:dyDescent="0.25">
      <c r="B3779">
        <v>295</v>
      </c>
      <c r="C3779" t="s">
        <v>4279</v>
      </c>
      <c r="D3779">
        <v>6.5</v>
      </c>
      <c r="E3779" s="18">
        <v>-650</v>
      </c>
      <c r="F3779" t="s">
        <v>889</v>
      </c>
      <c r="G3779" t="s">
        <v>4280</v>
      </c>
      <c r="I3779"/>
      <c r="J3779"/>
      <c r="L3779"/>
      <c r="M3779"/>
      <c r="O3779"/>
      <c r="P3779" s="20"/>
      <c r="Q3779" s="20"/>
      <c r="R3779" s="20"/>
      <c r="S3779" s="20"/>
      <c r="T3779" s="20"/>
      <c r="U3779" t="s">
        <v>401</v>
      </c>
    </row>
    <row r="3780" spans="2:21" x14ac:dyDescent="0.25">
      <c r="B3780">
        <v>295</v>
      </c>
      <c r="C3780" t="s">
        <v>4291</v>
      </c>
      <c r="D3780">
        <v>8.5</v>
      </c>
      <c r="E3780" s="18">
        <v>-850</v>
      </c>
      <c r="F3780" t="s">
        <v>889</v>
      </c>
      <c r="G3780" t="s">
        <v>4292</v>
      </c>
      <c r="I3780"/>
      <c r="J3780"/>
      <c r="L3780"/>
      <c r="M3780"/>
      <c r="O3780"/>
      <c r="P3780" s="20"/>
      <c r="Q3780" s="20"/>
      <c r="R3780" s="20"/>
      <c r="S3780" s="20"/>
      <c r="T3780" s="20"/>
      <c r="U3780" t="s">
        <v>401</v>
      </c>
    </row>
    <row r="3781" spans="2:21" x14ac:dyDescent="0.25">
      <c r="B3781">
        <v>295</v>
      </c>
      <c r="C3781" t="s">
        <v>4321</v>
      </c>
      <c r="D3781">
        <v>3.25</v>
      </c>
      <c r="E3781" s="18">
        <v>325</v>
      </c>
      <c r="F3781" t="s">
        <v>889</v>
      </c>
      <c r="G3781" t="s">
        <v>4322</v>
      </c>
      <c r="I3781"/>
      <c r="J3781"/>
      <c r="L3781"/>
      <c r="M3781"/>
      <c r="O3781"/>
      <c r="P3781" s="20"/>
      <c r="Q3781" s="20"/>
      <c r="R3781" s="20"/>
      <c r="S3781" s="20"/>
      <c r="T3781" s="20"/>
      <c r="U3781" t="s">
        <v>401</v>
      </c>
    </row>
    <row r="3782" spans="2:21" x14ac:dyDescent="0.25">
      <c r="B3782">
        <v>295</v>
      </c>
      <c r="C3782" t="s">
        <v>4321</v>
      </c>
      <c r="D3782">
        <v>3.25</v>
      </c>
      <c r="E3782" s="18">
        <v>-325</v>
      </c>
      <c r="F3782" t="s">
        <v>889</v>
      </c>
      <c r="G3782" t="s">
        <v>4322</v>
      </c>
      <c r="I3782"/>
      <c r="J3782"/>
      <c r="L3782"/>
      <c r="M3782"/>
      <c r="O3782"/>
      <c r="P3782" s="20"/>
      <c r="Q3782" s="20"/>
      <c r="R3782" s="20"/>
      <c r="S3782" s="20"/>
      <c r="T3782" s="20"/>
      <c r="U3782" t="s">
        <v>401</v>
      </c>
    </row>
    <row r="3783" spans="2:21" x14ac:dyDescent="0.25">
      <c r="B3783">
        <v>295</v>
      </c>
      <c r="C3783" t="s">
        <v>4311</v>
      </c>
      <c r="D3783">
        <v>12.5</v>
      </c>
      <c r="E3783" s="18">
        <v>-1250</v>
      </c>
      <c r="F3783" t="s">
        <v>889</v>
      </c>
      <c r="G3783" t="s">
        <v>4312</v>
      </c>
      <c r="I3783"/>
      <c r="J3783"/>
      <c r="L3783"/>
      <c r="M3783"/>
      <c r="O3783"/>
      <c r="P3783" s="20"/>
      <c r="Q3783" s="20"/>
      <c r="R3783" s="20"/>
      <c r="S3783" s="20"/>
      <c r="T3783" s="20"/>
      <c r="U3783" t="s">
        <v>401</v>
      </c>
    </row>
    <row r="3784" spans="2:21" x14ac:dyDescent="0.25">
      <c r="B3784">
        <v>295</v>
      </c>
      <c r="C3784" t="s">
        <v>4303</v>
      </c>
      <c r="D3784">
        <v>3</v>
      </c>
      <c r="E3784" s="18">
        <v>-300</v>
      </c>
      <c r="F3784" t="s">
        <v>889</v>
      </c>
      <c r="G3784" t="s">
        <v>4304</v>
      </c>
      <c r="I3784"/>
      <c r="J3784"/>
      <c r="L3784"/>
      <c r="M3784"/>
      <c r="O3784"/>
      <c r="P3784" s="20"/>
      <c r="Q3784" s="20"/>
      <c r="R3784" s="20"/>
      <c r="S3784" s="20"/>
      <c r="T3784" s="20"/>
      <c r="U3784" t="s">
        <v>401</v>
      </c>
    </row>
    <row r="3785" spans="2:21" x14ac:dyDescent="0.25">
      <c r="B3785">
        <v>295</v>
      </c>
      <c r="C3785" t="s">
        <v>4323</v>
      </c>
      <c r="D3785">
        <v>5.25</v>
      </c>
      <c r="E3785" s="18">
        <v>-525</v>
      </c>
      <c r="F3785" t="s">
        <v>889</v>
      </c>
      <c r="G3785" t="s">
        <v>4324</v>
      </c>
      <c r="I3785"/>
      <c r="J3785"/>
      <c r="L3785"/>
      <c r="M3785"/>
      <c r="O3785"/>
      <c r="P3785" s="20"/>
      <c r="Q3785" s="20"/>
      <c r="R3785" s="20"/>
      <c r="S3785" s="20"/>
      <c r="T3785" s="20"/>
      <c r="U3785" t="s">
        <v>401</v>
      </c>
    </row>
    <row r="3786" spans="2:21" x14ac:dyDescent="0.25">
      <c r="B3786">
        <v>295</v>
      </c>
      <c r="C3786" t="s">
        <v>4299</v>
      </c>
      <c r="D3786">
        <v>5.5</v>
      </c>
      <c r="E3786" s="18">
        <v>550</v>
      </c>
      <c r="F3786" t="s">
        <v>889</v>
      </c>
      <c r="G3786" t="s">
        <v>4300</v>
      </c>
      <c r="I3786"/>
      <c r="J3786"/>
      <c r="L3786"/>
      <c r="M3786"/>
      <c r="O3786"/>
      <c r="P3786" s="20"/>
      <c r="Q3786" s="20"/>
      <c r="R3786" s="20"/>
      <c r="S3786" s="20"/>
      <c r="T3786" s="20"/>
      <c r="U3786" t="s">
        <v>401</v>
      </c>
    </row>
    <row r="3787" spans="2:21" x14ac:dyDescent="0.25">
      <c r="B3787">
        <v>295</v>
      </c>
      <c r="C3787" t="s">
        <v>4299</v>
      </c>
      <c r="D3787">
        <v>5.5</v>
      </c>
      <c r="E3787" s="18">
        <v>-550</v>
      </c>
      <c r="F3787" t="s">
        <v>889</v>
      </c>
      <c r="G3787" t="s">
        <v>4300</v>
      </c>
      <c r="I3787"/>
      <c r="J3787"/>
      <c r="L3787"/>
      <c r="M3787"/>
      <c r="O3787"/>
      <c r="P3787" s="20"/>
      <c r="Q3787" s="20"/>
      <c r="R3787" s="20"/>
      <c r="S3787" s="20"/>
      <c r="T3787" s="20"/>
      <c r="U3787" t="s">
        <v>401</v>
      </c>
    </row>
    <row r="3788" spans="2:21" x14ac:dyDescent="0.25">
      <c r="B3788">
        <v>295</v>
      </c>
      <c r="C3788" t="s">
        <v>4325</v>
      </c>
      <c r="D3788">
        <v>6.75</v>
      </c>
      <c r="E3788" s="18">
        <v>675</v>
      </c>
      <c r="F3788" t="s">
        <v>889</v>
      </c>
      <c r="G3788" t="s">
        <v>4298</v>
      </c>
      <c r="I3788"/>
      <c r="J3788"/>
      <c r="L3788"/>
      <c r="M3788"/>
      <c r="O3788"/>
      <c r="P3788" s="20"/>
      <c r="Q3788" s="20"/>
      <c r="R3788" s="20"/>
      <c r="S3788" s="20"/>
      <c r="T3788" s="20"/>
      <c r="U3788" t="s">
        <v>401</v>
      </c>
    </row>
    <row r="3789" spans="2:21" x14ac:dyDescent="0.25">
      <c r="B3789">
        <v>295</v>
      </c>
      <c r="C3789" t="s">
        <v>2239</v>
      </c>
      <c r="D3789">
        <v>7</v>
      </c>
      <c r="E3789" s="18">
        <v>-700</v>
      </c>
      <c r="F3789" t="s">
        <v>889</v>
      </c>
      <c r="G3789" t="s">
        <v>2252</v>
      </c>
      <c r="I3789"/>
      <c r="J3789"/>
      <c r="L3789"/>
      <c r="M3789"/>
      <c r="O3789"/>
      <c r="P3789" s="20"/>
      <c r="Q3789" s="20"/>
      <c r="R3789" s="20"/>
      <c r="S3789" s="20"/>
      <c r="T3789" s="20"/>
      <c r="U3789" t="s">
        <v>401</v>
      </c>
    </row>
    <row r="3790" spans="2:21" x14ac:dyDescent="0.25">
      <c r="B3790">
        <v>295</v>
      </c>
      <c r="C3790" t="s">
        <v>4326</v>
      </c>
      <c r="D3790">
        <v>12</v>
      </c>
      <c r="E3790" s="18">
        <v>-1200</v>
      </c>
      <c r="F3790" t="s">
        <v>889</v>
      </c>
      <c r="G3790" t="s">
        <v>4294</v>
      </c>
      <c r="I3790"/>
      <c r="J3790"/>
      <c r="L3790"/>
      <c r="M3790"/>
      <c r="O3790"/>
      <c r="P3790" s="20"/>
      <c r="Q3790" s="20"/>
      <c r="R3790" s="20"/>
      <c r="S3790" s="20"/>
      <c r="T3790" s="20"/>
      <c r="U3790" t="s">
        <v>401</v>
      </c>
    </row>
    <row r="3791" spans="2:21" x14ac:dyDescent="0.25">
      <c r="B3791">
        <v>295</v>
      </c>
      <c r="C3791" t="s">
        <v>4327</v>
      </c>
      <c r="D3791">
        <v>12.25</v>
      </c>
      <c r="E3791" s="18">
        <v>1225</v>
      </c>
      <c r="F3791" t="s">
        <v>889</v>
      </c>
      <c r="G3791" t="s">
        <v>4328</v>
      </c>
      <c r="I3791"/>
      <c r="J3791"/>
      <c r="L3791"/>
      <c r="M3791"/>
      <c r="O3791"/>
      <c r="P3791" s="20"/>
      <c r="Q3791" s="20"/>
      <c r="R3791" s="20"/>
      <c r="S3791" s="20"/>
      <c r="T3791" s="20"/>
      <c r="U3791" t="s">
        <v>401</v>
      </c>
    </row>
    <row r="3792" spans="2:21" x14ac:dyDescent="0.25">
      <c r="B3792">
        <v>295</v>
      </c>
      <c r="C3792" t="s">
        <v>4283</v>
      </c>
      <c r="D3792">
        <v>7.5</v>
      </c>
      <c r="E3792" s="18">
        <v>-750</v>
      </c>
      <c r="F3792" t="s">
        <v>889</v>
      </c>
      <c r="G3792" t="s">
        <v>4284</v>
      </c>
      <c r="I3792"/>
      <c r="J3792"/>
      <c r="L3792"/>
      <c r="M3792"/>
      <c r="O3792"/>
      <c r="P3792" s="20"/>
      <c r="Q3792" s="20"/>
      <c r="R3792" s="20"/>
      <c r="S3792" s="20"/>
      <c r="T3792" s="20"/>
      <c r="U3792" t="s">
        <v>401</v>
      </c>
    </row>
    <row r="3793" spans="1:21" x14ac:dyDescent="0.25">
      <c r="B3793">
        <v>295</v>
      </c>
      <c r="C3793" t="s">
        <v>4307</v>
      </c>
      <c r="D3793">
        <v>4</v>
      </c>
      <c r="E3793" s="18">
        <v>-400</v>
      </c>
      <c r="F3793" t="s">
        <v>889</v>
      </c>
      <c r="G3793" t="s">
        <v>4308</v>
      </c>
      <c r="I3793"/>
      <c r="J3793"/>
      <c r="L3793"/>
      <c r="M3793"/>
      <c r="O3793"/>
      <c r="P3793" s="20"/>
      <c r="Q3793" s="20"/>
      <c r="R3793" s="20"/>
      <c r="S3793" s="20"/>
      <c r="T3793" s="20"/>
      <c r="U3793" t="s">
        <v>401</v>
      </c>
    </row>
    <row r="3794" spans="1:21" x14ac:dyDescent="0.25">
      <c r="A3794" s="32">
        <v>42034</v>
      </c>
      <c r="B3794" s="56">
        <v>300</v>
      </c>
      <c r="C3794" s="20" t="s">
        <v>974</v>
      </c>
      <c r="D3794" s="20"/>
      <c r="E3794" s="18">
        <v>20.566666666666666</v>
      </c>
      <c r="F3794" s="33" t="s">
        <v>889</v>
      </c>
      <c r="G3794" s="33"/>
      <c r="H3794" s="18"/>
      <c r="J3794"/>
      <c r="L3794"/>
      <c r="M3794"/>
      <c r="N3794" s="20" t="s">
        <v>401</v>
      </c>
      <c r="O3794"/>
      <c r="P3794" s="20"/>
      <c r="Q3794" s="20"/>
      <c r="R3794" s="20"/>
      <c r="S3794" s="20"/>
      <c r="T3794" s="20"/>
    </row>
    <row r="3795" spans="1:21" x14ac:dyDescent="0.25">
      <c r="B3795">
        <v>300</v>
      </c>
      <c r="C3795" t="s">
        <v>1098</v>
      </c>
      <c r="E3795" s="18">
        <v>79.25</v>
      </c>
      <c r="F3795" t="s">
        <v>888</v>
      </c>
      <c r="G3795" t="s">
        <v>442</v>
      </c>
      <c r="I3795"/>
      <c r="J3795"/>
      <c r="L3795"/>
      <c r="M3795"/>
      <c r="O3795"/>
      <c r="P3795" s="20"/>
      <c r="Q3795" s="20"/>
      <c r="R3795" s="20"/>
      <c r="S3795" s="20"/>
      <c r="T3795" s="20"/>
      <c r="U3795" t="s">
        <v>401</v>
      </c>
    </row>
    <row r="3796" spans="1:21" x14ac:dyDescent="0.25">
      <c r="A3796" s="3">
        <v>41865</v>
      </c>
      <c r="B3796" s="36">
        <v>302</v>
      </c>
      <c r="C3796" t="s">
        <v>4329</v>
      </c>
      <c r="D3796">
        <v>6.25</v>
      </c>
      <c r="E3796" s="18">
        <v>625</v>
      </c>
      <c r="F3796" t="s">
        <v>889</v>
      </c>
      <c r="G3796" t="s">
        <v>4330</v>
      </c>
      <c r="H3796" s="18">
        <v>625</v>
      </c>
      <c r="I3796" s="3">
        <v>41865</v>
      </c>
      <c r="J3796"/>
      <c r="L3796"/>
      <c r="M3796"/>
      <c r="N3796" s="20"/>
      <c r="O3796"/>
      <c r="P3796" s="20"/>
      <c r="Q3796" s="20"/>
      <c r="R3796" s="20"/>
      <c r="S3796" s="20"/>
      <c r="T3796" s="20"/>
    </row>
    <row r="3797" spans="1:21" x14ac:dyDescent="0.25">
      <c r="A3797" s="3">
        <v>41873</v>
      </c>
      <c r="B3797" s="36">
        <v>302</v>
      </c>
      <c r="C3797" t="s">
        <v>4331</v>
      </c>
      <c r="D3797">
        <v>8</v>
      </c>
      <c r="E3797" s="18">
        <v>800</v>
      </c>
      <c r="F3797" t="s">
        <v>889</v>
      </c>
      <c r="G3797" t="s">
        <v>4332</v>
      </c>
      <c r="H3797" s="18">
        <v>800</v>
      </c>
      <c r="I3797" s="3">
        <v>41873</v>
      </c>
      <c r="J3797"/>
      <c r="L3797"/>
      <c r="M3797"/>
      <c r="N3797" s="20"/>
      <c r="O3797"/>
      <c r="P3797" s="20"/>
      <c r="Q3797" s="20"/>
      <c r="R3797" s="20"/>
      <c r="S3797" s="20"/>
      <c r="T3797" s="20"/>
    </row>
    <row r="3798" spans="1:21" x14ac:dyDescent="0.25">
      <c r="A3798" s="3">
        <v>41879</v>
      </c>
      <c r="B3798" s="36">
        <v>302</v>
      </c>
      <c r="C3798" t="s">
        <v>4329</v>
      </c>
      <c r="D3798">
        <v>6.25</v>
      </c>
      <c r="E3798" s="18">
        <v>-625</v>
      </c>
      <c r="F3798" t="s">
        <v>889</v>
      </c>
      <c r="G3798" t="s">
        <v>4330</v>
      </c>
      <c r="H3798" s="18" t="s">
        <v>442</v>
      </c>
      <c r="I3798" s="3" t="s">
        <v>442</v>
      </c>
      <c r="J3798"/>
      <c r="L3798"/>
      <c r="M3798"/>
      <c r="N3798" s="20"/>
      <c r="O3798"/>
      <c r="P3798" s="20"/>
      <c r="Q3798" s="20"/>
      <c r="R3798" s="20"/>
      <c r="S3798" s="20"/>
      <c r="T3798" s="20"/>
    </row>
    <row r="3799" spans="1:21" x14ac:dyDescent="0.25">
      <c r="A3799" s="3">
        <v>41879</v>
      </c>
      <c r="B3799" s="36">
        <v>302</v>
      </c>
      <c r="C3799" t="s">
        <v>4333</v>
      </c>
      <c r="D3799">
        <v>12.75</v>
      </c>
      <c r="E3799" s="18">
        <v>1225</v>
      </c>
      <c r="F3799" t="s">
        <v>889</v>
      </c>
      <c r="G3799" t="s">
        <v>4334</v>
      </c>
      <c r="H3799" s="18">
        <v>1225</v>
      </c>
      <c r="I3799" s="3">
        <v>41879</v>
      </c>
      <c r="J3799"/>
      <c r="L3799"/>
      <c r="M3799"/>
      <c r="N3799" s="20"/>
      <c r="O3799"/>
      <c r="P3799" s="20"/>
      <c r="Q3799" s="20"/>
      <c r="R3799" s="20"/>
      <c r="S3799" s="20"/>
      <c r="T3799" s="20"/>
    </row>
    <row r="3800" spans="1:21" x14ac:dyDescent="0.25">
      <c r="A3800" s="3">
        <v>41943</v>
      </c>
      <c r="B3800" s="36">
        <v>302</v>
      </c>
      <c r="C3800" t="s">
        <v>4335</v>
      </c>
      <c r="D3800">
        <v>11.5</v>
      </c>
      <c r="E3800" s="18">
        <v>1150</v>
      </c>
      <c r="F3800" t="s">
        <v>889</v>
      </c>
      <c r="G3800" t="s">
        <v>4336</v>
      </c>
      <c r="H3800" s="18">
        <v>1150</v>
      </c>
      <c r="I3800" s="3">
        <v>41943</v>
      </c>
      <c r="J3800"/>
      <c r="L3800"/>
      <c r="M3800"/>
      <c r="N3800" s="20"/>
      <c r="O3800"/>
      <c r="P3800" s="20"/>
      <c r="Q3800" s="20"/>
      <c r="R3800" s="20"/>
      <c r="S3800" s="20"/>
      <c r="T3800" s="20"/>
    </row>
    <row r="3801" spans="1:21" x14ac:dyDescent="0.25">
      <c r="A3801" s="3">
        <v>41957</v>
      </c>
      <c r="B3801" s="36">
        <v>302</v>
      </c>
      <c r="C3801" t="s">
        <v>4333</v>
      </c>
      <c r="D3801">
        <v>12.25</v>
      </c>
      <c r="E3801" s="18">
        <v>501.13636363636374</v>
      </c>
      <c r="F3801" t="s">
        <v>889</v>
      </c>
      <c r="G3801" t="s">
        <v>4334</v>
      </c>
      <c r="H3801" s="18">
        <v>501.13636363636374</v>
      </c>
      <c r="I3801" s="3">
        <v>41957</v>
      </c>
      <c r="J3801"/>
      <c r="L3801"/>
      <c r="M3801"/>
      <c r="N3801" s="20"/>
      <c r="O3801" t="s">
        <v>959</v>
      </c>
      <c r="P3801" s="20"/>
      <c r="Q3801" s="20"/>
      <c r="R3801" s="20"/>
      <c r="S3801" s="20"/>
      <c r="T3801" s="20"/>
    </row>
    <row r="3802" spans="1:21" x14ac:dyDescent="0.25">
      <c r="A3802" s="3">
        <v>41999</v>
      </c>
      <c r="B3802" s="36">
        <v>302</v>
      </c>
      <c r="C3802" t="s">
        <v>778</v>
      </c>
      <c r="D3802">
        <v>13.5</v>
      </c>
      <c r="E3802" s="18">
        <v>250</v>
      </c>
      <c r="F3802" t="s">
        <v>889</v>
      </c>
      <c r="G3802" t="s">
        <v>779</v>
      </c>
      <c r="H3802" s="18">
        <v>250</v>
      </c>
      <c r="I3802" s="3">
        <v>41999</v>
      </c>
      <c r="J3802"/>
      <c r="L3802"/>
      <c r="M3802"/>
      <c r="N3802" s="20"/>
      <c r="O3802"/>
      <c r="P3802" s="20"/>
      <c r="Q3802" s="20"/>
      <c r="R3802" s="20"/>
      <c r="S3802" s="20"/>
      <c r="T3802" s="20"/>
    </row>
    <row r="3803" spans="1:21" x14ac:dyDescent="0.25">
      <c r="A3803" s="3">
        <v>42004</v>
      </c>
      <c r="B3803" s="36">
        <v>302</v>
      </c>
      <c r="C3803" t="s">
        <v>4331</v>
      </c>
      <c r="D3803">
        <v>8</v>
      </c>
      <c r="E3803" s="18">
        <v>109.09090909090908</v>
      </c>
      <c r="F3803" t="s">
        <v>889</v>
      </c>
      <c r="G3803" t="s">
        <v>4332</v>
      </c>
      <c r="H3803" s="18">
        <v>109.09090909090908</v>
      </c>
      <c r="I3803" s="3">
        <v>42004</v>
      </c>
      <c r="J3803"/>
      <c r="L3803"/>
      <c r="M3803"/>
      <c r="N3803" s="20"/>
      <c r="O3803"/>
      <c r="P3803" s="20"/>
      <c r="Q3803" s="20"/>
      <c r="R3803" s="20"/>
      <c r="S3803" s="20"/>
      <c r="T3803" s="20"/>
    </row>
    <row r="3804" spans="1:21" x14ac:dyDescent="0.25">
      <c r="A3804" s="3">
        <v>42041</v>
      </c>
      <c r="B3804">
        <v>302</v>
      </c>
      <c r="C3804" t="s">
        <v>4331</v>
      </c>
      <c r="E3804" s="18">
        <v>109.09090909090908</v>
      </c>
      <c r="F3804" t="s">
        <v>889</v>
      </c>
      <c r="G3804" t="s">
        <v>4332</v>
      </c>
      <c r="I3804"/>
      <c r="J3804"/>
      <c r="L3804"/>
      <c r="M3804"/>
      <c r="O3804"/>
      <c r="P3804" s="20"/>
      <c r="Q3804" s="20"/>
      <c r="R3804" s="20"/>
      <c r="S3804" s="20"/>
      <c r="T3804" s="20"/>
    </row>
    <row r="3805" spans="1:21" x14ac:dyDescent="0.25">
      <c r="B3805">
        <v>302</v>
      </c>
      <c r="C3805" t="s">
        <v>4335</v>
      </c>
      <c r="D3805">
        <v>11.5</v>
      </c>
      <c r="E3805" s="18">
        <v>-1150</v>
      </c>
      <c r="F3805" t="s">
        <v>889</v>
      </c>
      <c r="G3805" t="s">
        <v>4336</v>
      </c>
      <c r="I3805"/>
      <c r="J3805"/>
      <c r="L3805"/>
      <c r="M3805"/>
      <c r="O3805"/>
      <c r="P3805" s="20"/>
      <c r="Q3805" s="20"/>
      <c r="R3805" s="20"/>
      <c r="S3805" s="20"/>
      <c r="T3805" s="20"/>
      <c r="U3805" t="s">
        <v>401</v>
      </c>
    </row>
    <row r="3806" spans="1:21" x14ac:dyDescent="0.25">
      <c r="A3806" s="3">
        <v>41906</v>
      </c>
      <c r="B3806" s="36">
        <v>303</v>
      </c>
      <c r="C3806" t="s">
        <v>4337</v>
      </c>
      <c r="D3806">
        <v>7</v>
      </c>
      <c r="E3806" s="18">
        <v>-700</v>
      </c>
      <c r="F3806" t="s">
        <v>889</v>
      </c>
      <c r="G3806" t="s">
        <v>4338</v>
      </c>
      <c r="H3806" s="18" t="s">
        <v>442</v>
      </c>
      <c r="I3806" s="3" t="s">
        <v>442</v>
      </c>
      <c r="J3806"/>
      <c r="L3806"/>
      <c r="M3806"/>
      <c r="N3806" s="20"/>
      <c r="O3806"/>
      <c r="P3806" s="20"/>
      <c r="Q3806" s="20"/>
      <c r="R3806" s="20"/>
      <c r="S3806" s="20"/>
      <c r="T3806" s="20"/>
    </row>
    <row r="3807" spans="1:21" x14ac:dyDescent="0.25">
      <c r="A3807" s="3">
        <v>41906</v>
      </c>
      <c r="B3807" s="36">
        <v>303</v>
      </c>
      <c r="C3807" t="s">
        <v>4337</v>
      </c>
      <c r="D3807">
        <v>7</v>
      </c>
      <c r="E3807" s="18">
        <v>700</v>
      </c>
      <c r="F3807" t="s">
        <v>889</v>
      </c>
      <c r="G3807" t="s">
        <v>4338</v>
      </c>
      <c r="H3807" s="18">
        <v>700</v>
      </c>
      <c r="I3807" s="3">
        <v>41906</v>
      </c>
      <c r="J3807"/>
      <c r="L3807"/>
      <c r="M3807"/>
      <c r="N3807" s="20"/>
      <c r="O3807"/>
      <c r="P3807" s="20"/>
      <c r="Q3807" s="20"/>
      <c r="R3807" s="20"/>
      <c r="S3807" s="20"/>
      <c r="T3807" s="20"/>
    </row>
    <row r="3808" spans="1:21" x14ac:dyDescent="0.25">
      <c r="A3808" s="3">
        <v>41906</v>
      </c>
      <c r="B3808" s="36">
        <v>303</v>
      </c>
      <c r="C3808" t="s">
        <v>1098</v>
      </c>
      <c r="E3808" s="18">
        <v>30</v>
      </c>
      <c r="F3808" t="s">
        <v>888</v>
      </c>
      <c r="G3808" t="s">
        <v>442</v>
      </c>
      <c r="H3808" s="18" t="s">
        <v>442</v>
      </c>
      <c r="I3808" s="3" t="s">
        <v>442</v>
      </c>
      <c r="J3808"/>
      <c r="L3808"/>
      <c r="M3808"/>
      <c r="N3808" s="20" t="s">
        <v>401</v>
      </c>
      <c r="O3808"/>
      <c r="P3808" s="20"/>
      <c r="Q3808" s="20"/>
      <c r="R3808" s="20"/>
      <c r="S3808" s="20"/>
      <c r="T3808" s="20"/>
    </row>
    <row r="3809" spans="1:21" x14ac:dyDescent="0.25">
      <c r="A3809" s="3">
        <v>41906</v>
      </c>
      <c r="B3809" s="36">
        <v>303</v>
      </c>
      <c r="C3809" t="s">
        <v>4339</v>
      </c>
      <c r="D3809">
        <v>10.25</v>
      </c>
      <c r="E3809" s="18">
        <v>1025</v>
      </c>
      <c r="F3809" t="s">
        <v>889</v>
      </c>
      <c r="G3809" t="s">
        <v>4340</v>
      </c>
      <c r="H3809" s="18">
        <v>1025</v>
      </c>
      <c r="I3809" s="3">
        <v>41906</v>
      </c>
      <c r="J3809"/>
      <c r="L3809"/>
      <c r="M3809"/>
      <c r="N3809" s="20"/>
      <c r="O3809"/>
      <c r="P3809" s="20"/>
      <c r="Q3809" s="20"/>
      <c r="R3809" s="20"/>
      <c r="S3809" s="20"/>
      <c r="T3809" s="20"/>
    </row>
    <row r="3810" spans="1:21" x14ac:dyDescent="0.25">
      <c r="A3810" s="3">
        <v>41906</v>
      </c>
      <c r="B3810" s="36">
        <v>303</v>
      </c>
      <c r="C3810" t="s">
        <v>4341</v>
      </c>
      <c r="E3810" s="18">
        <v>220</v>
      </c>
      <c r="F3810" t="s">
        <v>889</v>
      </c>
      <c r="H3810" s="18" t="s">
        <v>442</v>
      </c>
      <c r="I3810" s="3" t="s">
        <v>442</v>
      </c>
      <c r="J3810"/>
      <c r="L3810"/>
      <c r="M3810"/>
      <c r="N3810" s="20" t="s">
        <v>401</v>
      </c>
      <c r="O3810"/>
      <c r="P3810" s="20"/>
      <c r="Q3810" s="20"/>
      <c r="R3810" s="20"/>
      <c r="S3810" s="20"/>
      <c r="T3810" s="20"/>
    </row>
    <row r="3811" spans="1:21" x14ac:dyDescent="0.25">
      <c r="A3811" s="3">
        <v>41964</v>
      </c>
      <c r="B3811" s="36">
        <v>303</v>
      </c>
      <c r="C3811" t="s">
        <v>963</v>
      </c>
      <c r="E3811" s="18">
        <v>61.25</v>
      </c>
      <c r="F3811" t="s">
        <v>889</v>
      </c>
      <c r="G3811" t="s">
        <v>442</v>
      </c>
      <c r="H3811" s="18" t="s">
        <v>442</v>
      </c>
      <c r="I3811" s="3" t="s">
        <v>442</v>
      </c>
      <c r="J3811"/>
      <c r="L3811"/>
      <c r="M3811"/>
      <c r="N3811" s="40" t="s">
        <v>401</v>
      </c>
      <c r="O3811"/>
      <c r="P3811" s="20"/>
      <c r="Q3811" s="20"/>
      <c r="R3811" s="20"/>
      <c r="S3811" s="20"/>
      <c r="T3811" s="20"/>
    </row>
    <row r="3812" spans="1:21" x14ac:dyDescent="0.25">
      <c r="A3812" s="3">
        <v>41999</v>
      </c>
      <c r="B3812" s="36">
        <v>303</v>
      </c>
      <c r="C3812" t="s">
        <v>4339</v>
      </c>
      <c r="D3812">
        <v>7.5</v>
      </c>
      <c r="E3812" s="18">
        <v>475</v>
      </c>
      <c r="F3812" t="s">
        <v>889</v>
      </c>
      <c r="G3812" t="s">
        <v>4340</v>
      </c>
      <c r="H3812" s="18">
        <v>475</v>
      </c>
      <c r="I3812" s="3">
        <v>41999</v>
      </c>
      <c r="J3812"/>
      <c r="L3812"/>
      <c r="M3812"/>
      <c r="N3812" s="20"/>
      <c r="O3812" t="s">
        <v>959</v>
      </c>
      <c r="P3812" s="20"/>
      <c r="Q3812" s="20"/>
      <c r="R3812" s="20"/>
      <c r="S3812" s="20"/>
      <c r="T3812" s="20"/>
    </row>
    <row r="3813" spans="1:21" x14ac:dyDescent="0.25">
      <c r="B3813">
        <v>303</v>
      </c>
      <c r="C3813" t="s">
        <v>4339</v>
      </c>
      <c r="D3813">
        <v>10.25</v>
      </c>
      <c r="E3813" s="18">
        <v>-55.681818181818016</v>
      </c>
      <c r="F3813" t="s">
        <v>889</v>
      </c>
      <c r="G3813" t="s">
        <v>4340</v>
      </c>
      <c r="I3813"/>
      <c r="J3813"/>
      <c r="L3813"/>
      <c r="M3813"/>
      <c r="O3813"/>
      <c r="P3813" s="20"/>
      <c r="Q3813" s="20"/>
      <c r="R3813" s="20"/>
      <c r="S3813" s="20"/>
      <c r="T3813" s="20"/>
      <c r="U3813" t="s">
        <v>401</v>
      </c>
    </row>
    <row r="3814" spans="1:21" x14ac:dyDescent="0.25">
      <c r="A3814" s="57">
        <v>41855</v>
      </c>
      <c r="B3814" s="42">
        <v>304</v>
      </c>
      <c r="C3814" s="45" t="s">
        <v>3046</v>
      </c>
      <c r="D3814" s="45">
        <v>11.5</v>
      </c>
      <c r="E3814" s="58">
        <v>1150</v>
      </c>
      <c r="F3814" s="45" t="s">
        <v>889</v>
      </c>
      <c r="G3814" s="45" t="s">
        <v>3047</v>
      </c>
      <c r="H3814" s="18">
        <v>1150</v>
      </c>
      <c r="I3814" s="3">
        <v>41855</v>
      </c>
      <c r="J3814" s="45"/>
      <c r="K3814" s="45"/>
      <c r="L3814" s="45"/>
      <c r="M3814" s="45"/>
      <c r="N3814" s="45"/>
      <c r="O3814" s="45" t="s">
        <v>931</v>
      </c>
      <c r="P3814" s="20"/>
      <c r="Q3814" s="20"/>
      <c r="R3814" s="20"/>
      <c r="S3814" s="20"/>
      <c r="T3814" s="20"/>
    </row>
    <row r="3815" spans="1:21" x14ac:dyDescent="0.25">
      <c r="A3815" s="3">
        <v>41865</v>
      </c>
      <c r="B3815" s="36">
        <v>304</v>
      </c>
      <c r="C3815" t="s">
        <v>4342</v>
      </c>
      <c r="D3815">
        <v>10.5</v>
      </c>
      <c r="E3815" s="18">
        <v>1050</v>
      </c>
      <c r="F3815" t="s">
        <v>889</v>
      </c>
      <c r="G3815" t="s">
        <v>4343</v>
      </c>
      <c r="H3815" s="18">
        <v>1050</v>
      </c>
      <c r="I3815" s="3">
        <v>41865</v>
      </c>
      <c r="J3815"/>
      <c r="L3815"/>
      <c r="M3815"/>
      <c r="N3815" s="20"/>
      <c r="O3815"/>
      <c r="P3815" s="20"/>
      <c r="Q3815" s="20"/>
      <c r="R3815" s="20"/>
      <c r="S3815" s="20"/>
      <c r="T3815" s="20"/>
    </row>
    <row r="3816" spans="1:21" x14ac:dyDescent="0.25">
      <c r="A3816" s="3">
        <v>41879</v>
      </c>
      <c r="B3816" s="36">
        <v>304</v>
      </c>
      <c r="C3816" t="s">
        <v>4344</v>
      </c>
      <c r="D3816">
        <v>6.25</v>
      </c>
      <c r="E3816" s="18">
        <v>600</v>
      </c>
      <c r="F3816" t="s">
        <v>889</v>
      </c>
      <c r="G3816" t="s">
        <v>4345</v>
      </c>
      <c r="H3816" s="18">
        <v>600</v>
      </c>
      <c r="I3816" s="3">
        <v>41879</v>
      </c>
      <c r="J3816"/>
      <c r="L3816"/>
      <c r="M3816"/>
      <c r="N3816" s="20"/>
      <c r="O3816"/>
      <c r="P3816" s="20"/>
      <c r="Q3816" s="20"/>
      <c r="R3816" s="20"/>
      <c r="S3816" s="20"/>
      <c r="T3816" s="20"/>
    </row>
    <row r="3817" spans="1:21" x14ac:dyDescent="0.25">
      <c r="A3817" s="3">
        <v>41922</v>
      </c>
      <c r="B3817" s="36">
        <v>304</v>
      </c>
      <c r="C3817" t="s">
        <v>4346</v>
      </c>
      <c r="E3817" s="18">
        <v>1500</v>
      </c>
      <c r="G3817" t="s">
        <v>442</v>
      </c>
      <c r="H3817" s="18" t="s">
        <v>442</v>
      </c>
      <c r="I3817" s="3" t="s">
        <v>442</v>
      </c>
      <c r="J3817"/>
      <c r="L3817"/>
      <c r="M3817"/>
      <c r="N3817" s="20"/>
      <c r="O3817"/>
      <c r="P3817" s="20"/>
      <c r="Q3817" s="20"/>
      <c r="R3817" s="20"/>
      <c r="S3817" s="20"/>
      <c r="T3817" s="20" t="s">
        <v>401</v>
      </c>
    </row>
    <row r="3818" spans="1:21" x14ac:dyDescent="0.25">
      <c r="B3818">
        <v>304</v>
      </c>
      <c r="C3818" t="s">
        <v>4342</v>
      </c>
      <c r="D3818">
        <v>10.5</v>
      </c>
      <c r="E3818" s="18">
        <v>-1050</v>
      </c>
      <c r="F3818" t="s">
        <v>889</v>
      </c>
      <c r="G3818" t="s">
        <v>4343</v>
      </c>
      <c r="I3818"/>
      <c r="J3818"/>
      <c r="L3818"/>
      <c r="M3818"/>
      <c r="O3818"/>
      <c r="P3818" s="20"/>
      <c r="Q3818" s="20"/>
      <c r="R3818" s="20"/>
      <c r="S3818" s="20"/>
      <c r="T3818" s="20"/>
      <c r="U3818" t="s">
        <v>401</v>
      </c>
    </row>
    <row r="3819" spans="1:21" x14ac:dyDescent="0.25">
      <c r="B3819">
        <v>304</v>
      </c>
      <c r="C3819" t="s">
        <v>4344</v>
      </c>
      <c r="D3819">
        <v>6</v>
      </c>
      <c r="E3819" s="18">
        <v>-600</v>
      </c>
      <c r="F3819" t="s">
        <v>889</v>
      </c>
      <c r="G3819" t="s">
        <v>4345</v>
      </c>
      <c r="I3819"/>
      <c r="J3819"/>
      <c r="L3819"/>
      <c r="M3819"/>
      <c r="O3819"/>
      <c r="P3819" s="20"/>
      <c r="Q3819" s="20"/>
      <c r="R3819" s="20"/>
      <c r="S3819" s="20"/>
      <c r="T3819" s="20"/>
      <c r="U3819" t="s">
        <v>401</v>
      </c>
    </row>
    <row r="3820" spans="1:21" x14ac:dyDescent="0.25">
      <c r="B3820">
        <v>304</v>
      </c>
      <c r="C3820" t="s">
        <v>3046</v>
      </c>
      <c r="D3820">
        <v>18.25</v>
      </c>
      <c r="E3820" s="18">
        <v>1350</v>
      </c>
      <c r="F3820" t="s">
        <v>889</v>
      </c>
      <c r="G3820" t="s">
        <v>3047</v>
      </c>
      <c r="I3820"/>
      <c r="J3820"/>
      <c r="L3820"/>
      <c r="M3820"/>
      <c r="O3820"/>
      <c r="P3820" s="20"/>
      <c r="Q3820" s="20"/>
      <c r="R3820" s="20"/>
      <c r="S3820" s="20"/>
      <c r="T3820" s="20"/>
      <c r="U3820" t="s">
        <v>401</v>
      </c>
    </row>
    <row r="3821" spans="1:21" x14ac:dyDescent="0.25">
      <c r="B3821">
        <v>304</v>
      </c>
      <c r="C3821" t="s">
        <v>4346</v>
      </c>
      <c r="E3821" s="18">
        <v>-1500</v>
      </c>
      <c r="F3821" t="s">
        <v>889</v>
      </c>
      <c r="G3821" t="s">
        <v>442</v>
      </c>
      <c r="I3821"/>
      <c r="J3821"/>
      <c r="L3821"/>
      <c r="M3821"/>
      <c r="O3821"/>
      <c r="P3821" s="20"/>
      <c r="Q3821" s="20"/>
      <c r="R3821" s="20"/>
      <c r="S3821" s="20"/>
      <c r="T3821" s="20"/>
      <c r="U3821" t="s">
        <v>401</v>
      </c>
    </row>
    <row r="3822" spans="1:21" x14ac:dyDescent="0.25">
      <c r="A3822" s="57">
        <v>41985</v>
      </c>
      <c r="B3822" s="42">
        <v>308</v>
      </c>
      <c r="C3822" s="45" t="s">
        <v>1128</v>
      </c>
      <c r="D3822" s="45">
        <v>5.25</v>
      </c>
      <c r="E3822" s="58">
        <v>525</v>
      </c>
      <c r="F3822" s="45" t="s">
        <v>889</v>
      </c>
      <c r="G3822" s="45" t="s">
        <v>1129</v>
      </c>
      <c r="H3822" s="18">
        <v>525</v>
      </c>
      <c r="I3822" s="3">
        <v>41985</v>
      </c>
      <c r="J3822" s="45"/>
      <c r="K3822" s="45"/>
      <c r="L3822" s="45"/>
      <c r="M3822" s="45"/>
      <c r="N3822" s="45"/>
      <c r="O3822" s="45"/>
      <c r="P3822" s="20"/>
      <c r="Q3822" s="20"/>
      <c r="R3822" s="20"/>
      <c r="S3822" s="20"/>
      <c r="T3822" s="20"/>
    </row>
    <row r="3823" spans="1:21" x14ac:dyDescent="0.25">
      <c r="B3823">
        <v>311</v>
      </c>
      <c r="C3823" t="s">
        <v>4347</v>
      </c>
      <c r="D3823">
        <v>2.5499999999999998</v>
      </c>
      <c r="E3823" s="18">
        <v>254.99999999999997</v>
      </c>
      <c r="F3823" t="s">
        <v>889</v>
      </c>
      <c r="G3823" t="s">
        <v>4348</v>
      </c>
      <c r="I3823"/>
      <c r="J3823"/>
      <c r="L3823"/>
      <c r="M3823"/>
      <c r="O3823"/>
      <c r="P3823" s="20"/>
      <c r="Q3823" s="20"/>
      <c r="R3823" s="20"/>
      <c r="S3823" s="20"/>
      <c r="T3823" s="20"/>
      <c r="U3823" t="s">
        <v>401</v>
      </c>
    </row>
    <row r="3824" spans="1:21" x14ac:dyDescent="0.25">
      <c r="B3824">
        <v>311</v>
      </c>
      <c r="C3824" t="s">
        <v>4347</v>
      </c>
      <c r="D3824">
        <v>2.5499999999999998</v>
      </c>
      <c r="E3824" s="18">
        <v>-255</v>
      </c>
      <c r="F3824" t="s">
        <v>889</v>
      </c>
      <c r="G3824" t="s">
        <v>4348</v>
      </c>
      <c r="I3824"/>
      <c r="J3824"/>
      <c r="L3824"/>
      <c r="M3824"/>
      <c r="O3824"/>
      <c r="P3824" s="20"/>
      <c r="Q3824" s="20"/>
      <c r="R3824" s="20"/>
      <c r="S3824" s="20"/>
      <c r="T3824" s="20"/>
      <c r="U3824" t="s">
        <v>401</v>
      </c>
    </row>
    <row r="3825" spans="1:21" x14ac:dyDescent="0.25">
      <c r="B3825">
        <v>314</v>
      </c>
      <c r="C3825" t="s">
        <v>1482</v>
      </c>
      <c r="E3825" s="18">
        <v>-100</v>
      </c>
      <c r="G3825" t="s">
        <v>442</v>
      </c>
      <c r="I3825"/>
      <c r="J3825"/>
      <c r="L3825"/>
      <c r="M3825"/>
      <c r="O3825"/>
      <c r="P3825" s="20"/>
      <c r="Q3825" s="20"/>
      <c r="R3825" s="20"/>
      <c r="S3825" s="20"/>
      <c r="T3825" s="20"/>
      <c r="U3825" t="s">
        <v>401</v>
      </c>
    </row>
    <row r="3826" spans="1:21" x14ac:dyDescent="0.25">
      <c r="B3826">
        <v>314</v>
      </c>
      <c r="C3826" t="s">
        <v>1483</v>
      </c>
      <c r="E3826" s="18">
        <v>-100</v>
      </c>
      <c r="G3826" t="s">
        <v>442</v>
      </c>
      <c r="I3826"/>
      <c r="J3826"/>
      <c r="L3826"/>
      <c r="M3826"/>
      <c r="O3826"/>
      <c r="P3826" s="20"/>
      <c r="Q3826" s="20"/>
      <c r="R3826" s="20"/>
      <c r="S3826" s="20"/>
      <c r="T3826" s="20"/>
      <c r="U3826" t="s">
        <v>401</v>
      </c>
    </row>
    <row r="3827" spans="1:21" x14ac:dyDescent="0.25">
      <c r="B3827">
        <v>314</v>
      </c>
      <c r="C3827" t="s">
        <v>1237</v>
      </c>
      <c r="E3827" s="18">
        <v>-100</v>
      </c>
      <c r="F3827" t="s">
        <v>1484</v>
      </c>
      <c r="G3827" t="s">
        <v>442</v>
      </c>
      <c r="I3827"/>
      <c r="J3827"/>
      <c r="L3827"/>
      <c r="M3827"/>
      <c r="O3827"/>
      <c r="P3827" s="20"/>
      <c r="Q3827" s="20"/>
      <c r="R3827" s="20"/>
      <c r="S3827" s="20"/>
      <c r="T3827" s="20"/>
      <c r="U3827" t="s">
        <v>401</v>
      </c>
    </row>
    <row r="3828" spans="1:21" x14ac:dyDescent="0.25">
      <c r="B3828">
        <v>314</v>
      </c>
      <c r="C3828" t="s">
        <v>4349</v>
      </c>
      <c r="E3828" s="18">
        <v>-114.29</v>
      </c>
      <c r="G3828" t="s">
        <v>442</v>
      </c>
      <c r="I3828"/>
      <c r="J3828"/>
      <c r="L3828"/>
      <c r="M3828"/>
      <c r="O3828"/>
      <c r="P3828" s="20"/>
      <c r="Q3828" s="20"/>
      <c r="R3828" s="20"/>
      <c r="S3828" s="20"/>
      <c r="T3828" s="20"/>
      <c r="U3828" t="s">
        <v>401</v>
      </c>
    </row>
    <row r="3829" spans="1:21" x14ac:dyDescent="0.25">
      <c r="A3829" s="3">
        <v>41859</v>
      </c>
      <c r="B3829" s="36">
        <v>319</v>
      </c>
      <c r="C3829" t="s">
        <v>2584</v>
      </c>
      <c r="D3829">
        <v>2</v>
      </c>
      <c r="E3829" s="18">
        <v>-200</v>
      </c>
      <c r="F3829" t="s">
        <v>891</v>
      </c>
      <c r="G3829" t="s">
        <v>442</v>
      </c>
      <c r="H3829" s="18" t="s">
        <v>442</v>
      </c>
      <c r="I3829" s="3" t="s">
        <v>442</v>
      </c>
      <c r="J3829"/>
      <c r="L3829"/>
      <c r="M3829"/>
      <c r="N3829" s="20"/>
      <c r="O3829"/>
      <c r="P3829" s="20"/>
      <c r="Q3829" s="20"/>
      <c r="R3829" s="20" t="s">
        <v>401</v>
      </c>
      <c r="S3829" s="20"/>
      <c r="T3829" s="20"/>
    </row>
    <row r="3830" spans="1:21" x14ac:dyDescent="0.25">
      <c r="A3830" s="3">
        <v>41859</v>
      </c>
      <c r="B3830" s="36">
        <v>319</v>
      </c>
      <c r="C3830" t="s">
        <v>4350</v>
      </c>
      <c r="D3830">
        <v>7.5</v>
      </c>
      <c r="E3830" s="18">
        <v>750</v>
      </c>
      <c r="F3830" t="s">
        <v>889</v>
      </c>
      <c r="G3830" t="s">
        <v>4351</v>
      </c>
      <c r="H3830" s="18">
        <v>750</v>
      </c>
      <c r="I3830" s="3">
        <v>41859</v>
      </c>
      <c r="J3830"/>
      <c r="L3830"/>
      <c r="M3830"/>
      <c r="N3830" s="20"/>
      <c r="O3830" t="s">
        <v>931</v>
      </c>
      <c r="P3830" s="20"/>
      <c r="Q3830" s="20"/>
      <c r="R3830" s="20"/>
      <c r="S3830" s="20"/>
      <c r="T3830" s="20"/>
    </row>
    <row r="3831" spans="1:21" x14ac:dyDescent="0.25">
      <c r="B3831">
        <v>319</v>
      </c>
      <c r="C3831" t="s">
        <v>4350</v>
      </c>
      <c r="D3831">
        <v>7.5</v>
      </c>
      <c r="E3831" s="18">
        <v>-750</v>
      </c>
      <c r="F3831" t="s">
        <v>889</v>
      </c>
      <c r="G3831" t="s">
        <v>4351</v>
      </c>
      <c r="I3831"/>
      <c r="J3831"/>
      <c r="L3831"/>
      <c r="M3831"/>
      <c r="O3831"/>
      <c r="P3831" s="20"/>
      <c r="Q3831" s="20"/>
      <c r="R3831" s="20"/>
      <c r="S3831" s="20"/>
      <c r="T3831" s="20"/>
      <c r="U3831" t="s">
        <v>401</v>
      </c>
    </row>
    <row r="3832" spans="1:21" x14ac:dyDescent="0.25">
      <c r="A3832" s="3">
        <v>41880</v>
      </c>
      <c r="B3832" s="36">
        <v>321</v>
      </c>
      <c r="C3832" t="s">
        <v>4352</v>
      </c>
      <c r="D3832">
        <v>10.75</v>
      </c>
      <c r="E3832" s="18">
        <v>775</v>
      </c>
      <c r="F3832" t="s">
        <v>889</v>
      </c>
      <c r="G3832" t="s">
        <v>4353</v>
      </c>
      <c r="H3832" s="18">
        <v>775</v>
      </c>
      <c r="I3832" s="3">
        <v>41880</v>
      </c>
      <c r="J3832"/>
      <c r="L3832"/>
      <c r="M3832"/>
      <c r="N3832" s="20"/>
      <c r="O3832"/>
      <c r="P3832" s="20"/>
      <c r="Q3832" s="20"/>
      <c r="R3832" s="20"/>
      <c r="S3832" s="20"/>
      <c r="T3832" s="20"/>
    </row>
    <row r="3833" spans="1:21" x14ac:dyDescent="0.25">
      <c r="A3833" s="3">
        <v>41887</v>
      </c>
      <c r="B3833" s="36">
        <v>321</v>
      </c>
      <c r="C3833" t="s">
        <v>4354</v>
      </c>
      <c r="D3833">
        <v>14</v>
      </c>
      <c r="E3833" s="18">
        <v>1400</v>
      </c>
      <c r="F3833" t="s">
        <v>889</v>
      </c>
      <c r="G3833" t="s">
        <v>4355</v>
      </c>
      <c r="H3833" s="18">
        <v>1400</v>
      </c>
      <c r="I3833" s="3">
        <v>41887</v>
      </c>
      <c r="J3833"/>
      <c r="L3833"/>
      <c r="M3833"/>
      <c r="N3833" s="20"/>
      <c r="O3833"/>
      <c r="P3833" s="20"/>
      <c r="Q3833" s="20"/>
      <c r="R3833" s="20"/>
      <c r="S3833" s="20"/>
      <c r="T3833" s="20"/>
    </row>
    <row r="3834" spans="1:21" x14ac:dyDescent="0.25">
      <c r="A3834" s="3">
        <v>41894</v>
      </c>
      <c r="B3834" s="36">
        <v>321</v>
      </c>
      <c r="C3834" t="s">
        <v>4356</v>
      </c>
      <c r="D3834">
        <v>10.5</v>
      </c>
      <c r="E3834" s="18">
        <v>1050</v>
      </c>
      <c r="F3834" t="s">
        <v>889</v>
      </c>
      <c r="G3834" t="s">
        <v>4357</v>
      </c>
      <c r="H3834" s="18">
        <v>1050</v>
      </c>
      <c r="I3834" s="3">
        <v>41894</v>
      </c>
      <c r="J3834"/>
      <c r="L3834"/>
      <c r="M3834"/>
      <c r="N3834" s="20"/>
      <c r="O3834"/>
      <c r="P3834" s="20"/>
      <c r="Q3834" s="20"/>
      <c r="R3834" s="20"/>
      <c r="S3834" s="20"/>
      <c r="T3834" s="20"/>
    </row>
    <row r="3835" spans="1:21" x14ac:dyDescent="0.25">
      <c r="A3835" s="3">
        <v>41894</v>
      </c>
      <c r="B3835" s="36">
        <v>321</v>
      </c>
      <c r="C3835" t="s">
        <v>4358</v>
      </c>
      <c r="D3835">
        <v>16</v>
      </c>
      <c r="E3835" s="18">
        <v>1600</v>
      </c>
      <c r="F3835" t="s">
        <v>889</v>
      </c>
      <c r="G3835" t="s">
        <v>4359</v>
      </c>
      <c r="H3835" s="18">
        <v>1600</v>
      </c>
      <c r="I3835" s="3">
        <v>41894</v>
      </c>
      <c r="J3835"/>
      <c r="L3835"/>
      <c r="M3835"/>
      <c r="N3835" s="20"/>
      <c r="O3835"/>
      <c r="P3835" s="20"/>
      <c r="Q3835" s="20"/>
      <c r="R3835" s="20"/>
      <c r="S3835" s="20"/>
      <c r="T3835" s="20"/>
    </row>
    <row r="3836" spans="1:21" x14ac:dyDescent="0.25">
      <c r="A3836" s="3">
        <v>41907</v>
      </c>
      <c r="B3836" s="36">
        <v>321</v>
      </c>
      <c r="C3836" t="s">
        <v>4360</v>
      </c>
      <c r="D3836">
        <v>3.5</v>
      </c>
      <c r="E3836" s="18">
        <v>350</v>
      </c>
      <c r="F3836" t="s">
        <v>889</v>
      </c>
      <c r="G3836" t="s">
        <v>4361</v>
      </c>
      <c r="H3836" s="18">
        <v>350</v>
      </c>
      <c r="I3836" s="3">
        <v>41907</v>
      </c>
      <c r="J3836"/>
      <c r="L3836"/>
      <c r="M3836"/>
      <c r="N3836" s="20"/>
      <c r="O3836"/>
      <c r="P3836" s="20"/>
      <c r="Q3836" s="20"/>
      <c r="R3836" s="20"/>
      <c r="S3836" s="20"/>
      <c r="T3836" s="20"/>
    </row>
    <row r="3837" spans="1:21" x14ac:dyDescent="0.25">
      <c r="A3837" s="3">
        <v>41915</v>
      </c>
      <c r="B3837" s="36">
        <v>321</v>
      </c>
      <c r="C3837" t="s">
        <v>4362</v>
      </c>
      <c r="E3837" s="18">
        <v>500</v>
      </c>
      <c r="G3837" t="s">
        <v>442</v>
      </c>
      <c r="H3837" s="18" t="s">
        <v>442</v>
      </c>
      <c r="I3837" s="3" t="s">
        <v>442</v>
      </c>
      <c r="J3837"/>
      <c r="L3837"/>
      <c r="M3837"/>
      <c r="N3837" s="20"/>
      <c r="O3837"/>
      <c r="P3837" s="20"/>
      <c r="Q3837" s="20"/>
      <c r="R3837" s="20"/>
      <c r="S3837" s="20"/>
      <c r="T3837" s="20" t="s">
        <v>401</v>
      </c>
    </row>
    <row r="3838" spans="1:21" x14ac:dyDescent="0.25">
      <c r="A3838" s="3">
        <v>41943</v>
      </c>
      <c r="B3838" s="36">
        <v>321</v>
      </c>
      <c r="C3838" t="s">
        <v>4356</v>
      </c>
      <c r="D3838">
        <v>10.5</v>
      </c>
      <c r="E3838" s="18">
        <v>-1050</v>
      </c>
      <c r="F3838" t="s">
        <v>889</v>
      </c>
      <c r="G3838" t="s">
        <v>4357</v>
      </c>
      <c r="H3838" s="18" t="s">
        <v>442</v>
      </c>
      <c r="I3838" s="3" t="s">
        <v>442</v>
      </c>
      <c r="J3838"/>
      <c r="L3838"/>
      <c r="M3838"/>
      <c r="N3838" s="20"/>
      <c r="O3838"/>
      <c r="P3838" s="20"/>
      <c r="Q3838" s="20"/>
      <c r="R3838" s="20"/>
      <c r="S3838" s="20"/>
      <c r="T3838" s="20"/>
    </row>
    <row r="3839" spans="1:21" x14ac:dyDescent="0.25">
      <c r="A3839" s="3">
        <v>41943</v>
      </c>
      <c r="B3839" s="36">
        <v>321</v>
      </c>
      <c r="C3839" t="s">
        <v>4363</v>
      </c>
      <c r="D3839">
        <v>14</v>
      </c>
      <c r="E3839" s="18">
        <v>1400</v>
      </c>
      <c r="F3839" t="s">
        <v>889</v>
      </c>
      <c r="G3839" t="s">
        <v>4364</v>
      </c>
      <c r="H3839" s="18">
        <v>1400</v>
      </c>
      <c r="I3839" s="3">
        <v>41943</v>
      </c>
      <c r="J3839"/>
      <c r="L3839"/>
      <c r="M3839"/>
      <c r="N3839" s="20"/>
      <c r="O3839"/>
      <c r="P3839" s="20"/>
      <c r="Q3839" s="20"/>
      <c r="R3839" s="20"/>
      <c r="S3839" s="20"/>
      <c r="T3839" s="20"/>
    </row>
    <row r="3840" spans="1:21" x14ac:dyDescent="0.25">
      <c r="A3840" s="3">
        <v>41957</v>
      </c>
      <c r="B3840" s="36">
        <v>321</v>
      </c>
      <c r="C3840" t="s">
        <v>4352</v>
      </c>
      <c r="D3840">
        <v>7.75</v>
      </c>
      <c r="E3840" s="18">
        <v>317.0454545454545</v>
      </c>
      <c r="F3840" t="s">
        <v>889</v>
      </c>
      <c r="G3840" t="s">
        <v>4353</v>
      </c>
      <c r="H3840" s="18">
        <v>317.0454545454545</v>
      </c>
      <c r="I3840" s="3">
        <v>41957</v>
      </c>
      <c r="J3840"/>
      <c r="L3840"/>
      <c r="M3840"/>
      <c r="N3840" s="20"/>
      <c r="O3840" t="s">
        <v>959</v>
      </c>
      <c r="P3840" s="20"/>
      <c r="Q3840" s="20"/>
      <c r="R3840" s="20"/>
      <c r="S3840" s="20"/>
      <c r="T3840" s="20"/>
    </row>
    <row r="3841" spans="1:21" x14ac:dyDescent="0.25">
      <c r="A3841" s="3">
        <v>42013</v>
      </c>
      <c r="B3841" s="36">
        <v>321</v>
      </c>
      <c r="C3841" t="s">
        <v>4362</v>
      </c>
      <c r="E3841" s="18">
        <v>-500</v>
      </c>
      <c r="F3841" t="s">
        <v>889</v>
      </c>
      <c r="G3841" t="s">
        <v>442</v>
      </c>
      <c r="H3841" s="18" t="s">
        <v>442</v>
      </c>
      <c r="I3841" s="3" t="s">
        <v>442</v>
      </c>
      <c r="J3841"/>
      <c r="L3841"/>
      <c r="M3841"/>
      <c r="N3841" s="20"/>
      <c r="O3841"/>
      <c r="P3841" s="20"/>
      <c r="Q3841" s="20"/>
      <c r="R3841" s="20"/>
      <c r="S3841" s="20"/>
      <c r="T3841" s="20" t="s">
        <v>401</v>
      </c>
    </row>
    <row r="3842" spans="1:21" x14ac:dyDescent="0.25">
      <c r="A3842" s="3">
        <v>42013</v>
      </c>
      <c r="B3842" s="36">
        <v>321</v>
      </c>
      <c r="C3842" t="s">
        <v>4358</v>
      </c>
      <c r="D3842">
        <v>16</v>
      </c>
      <c r="E3842" s="18">
        <v>218.18181818181816</v>
      </c>
      <c r="F3842" t="s">
        <v>889</v>
      </c>
      <c r="G3842" t="s">
        <v>4359</v>
      </c>
      <c r="H3842" s="18">
        <v>218.18181818181816</v>
      </c>
      <c r="I3842" s="3">
        <v>42013</v>
      </c>
      <c r="J3842"/>
      <c r="L3842"/>
      <c r="M3842"/>
      <c r="N3842" s="20"/>
      <c r="O3842"/>
      <c r="P3842" s="20"/>
      <c r="Q3842" s="20"/>
      <c r="R3842" s="20"/>
      <c r="S3842" s="20"/>
      <c r="T3842" s="20"/>
    </row>
    <row r="3843" spans="1:21" x14ac:dyDescent="0.25">
      <c r="A3843" s="3">
        <v>42013</v>
      </c>
      <c r="B3843" s="36">
        <v>321</v>
      </c>
      <c r="C3843" t="s">
        <v>4354</v>
      </c>
      <c r="D3843">
        <v>14</v>
      </c>
      <c r="E3843" s="18">
        <v>585.4545454545455</v>
      </c>
      <c r="F3843" t="s">
        <v>889</v>
      </c>
      <c r="G3843" t="s">
        <v>4355</v>
      </c>
      <c r="H3843" s="18">
        <v>585.4545454545455</v>
      </c>
      <c r="I3843" s="3">
        <v>42013</v>
      </c>
      <c r="J3843"/>
      <c r="L3843"/>
      <c r="M3843"/>
      <c r="N3843" s="20"/>
      <c r="O3843"/>
      <c r="P3843" s="20"/>
      <c r="Q3843" s="20"/>
      <c r="R3843" s="20"/>
      <c r="S3843" s="20"/>
      <c r="T3843" s="20"/>
    </row>
    <row r="3844" spans="1:21" x14ac:dyDescent="0.25">
      <c r="A3844" s="3">
        <v>42041</v>
      </c>
      <c r="B3844">
        <v>321</v>
      </c>
      <c r="C3844" t="s">
        <v>4358</v>
      </c>
      <c r="E3844" s="18">
        <v>218.18181818181816</v>
      </c>
      <c r="F3844" t="s">
        <v>889</v>
      </c>
      <c r="G3844" t="s">
        <v>4359</v>
      </c>
      <c r="I3844"/>
      <c r="J3844"/>
      <c r="L3844"/>
      <c r="M3844"/>
      <c r="O3844"/>
      <c r="P3844" s="20"/>
      <c r="Q3844" s="20"/>
      <c r="R3844" s="20"/>
      <c r="S3844" s="20"/>
      <c r="T3844" s="20"/>
    </row>
    <row r="3845" spans="1:21" x14ac:dyDescent="0.25">
      <c r="B3845">
        <v>321</v>
      </c>
      <c r="C3845" t="s">
        <v>4365</v>
      </c>
      <c r="D3845">
        <v>14</v>
      </c>
      <c r="E3845" s="18">
        <v>-1400</v>
      </c>
      <c r="F3845" t="s">
        <v>889</v>
      </c>
      <c r="G3845" t="s">
        <v>4364</v>
      </c>
      <c r="I3845"/>
      <c r="J3845"/>
      <c r="L3845"/>
      <c r="M3845"/>
      <c r="O3845"/>
      <c r="P3845" s="20"/>
      <c r="Q3845" s="20"/>
      <c r="R3845" s="20"/>
      <c r="S3845" s="20"/>
      <c r="T3845" s="20"/>
      <c r="U3845" t="s">
        <v>401</v>
      </c>
    </row>
    <row r="3846" spans="1:21" x14ac:dyDescent="0.25">
      <c r="B3846">
        <v>321</v>
      </c>
      <c r="C3846" t="s">
        <v>4360</v>
      </c>
      <c r="D3846">
        <v>3.5</v>
      </c>
      <c r="E3846" s="18">
        <v>-350</v>
      </c>
      <c r="F3846" t="s">
        <v>889</v>
      </c>
      <c r="G3846" t="s">
        <v>4361</v>
      </c>
      <c r="I3846"/>
      <c r="J3846"/>
      <c r="L3846"/>
      <c r="M3846"/>
      <c r="O3846"/>
      <c r="P3846" s="20"/>
      <c r="Q3846" s="20"/>
      <c r="R3846" s="20"/>
      <c r="S3846" s="20"/>
      <c r="T3846" s="20"/>
      <c r="U3846" t="s">
        <v>401</v>
      </c>
    </row>
    <row r="3847" spans="1:21" x14ac:dyDescent="0.25">
      <c r="A3847" s="3">
        <v>41853</v>
      </c>
      <c r="B3847" s="36">
        <v>322</v>
      </c>
      <c r="C3847" t="s">
        <v>4366</v>
      </c>
      <c r="D3847">
        <v>5.5</v>
      </c>
      <c r="E3847" s="18">
        <v>550</v>
      </c>
      <c r="F3847" t="s">
        <v>889</v>
      </c>
      <c r="G3847" t="s">
        <v>4367</v>
      </c>
      <c r="H3847" s="18">
        <v>550</v>
      </c>
      <c r="I3847" s="3">
        <v>41853</v>
      </c>
      <c r="J3847"/>
      <c r="L3847"/>
      <c r="M3847"/>
      <c r="N3847" s="20"/>
      <c r="O3847" t="s">
        <v>931</v>
      </c>
      <c r="P3847" s="20"/>
      <c r="Q3847" s="20"/>
      <c r="R3847" s="20"/>
      <c r="S3847" s="20"/>
      <c r="T3847" s="20"/>
    </row>
    <row r="3848" spans="1:21" x14ac:dyDescent="0.25">
      <c r="A3848" s="3">
        <v>41859</v>
      </c>
      <c r="B3848" s="36">
        <v>322</v>
      </c>
      <c r="C3848" t="s">
        <v>4368</v>
      </c>
      <c r="D3848">
        <v>6</v>
      </c>
      <c r="E3848" s="18">
        <v>600</v>
      </c>
      <c r="F3848" t="s">
        <v>889</v>
      </c>
      <c r="G3848" t="s">
        <v>4369</v>
      </c>
      <c r="H3848" s="18">
        <v>600</v>
      </c>
      <c r="I3848" s="3">
        <v>41859</v>
      </c>
      <c r="J3848"/>
      <c r="L3848"/>
      <c r="M3848"/>
      <c r="N3848" s="20"/>
      <c r="O3848"/>
      <c r="P3848" s="20"/>
      <c r="Q3848" s="20"/>
      <c r="R3848" s="20"/>
      <c r="S3848" s="20"/>
      <c r="T3848" s="20"/>
    </row>
    <row r="3849" spans="1:21" x14ac:dyDescent="0.25">
      <c r="A3849" s="3">
        <v>41859</v>
      </c>
      <c r="B3849" s="36">
        <v>322</v>
      </c>
      <c r="C3849" t="s">
        <v>4370</v>
      </c>
      <c r="D3849">
        <v>9.5</v>
      </c>
      <c r="E3849" s="18">
        <v>950</v>
      </c>
      <c r="F3849" t="s">
        <v>889</v>
      </c>
      <c r="G3849" t="s">
        <v>4371</v>
      </c>
      <c r="H3849" s="18">
        <v>950</v>
      </c>
      <c r="I3849" s="3">
        <v>41859</v>
      </c>
      <c r="J3849"/>
      <c r="L3849"/>
      <c r="M3849"/>
      <c r="N3849" s="20"/>
      <c r="O3849"/>
      <c r="P3849" s="20"/>
      <c r="Q3849" s="20"/>
      <c r="R3849" s="20"/>
      <c r="S3849" s="20"/>
      <c r="T3849" s="20"/>
    </row>
    <row r="3850" spans="1:21" x14ac:dyDescent="0.25">
      <c r="A3850" s="3">
        <v>41957</v>
      </c>
      <c r="B3850" s="36">
        <v>322</v>
      </c>
      <c r="C3850" t="s">
        <v>4366</v>
      </c>
      <c r="D3850">
        <v>5.5</v>
      </c>
      <c r="E3850" s="18">
        <v>550</v>
      </c>
      <c r="F3850" t="s">
        <v>889</v>
      </c>
      <c r="G3850" t="s">
        <v>4367</v>
      </c>
      <c r="H3850" s="18">
        <v>550</v>
      </c>
      <c r="I3850" s="3">
        <v>41957</v>
      </c>
      <c r="J3850"/>
      <c r="L3850"/>
      <c r="M3850"/>
      <c r="N3850" s="20"/>
      <c r="O3850" t="s">
        <v>959</v>
      </c>
      <c r="P3850" s="20"/>
      <c r="Q3850" s="20"/>
      <c r="R3850" s="20"/>
      <c r="S3850" s="20"/>
      <c r="T3850" s="20"/>
    </row>
    <row r="3851" spans="1:21" x14ac:dyDescent="0.25">
      <c r="A3851" s="3">
        <v>41957</v>
      </c>
      <c r="B3851" s="36">
        <v>322</v>
      </c>
      <c r="C3851" t="s">
        <v>4370</v>
      </c>
      <c r="D3851">
        <v>9.5</v>
      </c>
      <c r="E3851" s="18">
        <v>-950</v>
      </c>
      <c r="F3851" t="s">
        <v>889</v>
      </c>
      <c r="G3851" t="s">
        <v>4371</v>
      </c>
      <c r="H3851" s="18" t="s">
        <v>442</v>
      </c>
      <c r="I3851" s="3" t="s">
        <v>442</v>
      </c>
      <c r="J3851"/>
      <c r="L3851"/>
      <c r="M3851"/>
      <c r="N3851" s="20"/>
      <c r="O3851"/>
      <c r="P3851" s="20"/>
      <c r="Q3851" s="20"/>
      <c r="R3851" s="20"/>
      <c r="S3851" s="20"/>
      <c r="T3851" s="20"/>
    </row>
    <row r="3852" spans="1:21" x14ac:dyDescent="0.25">
      <c r="A3852" s="3">
        <v>41957</v>
      </c>
      <c r="B3852" s="36">
        <v>322</v>
      </c>
      <c r="C3852" t="s">
        <v>4372</v>
      </c>
      <c r="D3852">
        <v>8.4149999999999991</v>
      </c>
      <c r="E3852" s="18">
        <v>841.49999999999989</v>
      </c>
      <c r="F3852" t="s">
        <v>889</v>
      </c>
      <c r="G3852" t="s">
        <v>4373</v>
      </c>
      <c r="H3852" s="18">
        <v>841.49999999999989</v>
      </c>
      <c r="I3852" s="3">
        <v>41957</v>
      </c>
      <c r="J3852"/>
      <c r="L3852"/>
      <c r="M3852"/>
      <c r="N3852" s="20"/>
      <c r="O3852"/>
      <c r="P3852" s="20"/>
      <c r="Q3852" s="20"/>
      <c r="R3852" s="20"/>
      <c r="S3852" s="20"/>
      <c r="T3852" s="20"/>
    </row>
    <row r="3853" spans="1:21" x14ac:dyDescent="0.25">
      <c r="A3853" s="3">
        <v>41985</v>
      </c>
      <c r="B3853" s="36">
        <v>322</v>
      </c>
      <c r="C3853" t="s">
        <v>4368</v>
      </c>
      <c r="D3853">
        <v>6</v>
      </c>
      <c r="E3853" s="18">
        <v>600</v>
      </c>
      <c r="F3853" t="s">
        <v>889</v>
      </c>
      <c r="G3853" t="s">
        <v>4369</v>
      </c>
      <c r="H3853" s="18">
        <v>600</v>
      </c>
      <c r="I3853" s="3">
        <v>41985</v>
      </c>
      <c r="J3853"/>
      <c r="L3853"/>
      <c r="M3853"/>
      <c r="N3853" s="20"/>
      <c r="O3853" t="s">
        <v>959</v>
      </c>
      <c r="P3853" s="20"/>
      <c r="Q3853" s="20"/>
      <c r="R3853" s="20"/>
      <c r="S3853" s="20"/>
      <c r="T3853" s="20"/>
    </row>
    <row r="3854" spans="1:21" x14ac:dyDescent="0.25">
      <c r="A3854" s="3">
        <v>41999</v>
      </c>
      <c r="B3854" s="36">
        <v>322</v>
      </c>
      <c r="C3854" t="s">
        <v>4372</v>
      </c>
      <c r="D3854">
        <v>4.59</v>
      </c>
      <c r="E3854" s="18">
        <v>76.500000000000114</v>
      </c>
      <c r="F3854" t="s">
        <v>889</v>
      </c>
      <c r="G3854" t="s">
        <v>4373</v>
      </c>
      <c r="H3854" s="18">
        <v>76.500000000000114</v>
      </c>
      <c r="I3854" s="3">
        <v>41999</v>
      </c>
      <c r="J3854"/>
      <c r="L3854"/>
      <c r="M3854"/>
      <c r="N3854" s="20"/>
      <c r="O3854" t="s">
        <v>959</v>
      </c>
      <c r="P3854" s="20"/>
      <c r="Q3854" s="20"/>
      <c r="R3854" s="20"/>
      <c r="S3854" s="20"/>
      <c r="T3854" s="20"/>
    </row>
    <row r="3855" spans="1:21" x14ac:dyDescent="0.25">
      <c r="A3855" s="3">
        <v>42013</v>
      </c>
      <c r="B3855" s="36">
        <v>322</v>
      </c>
      <c r="C3855" t="s">
        <v>4372</v>
      </c>
      <c r="D3855">
        <v>8.4149999999999991</v>
      </c>
      <c r="E3855" s="18">
        <v>764.99999999999977</v>
      </c>
      <c r="F3855" t="s">
        <v>889</v>
      </c>
      <c r="G3855" t="s">
        <v>4373</v>
      </c>
      <c r="H3855" s="18">
        <v>764.99999999999977</v>
      </c>
      <c r="I3855" s="3">
        <v>42013</v>
      </c>
      <c r="J3855"/>
      <c r="L3855"/>
      <c r="M3855"/>
      <c r="N3855" s="20"/>
      <c r="O3855"/>
      <c r="P3855" s="20"/>
      <c r="Q3855" s="20"/>
      <c r="R3855" s="20"/>
      <c r="S3855" s="20"/>
      <c r="T3855" s="20"/>
    </row>
    <row r="3856" spans="1:21" x14ac:dyDescent="0.25">
      <c r="A3856" s="3">
        <v>41841</v>
      </c>
      <c r="B3856" s="36">
        <v>324</v>
      </c>
      <c r="C3856" t="s">
        <v>4374</v>
      </c>
      <c r="D3856">
        <v>7.14</v>
      </c>
      <c r="E3856" s="18">
        <v>714</v>
      </c>
      <c r="F3856" t="s">
        <v>889</v>
      </c>
      <c r="G3856" t="s">
        <v>4375</v>
      </c>
      <c r="H3856" s="18">
        <v>714</v>
      </c>
      <c r="I3856" s="3">
        <v>41841</v>
      </c>
      <c r="J3856"/>
      <c r="L3856"/>
      <c r="M3856"/>
      <c r="N3856" s="20"/>
      <c r="O3856" t="s">
        <v>1009</v>
      </c>
      <c r="P3856" s="20"/>
      <c r="Q3856" s="20"/>
      <c r="R3856" s="20"/>
      <c r="S3856" s="20"/>
      <c r="T3856" s="20"/>
    </row>
    <row r="3857" spans="1:20" x14ac:dyDescent="0.25">
      <c r="A3857" s="3">
        <v>41841</v>
      </c>
      <c r="B3857" s="36">
        <v>324</v>
      </c>
      <c r="C3857" t="s">
        <v>2047</v>
      </c>
      <c r="D3857">
        <v>2</v>
      </c>
      <c r="E3857" s="18">
        <v>-200</v>
      </c>
      <c r="F3857" t="s">
        <v>889</v>
      </c>
      <c r="G3857" t="s">
        <v>442</v>
      </c>
      <c r="H3857" s="18" t="s">
        <v>442</v>
      </c>
      <c r="I3857" s="3" t="s">
        <v>442</v>
      </c>
      <c r="J3857"/>
      <c r="L3857"/>
      <c r="M3857"/>
      <c r="N3857" s="20"/>
      <c r="O3857"/>
      <c r="P3857" s="20"/>
      <c r="Q3857" s="20"/>
      <c r="R3857" s="20" t="s">
        <v>401</v>
      </c>
      <c r="S3857" s="20"/>
      <c r="T3857" s="20"/>
    </row>
    <row r="3858" spans="1:20" x14ac:dyDescent="0.25">
      <c r="A3858" s="3">
        <v>41841</v>
      </c>
      <c r="B3858" s="36">
        <v>324</v>
      </c>
      <c r="C3858" t="s">
        <v>4376</v>
      </c>
      <c r="D3858">
        <v>6.12</v>
      </c>
      <c r="E3858" s="18">
        <v>612</v>
      </c>
      <c r="F3858" t="s">
        <v>889</v>
      </c>
      <c r="G3858" t="s">
        <v>4377</v>
      </c>
      <c r="H3858" s="18">
        <v>612</v>
      </c>
      <c r="I3858" s="3">
        <v>41841</v>
      </c>
      <c r="J3858"/>
      <c r="L3858"/>
      <c r="M3858"/>
      <c r="N3858" s="20"/>
      <c r="O3858"/>
      <c r="P3858" s="20"/>
      <c r="Q3858" s="20"/>
      <c r="R3858" s="20"/>
      <c r="S3858" s="20"/>
      <c r="T3858" s="20"/>
    </row>
    <row r="3859" spans="1:20" x14ac:dyDescent="0.25">
      <c r="A3859" s="3">
        <v>41841</v>
      </c>
      <c r="B3859" s="36">
        <v>324</v>
      </c>
      <c r="C3859" t="s">
        <v>1484</v>
      </c>
      <c r="E3859" s="18">
        <v>-100</v>
      </c>
      <c r="F3859" t="s">
        <v>889</v>
      </c>
      <c r="G3859" t="s">
        <v>442</v>
      </c>
      <c r="H3859" s="18" t="s">
        <v>442</v>
      </c>
      <c r="I3859" s="3" t="s">
        <v>442</v>
      </c>
      <c r="J3859"/>
      <c r="L3859"/>
      <c r="M3859"/>
      <c r="N3859" s="20"/>
      <c r="O3859"/>
      <c r="P3859" s="20"/>
      <c r="Q3859" s="20" t="s">
        <v>401</v>
      </c>
      <c r="R3859" s="20"/>
      <c r="S3859" s="20"/>
      <c r="T3859" s="20"/>
    </row>
    <row r="3860" spans="1:20" x14ac:dyDescent="0.25">
      <c r="A3860" s="3">
        <v>41841</v>
      </c>
      <c r="B3860" s="36">
        <v>324</v>
      </c>
      <c r="C3860" t="s">
        <v>1482</v>
      </c>
      <c r="E3860" s="18">
        <v>-100</v>
      </c>
      <c r="F3860" t="s">
        <v>889</v>
      </c>
      <c r="G3860" t="s">
        <v>442</v>
      </c>
      <c r="H3860" s="18" t="s">
        <v>442</v>
      </c>
      <c r="I3860" s="3" t="s">
        <v>442</v>
      </c>
      <c r="J3860"/>
      <c r="L3860"/>
      <c r="M3860"/>
      <c r="N3860" s="20"/>
      <c r="O3860" t="s">
        <v>1219</v>
      </c>
      <c r="P3860" s="20"/>
      <c r="Q3860" s="20" t="s">
        <v>401</v>
      </c>
      <c r="R3860" s="20"/>
      <c r="S3860" s="20"/>
      <c r="T3860" s="20"/>
    </row>
    <row r="3861" spans="1:20" x14ac:dyDescent="0.25">
      <c r="A3861" s="3">
        <v>41841</v>
      </c>
      <c r="B3861" s="36">
        <v>324</v>
      </c>
      <c r="C3861" t="s">
        <v>1845</v>
      </c>
      <c r="E3861" s="18">
        <v>-100</v>
      </c>
      <c r="F3861" t="s">
        <v>889</v>
      </c>
      <c r="G3861" t="s">
        <v>442</v>
      </c>
      <c r="H3861" s="18" t="s">
        <v>442</v>
      </c>
      <c r="I3861" s="3" t="s">
        <v>442</v>
      </c>
      <c r="J3861"/>
      <c r="L3861"/>
      <c r="M3861"/>
      <c r="N3861" s="20"/>
      <c r="O3861" t="s">
        <v>1846</v>
      </c>
      <c r="P3861" s="20"/>
      <c r="Q3861" s="20" t="s">
        <v>401</v>
      </c>
      <c r="R3861" s="20"/>
      <c r="S3861" s="20"/>
      <c r="T3861" s="20"/>
    </row>
    <row r="3862" spans="1:20" x14ac:dyDescent="0.25">
      <c r="A3862" s="3">
        <v>41841</v>
      </c>
      <c r="B3862" s="36">
        <v>324</v>
      </c>
      <c r="C3862" t="s">
        <v>1575</v>
      </c>
      <c r="E3862" s="18">
        <v>-100</v>
      </c>
      <c r="F3862" t="s">
        <v>889</v>
      </c>
      <c r="G3862" t="s">
        <v>442</v>
      </c>
      <c r="H3862" s="18" t="s">
        <v>442</v>
      </c>
      <c r="I3862" s="3" t="s">
        <v>442</v>
      </c>
      <c r="J3862"/>
      <c r="L3862"/>
      <c r="M3862"/>
      <c r="N3862" s="20"/>
      <c r="O3862" t="s">
        <v>1851</v>
      </c>
      <c r="P3862" s="20"/>
      <c r="Q3862" s="20" t="s">
        <v>401</v>
      </c>
      <c r="R3862" s="20"/>
      <c r="S3862" s="20"/>
      <c r="T3862" s="20"/>
    </row>
    <row r="3863" spans="1:20" x14ac:dyDescent="0.25">
      <c r="A3863" s="3">
        <v>41845</v>
      </c>
      <c r="B3863" s="36">
        <v>324</v>
      </c>
      <c r="C3863" t="s">
        <v>1483</v>
      </c>
      <c r="E3863" s="18">
        <v>-100</v>
      </c>
      <c r="F3863" t="s">
        <v>889</v>
      </c>
      <c r="G3863" t="s">
        <v>442</v>
      </c>
      <c r="H3863" s="18" t="s">
        <v>442</v>
      </c>
      <c r="I3863" s="3" t="s">
        <v>442</v>
      </c>
      <c r="J3863"/>
      <c r="L3863"/>
      <c r="M3863"/>
      <c r="N3863" s="20"/>
      <c r="O3863" t="s">
        <v>1228</v>
      </c>
      <c r="P3863" s="20"/>
      <c r="Q3863" s="20" t="s">
        <v>401</v>
      </c>
      <c r="R3863" s="20"/>
      <c r="S3863" s="20"/>
      <c r="T3863" s="20"/>
    </row>
    <row r="3864" spans="1:20" x14ac:dyDescent="0.25">
      <c r="A3864" s="3">
        <v>41845</v>
      </c>
      <c r="B3864" s="36">
        <v>324</v>
      </c>
      <c r="C3864" t="s">
        <v>4378</v>
      </c>
      <c r="D3864">
        <v>10.71</v>
      </c>
      <c r="E3864" s="18">
        <v>1071</v>
      </c>
      <c r="F3864" t="s">
        <v>889</v>
      </c>
      <c r="G3864" t="s">
        <v>4379</v>
      </c>
      <c r="H3864" s="18">
        <v>1071</v>
      </c>
      <c r="I3864" s="3">
        <v>41845</v>
      </c>
      <c r="J3864"/>
      <c r="L3864"/>
      <c r="M3864"/>
      <c r="N3864" s="20"/>
      <c r="O3864" t="s">
        <v>1004</v>
      </c>
      <c r="P3864" s="20"/>
      <c r="Q3864" s="20"/>
      <c r="R3864" s="20"/>
      <c r="S3864" s="20"/>
      <c r="T3864" s="20"/>
    </row>
    <row r="3865" spans="1:20" x14ac:dyDescent="0.25">
      <c r="A3865" s="3">
        <v>41858</v>
      </c>
      <c r="B3865" s="36">
        <v>324</v>
      </c>
      <c r="C3865" t="s">
        <v>4380</v>
      </c>
      <c r="D3865">
        <v>2.8050000000000002</v>
      </c>
      <c r="E3865" s="18">
        <v>280.5</v>
      </c>
      <c r="F3865" t="s">
        <v>889</v>
      </c>
      <c r="G3865" t="s">
        <v>4381</v>
      </c>
      <c r="H3865" s="18">
        <v>280.5</v>
      </c>
      <c r="I3865" s="3">
        <v>41858</v>
      </c>
      <c r="J3865"/>
      <c r="L3865"/>
      <c r="M3865"/>
      <c r="N3865" s="20"/>
      <c r="O3865" t="s">
        <v>931</v>
      </c>
      <c r="P3865" s="20"/>
      <c r="Q3865" s="20"/>
      <c r="R3865" s="20"/>
      <c r="S3865" s="20"/>
      <c r="T3865" s="20"/>
    </row>
    <row r="3866" spans="1:20" x14ac:dyDescent="0.25">
      <c r="A3866" s="3">
        <v>41858</v>
      </c>
      <c r="B3866" s="36">
        <v>324</v>
      </c>
      <c r="C3866" t="s">
        <v>1237</v>
      </c>
      <c r="E3866" s="18">
        <v>-100</v>
      </c>
      <c r="F3866" t="s">
        <v>889</v>
      </c>
      <c r="G3866" t="s">
        <v>442</v>
      </c>
      <c r="H3866" s="18" t="s">
        <v>442</v>
      </c>
      <c r="I3866" s="3" t="s">
        <v>442</v>
      </c>
      <c r="J3866"/>
      <c r="L3866"/>
      <c r="M3866"/>
      <c r="N3866" s="20"/>
      <c r="O3866" t="s">
        <v>1238</v>
      </c>
      <c r="P3866" s="20"/>
      <c r="Q3866" s="20" t="s">
        <v>401</v>
      </c>
      <c r="R3866" s="20"/>
      <c r="S3866" s="20"/>
      <c r="T3866" s="20"/>
    </row>
    <row r="3867" spans="1:20" x14ac:dyDescent="0.25">
      <c r="A3867" s="3">
        <v>41865</v>
      </c>
      <c r="B3867" s="36">
        <v>324</v>
      </c>
      <c r="C3867" t="s">
        <v>4382</v>
      </c>
      <c r="D3867">
        <v>10.25</v>
      </c>
      <c r="E3867" s="18">
        <v>1025</v>
      </c>
      <c r="F3867" t="s">
        <v>889</v>
      </c>
      <c r="G3867" t="s">
        <v>4383</v>
      </c>
      <c r="H3867" s="18">
        <v>1025</v>
      </c>
      <c r="I3867" s="3">
        <v>41865</v>
      </c>
      <c r="J3867"/>
      <c r="L3867"/>
      <c r="M3867"/>
      <c r="N3867" s="20"/>
      <c r="O3867"/>
      <c r="P3867" s="20"/>
      <c r="Q3867" s="20"/>
      <c r="R3867" s="20"/>
      <c r="S3867" s="20"/>
      <c r="T3867" s="20"/>
    </row>
    <row r="3868" spans="1:20" x14ac:dyDescent="0.25">
      <c r="A3868" s="21">
        <v>41873</v>
      </c>
      <c r="B3868" s="36">
        <v>324</v>
      </c>
      <c r="C3868" s="20" t="s">
        <v>2100</v>
      </c>
      <c r="D3868" s="20"/>
      <c r="E3868" s="59">
        <v>700</v>
      </c>
      <c r="F3868" s="20" t="s">
        <v>891</v>
      </c>
      <c r="H3868" s="18" t="s">
        <v>442</v>
      </c>
      <c r="I3868" s="3" t="s">
        <v>442</v>
      </c>
      <c r="J3868"/>
      <c r="L3868"/>
      <c r="M3868"/>
      <c r="N3868" s="20"/>
      <c r="O3868" s="20" t="s">
        <v>3781</v>
      </c>
      <c r="P3868" s="20" t="s">
        <v>401</v>
      </c>
      <c r="Q3868" s="20"/>
      <c r="R3868" s="20"/>
      <c r="S3868" s="20"/>
      <c r="T3868" s="20"/>
    </row>
    <row r="3869" spans="1:20" x14ac:dyDescent="0.25">
      <c r="A3869" s="3">
        <v>41964</v>
      </c>
      <c r="B3869" s="36">
        <v>324</v>
      </c>
      <c r="C3869" t="s">
        <v>4382</v>
      </c>
      <c r="D3869">
        <v>10.25</v>
      </c>
      <c r="E3869" s="18">
        <v>-1025</v>
      </c>
      <c r="F3869" t="s">
        <v>889</v>
      </c>
      <c r="G3869" t="s">
        <v>4383</v>
      </c>
      <c r="H3869" s="18" t="s">
        <v>442</v>
      </c>
      <c r="I3869" s="3" t="s">
        <v>442</v>
      </c>
      <c r="J3869"/>
      <c r="L3869"/>
      <c r="M3869"/>
      <c r="N3869" s="20"/>
      <c r="O3869"/>
      <c r="P3869" s="20"/>
      <c r="Q3869" s="20"/>
      <c r="R3869" s="20"/>
      <c r="S3869" s="20"/>
      <c r="T3869" s="20"/>
    </row>
    <row r="3870" spans="1:20" x14ac:dyDescent="0.25">
      <c r="A3870" s="3">
        <v>41964</v>
      </c>
      <c r="B3870" s="36">
        <v>324</v>
      </c>
      <c r="C3870" t="s">
        <v>4384</v>
      </c>
      <c r="D3870">
        <v>6.25</v>
      </c>
      <c r="E3870" s="18">
        <v>625</v>
      </c>
      <c r="F3870" t="s">
        <v>889</v>
      </c>
      <c r="G3870" t="s">
        <v>4385</v>
      </c>
      <c r="H3870" s="18">
        <v>625</v>
      </c>
      <c r="I3870" s="3">
        <v>41964</v>
      </c>
      <c r="J3870"/>
      <c r="L3870"/>
      <c r="M3870"/>
      <c r="N3870" s="20"/>
      <c r="O3870"/>
      <c r="P3870" s="20"/>
      <c r="Q3870" s="20"/>
      <c r="R3870" s="20"/>
      <c r="S3870" s="20"/>
      <c r="T3870" s="20"/>
    </row>
    <row r="3871" spans="1:20" x14ac:dyDescent="0.25">
      <c r="A3871" s="3">
        <v>41964</v>
      </c>
      <c r="B3871" s="36">
        <v>324</v>
      </c>
      <c r="C3871" t="s">
        <v>4376</v>
      </c>
      <c r="D3871">
        <v>2.8050000000000002</v>
      </c>
      <c r="E3871" s="18">
        <v>-331.5</v>
      </c>
      <c r="F3871" t="s">
        <v>889</v>
      </c>
      <c r="G3871" t="s">
        <v>4377</v>
      </c>
      <c r="H3871" s="18" t="s">
        <v>442</v>
      </c>
      <c r="I3871" s="3" t="s">
        <v>442</v>
      </c>
      <c r="J3871"/>
      <c r="L3871"/>
      <c r="M3871"/>
      <c r="N3871" s="20"/>
      <c r="O3871" t="s">
        <v>959</v>
      </c>
      <c r="P3871" s="20"/>
      <c r="Q3871" s="20"/>
      <c r="R3871" s="20"/>
      <c r="S3871" s="20"/>
      <c r="T3871" s="20"/>
    </row>
    <row r="3872" spans="1:20" x14ac:dyDescent="0.25">
      <c r="A3872" s="3">
        <v>41964</v>
      </c>
      <c r="B3872" s="36">
        <v>324</v>
      </c>
      <c r="C3872" t="s">
        <v>4376</v>
      </c>
      <c r="D3872">
        <v>6.12</v>
      </c>
      <c r="E3872" s="18">
        <v>943.5</v>
      </c>
      <c r="F3872" t="s">
        <v>889</v>
      </c>
      <c r="G3872" t="s">
        <v>4377</v>
      </c>
      <c r="H3872" s="18">
        <v>943.5</v>
      </c>
      <c r="I3872" s="3">
        <v>41964</v>
      </c>
      <c r="J3872"/>
      <c r="L3872"/>
      <c r="M3872"/>
      <c r="N3872" s="20"/>
      <c r="O3872" t="s">
        <v>959</v>
      </c>
      <c r="P3872" s="20"/>
      <c r="Q3872" s="20"/>
      <c r="R3872" s="20"/>
      <c r="S3872" s="20"/>
      <c r="T3872" s="20"/>
    </row>
    <row r="3873" spans="1:21" x14ac:dyDescent="0.25">
      <c r="A3873" s="3">
        <v>42004</v>
      </c>
      <c r="B3873" s="36">
        <v>324</v>
      </c>
      <c r="C3873" t="s">
        <v>4386</v>
      </c>
      <c r="D3873">
        <v>7.14</v>
      </c>
      <c r="E3873" s="18">
        <v>476</v>
      </c>
      <c r="F3873" t="s">
        <v>889</v>
      </c>
      <c r="G3873" t="s">
        <v>4375</v>
      </c>
      <c r="H3873" s="18">
        <v>476</v>
      </c>
      <c r="I3873" s="3">
        <v>42004</v>
      </c>
      <c r="J3873"/>
      <c r="L3873"/>
      <c r="M3873"/>
      <c r="N3873" s="20"/>
      <c r="O3873"/>
      <c r="P3873" s="20"/>
      <c r="Q3873" s="20"/>
      <c r="R3873" s="20"/>
      <c r="S3873" s="20"/>
      <c r="T3873" s="20"/>
    </row>
    <row r="3874" spans="1:21" x14ac:dyDescent="0.25">
      <c r="A3874" s="3">
        <v>42041</v>
      </c>
      <c r="B3874">
        <v>324</v>
      </c>
      <c r="C3874" t="s">
        <v>4386</v>
      </c>
      <c r="E3874" s="18">
        <v>476</v>
      </c>
      <c r="F3874" t="s">
        <v>889</v>
      </c>
      <c r="G3874" t="s">
        <v>4375</v>
      </c>
      <c r="I3874"/>
      <c r="J3874"/>
      <c r="L3874"/>
      <c r="M3874"/>
      <c r="O3874"/>
      <c r="P3874" s="20"/>
      <c r="Q3874" s="20"/>
      <c r="R3874" s="20"/>
      <c r="S3874" s="20"/>
      <c r="T3874" s="20"/>
    </row>
    <row r="3875" spans="1:21" x14ac:dyDescent="0.25">
      <c r="B3875">
        <v>324</v>
      </c>
      <c r="C3875" t="s">
        <v>4384</v>
      </c>
      <c r="D3875">
        <v>6.25</v>
      </c>
      <c r="E3875" s="18">
        <v>-625</v>
      </c>
      <c r="F3875" t="s">
        <v>889</v>
      </c>
      <c r="G3875" t="s">
        <v>4385</v>
      </c>
      <c r="I3875"/>
      <c r="J3875"/>
      <c r="L3875"/>
      <c r="M3875"/>
      <c r="O3875"/>
      <c r="P3875" s="20"/>
      <c r="Q3875" s="20"/>
      <c r="R3875" s="20"/>
      <c r="S3875" s="20"/>
      <c r="T3875" s="20"/>
      <c r="U3875" t="s">
        <v>401</v>
      </c>
    </row>
    <row r="3876" spans="1:21" x14ac:dyDescent="0.25">
      <c r="B3876">
        <v>324</v>
      </c>
      <c r="C3876" t="s">
        <v>1574</v>
      </c>
      <c r="E3876" s="18">
        <v>-100</v>
      </c>
      <c r="F3876" t="s">
        <v>889</v>
      </c>
      <c r="G3876" t="s">
        <v>442</v>
      </c>
      <c r="I3876"/>
      <c r="J3876"/>
      <c r="L3876"/>
      <c r="M3876"/>
      <c r="O3876"/>
      <c r="P3876" s="20"/>
      <c r="Q3876" s="20"/>
      <c r="R3876" s="20"/>
      <c r="S3876" s="20"/>
      <c r="T3876" s="20"/>
      <c r="U3876" t="s">
        <v>401</v>
      </c>
    </row>
    <row r="3877" spans="1:21" x14ac:dyDescent="0.25">
      <c r="B3877">
        <v>324</v>
      </c>
      <c r="C3877" t="s">
        <v>4378</v>
      </c>
      <c r="D3877">
        <v>10.71</v>
      </c>
      <c r="E3877" s="18">
        <v>-1071</v>
      </c>
      <c r="F3877" t="s">
        <v>889</v>
      </c>
      <c r="G3877" t="s">
        <v>4379</v>
      </c>
      <c r="I3877"/>
      <c r="J3877"/>
      <c r="L3877"/>
      <c r="M3877"/>
      <c r="O3877"/>
      <c r="P3877" s="20"/>
      <c r="Q3877" s="20"/>
      <c r="R3877" s="20"/>
      <c r="S3877" s="20"/>
      <c r="T3877" s="20"/>
      <c r="U3877" t="s">
        <v>401</v>
      </c>
    </row>
    <row r="3878" spans="1:21" x14ac:dyDescent="0.25">
      <c r="A3878" s="3">
        <v>41880</v>
      </c>
      <c r="B3878" s="36">
        <v>325</v>
      </c>
      <c r="C3878" t="s">
        <v>4387</v>
      </c>
      <c r="D3878">
        <v>7</v>
      </c>
      <c r="E3878" s="18">
        <v>700</v>
      </c>
      <c r="F3878" t="s">
        <v>889</v>
      </c>
      <c r="G3878" t="s">
        <v>4388</v>
      </c>
      <c r="H3878" s="18">
        <v>700</v>
      </c>
      <c r="I3878" s="3">
        <v>41880</v>
      </c>
      <c r="J3878"/>
      <c r="L3878"/>
      <c r="M3878"/>
      <c r="N3878" s="20"/>
      <c r="O3878"/>
      <c r="P3878" s="20"/>
      <c r="Q3878" s="20"/>
      <c r="R3878" s="20"/>
      <c r="S3878" s="20"/>
      <c r="T3878" s="20"/>
    </row>
    <row r="3879" spans="1:21" x14ac:dyDescent="0.25">
      <c r="A3879" s="3">
        <v>41880</v>
      </c>
      <c r="B3879" s="36">
        <v>325</v>
      </c>
      <c r="C3879" t="s">
        <v>4389</v>
      </c>
      <c r="D3879">
        <v>7.5</v>
      </c>
      <c r="E3879" s="18">
        <v>750</v>
      </c>
      <c r="F3879" t="s">
        <v>889</v>
      </c>
      <c r="G3879" t="s">
        <v>4390</v>
      </c>
      <c r="H3879" s="18">
        <v>750</v>
      </c>
      <c r="I3879" s="3">
        <v>41880</v>
      </c>
      <c r="J3879"/>
      <c r="L3879"/>
      <c r="M3879"/>
      <c r="N3879" s="20"/>
      <c r="O3879"/>
      <c r="P3879" s="20"/>
      <c r="Q3879" s="20"/>
      <c r="R3879" s="20"/>
      <c r="S3879" s="20"/>
      <c r="T3879" s="20"/>
    </row>
    <row r="3880" spans="1:21" x14ac:dyDescent="0.25">
      <c r="A3880" s="3">
        <v>41886</v>
      </c>
      <c r="B3880" s="36">
        <v>325</v>
      </c>
      <c r="C3880" t="s">
        <v>4391</v>
      </c>
      <c r="D3880">
        <v>6.75</v>
      </c>
      <c r="E3880" s="18">
        <v>675</v>
      </c>
      <c r="F3880" t="s">
        <v>889</v>
      </c>
      <c r="G3880" t="s">
        <v>4392</v>
      </c>
      <c r="H3880" s="18">
        <v>675</v>
      </c>
      <c r="I3880" s="3">
        <v>41886</v>
      </c>
      <c r="J3880"/>
      <c r="L3880"/>
      <c r="M3880"/>
      <c r="N3880" s="20"/>
      <c r="O3880"/>
      <c r="P3880" s="20"/>
      <c r="Q3880" s="20"/>
      <c r="R3880" s="20"/>
      <c r="S3880" s="20"/>
      <c r="T3880" s="20"/>
    </row>
    <row r="3881" spans="1:21" x14ac:dyDescent="0.25">
      <c r="A3881" s="3">
        <v>42041</v>
      </c>
      <c r="B3881">
        <v>325</v>
      </c>
      <c r="C3881" t="s">
        <v>4391</v>
      </c>
      <c r="E3881" s="18">
        <v>225</v>
      </c>
      <c r="F3881" t="s">
        <v>889</v>
      </c>
      <c r="G3881" t="s">
        <v>4392</v>
      </c>
      <c r="I3881"/>
      <c r="J3881"/>
      <c r="L3881"/>
      <c r="M3881"/>
      <c r="O3881"/>
      <c r="P3881" s="20"/>
      <c r="Q3881" s="20"/>
      <c r="R3881" s="20"/>
      <c r="S3881" s="20"/>
      <c r="T3881" s="20"/>
    </row>
    <row r="3882" spans="1:21" x14ac:dyDescent="0.25">
      <c r="A3882" s="3">
        <v>42041</v>
      </c>
      <c r="B3882">
        <v>325</v>
      </c>
      <c r="C3882" t="s">
        <v>4391</v>
      </c>
      <c r="D3882">
        <v>6.75</v>
      </c>
      <c r="E3882" s="18">
        <v>225</v>
      </c>
      <c r="F3882" t="s">
        <v>889</v>
      </c>
      <c r="G3882" t="s">
        <v>4392</v>
      </c>
      <c r="I3882"/>
      <c r="J3882"/>
      <c r="L3882"/>
      <c r="M3882"/>
      <c r="O3882"/>
      <c r="P3882" s="20"/>
      <c r="Q3882" s="20"/>
      <c r="R3882" s="20"/>
      <c r="S3882" s="20"/>
      <c r="T3882" s="20"/>
    </row>
    <row r="3883" spans="1:21" x14ac:dyDescent="0.25">
      <c r="A3883" s="3">
        <v>42041</v>
      </c>
      <c r="B3883">
        <v>325</v>
      </c>
      <c r="C3883" t="s">
        <v>4387</v>
      </c>
      <c r="E3883" s="18">
        <v>233.33333333333334</v>
      </c>
      <c r="F3883" t="s">
        <v>889</v>
      </c>
      <c r="G3883" t="s">
        <v>4388</v>
      </c>
      <c r="I3883"/>
      <c r="J3883"/>
      <c r="L3883"/>
      <c r="M3883"/>
      <c r="O3883"/>
      <c r="P3883" s="20"/>
      <c r="Q3883" s="20"/>
      <c r="R3883" s="20"/>
      <c r="S3883" s="20"/>
      <c r="T3883" s="20"/>
    </row>
    <row r="3884" spans="1:21" x14ac:dyDescent="0.25">
      <c r="A3884" s="3">
        <v>42041</v>
      </c>
      <c r="B3884">
        <v>325</v>
      </c>
      <c r="C3884" t="s">
        <v>4387</v>
      </c>
      <c r="D3884">
        <v>7</v>
      </c>
      <c r="E3884" s="18">
        <v>233.33333333333334</v>
      </c>
      <c r="F3884" t="s">
        <v>889</v>
      </c>
      <c r="G3884" t="s">
        <v>4388</v>
      </c>
      <c r="I3884"/>
      <c r="J3884"/>
      <c r="L3884"/>
      <c r="M3884"/>
      <c r="O3884"/>
      <c r="P3884" s="20"/>
      <c r="Q3884" s="20"/>
      <c r="R3884" s="20"/>
      <c r="S3884" s="20"/>
      <c r="T3884" s="20"/>
    </row>
    <row r="3885" spans="1:21" x14ac:dyDescent="0.25">
      <c r="A3885" s="3">
        <v>42041</v>
      </c>
      <c r="B3885">
        <v>325</v>
      </c>
      <c r="C3885" s="64" t="s">
        <v>4389</v>
      </c>
      <c r="D3885" s="64">
        <v>7.5</v>
      </c>
      <c r="E3885" s="65">
        <v>-750</v>
      </c>
      <c r="F3885" s="64" t="s">
        <v>889</v>
      </c>
      <c r="G3885" s="64" t="s">
        <v>4390</v>
      </c>
      <c r="I3885"/>
      <c r="J3885"/>
      <c r="L3885"/>
      <c r="M3885"/>
      <c r="O3885"/>
      <c r="P3885" s="20"/>
      <c r="Q3885" s="20"/>
      <c r="R3885" s="20"/>
      <c r="S3885" s="20"/>
      <c r="T3885" s="20"/>
    </row>
    <row r="3886" spans="1:21" x14ac:dyDescent="0.25">
      <c r="B3886">
        <v>325</v>
      </c>
      <c r="C3886" t="s">
        <v>4391</v>
      </c>
      <c r="D3886">
        <v>6.75</v>
      </c>
      <c r="E3886" s="18">
        <v>225</v>
      </c>
      <c r="F3886" t="s">
        <v>889</v>
      </c>
      <c r="G3886" t="s">
        <v>4392</v>
      </c>
      <c r="I3886"/>
      <c r="J3886"/>
      <c r="L3886"/>
      <c r="M3886"/>
      <c r="O3886"/>
      <c r="P3886" s="20"/>
      <c r="Q3886" s="20"/>
      <c r="R3886" s="20"/>
      <c r="S3886" s="20"/>
      <c r="T3886" s="20"/>
      <c r="U3886" t="s">
        <v>401</v>
      </c>
    </row>
    <row r="3887" spans="1:21" x14ac:dyDescent="0.25">
      <c r="B3887">
        <v>325</v>
      </c>
      <c r="C3887" t="s">
        <v>4387</v>
      </c>
      <c r="D3887">
        <v>7</v>
      </c>
      <c r="E3887" s="18">
        <v>233.33333333333334</v>
      </c>
      <c r="F3887" t="s">
        <v>889</v>
      </c>
      <c r="G3887" t="s">
        <v>4388</v>
      </c>
      <c r="I3887"/>
      <c r="J3887"/>
      <c r="L3887"/>
      <c r="M3887"/>
      <c r="O3887"/>
      <c r="P3887" s="20"/>
      <c r="Q3887" s="20"/>
      <c r="R3887" s="20"/>
      <c r="S3887" s="20"/>
      <c r="T3887" s="20"/>
      <c r="U3887" t="s">
        <v>401</v>
      </c>
    </row>
    <row r="3888" spans="1:21" x14ac:dyDescent="0.25">
      <c r="B3888">
        <v>325</v>
      </c>
      <c r="C3888" t="s">
        <v>4393</v>
      </c>
      <c r="E3888" s="18">
        <v>-200</v>
      </c>
      <c r="F3888" t="s">
        <v>1484</v>
      </c>
      <c r="G3888" t="s">
        <v>442</v>
      </c>
      <c r="I3888"/>
      <c r="J3888"/>
      <c r="L3888"/>
      <c r="M3888"/>
      <c r="O3888"/>
      <c r="P3888" s="20"/>
      <c r="Q3888" s="20"/>
      <c r="R3888" s="20"/>
      <c r="S3888" s="20"/>
      <c r="T3888" s="20"/>
      <c r="U3888" t="s">
        <v>401</v>
      </c>
    </row>
    <row r="3889" spans="1:20" x14ac:dyDescent="0.25">
      <c r="A3889" s="3">
        <v>41880</v>
      </c>
      <c r="B3889" s="36">
        <v>326</v>
      </c>
      <c r="C3889" t="s">
        <v>4394</v>
      </c>
      <c r="D3889">
        <v>11</v>
      </c>
      <c r="E3889" s="18">
        <v>1100</v>
      </c>
      <c r="F3889" t="s">
        <v>889</v>
      </c>
      <c r="G3889" t="s">
        <v>4395</v>
      </c>
      <c r="H3889" s="18">
        <v>1100</v>
      </c>
      <c r="I3889" s="3">
        <v>41880</v>
      </c>
      <c r="J3889"/>
      <c r="L3889"/>
      <c r="M3889"/>
      <c r="N3889" s="20"/>
      <c r="O3889"/>
      <c r="P3889" s="20"/>
      <c r="Q3889" s="20"/>
      <c r="R3889" s="20"/>
      <c r="S3889" s="20"/>
      <c r="T3889" s="20"/>
    </row>
    <row r="3890" spans="1:20" x14ac:dyDescent="0.25">
      <c r="A3890" s="3">
        <v>41880</v>
      </c>
      <c r="B3890" s="36">
        <v>326</v>
      </c>
      <c r="C3890" t="s">
        <v>1480</v>
      </c>
      <c r="E3890" s="18">
        <v>-150</v>
      </c>
      <c r="F3890" t="s">
        <v>891</v>
      </c>
      <c r="G3890" t="s">
        <v>442</v>
      </c>
      <c r="H3890" s="18" t="s">
        <v>442</v>
      </c>
      <c r="I3890" s="3" t="s">
        <v>442</v>
      </c>
      <c r="J3890"/>
      <c r="L3890"/>
      <c r="M3890"/>
      <c r="N3890" s="20"/>
      <c r="O3890" t="s">
        <v>1481</v>
      </c>
      <c r="P3890" s="20"/>
      <c r="Q3890" s="20" t="s">
        <v>401</v>
      </c>
      <c r="R3890" s="20"/>
      <c r="S3890" s="20"/>
      <c r="T3890" s="20"/>
    </row>
    <row r="3891" spans="1:20" x14ac:dyDescent="0.25">
      <c r="A3891" s="3">
        <v>41880</v>
      </c>
      <c r="B3891" s="36">
        <v>326</v>
      </c>
      <c r="C3891" t="s">
        <v>1106</v>
      </c>
      <c r="E3891" s="18">
        <v>-150</v>
      </c>
      <c r="F3891" t="s">
        <v>891</v>
      </c>
      <c r="G3891" t="s">
        <v>442</v>
      </c>
      <c r="H3891" s="18" t="s">
        <v>442</v>
      </c>
      <c r="I3891" s="3" t="s">
        <v>442</v>
      </c>
      <c r="J3891"/>
      <c r="L3891"/>
      <c r="M3891"/>
      <c r="N3891" s="20"/>
      <c r="O3891" t="s">
        <v>1107</v>
      </c>
      <c r="P3891" s="20"/>
      <c r="Q3891" s="20" t="s">
        <v>401</v>
      </c>
      <c r="R3891" s="20"/>
      <c r="S3891" s="20"/>
      <c r="T3891" s="20"/>
    </row>
    <row r="3892" spans="1:20" x14ac:dyDescent="0.25">
      <c r="A3892" s="3">
        <v>41880</v>
      </c>
      <c r="B3892" s="36">
        <v>326</v>
      </c>
      <c r="C3892" t="s">
        <v>1108</v>
      </c>
      <c r="D3892" t="s">
        <v>442</v>
      </c>
      <c r="E3892" s="18">
        <v>-150</v>
      </c>
      <c r="F3892" t="s">
        <v>891</v>
      </c>
      <c r="G3892" t="s">
        <v>442</v>
      </c>
      <c r="H3892" s="18" t="s">
        <v>442</v>
      </c>
      <c r="I3892" s="3" t="s">
        <v>442</v>
      </c>
      <c r="J3892"/>
      <c r="L3892"/>
      <c r="M3892"/>
      <c r="N3892" s="20"/>
      <c r="O3892" t="s">
        <v>1852</v>
      </c>
      <c r="P3892" s="20"/>
      <c r="Q3892" s="20" t="s">
        <v>401</v>
      </c>
      <c r="R3892" s="20"/>
      <c r="S3892" s="20"/>
      <c r="T3892" s="20"/>
    </row>
    <row r="3893" spans="1:20" x14ac:dyDescent="0.25">
      <c r="A3893" s="3">
        <v>41880</v>
      </c>
      <c r="B3893" s="36">
        <v>326</v>
      </c>
      <c r="C3893" t="s">
        <v>4396</v>
      </c>
      <c r="E3893" s="18">
        <v>-200</v>
      </c>
      <c r="F3893" t="s">
        <v>891</v>
      </c>
      <c r="G3893" t="s">
        <v>442</v>
      </c>
      <c r="H3893" s="18" t="s">
        <v>442</v>
      </c>
      <c r="I3893" s="3" t="s">
        <v>442</v>
      </c>
      <c r="J3893"/>
      <c r="L3893"/>
      <c r="M3893"/>
      <c r="N3893" s="20"/>
      <c r="O3893" t="s">
        <v>4397</v>
      </c>
      <c r="P3893" s="20"/>
      <c r="Q3893" s="20" t="s">
        <v>401</v>
      </c>
      <c r="R3893" s="20"/>
      <c r="S3893" s="20"/>
      <c r="T3893" s="20"/>
    </row>
    <row r="3894" spans="1:20" x14ac:dyDescent="0.25">
      <c r="A3894" s="3">
        <v>41880</v>
      </c>
      <c r="B3894" s="36">
        <v>326</v>
      </c>
      <c r="C3894" t="s">
        <v>4398</v>
      </c>
      <c r="D3894">
        <v>15.75</v>
      </c>
      <c r="E3894" s="18">
        <v>1525</v>
      </c>
      <c r="F3894" t="s">
        <v>889</v>
      </c>
      <c r="G3894" t="s">
        <v>4399</v>
      </c>
      <c r="H3894" s="18">
        <v>1525</v>
      </c>
      <c r="I3894" s="3">
        <v>41880</v>
      </c>
      <c r="J3894"/>
      <c r="L3894"/>
      <c r="M3894"/>
      <c r="N3894" s="20"/>
      <c r="O3894"/>
      <c r="P3894" s="20"/>
      <c r="Q3894" s="20"/>
      <c r="R3894" s="20"/>
      <c r="S3894" s="20"/>
      <c r="T3894" s="20"/>
    </row>
    <row r="3895" spans="1:20" x14ac:dyDescent="0.25">
      <c r="A3895" s="3">
        <v>41886</v>
      </c>
      <c r="B3895" s="36">
        <v>326</v>
      </c>
      <c r="C3895" t="s">
        <v>4400</v>
      </c>
      <c r="D3895">
        <v>11.75</v>
      </c>
      <c r="E3895" s="18">
        <v>1175</v>
      </c>
      <c r="F3895" t="s">
        <v>889</v>
      </c>
      <c r="G3895" t="s">
        <v>4401</v>
      </c>
      <c r="H3895" s="18">
        <v>1175</v>
      </c>
      <c r="I3895" s="3">
        <v>41886</v>
      </c>
      <c r="J3895"/>
      <c r="L3895"/>
      <c r="M3895"/>
      <c r="N3895" s="20"/>
      <c r="O3895"/>
      <c r="P3895" s="20"/>
      <c r="Q3895" s="20"/>
      <c r="R3895" s="20"/>
      <c r="S3895" s="20"/>
      <c r="T3895" s="20"/>
    </row>
    <row r="3896" spans="1:20" x14ac:dyDescent="0.25">
      <c r="A3896" s="3">
        <v>41894</v>
      </c>
      <c r="B3896" s="36">
        <v>326</v>
      </c>
      <c r="C3896" t="s">
        <v>4402</v>
      </c>
      <c r="D3896">
        <v>9</v>
      </c>
      <c r="E3896" s="18">
        <v>900</v>
      </c>
      <c r="F3896" t="s">
        <v>889</v>
      </c>
      <c r="G3896" t="s">
        <v>4403</v>
      </c>
      <c r="H3896" s="18">
        <v>900</v>
      </c>
      <c r="I3896" s="3">
        <v>41894</v>
      </c>
      <c r="J3896"/>
      <c r="L3896"/>
      <c r="M3896"/>
      <c r="N3896" s="20"/>
      <c r="O3896"/>
      <c r="P3896" s="20"/>
      <c r="Q3896" s="20"/>
      <c r="R3896" s="20"/>
      <c r="S3896" s="20"/>
      <c r="T3896" s="20"/>
    </row>
    <row r="3897" spans="1:20" x14ac:dyDescent="0.25">
      <c r="A3897" s="3">
        <v>41918</v>
      </c>
      <c r="B3897" s="36">
        <v>326</v>
      </c>
      <c r="C3897" t="s">
        <v>4404</v>
      </c>
      <c r="D3897">
        <v>7.75</v>
      </c>
      <c r="E3897" s="18">
        <v>775</v>
      </c>
      <c r="F3897" t="s">
        <v>889</v>
      </c>
      <c r="G3897" t="s">
        <v>4405</v>
      </c>
      <c r="H3897" s="18">
        <v>775</v>
      </c>
      <c r="I3897" s="3">
        <v>41918</v>
      </c>
      <c r="J3897"/>
      <c r="L3897"/>
      <c r="M3897"/>
      <c r="N3897" s="20"/>
      <c r="O3897"/>
      <c r="P3897" s="20"/>
      <c r="Q3897" s="20"/>
      <c r="R3897" s="20"/>
      <c r="S3897" s="20"/>
      <c r="T3897" s="20"/>
    </row>
    <row r="3898" spans="1:20" x14ac:dyDescent="0.25">
      <c r="A3898" s="3">
        <v>41918</v>
      </c>
      <c r="B3898" s="36">
        <v>326</v>
      </c>
      <c r="C3898" t="s">
        <v>4406</v>
      </c>
      <c r="D3898">
        <v>13.5</v>
      </c>
      <c r="E3898" s="18">
        <v>1350</v>
      </c>
      <c r="F3898" t="s">
        <v>889</v>
      </c>
      <c r="G3898" t="s">
        <v>4407</v>
      </c>
      <c r="H3898" s="18">
        <v>1350</v>
      </c>
      <c r="I3898" s="3">
        <v>41918</v>
      </c>
      <c r="J3898"/>
      <c r="L3898"/>
      <c r="M3898"/>
      <c r="N3898" s="20"/>
      <c r="O3898"/>
      <c r="P3898" s="20"/>
      <c r="Q3898" s="20"/>
      <c r="R3898" s="20"/>
      <c r="S3898" s="20"/>
      <c r="T3898" s="20"/>
    </row>
    <row r="3899" spans="1:20" x14ac:dyDescent="0.25">
      <c r="A3899" s="3">
        <v>41918</v>
      </c>
      <c r="B3899" s="36">
        <v>326</v>
      </c>
      <c r="C3899" t="s">
        <v>4398</v>
      </c>
      <c r="D3899">
        <v>15.25</v>
      </c>
      <c r="E3899" s="18">
        <v>-1525</v>
      </c>
      <c r="F3899" t="s">
        <v>889</v>
      </c>
      <c r="G3899" t="s">
        <v>4399</v>
      </c>
      <c r="H3899" s="18" t="s">
        <v>442</v>
      </c>
      <c r="I3899" s="3" t="s">
        <v>442</v>
      </c>
      <c r="J3899"/>
      <c r="L3899"/>
      <c r="M3899"/>
      <c r="N3899" s="20"/>
      <c r="O3899"/>
      <c r="P3899" s="20"/>
      <c r="Q3899" s="20"/>
      <c r="R3899" s="20"/>
      <c r="S3899" s="20"/>
      <c r="T3899" s="20"/>
    </row>
    <row r="3900" spans="1:20" x14ac:dyDescent="0.25">
      <c r="A3900" s="3">
        <v>41950</v>
      </c>
      <c r="B3900" s="36">
        <v>326</v>
      </c>
      <c r="C3900" t="s">
        <v>4408</v>
      </c>
      <c r="D3900">
        <v>3.5</v>
      </c>
      <c r="E3900" s="18">
        <v>350</v>
      </c>
      <c r="F3900" t="s">
        <v>889</v>
      </c>
      <c r="G3900" t="s">
        <v>4409</v>
      </c>
      <c r="H3900" s="18">
        <v>350</v>
      </c>
      <c r="I3900" s="3">
        <v>41950</v>
      </c>
      <c r="J3900"/>
      <c r="L3900"/>
      <c r="M3900"/>
      <c r="N3900" s="20"/>
      <c r="O3900"/>
      <c r="P3900" s="20"/>
      <c r="Q3900" s="20"/>
      <c r="R3900" s="20"/>
      <c r="S3900" s="20"/>
      <c r="T3900" s="20"/>
    </row>
    <row r="3901" spans="1:20" x14ac:dyDescent="0.25">
      <c r="A3901" s="3">
        <v>41957</v>
      </c>
      <c r="B3901" s="36">
        <v>326</v>
      </c>
      <c r="C3901" t="s">
        <v>4410</v>
      </c>
      <c r="D3901">
        <v>8.5</v>
      </c>
      <c r="E3901" s="18">
        <v>850</v>
      </c>
      <c r="F3901" t="s">
        <v>889</v>
      </c>
      <c r="G3901" t="s">
        <v>4411</v>
      </c>
      <c r="H3901" s="18">
        <v>850</v>
      </c>
      <c r="I3901" s="3">
        <v>41957</v>
      </c>
      <c r="J3901"/>
      <c r="L3901"/>
      <c r="M3901"/>
      <c r="N3901" s="20"/>
      <c r="O3901"/>
      <c r="P3901" s="20"/>
      <c r="Q3901" s="20"/>
      <c r="R3901" s="20"/>
      <c r="S3901" s="20"/>
      <c r="T3901" s="20"/>
    </row>
    <row r="3902" spans="1:20" x14ac:dyDescent="0.25">
      <c r="A3902" s="3">
        <v>41964</v>
      </c>
      <c r="B3902" s="36">
        <v>326</v>
      </c>
      <c r="C3902" t="s">
        <v>4412</v>
      </c>
      <c r="E3902" s="18">
        <v>2000</v>
      </c>
      <c r="G3902" t="s">
        <v>442</v>
      </c>
      <c r="H3902" s="18" t="s">
        <v>442</v>
      </c>
      <c r="I3902" s="3" t="s">
        <v>442</v>
      </c>
      <c r="J3902"/>
      <c r="L3902"/>
      <c r="M3902"/>
      <c r="N3902" s="20"/>
      <c r="O3902"/>
      <c r="P3902" s="20"/>
      <c r="Q3902" s="20"/>
      <c r="R3902" s="20"/>
      <c r="S3902" s="20"/>
      <c r="T3902" s="20" t="s">
        <v>401</v>
      </c>
    </row>
    <row r="3903" spans="1:20" x14ac:dyDescent="0.25">
      <c r="A3903" s="3">
        <v>41985</v>
      </c>
      <c r="B3903" s="36">
        <v>326</v>
      </c>
      <c r="C3903" t="s">
        <v>4413</v>
      </c>
      <c r="D3903">
        <v>7.25</v>
      </c>
      <c r="E3903" s="18">
        <v>725</v>
      </c>
      <c r="F3903" t="s">
        <v>889</v>
      </c>
      <c r="G3903" t="s">
        <v>4414</v>
      </c>
      <c r="H3903" s="18">
        <v>725</v>
      </c>
      <c r="I3903" s="3">
        <v>41985</v>
      </c>
      <c r="J3903"/>
      <c r="L3903"/>
      <c r="M3903"/>
      <c r="N3903" s="20"/>
      <c r="O3903"/>
      <c r="P3903" s="20"/>
      <c r="Q3903" s="20"/>
      <c r="R3903" s="20"/>
      <c r="S3903" s="20"/>
      <c r="T3903" s="20"/>
    </row>
    <row r="3904" spans="1:20" x14ac:dyDescent="0.25">
      <c r="A3904" s="3">
        <v>41985</v>
      </c>
      <c r="B3904" s="36">
        <v>326</v>
      </c>
      <c r="C3904" t="s">
        <v>4415</v>
      </c>
      <c r="D3904">
        <v>5.5</v>
      </c>
      <c r="E3904" s="18">
        <v>550</v>
      </c>
      <c r="F3904" t="s">
        <v>889</v>
      </c>
      <c r="G3904" t="s">
        <v>4416</v>
      </c>
      <c r="H3904" s="18">
        <v>550</v>
      </c>
      <c r="I3904" s="3">
        <v>41985</v>
      </c>
      <c r="J3904"/>
      <c r="L3904"/>
      <c r="M3904"/>
      <c r="N3904" s="20"/>
      <c r="O3904"/>
      <c r="P3904" s="20"/>
      <c r="Q3904" s="20"/>
      <c r="R3904" s="20"/>
      <c r="S3904" s="20"/>
      <c r="T3904" s="20"/>
    </row>
    <row r="3905" spans="1:20" x14ac:dyDescent="0.25">
      <c r="A3905" s="3">
        <v>41985</v>
      </c>
      <c r="B3905" s="36">
        <v>326</v>
      </c>
      <c r="C3905" t="s">
        <v>4417</v>
      </c>
      <c r="D3905">
        <v>12.25</v>
      </c>
      <c r="E3905" s="18">
        <v>1225</v>
      </c>
      <c r="F3905" t="s">
        <v>889</v>
      </c>
      <c r="G3905" t="s">
        <v>4418</v>
      </c>
      <c r="H3905" s="18">
        <v>1225</v>
      </c>
      <c r="I3905" s="3">
        <v>41985</v>
      </c>
      <c r="J3905"/>
      <c r="L3905"/>
      <c r="M3905"/>
      <c r="N3905" s="20"/>
      <c r="O3905"/>
      <c r="P3905" s="20"/>
      <c r="Q3905" s="20"/>
      <c r="R3905" s="20"/>
      <c r="S3905" s="20"/>
      <c r="T3905" s="20"/>
    </row>
    <row r="3906" spans="1:20" x14ac:dyDescent="0.25">
      <c r="A3906" s="3">
        <v>41985</v>
      </c>
      <c r="B3906" s="36">
        <v>326</v>
      </c>
      <c r="C3906" t="s">
        <v>4419</v>
      </c>
      <c r="D3906">
        <v>10.5</v>
      </c>
      <c r="E3906" s="18">
        <v>1050</v>
      </c>
      <c r="F3906" t="s">
        <v>889</v>
      </c>
      <c r="G3906" t="s">
        <v>4420</v>
      </c>
      <c r="H3906" s="18">
        <v>1050</v>
      </c>
      <c r="I3906" s="3">
        <v>41985</v>
      </c>
      <c r="J3906"/>
      <c r="L3906"/>
      <c r="M3906"/>
      <c r="N3906" s="20"/>
      <c r="O3906"/>
      <c r="P3906" s="20"/>
      <c r="Q3906" s="20"/>
      <c r="R3906" s="20"/>
      <c r="S3906" s="20"/>
      <c r="T3906" s="20"/>
    </row>
    <row r="3907" spans="1:20" x14ac:dyDescent="0.25">
      <c r="A3907" s="3">
        <v>41985</v>
      </c>
      <c r="B3907" s="36">
        <v>326</v>
      </c>
      <c r="C3907" t="s">
        <v>4419</v>
      </c>
      <c r="D3907">
        <v>10.5</v>
      </c>
      <c r="E3907" s="18">
        <v>-1050</v>
      </c>
      <c r="F3907" t="s">
        <v>889</v>
      </c>
      <c r="G3907" t="s">
        <v>4420</v>
      </c>
      <c r="H3907" s="18" t="s">
        <v>442</v>
      </c>
      <c r="I3907" s="3" t="s">
        <v>442</v>
      </c>
      <c r="J3907"/>
      <c r="L3907"/>
      <c r="M3907"/>
      <c r="N3907" s="20"/>
      <c r="O3907"/>
      <c r="P3907" s="20"/>
      <c r="Q3907" s="20"/>
      <c r="R3907" s="20"/>
      <c r="S3907" s="20"/>
      <c r="T3907" s="20"/>
    </row>
    <row r="3908" spans="1:20" x14ac:dyDescent="0.25">
      <c r="A3908" s="3">
        <v>41985</v>
      </c>
      <c r="B3908" s="36">
        <v>326</v>
      </c>
      <c r="C3908" t="s">
        <v>4406</v>
      </c>
      <c r="D3908">
        <v>13.5</v>
      </c>
      <c r="E3908" s="18">
        <v>-1350</v>
      </c>
      <c r="F3908" t="s">
        <v>889</v>
      </c>
      <c r="G3908" t="s">
        <v>4407</v>
      </c>
      <c r="H3908" s="18" t="s">
        <v>442</v>
      </c>
      <c r="I3908" s="3" t="s">
        <v>442</v>
      </c>
      <c r="J3908"/>
      <c r="L3908"/>
      <c r="M3908"/>
      <c r="N3908" s="20"/>
      <c r="O3908"/>
      <c r="P3908" s="20"/>
      <c r="Q3908" s="20"/>
      <c r="R3908" s="20"/>
      <c r="S3908" s="20"/>
      <c r="T3908" s="20"/>
    </row>
    <row r="3909" spans="1:20" x14ac:dyDescent="0.25">
      <c r="A3909" s="3">
        <v>41999</v>
      </c>
      <c r="B3909" s="36">
        <v>326</v>
      </c>
      <c r="C3909" t="s">
        <v>4421</v>
      </c>
      <c r="E3909" s="18">
        <v>1500</v>
      </c>
      <c r="F3909" t="s">
        <v>889</v>
      </c>
      <c r="G3909" t="s">
        <v>442</v>
      </c>
      <c r="H3909" s="18" t="s">
        <v>442</v>
      </c>
      <c r="I3909" s="3" t="s">
        <v>442</v>
      </c>
      <c r="J3909"/>
      <c r="L3909"/>
      <c r="M3909"/>
      <c r="N3909" s="20"/>
      <c r="O3909"/>
      <c r="P3909" s="20"/>
      <c r="Q3909" s="20"/>
      <c r="R3909" s="20"/>
      <c r="S3909" s="20"/>
      <c r="T3909" s="20" t="s">
        <v>401</v>
      </c>
    </row>
    <row r="3910" spans="1:20" x14ac:dyDescent="0.25">
      <c r="A3910" s="3">
        <v>42013</v>
      </c>
      <c r="B3910" s="36">
        <v>326</v>
      </c>
      <c r="C3910" t="s">
        <v>4421</v>
      </c>
      <c r="E3910" s="18">
        <v>-1500</v>
      </c>
      <c r="F3910" t="s">
        <v>889</v>
      </c>
      <c r="G3910" t="s">
        <v>442</v>
      </c>
      <c r="H3910" s="18" t="s">
        <v>442</v>
      </c>
      <c r="I3910" s="3" t="s">
        <v>442</v>
      </c>
      <c r="J3910"/>
      <c r="L3910"/>
      <c r="M3910"/>
      <c r="N3910" s="20"/>
      <c r="O3910"/>
      <c r="P3910" s="20"/>
      <c r="Q3910" s="20"/>
      <c r="R3910" s="20"/>
      <c r="S3910" s="20"/>
      <c r="T3910" s="20" t="s">
        <v>401</v>
      </c>
    </row>
    <row r="3911" spans="1:20" x14ac:dyDescent="0.25">
      <c r="A3911" s="3">
        <v>42013</v>
      </c>
      <c r="B3911" s="36">
        <v>326</v>
      </c>
      <c r="C3911" t="s">
        <v>4400</v>
      </c>
      <c r="D3911">
        <v>11.75</v>
      </c>
      <c r="E3911" s="18">
        <v>163.78787878787884</v>
      </c>
      <c r="F3911" t="s">
        <v>889</v>
      </c>
      <c r="G3911" t="s">
        <v>4401</v>
      </c>
      <c r="H3911" s="18">
        <v>163.78787878787884</v>
      </c>
      <c r="I3911" s="3">
        <v>42013</v>
      </c>
      <c r="J3911"/>
      <c r="L3911"/>
      <c r="M3911"/>
      <c r="N3911" s="20"/>
      <c r="O3911"/>
      <c r="P3911" s="20"/>
      <c r="Q3911" s="20"/>
      <c r="R3911" s="20"/>
      <c r="S3911" s="20"/>
      <c r="T3911" s="20"/>
    </row>
    <row r="3912" spans="1:20" x14ac:dyDescent="0.25">
      <c r="A3912" s="3">
        <v>42013</v>
      </c>
      <c r="B3912" s="36">
        <v>326</v>
      </c>
      <c r="C3912" t="s">
        <v>4422</v>
      </c>
      <c r="D3912">
        <v>14.25</v>
      </c>
      <c r="E3912" s="18">
        <v>937.5</v>
      </c>
      <c r="F3912" t="s">
        <v>889</v>
      </c>
      <c r="G3912" t="s">
        <v>683</v>
      </c>
      <c r="H3912" s="18">
        <v>937.5</v>
      </c>
      <c r="I3912" s="3">
        <v>42013</v>
      </c>
      <c r="J3912"/>
      <c r="L3912"/>
      <c r="M3912"/>
      <c r="N3912" s="20"/>
      <c r="O3912"/>
      <c r="P3912" s="20"/>
      <c r="Q3912" s="20"/>
      <c r="R3912" s="20"/>
      <c r="S3912" s="20"/>
      <c r="T3912" s="20"/>
    </row>
    <row r="3913" spans="1:20" x14ac:dyDescent="0.25">
      <c r="A3913" s="3">
        <v>42013</v>
      </c>
      <c r="B3913" s="36">
        <v>326</v>
      </c>
      <c r="C3913" t="s">
        <v>4404</v>
      </c>
      <c r="D3913">
        <v>7.75</v>
      </c>
      <c r="E3913" s="18">
        <v>775</v>
      </c>
      <c r="F3913" t="s">
        <v>889</v>
      </c>
      <c r="G3913" t="s">
        <v>4405</v>
      </c>
      <c r="H3913" s="18">
        <v>775</v>
      </c>
      <c r="I3913" s="3">
        <v>42013</v>
      </c>
      <c r="J3913"/>
      <c r="L3913"/>
      <c r="M3913"/>
      <c r="N3913" s="20"/>
      <c r="O3913"/>
      <c r="P3913" s="20"/>
      <c r="Q3913" s="20"/>
      <c r="R3913" s="20"/>
      <c r="S3913" s="20"/>
      <c r="T3913" s="20"/>
    </row>
    <row r="3914" spans="1:20" x14ac:dyDescent="0.25">
      <c r="A3914" s="3">
        <v>42013</v>
      </c>
      <c r="B3914" s="36">
        <v>326</v>
      </c>
      <c r="C3914" t="s">
        <v>4394</v>
      </c>
      <c r="D3914">
        <v>11</v>
      </c>
      <c r="E3914" s="18">
        <v>366.66666666666669</v>
      </c>
      <c r="F3914" t="s">
        <v>889</v>
      </c>
      <c r="G3914" t="s">
        <v>4395</v>
      </c>
      <c r="H3914" s="18">
        <v>366.66666666666669</v>
      </c>
      <c r="I3914" s="3">
        <v>42013</v>
      </c>
      <c r="J3914"/>
      <c r="L3914"/>
      <c r="M3914"/>
      <c r="N3914" s="20"/>
      <c r="O3914"/>
      <c r="P3914" s="20"/>
      <c r="Q3914" s="20"/>
      <c r="R3914" s="20"/>
      <c r="S3914" s="20"/>
      <c r="T3914" s="20"/>
    </row>
    <row r="3915" spans="1:20" x14ac:dyDescent="0.25">
      <c r="A3915" s="3">
        <v>42013</v>
      </c>
      <c r="B3915" s="36">
        <v>326</v>
      </c>
      <c r="C3915" t="s">
        <v>4402</v>
      </c>
      <c r="D3915">
        <v>9</v>
      </c>
      <c r="E3915" s="18">
        <v>300</v>
      </c>
      <c r="F3915" t="s">
        <v>889</v>
      </c>
      <c r="G3915" t="s">
        <v>4403</v>
      </c>
      <c r="H3915" s="18">
        <v>300</v>
      </c>
      <c r="I3915" s="3">
        <v>42013</v>
      </c>
      <c r="J3915"/>
      <c r="L3915"/>
      <c r="M3915"/>
      <c r="N3915" s="20"/>
      <c r="O3915"/>
      <c r="P3915" s="20"/>
      <c r="Q3915" s="20"/>
      <c r="R3915" s="20"/>
      <c r="S3915" s="20"/>
      <c r="T3915" s="20"/>
    </row>
    <row r="3916" spans="1:20" x14ac:dyDescent="0.25">
      <c r="A3916" s="3">
        <v>42013</v>
      </c>
      <c r="B3916" s="36">
        <v>326</v>
      </c>
      <c r="C3916" t="s">
        <v>715</v>
      </c>
      <c r="D3916">
        <v>10.5</v>
      </c>
      <c r="E3916" s="18">
        <v>775</v>
      </c>
      <c r="F3916" t="s">
        <v>889</v>
      </c>
      <c r="G3916" t="s">
        <v>716</v>
      </c>
      <c r="H3916" s="18">
        <v>775</v>
      </c>
      <c r="I3916" s="3">
        <v>42013</v>
      </c>
      <c r="J3916"/>
      <c r="L3916"/>
      <c r="M3916"/>
      <c r="N3916" s="20"/>
      <c r="O3916"/>
      <c r="P3916" s="20"/>
      <c r="Q3916" s="20"/>
      <c r="R3916" s="20"/>
      <c r="S3916" s="20"/>
      <c r="T3916" s="20"/>
    </row>
    <row r="3917" spans="1:20" x14ac:dyDescent="0.25">
      <c r="A3917" s="3">
        <v>42019</v>
      </c>
      <c r="B3917" s="36">
        <v>326</v>
      </c>
      <c r="C3917" t="s">
        <v>682</v>
      </c>
      <c r="D3917" s="55">
        <v>13.75</v>
      </c>
      <c r="E3917" s="18">
        <v>1812.5</v>
      </c>
      <c r="F3917" t="s">
        <v>889</v>
      </c>
      <c r="G3917" t="s">
        <v>683</v>
      </c>
      <c r="H3917" s="18">
        <v>1812.5</v>
      </c>
      <c r="I3917" s="3">
        <v>42019</v>
      </c>
      <c r="J3917"/>
      <c r="L3917"/>
      <c r="M3917"/>
      <c r="N3917" s="20"/>
      <c r="O3917"/>
      <c r="P3917" s="20"/>
      <c r="Q3917" s="20"/>
      <c r="R3917" s="20"/>
      <c r="S3917" s="20"/>
      <c r="T3917" s="20"/>
    </row>
    <row r="3918" spans="1:20" x14ac:dyDescent="0.25">
      <c r="A3918" s="3">
        <v>42027</v>
      </c>
      <c r="B3918" s="36">
        <v>326</v>
      </c>
      <c r="C3918" t="s">
        <v>648</v>
      </c>
      <c r="D3918" s="55">
        <v>8.25</v>
      </c>
      <c r="E3918" s="18">
        <v>250</v>
      </c>
      <c r="F3918" t="s">
        <v>889</v>
      </c>
      <c r="G3918" t="s">
        <v>649</v>
      </c>
      <c r="H3918" s="18">
        <v>250</v>
      </c>
      <c r="I3918" s="3">
        <v>42027</v>
      </c>
      <c r="J3918"/>
      <c r="L3918"/>
      <c r="M3918"/>
      <c r="N3918" s="20"/>
      <c r="O3918"/>
      <c r="P3918" s="20"/>
      <c r="Q3918" s="20"/>
      <c r="R3918" s="20"/>
      <c r="S3918" s="20"/>
      <c r="T3918" s="20"/>
    </row>
    <row r="3919" spans="1:20" x14ac:dyDescent="0.25">
      <c r="A3919" s="3">
        <v>42041</v>
      </c>
      <c r="B3919">
        <v>326</v>
      </c>
      <c r="C3919" t="s">
        <v>4400</v>
      </c>
      <c r="E3919" s="18">
        <v>163.78787878787884</v>
      </c>
      <c r="F3919" t="s">
        <v>889</v>
      </c>
      <c r="G3919" t="s">
        <v>4401</v>
      </c>
      <c r="I3919"/>
      <c r="J3919"/>
      <c r="L3919"/>
      <c r="M3919"/>
      <c r="O3919"/>
      <c r="P3919" s="20"/>
      <c r="Q3919" s="20"/>
      <c r="R3919" s="20"/>
      <c r="S3919" s="20"/>
      <c r="T3919" s="20"/>
    </row>
    <row r="3920" spans="1:20" x14ac:dyDescent="0.25">
      <c r="A3920" s="3">
        <v>42041</v>
      </c>
      <c r="B3920">
        <v>326</v>
      </c>
      <c r="C3920" t="s">
        <v>4394</v>
      </c>
      <c r="E3920" s="18">
        <v>366.66666666666669</v>
      </c>
      <c r="F3920" t="s">
        <v>889</v>
      </c>
      <c r="G3920" t="s">
        <v>4395</v>
      </c>
      <c r="I3920"/>
      <c r="J3920"/>
      <c r="L3920"/>
      <c r="M3920"/>
      <c r="O3920"/>
      <c r="P3920" s="20"/>
      <c r="Q3920" s="20"/>
      <c r="R3920" s="20"/>
      <c r="S3920" s="20"/>
      <c r="T3920" s="20"/>
    </row>
    <row r="3921" spans="1:21" x14ac:dyDescent="0.25">
      <c r="A3921" s="3">
        <v>42041</v>
      </c>
      <c r="B3921">
        <v>326</v>
      </c>
      <c r="C3921" t="s">
        <v>4423</v>
      </c>
      <c r="E3921" s="18">
        <v>850</v>
      </c>
      <c r="F3921" t="s">
        <v>889</v>
      </c>
      <c r="G3921" t="s">
        <v>4411</v>
      </c>
      <c r="I3921"/>
      <c r="J3921"/>
      <c r="L3921"/>
      <c r="M3921"/>
      <c r="O3921"/>
      <c r="P3921" s="20"/>
      <c r="Q3921" s="20"/>
      <c r="R3921" s="20"/>
      <c r="S3921" s="20"/>
      <c r="T3921" s="20"/>
    </row>
    <row r="3922" spans="1:21" x14ac:dyDescent="0.25">
      <c r="A3922" s="3">
        <v>42041</v>
      </c>
      <c r="B3922">
        <v>326</v>
      </c>
      <c r="C3922" t="s">
        <v>4402</v>
      </c>
      <c r="E3922" s="18">
        <v>300</v>
      </c>
      <c r="F3922" t="s">
        <v>889</v>
      </c>
      <c r="G3922" t="s">
        <v>4403</v>
      </c>
      <c r="I3922"/>
      <c r="J3922"/>
      <c r="L3922"/>
      <c r="M3922"/>
      <c r="O3922"/>
      <c r="P3922" s="20"/>
      <c r="Q3922" s="20"/>
      <c r="R3922" s="20"/>
      <c r="S3922" s="20"/>
      <c r="T3922" s="20"/>
    </row>
    <row r="3923" spans="1:21" x14ac:dyDescent="0.25">
      <c r="B3923">
        <v>326</v>
      </c>
      <c r="C3923" t="s">
        <v>4412</v>
      </c>
      <c r="E3923" s="18">
        <v>-2000</v>
      </c>
      <c r="G3923" t="s">
        <v>442</v>
      </c>
      <c r="I3923"/>
      <c r="J3923"/>
      <c r="L3923"/>
      <c r="M3923"/>
      <c r="O3923"/>
      <c r="P3923" s="20"/>
      <c r="Q3923" s="20"/>
      <c r="R3923" s="20"/>
      <c r="S3923" s="20"/>
      <c r="T3923" s="20"/>
      <c r="U3923" t="s">
        <v>401</v>
      </c>
    </row>
    <row r="3924" spans="1:21" x14ac:dyDescent="0.25">
      <c r="A3924" s="3">
        <v>41851</v>
      </c>
      <c r="B3924" s="36">
        <v>328</v>
      </c>
      <c r="C3924" t="s">
        <v>4424</v>
      </c>
      <c r="D3924">
        <v>5</v>
      </c>
      <c r="E3924" s="18">
        <v>500</v>
      </c>
      <c r="F3924" t="s">
        <v>889</v>
      </c>
      <c r="G3924" t="s">
        <v>4425</v>
      </c>
      <c r="H3924" s="18">
        <v>500</v>
      </c>
      <c r="I3924" s="3">
        <v>41851</v>
      </c>
      <c r="J3924"/>
      <c r="L3924"/>
      <c r="M3924"/>
      <c r="N3924" s="20"/>
      <c r="O3924" t="s">
        <v>931</v>
      </c>
      <c r="P3924" s="20"/>
      <c r="Q3924" s="20"/>
      <c r="R3924" s="20"/>
      <c r="S3924" s="20"/>
      <c r="T3924" s="20"/>
    </row>
    <row r="3925" spans="1:21" x14ac:dyDescent="0.25">
      <c r="A3925" s="3">
        <v>41851</v>
      </c>
      <c r="B3925" s="36">
        <v>328</v>
      </c>
      <c r="C3925" t="s">
        <v>4426</v>
      </c>
      <c r="D3925">
        <v>15.75</v>
      </c>
      <c r="E3925" s="18">
        <v>1575</v>
      </c>
      <c r="F3925" t="s">
        <v>889</v>
      </c>
      <c r="G3925" t="s">
        <v>4427</v>
      </c>
      <c r="H3925" s="18">
        <v>1575</v>
      </c>
      <c r="I3925" s="3">
        <v>41851</v>
      </c>
      <c r="J3925"/>
      <c r="L3925"/>
      <c r="M3925"/>
      <c r="N3925" s="20"/>
      <c r="O3925" t="s">
        <v>931</v>
      </c>
      <c r="P3925" s="20"/>
      <c r="Q3925" s="20"/>
      <c r="R3925" s="20"/>
      <c r="S3925" s="20"/>
      <c r="T3925" s="20"/>
    </row>
    <row r="3926" spans="1:21" x14ac:dyDescent="0.25">
      <c r="A3926" s="3">
        <v>41858</v>
      </c>
      <c r="B3926" s="36">
        <v>328</v>
      </c>
      <c r="C3926" t="s">
        <v>4428</v>
      </c>
      <c r="D3926">
        <v>2.5499999999999998</v>
      </c>
      <c r="E3926" s="18">
        <v>254.99999999999997</v>
      </c>
      <c r="F3926" t="s">
        <v>889</v>
      </c>
      <c r="G3926" t="s">
        <v>4429</v>
      </c>
      <c r="H3926" s="18">
        <v>254.99999999999997</v>
      </c>
      <c r="I3926" s="3">
        <v>41858</v>
      </c>
      <c r="J3926"/>
      <c r="L3926"/>
      <c r="M3926"/>
      <c r="N3926" s="20"/>
      <c r="O3926"/>
      <c r="P3926" s="20"/>
      <c r="Q3926" s="20"/>
      <c r="R3926" s="20"/>
      <c r="S3926" s="20"/>
      <c r="T3926" s="20"/>
    </row>
    <row r="3927" spans="1:21" x14ac:dyDescent="0.25">
      <c r="A3927" s="3">
        <v>41879</v>
      </c>
      <c r="B3927" s="36">
        <v>328</v>
      </c>
      <c r="C3927" t="s">
        <v>4430</v>
      </c>
      <c r="E3927" s="18">
        <v>250</v>
      </c>
      <c r="F3927" t="s">
        <v>889</v>
      </c>
      <c r="G3927" t="s">
        <v>442</v>
      </c>
      <c r="H3927" s="18" t="s">
        <v>442</v>
      </c>
      <c r="I3927" s="3" t="s">
        <v>442</v>
      </c>
      <c r="J3927"/>
      <c r="L3927"/>
      <c r="M3927"/>
      <c r="N3927" s="20"/>
      <c r="O3927"/>
      <c r="P3927" s="20"/>
      <c r="Q3927" s="20"/>
      <c r="R3927" s="20"/>
      <c r="S3927" s="20"/>
      <c r="T3927" s="20" t="s">
        <v>401</v>
      </c>
    </row>
    <row r="3928" spans="1:21" x14ac:dyDescent="0.25">
      <c r="A3928" s="3">
        <v>41918</v>
      </c>
      <c r="B3928" s="36">
        <v>328</v>
      </c>
      <c r="C3928" t="s">
        <v>4431</v>
      </c>
      <c r="E3928" s="18">
        <v>1000</v>
      </c>
      <c r="F3928" t="s">
        <v>889</v>
      </c>
      <c r="G3928" t="s">
        <v>442</v>
      </c>
      <c r="H3928" s="18" t="s">
        <v>442</v>
      </c>
      <c r="I3928" s="3" t="s">
        <v>442</v>
      </c>
      <c r="J3928"/>
      <c r="L3928"/>
      <c r="M3928"/>
      <c r="N3928" s="20"/>
      <c r="O3928"/>
      <c r="P3928" s="20"/>
      <c r="Q3928" s="20"/>
      <c r="R3928" s="20"/>
      <c r="S3928" s="20"/>
      <c r="T3928" s="20" t="s">
        <v>401</v>
      </c>
    </row>
    <row r="3929" spans="1:21" x14ac:dyDescent="0.25">
      <c r="B3929">
        <v>328</v>
      </c>
      <c r="C3929" t="s">
        <v>4424</v>
      </c>
      <c r="D3929">
        <v>5</v>
      </c>
      <c r="E3929" s="18">
        <v>-500</v>
      </c>
      <c r="F3929" t="s">
        <v>889</v>
      </c>
      <c r="G3929" t="s">
        <v>4425</v>
      </c>
      <c r="I3929"/>
      <c r="J3929"/>
      <c r="L3929"/>
      <c r="M3929"/>
      <c r="O3929"/>
      <c r="P3929" s="20"/>
      <c r="Q3929" s="20"/>
      <c r="R3929" s="20"/>
      <c r="S3929" s="20"/>
      <c r="T3929" s="20"/>
      <c r="U3929" t="s">
        <v>401</v>
      </c>
    </row>
    <row r="3930" spans="1:21" x14ac:dyDescent="0.25">
      <c r="B3930">
        <v>328</v>
      </c>
      <c r="C3930" t="s">
        <v>4431</v>
      </c>
      <c r="E3930" s="18">
        <v>-1000</v>
      </c>
      <c r="F3930" t="s">
        <v>889</v>
      </c>
      <c r="G3930" t="s">
        <v>442</v>
      </c>
      <c r="I3930"/>
      <c r="J3930"/>
      <c r="L3930"/>
      <c r="M3930"/>
      <c r="O3930"/>
      <c r="P3930" s="20"/>
      <c r="Q3930" s="20"/>
      <c r="R3930" s="20"/>
      <c r="S3930" s="20"/>
      <c r="T3930" s="20"/>
      <c r="U3930" t="s">
        <v>401</v>
      </c>
    </row>
    <row r="3931" spans="1:21" x14ac:dyDescent="0.25">
      <c r="B3931">
        <v>328</v>
      </c>
      <c r="C3931" t="s">
        <v>4426</v>
      </c>
      <c r="D3931">
        <v>15.75</v>
      </c>
      <c r="E3931" s="18">
        <v>-1575</v>
      </c>
      <c r="F3931" t="s">
        <v>889</v>
      </c>
      <c r="G3931" t="s">
        <v>4427</v>
      </c>
      <c r="I3931"/>
      <c r="J3931"/>
      <c r="L3931"/>
      <c r="M3931"/>
      <c r="O3931"/>
      <c r="P3931" s="20"/>
      <c r="Q3931" s="20"/>
      <c r="R3931" s="20"/>
      <c r="S3931" s="20"/>
      <c r="T3931" s="20"/>
      <c r="U3931" t="s">
        <v>401</v>
      </c>
    </row>
    <row r="3932" spans="1:21" x14ac:dyDescent="0.25">
      <c r="B3932">
        <v>328</v>
      </c>
      <c r="C3932" t="s">
        <v>4428</v>
      </c>
      <c r="D3932">
        <v>2.5499999999999998</v>
      </c>
      <c r="E3932" s="18">
        <v>-255</v>
      </c>
      <c r="F3932" t="s">
        <v>889</v>
      </c>
      <c r="G3932" t="s">
        <v>4429</v>
      </c>
      <c r="I3932"/>
      <c r="J3932"/>
      <c r="L3932"/>
      <c r="M3932"/>
      <c r="O3932"/>
      <c r="P3932" s="20"/>
      <c r="Q3932" s="20"/>
      <c r="R3932" s="20"/>
      <c r="S3932" s="20"/>
      <c r="T3932" s="20"/>
      <c r="U3932" t="s">
        <v>401</v>
      </c>
    </row>
    <row r="3933" spans="1:21" x14ac:dyDescent="0.25">
      <c r="B3933">
        <v>328</v>
      </c>
      <c r="C3933" t="s">
        <v>4430</v>
      </c>
      <c r="E3933" s="18">
        <v>-250</v>
      </c>
      <c r="F3933" t="s">
        <v>889</v>
      </c>
      <c r="G3933" t="s">
        <v>442</v>
      </c>
      <c r="I3933"/>
      <c r="J3933"/>
      <c r="L3933"/>
      <c r="M3933"/>
      <c r="O3933"/>
      <c r="P3933" s="20"/>
      <c r="Q3933" s="20"/>
      <c r="R3933" s="20"/>
      <c r="S3933" s="20"/>
      <c r="T3933" s="20"/>
      <c r="U3933" t="s">
        <v>401</v>
      </c>
    </row>
    <row r="3934" spans="1:21" x14ac:dyDescent="0.25">
      <c r="B3934">
        <v>328</v>
      </c>
      <c r="C3934" t="s">
        <v>4432</v>
      </c>
      <c r="E3934" s="18">
        <v>348.78472219999998</v>
      </c>
      <c r="F3934" t="s">
        <v>891</v>
      </c>
      <c r="G3934" t="s">
        <v>442</v>
      </c>
      <c r="I3934"/>
      <c r="J3934"/>
      <c r="L3934"/>
      <c r="M3934"/>
      <c r="O3934"/>
      <c r="P3934" s="20"/>
      <c r="Q3934" s="20"/>
      <c r="R3934" s="20"/>
      <c r="S3934" s="20"/>
      <c r="T3934" s="20"/>
      <c r="U3934" t="s">
        <v>401</v>
      </c>
    </row>
    <row r="3935" spans="1:21" x14ac:dyDescent="0.25">
      <c r="B3935">
        <v>328</v>
      </c>
      <c r="C3935" t="s">
        <v>3076</v>
      </c>
      <c r="E3935" s="18">
        <v>-96.32</v>
      </c>
      <c r="G3935" t="s">
        <v>442</v>
      </c>
      <c r="I3935"/>
      <c r="J3935"/>
      <c r="L3935"/>
      <c r="M3935"/>
      <c r="O3935"/>
      <c r="P3935" s="20"/>
      <c r="Q3935" s="20"/>
      <c r="R3935" s="20"/>
      <c r="S3935" s="20"/>
      <c r="T3935" s="20"/>
      <c r="U3935" t="s">
        <v>401</v>
      </c>
    </row>
    <row r="3936" spans="1:21" x14ac:dyDescent="0.25">
      <c r="B3936">
        <v>328</v>
      </c>
      <c r="C3936" t="s">
        <v>2573</v>
      </c>
      <c r="E3936" s="18">
        <v>-96.32</v>
      </c>
      <c r="F3936" t="s">
        <v>891</v>
      </c>
      <c r="G3936" t="s">
        <v>442</v>
      </c>
      <c r="I3936"/>
      <c r="J3936"/>
      <c r="L3936"/>
      <c r="M3936"/>
      <c r="O3936"/>
      <c r="P3936" s="20"/>
      <c r="Q3936" s="20"/>
      <c r="R3936" s="20"/>
      <c r="S3936" s="20"/>
      <c r="T3936" s="20"/>
      <c r="U3936" t="s">
        <v>401</v>
      </c>
    </row>
    <row r="3937" spans="1:21" x14ac:dyDescent="0.25">
      <c r="B3937">
        <v>328</v>
      </c>
      <c r="C3937" t="s">
        <v>1312</v>
      </c>
      <c r="E3937" s="18">
        <v>-96.32</v>
      </c>
      <c r="F3937" t="s">
        <v>891</v>
      </c>
      <c r="G3937" t="s">
        <v>442</v>
      </c>
      <c r="I3937"/>
      <c r="J3937"/>
      <c r="L3937"/>
      <c r="M3937"/>
      <c r="O3937"/>
      <c r="P3937" s="20"/>
      <c r="Q3937" s="20"/>
      <c r="R3937" s="20"/>
      <c r="S3937" s="20"/>
      <c r="T3937" s="20"/>
      <c r="U3937" t="s">
        <v>401</v>
      </c>
    </row>
    <row r="3938" spans="1:21" x14ac:dyDescent="0.25">
      <c r="B3938">
        <v>328</v>
      </c>
      <c r="C3938" t="s">
        <v>4433</v>
      </c>
      <c r="E3938" s="18">
        <v>68.149641578571419</v>
      </c>
      <c r="F3938" t="s">
        <v>891</v>
      </c>
      <c r="G3938" t="s">
        <v>442</v>
      </c>
      <c r="I3938"/>
      <c r="J3938"/>
      <c r="L3938"/>
      <c r="M3938"/>
      <c r="O3938"/>
      <c r="P3938" s="20"/>
      <c r="Q3938" s="20"/>
      <c r="R3938" s="20"/>
      <c r="S3938" s="20"/>
      <c r="T3938" s="20"/>
      <c r="U3938" t="s">
        <v>401</v>
      </c>
    </row>
    <row r="3939" spans="1:21" x14ac:dyDescent="0.25">
      <c r="B3939">
        <v>328</v>
      </c>
      <c r="C3939" t="s">
        <v>1117</v>
      </c>
      <c r="E3939" s="18">
        <v>-97.659722220000006</v>
      </c>
      <c r="F3939" t="s">
        <v>891</v>
      </c>
      <c r="G3939" t="s">
        <v>442</v>
      </c>
      <c r="I3939"/>
      <c r="J3939"/>
      <c r="L3939"/>
      <c r="M3939"/>
      <c r="O3939"/>
      <c r="P3939" s="20"/>
      <c r="Q3939" s="20"/>
      <c r="R3939" s="20"/>
      <c r="S3939" s="20"/>
      <c r="T3939" s="20"/>
      <c r="U3939" t="s">
        <v>401</v>
      </c>
    </row>
    <row r="3940" spans="1:21" x14ac:dyDescent="0.25">
      <c r="B3940">
        <v>328</v>
      </c>
      <c r="C3940" t="s">
        <v>4434</v>
      </c>
      <c r="E3940" s="18">
        <v>97.659722220000006</v>
      </c>
      <c r="F3940" t="s">
        <v>891</v>
      </c>
      <c r="G3940" t="s">
        <v>442</v>
      </c>
      <c r="I3940"/>
      <c r="J3940"/>
      <c r="L3940"/>
      <c r="M3940"/>
      <c r="O3940"/>
      <c r="P3940" s="20"/>
      <c r="Q3940" s="20"/>
      <c r="R3940" s="20"/>
      <c r="S3940" s="20"/>
      <c r="T3940" s="20"/>
      <c r="U3940" t="s">
        <v>401</v>
      </c>
    </row>
    <row r="3941" spans="1:21" x14ac:dyDescent="0.25">
      <c r="B3941">
        <v>328</v>
      </c>
      <c r="C3941" t="s">
        <v>1283</v>
      </c>
      <c r="E3941" s="18">
        <v>-82.56</v>
      </c>
      <c r="F3941" t="s">
        <v>891</v>
      </c>
      <c r="G3941" t="s">
        <v>442</v>
      </c>
      <c r="I3941"/>
      <c r="J3941"/>
      <c r="L3941"/>
      <c r="M3941"/>
      <c r="O3941"/>
      <c r="P3941" s="20"/>
      <c r="Q3941" s="20"/>
      <c r="R3941" s="20"/>
      <c r="S3941" s="20"/>
      <c r="T3941" s="20"/>
      <c r="U3941" t="s">
        <v>401</v>
      </c>
    </row>
    <row r="3942" spans="1:21" x14ac:dyDescent="0.25">
      <c r="A3942" s="3">
        <v>41880</v>
      </c>
      <c r="B3942" s="36">
        <v>329</v>
      </c>
      <c r="C3942" t="s">
        <v>4435</v>
      </c>
      <c r="D3942">
        <v>4.59</v>
      </c>
      <c r="E3942" s="18">
        <v>459</v>
      </c>
      <c r="F3942" t="s">
        <v>889</v>
      </c>
      <c r="G3942" t="s">
        <v>4436</v>
      </c>
      <c r="H3942" s="18">
        <v>459</v>
      </c>
      <c r="I3942" s="3">
        <v>41880</v>
      </c>
      <c r="J3942"/>
      <c r="L3942"/>
      <c r="M3942"/>
      <c r="N3942" s="20"/>
      <c r="O3942"/>
      <c r="P3942" s="20"/>
      <c r="Q3942" s="20"/>
      <c r="R3942" s="20"/>
      <c r="S3942" s="20"/>
      <c r="T3942" s="20"/>
    </row>
    <row r="3943" spans="1:21" x14ac:dyDescent="0.25">
      <c r="A3943" s="3">
        <v>41880</v>
      </c>
      <c r="B3943" s="36">
        <v>329</v>
      </c>
      <c r="C3943" t="s">
        <v>4437</v>
      </c>
      <c r="D3943">
        <v>7.3949999999999996</v>
      </c>
      <c r="E3943" s="18">
        <v>739.5</v>
      </c>
      <c r="F3943" t="s">
        <v>889</v>
      </c>
      <c r="G3943" t="s">
        <v>4438</v>
      </c>
      <c r="H3943" s="18">
        <v>739.5</v>
      </c>
      <c r="I3943" s="3">
        <v>41880</v>
      </c>
      <c r="J3943"/>
      <c r="L3943"/>
      <c r="M3943"/>
      <c r="N3943" s="20"/>
      <c r="O3943"/>
      <c r="P3943" s="20"/>
      <c r="Q3943" s="20"/>
      <c r="R3943" s="20"/>
      <c r="S3943" s="20"/>
      <c r="T3943" s="20"/>
    </row>
    <row r="3944" spans="1:21" x14ac:dyDescent="0.25">
      <c r="A3944" s="3">
        <v>41894</v>
      </c>
      <c r="B3944" s="36">
        <v>329</v>
      </c>
      <c r="C3944" t="s">
        <v>4439</v>
      </c>
      <c r="D3944">
        <v>9.9450000000000003</v>
      </c>
      <c r="E3944" s="18">
        <v>994.5</v>
      </c>
      <c r="F3944" t="s">
        <v>889</v>
      </c>
      <c r="G3944" t="s">
        <v>4440</v>
      </c>
      <c r="H3944" s="18">
        <v>994.5</v>
      </c>
      <c r="I3944" s="3">
        <v>41894</v>
      </c>
      <c r="J3944"/>
      <c r="L3944"/>
      <c r="M3944"/>
      <c r="N3944" s="20"/>
      <c r="O3944"/>
      <c r="P3944" s="20"/>
      <c r="Q3944" s="20"/>
      <c r="R3944" s="20"/>
      <c r="S3944" s="20"/>
      <c r="T3944" s="20"/>
    </row>
    <row r="3945" spans="1:21" x14ac:dyDescent="0.25">
      <c r="A3945" s="3">
        <v>41894</v>
      </c>
      <c r="B3945" s="36">
        <v>329</v>
      </c>
      <c r="C3945" t="s">
        <v>4441</v>
      </c>
      <c r="D3945">
        <v>7.65</v>
      </c>
      <c r="E3945" s="18">
        <v>765</v>
      </c>
      <c r="F3945" t="s">
        <v>889</v>
      </c>
      <c r="G3945" t="s">
        <v>4442</v>
      </c>
      <c r="H3945" s="18">
        <v>765</v>
      </c>
      <c r="I3945" s="3">
        <v>41894</v>
      </c>
      <c r="J3945"/>
      <c r="L3945"/>
      <c r="M3945"/>
      <c r="N3945" s="20"/>
      <c r="O3945"/>
      <c r="P3945" s="20"/>
      <c r="Q3945" s="20"/>
      <c r="R3945" s="20"/>
      <c r="S3945" s="20"/>
      <c r="T3945" s="20"/>
    </row>
    <row r="3946" spans="1:21" x14ac:dyDescent="0.25">
      <c r="A3946" s="3">
        <v>41918</v>
      </c>
      <c r="B3946" s="36">
        <v>329</v>
      </c>
      <c r="C3946" t="s">
        <v>4362</v>
      </c>
      <c r="E3946" s="18">
        <v>500</v>
      </c>
      <c r="G3946" t="s">
        <v>442</v>
      </c>
      <c r="H3946" s="18" t="s">
        <v>442</v>
      </c>
      <c r="I3946" s="3" t="s">
        <v>442</v>
      </c>
      <c r="J3946"/>
      <c r="L3946"/>
      <c r="M3946"/>
      <c r="N3946" s="20"/>
      <c r="O3946"/>
      <c r="P3946" s="20"/>
      <c r="Q3946" s="20"/>
      <c r="R3946" s="20"/>
      <c r="S3946" s="20"/>
      <c r="T3946" s="20" t="s">
        <v>401</v>
      </c>
    </row>
    <row r="3947" spans="1:21" x14ac:dyDescent="0.25">
      <c r="A3947" s="46">
        <v>41918</v>
      </c>
      <c r="B3947" s="36">
        <v>329</v>
      </c>
      <c r="C3947" s="47" t="s">
        <v>1313</v>
      </c>
      <c r="D3947" s="47"/>
      <c r="E3947" s="48">
        <v>209.2</v>
      </c>
      <c r="F3947" s="47"/>
      <c r="G3947" s="20"/>
      <c r="H3947" s="18" t="s">
        <v>442</v>
      </c>
      <c r="I3947" s="3" t="s">
        <v>442</v>
      </c>
      <c r="J3947" s="20"/>
      <c r="K3947" s="20"/>
      <c r="L3947" s="20"/>
      <c r="M3947" s="20"/>
      <c r="N3947" s="20"/>
      <c r="O3947" s="47"/>
      <c r="P3947" s="20"/>
      <c r="Q3947" s="20"/>
      <c r="R3947" s="20"/>
      <c r="S3947" s="20" t="s">
        <v>401</v>
      </c>
      <c r="T3947" s="20"/>
    </row>
    <row r="3948" spans="1:21" x14ac:dyDescent="0.25">
      <c r="A3948" s="3">
        <v>41922</v>
      </c>
      <c r="B3948" s="36">
        <v>329</v>
      </c>
      <c r="C3948" t="s">
        <v>4443</v>
      </c>
      <c r="D3948">
        <v>4.59</v>
      </c>
      <c r="E3948" s="18">
        <v>459</v>
      </c>
      <c r="F3948" t="s">
        <v>889</v>
      </c>
      <c r="G3948" t="s">
        <v>4444</v>
      </c>
      <c r="H3948" s="18">
        <v>459</v>
      </c>
      <c r="I3948" s="3">
        <v>41922</v>
      </c>
      <c r="J3948"/>
      <c r="L3948"/>
      <c r="M3948"/>
      <c r="N3948" s="20"/>
      <c r="O3948"/>
      <c r="P3948" s="20"/>
      <c r="Q3948" s="20"/>
      <c r="R3948" s="20"/>
      <c r="S3948" s="20"/>
      <c r="T3948" s="20"/>
    </row>
    <row r="3949" spans="1:21" x14ac:dyDescent="0.25">
      <c r="A3949" s="3">
        <v>41922</v>
      </c>
      <c r="B3949" s="36">
        <v>329</v>
      </c>
      <c r="C3949" t="s">
        <v>4445</v>
      </c>
      <c r="D3949">
        <v>3.3149999999999999</v>
      </c>
      <c r="E3949" s="18">
        <v>331.5</v>
      </c>
      <c r="F3949" t="s">
        <v>889</v>
      </c>
      <c r="G3949" t="s">
        <v>4446</v>
      </c>
      <c r="H3949" s="18">
        <v>331.5</v>
      </c>
      <c r="I3949" s="3">
        <v>41922</v>
      </c>
      <c r="J3949"/>
      <c r="L3949"/>
      <c r="M3949"/>
      <c r="N3949" s="20"/>
      <c r="O3949"/>
      <c r="P3949" s="20"/>
      <c r="Q3949" s="20"/>
      <c r="R3949" s="20"/>
      <c r="S3949" s="20"/>
      <c r="T3949" s="20"/>
    </row>
    <row r="3950" spans="1:21" x14ac:dyDescent="0.25">
      <c r="A3950" s="3">
        <v>41922</v>
      </c>
      <c r="B3950" s="36">
        <v>329</v>
      </c>
      <c r="C3950" t="s">
        <v>4447</v>
      </c>
      <c r="D3950">
        <v>5.3550000000000004</v>
      </c>
      <c r="E3950" s="18">
        <v>535.5</v>
      </c>
      <c r="F3950" t="s">
        <v>889</v>
      </c>
      <c r="G3950" t="s">
        <v>4448</v>
      </c>
      <c r="H3950" s="18">
        <v>535.5</v>
      </c>
      <c r="I3950" s="3">
        <v>41922</v>
      </c>
      <c r="J3950"/>
      <c r="L3950"/>
      <c r="M3950"/>
      <c r="N3950" s="20"/>
      <c r="O3950"/>
      <c r="P3950" s="20"/>
      <c r="Q3950" s="20"/>
      <c r="R3950" s="20"/>
      <c r="S3950" s="20"/>
      <c r="T3950" s="20"/>
    </row>
    <row r="3951" spans="1:21" x14ac:dyDescent="0.25">
      <c r="A3951" s="3">
        <v>41922</v>
      </c>
      <c r="B3951" s="36">
        <v>329</v>
      </c>
      <c r="C3951" t="s">
        <v>4449</v>
      </c>
      <c r="D3951">
        <v>4.335</v>
      </c>
      <c r="E3951" s="18">
        <v>433.5</v>
      </c>
      <c r="F3951" t="s">
        <v>889</v>
      </c>
      <c r="G3951" t="s">
        <v>4450</v>
      </c>
      <c r="H3951" s="18">
        <v>433.5</v>
      </c>
      <c r="I3951" s="3">
        <v>41922</v>
      </c>
      <c r="J3951"/>
      <c r="L3951"/>
      <c r="M3951"/>
      <c r="N3951" s="20"/>
      <c r="O3951"/>
      <c r="P3951" s="20"/>
      <c r="Q3951" s="20"/>
      <c r="R3951" s="20"/>
      <c r="S3951" s="20"/>
      <c r="T3951" s="20"/>
    </row>
    <row r="3952" spans="1:21" x14ac:dyDescent="0.25">
      <c r="A3952" s="3">
        <v>41929</v>
      </c>
      <c r="B3952" s="36">
        <v>329</v>
      </c>
      <c r="C3952" t="s">
        <v>4451</v>
      </c>
      <c r="D3952">
        <v>19</v>
      </c>
      <c r="E3952" s="18">
        <v>1989</v>
      </c>
      <c r="F3952" t="s">
        <v>889</v>
      </c>
      <c r="G3952" t="s">
        <v>4452</v>
      </c>
      <c r="H3952" s="18">
        <v>1989</v>
      </c>
      <c r="I3952" s="3">
        <v>41929</v>
      </c>
      <c r="J3952"/>
      <c r="L3952"/>
      <c r="M3952"/>
      <c r="N3952" s="20"/>
      <c r="O3952"/>
      <c r="P3952" s="20"/>
      <c r="Q3952" s="20"/>
      <c r="R3952" s="20"/>
      <c r="S3952" s="20"/>
      <c r="T3952" s="20"/>
    </row>
    <row r="3953" spans="1:21" x14ac:dyDescent="0.25">
      <c r="A3953" s="3">
        <v>41957</v>
      </c>
      <c r="B3953" s="36">
        <v>329</v>
      </c>
      <c r="C3953" t="s">
        <v>4453</v>
      </c>
      <c r="D3953">
        <v>24.5</v>
      </c>
      <c r="E3953" s="18">
        <v>2450</v>
      </c>
      <c r="F3953" t="s">
        <v>889</v>
      </c>
      <c r="G3953" t="s">
        <v>4454</v>
      </c>
      <c r="H3953" s="18">
        <v>2450</v>
      </c>
      <c r="I3953" s="3">
        <v>41957</v>
      </c>
      <c r="J3953"/>
      <c r="L3953"/>
      <c r="M3953"/>
      <c r="N3953" s="20"/>
      <c r="O3953"/>
      <c r="P3953" s="20"/>
      <c r="Q3953" s="20"/>
      <c r="R3953" s="20"/>
      <c r="S3953" s="20"/>
      <c r="T3953" s="20"/>
    </row>
    <row r="3954" spans="1:21" x14ac:dyDescent="0.25">
      <c r="A3954" s="3">
        <v>41978</v>
      </c>
      <c r="B3954" s="36">
        <v>329</v>
      </c>
      <c r="C3954" t="s">
        <v>4455</v>
      </c>
      <c r="D3954">
        <v>12.75</v>
      </c>
      <c r="E3954" s="18">
        <v>1275</v>
      </c>
      <c r="F3954" t="s">
        <v>889</v>
      </c>
      <c r="G3954" t="s">
        <v>4456</v>
      </c>
      <c r="H3954" s="18">
        <v>1275</v>
      </c>
      <c r="I3954" s="3">
        <v>41978</v>
      </c>
      <c r="J3954"/>
      <c r="L3954"/>
      <c r="M3954"/>
      <c r="N3954" s="20"/>
      <c r="O3954"/>
      <c r="P3954" s="20"/>
      <c r="Q3954" s="20"/>
      <c r="R3954" s="20"/>
      <c r="S3954" s="20"/>
      <c r="T3954" s="20"/>
    </row>
    <row r="3955" spans="1:21" x14ac:dyDescent="0.25">
      <c r="A3955" s="3">
        <v>41978</v>
      </c>
      <c r="B3955" s="36">
        <v>329</v>
      </c>
      <c r="C3955" t="s">
        <v>4362</v>
      </c>
      <c r="E3955" s="18">
        <v>-500</v>
      </c>
      <c r="F3955" t="s">
        <v>889</v>
      </c>
      <c r="G3955" t="s">
        <v>442</v>
      </c>
      <c r="H3955" s="18" t="s">
        <v>442</v>
      </c>
      <c r="I3955" s="3" t="s">
        <v>442</v>
      </c>
      <c r="J3955"/>
      <c r="L3955"/>
      <c r="M3955"/>
      <c r="N3955" s="20"/>
      <c r="O3955"/>
      <c r="P3955" s="20"/>
      <c r="Q3955" s="20"/>
      <c r="R3955" s="20"/>
      <c r="S3955" s="20"/>
      <c r="T3955" s="20" t="s">
        <v>401</v>
      </c>
    </row>
    <row r="3956" spans="1:21" x14ac:dyDescent="0.25">
      <c r="A3956" s="46">
        <v>41995</v>
      </c>
      <c r="B3956" s="36">
        <v>329</v>
      </c>
      <c r="C3956" s="47" t="s">
        <v>1313</v>
      </c>
      <c r="D3956" s="47"/>
      <c r="E3956" s="48">
        <v>229.5</v>
      </c>
      <c r="F3956" s="47"/>
      <c r="G3956" s="20"/>
      <c r="H3956" s="18" t="s">
        <v>442</v>
      </c>
      <c r="I3956" s="3" t="s">
        <v>442</v>
      </c>
      <c r="J3956" s="20"/>
      <c r="K3956" s="20"/>
      <c r="L3956" s="20"/>
      <c r="M3956" s="20"/>
      <c r="N3956" s="20"/>
      <c r="O3956" s="47"/>
      <c r="P3956" s="20"/>
      <c r="Q3956" s="20"/>
      <c r="R3956" s="20"/>
      <c r="S3956" s="20" t="s">
        <v>401</v>
      </c>
      <c r="T3956" s="20"/>
    </row>
    <row r="3957" spans="1:21" x14ac:dyDescent="0.25">
      <c r="A3957" s="3">
        <v>42013</v>
      </c>
      <c r="B3957" s="36">
        <v>329</v>
      </c>
      <c r="C3957" t="s">
        <v>425</v>
      </c>
      <c r="D3957">
        <v>8.67</v>
      </c>
      <c r="E3957" s="18">
        <v>683.5</v>
      </c>
      <c r="F3957" t="s">
        <v>889</v>
      </c>
      <c r="G3957" t="s">
        <v>426</v>
      </c>
      <c r="H3957" s="18">
        <v>683.5</v>
      </c>
      <c r="I3957" s="3">
        <v>42013</v>
      </c>
      <c r="J3957"/>
      <c r="L3957"/>
      <c r="M3957"/>
      <c r="N3957" s="20"/>
      <c r="O3957"/>
      <c r="P3957" s="20"/>
      <c r="Q3957" s="20"/>
      <c r="R3957" s="20"/>
      <c r="S3957" s="20"/>
      <c r="T3957" s="20"/>
    </row>
    <row r="3958" spans="1:21" x14ac:dyDescent="0.25">
      <c r="B3958">
        <v>329</v>
      </c>
      <c r="C3958" t="s">
        <v>4439</v>
      </c>
      <c r="D3958">
        <v>9.9450000000000003</v>
      </c>
      <c r="E3958" s="18">
        <v>-994.5</v>
      </c>
      <c r="F3958" t="s">
        <v>889</v>
      </c>
      <c r="G3958" t="s">
        <v>4440</v>
      </c>
      <c r="I3958"/>
      <c r="J3958"/>
      <c r="L3958"/>
      <c r="M3958"/>
      <c r="O3958"/>
      <c r="P3958" s="20"/>
      <c r="Q3958" s="20"/>
      <c r="R3958" s="20"/>
      <c r="S3958" s="20"/>
      <c r="T3958" s="20"/>
      <c r="U3958" t="s">
        <v>401</v>
      </c>
    </row>
    <row r="3959" spans="1:21" x14ac:dyDescent="0.25">
      <c r="B3959">
        <v>329</v>
      </c>
      <c r="C3959" t="s">
        <v>3870</v>
      </c>
      <c r="E3959" s="18">
        <v>-50</v>
      </c>
      <c r="G3959" t="s">
        <v>442</v>
      </c>
      <c r="I3959"/>
      <c r="J3959"/>
      <c r="L3959"/>
      <c r="M3959"/>
      <c r="O3959"/>
      <c r="P3959" s="20"/>
      <c r="Q3959" s="20"/>
      <c r="R3959" s="20"/>
      <c r="S3959" s="20"/>
      <c r="T3959" s="20"/>
      <c r="U3959" t="s">
        <v>401</v>
      </c>
    </row>
    <row r="3960" spans="1:21" x14ac:dyDescent="0.25">
      <c r="B3960">
        <v>329</v>
      </c>
      <c r="C3960" t="s">
        <v>4435</v>
      </c>
      <c r="D3960">
        <v>4.59</v>
      </c>
      <c r="E3960" s="18">
        <v>153</v>
      </c>
      <c r="F3960" t="s">
        <v>889</v>
      </c>
      <c r="G3960" t="s">
        <v>4436</v>
      </c>
      <c r="I3960"/>
      <c r="J3960"/>
      <c r="L3960"/>
      <c r="M3960"/>
      <c r="O3960"/>
      <c r="P3960" s="20"/>
      <c r="Q3960" s="20"/>
      <c r="R3960" s="20"/>
      <c r="S3960" s="20"/>
      <c r="T3960" s="20"/>
      <c r="U3960" t="s">
        <v>401</v>
      </c>
    </row>
    <row r="3961" spans="1:21" x14ac:dyDescent="0.25">
      <c r="B3961">
        <v>329</v>
      </c>
      <c r="C3961" t="s">
        <v>4443</v>
      </c>
      <c r="D3961">
        <v>4.59</v>
      </c>
      <c r="E3961" s="18">
        <v>-459</v>
      </c>
      <c r="F3961" t="s">
        <v>889</v>
      </c>
      <c r="G3961" t="s">
        <v>4444</v>
      </c>
      <c r="I3961"/>
      <c r="J3961"/>
      <c r="L3961"/>
      <c r="M3961"/>
      <c r="O3961"/>
      <c r="P3961" s="20"/>
      <c r="Q3961" s="20"/>
      <c r="R3961" s="20"/>
      <c r="S3961" s="20"/>
      <c r="T3961" s="20"/>
      <c r="U3961" t="s">
        <v>401</v>
      </c>
    </row>
    <row r="3962" spans="1:21" x14ac:dyDescent="0.25">
      <c r="B3962">
        <v>329</v>
      </c>
      <c r="C3962" t="s">
        <v>4457</v>
      </c>
      <c r="E3962" s="18">
        <v>535.5</v>
      </c>
      <c r="F3962" t="s">
        <v>889</v>
      </c>
      <c r="G3962" t="s">
        <v>4448</v>
      </c>
      <c r="I3962"/>
      <c r="J3962"/>
      <c r="L3962"/>
      <c r="M3962"/>
      <c r="O3962"/>
      <c r="P3962" s="20"/>
      <c r="Q3962" s="20"/>
      <c r="R3962" s="20"/>
      <c r="S3962" s="20"/>
      <c r="T3962" s="20"/>
      <c r="U3962" t="s">
        <v>401</v>
      </c>
    </row>
    <row r="3963" spans="1:21" x14ac:dyDescent="0.25">
      <c r="B3963">
        <v>329</v>
      </c>
      <c r="C3963" t="s">
        <v>4441</v>
      </c>
      <c r="D3963">
        <v>5.0999999999999996</v>
      </c>
      <c r="E3963" s="18">
        <v>-765</v>
      </c>
      <c r="F3963" t="s">
        <v>889</v>
      </c>
      <c r="G3963" t="s">
        <v>4442</v>
      </c>
      <c r="I3963"/>
      <c r="J3963"/>
      <c r="L3963"/>
      <c r="M3963"/>
      <c r="O3963"/>
      <c r="P3963" s="20"/>
      <c r="Q3963" s="20"/>
      <c r="R3963" s="20"/>
      <c r="S3963" s="20"/>
      <c r="T3963" s="20"/>
      <c r="U3963" t="s">
        <v>401</v>
      </c>
    </row>
    <row r="3964" spans="1:21" x14ac:dyDescent="0.25">
      <c r="B3964">
        <v>329</v>
      </c>
      <c r="C3964" t="s">
        <v>4437</v>
      </c>
      <c r="D3964">
        <v>7.3949999999999996</v>
      </c>
      <c r="E3964" s="18">
        <v>167.62000000000003</v>
      </c>
      <c r="F3964" t="s">
        <v>889</v>
      </c>
      <c r="G3964" t="s">
        <v>4438</v>
      </c>
      <c r="I3964"/>
      <c r="J3964"/>
      <c r="L3964"/>
      <c r="M3964"/>
      <c r="O3964"/>
      <c r="P3964" s="20"/>
      <c r="Q3964" s="20"/>
      <c r="R3964" s="20"/>
      <c r="S3964" s="20"/>
      <c r="T3964" s="20"/>
      <c r="U3964" t="s">
        <v>401</v>
      </c>
    </row>
    <row r="3965" spans="1:21" x14ac:dyDescent="0.25">
      <c r="B3965">
        <v>329</v>
      </c>
      <c r="C3965" t="s">
        <v>4445</v>
      </c>
      <c r="D3965">
        <v>4.08</v>
      </c>
      <c r="E3965" s="18">
        <v>161.5</v>
      </c>
      <c r="F3965" t="s">
        <v>889</v>
      </c>
      <c r="G3965" t="s">
        <v>4446</v>
      </c>
      <c r="I3965"/>
      <c r="J3965"/>
      <c r="L3965"/>
      <c r="M3965"/>
      <c r="O3965"/>
      <c r="P3965" s="20"/>
      <c r="Q3965" s="20"/>
      <c r="R3965" s="20"/>
      <c r="S3965" s="20"/>
      <c r="T3965" s="20"/>
      <c r="U3965" t="s">
        <v>401</v>
      </c>
    </row>
    <row r="3966" spans="1:21" x14ac:dyDescent="0.25">
      <c r="B3966">
        <v>329</v>
      </c>
      <c r="C3966" t="s">
        <v>4458</v>
      </c>
      <c r="D3966">
        <v>5.8650000000000002</v>
      </c>
      <c r="E3966" s="18">
        <v>586.5</v>
      </c>
      <c r="F3966" t="s">
        <v>889</v>
      </c>
      <c r="G3966" t="s">
        <v>4459</v>
      </c>
      <c r="I3966"/>
      <c r="J3966"/>
      <c r="L3966"/>
      <c r="M3966"/>
      <c r="O3966"/>
      <c r="P3966" s="20"/>
      <c r="Q3966" s="20"/>
      <c r="R3966" s="20"/>
      <c r="S3966" s="20"/>
      <c r="T3966" s="20"/>
      <c r="U3966" t="s">
        <v>401</v>
      </c>
    </row>
    <row r="3967" spans="1:21" x14ac:dyDescent="0.25">
      <c r="A3967" s="3">
        <v>41880</v>
      </c>
      <c r="B3967" s="36">
        <v>332</v>
      </c>
      <c r="C3967" t="s">
        <v>4460</v>
      </c>
      <c r="D3967">
        <v>12.5</v>
      </c>
      <c r="E3967" s="18">
        <v>1249.5</v>
      </c>
      <c r="F3967" t="s">
        <v>889</v>
      </c>
      <c r="G3967" t="s">
        <v>4461</v>
      </c>
      <c r="H3967" s="18">
        <v>1249.5</v>
      </c>
      <c r="I3967" s="3">
        <v>41880</v>
      </c>
      <c r="J3967"/>
      <c r="L3967"/>
      <c r="M3967"/>
      <c r="N3967" s="20"/>
      <c r="O3967"/>
      <c r="P3967" s="20"/>
      <c r="Q3967" s="20"/>
      <c r="R3967" s="20"/>
      <c r="S3967" s="20"/>
      <c r="T3967" s="20"/>
    </row>
    <row r="3968" spans="1:21" x14ac:dyDescent="0.25">
      <c r="A3968" s="3">
        <v>41880</v>
      </c>
      <c r="B3968" s="36">
        <v>332</v>
      </c>
      <c r="C3968" t="s">
        <v>4462</v>
      </c>
      <c r="D3968">
        <v>4.5</v>
      </c>
      <c r="E3968" s="18">
        <v>382.5</v>
      </c>
      <c r="F3968" t="s">
        <v>889</v>
      </c>
      <c r="G3968" t="s">
        <v>4463</v>
      </c>
      <c r="H3968" s="18">
        <v>382.5</v>
      </c>
      <c r="I3968" s="3">
        <v>41880</v>
      </c>
      <c r="J3968"/>
      <c r="L3968"/>
      <c r="M3968"/>
      <c r="N3968" s="20"/>
      <c r="O3968"/>
      <c r="P3968" s="20"/>
      <c r="Q3968" s="20"/>
      <c r="R3968" s="20"/>
      <c r="S3968" s="20"/>
      <c r="T3968" s="20"/>
    </row>
    <row r="3969" spans="1:20" x14ac:dyDescent="0.25">
      <c r="A3969" s="3">
        <v>41880</v>
      </c>
      <c r="B3969" s="36">
        <v>332</v>
      </c>
      <c r="C3969" t="s">
        <v>4464</v>
      </c>
      <c r="D3969">
        <v>13.25</v>
      </c>
      <c r="E3969" s="18">
        <v>969</v>
      </c>
      <c r="F3969" t="s">
        <v>889</v>
      </c>
      <c r="G3969" t="s">
        <v>4465</v>
      </c>
      <c r="H3969" s="18">
        <v>969</v>
      </c>
      <c r="I3969" s="3">
        <v>41880</v>
      </c>
      <c r="J3969"/>
      <c r="L3969"/>
      <c r="M3969"/>
      <c r="N3969" s="20"/>
      <c r="O3969"/>
      <c r="P3969" s="20"/>
      <c r="Q3969" s="20"/>
      <c r="R3969" s="20"/>
      <c r="S3969" s="20"/>
      <c r="T3969" s="20"/>
    </row>
    <row r="3970" spans="1:20" x14ac:dyDescent="0.25">
      <c r="A3970" s="3">
        <v>41929</v>
      </c>
      <c r="B3970" s="36">
        <v>332</v>
      </c>
      <c r="C3970" t="s">
        <v>4460</v>
      </c>
      <c r="D3970">
        <v>11.22</v>
      </c>
      <c r="E3970" s="18">
        <v>-1249.5</v>
      </c>
      <c r="F3970" t="s">
        <v>889</v>
      </c>
      <c r="G3970" t="s">
        <v>4461</v>
      </c>
      <c r="H3970" s="18" t="s">
        <v>442</v>
      </c>
      <c r="I3970" s="3" t="s">
        <v>442</v>
      </c>
      <c r="J3970"/>
      <c r="L3970"/>
      <c r="M3970"/>
      <c r="N3970" s="20"/>
      <c r="O3970"/>
      <c r="P3970" s="20"/>
      <c r="Q3970" s="20"/>
      <c r="R3970" s="20"/>
      <c r="S3970" s="20"/>
      <c r="T3970" s="20"/>
    </row>
    <row r="3971" spans="1:20" x14ac:dyDescent="0.25">
      <c r="A3971" s="3">
        <v>41929</v>
      </c>
      <c r="B3971" s="36">
        <v>332</v>
      </c>
      <c r="C3971" t="s">
        <v>4466</v>
      </c>
      <c r="D3971">
        <v>2.8050000000000002</v>
      </c>
      <c r="E3971" s="18">
        <v>280.5</v>
      </c>
      <c r="F3971" t="s">
        <v>889</v>
      </c>
      <c r="G3971" t="s">
        <v>4467</v>
      </c>
      <c r="H3971" s="18">
        <v>280.5</v>
      </c>
      <c r="I3971" s="3">
        <v>41929</v>
      </c>
      <c r="J3971"/>
      <c r="L3971"/>
      <c r="M3971"/>
      <c r="N3971" s="20"/>
      <c r="O3971"/>
      <c r="P3971" s="20"/>
      <c r="Q3971" s="20"/>
      <c r="R3971" s="20"/>
      <c r="S3971" s="20"/>
      <c r="T3971" s="20"/>
    </row>
    <row r="3972" spans="1:20" x14ac:dyDescent="0.25">
      <c r="A3972" s="3">
        <v>41929</v>
      </c>
      <c r="B3972" s="36">
        <v>332</v>
      </c>
      <c r="C3972" t="s">
        <v>4468</v>
      </c>
      <c r="D3972">
        <v>11</v>
      </c>
      <c r="E3972" s="18">
        <v>1122</v>
      </c>
      <c r="F3972" t="s">
        <v>889</v>
      </c>
      <c r="G3972" t="s">
        <v>4469</v>
      </c>
      <c r="H3972" s="18">
        <v>1122</v>
      </c>
      <c r="I3972" s="3">
        <v>41929</v>
      </c>
      <c r="J3972"/>
      <c r="L3972"/>
      <c r="M3972"/>
      <c r="N3972" s="20"/>
      <c r="O3972"/>
      <c r="P3972" s="20"/>
      <c r="Q3972" s="20"/>
      <c r="R3972" s="20"/>
      <c r="S3972" s="20"/>
      <c r="T3972" s="20"/>
    </row>
    <row r="3973" spans="1:20" x14ac:dyDescent="0.25">
      <c r="A3973" s="3">
        <v>41929</v>
      </c>
      <c r="B3973" s="36">
        <v>332</v>
      </c>
      <c r="C3973" t="s">
        <v>4470</v>
      </c>
      <c r="D3973">
        <v>3.57</v>
      </c>
      <c r="E3973" s="18">
        <v>357</v>
      </c>
      <c r="F3973" t="s">
        <v>889</v>
      </c>
      <c r="G3973" t="s">
        <v>4471</v>
      </c>
      <c r="H3973" s="18">
        <v>357</v>
      </c>
      <c r="I3973" s="3">
        <v>41929</v>
      </c>
      <c r="J3973"/>
      <c r="L3973"/>
      <c r="M3973"/>
      <c r="N3973" s="20"/>
      <c r="O3973"/>
      <c r="P3973" s="20"/>
      <c r="Q3973" s="20"/>
      <c r="R3973" s="20"/>
      <c r="S3973" s="20"/>
      <c r="T3973" s="20"/>
    </row>
    <row r="3974" spans="1:20" x14ac:dyDescent="0.25">
      <c r="A3974" s="3">
        <v>41929</v>
      </c>
      <c r="B3974" s="36">
        <v>332</v>
      </c>
      <c r="C3974" t="s">
        <v>4470</v>
      </c>
      <c r="D3974">
        <v>3.57</v>
      </c>
      <c r="E3974" s="18">
        <v>-357</v>
      </c>
      <c r="F3974" t="s">
        <v>889</v>
      </c>
      <c r="G3974" t="s">
        <v>4471</v>
      </c>
      <c r="H3974" s="18" t="s">
        <v>442</v>
      </c>
      <c r="I3974" s="3" t="s">
        <v>442</v>
      </c>
      <c r="J3974"/>
      <c r="L3974"/>
      <c r="M3974"/>
      <c r="N3974" s="20"/>
      <c r="O3974"/>
      <c r="P3974" s="20"/>
      <c r="Q3974" s="20"/>
      <c r="R3974" s="20"/>
      <c r="S3974" s="20"/>
      <c r="T3974" s="20"/>
    </row>
    <row r="3975" spans="1:20" x14ac:dyDescent="0.25">
      <c r="A3975" s="3">
        <v>41929</v>
      </c>
      <c r="B3975" s="36">
        <v>332</v>
      </c>
      <c r="C3975" t="s">
        <v>4472</v>
      </c>
      <c r="D3975">
        <v>6.375</v>
      </c>
      <c r="E3975" s="18">
        <v>637.5</v>
      </c>
      <c r="F3975" t="s">
        <v>889</v>
      </c>
      <c r="G3975" t="s">
        <v>4473</v>
      </c>
      <c r="H3975" s="18">
        <v>637.5</v>
      </c>
      <c r="I3975" s="3">
        <v>41929</v>
      </c>
      <c r="J3975"/>
      <c r="L3975"/>
      <c r="M3975"/>
      <c r="N3975" s="20"/>
      <c r="O3975"/>
      <c r="P3975" s="20"/>
      <c r="Q3975" s="20"/>
      <c r="R3975" s="20"/>
      <c r="S3975" s="20"/>
      <c r="T3975" s="20"/>
    </row>
    <row r="3976" spans="1:20" x14ac:dyDescent="0.25">
      <c r="A3976" s="3">
        <v>41943</v>
      </c>
      <c r="B3976" s="36">
        <v>332</v>
      </c>
      <c r="C3976" t="s">
        <v>4474</v>
      </c>
      <c r="D3976">
        <v>5.61</v>
      </c>
      <c r="E3976" s="18">
        <v>561</v>
      </c>
      <c r="F3976" t="s">
        <v>889</v>
      </c>
      <c r="G3976" t="s">
        <v>4475</v>
      </c>
      <c r="H3976" s="18">
        <v>561</v>
      </c>
      <c r="I3976" s="3">
        <v>41943</v>
      </c>
      <c r="J3976"/>
      <c r="L3976"/>
      <c r="M3976"/>
      <c r="N3976" s="20"/>
      <c r="O3976"/>
      <c r="P3976" s="20"/>
      <c r="Q3976" s="20"/>
      <c r="R3976" s="20"/>
      <c r="S3976" s="20"/>
      <c r="T3976" s="20"/>
    </row>
    <row r="3977" spans="1:20" x14ac:dyDescent="0.25">
      <c r="A3977" s="3">
        <v>41943</v>
      </c>
      <c r="B3977" s="36">
        <v>332</v>
      </c>
      <c r="C3977" t="s">
        <v>4476</v>
      </c>
      <c r="D3977">
        <v>7.14</v>
      </c>
      <c r="E3977" s="18">
        <v>714</v>
      </c>
      <c r="F3977" t="s">
        <v>889</v>
      </c>
      <c r="G3977" t="s">
        <v>4477</v>
      </c>
      <c r="H3977" s="18">
        <v>714</v>
      </c>
      <c r="I3977" s="3">
        <v>41943</v>
      </c>
      <c r="J3977"/>
      <c r="L3977"/>
      <c r="M3977"/>
      <c r="N3977" s="20"/>
      <c r="O3977"/>
      <c r="P3977" s="20"/>
      <c r="Q3977" s="20"/>
      <c r="R3977" s="20"/>
      <c r="S3977" s="20"/>
      <c r="T3977" s="20"/>
    </row>
    <row r="3978" spans="1:20" x14ac:dyDescent="0.25">
      <c r="A3978" s="3">
        <v>41968</v>
      </c>
      <c r="B3978" s="36">
        <v>332</v>
      </c>
      <c r="C3978" t="s">
        <v>4478</v>
      </c>
      <c r="D3978">
        <v>9.9450000000000003</v>
      </c>
      <c r="E3978" s="18">
        <v>994.5</v>
      </c>
      <c r="F3978" t="s">
        <v>889</v>
      </c>
      <c r="G3978" t="s">
        <v>4479</v>
      </c>
      <c r="H3978" s="18">
        <v>994.5</v>
      </c>
      <c r="I3978" s="3">
        <v>41968</v>
      </c>
      <c r="J3978"/>
      <c r="L3978"/>
      <c r="M3978"/>
      <c r="N3978" s="20"/>
      <c r="O3978"/>
      <c r="P3978" s="20"/>
      <c r="Q3978" s="20"/>
      <c r="R3978" s="20"/>
      <c r="S3978" s="20"/>
      <c r="T3978" s="20"/>
    </row>
    <row r="3979" spans="1:20" x14ac:dyDescent="0.25">
      <c r="A3979" s="3">
        <v>41968</v>
      </c>
      <c r="B3979" s="36">
        <v>332</v>
      </c>
      <c r="C3979" t="s">
        <v>4466</v>
      </c>
      <c r="D3979">
        <v>2.8050000000000002</v>
      </c>
      <c r="E3979" s="18">
        <v>-280.5</v>
      </c>
      <c r="F3979" t="s">
        <v>889</v>
      </c>
      <c r="G3979" t="s">
        <v>4467</v>
      </c>
      <c r="H3979" s="18" t="s">
        <v>442</v>
      </c>
      <c r="I3979" s="3" t="s">
        <v>442</v>
      </c>
      <c r="J3979"/>
      <c r="L3979"/>
      <c r="M3979"/>
      <c r="N3979" s="20"/>
      <c r="O3979"/>
      <c r="P3979" s="20"/>
      <c r="Q3979" s="20"/>
      <c r="R3979" s="20"/>
      <c r="S3979" s="20"/>
      <c r="T3979" s="20"/>
    </row>
    <row r="3980" spans="1:20" x14ac:dyDescent="0.25">
      <c r="A3980" s="3">
        <v>41968</v>
      </c>
      <c r="B3980" s="36">
        <v>332</v>
      </c>
      <c r="C3980" t="s">
        <v>4480</v>
      </c>
      <c r="D3980">
        <v>3.8250000000000002</v>
      </c>
      <c r="E3980" s="18">
        <v>260.10000000000002</v>
      </c>
      <c r="F3980" t="s">
        <v>889</v>
      </c>
      <c r="G3980" t="s">
        <v>4463</v>
      </c>
      <c r="H3980" s="18">
        <v>260.10000000000002</v>
      </c>
      <c r="I3980" s="3">
        <v>41968</v>
      </c>
      <c r="J3980"/>
      <c r="L3980"/>
      <c r="M3980"/>
      <c r="N3980" s="20"/>
      <c r="O3980" t="s">
        <v>959</v>
      </c>
      <c r="P3980" s="20"/>
      <c r="Q3980" s="20"/>
      <c r="R3980" s="20"/>
      <c r="S3980" s="20"/>
      <c r="T3980" s="20"/>
    </row>
    <row r="3981" spans="1:20" x14ac:dyDescent="0.25">
      <c r="A3981" s="3">
        <v>41968</v>
      </c>
      <c r="B3981" s="36">
        <v>332</v>
      </c>
      <c r="C3981" t="s">
        <v>4464</v>
      </c>
      <c r="D3981">
        <v>9.69</v>
      </c>
      <c r="E3981" s="18">
        <v>-969</v>
      </c>
      <c r="F3981" t="s">
        <v>889</v>
      </c>
      <c r="G3981" t="s">
        <v>4465</v>
      </c>
      <c r="H3981" s="18" t="s">
        <v>442</v>
      </c>
      <c r="I3981" s="3" t="s">
        <v>442</v>
      </c>
      <c r="J3981"/>
      <c r="L3981"/>
      <c r="M3981"/>
      <c r="N3981" s="20"/>
      <c r="O3981"/>
      <c r="P3981" s="20"/>
      <c r="Q3981" s="20"/>
      <c r="R3981" s="20"/>
      <c r="S3981" s="20"/>
      <c r="T3981" s="20"/>
    </row>
    <row r="3982" spans="1:20" x14ac:dyDescent="0.25">
      <c r="A3982" s="3">
        <v>41968</v>
      </c>
      <c r="B3982" s="36">
        <v>332</v>
      </c>
      <c r="C3982" t="s">
        <v>4481</v>
      </c>
      <c r="D3982">
        <v>11.984999999999999</v>
      </c>
      <c r="E3982" s="18">
        <v>1198.5</v>
      </c>
      <c r="F3982" t="s">
        <v>889</v>
      </c>
      <c r="G3982" t="s">
        <v>4482</v>
      </c>
      <c r="H3982" s="18">
        <v>1198.5</v>
      </c>
      <c r="I3982" s="3">
        <v>41968</v>
      </c>
      <c r="J3982"/>
      <c r="L3982"/>
      <c r="M3982"/>
      <c r="N3982" s="20"/>
      <c r="O3982"/>
      <c r="P3982" s="20"/>
      <c r="Q3982" s="20"/>
      <c r="R3982" s="20"/>
      <c r="S3982" s="20"/>
      <c r="T3982" s="20"/>
    </row>
    <row r="3983" spans="1:20" x14ac:dyDescent="0.25">
      <c r="A3983" s="3">
        <v>41978</v>
      </c>
      <c r="B3983" s="36">
        <v>332</v>
      </c>
      <c r="C3983" t="s">
        <v>4483</v>
      </c>
      <c r="D3983">
        <v>10.71</v>
      </c>
      <c r="E3983" s="18">
        <v>1071</v>
      </c>
      <c r="F3983" t="s">
        <v>889</v>
      </c>
      <c r="G3983" t="s">
        <v>4484</v>
      </c>
      <c r="H3983" s="18">
        <v>1071</v>
      </c>
      <c r="I3983" s="3">
        <v>41978</v>
      </c>
      <c r="J3983"/>
      <c r="L3983"/>
      <c r="M3983"/>
      <c r="N3983" s="20"/>
      <c r="O3983"/>
      <c r="P3983" s="20"/>
      <c r="Q3983" s="20"/>
      <c r="R3983" s="20"/>
      <c r="S3983" s="20"/>
      <c r="T3983" s="20"/>
    </row>
    <row r="3984" spans="1:20" x14ac:dyDescent="0.25">
      <c r="A3984" s="3">
        <v>41978</v>
      </c>
      <c r="B3984" s="36">
        <v>332</v>
      </c>
      <c r="C3984" t="s">
        <v>4485</v>
      </c>
      <c r="D3984">
        <v>8.4149999999999991</v>
      </c>
      <c r="E3984" s="18">
        <v>841.49999999999989</v>
      </c>
      <c r="F3984" t="s">
        <v>889</v>
      </c>
      <c r="G3984" t="s">
        <v>4486</v>
      </c>
      <c r="H3984" s="18">
        <v>841.49999999999989</v>
      </c>
      <c r="I3984" s="3">
        <v>41978</v>
      </c>
      <c r="J3984"/>
      <c r="L3984"/>
      <c r="M3984"/>
      <c r="N3984" s="20"/>
      <c r="O3984"/>
      <c r="P3984" s="20"/>
      <c r="Q3984" s="20"/>
      <c r="R3984" s="20"/>
      <c r="S3984" s="20"/>
      <c r="T3984" s="20"/>
    </row>
    <row r="3985" spans="1:21" x14ac:dyDescent="0.25">
      <c r="A3985" s="3">
        <v>41978</v>
      </c>
      <c r="B3985" s="36">
        <v>332</v>
      </c>
      <c r="C3985" t="s">
        <v>4487</v>
      </c>
      <c r="D3985">
        <v>3.57</v>
      </c>
      <c r="E3985" s="18">
        <v>357</v>
      </c>
      <c r="F3985" t="s">
        <v>889</v>
      </c>
      <c r="G3985" t="s">
        <v>4488</v>
      </c>
      <c r="H3985" s="18">
        <v>357</v>
      </c>
      <c r="I3985" s="3">
        <v>41978</v>
      </c>
      <c r="J3985"/>
      <c r="L3985"/>
      <c r="M3985"/>
      <c r="N3985" s="20"/>
      <c r="O3985"/>
      <c r="P3985" s="20"/>
      <c r="Q3985" s="20"/>
      <c r="R3985" s="20"/>
      <c r="S3985" s="20"/>
      <c r="T3985" s="20"/>
    </row>
    <row r="3986" spans="1:21" x14ac:dyDescent="0.25">
      <c r="A3986" s="3">
        <v>42013</v>
      </c>
      <c r="B3986" s="36">
        <v>332</v>
      </c>
      <c r="C3986" t="s">
        <v>1314</v>
      </c>
      <c r="E3986" s="18">
        <v>-50</v>
      </c>
      <c r="F3986" t="s">
        <v>889</v>
      </c>
      <c r="G3986" t="s">
        <v>442</v>
      </c>
      <c r="H3986" s="18" t="s">
        <v>442</v>
      </c>
      <c r="I3986" s="3" t="s">
        <v>442</v>
      </c>
      <c r="J3986"/>
      <c r="L3986"/>
      <c r="M3986"/>
      <c r="N3986" s="20"/>
      <c r="O3986"/>
      <c r="P3986" s="20"/>
      <c r="Q3986" s="20"/>
      <c r="R3986" s="20" t="s">
        <v>401</v>
      </c>
      <c r="S3986" s="20"/>
      <c r="T3986" s="20"/>
    </row>
    <row r="3987" spans="1:21" x14ac:dyDescent="0.25">
      <c r="A3987" s="3">
        <v>42013</v>
      </c>
      <c r="B3987" s="36">
        <v>332</v>
      </c>
      <c r="C3987" t="s">
        <v>4468</v>
      </c>
      <c r="D3987">
        <v>11.22</v>
      </c>
      <c r="E3987" s="18">
        <v>374</v>
      </c>
      <c r="F3987" t="s">
        <v>889</v>
      </c>
      <c r="G3987" t="s">
        <v>4469</v>
      </c>
      <c r="H3987" s="18">
        <v>374</v>
      </c>
      <c r="I3987" s="3">
        <v>42013</v>
      </c>
      <c r="J3987"/>
      <c r="L3987"/>
      <c r="M3987"/>
      <c r="N3987" s="20"/>
      <c r="O3987"/>
      <c r="P3987" s="20"/>
      <c r="Q3987" s="20"/>
      <c r="R3987" s="20"/>
      <c r="S3987" s="20"/>
      <c r="T3987" s="20"/>
    </row>
    <row r="3988" spans="1:21" x14ac:dyDescent="0.25">
      <c r="A3988" s="3">
        <v>42013</v>
      </c>
      <c r="B3988" s="36">
        <v>332</v>
      </c>
      <c r="C3988" t="s">
        <v>4481</v>
      </c>
      <c r="D3988">
        <v>11.984999999999999</v>
      </c>
      <c r="E3988" s="18">
        <v>-1198.5</v>
      </c>
      <c r="F3988" t="s">
        <v>889</v>
      </c>
      <c r="G3988" t="s">
        <v>4482</v>
      </c>
      <c r="H3988" s="18" t="s">
        <v>442</v>
      </c>
      <c r="I3988" s="3" t="s">
        <v>442</v>
      </c>
      <c r="J3988"/>
      <c r="L3988"/>
      <c r="M3988"/>
      <c r="N3988" s="20"/>
      <c r="O3988"/>
      <c r="P3988" s="20"/>
      <c r="Q3988" s="20"/>
      <c r="R3988" s="20"/>
      <c r="S3988" s="20"/>
      <c r="T3988" s="20"/>
    </row>
    <row r="3989" spans="1:21" x14ac:dyDescent="0.25">
      <c r="A3989" s="3">
        <v>42013</v>
      </c>
      <c r="B3989" s="36">
        <v>332</v>
      </c>
      <c r="C3989" t="s">
        <v>4474</v>
      </c>
      <c r="D3989">
        <v>5.61</v>
      </c>
      <c r="E3989" s="18">
        <v>187</v>
      </c>
      <c r="F3989" t="s">
        <v>889</v>
      </c>
      <c r="G3989" t="s">
        <v>4475</v>
      </c>
      <c r="H3989" s="18">
        <v>187</v>
      </c>
      <c r="I3989" s="3">
        <v>42013</v>
      </c>
      <c r="J3989"/>
      <c r="L3989"/>
      <c r="M3989"/>
      <c r="N3989" s="20"/>
      <c r="O3989"/>
      <c r="P3989" s="20"/>
      <c r="Q3989" s="20"/>
      <c r="R3989" s="20"/>
      <c r="S3989" s="20"/>
      <c r="T3989" s="20"/>
    </row>
    <row r="3990" spans="1:21" x14ac:dyDescent="0.25">
      <c r="A3990" s="3">
        <v>42013</v>
      </c>
      <c r="B3990" s="36">
        <v>332</v>
      </c>
      <c r="C3990" t="s">
        <v>4472</v>
      </c>
      <c r="D3990">
        <v>15.3</v>
      </c>
      <c r="E3990" s="18">
        <v>2422.5</v>
      </c>
      <c r="F3990" t="s">
        <v>889</v>
      </c>
      <c r="G3990" t="s">
        <v>4473</v>
      </c>
      <c r="H3990" s="18">
        <v>2422.5</v>
      </c>
      <c r="I3990" s="3">
        <v>42013</v>
      </c>
      <c r="J3990"/>
      <c r="L3990"/>
      <c r="M3990"/>
      <c r="N3990" s="20"/>
      <c r="O3990"/>
      <c r="P3990" s="20"/>
      <c r="Q3990" s="20"/>
      <c r="R3990" s="20"/>
      <c r="S3990" s="20"/>
      <c r="T3990" s="20"/>
    </row>
    <row r="3991" spans="1:21" x14ac:dyDescent="0.25">
      <c r="A3991" s="3">
        <v>42027</v>
      </c>
      <c r="B3991" s="36">
        <v>332</v>
      </c>
      <c r="C3991" t="s">
        <v>4489</v>
      </c>
      <c r="D3991" s="55">
        <v>7.3949999999999996</v>
      </c>
      <c r="E3991" s="18">
        <v>765</v>
      </c>
      <c r="F3991" t="s">
        <v>889</v>
      </c>
      <c r="G3991" t="s">
        <v>4477</v>
      </c>
      <c r="H3991" s="18">
        <v>765</v>
      </c>
      <c r="I3991" s="3">
        <v>42027</v>
      </c>
      <c r="J3991"/>
      <c r="L3991"/>
      <c r="M3991"/>
      <c r="N3991" s="20"/>
      <c r="O3991"/>
      <c r="P3991" s="20"/>
      <c r="Q3991" s="20"/>
      <c r="R3991" s="20"/>
      <c r="S3991" s="20"/>
      <c r="T3991" s="20"/>
    </row>
    <row r="3992" spans="1:21" x14ac:dyDescent="0.25">
      <c r="A3992" s="3">
        <v>42034</v>
      </c>
      <c r="B3992">
        <v>332</v>
      </c>
      <c r="C3992" t="s">
        <v>581</v>
      </c>
      <c r="D3992" s="19">
        <v>5</v>
      </c>
      <c r="E3992" s="18">
        <v>250</v>
      </c>
      <c r="F3992" s="23" t="s">
        <v>889</v>
      </c>
      <c r="G3992" t="s">
        <v>582</v>
      </c>
      <c r="H3992" s="18"/>
      <c r="J3992"/>
      <c r="L3992"/>
      <c r="M3992"/>
      <c r="N3992" s="20"/>
      <c r="O3992"/>
      <c r="P3992" s="20"/>
      <c r="Q3992" s="20"/>
      <c r="R3992" s="20"/>
      <c r="S3992" s="20"/>
      <c r="T3992" s="20"/>
    </row>
    <row r="3993" spans="1:21" x14ac:dyDescent="0.25">
      <c r="A3993" s="3">
        <v>42041</v>
      </c>
      <c r="B3993">
        <v>332</v>
      </c>
      <c r="C3993" t="s">
        <v>4468</v>
      </c>
      <c r="E3993" s="18">
        <v>374</v>
      </c>
      <c r="F3993" t="s">
        <v>889</v>
      </c>
      <c r="G3993" t="s">
        <v>4469</v>
      </c>
      <c r="I3993"/>
      <c r="J3993"/>
      <c r="L3993"/>
      <c r="M3993"/>
      <c r="O3993"/>
      <c r="P3993" s="20"/>
      <c r="Q3993" s="20"/>
      <c r="R3993" s="20"/>
      <c r="S3993" s="20"/>
      <c r="T3993" s="20"/>
    </row>
    <row r="3994" spans="1:21" x14ac:dyDescent="0.25">
      <c r="A3994" s="3">
        <v>42041</v>
      </c>
      <c r="B3994">
        <v>332</v>
      </c>
      <c r="C3994" t="s">
        <v>4474</v>
      </c>
      <c r="E3994" s="18">
        <v>187</v>
      </c>
      <c r="F3994" t="s">
        <v>889</v>
      </c>
      <c r="G3994" t="s">
        <v>4475</v>
      </c>
      <c r="I3994"/>
      <c r="J3994"/>
      <c r="L3994"/>
      <c r="M3994"/>
      <c r="O3994"/>
      <c r="P3994" s="20"/>
      <c r="Q3994" s="20"/>
      <c r="R3994" s="20"/>
      <c r="S3994" s="20"/>
      <c r="T3994" s="20"/>
    </row>
    <row r="3995" spans="1:21" x14ac:dyDescent="0.25">
      <c r="A3995" s="3">
        <v>41911</v>
      </c>
      <c r="B3995" s="36">
        <v>334</v>
      </c>
      <c r="C3995" t="s">
        <v>4490</v>
      </c>
      <c r="D3995">
        <v>9.9450000000000003</v>
      </c>
      <c r="E3995" s="18">
        <v>994.5</v>
      </c>
      <c r="F3995" t="s">
        <v>889</v>
      </c>
      <c r="G3995" t="s">
        <v>4491</v>
      </c>
      <c r="H3995" s="18">
        <v>994.5</v>
      </c>
      <c r="I3995" s="3">
        <v>41911</v>
      </c>
      <c r="J3995"/>
      <c r="L3995"/>
      <c r="M3995"/>
      <c r="N3995" s="20"/>
      <c r="O3995"/>
      <c r="P3995" s="20"/>
      <c r="Q3995" s="20"/>
      <c r="R3995" s="20"/>
      <c r="S3995" s="20"/>
      <c r="T3995" s="20"/>
    </row>
    <row r="3996" spans="1:21" x14ac:dyDescent="0.25">
      <c r="A3996" s="3">
        <v>41957</v>
      </c>
      <c r="B3996" s="36">
        <v>334</v>
      </c>
      <c r="C3996" t="s">
        <v>4490</v>
      </c>
      <c r="D3996">
        <v>9.9450000000000003</v>
      </c>
      <c r="E3996" s="18">
        <v>580.78800000000001</v>
      </c>
      <c r="F3996" t="s">
        <v>889</v>
      </c>
      <c r="G3996" t="s">
        <v>4491</v>
      </c>
      <c r="H3996" s="18">
        <v>580.78800000000001</v>
      </c>
      <c r="I3996" s="3">
        <v>41957</v>
      </c>
      <c r="J3996"/>
      <c r="L3996"/>
      <c r="M3996"/>
      <c r="N3996" s="20"/>
      <c r="O3996" t="s">
        <v>959</v>
      </c>
      <c r="P3996" s="20"/>
      <c r="Q3996" s="20"/>
      <c r="R3996" s="20"/>
      <c r="S3996" s="20"/>
      <c r="T3996" s="20"/>
    </row>
    <row r="3997" spans="1:21" x14ac:dyDescent="0.25">
      <c r="A3997" s="3">
        <v>41911</v>
      </c>
      <c r="B3997" s="36">
        <v>335</v>
      </c>
      <c r="C3997" t="s">
        <v>4492</v>
      </c>
      <c r="E3997" s="18">
        <v>175</v>
      </c>
      <c r="F3997" t="s">
        <v>891</v>
      </c>
      <c r="H3997" s="18" t="s">
        <v>442</v>
      </c>
      <c r="I3997" s="3" t="s">
        <v>442</v>
      </c>
      <c r="J3997"/>
      <c r="L3997"/>
      <c r="M3997"/>
      <c r="N3997" s="20"/>
      <c r="O3997" t="s">
        <v>4493</v>
      </c>
      <c r="P3997" s="20" t="s">
        <v>401</v>
      </c>
      <c r="Q3997" s="20"/>
      <c r="R3997" s="20"/>
      <c r="S3997" s="20"/>
      <c r="T3997" s="20"/>
    </row>
    <row r="3998" spans="1:21" x14ac:dyDescent="0.25">
      <c r="A3998" s="3">
        <v>41999</v>
      </c>
      <c r="B3998" s="36">
        <v>340</v>
      </c>
      <c r="C3998" t="s">
        <v>4494</v>
      </c>
      <c r="E3998" s="18">
        <v>500</v>
      </c>
      <c r="F3998" t="s">
        <v>889</v>
      </c>
      <c r="G3998" t="s">
        <v>442</v>
      </c>
      <c r="H3998" s="18" t="s">
        <v>442</v>
      </c>
      <c r="I3998" s="3" t="s">
        <v>442</v>
      </c>
      <c r="J3998"/>
      <c r="L3998"/>
      <c r="M3998"/>
      <c r="N3998" s="20"/>
      <c r="O3998"/>
      <c r="P3998" s="20"/>
      <c r="Q3998" s="20"/>
      <c r="R3998" s="20"/>
      <c r="S3998" s="20"/>
      <c r="T3998" s="20" t="s">
        <v>401</v>
      </c>
    </row>
    <row r="3999" spans="1:21" x14ac:dyDescent="0.25">
      <c r="B3999">
        <v>340</v>
      </c>
      <c r="C3999" t="s">
        <v>4494</v>
      </c>
      <c r="E3999" s="18">
        <v>-500</v>
      </c>
      <c r="F3999" t="s">
        <v>889</v>
      </c>
      <c r="G3999" t="s">
        <v>442</v>
      </c>
      <c r="I3999"/>
      <c r="J3999"/>
      <c r="L3999"/>
      <c r="M3999"/>
      <c r="O3999"/>
      <c r="P3999" s="20"/>
      <c r="Q3999" s="20"/>
      <c r="R3999" s="20"/>
      <c r="S3999" s="20"/>
      <c r="T3999" s="20"/>
      <c r="U3999" t="s">
        <v>401</v>
      </c>
    </row>
    <row r="4000" spans="1:21" x14ac:dyDescent="0.25">
      <c r="A4000" s="57">
        <v>41887</v>
      </c>
      <c r="B4000" s="42">
        <v>341</v>
      </c>
      <c r="C4000" s="45" t="s">
        <v>4495</v>
      </c>
      <c r="D4000" s="45">
        <v>6.5</v>
      </c>
      <c r="E4000" s="58">
        <v>650</v>
      </c>
      <c r="F4000" s="45" t="s">
        <v>889</v>
      </c>
      <c r="G4000" s="45" t="s">
        <v>4496</v>
      </c>
      <c r="H4000" s="18">
        <v>650</v>
      </c>
      <c r="I4000" s="3">
        <v>41887</v>
      </c>
      <c r="J4000" s="45"/>
      <c r="K4000" s="45"/>
      <c r="L4000" s="45"/>
      <c r="M4000" s="45"/>
      <c r="N4000" s="45"/>
      <c r="O4000" s="45"/>
      <c r="P4000" s="20"/>
      <c r="Q4000" s="20"/>
      <c r="R4000" s="20"/>
      <c r="S4000" s="20"/>
      <c r="T4000" s="20"/>
    </row>
    <row r="4001" spans="1:21" x14ac:dyDescent="0.25">
      <c r="A4001" s="57">
        <v>41894</v>
      </c>
      <c r="B4001" s="42">
        <v>341</v>
      </c>
      <c r="C4001" s="45" t="s">
        <v>4497</v>
      </c>
      <c r="D4001" s="45">
        <v>7.25</v>
      </c>
      <c r="E4001" s="58">
        <v>725</v>
      </c>
      <c r="F4001" s="45" t="s">
        <v>889</v>
      </c>
      <c r="G4001" s="45" t="s">
        <v>4498</v>
      </c>
      <c r="H4001" s="18">
        <v>725</v>
      </c>
      <c r="I4001" s="3">
        <v>41894</v>
      </c>
      <c r="J4001" s="45"/>
      <c r="K4001" s="45"/>
      <c r="L4001" s="45"/>
      <c r="M4001" s="45"/>
      <c r="N4001" s="45"/>
      <c r="O4001" s="45"/>
      <c r="P4001" s="20"/>
      <c r="Q4001" s="20"/>
      <c r="R4001" s="20"/>
      <c r="S4001" s="20"/>
      <c r="T4001" s="20"/>
    </row>
    <row r="4002" spans="1:21" x14ac:dyDescent="0.25">
      <c r="A4002" s="57">
        <v>41907</v>
      </c>
      <c r="B4002" s="42">
        <v>341</v>
      </c>
      <c r="C4002" s="45" t="s">
        <v>4499</v>
      </c>
      <c r="D4002" s="45">
        <v>4.5</v>
      </c>
      <c r="E4002" s="58">
        <v>450</v>
      </c>
      <c r="F4002" s="45" t="s">
        <v>889</v>
      </c>
      <c r="G4002" s="45" t="s">
        <v>4500</v>
      </c>
      <c r="H4002" s="18">
        <v>450</v>
      </c>
      <c r="I4002" s="3">
        <v>41907</v>
      </c>
      <c r="J4002" s="45"/>
      <c r="K4002" s="45"/>
      <c r="L4002" s="45"/>
      <c r="M4002" s="45"/>
      <c r="N4002" s="45"/>
      <c r="O4002" s="45"/>
      <c r="P4002" s="20"/>
      <c r="Q4002" s="20"/>
      <c r="R4002" s="20"/>
      <c r="S4002" s="20"/>
      <c r="T4002" s="20"/>
    </row>
    <row r="4003" spans="1:21" x14ac:dyDescent="0.25">
      <c r="B4003">
        <v>341</v>
      </c>
      <c r="C4003" t="s">
        <v>4495</v>
      </c>
      <c r="D4003">
        <v>6.5</v>
      </c>
      <c r="E4003" s="18">
        <v>-650</v>
      </c>
      <c r="F4003" t="s">
        <v>889</v>
      </c>
      <c r="G4003" t="s">
        <v>4496</v>
      </c>
      <c r="I4003"/>
      <c r="J4003"/>
      <c r="L4003"/>
      <c r="M4003"/>
      <c r="O4003"/>
      <c r="P4003" s="20"/>
      <c r="Q4003" s="20"/>
      <c r="R4003" s="20"/>
      <c r="S4003" s="20"/>
      <c r="T4003" s="20"/>
      <c r="U4003" t="s">
        <v>401</v>
      </c>
    </row>
    <row r="4004" spans="1:21" x14ac:dyDescent="0.25">
      <c r="B4004">
        <v>341</v>
      </c>
      <c r="C4004" t="s">
        <v>4497</v>
      </c>
      <c r="D4004">
        <v>7.25</v>
      </c>
      <c r="E4004" s="18">
        <v>-725</v>
      </c>
      <c r="F4004" t="s">
        <v>889</v>
      </c>
      <c r="G4004" t="s">
        <v>4498</v>
      </c>
      <c r="I4004"/>
      <c r="J4004"/>
      <c r="L4004"/>
      <c r="M4004"/>
      <c r="O4004"/>
      <c r="P4004" s="20"/>
      <c r="Q4004" s="20"/>
      <c r="R4004" s="20"/>
      <c r="S4004" s="20"/>
      <c r="T4004" s="20"/>
      <c r="U4004" t="s">
        <v>401</v>
      </c>
    </row>
    <row r="4005" spans="1:21" x14ac:dyDescent="0.25">
      <c r="A4005" s="3">
        <v>41918</v>
      </c>
      <c r="B4005" s="36">
        <v>343</v>
      </c>
      <c r="C4005" t="s">
        <v>4501</v>
      </c>
      <c r="D4005">
        <v>9.9450000000000003</v>
      </c>
      <c r="E4005" s="18">
        <v>994.5</v>
      </c>
      <c r="F4005" t="s">
        <v>889</v>
      </c>
      <c r="G4005" t="s">
        <v>4502</v>
      </c>
      <c r="H4005" s="18">
        <v>994.5</v>
      </c>
      <c r="I4005" s="3">
        <v>41918</v>
      </c>
      <c r="J4005"/>
      <c r="L4005"/>
      <c r="M4005"/>
      <c r="N4005" s="20"/>
      <c r="O4005"/>
      <c r="P4005" s="20"/>
      <c r="Q4005" s="20"/>
      <c r="R4005" s="20"/>
      <c r="S4005" s="20"/>
      <c r="T4005" s="20"/>
    </row>
    <row r="4006" spans="1:21" x14ac:dyDescent="0.25">
      <c r="A4006" s="3">
        <v>41922</v>
      </c>
      <c r="B4006" s="36">
        <v>343</v>
      </c>
      <c r="C4006" t="s">
        <v>4503</v>
      </c>
      <c r="D4006">
        <v>7.14</v>
      </c>
      <c r="E4006" s="18">
        <v>714</v>
      </c>
      <c r="F4006" t="s">
        <v>889</v>
      </c>
      <c r="G4006" t="s">
        <v>4504</v>
      </c>
      <c r="H4006" s="18">
        <v>714</v>
      </c>
      <c r="I4006" s="3">
        <v>41922</v>
      </c>
      <c r="J4006"/>
      <c r="L4006"/>
      <c r="M4006"/>
      <c r="N4006" s="20"/>
      <c r="O4006"/>
      <c r="P4006" s="20"/>
      <c r="Q4006" s="20"/>
      <c r="R4006" s="20"/>
      <c r="S4006" s="20"/>
      <c r="T4006" s="20"/>
    </row>
    <row r="4007" spans="1:21" x14ac:dyDescent="0.25">
      <c r="A4007" s="3">
        <v>41929</v>
      </c>
      <c r="B4007" s="36">
        <v>343</v>
      </c>
      <c r="C4007" t="s">
        <v>4505</v>
      </c>
      <c r="D4007">
        <v>6.12</v>
      </c>
      <c r="E4007" s="18">
        <v>612</v>
      </c>
      <c r="F4007" t="s">
        <v>889</v>
      </c>
      <c r="G4007" t="s">
        <v>4506</v>
      </c>
      <c r="H4007" s="18">
        <v>612</v>
      </c>
      <c r="I4007" s="3">
        <v>41929</v>
      </c>
      <c r="J4007"/>
      <c r="L4007"/>
      <c r="M4007"/>
      <c r="N4007" s="20"/>
      <c r="O4007"/>
      <c r="P4007" s="20"/>
      <c r="Q4007" s="20"/>
      <c r="R4007" s="20"/>
      <c r="S4007" s="20"/>
      <c r="T4007" s="20"/>
    </row>
    <row r="4008" spans="1:21" x14ac:dyDescent="0.25">
      <c r="A4008" s="3">
        <v>41929</v>
      </c>
      <c r="B4008" s="36">
        <v>343</v>
      </c>
      <c r="C4008" t="s">
        <v>4503</v>
      </c>
      <c r="D4008">
        <v>13.75</v>
      </c>
      <c r="E4008" s="18">
        <v>-714</v>
      </c>
      <c r="F4008" t="s">
        <v>889</v>
      </c>
      <c r="G4008" t="s">
        <v>4504</v>
      </c>
      <c r="H4008" s="18" t="s">
        <v>442</v>
      </c>
      <c r="I4008" s="3" t="s">
        <v>442</v>
      </c>
      <c r="J4008"/>
      <c r="L4008"/>
      <c r="M4008"/>
      <c r="N4008" s="20"/>
      <c r="O4008"/>
      <c r="P4008" s="20"/>
      <c r="Q4008" s="20"/>
      <c r="R4008" s="20"/>
      <c r="S4008" s="20"/>
      <c r="T4008" s="20"/>
    </row>
    <row r="4009" spans="1:21" x14ac:dyDescent="0.25">
      <c r="A4009" s="3">
        <v>41929</v>
      </c>
      <c r="B4009" s="36">
        <v>343</v>
      </c>
      <c r="C4009" t="s">
        <v>4507</v>
      </c>
      <c r="D4009">
        <v>13.25</v>
      </c>
      <c r="E4009" s="18">
        <v>1224</v>
      </c>
      <c r="F4009" t="s">
        <v>889</v>
      </c>
      <c r="G4009" t="s">
        <v>4508</v>
      </c>
      <c r="H4009" s="18">
        <v>1224</v>
      </c>
      <c r="I4009" s="3">
        <v>41929</v>
      </c>
      <c r="J4009"/>
      <c r="L4009"/>
      <c r="M4009"/>
      <c r="N4009" s="20"/>
      <c r="O4009"/>
      <c r="P4009" s="20"/>
      <c r="Q4009" s="20"/>
      <c r="R4009" s="20"/>
      <c r="S4009" s="20"/>
      <c r="T4009" s="20"/>
    </row>
    <row r="4010" spans="1:21" x14ac:dyDescent="0.25">
      <c r="A4010" s="3">
        <v>41936</v>
      </c>
      <c r="B4010" s="36">
        <v>343</v>
      </c>
      <c r="C4010" t="s">
        <v>4509</v>
      </c>
      <c r="D4010">
        <v>7.5</v>
      </c>
      <c r="E4010" s="18">
        <v>357</v>
      </c>
      <c r="F4010" t="s">
        <v>889</v>
      </c>
      <c r="G4010" t="s">
        <v>4510</v>
      </c>
      <c r="H4010" s="18">
        <v>357</v>
      </c>
      <c r="I4010" s="3">
        <v>41936</v>
      </c>
      <c r="J4010"/>
      <c r="L4010"/>
      <c r="M4010"/>
      <c r="N4010" s="20"/>
      <c r="O4010"/>
      <c r="P4010" s="20"/>
      <c r="Q4010" s="20"/>
      <c r="R4010" s="20"/>
      <c r="S4010" s="20"/>
      <c r="T4010" s="20"/>
    </row>
    <row r="4011" spans="1:21" x14ac:dyDescent="0.25">
      <c r="A4011" s="3">
        <v>41936</v>
      </c>
      <c r="B4011" s="36">
        <v>343</v>
      </c>
      <c r="C4011" t="s">
        <v>4511</v>
      </c>
      <c r="D4011">
        <v>8.67</v>
      </c>
      <c r="E4011" s="18">
        <v>867</v>
      </c>
      <c r="F4011" t="s">
        <v>889</v>
      </c>
      <c r="G4011" t="s">
        <v>4512</v>
      </c>
      <c r="H4011" s="18">
        <v>867</v>
      </c>
      <c r="I4011" s="3">
        <v>41936</v>
      </c>
      <c r="J4011"/>
      <c r="L4011"/>
      <c r="M4011"/>
      <c r="N4011" s="20"/>
      <c r="O4011"/>
      <c r="P4011" s="20"/>
      <c r="Q4011" s="20"/>
      <c r="R4011" s="20"/>
      <c r="S4011" s="20"/>
      <c r="T4011" s="20"/>
    </row>
    <row r="4012" spans="1:21" x14ac:dyDescent="0.25">
      <c r="A4012" s="3">
        <v>41943</v>
      </c>
      <c r="B4012" s="36">
        <v>343</v>
      </c>
      <c r="C4012" t="s">
        <v>4509</v>
      </c>
      <c r="D4012">
        <v>3.57</v>
      </c>
      <c r="E4012" s="18">
        <v>-357</v>
      </c>
      <c r="F4012" t="s">
        <v>889</v>
      </c>
      <c r="G4012" t="s">
        <v>4510</v>
      </c>
      <c r="H4012" s="18" t="s">
        <v>442</v>
      </c>
      <c r="I4012" s="3" t="s">
        <v>442</v>
      </c>
      <c r="J4012"/>
      <c r="L4012"/>
      <c r="M4012"/>
      <c r="N4012" s="20"/>
      <c r="O4012"/>
      <c r="P4012" s="20"/>
      <c r="Q4012" s="20"/>
      <c r="R4012" s="20"/>
      <c r="S4012" s="20"/>
      <c r="T4012" s="20"/>
    </row>
    <row r="4013" spans="1:21" x14ac:dyDescent="0.25">
      <c r="A4013" s="3">
        <v>41943</v>
      </c>
      <c r="B4013" s="36">
        <v>343</v>
      </c>
      <c r="C4013" t="s">
        <v>4513</v>
      </c>
      <c r="D4013">
        <v>6.375</v>
      </c>
      <c r="E4013" s="18">
        <v>637.5</v>
      </c>
      <c r="F4013" t="s">
        <v>889</v>
      </c>
      <c r="G4013" t="s">
        <v>4514</v>
      </c>
      <c r="H4013" s="18">
        <v>637.5</v>
      </c>
      <c r="I4013" s="3">
        <v>41943</v>
      </c>
      <c r="J4013"/>
      <c r="L4013"/>
      <c r="M4013"/>
      <c r="N4013" s="20"/>
      <c r="O4013"/>
      <c r="P4013" s="20"/>
      <c r="Q4013" s="20"/>
      <c r="R4013" s="20"/>
      <c r="S4013" s="20"/>
      <c r="T4013" s="20"/>
    </row>
    <row r="4014" spans="1:21" x14ac:dyDescent="0.25">
      <c r="A4014" s="3">
        <v>41955</v>
      </c>
      <c r="B4014" s="36">
        <v>343</v>
      </c>
      <c r="C4014" t="s">
        <v>4515</v>
      </c>
      <c r="D4014">
        <v>6.12</v>
      </c>
      <c r="E4014" s="18">
        <v>612</v>
      </c>
      <c r="G4014" t="s">
        <v>4516</v>
      </c>
      <c r="H4014" s="18">
        <v>612</v>
      </c>
      <c r="I4014" s="3">
        <v>41955</v>
      </c>
      <c r="J4014"/>
      <c r="L4014"/>
      <c r="M4014"/>
      <c r="N4014" s="20"/>
      <c r="O4014"/>
      <c r="P4014" s="20"/>
      <c r="Q4014" s="20"/>
      <c r="R4014" s="20"/>
      <c r="S4014" s="20"/>
      <c r="T4014" s="20"/>
    </row>
    <row r="4015" spans="1:21" x14ac:dyDescent="0.25">
      <c r="A4015" s="3">
        <v>41999</v>
      </c>
      <c r="B4015" s="36">
        <v>343</v>
      </c>
      <c r="C4015" t="s">
        <v>4501</v>
      </c>
      <c r="D4015">
        <v>8.75</v>
      </c>
      <c r="E4015" s="18">
        <v>755.5</v>
      </c>
      <c r="F4015" t="s">
        <v>889</v>
      </c>
      <c r="G4015" t="s">
        <v>4502</v>
      </c>
      <c r="H4015" s="18">
        <v>755.5</v>
      </c>
      <c r="I4015" s="3">
        <v>41999</v>
      </c>
      <c r="J4015"/>
      <c r="L4015"/>
      <c r="M4015"/>
      <c r="N4015" s="20"/>
      <c r="O4015" t="s">
        <v>959</v>
      </c>
      <c r="P4015" s="20"/>
      <c r="Q4015" s="20"/>
      <c r="R4015" s="20"/>
      <c r="S4015" s="20"/>
      <c r="T4015" s="20"/>
    </row>
    <row r="4016" spans="1:21" x14ac:dyDescent="0.25">
      <c r="A4016" s="3">
        <v>41999</v>
      </c>
      <c r="B4016" s="36">
        <v>343</v>
      </c>
      <c r="C4016" t="s">
        <v>4513</v>
      </c>
      <c r="D4016">
        <v>5.61</v>
      </c>
      <c r="E4016" s="18">
        <v>484.5</v>
      </c>
      <c r="F4016" t="s">
        <v>889</v>
      </c>
      <c r="G4016" t="s">
        <v>4514</v>
      </c>
      <c r="H4016" s="18">
        <v>484.5</v>
      </c>
      <c r="I4016" s="3">
        <v>41999</v>
      </c>
      <c r="J4016"/>
      <c r="L4016"/>
      <c r="M4016"/>
      <c r="N4016" s="20"/>
      <c r="O4016" t="s">
        <v>959</v>
      </c>
      <c r="P4016" s="20"/>
      <c r="Q4016" s="20"/>
      <c r="R4016" s="20"/>
      <c r="S4016" s="20"/>
      <c r="T4016" s="20"/>
    </row>
    <row r="4017" spans="1:21" x14ac:dyDescent="0.25">
      <c r="A4017" s="3">
        <v>41999</v>
      </c>
      <c r="B4017" s="36">
        <v>343</v>
      </c>
      <c r="C4017" t="s">
        <v>4503</v>
      </c>
      <c r="D4017">
        <v>7.14</v>
      </c>
      <c r="E4017" s="18">
        <v>714</v>
      </c>
      <c r="F4017" t="s">
        <v>889</v>
      </c>
      <c r="G4017" t="s">
        <v>4504</v>
      </c>
      <c r="H4017" s="18">
        <v>714</v>
      </c>
      <c r="I4017" s="3">
        <v>41999</v>
      </c>
      <c r="J4017"/>
      <c r="L4017"/>
      <c r="M4017"/>
      <c r="N4017" s="20"/>
      <c r="O4017"/>
      <c r="P4017" s="20"/>
      <c r="Q4017" s="20"/>
      <c r="R4017" s="20"/>
      <c r="S4017" s="20"/>
      <c r="T4017" s="20"/>
    </row>
    <row r="4018" spans="1:21" x14ac:dyDescent="0.25">
      <c r="A4018" s="3">
        <v>41999</v>
      </c>
      <c r="B4018" s="36">
        <v>343</v>
      </c>
      <c r="C4018" t="s">
        <v>4507</v>
      </c>
      <c r="D4018">
        <v>12.24</v>
      </c>
      <c r="E4018" s="18">
        <v>-1224</v>
      </c>
      <c r="F4018" t="s">
        <v>889</v>
      </c>
      <c r="G4018" t="s">
        <v>4508</v>
      </c>
      <c r="H4018" s="18" t="s">
        <v>442</v>
      </c>
      <c r="I4018" s="3" t="s">
        <v>442</v>
      </c>
      <c r="J4018"/>
      <c r="L4018"/>
      <c r="M4018"/>
      <c r="N4018" s="20"/>
      <c r="O4018"/>
      <c r="P4018" s="20"/>
      <c r="Q4018" s="20"/>
      <c r="R4018" s="20"/>
      <c r="S4018" s="20"/>
      <c r="T4018" s="20"/>
    </row>
    <row r="4019" spans="1:21" x14ac:dyDescent="0.25">
      <c r="A4019" s="3">
        <v>41999</v>
      </c>
      <c r="B4019" s="36">
        <v>343</v>
      </c>
      <c r="C4019" t="s">
        <v>3076</v>
      </c>
      <c r="E4019" s="18">
        <v>-367.9890410958904</v>
      </c>
      <c r="F4019" t="s">
        <v>889</v>
      </c>
      <c r="G4019" t="s">
        <v>442</v>
      </c>
      <c r="H4019" s="18" t="s">
        <v>442</v>
      </c>
      <c r="I4019" s="3" t="s">
        <v>442</v>
      </c>
      <c r="J4019"/>
      <c r="L4019"/>
      <c r="M4019"/>
      <c r="N4019" s="20"/>
      <c r="O4019"/>
      <c r="P4019" s="20"/>
      <c r="Q4019" s="20" t="s">
        <v>401</v>
      </c>
      <c r="R4019" s="20"/>
      <c r="S4019" s="20"/>
      <c r="T4019" s="20"/>
    </row>
    <row r="4020" spans="1:21" x14ac:dyDescent="0.25">
      <c r="A4020" s="3">
        <v>42013</v>
      </c>
      <c r="B4020" s="36">
        <v>343</v>
      </c>
      <c r="C4020" t="s">
        <v>4501</v>
      </c>
      <c r="D4020">
        <v>9.9450000000000003</v>
      </c>
      <c r="E4020" s="18">
        <v>239</v>
      </c>
      <c r="F4020" t="s">
        <v>889</v>
      </c>
      <c r="G4020" t="s">
        <v>4502</v>
      </c>
      <c r="H4020" s="18">
        <v>239</v>
      </c>
      <c r="I4020" s="3">
        <v>42013</v>
      </c>
      <c r="J4020"/>
      <c r="L4020"/>
      <c r="M4020"/>
      <c r="N4020" s="20"/>
      <c r="O4020"/>
      <c r="P4020" s="20"/>
      <c r="Q4020" s="20"/>
      <c r="R4020" s="20"/>
      <c r="S4020" s="20"/>
      <c r="T4020" s="20"/>
    </row>
    <row r="4021" spans="1:21" x14ac:dyDescent="0.25">
      <c r="A4021" s="3">
        <v>42013</v>
      </c>
      <c r="B4021" s="36">
        <v>343</v>
      </c>
      <c r="C4021" t="s">
        <v>4505</v>
      </c>
      <c r="D4021">
        <v>6.12</v>
      </c>
      <c r="E4021" s="18">
        <v>204</v>
      </c>
      <c r="F4021" t="s">
        <v>889</v>
      </c>
      <c r="G4021" t="s">
        <v>4506</v>
      </c>
      <c r="H4021" s="18">
        <v>204</v>
      </c>
      <c r="I4021" s="3">
        <v>42013</v>
      </c>
      <c r="J4021"/>
      <c r="L4021"/>
      <c r="M4021"/>
      <c r="N4021" s="20"/>
      <c r="O4021"/>
      <c r="P4021" s="20"/>
      <c r="Q4021" s="20"/>
      <c r="R4021" s="20"/>
      <c r="S4021" s="20"/>
      <c r="T4021" s="20"/>
    </row>
    <row r="4022" spans="1:21" x14ac:dyDescent="0.25">
      <c r="A4022" s="3">
        <v>42013</v>
      </c>
      <c r="B4022" s="36">
        <v>343</v>
      </c>
      <c r="C4022" t="s">
        <v>4513</v>
      </c>
      <c r="D4022">
        <v>6.375</v>
      </c>
      <c r="E4022" s="18">
        <v>153</v>
      </c>
      <c r="F4022" t="s">
        <v>889</v>
      </c>
      <c r="G4022" t="s">
        <v>4514</v>
      </c>
      <c r="H4022" s="18">
        <v>153</v>
      </c>
      <c r="I4022" s="3">
        <v>42013</v>
      </c>
      <c r="J4022"/>
      <c r="L4022"/>
      <c r="M4022"/>
      <c r="N4022" s="20"/>
      <c r="O4022"/>
      <c r="P4022" s="20"/>
      <c r="Q4022" s="20"/>
      <c r="R4022" s="20"/>
      <c r="S4022" s="20"/>
      <c r="T4022" s="20"/>
    </row>
    <row r="4023" spans="1:21" x14ac:dyDescent="0.25">
      <c r="A4023" s="3">
        <v>42013</v>
      </c>
      <c r="B4023" s="36">
        <v>343</v>
      </c>
      <c r="C4023" t="s">
        <v>4503</v>
      </c>
      <c r="D4023">
        <v>7.14</v>
      </c>
      <c r="E4023" s="18">
        <v>238</v>
      </c>
      <c r="F4023" t="s">
        <v>889</v>
      </c>
      <c r="G4023" t="s">
        <v>4504</v>
      </c>
      <c r="H4023" s="18">
        <v>238</v>
      </c>
      <c r="I4023" s="3">
        <v>42013</v>
      </c>
      <c r="J4023"/>
      <c r="L4023"/>
      <c r="M4023"/>
      <c r="N4023" s="20"/>
      <c r="O4023"/>
      <c r="P4023" s="20"/>
      <c r="Q4023" s="20"/>
      <c r="R4023" s="20"/>
      <c r="S4023" s="20"/>
      <c r="T4023" s="20"/>
    </row>
    <row r="4024" spans="1:21" x14ac:dyDescent="0.25">
      <c r="A4024" s="3">
        <v>42013</v>
      </c>
      <c r="B4024" s="36">
        <v>343</v>
      </c>
      <c r="C4024" t="s">
        <v>4515</v>
      </c>
      <c r="D4024">
        <v>6.12</v>
      </c>
      <c r="E4024" s="18">
        <v>204</v>
      </c>
      <c r="F4024" t="s">
        <v>889</v>
      </c>
      <c r="G4024" t="s">
        <v>4516</v>
      </c>
      <c r="H4024" s="18">
        <v>204</v>
      </c>
      <c r="I4024" s="3">
        <v>42013</v>
      </c>
      <c r="J4024"/>
      <c r="L4024"/>
      <c r="M4024"/>
      <c r="N4024" s="20"/>
      <c r="O4024"/>
      <c r="P4024" s="20"/>
      <c r="Q4024" s="20"/>
      <c r="R4024" s="20"/>
      <c r="S4024" s="20"/>
      <c r="T4024" s="20"/>
    </row>
    <row r="4025" spans="1:21" x14ac:dyDescent="0.25">
      <c r="B4025">
        <v>343</v>
      </c>
      <c r="C4025" t="s">
        <v>4505</v>
      </c>
      <c r="E4025" s="18">
        <v>204</v>
      </c>
      <c r="F4025" t="s">
        <v>889</v>
      </c>
      <c r="G4025" t="s">
        <v>4506</v>
      </c>
      <c r="I4025"/>
      <c r="J4025"/>
      <c r="L4025"/>
      <c r="M4025"/>
      <c r="O4025"/>
      <c r="P4025" s="20"/>
      <c r="Q4025" s="20"/>
      <c r="R4025" s="20"/>
      <c r="S4025" s="20"/>
      <c r="T4025" s="20"/>
      <c r="U4025" t="s">
        <v>401</v>
      </c>
    </row>
    <row r="4026" spans="1:21" x14ac:dyDescent="0.25">
      <c r="B4026">
        <v>343</v>
      </c>
      <c r="C4026" t="s">
        <v>4503</v>
      </c>
      <c r="E4026" s="18">
        <v>238</v>
      </c>
      <c r="F4026" t="s">
        <v>889</v>
      </c>
      <c r="G4026" t="s">
        <v>4504</v>
      </c>
      <c r="I4026"/>
      <c r="J4026"/>
      <c r="L4026"/>
      <c r="M4026"/>
      <c r="O4026"/>
      <c r="P4026" s="20"/>
      <c r="Q4026" s="20"/>
      <c r="R4026" s="20"/>
      <c r="S4026" s="20"/>
      <c r="T4026" s="20"/>
      <c r="U4026" t="s">
        <v>401</v>
      </c>
    </row>
    <row r="4027" spans="1:21" x14ac:dyDescent="0.25">
      <c r="B4027">
        <v>343</v>
      </c>
      <c r="C4027" t="s">
        <v>3204</v>
      </c>
      <c r="E4027" s="18">
        <v>-533</v>
      </c>
      <c r="I4027"/>
      <c r="J4027"/>
      <c r="L4027"/>
      <c r="M4027"/>
      <c r="O4027"/>
      <c r="P4027" s="20"/>
      <c r="Q4027" s="20"/>
      <c r="R4027" s="20"/>
      <c r="S4027" s="20"/>
      <c r="T4027" s="20"/>
      <c r="U4027" t="s">
        <v>401</v>
      </c>
    </row>
    <row r="4028" spans="1:21" x14ac:dyDescent="0.25">
      <c r="B4028">
        <v>343</v>
      </c>
      <c r="C4028" t="s">
        <v>3205</v>
      </c>
      <c r="E4028" s="18">
        <v>-799.5</v>
      </c>
      <c r="I4028"/>
      <c r="J4028"/>
      <c r="L4028"/>
      <c r="M4028"/>
      <c r="O4028"/>
      <c r="P4028" s="20"/>
      <c r="Q4028" s="20"/>
      <c r="R4028" s="20"/>
      <c r="S4028" s="20"/>
      <c r="T4028" s="20"/>
      <c r="U4028" t="s">
        <v>401</v>
      </c>
    </row>
    <row r="4029" spans="1:21" x14ac:dyDescent="0.25">
      <c r="B4029">
        <v>343</v>
      </c>
      <c r="C4029" t="s">
        <v>3206</v>
      </c>
      <c r="E4029" s="18">
        <v>-399.75</v>
      </c>
      <c r="I4029"/>
      <c r="J4029"/>
      <c r="L4029"/>
      <c r="M4029"/>
      <c r="O4029"/>
      <c r="P4029" s="20"/>
      <c r="Q4029" s="20"/>
      <c r="R4029" s="20"/>
      <c r="S4029" s="20"/>
      <c r="T4029" s="20"/>
      <c r="U4029" t="s">
        <v>401</v>
      </c>
    </row>
    <row r="4030" spans="1:21" x14ac:dyDescent="0.25">
      <c r="B4030">
        <v>343</v>
      </c>
      <c r="C4030" t="s">
        <v>3207</v>
      </c>
      <c r="E4030" s="18">
        <v>-105.139726027397</v>
      </c>
      <c r="I4030"/>
      <c r="J4030"/>
      <c r="L4030"/>
      <c r="M4030"/>
      <c r="O4030"/>
      <c r="P4030" s="20"/>
      <c r="Q4030" s="20"/>
      <c r="R4030" s="20"/>
      <c r="S4030" s="20"/>
      <c r="T4030" s="20"/>
      <c r="U4030" t="s">
        <v>401</v>
      </c>
    </row>
    <row r="4031" spans="1:21" x14ac:dyDescent="0.25">
      <c r="B4031">
        <v>343</v>
      </c>
      <c r="C4031" t="s">
        <v>3208</v>
      </c>
      <c r="E4031" s="18">
        <v>-399.75</v>
      </c>
      <c r="I4031"/>
      <c r="J4031"/>
      <c r="L4031"/>
      <c r="M4031"/>
      <c r="O4031"/>
      <c r="P4031" s="20"/>
      <c r="Q4031" s="20"/>
      <c r="R4031" s="20"/>
      <c r="S4031" s="20"/>
      <c r="T4031" s="20"/>
      <c r="U4031" t="s">
        <v>401</v>
      </c>
    </row>
    <row r="4032" spans="1:21" x14ac:dyDescent="0.25">
      <c r="B4032">
        <v>343</v>
      </c>
      <c r="C4032" t="s">
        <v>3209</v>
      </c>
      <c r="E4032" s="18">
        <v>-533</v>
      </c>
      <c r="I4032"/>
      <c r="J4032"/>
      <c r="L4032"/>
      <c r="M4032"/>
      <c r="O4032"/>
      <c r="P4032" s="20"/>
      <c r="Q4032" s="20"/>
      <c r="R4032" s="20"/>
      <c r="S4032" s="20"/>
      <c r="T4032" s="20"/>
      <c r="U4032" t="s">
        <v>401</v>
      </c>
    </row>
    <row r="4033" spans="1:21" x14ac:dyDescent="0.25">
      <c r="B4033">
        <v>343</v>
      </c>
      <c r="C4033" t="s">
        <v>4517</v>
      </c>
      <c r="E4033" s="18">
        <v>-799.5</v>
      </c>
      <c r="I4033"/>
      <c r="J4033"/>
      <c r="L4033"/>
      <c r="M4033"/>
      <c r="O4033"/>
      <c r="P4033" s="20"/>
      <c r="Q4033" s="20"/>
      <c r="R4033" s="20"/>
      <c r="S4033" s="20"/>
      <c r="T4033" s="20"/>
      <c r="U4033" t="s">
        <v>401</v>
      </c>
    </row>
    <row r="4034" spans="1:21" x14ac:dyDescent="0.25">
      <c r="B4034">
        <v>343</v>
      </c>
      <c r="C4034" t="s">
        <v>4515</v>
      </c>
      <c r="E4034" s="18">
        <v>204</v>
      </c>
      <c r="F4034" t="s">
        <v>889</v>
      </c>
      <c r="G4034" t="s">
        <v>4516</v>
      </c>
      <c r="I4034"/>
      <c r="J4034"/>
      <c r="L4034"/>
      <c r="M4034"/>
      <c r="O4034"/>
      <c r="P4034" s="20"/>
      <c r="Q4034" s="20"/>
      <c r="R4034" s="20"/>
      <c r="S4034" s="20"/>
      <c r="T4034" s="20"/>
      <c r="U4034" t="s">
        <v>401</v>
      </c>
    </row>
    <row r="4035" spans="1:21" x14ac:dyDescent="0.25">
      <c r="A4035" s="3">
        <v>41880</v>
      </c>
      <c r="B4035" s="36">
        <v>347</v>
      </c>
      <c r="C4035" t="s">
        <v>4518</v>
      </c>
      <c r="D4035">
        <v>6.63</v>
      </c>
      <c r="E4035" s="18">
        <v>663</v>
      </c>
      <c r="F4035" t="s">
        <v>889</v>
      </c>
      <c r="G4035" t="s">
        <v>4519</v>
      </c>
      <c r="H4035" s="18">
        <v>663</v>
      </c>
      <c r="I4035" s="3">
        <v>41880</v>
      </c>
      <c r="J4035"/>
      <c r="L4035"/>
      <c r="M4035"/>
      <c r="N4035" s="20"/>
      <c r="O4035"/>
      <c r="P4035" s="20"/>
      <c r="Q4035" s="20"/>
      <c r="R4035" s="20"/>
      <c r="S4035" s="20"/>
      <c r="T4035" s="20"/>
    </row>
    <row r="4036" spans="1:21" x14ac:dyDescent="0.25">
      <c r="A4036" s="3">
        <v>41894</v>
      </c>
      <c r="B4036" s="36">
        <v>347</v>
      </c>
      <c r="C4036" t="s">
        <v>4520</v>
      </c>
      <c r="D4036">
        <v>3.57</v>
      </c>
      <c r="E4036" s="18">
        <v>357</v>
      </c>
      <c r="F4036" t="s">
        <v>889</v>
      </c>
      <c r="G4036" t="s">
        <v>4521</v>
      </c>
      <c r="H4036" s="18">
        <v>357</v>
      </c>
      <c r="I4036" s="3">
        <v>41894</v>
      </c>
      <c r="J4036"/>
      <c r="L4036"/>
      <c r="M4036"/>
      <c r="N4036" s="20"/>
      <c r="O4036" t="s">
        <v>1272</v>
      </c>
      <c r="P4036" s="20"/>
      <c r="Q4036" s="20"/>
      <c r="R4036" s="20"/>
      <c r="S4036" s="20"/>
      <c r="T4036" s="20"/>
    </row>
    <row r="4037" spans="1:21" x14ac:dyDescent="0.25">
      <c r="A4037" s="3">
        <v>41897</v>
      </c>
      <c r="B4037" s="36">
        <v>347</v>
      </c>
      <c r="C4037" t="s">
        <v>4520</v>
      </c>
      <c r="D4037">
        <v>3.57</v>
      </c>
      <c r="E4037" s="18">
        <v>357</v>
      </c>
      <c r="F4037" t="s">
        <v>889</v>
      </c>
      <c r="G4037" t="s">
        <v>4521</v>
      </c>
      <c r="H4037" s="18">
        <v>357</v>
      </c>
      <c r="I4037" s="3">
        <v>41897</v>
      </c>
      <c r="J4037"/>
      <c r="L4037"/>
      <c r="M4037"/>
      <c r="N4037" s="20"/>
      <c r="O4037"/>
      <c r="P4037" s="20"/>
      <c r="Q4037" s="20"/>
      <c r="R4037" s="20"/>
      <c r="S4037" s="20"/>
      <c r="T4037" s="20"/>
    </row>
    <row r="4038" spans="1:21" x14ac:dyDescent="0.25">
      <c r="B4038">
        <v>347</v>
      </c>
      <c r="C4038" t="s">
        <v>4520</v>
      </c>
      <c r="D4038">
        <v>3.57</v>
      </c>
      <c r="E4038" s="18">
        <v>-357</v>
      </c>
      <c r="F4038" t="s">
        <v>889</v>
      </c>
      <c r="G4038" t="s">
        <v>4521</v>
      </c>
      <c r="I4038"/>
      <c r="J4038"/>
      <c r="L4038"/>
      <c r="M4038"/>
      <c r="O4038"/>
      <c r="P4038" s="20"/>
      <c r="Q4038" s="20"/>
      <c r="R4038" s="20"/>
      <c r="S4038" s="20"/>
      <c r="T4038" s="20"/>
      <c r="U4038" t="s">
        <v>401</v>
      </c>
    </row>
    <row r="4039" spans="1:21" x14ac:dyDescent="0.25">
      <c r="B4039">
        <v>347</v>
      </c>
      <c r="C4039" t="s">
        <v>4520</v>
      </c>
      <c r="D4039">
        <v>3.57</v>
      </c>
      <c r="E4039" s="18">
        <v>-357</v>
      </c>
      <c r="F4039" t="s">
        <v>889</v>
      </c>
      <c r="G4039" t="s">
        <v>4521</v>
      </c>
      <c r="I4039"/>
      <c r="J4039"/>
      <c r="L4039"/>
      <c r="M4039"/>
      <c r="O4039"/>
      <c r="P4039" s="20"/>
      <c r="Q4039" s="20"/>
      <c r="R4039" s="20"/>
      <c r="S4039" s="20"/>
      <c r="T4039" s="20"/>
      <c r="U4039" t="s">
        <v>401</v>
      </c>
    </row>
    <row r="4040" spans="1:21" x14ac:dyDescent="0.25">
      <c r="B4040">
        <v>347</v>
      </c>
      <c r="C4040" t="s">
        <v>4518</v>
      </c>
      <c r="D4040">
        <v>6.63</v>
      </c>
      <c r="E4040" s="18">
        <v>663</v>
      </c>
      <c r="F4040" t="s">
        <v>889</v>
      </c>
      <c r="G4040" t="s">
        <v>4519</v>
      </c>
      <c r="I4040"/>
      <c r="J4040"/>
      <c r="L4040"/>
      <c r="M4040"/>
      <c r="O4040"/>
      <c r="P4040" s="20"/>
      <c r="Q4040" s="20"/>
      <c r="R4040" s="20"/>
      <c r="S4040" s="20"/>
      <c r="T4040" s="20"/>
      <c r="U4040" t="s">
        <v>401</v>
      </c>
    </row>
    <row r="4041" spans="1:21" x14ac:dyDescent="0.25">
      <c r="A4041" s="3">
        <v>41873</v>
      </c>
      <c r="B4041" s="36">
        <v>352</v>
      </c>
      <c r="C4041" t="s">
        <v>4522</v>
      </c>
      <c r="D4041">
        <v>2.5</v>
      </c>
      <c r="E4041" s="18">
        <v>250</v>
      </c>
      <c r="F4041" t="s">
        <v>889</v>
      </c>
      <c r="G4041" t="s">
        <v>4523</v>
      </c>
      <c r="H4041" s="18">
        <v>250</v>
      </c>
      <c r="I4041" s="3">
        <v>41873</v>
      </c>
      <c r="J4041"/>
      <c r="L4041"/>
      <c r="M4041"/>
      <c r="N4041" s="20"/>
      <c r="O4041"/>
      <c r="P4041" s="20"/>
      <c r="Q4041" s="20"/>
      <c r="R4041" s="20"/>
      <c r="S4041" s="20"/>
      <c r="T4041" s="20"/>
    </row>
    <row r="4042" spans="1:21" x14ac:dyDescent="0.25">
      <c r="A4042" s="3">
        <v>41894</v>
      </c>
      <c r="B4042" s="36">
        <v>352</v>
      </c>
      <c r="C4042" t="s">
        <v>4524</v>
      </c>
      <c r="D4042">
        <v>15</v>
      </c>
      <c r="E4042" s="18">
        <v>1500</v>
      </c>
      <c r="F4042" t="s">
        <v>889</v>
      </c>
      <c r="G4042" t="s">
        <v>4525</v>
      </c>
      <c r="H4042" s="18">
        <v>1500</v>
      </c>
      <c r="I4042" s="3">
        <v>41894</v>
      </c>
      <c r="J4042"/>
      <c r="L4042"/>
      <c r="M4042"/>
      <c r="N4042" s="20"/>
      <c r="O4042"/>
      <c r="P4042" s="20"/>
      <c r="Q4042" s="20"/>
      <c r="R4042" s="20"/>
      <c r="S4042" s="20"/>
      <c r="T4042" s="20"/>
    </row>
    <row r="4043" spans="1:21" x14ac:dyDescent="0.25">
      <c r="A4043" s="3">
        <v>41894</v>
      </c>
      <c r="B4043" s="36">
        <v>352</v>
      </c>
      <c r="C4043" t="s">
        <v>4526</v>
      </c>
      <c r="D4043">
        <v>5</v>
      </c>
      <c r="E4043" s="18">
        <v>500</v>
      </c>
      <c r="F4043" t="s">
        <v>889</v>
      </c>
      <c r="G4043" t="s">
        <v>4527</v>
      </c>
      <c r="H4043" s="18">
        <v>500</v>
      </c>
      <c r="I4043" s="3">
        <v>41894</v>
      </c>
      <c r="J4043"/>
      <c r="L4043"/>
      <c r="M4043"/>
      <c r="N4043" s="20"/>
      <c r="O4043"/>
      <c r="P4043" s="20"/>
      <c r="Q4043" s="20"/>
      <c r="R4043" s="20"/>
      <c r="S4043" s="20"/>
      <c r="T4043" s="20"/>
    </row>
    <row r="4044" spans="1:21" x14ac:dyDescent="0.25">
      <c r="A4044" s="3">
        <v>41907</v>
      </c>
      <c r="B4044" s="36">
        <v>352</v>
      </c>
      <c r="C4044" t="s">
        <v>1098</v>
      </c>
      <c r="E4044" s="18">
        <v>32.5</v>
      </c>
      <c r="F4044" t="s">
        <v>889</v>
      </c>
      <c r="G4044" t="s">
        <v>442</v>
      </c>
      <c r="H4044" s="18" t="s">
        <v>442</v>
      </c>
      <c r="I4044" s="3" t="s">
        <v>442</v>
      </c>
      <c r="J4044"/>
      <c r="L4044"/>
      <c r="M4044"/>
      <c r="N4044" s="20" t="s">
        <v>401</v>
      </c>
      <c r="O4044"/>
      <c r="P4044" s="20"/>
      <c r="Q4044" s="20"/>
      <c r="R4044" s="20"/>
      <c r="S4044" s="20"/>
      <c r="T4044" s="20"/>
    </row>
    <row r="4045" spans="1:21" x14ac:dyDescent="0.25">
      <c r="A4045" s="3">
        <v>41922</v>
      </c>
      <c r="B4045" s="36">
        <v>352</v>
      </c>
      <c r="C4045" t="s">
        <v>4522</v>
      </c>
      <c r="D4045">
        <v>2.5</v>
      </c>
      <c r="E4045" s="18">
        <v>-250</v>
      </c>
      <c r="F4045" t="s">
        <v>889</v>
      </c>
      <c r="G4045" t="s">
        <v>4523</v>
      </c>
      <c r="H4045" s="18" t="s">
        <v>442</v>
      </c>
      <c r="I4045" s="3" t="s">
        <v>442</v>
      </c>
      <c r="J4045"/>
      <c r="L4045"/>
      <c r="M4045"/>
      <c r="N4045" s="20"/>
      <c r="O4045"/>
      <c r="P4045" s="20"/>
      <c r="Q4045" s="20"/>
      <c r="R4045" s="20"/>
      <c r="S4045" s="20"/>
      <c r="T4045" s="20"/>
    </row>
    <row r="4046" spans="1:21" x14ac:dyDescent="0.25">
      <c r="A4046" s="3">
        <v>41922</v>
      </c>
      <c r="B4046" s="36">
        <v>352</v>
      </c>
      <c r="C4046" t="s">
        <v>4528</v>
      </c>
      <c r="D4046">
        <v>6</v>
      </c>
      <c r="E4046" s="18">
        <v>600</v>
      </c>
      <c r="F4046" t="s">
        <v>889</v>
      </c>
      <c r="G4046" t="s">
        <v>4529</v>
      </c>
      <c r="H4046" s="18">
        <v>600</v>
      </c>
      <c r="I4046" s="3">
        <v>41922</v>
      </c>
      <c r="J4046"/>
      <c r="L4046"/>
      <c r="M4046"/>
      <c r="N4046" s="20"/>
      <c r="O4046"/>
      <c r="P4046" s="20"/>
      <c r="Q4046" s="20"/>
      <c r="R4046" s="20"/>
      <c r="S4046" s="20"/>
      <c r="T4046" s="20"/>
    </row>
    <row r="4047" spans="1:21" x14ac:dyDescent="0.25">
      <c r="A4047" s="3">
        <v>41922</v>
      </c>
      <c r="B4047" s="36">
        <v>352</v>
      </c>
      <c r="C4047" t="s">
        <v>4530</v>
      </c>
      <c r="D4047">
        <v>10.25</v>
      </c>
      <c r="E4047" s="18">
        <v>1025</v>
      </c>
      <c r="F4047" t="s">
        <v>889</v>
      </c>
      <c r="G4047" t="s">
        <v>4531</v>
      </c>
      <c r="H4047" s="18">
        <v>1025</v>
      </c>
      <c r="I4047" s="3">
        <v>41922</v>
      </c>
      <c r="J4047"/>
      <c r="L4047"/>
      <c r="M4047"/>
      <c r="N4047" s="20"/>
      <c r="O4047"/>
      <c r="P4047" s="20"/>
      <c r="Q4047" s="20"/>
      <c r="R4047" s="20"/>
      <c r="S4047" s="20"/>
      <c r="T4047" s="20"/>
    </row>
    <row r="4048" spans="1:21" x14ac:dyDescent="0.25">
      <c r="A4048" s="3">
        <v>41950</v>
      </c>
      <c r="B4048" s="36">
        <v>352</v>
      </c>
      <c r="C4048" t="s">
        <v>4532</v>
      </c>
      <c r="D4048">
        <v>4.08</v>
      </c>
      <c r="E4048" s="18">
        <v>408</v>
      </c>
      <c r="F4048" t="s">
        <v>889</v>
      </c>
      <c r="G4048" t="s">
        <v>4533</v>
      </c>
      <c r="H4048" s="18">
        <v>408</v>
      </c>
      <c r="I4048" s="3">
        <v>41950</v>
      </c>
      <c r="J4048"/>
      <c r="L4048"/>
      <c r="M4048"/>
      <c r="N4048" s="20"/>
      <c r="O4048"/>
      <c r="P4048" s="20"/>
      <c r="Q4048" s="20"/>
      <c r="R4048" s="20"/>
      <c r="S4048" s="20"/>
      <c r="T4048" s="20"/>
    </row>
    <row r="4049" spans="1:21" x14ac:dyDescent="0.25">
      <c r="B4049">
        <v>352</v>
      </c>
      <c r="C4049" t="s">
        <v>4524</v>
      </c>
      <c r="D4049">
        <v>15</v>
      </c>
      <c r="E4049" s="18">
        <v>-1500</v>
      </c>
      <c r="F4049" t="s">
        <v>889</v>
      </c>
      <c r="G4049" t="s">
        <v>4525</v>
      </c>
      <c r="I4049"/>
      <c r="J4049"/>
      <c r="L4049"/>
      <c r="M4049"/>
      <c r="O4049"/>
      <c r="P4049" s="20"/>
      <c r="Q4049" s="20"/>
      <c r="R4049" s="20"/>
      <c r="S4049" s="20"/>
      <c r="T4049" s="20"/>
      <c r="U4049" t="s">
        <v>401</v>
      </c>
    </row>
    <row r="4050" spans="1:21" x14ac:dyDescent="0.25">
      <c r="B4050">
        <v>352</v>
      </c>
      <c r="C4050" t="s">
        <v>4532</v>
      </c>
      <c r="D4050">
        <v>4.08</v>
      </c>
      <c r="E4050" s="18">
        <v>408</v>
      </c>
      <c r="F4050" t="s">
        <v>889</v>
      </c>
      <c r="G4050" t="s">
        <v>4533</v>
      </c>
      <c r="I4050"/>
      <c r="J4050"/>
      <c r="L4050"/>
      <c r="M4050"/>
      <c r="O4050"/>
      <c r="P4050" s="20"/>
      <c r="Q4050" s="20"/>
      <c r="R4050" s="20"/>
      <c r="S4050" s="20"/>
      <c r="T4050" s="20"/>
      <c r="U4050" t="s">
        <v>401</v>
      </c>
    </row>
    <row r="4051" spans="1:21" x14ac:dyDescent="0.25">
      <c r="A4051" s="3">
        <v>41873</v>
      </c>
      <c r="B4051" s="36">
        <v>355</v>
      </c>
      <c r="C4051" t="s">
        <v>4534</v>
      </c>
      <c r="E4051" s="18">
        <v>500</v>
      </c>
      <c r="F4051" t="s">
        <v>889</v>
      </c>
      <c r="G4051" t="s">
        <v>442</v>
      </c>
      <c r="H4051" s="18" t="s">
        <v>442</v>
      </c>
      <c r="I4051" s="3" t="s">
        <v>442</v>
      </c>
      <c r="J4051"/>
      <c r="L4051"/>
      <c r="M4051"/>
      <c r="N4051" s="20"/>
      <c r="O4051"/>
      <c r="P4051" s="20"/>
      <c r="Q4051" s="20"/>
      <c r="R4051" s="20"/>
      <c r="S4051" s="20"/>
      <c r="T4051" s="20" t="s">
        <v>401</v>
      </c>
    </row>
    <row r="4052" spans="1:21" x14ac:dyDescent="0.25">
      <c r="A4052" s="3">
        <v>41873</v>
      </c>
      <c r="B4052" s="36">
        <v>355</v>
      </c>
      <c r="C4052" t="s">
        <v>4534</v>
      </c>
      <c r="E4052" s="18">
        <v>-500</v>
      </c>
      <c r="F4052" t="s">
        <v>889</v>
      </c>
      <c r="G4052" t="s">
        <v>442</v>
      </c>
      <c r="H4052" s="18" t="s">
        <v>442</v>
      </c>
      <c r="I4052" s="3" t="s">
        <v>442</v>
      </c>
      <c r="J4052"/>
      <c r="L4052"/>
      <c r="M4052"/>
      <c r="N4052" s="20"/>
      <c r="O4052"/>
      <c r="P4052" s="20"/>
      <c r="Q4052" s="20"/>
      <c r="R4052" s="20"/>
      <c r="S4052" s="20"/>
      <c r="T4052" s="20" t="s">
        <v>401</v>
      </c>
    </row>
    <row r="4053" spans="1:21" x14ac:dyDescent="0.25">
      <c r="A4053" s="3" t="s">
        <v>4535</v>
      </c>
      <c r="B4053" s="36">
        <v>355</v>
      </c>
      <c r="C4053" t="s">
        <v>4536</v>
      </c>
      <c r="E4053" s="18">
        <v>500</v>
      </c>
      <c r="F4053" t="s">
        <v>889</v>
      </c>
      <c r="G4053" t="s">
        <v>442</v>
      </c>
      <c r="H4053" s="18" t="s">
        <v>442</v>
      </c>
      <c r="I4053" s="3" t="s">
        <v>442</v>
      </c>
      <c r="J4053"/>
      <c r="L4053"/>
      <c r="M4053"/>
      <c r="N4053" s="20"/>
      <c r="O4053"/>
      <c r="P4053" s="20"/>
      <c r="Q4053" s="20"/>
      <c r="R4053" s="20"/>
      <c r="S4053" s="20"/>
      <c r="T4053" s="20" t="s">
        <v>401</v>
      </c>
    </row>
    <row r="4054" spans="1:21" x14ac:dyDescent="0.25">
      <c r="A4054" s="3" t="s">
        <v>4535</v>
      </c>
      <c r="B4054" s="36">
        <v>355</v>
      </c>
      <c r="C4054" t="s">
        <v>4536</v>
      </c>
      <c r="E4054" s="18">
        <v>-500</v>
      </c>
      <c r="F4054" t="s">
        <v>889</v>
      </c>
      <c r="G4054" t="s">
        <v>442</v>
      </c>
      <c r="H4054" s="18" t="s">
        <v>442</v>
      </c>
      <c r="I4054" s="3" t="s">
        <v>442</v>
      </c>
      <c r="J4054"/>
      <c r="L4054"/>
      <c r="M4054"/>
      <c r="N4054" s="20"/>
      <c r="O4054"/>
      <c r="P4054" s="20"/>
      <c r="Q4054" s="20"/>
      <c r="R4054" s="20"/>
      <c r="S4054" s="20"/>
      <c r="T4054" s="20" t="s">
        <v>401</v>
      </c>
    </row>
    <row r="4055" spans="1:21" x14ac:dyDescent="0.25">
      <c r="A4055" s="3">
        <v>41886</v>
      </c>
      <c r="B4055" s="36">
        <v>355</v>
      </c>
      <c r="C4055" t="s">
        <v>4534</v>
      </c>
      <c r="E4055" s="18">
        <v>500</v>
      </c>
      <c r="F4055" t="s">
        <v>889</v>
      </c>
      <c r="G4055" t="s">
        <v>442</v>
      </c>
      <c r="H4055" s="18" t="s">
        <v>442</v>
      </c>
      <c r="I4055" s="3" t="s">
        <v>442</v>
      </c>
      <c r="J4055"/>
      <c r="L4055"/>
      <c r="M4055"/>
      <c r="N4055" s="20"/>
      <c r="O4055"/>
      <c r="P4055" s="20"/>
      <c r="Q4055" s="20"/>
      <c r="R4055" s="20"/>
      <c r="S4055" s="20"/>
      <c r="T4055" s="20" t="s">
        <v>401</v>
      </c>
    </row>
    <row r="4056" spans="1:21" x14ac:dyDescent="0.25">
      <c r="A4056" s="3">
        <v>41886</v>
      </c>
      <c r="B4056" s="36">
        <v>355</v>
      </c>
      <c r="C4056" t="s">
        <v>4534</v>
      </c>
      <c r="E4056" s="18">
        <v>-500</v>
      </c>
      <c r="F4056" t="s">
        <v>889</v>
      </c>
      <c r="G4056" t="s">
        <v>442</v>
      </c>
      <c r="H4056" s="18" t="s">
        <v>442</v>
      </c>
      <c r="I4056" s="3" t="s">
        <v>442</v>
      </c>
      <c r="J4056"/>
      <c r="L4056"/>
      <c r="M4056"/>
      <c r="N4056" s="20"/>
      <c r="O4056"/>
      <c r="P4056" s="20"/>
      <c r="Q4056" s="20"/>
      <c r="R4056" s="20"/>
      <c r="S4056" s="20"/>
      <c r="T4056" s="20" t="s">
        <v>401</v>
      </c>
    </row>
    <row r="4057" spans="1:21" x14ac:dyDescent="0.25">
      <c r="A4057" s="3" t="s">
        <v>4198</v>
      </c>
      <c r="B4057" s="36">
        <v>355</v>
      </c>
      <c r="C4057" t="s">
        <v>4199</v>
      </c>
      <c r="E4057" s="18">
        <v>500</v>
      </c>
      <c r="F4057" t="s">
        <v>889</v>
      </c>
      <c r="G4057" t="s">
        <v>442</v>
      </c>
      <c r="H4057" s="18" t="s">
        <v>442</v>
      </c>
      <c r="I4057" s="3" t="s">
        <v>442</v>
      </c>
      <c r="J4057"/>
      <c r="L4057"/>
      <c r="M4057"/>
      <c r="N4057" s="20"/>
      <c r="O4057"/>
      <c r="P4057" s="20"/>
      <c r="Q4057" s="20"/>
      <c r="R4057" s="20"/>
      <c r="S4057" s="20"/>
      <c r="T4057" s="20" t="s">
        <v>401</v>
      </c>
    </row>
    <row r="4058" spans="1:21" x14ac:dyDescent="0.25">
      <c r="A4058" s="3" t="s">
        <v>4198</v>
      </c>
      <c r="B4058" s="36">
        <v>355</v>
      </c>
      <c r="C4058" t="s">
        <v>4199</v>
      </c>
      <c r="E4058" s="18">
        <v>-500</v>
      </c>
      <c r="F4058" t="s">
        <v>889</v>
      </c>
      <c r="G4058" t="s">
        <v>442</v>
      </c>
      <c r="H4058" s="18" t="s">
        <v>442</v>
      </c>
      <c r="I4058" s="3" t="s">
        <v>442</v>
      </c>
      <c r="J4058"/>
      <c r="L4058"/>
      <c r="M4058"/>
      <c r="N4058" s="20"/>
      <c r="O4058"/>
      <c r="P4058" s="20"/>
      <c r="Q4058" s="20"/>
      <c r="R4058" s="20"/>
      <c r="S4058" s="20"/>
      <c r="T4058" s="20" t="s">
        <v>401</v>
      </c>
    </row>
    <row r="4059" spans="1:21" x14ac:dyDescent="0.25">
      <c r="A4059" s="3">
        <v>41901</v>
      </c>
      <c r="B4059" s="36">
        <v>355</v>
      </c>
      <c r="C4059" t="s">
        <v>4537</v>
      </c>
      <c r="E4059" s="18">
        <v>1000</v>
      </c>
      <c r="F4059" t="s">
        <v>889</v>
      </c>
      <c r="G4059" t="s">
        <v>442</v>
      </c>
      <c r="H4059" s="18" t="s">
        <v>442</v>
      </c>
      <c r="I4059" s="3" t="s">
        <v>442</v>
      </c>
      <c r="J4059"/>
      <c r="L4059"/>
      <c r="M4059"/>
      <c r="N4059" s="20"/>
      <c r="O4059"/>
      <c r="P4059" s="20"/>
      <c r="Q4059" s="20"/>
      <c r="R4059" s="20"/>
      <c r="S4059" s="20"/>
      <c r="T4059" s="20" t="s">
        <v>401</v>
      </c>
    </row>
    <row r="4060" spans="1:21" x14ac:dyDescent="0.25">
      <c r="A4060" s="3">
        <v>41901</v>
      </c>
      <c r="B4060" s="36">
        <v>355</v>
      </c>
      <c r="C4060" t="s">
        <v>4537</v>
      </c>
      <c r="E4060" s="18">
        <v>-1000</v>
      </c>
      <c r="F4060" t="s">
        <v>889</v>
      </c>
      <c r="G4060" t="s">
        <v>442</v>
      </c>
      <c r="H4060" s="18" t="s">
        <v>442</v>
      </c>
      <c r="I4060" s="3" t="s">
        <v>442</v>
      </c>
      <c r="J4060"/>
      <c r="L4060"/>
      <c r="M4060"/>
      <c r="N4060" s="20"/>
      <c r="O4060"/>
      <c r="P4060" s="20"/>
      <c r="Q4060" s="20"/>
      <c r="R4060" s="20"/>
      <c r="S4060" s="20"/>
      <c r="T4060" s="20" t="s">
        <v>401</v>
      </c>
    </row>
    <row r="4061" spans="1:21" x14ac:dyDescent="0.25">
      <c r="A4061" s="3">
        <v>41911</v>
      </c>
      <c r="B4061" s="36">
        <v>355</v>
      </c>
      <c r="C4061" t="s">
        <v>4538</v>
      </c>
      <c r="E4061" s="18">
        <v>1000</v>
      </c>
      <c r="F4061" t="s">
        <v>889</v>
      </c>
      <c r="G4061" t="s">
        <v>442</v>
      </c>
      <c r="H4061" s="18" t="s">
        <v>442</v>
      </c>
      <c r="I4061" s="3" t="s">
        <v>442</v>
      </c>
      <c r="J4061"/>
      <c r="L4061"/>
      <c r="M4061"/>
      <c r="N4061" s="20"/>
      <c r="O4061"/>
      <c r="P4061" s="20"/>
      <c r="Q4061" s="20"/>
      <c r="R4061" s="20"/>
      <c r="S4061" s="20"/>
      <c r="T4061" s="20" t="s">
        <v>401</v>
      </c>
    </row>
    <row r="4062" spans="1:21" x14ac:dyDescent="0.25">
      <c r="A4062" s="3">
        <v>41911</v>
      </c>
      <c r="B4062" s="36">
        <v>355</v>
      </c>
      <c r="C4062" t="s">
        <v>4538</v>
      </c>
      <c r="E4062" s="18">
        <v>-1000</v>
      </c>
      <c r="F4062" t="s">
        <v>889</v>
      </c>
      <c r="G4062" t="s">
        <v>442</v>
      </c>
      <c r="H4062" s="18" t="s">
        <v>442</v>
      </c>
      <c r="I4062" s="3" t="s">
        <v>442</v>
      </c>
      <c r="J4062"/>
      <c r="L4062"/>
      <c r="M4062"/>
      <c r="N4062" s="20"/>
      <c r="O4062"/>
      <c r="P4062" s="20"/>
      <c r="Q4062" s="20"/>
      <c r="R4062" s="20"/>
      <c r="S4062" s="20"/>
      <c r="T4062" s="20" t="s">
        <v>401</v>
      </c>
    </row>
    <row r="4063" spans="1:21" x14ac:dyDescent="0.25">
      <c r="A4063" s="3" t="s">
        <v>4204</v>
      </c>
      <c r="B4063" s="36">
        <v>355</v>
      </c>
      <c r="C4063" t="s">
        <v>4205</v>
      </c>
      <c r="E4063" s="18">
        <v>1000</v>
      </c>
      <c r="F4063" t="s">
        <v>889</v>
      </c>
      <c r="G4063" t="s">
        <v>442</v>
      </c>
      <c r="H4063" s="18" t="s">
        <v>442</v>
      </c>
      <c r="I4063" s="3" t="s">
        <v>442</v>
      </c>
      <c r="J4063"/>
      <c r="L4063"/>
      <c r="M4063"/>
      <c r="N4063" s="20"/>
      <c r="O4063"/>
      <c r="P4063" s="20"/>
      <c r="Q4063" s="20"/>
      <c r="R4063" s="20"/>
      <c r="S4063" s="20"/>
      <c r="T4063" s="20" t="s">
        <v>401</v>
      </c>
    </row>
    <row r="4064" spans="1:21" x14ac:dyDescent="0.25">
      <c r="A4064" s="3" t="s">
        <v>4204</v>
      </c>
      <c r="B4064" s="36">
        <v>355</v>
      </c>
      <c r="C4064" t="s">
        <v>4205</v>
      </c>
      <c r="E4064" s="18">
        <v>-1000</v>
      </c>
      <c r="F4064" t="s">
        <v>889</v>
      </c>
      <c r="G4064" t="s">
        <v>442</v>
      </c>
      <c r="H4064" s="18" t="s">
        <v>442</v>
      </c>
      <c r="I4064" s="3" t="s">
        <v>442</v>
      </c>
      <c r="J4064"/>
      <c r="L4064"/>
      <c r="M4064"/>
      <c r="N4064" s="20"/>
      <c r="O4064"/>
      <c r="P4064" s="20"/>
      <c r="Q4064" s="20"/>
      <c r="R4064" s="20"/>
      <c r="S4064" s="20"/>
      <c r="T4064" s="20" t="s">
        <v>401</v>
      </c>
    </row>
    <row r="4065" spans="1:20" x14ac:dyDescent="0.25">
      <c r="A4065" s="3" t="s">
        <v>4206</v>
      </c>
      <c r="B4065" s="36">
        <v>355</v>
      </c>
      <c r="C4065" t="s">
        <v>4207</v>
      </c>
      <c r="E4065" s="18">
        <v>1000</v>
      </c>
      <c r="F4065" t="s">
        <v>889</v>
      </c>
      <c r="G4065" t="s">
        <v>442</v>
      </c>
      <c r="H4065" s="18" t="s">
        <v>442</v>
      </c>
      <c r="I4065" s="3" t="s">
        <v>442</v>
      </c>
      <c r="J4065"/>
      <c r="L4065"/>
      <c r="M4065"/>
      <c r="N4065" s="20"/>
      <c r="O4065"/>
      <c r="P4065" s="20"/>
      <c r="Q4065" s="20"/>
      <c r="R4065" s="20"/>
      <c r="S4065" s="20"/>
      <c r="T4065" s="20" t="s">
        <v>401</v>
      </c>
    </row>
    <row r="4066" spans="1:20" x14ac:dyDescent="0.25">
      <c r="A4066" s="3" t="s">
        <v>4206</v>
      </c>
      <c r="B4066" s="36">
        <v>355</v>
      </c>
      <c r="C4066" t="s">
        <v>4207</v>
      </c>
      <c r="E4066" s="18">
        <v>-1000</v>
      </c>
      <c r="F4066" t="s">
        <v>889</v>
      </c>
      <c r="G4066" t="s">
        <v>442</v>
      </c>
      <c r="H4066" s="18" t="s">
        <v>442</v>
      </c>
      <c r="I4066" s="3" t="s">
        <v>442</v>
      </c>
      <c r="J4066"/>
      <c r="L4066"/>
      <c r="M4066"/>
      <c r="N4066" s="20"/>
      <c r="O4066"/>
      <c r="P4066" s="20"/>
      <c r="Q4066" s="20"/>
      <c r="R4066" s="20"/>
      <c r="S4066" s="20"/>
      <c r="T4066" s="20" t="s">
        <v>401</v>
      </c>
    </row>
    <row r="4067" spans="1:20" x14ac:dyDescent="0.25">
      <c r="A4067" s="3" t="s">
        <v>4208</v>
      </c>
      <c r="B4067" s="36">
        <v>355</v>
      </c>
      <c r="C4067" t="s">
        <v>4209</v>
      </c>
      <c r="E4067" s="18">
        <v>1000</v>
      </c>
      <c r="F4067" t="s">
        <v>889</v>
      </c>
      <c r="G4067" t="s">
        <v>442</v>
      </c>
      <c r="H4067" s="18" t="s">
        <v>442</v>
      </c>
      <c r="I4067" s="3" t="s">
        <v>442</v>
      </c>
      <c r="J4067"/>
      <c r="L4067"/>
      <c r="M4067"/>
      <c r="N4067" s="20"/>
      <c r="O4067"/>
      <c r="P4067" s="20"/>
      <c r="Q4067" s="20"/>
      <c r="R4067" s="20"/>
      <c r="S4067" s="20"/>
      <c r="T4067" s="20" t="s">
        <v>401</v>
      </c>
    </row>
    <row r="4068" spans="1:20" x14ac:dyDescent="0.25">
      <c r="A4068" s="3" t="s">
        <v>4208</v>
      </c>
      <c r="B4068" s="36">
        <v>355</v>
      </c>
      <c r="C4068" t="s">
        <v>4209</v>
      </c>
      <c r="E4068" s="18">
        <v>-1000</v>
      </c>
      <c r="F4068" t="s">
        <v>889</v>
      </c>
      <c r="G4068" t="s">
        <v>442</v>
      </c>
      <c r="H4068" s="18" t="s">
        <v>442</v>
      </c>
      <c r="I4068" s="3" t="s">
        <v>442</v>
      </c>
      <c r="J4068"/>
      <c r="L4068"/>
      <c r="M4068"/>
      <c r="N4068" s="20"/>
      <c r="O4068"/>
      <c r="P4068" s="20"/>
      <c r="Q4068" s="20"/>
      <c r="R4068" s="20"/>
      <c r="S4068" s="20"/>
      <c r="T4068" s="20" t="s">
        <v>401</v>
      </c>
    </row>
    <row r="4069" spans="1:20" x14ac:dyDescent="0.25">
      <c r="A4069" s="3">
        <v>41929</v>
      </c>
      <c r="B4069" s="36">
        <v>355</v>
      </c>
      <c r="C4069" t="s">
        <v>4539</v>
      </c>
      <c r="E4069" s="18">
        <v>72</v>
      </c>
      <c r="F4069" t="s">
        <v>891</v>
      </c>
      <c r="H4069" s="18" t="s">
        <v>442</v>
      </c>
      <c r="I4069" s="3" t="s">
        <v>442</v>
      </c>
      <c r="J4069"/>
      <c r="L4069"/>
      <c r="M4069"/>
      <c r="N4069" s="20"/>
      <c r="O4069"/>
      <c r="P4069" s="20" t="s">
        <v>401</v>
      </c>
      <c r="Q4069" s="20"/>
      <c r="R4069" s="20"/>
      <c r="S4069" s="20"/>
      <c r="T4069" s="20"/>
    </row>
    <row r="4070" spans="1:20" x14ac:dyDescent="0.25">
      <c r="A4070" s="3" t="s">
        <v>4210</v>
      </c>
      <c r="B4070" s="36">
        <v>355</v>
      </c>
      <c r="C4070" t="s">
        <v>4211</v>
      </c>
      <c r="E4070" s="18">
        <v>1000</v>
      </c>
      <c r="F4070" t="s">
        <v>889</v>
      </c>
      <c r="G4070" t="s">
        <v>442</v>
      </c>
      <c r="H4070" s="18" t="s">
        <v>442</v>
      </c>
      <c r="I4070" s="3" t="s">
        <v>442</v>
      </c>
      <c r="J4070"/>
      <c r="L4070"/>
      <c r="M4070"/>
      <c r="N4070" s="20"/>
      <c r="O4070"/>
      <c r="P4070" s="20"/>
      <c r="Q4070" s="20"/>
      <c r="R4070" s="20"/>
      <c r="S4070" s="20"/>
      <c r="T4070" s="20" t="s">
        <v>401</v>
      </c>
    </row>
    <row r="4071" spans="1:20" x14ac:dyDescent="0.25">
      <c r="A4071" s="3" t="s">
        <v>4210</v>
      </c>
      <c r="B4071" s="36">
        <v>355</v>
      </c>
      <c r="C4071" t="s">
        <v>4211</v>
      </c>
      <c r="E4071" s="18">
        <v>-1000</v>
      </c>
      <c r="F4071" t="s">
        <v>889</v>
      </c>
      <c r="G4071" t="s">
        <v>442</v>
      </c>
      <c r="H4071" s="18" t="s">
        <v>442</v>
      </c>
      <c r="I4071" s="3" t="s">
        <v>442</v>
      </c>
      <c r="J4071"/>
      <c r="L4071"/>
      <c r="M4071"/>
      <c r="N4071" s="20"/>
      <c r="O4071"/>
      <c r="P4071" s="20"/>
      <c r="Q4071" s="20"/>
      <c r="R4071" s="20"/>
      <c r="S4071" s="20"/>
      <c r="T4071" s="20" t="s">
        <v>401</v>
      </c>
    </row>
    <row r="4072" spans="1:20" x14ac:dyDescent="0.25">
      <c r="A4072" s="3" t="s">
        <v>4212</v>
      </c>
      <c r="B4072" s="36">
        <v>355</v>
      </c>
      <c r="C4072" t="s">
        <v>4213</v>
      </c>
      <c r="E4072" s="18">
        <v>1000</v>
      </c>
      <c r="F4072" t="s">
        <v>889</v>
      </c>
      <c r="G4072" t="s">
        <v>442</v>
      </c>
      <c r="H4072" s="18" t="s">
        <v>442</v>
      </c>
      <c r="I4072" s="3" t="s">
        <v>442</v>
      </c>
      <c r="J4072"/>
      <c r="L4072"/>
      <c r="M4072"/>
      <c r="N4072" s="20"/>
      <c r="O4072"/>
      <c r="P4072" s="20"/>
      <c r="Q4072" s="20"/>
      <c r="R4072" s="20"/>
      <c r="S4072" s="20"/>
      <c r="T4072" s="20" t="s">
        <v>401</v>
      </c>
    </row>
    <row r="4073" spans="1:20" x14ac:dyDescent="0.25">
      <c r="A4073" s="3" t="s">
        <v>4212</v>
      </c>
      <c r="B4073" s="36">
        <v>355</v>
      </c>
      <c r="C4073" t="s">
        <v>4213</v>
      </c>
      <c r="E4073" s="18">
        <v>-1000</v>
      </c>
      <c r="F4073" t="s">
        <v>889</v>
      </c>
      <c r="G4073" t="s">
        <v>442</v>
      </c>
      <c r="H4073" s="18" t="s">
        <v>442</v>
      </c>
      <c r="I4073" s="3" t="s">
        <v>442</v>
      </c>
      <c r="J4073"/>
      <c r="L4073"/>
      <c r="M4073"/>
      <c r="N4073" s="20"/>
      <c r="O4073"/>
      <c r="P4073" s="20"/>
      <c r="Q4073" s="20"/>
      <c r="R4073" s="20"/>
      <c r="S4073" s="20"/>
      <c r="T4073" s="20" t="s">
        <v>401</v>
      </c>
    </row>
    <row r="4074" spans="1:20" x14ac:dyDescent="0.25">
      <c r="A4074" s="3" t="s">
        <v>4214</v>
      </c>
      <c r="B4074" s="36">
        <v>355</v>
      </c>
      <c r="C4074" t="s">
        <v>4215</v>
      </c>
      <c r="E4074" s="18">
        <v>1000</v>
      </c>
      <c r="F4074" t="s">
        <v>889</v>
      </c>
      <c r="G4074" t="s">
        <v>442</v>
      </c>
      <c r="H4074" s="18" t="s">
        <v>442</v>
      </c>
      <c r="I4074" s="3" t="s">
        <v>442</v>
      </c>
      <c r="J4074"/>
      <c r="L4074"/>
      <c r="M4074"/>
      <c r="N4074" s="20"/>
      <c r="O4074"/>
      <c r="P4074" s="20"/>
      <c r="Q4074" s="20"/>
      <c r="R4074" s="20"/>
      <c r="S4074" s="20"/>
      <c r="T4074" s="20" t="s">
        <v>401</v>
      </c>
    </row>
    <row r="4075" spans="1:20" x14ac:dyDescent="0.25">
      <c r="A4075" s="3" t="s">
        <v>4214</v>
      </c>
      <c r="B4075" s="36">
        <v>355</v>
      </c>
      <c r="C4075" t="s">
        <v>4215</v>
      </c>
      <c r="E4075" s="18">
        <v>-1000</v>
      </c>
      <c r="F4075" t="s">
        <v>889</v>
      </c>
      <c r="G4075" t="s">
        <v>442</v>
      </c>
      <c r="H4075" s="18" t="s">
        <v>442</v>
      </c>
      <c r="I4075" s="3" t="s">
        <v>442</v>
      </c>
      <c r="J4075"/>
      <c r="L4075"/>
      <c r="M4075"/>
      <c r="N4075" s="20"/>
      <c r="O4075"/>
      <c r="P4075" s="20"/>
      <c r="Q4075" s="20"/>
      <c r="R4075" s="20"/>
      <c r="S4075" s="20"/>
      <c r="T4075" s="20" t="s">
        <v>401</v>
      </c>
    </row>
    <row r="4076" spans="1:20" x14ac:dyDescent="0.25">
      <c r="A4076" s="3">
        <v>41964</v>
      </c>
      <c r="B4076" s="36">
        <v>355</v>
      </c>
      <c r="C4076" t="s">
        <v>4540</v>
      </c>
      <c r="E4076" s="18">
        <v>500</v>
      </c>
      <c r="F4076" t="s">
        <v>889</v>
      </c>
      <c r="G4076" t="s">
        <v>442</v>
      </c>
      <c r="H4076" s="18" t="s">
        <v>442</v>
      </c>
      <c r="I4076" s="3" t="s">
        <v>442</v>
      </c>
      <c r="J4076"/>
      <c r="L4076"/>
      <c r="M4076"/>
      <c r="N4076" s="20"/>
      <c r="O4076"/>
      <c r="P4076" s="20"/>
      <c r="Q4076" s="20"/>
      <c r="R4076" s="20"/>
      <c r="S4076" s="20"/>
      <c r="T4076" s="20" t="s">
        <v>401</v>
      </c>
    </row>
    <row r="4077" spans="1:20" x14ac:dyDescent="0.25">
      <c r="A4077" s="3">
        <v>41964</v>
      </c>
      <c r="B4077" s="36">
        <v>355</v>
      </c>
      <c r="C4077" t="s">
        <v>4540</v>
      </c>
      <c r="E4077" s="18">
        <v>-500</v>
      </c>
      <c r="F4077" t="s">
        <v>889</v>
      </c>
      <c r="G4077" t="s">
        <v>442</v>
      </c>
      <c r="H4077" s="18" t="s">
        <v>442</v>
      </c>
      <c r="I4077" s="3" t="s">
        <v>442</v>
      </c>
      <c r="J4077"/>
      <c r="L4077"/>
      <c r="M4077"/>
      <c r="N4077" s="20"/>
      <c r="O4077"/>
      <c r="P4077" s="20"/>
      <c r="Q4077" s="20"/>
      <c r="R4077" s="20"/>
      <c r="S4077" s="20"/>
      <c r="T4077" s="20" t="s">
        <v>401</v>
      </c>
    </row>
    <row r="4078" spans="1:20" x14ac:dyDescent="0.25">
      <c r="A4078" s="3">
        <v>41964</v>
      </c>
      <c r="B4078" s="36">
        <v>355</v>
      </c>
      <c r="C4078" t="s">
        <v>963</v>
      </c>
      <c r="E4078" s="18">
        <v>21.04</v>
      </c>
      <c r="F4078" t="s">
        <v>889</v>
      </c>
      <c r="G4078" t="s">
        <v>442</v>
      </c>
      <c r="H4078" s="18" t="s">
        <v>442</v>
      </c>
      <c r="I4078" s="3" t="s">
        <v>442</v>
      </c>
      <c r="J4078"/>
      <c r="L4078"/>
      <c r="M4078"/>
      <c r="N4078" s="40" t="s">
        <v>401</v>
      </c>
      <c r="O4078"/>
      <c r="P4078" s="20"/>
      <c r="Q4078" s="20"/>
      <c r="R4078" s="20"/>
      <c r="S4078" s="20"/>
      <c r="T4078" s="20"/>
    </row>
    <row r="4079" spans="1:20" x14ac:dyDescent="0.25">
      <c r="A4079" s="3">
        <v>41971</v>
      </c>
      <c r="B4079" s="36">
        <v>355</v>
      </c>
      <c r="C4079" t="s">
        <v>4541</v>
      </c>
      <c r="E4079" s="18">
        <v>1000</v>
      </c>
      <c r="F4079" t="s">
        <v>891</v>
      </c>
      <c r="G4079" t="s">
        <v>442</v>
      </c>
      <c r="H4079" s="18" t="s">
        <v>442</v>
      </c>
      <c r="I4079" s="3" t="s">
        <v>442</v>
      </c>
      <c r="J4079"/>
      <c r="L4079"/>
      <c r="M4079"/>
      <c r="N4079" s="20"/>
      <c r="O4079"/>
      <c r="P4079" s="20"/>
      <c r="Q4079" s="20"/>
      <c r="R4079" s="20"/>
      <c r="S4079" s="20"/>
      <c r="T4079" s="20" t="s">
        <v>401</v>
      </c>
    </row>
    <row r="4080" spans="1:20" x14ac:dyDescent="0.25">
      <c r="A4080" s="3">
        <v>41971</v>
      </c>
      <c r="B4080" s="36">
        <v>355</v>
      </c>
      <c r="C4080" t="s">
        <v>4541</v>
      </c>
      <c r="E4080" s="18">
        <v>-1000</v>
      </c>
      <c r="F4080" t="s">
        <v>891</v>
      </c>
      <c r="G4080" t="s">
        <v>442</v>
      </c>
      <c r="H4080" s="18" t="s">
        <v>442</v>
      </c>
      <c r="I4080" s="3" t="s">
        <v>442</v>
      </c>
      <c r="J4080"/>
      <c r="L4080"/>
      <c r="M4080"/>
      <c r="N4080" s="20"/>
      <c r="O4080"/>
      <c r="P4080" s="20"/>
      <c r="Q4080" s="20"/>
      <c r="R4080" s="20"/>
      <c r="S4080" s="20"/>
      <c r="T4080" s="20" t="s">
        <v>401</v>
      </c>
    </row>
    <row r="4081" spans="1:20" x14ac:dyDescent="0.25">
      <c r="A4081" s="3">
        <v>41971</v>
      </c>
      <c r="B4081" s="36">
        <v>355</v>
      </c>
      <c r="C4081" t="s">
        <v>4542</v>
      </c>
      <c r="E4081" s="18">
        <v>54.51</v>
      </c>
      <c r="F4081" t="s">
        <v>891</v>
      </c>
      <c r="H4081" s="18" t="s">
        <v>442</v>
      </c>
      <c r="I4081" s="3" t="s">
        <v>442</v>
      </c>
      <c r="J4081"/>
      <c r="L4081"/>
      <c r="M4081"/>
      <c r="N4081" s="20"/>
      <c r="O4081"/>
      <c r="P4081" s="20" t="s">
        <v>401</v>
      </c>
      <c r="Q4081" s="20"/>
      <c r="R4081" s="20"/>
      <c r="S4081" s="20"/>
      <c r="T4081" s="20"/>
    </row>
    <row r="4082" spans="1:20" x14ac:dyDescent="0.25">
      <c r="A4082" s="3">
        <v>41971</v>
      </c>
      <c r="B4082" s="36">
        <v>355</v>
      </c>
      <c r="C4082" t="s">
        <v>4543</v>
      </c>
      <c r="E4082" s="18">
        <v>38.950000000000003</v>
      </c>
      <c r="F4082" t="s">
        <v>891</v>
      </c>
      <c r="H4082" s="18" t="s">
        <v>442</v>
      </c>
      <c r="I4082" s="3" t="s">
        <v>442</v>
      </c>
      <c r="J4082"/>
      <c r="L4082"/>
      <c r="M4082"/>
      <c r="N4082" s="20"/>
      <c r="O4082"/>
      <c r="P4082" s="20" t="s">
        <v>401</v>
      </c>
      <c r="Q4082" s="20"/>
      <c r="R4082" s="20"/>
      <c r="S4082" s="20"/>
      <c r="T4082" s="20"/>
    </row>
    <row r="4083" spans="1:20" x14ac:dyDescent="0.25">
      <c r="A4083" s="3">
        <v>41985</v>
      </c>
      <c r="B4083" s="36">
        <v>355</v>
      </c>
      <c r="C4083" t="s">
        <v>4544</v>
      </c>
      <c r="E4083" s="18">
        <v>107.49</v>
      </c>
      <c r="F4083" t="s">
        <v>891</v>
      </c>
      <c r="H4083" s="18" t="s">
        <v>442</v>
      </c>
      <c r="I4083" s="3" t="s">
        <v>442</v>
      </c>
      <c r="J4083"/>
      <c r="L4083"/>
      <c r="M4083"/>
      <c r="N4083" s="20"/>
      <c r="O4083" t="s">
        <v>4545</v>
      </c>
      <c r="P4083" s="20" t="s">
        <v>401</v>
      </c>
      <c r="Q4083" s="20"/>
      <c r="R4083" s="20"/>
      <c r="S4083" s="20"/>
      <c r="T4083" s="20"/>
    </row>
    <row r="4084" spans="1:20" x14ac:dyDescent="0.25">
      <c r="A4084" s="3">
        <v>41985</v>
      </c>
      <c r="B4084" s="36">
        <v>355</v>
      </c>
      <c r="C4084" t="s">
        <v>4546</v>
      </c>
      <c r="E4084" s="18">
        <v>107.49</v>
      </c>
      <c r="F4084" t="s">
        <v>891</v>
      </c>
      <c r="H4084" s="18" t="s">
        <v>442</v>
      </c>
      <c r="I4084" s="3" t="s">
        <v>442</v>
      </c>
      <c r="J4084"/>
      <c r="L4084"/>
      <c r="M4084"/>
      <c r="N4084" s="20"/>
      <c r="O4084"/>
      <c r="P4084" s="20" t="s">
        <v>401</v>
      </c>
      <c r="Q4084" s="20"/>
      <c r="R4084" s="20"/>
      <c r="S4084" s="20"/>
      <c r="T4084" s="20"/>
    </row>
    <row r="4085" spans="1:20" x14ac:dyDescent="0.25">
      <c r="A4085" s="3">
        <v>42019</v>
      </c>
      <c r="B4085" s="36">
        <v>355</v>
      </c>
      <c r="C4085" t="s">
        <v>4547</v>
      </c>
      <c r="D4085" s="55"/>
      <c r="E4085" s="18">
        <v>500</v>
      </c>
      <c r="F4085" t="s">
        <v>889</v>
      </c>
      <c r="H4085" s="18" t="s">
        <v>442</v>
      </c>
      <c r="I4085" s="3" t="s">
        <v>442</v>
      </c>
      <c r="J4085"/>
      <c r="L4085"/>
      <c r="M4085"/>
      <c r="N4085" s="20"/>
      <c r="O4085"/>
      <c r="P4085" s="20"/>
      <c r="Q4085" s="20"/>
      <c r="R4085" s="20"/>
      <c r="S4085" s="20"/>
      <c r="T4085" s="20" t="s">
        <v>401</v>
      </c>
    </row>
    <row r="4086" spans="1:20" x14ac:dyDescent="0.25">
      <c r="A4086" s="3">
        <v>42027</v>
      </c>
      <c r="B4086" s="36">
        <v>355</v>
      </c>
      <c r="C4086" t="s">
        <v>4548</v>
      </c>
      <c r="D4086" s="55"/>
      <c r="E4086" s="18">
        <v>500</v>
      </c>
      <c r="F4086" t="s">
        <v>889</v>
      </c>
      <c r="H4086" s="18" t="s">
        <v>442</v>
      </c>
      <c r="I4086" s="3" t="s">
        <v>442</v>
      </c>
      <c r="J4086"/>
      <c r="L4086"/>
      <c r="M4086"/>
      <c r="N4086" s="20"/>
      <c r="O4086"/>
      <c r="P4086" s="20"/>
      <c r="Q4086" s="20"/>
      <c r="R4086" s="20"/>
      <c r="S4086" s="20"/>
      <c r="T4086" s="20" t="s">
        <v>401</v>
      </c>
    </row>
    <row r="4087" spans="1:20" x14ac:dyDescent="0.25">
      <c r="A4087" s="3">
        <v>42027</v>
      </c>
      <c r="B4087" s="36">
        <v>355</v>
      </c>
      <c r="C4087" t="s">
        <v>4549</v>
      </c>
      <c r="D4087" s="55"/>
      <c r="E4087" s="18">
        <v>339.74</v>
      </c>
      <c r="F4087" t="s">
        <v>891</v>
      </c>
      <c r="H4087" s="18" t="s">
        <v>442</v>
      </c>
      <c r="I4087" s="3" t="s">
        <v>442</v>
      </c>
      <c r="J4087"/>
      <c r="L4087"/>
      <c r="M4087"/>
      <c r="N4087" s="20"/>
      <c r="O4087"/>
      <c r="P4087" s="20" t="s">
        <v>401</v>
      </c>
      <c r="Q4087" s="20"/>
      <c r="R4087" s="20"/>
      <c r="S4087" s="20"/>
      <c r="T4087" s="20"/>
    </row>
    <row r="4088" spans="1:20" x14ac:dyDescent="0.25">
      <c r="A4088" s="32">
        <v>42034</v>
      </c>
      <c r="B4088" s="33">
        <v>355</v>
      </c>
      <c r="C4088" t="s">
        <v>4550</v>
      </c>
      <c r="D4088">
        <v>2.8050000000000002</v>
      </c>
      <c r="E4088" s="18">
        <v>175.3125</v>
      </c>
      <c r="F4088" s="33" t="s">
        <v>889</v>
      </c>
      <c r="G4088" t="s">
        <v>4551</v>
      </c>
      <c r="H4088" s="18"/>
      <c r="J4088"/>
      <c r="L4088"/>
      <c r="M4088"/>
      <c r="N4088" s="20"/>
      <c r="O4088"/>
      <c r="P4088" s="20"/>
      <c r="Q4088" s="20"/>
      <c r="R4088" s="20"/>
      <c r="S4088" s="20"/>
      <c r="T4088" s="20"/>
    </row>
    <row r="4089" spans="1:20" x14ac:dyDescent="0.25">
      <c r="A4089" s="32">
        <v>42034</v>
      </c>
      <c r="B4089" s="33">
        <v>355</v>
      </c>
      <c r="C4089" t="s">
        <v>4552</v>
      </c>
      <c r="D4089">
        <v>5.0999999999999996</v>
      </c>
      <c r="E4089" s="18">
        <v>318.75</v>
      </c>
      <c r="F4089" s="33" t="s">
        <v>889</v>
      </c>
      <c r="G4089" t="s">
        <v>4553</v>
      </c>
      <c r="H4089" s="18"/>
      <c r="J4089"/>
      <c r="L4089"/>
      <c r="M4089"/>
      <c r="N4089" s="20"/>
      <c r="O4089"/>
      <c r="P4089" s="20"/>
      <c r="Q4089" s="20"/>
      <c r="R4089" s="20"/>
      <c r="S4089" s="20"/>
      <c r="T4089" s="20"/>
    </row>
    <row r="4090" spans="1:20" x14ac:dyDescent="0.25">
      <c r="A4090" s="32">
        <v>42034</v>
      </c>
      <c r="B4090" s="56">
        <v>355</v>
      </c>
      <c r="C4090" s="32" t="s">
        <v>4554</v>
      </c>
      <c r="D4090" s="33">
        <v>7.75</v>
      </c>
      <c r="E4090" s="35">
        <v>193.75</v>
      </c>
      <c r="F4090" s="33" t="s">
        <v>889</v>
      </c>
      <c r="G4090" t="s">
        <v>4555</v>
      </c>
      <c r="H4090" s="18"/>
      <c r="J4090"/>
      <c r="L4090"/>
      <c r="M4090"/>
      <c r="N4090" s="20"/>
      <c r="O4090"/>
      <c r="P4090" s="20"/>
      <c r="Q4090" s="20"/>
      <c r="R4090" s="20"/>
      <c r="S4090" s="20"/>
      <c r="T4090" s="20"/>
    </row>
    <row r="4091" spans="1:20" x14ac:dyDescent="0.25">
      <c r="A4091" s="32">
        <v>42034</v>
      </c>
      <c r="B4091" s="33">
        <v>355</v>
      </c>
      <c r="C4091" t="s">
        <v>4556</v>
      </c>
      <c r="D4091">
        <v>5.0999999999999996</v>
      </c>
      <c r="E4091" s="18">
        <v>318.75</v>
      </c>
      <c r="F4091" s="33" t="s">
        <v>889</v>
      </c>
      <c r="G4091" t="s">
        <v>4557</v>
      </c>
      <c r="H4091" s="18"/>
      <c r="J4091"/>
      <c r="L4091"/>
      <c r="M4091"/>
      <c r="N4091" s="20"/>
      <c r="O4091"/>
      <c r="P4091" s="20"/>
      <c r="Q4091" s="20"/>
      <c r="R4091" s="20"/>
      <c r="S4091" s="20"/>
      <c r="T4091" s="20"/>
    </row>
    <row r="4092" spans="1:20" x14ac:dyDescent="0.25">
      <c r="A4092" s="3">
        <v>42041</v>
      </c>
      <c r="B4092">
        <v>355</v>
      </c>
      <c r="C4092" t="s">
        <v>3513</v>
      </c>
      <c r="E4092" s="18">
        <v>500</v>
      </c>
      <c r="F4092" t="s">
        <v>889</v>
      </c>
      <c r="I4092"/>
      <c r="J4092"/>
      <c r="L4092"/>
      <c r="M4092"/>
      <c r="O4092"/>
      <c r="P4092" s="20"/>
      <c r="Q4092" s="20"/>
      <c r="R4092" s="20"/>
      <c r="S4092" s="20"/>
      <c r="T4092" s="20" t="s">
        <v>401</v>
      </c>
    </row>
    <row r="4093" spans="1:20" x14ac:dyDescent="0.25">
      <c r="A4093" s="3">
        <v>41858</v>
      </c>
      <c r="B4093" s="36">
        <v>358</v>
      </c>
      <c r="C4093" t="s">
        <v>4558</v>
      </c>
      <c r="D4093">
        <v>20</v>
      </c>
      <c r="E4093" s="18">
        <v>2000</v>
      </c>
      <c r="F4093" t="s">
        <v>889</v>
      </c>
      <c r="G4093" t="s">
        <v>4559</v>
      </c>
      <c r="H4093" s="18">
        <v>2000</v>
      </c>
      <c r="I4093" s="3">
        <v>41858</v>
      </c>
      <c r="J4093"/>
      <c r="L4093"/>
      <c r="M4093"/>
      <c r="N4093" s="20"/>
      <c r="O4093"/>
      <c r="P4093" s="20"/>
      <c r="Q4093" s="20"/>
      <c r="R4093" s="20"/>
      <c r="S4093" s="20"/>
      <c r="T4093" s="20"/>
    </row>
    <row r="4094" spans="1:20" x14ac:dyDescent="0.25">
      <c r="A4094" s="3">
        <v>41879</v>
      </c>
      <c r="B4094" s="36">
        <v>358</v>
      </c>
      <c r="C4094" t="s">
        <v>4560</v>
      </c>
      <c r="D4094">
        <v>10.25</v>
      </c>
      <c r="E4094" s="18">
        <v>1025</v>
      </c>
      <c r="F4094" t="s">
        <v>889</v>
      </c>
      <c r="G4094" t="s">
        <v>4561</v>
      </c>
      <c r="H4094" s="18">
        <v>1025</v>
      </c>
      <c r="I4094" s="3">
        <v>41879</v>
      </c>
      <c r="J4094"/>
      <c r="L4094"/>
      <c r="M4094"/>
      <c r="N4094" s="20"/>
      <c r="O4094"/>
      <c r="P4094" s="20"/>
      <c r="Q4094" s="20"/>
      <c r="R4094" s="20"/>
      <c r="S4094" s="20"/>
      <c r="T4094" s="20"/>
    </row>
    <row r="4095" spans="1:20" x14ac:dyDescent="0.25">
      <c r="A4095" s="3">
        <v>41879</v>
      </c>
      <c r="B4095" s="36">
        <v>358</v>
      </c>
      <c r="C4095" t="s">
        <v>4562</v>
      </c>
      <c r="D4095">
        <v>7.25</v>
      </c>
      <c r="E4095" s="18">
        <v>725</v>
      </c>
      <c r="F4095" t="s">
        <v>889</v>
      </c>
      <c r="G4095" t="s">
        <v>4563</v>
      </c>
      <c r="H4095" s="18">
        <v>725</v>
      </c>
      <c r="I4095" s="3">
        <v>41879</v>
      </c>
      <c r="J4095"/>
      <c r="L4095"/>
      <c r="M4095"/>
      <c r="N4095" s="20"/>
      <c r="O4095"/>
      <c r="P4095" s="20"/>
      <c r="Q4095" s="20"/>
      <c r="R4095" s="20"/>
      <c r="S4095" s="20"/>
      <c r="T4095" s="20"/>
    </row>
    <row r="4096" spans="1:20" x14ac:dyDescent="0.25">
      <c r="A4096" s="3">
        <v>41879</v>
      </c>
      <c r="B4096" s="36">
        <v>358</v>
      </c>
      <c r="C4096" t="s">
        <v>4564</v>
      </c>
      <c r="D4096">
        <v>7.5</v>
      </c>
      <c r="E4096" s="18">
        <v>750</v>
      </c>
      <c r="F4096" t="s">
        <v>889</v>
      </c>
      <c r="G4096" t="s">
        <v>4565</v>
      </c>
      <c r="H4096" s="18">
        <v>750</v>
      </c>
      <c r="I4096" s="3">
        <v>41879</v>
      </c>
      <c r="J4096"/>
      <c r="L4096"/>
      <c r="M4096"/>
      <c r="N4096" s="20"/>
      <c r="O4096"/>
      <c r="P4096" s="20"/>
      <c r="Q4096" s="20"/>
      <c r="R4096" s="20"/>
      <c r="S4096" s="20"/>
      <c r="T4096" s="20"/>
    </row>
    <row r="4097" spans="1:20" x14ac:dyDescent="0.25">
      <c r="A4097" s="3">
        <v>41894</v>
      </c>
      <c r="B4097" s="36">
        <v>358</v>
      </c>
      <c r="C4097" t="s">
        <v>4566</v>
      </c>
      <c r="D4097">
        <v>5.25</v>
      </c>
      <c r="E4097" s="18">
        <v>525</v>
      </c>
      <c r="F4097" t="s">
        <v>889</v>
      </c>
      <c r="G4097" t="s">
        <v>4567</v>
      </c>
      <c r="H4097" s="18">
        <v>525</v>
      </c>
      <c r="I4097" s="3">
        <v>41894</v>
      </c>
      <c r="J4097"/>
      <c r="L4097"/>
      <c r="M4097"/>
      <c r="N4097" s="20"/>
      <c r="O4097"/>
      <c r="P4097" s="20"/>
      <c r="Q4097" s="20"/>
      <c r="R4097" s="20"/>
      <c r="S4097" s="20"/>
      <c r="T4097" s="20"/>
    </row>
    <row r="4098" spans="1:20" x14ac:dyDescent="0.25">
      <c r="A4098" s="3">
        <v>41894</v>
      </c>
      <c r="B4098" s="36">
        <v>358</v>
      </c>
      <c r="C4098" t="s">
        <v>4568</v>
      </c>
      <c r="D4098">
        <v>10</v>
      </c>
      <c r="E4098" s="18">
        <v>1000</v>
      </c>
      <c r="F4098" t="s">
        <v>889</v>
      </c>
      <c r="G4098" t="s">
        <v>4569</v>
      </c>
      <c r="H4098" s="18">
        <v>1000</v>
      </c>
      <c r="I4098" s="3">
        <v>41894</v>
      </c>
      <c r="J4098"/>
      <c r="L4098"/>
      <c r="M4098"/>
      <c r="N4098" s="20"/>
      <c r="O4098"/>
      <c r="P4098" s="20"/>
      <c r="Q4098" s="20"/>
      <c r="R4098" s="20"/>
      <c r="S4098" s="20"/>
      <c r="T4098" s="20"/>
    </row>
    <row r="4099" spans="1:20" x14ac:dyDescent="0.25">
      <c r="A4099" s="3">
        <v>41943</v>
      </c>
      <c r="B4099" s="36">
        <v>358</v>
      </c>
      <c r="C4099" t="s">
        <v>4570</v>
      </c>
      <c r="D4099">
        <v>7.65</v>
      </c>
      <c r="E4099" s="18">
        <v>765</v>
      </c>
      <c r="F4099" t="s">
        <v>889</v>
      </c>
      <c r="G4099" t="s">
        <v>4571</v>
      </c>
      <c r="H4099" s="18">
        <v>765</v>
      </c>
      <c r="I4099" s="3">
        <v>41943</v>
      </c>
      <c r="J4099"/>
      <c r="L4099"/>
      <c r="M4099"/>
      <c r="N4099" s="20"/>
      <c r="O4099"/>
      <c r="P4099" s="20"/>
      <c r="Q4099" s="20"/>
      <c r="R4099" s="20"/>
      <c r="S4099" s="20"/>
      <c r="T4099" s="20"/>
    </row>
    <row r="4100" spans="1:20" x14ac:dyDescent="0.25">
      <c r="A4100" s="3">
        <v>41943</v>
      </c>
      <c r="B4100" s="36">
        <v>358</v>
      </c>
      <c r="C4100" t="s">
        <v>4572</v>
      </c>
      <c r="D4100">
        <v>16.5</v>
      </c>
      <c r="E4100" s="18">
        <v>1650</v>
      </c>
      <c r="F4100" t="s">
        <v>889</v>
      </c>
      <c r="G4100" t="s">
        <v>4573</v>
      </c>
      <c r="H4100" s="18">
        <v>1650</v>
      </c>
      <c r="I4100" s="3">
        <v>41943</v>
      </c>
      <c r="J4100"/>
      <c r="L4100"/>
      <c r="M4100"/>
      <c r="N4100" s="20"/>
      <c r="O4100"/>
      <c r="P4100" s="20"/>
      <c r="Q4100" s="20"/>
      <c r="R4100" s="20"/>
      <c r="S4100" s="20"/>
      <c r="T4100" s="20"/>
    </row>
    <row r="4101" spans="1:20" x14ac:dyDescent="0.25">
      <c r="A4101" s="3">
        <v>41943</v>
      </c>
      <c r="B4101" s="36">
        <v>358</v>
      </c>
      <c r="C4101" t="s">
        <v>4566</v>
      </c>
      <c r="D4101">
        <v>5.25</v>
      </c>
      <c r="E4101" s="18">
        <v>-525</v>
      </c>
      <c r="F4101" t="s">
        <v>889</v>
      </c>
      <c r="G4101" t="s">
        <v>4567</v>
      </c>
      <c r="H4101" s="18" t="s">
        <v>442</v>
      </c>
      <c r="I4101" s="3" t="s">
        <v>442</v>
      </c>
      <c r="J4101"/>
      <c r="L4101"/>
      <c r="M4101"/>
      <c r="N4101" s="20"/>
      <c r="O4101"/>
      <c r="P4101" s="20"/>
      <c r="Q4101" s="20"/>
      <c r="R4101" s="20"/>
      <c r="S4101" s="20"/>
      <c r="T4101" s="20"/>
    </row>
    <row r="4102" spans="1:20" x14ac:dyDescent="0.25">
      <c r="A4102" s="3">
        <v>41943</v>
      </c>
      <c r="B4102" s="36">
        <v>358</v>
      </c>
      <c r="C4102" s="20" t="s">
        <v>4574</v>
      </c>
      <c r="E4102" s="18">
        <v>-348.78472219999998</v>
      </c>
      <c r="F4102" t="s">
        <v>889</v>
      </c>
      <c r="H4102" s="18" t="s">
        <v>442</v>
      </c>
      <c r="I4102" s="3" t="s">
        <v>442</v>
      </c>
      <c r="J4102"/>
      <c r="L4102"/>
      <c r="M4102"/>
      <c r="N4102" s="20"/>
      <c r="O4102"/>
      <c r="P4102" s="20"/>
      <c r="Q4102" s="20" t="s">
        <v>401</v>
      </c>
      <c r="R4102" s="20"/>
      <c r="S4102" s="20"/>
      <c r="T4102" s="20"/>
    </row>
    <row r="4103" spans="1:20" x14ac:dyDescent="0.25">
      <c r="A4103" s="3">
        <v>41943</v>
      </c>
      <c r="B4103" s="36">
        <v>358</v>
      </c>
      <c r="C4103" t="s">
        <v>4432</v>
      </c>
      <c r="E4103" s="18">
        <v>348.78472219999998</v>
      </c>
      <c r="F4103" t="s">
        <v>891</v>
      </c>
      <c r="G4103" t="s">
        <v>442</v>
      </c>
      <c r="H4103" s="18" t="s">
        <v>442</v>
      </c>
      <c r="I4103" s="3" t="s">
        <v>442</v>
      </c>
      <c r="J4103"/>
      <c r="L4103"/>
      <c r="M4103"/>
      <c r="N4103" s="20"/>
      <c r="O4103" t="s">
        <v>4575</v>
      </c>
      <c r="P4103" s="20"/>
      <c r="Q4103" s="20" t="s">
        <v>401</v>
      </c>
      <c r="R4103" s="20"/>
      <c r="S4103" s="20"/>
      <c r="T4103" s="20"/>
    </row>
    <row r="4104" spans="1:20" x14ac:dyDescent="0.25">
      <c r="A4104" s="3">
        <v>41943</v>
      </c>
      <c r="B4104" s="36">
        <v>358</v>
      </c>
      <c r="C4104" t="s">
        <v>1509</v>
      </c>
      <c r="E4104" s="18">
        <v>-95.409498209999995</v>
      </c>
      <c r="F4104" t="s">
        <v>889</v>
      </c>
      <c r="G4104" t="s">
        <v>442</v>
      </c>
      <c r="H4104" s="18" t="s">
        <v>442</v>
      </c>
      <c r="I4104" s="3" t="s">
        <v>442</v>
      </c>
      <c r="J4104"/>
      <c r="L4104"/>
      <c r="M4104"/>
      <c r="N4104" s="20"/>
      <c r="O4104"/>
      <c r="P4104" s="20"/>
      <c r="Q4104" s="20" t="s">
        <v>401</v>
      </c>
      <c r="R4104" s="20"/>
      <c r="S4104" s="20"/>
      <c r="T4104" s="20"/>
    </row>
    <row r="4105" spans="1:20" x14ac:dyDescent="0.25">
      <c r="A4105" s="3">
        <v>41943</v>
      </c>
      <c r="B4105" s="36">
        <v>358</v>
      </c>
      <c r="C4105" t="s">
        <v>1282</v>
      </c>
      <c r="E4105" s="18">
        <v>-96.32</v>
      </c>
      <c r="F4105" t="s">
        <v>889</v>
      </c>
      <c r="G4105" t="s">
        <v>442</v>
      </c>
      <c r="H4105" s="18" t="s">
        <v>442</v>
      </c>
      <c r="I4105" s="3" t="s">
        <v>442</v>
      </c>
      <c r="J4105"/>
      <c r="L4105"/>
      <c r="M4105"/>
      <c r="N4105" s="20"/>
      <c r="O4105"/>
      <c r="P4105" s="20"/>
      <c r="Q4105" s="20" t="s">
        <v>401</v>
      </c>
      <c r="R4105" s="20"/>
      <c r="S4105" s="20"/>
      <c r="T4105" s="20"/>
    </row>
    <row r="4106" spans="1:20" x14ac:dyDescent="0.25">
      <c r="A4106" s="3">
        <v>41943</v>
      </c>
      <c r="B4106" s="36">
        <v>358</v>
      </c>
      <c r="C4106" t="s">
        <v>1292</v>
      </c>
      <c r="E4106" s="18">
        <v>-96.32</v>
      </c>
      <c r="F4106" t="s">
        <v>889</v>
      </c>
      <c r="G4106" t="s">
        <v>442</v>
      </c>
      <c r="H4106" s="18" t="s">
        <v>442</v>
      </c>
      <c r="I4106" s="3" t="s">
        <v>442</v>
      </c>
      <c r="J4106"/>
      <c r="L4106"/>
      <c r="M4106"/>
      <c r="N4106" s="20"/>
      <c r="O4106"/>
      <c r="P4106" s="20"/>
      <c r="Q4106" s="20" t="s">
        <v>401</v>
      </c>
      <c r="R4106" s="20"/>
      <c r="S4106" s="20"/>
      <c r="T4106" s="20"/>
    </row>
    <row r="4107" spans="1:20" x14ac:dyDescent="0.25">
      <c r="A4107" s="3">
        <v>41943</v>
      </c>
      <c r="B4107" s="36">
        <v>358</v>
      </c>
      <c r="C4107" t="s">
        <v>1300</v>
      </c>
      <c r="E4107" s="18">
        <v>-115.59</v>
      </c>
      <c r="F4107" t="s">
        <v>891</v>
      </c>
      <c r="G4107" t="s">
        <v>442</v>
      </c>
      <c r="H4107" s="18" t="s">
        <v>442</v>
      </c>
      <c r="I4107" s="3" t="s">
        <v>442</v>
      </c>
      <c r="J4107"/>
      <c r="L4107"/>
      <c r="M4107"/>
      <c r="N4107" s="20"/>
      <c r="O4107"/>
      <c r="P4107" s="20"/>
      <c r="Q4107" s="20" t="s">
        <v>401</v>
      </c>
      <c r="R4107" s="20"/>
      <c r="S4107" s="20"/>
      <c r="T4107" s="20"/>
    </row>
    <row r="4108" spans="1:20" x14ac:dyDescent="0.25">
      <c r="A4108" s="3">
        <v>41943</v>
      </c>
      <c r="B4108" s="36">
        <v>358</v>
      </c>
      <c r="C4108" t="s">
        <v>4433</v>
      </c>
      <c r="E4108" s="18">
        <v>68.149641578571419</v>
      </c>
      <c r="F4108" t="s">
        <v>891</v>
      </c>
      <c r="G4108" t="s">
        <v>442</v>
      </c>
      <c r="H4108" s="18" t="s">
        <v>442</v>
      </c>
      <c r="I4108" s="3" t="s">
        <v>442</v>
      </c>
      <c r="J4108"/>
      <c r="L4108"/>
      <c r="M4108"/>
      <c r="N4108" s="20"/>
      <c r="O4108" t="s">
        <v>4575</v>
      </c>
      <c r="P4108" s="20"/>
      <c r="Q4108" s="20" t="s">
        <v>401</v>
      </c>
      <c r="R4108" s="20"/>
      <c r="S4108" s="20"/>
      <c r="T4108" s="20"/>
    </row>
    <row r="4109" spans="1:20" x14ac:dyDescent="0.25">
      <c r="A4109" s="3">
        <v>41943</v>
      </c>
      <c r="B4109" s="36">
        <v>358</v>
      </c>
      <c r="C4109" t="s">
        <v>1117</v>
      </c>
      <c r="E4109" s="18">
        <v>-97.659722220000006</v>
      </c>
      <c r="F4109" t="s">
        <v>889</v>
      </c>
      <c r="G4109" t="s">
        <v>442</v>
      </c>
      <c r="H4109" s="18" t="s">
        <v>442</v>
      </c>
      <c r="I4109" s="3" t="s">
        <v>442</v>
      </c>
      <c r="J4109"/>
      <c r="L4109"/>
      <c r="M4109"/>
      <c r="N4109" s="20"/>
      <c r="O4109"/>
      <c r="P4109" s="20"/>
      <c r="Q4109" s="20" t="s">
        <v>401</v>
      </c>
      <c r="R4109" s="20"/>
      <c r="S4109" s="20"/>
      <c r="T4109" s="20"/>
    </row>
    <row r="4110" spans="1:20" x14ac:dyDescent="0.25">
      <c r="A4110" s="3">
        <v>41943</v>
      </c>
      <c r="B4110" s="36">
        <v>358</v>
      </c>
      <c r="C4110" t="s">
        <v>4434</v>
      </c>
      <c r="E4110" s="18">
        <v>97.659722220000006</v>
      </c>
      <c r="F4110" t="s">
        <v>891</v>
      </c>
      <c r="G4110" t="s">
        <v>442</v>
      </c>
      <c r="H4110" s="18" t="s">
        <v>442</v>
      </c>
      <c r="I4110" s="3" t="s">
        <v>442</v>
      </c>
      <c r="J4110"/>
      <c r="L4110"/>
      <c r="M4110"/>
      <c r="N4110" s="20"/>
      <c r="O4110" t="s">
        <v>4575</v>
      </c>
      <c r="P4110" s="20"/>
      <c r="Q4110" s="20" t="s">
        <v>401</v>
      </c>
      <c r="R4110" s="20"/>
      <c r="S4110" s="20"/>
      <c r="T4110" s="20"/>
    </row>
    <row r="4111" spans="1:20" x14ac:dyDescent="0.25">
      <c r="A4111" s="3">
        <v>41943</v>
      </c>
      <c r="B4111" s="36">
        <v>358</v>
      </c>
      <c r="C4111" t="s">
        <v>1283</v>
      </c>
      <c r="E4111" s="18">
        <v>-82.56</v>
      </c>
      <c r="F4111" t="s">
        <v>889</v>
      </c>
      <c r="G4111" t="s">
        <v>442</v>
      </c>
      <c r="H4111" s="18" t="s">
        <v>442</v>
      </c>
      <c r="I4111" s="3" t="s">
        <v>442</v>
      </c>
      <c r="J4111"/>
      <c r="L4111"/>
      <c r="M4111"/>
      <c r="N4111" s="20"/>
      <c r="O4111"/>
      <c r="P4111" s="20"/>
      <c r="Q4111" s="20" t="s">
        <v>401</v>
      </c>
      <c r="R4111" s="20"/>
      <c r="S4111" s="20"/>
      <c r="T4111" s="20"/>
    </row>
    <row r="4112" spans="1:20" x14ac:dyDescent="0.25">
      <c r="A4112" s="3">
        <v>41943</v>
      </c>
      <c r="B4112" s="36">
        <v>358</v>
      </c>
      <c r="C4112" t="s">
        <v>1301</v>
      </c>
      <c r="E4112" s="18">
        <v>475.05</v>
      </c>
      <c r="F4112" t="s">
        <v>889</v>
      </c>
      <c r="H4112" s="18" t="s">
        <v>442</v>
      </c>
      <c r="I4112" s="3" t="s">
        <v>442</v>
      </c>
      <c r="J4112"/>
      <c r="L4112"/>
      <c r="M4112"/>
      <c r="N4112" s="20" t="s">
        <v>401</v>
      </c>
      <c r="O4112"/>
      <c r="P4112" s="20"/>
      <c r="Q4112" s="20"/>
      <c r="R4112" s="20"/>
      <c r="S4112" s="20"/>
      <c r="T4112" s="20"/>
    </row>
    <row r="4113" spans="1:20" x14ac:dyDescent="0.25">
      <c r="A4113" s="3">
        <v>41943</v>
      </c>
      <c r="B4113" s="36">
        <v>358</v>
      </c>
      <c r="C4113" t="s">
        <v>4564</v>
      </c>
      <c r="D4113">
        <v>7.5</v>
      </c>
      <c r="E4113" s="18">
        <v>-750</v>
      </c>
      <c r="F4113" t="s">
        <v>889</v>
      </c>
      <c r="G4113" t="s">
        <v>4565</v>
      </c>
      <c r="H4113" s="18" t="s">
        <v>442</v>
      </c>
      <c r="I4113" s="3" t="s">
        <v>442</v>
      </c>
      <c r="J4113"/>
      <c r="L4113"/>
      <c r="M4113"/>
      <c r="N4113" s="20"/>
      <c r="O4113"/>
      <c r="P4113" s="20"/>
      <c r="Q4113" s="20"/>
      <c r="R4113" s="20"/>
      <c r="S4113" s="20"/>
      <c r="T4113" s="20"/>
    </row>
    <row r="4114" spans="1:20" x14ac:dyDescent="0.25">
      <c r="A4114" s="3">
        <v>41950</v>
      </c>
      <c r="B4114" s="36">
        <v>358</v>
      </c>
      <c r="C4114" t="s">
        <v>4576</v>
      </c>
      <c r="D4114">
        <v>5.0999999999999996</v>
      </c>
      <c r="E4114" s="18">
        <v>509.99999999999994</v>
      </c>
      <c r="F4114" t="s">
        <v>889</v>
      </c>
      <c r="G4114" t="s">
        <v>4577</v>
      </c>
      <c r="H4114" s="18">
        <v>509.99999999999994</v>
      </c>
      <c r="I4114" s="3">
        <v>41950</v>
      </c>
      <c r="J4114"/>
      <c r="L4114"/>
      <c r="M4114"/>
      <c r="N4114" s="20"/>
      <c r="O4114"/>
      <c r="P4114" s="20"/>
      <c r="Q4114" s="20"/>
      <c r="R4114" s="20"/>
      <c r="S4114" s="20"/>
      <c r="T4114" s="20"/>
    </row>
    <row r="4115" spans="1:20" x14ac:dyDescent="0.25">
      <c r="A4115" s="3">
        <v>41950</v>
      </c>
      <c r="B4115" s="36">
        <v>358</v>
      </c>
      <c r="C4115" t="s">
        <v>4578</v>
      </c>
      <c r="D4115">
        <v>10.199999999999999</v>
      </c>
      <c r="E4115" s="18">
        <v>1019.9999999999999</v>
      </c>
      <c r="F4115" t="s">
        <v>889</v>
      </c>
      <c r="G4115" t="s">
        <v>4579</v>
      </c>
      <c r="H4115" s="18">
        <v>1019.9999999999999</v>
      </c>
      <c r="I4115" s="3">
        <v>41950</v>
      </c>
      <c r="J4115"/>
      <c r="L4115"/>
      <c r="M4115"/>
      <c r="N4115" s="20"/>
      <c r="O4115"/>
      <c r="P4115" s="20"/>
      <c r="Q4115" s="20"/>
      <c r="R4115" s="20"/>
      <c r="S4115" s="20"/>
      <c r="T4115" s="20"/>
    </row>
    <row r="4116" spans="1:20" x14ac:dyDescent="0.25">
      <c r="A4116" s="3">
        <v>41950</v>
      </c>
      <c r="B4116" s="36">
        <v>358</v>
      </c>
      <c r="C4116" t="s">
        <v>4580</v>
      </c>
      <c r="D4116">
        <v>8.16</v>
      </c>
      <c r="E4116" s="18">
        <v>816</v>
      </c>
      <c r="F4116" t="s">
        <v>889</v>
      </c>
      <c r="G4116" t="s">
        <v>4581</v>
      </c>
      <c r="H4116" s="18">
        <v>816</v>
      </c>
      <c r="I4116" s="3">
        <v>41950</v>
      </c>
      <c r="J4116"/>
      <c r="L4116"/>
      <c r="M4116"/>
      <c r="N4116" s="20"/>
      <c r="O4116"/>
      <c r="P4116" s="20"/>
      <c r="Q4116" s="20"/>
      <c r="R4116" s="20"/>
      <c r="S4116" s="20"/>
      <c r="T4116" s="20"/>
    </row>
    <row r="4117" spans="1:20" x14ac:dyDescent="0.25">
      <c r="A4117" s="3">
        <v>41950</v>
      </c>
      <c r="B4117" s="36">
        <v>358</v>
      </c>
      <c r="C4117" t="s">
        <v>1299</v>
      </c>
      <c r="E4117" s="18">
        <v>-115.59</v>
      </c>
      <c r="F4117" t="s">
        <v>891</v>
      </c>
      <c r="G4117" t="s">
        <v>442</v>
      </c>
      <c r="H4117" s="18" t="s">
        <v>442</v>
      </c>
      <c r="I4117" s="3" t="s">
        <v>442</v>
      </c>
      <c r="J4117"/>
      <c r="L4117"/>
      <c r="M4117"/>
      <c r="N4117" s="20"/>
      <c r="O4117"/>
      <c r="P4117" s="20"/>
      <c r="Q4117" s="20" t="s">
        <v>401</v>
      </c>
      <c r="R4117" s="20"/>
      <c r="S4117" s="20"/>
      <c r="T4117" s="20"/>
    </row>
    <row r="4118" spans="1:20" x14ac:dyDescent="0.25">
      <c r="A4118" s="3">
        <v>41950</v>
      </c>
      <c r="B4118" s="36">
        <v>358</v>
      </c>
      <c r="C4118" t="s">
        <v>4582</v>
      </c>
      <c r="D4118">
        <v>6.02</v>
      </c>
      <c r="E4118" s="18">
        <v>602</v>
      </c>
      <c r="F4118" t="s">
        <v>889</v>
      </c>
      <c r="G4118" t="s">
        <v>4583</v>
      </c>
      <c r="H4118" s="18">
        <v>602</v>
      </c>
      <c r="I4118" s="3">
        <v>41950</v>
      </c>
      <c r="J4118"/>
      <c r="L4118"/>
      <c r="M4118"/>
      <c r="N4118" s="20"/>
      <c r="O4118"/>
      <c r="P4118" s="20"/>
      <c r="Q4118" s="20"/>
      <c r="R4118" s="20"/>
      <c r="S4118" s="20"/>
      <c r="T4118" s="20"/>
    </row>
    <row r="4119" spans="1:20" x14ac:dyDescent="0.25">
      <c r="A4119" s="3">
        <v>41964</v>
      </c>
      <c r="B4119" s="36">
        <v>358</v>
      </c>
      <c r="C4119" t="s">
        <v>963</v>
      </c>
      <c r="E4119" s="18">
        <v>691.35000000000014</v>
      </c>
      <c r="F4119" t="s">
        <v>889</v>
      </c>
      <c r="G4119" t="s">
        <v>442</v>
      </c>
      <c r="H4119" s="18" t="s">
        <v>442</v>
      </c>
      <c r="I4119" s="3" t="s">
        <v>442</v>
      </c>
      <c r="J4119"/>
      <c r="L4119"/>
      <c r="M4119"/>
      <c r="N4119" s="40" t="s">
        <v>401</v>
      </c>
      <c r="O4119"/>
      <c r="P4119" s="20"/>
      <c r="Q4119" s="20"/>
      <c r="R4119" s="20"/>
      <c r="S4119" s="20"/>
      <c r="T4119" s="20"/>
    </row>
    <row r="4120" spans="1:20" x14ac:dyDescent="0.25">
      <c r="A4120" s="3">
        <v>41992</v>
      </c>
      <c r="B4120" s="36">
        <v>358</v>
      </c>
      <c r="C4120" t="s">
        <v>967</v>
      </c>
      <c r="E4120" s="18">
        <v>883.44999999999993</v>
      </c>
      <c r="F4120" t="s">
        <v>889</v>
      </c>
      <c r="G4120" t="s">
        <v>442</v>
      </c>
      <c r="H4120" s="18" t="s">
        <v>442</v>
      </c>
      <c r="I4120" s="3" t="s">
        <v>442</v>
      </c>
      <c r="J4120"/>
      <c r="L4120"/>
      <c r="M4120"/>
      <c r="N4120" s="40" t="s">
        <v>401</v>
      </c>
      <c r="O4120"/>
      <c r="P4120" s="20"/>
      <c r="Q4120" s="20"/>
      <c r="R4120" s="20"/>
      <c r="S4120" s="20"/>
      <c r="T4120" s="20"/>
    </row>
    <row r="4121" spans="1:20" x14ac:dyDescent="0.25">
      <c r="A4121" s="3">
        <v>42013</v>
      </c>
      <c r="B4121" s="36">
        <v>358</v>
      </c>
      <c r="C4121" t="s">
        <v>4572</v>
      </c>
      <c r="D4121">
        <v>16.829999999999998</v>
      </c>
      <c r="E4121" s="18">
        <v>-1650</v>
      </c>
      <c r="F4121" t="s">
        <v>889</v>
      </c>
      <c r="G4121" t="s">
        <v>4573</v>
      </c>
      <c r="H4121" s="18" t="s">
        <v>442</v>
      </c>
      <c r="I4121" s="3" t="s">
        <v>442</v>
      </c>
      <c r="J4121"/>
      <c r="L4121"/>
      <c r="M4121"/>
      <c r="N4121" s="20"/>
      <c r="O4121"/>
      <c r="P4121" s="20"/>
      <c r="Q4121" s="20"/>
      <c r="R4121" s="20"/>
      <c r="S4121" s="20"/>
      <c r="T4121" s="20"/>
    </row>
    <row r="4122" spans="1:20" x14ac:dyDescent="0.25">
      <c r="A4122" s="3">
        <v>42013</v>
      </c>
      <c r="B4122" s="36">
        <v>358</v>
      </c>
      <c r="C4122" t="s">
        <v>4568</v>
      </c>
      <c r="D4122">
        <v>10</v>
      </c>
      <c r="E4122" s="18">
        <v>1000</v>
      </c>
      <c r="F4122" t="s">
        <v>889</v>
      </c>
      <c r="G4122" t="s">
        <v>4569</v>
      </c>
      <c r="H4122" s="18">
        <v>1000</v>
      </c>
      <c r="I4122" s="3">
        <v>42013</v>
      </c>
      <c r="J4122"/>
      <c r="L4122"/>
      <c r="M4122"/>
      <c r="N4122" s="20"/>
      <c r="O4122"/>
      <c r="P4122" s="20"/>
      <c r="Q4122" s="20"/>
      <c r="R4122" s="20"/>
      <c r="S4122" s="20"/>
      <c r="T4122" s="20"/>
    </row>
    <row r="4123" spans="1:20" x14ac:dyDescent="0.25">
      <c r="A4123" s="3">
        <v>42013</v>
      </c>
      <c r="B4123" s="36">
        <v>358</v>
      </c>
      <c r="C4123" t="s">
        <v>4576</v>
      </c>
      <c r="D4123">
        <v>5.0999999999999996</v>
      </c>
      <c r="E4123" s="18">
        <v>509.99999999999994</v>
      </c>
      <c r="F4123" t="s">
        <v>889</v>
      </c>
      <c r="G4123" t="s">
        <v>4577</v>
      </c>
      <c r="H4123" s="18">
        <v>509.99999999999994</v>
      </c>
      <c r="I4123" s="3">
        <v>42013</v>
      </c>
      <c r="J4123"/>
      <c r="L4123"/>
      <c r="M4123"/>
      <c r="N4123" s="20"/>
      <c r="O4123"/>
      <c r="P4123" s="20"/>
      <c r="Q4123" s="20"/>
      <c r="R4123" s="20"/>
      <c r="S4123" s="20"/>
      <c r="T4123" s="20"/>
    </row>
    <row r="4124" spans="1:20" x14ac:dyDescent="0.25">
      <c r="A4124" s="3">
        <v>42013</v>
      </c>
      <c r="B4124" s="36">
        <v>358</v>
      </c>
      <c r="C4124" t="s">
        <v>4578</v>
      </c>
      <c r="D4124">
        <v>10.199999999999999</v>
      </c>
      <c r="E4124" s="18">
        <v>-1019.9999999999999</v>
      </c>
      <c r="F4124" t="s">
        <v>889</v>
      </c>
      <c r="G4124" t="s">
        <v>4579</v>
      </c>
      <c r="H4124" s="18" t="s">
        <v>442</v>
      </c>
      <c r="I4124" s="3" t="s">
        <v>442</v>
      </c>
      <c r="J4124"/>
      <c r="L4124"/>
      <c r="M4124"/>
      <c r="N4124" s="20"/>
      <c r="O4124"/>
      <c r="P4124" s="20"/>
      <c r="Q4124" s="20"/>
      <c r="R4124" s="20"/>
      <c r="S4124" s="20"/>
      <c r="T4124" s="20"/>
    </row>
    <row r="4125" spans="1:20" x14ac:dyDescent="0.25">
      <c r="A4125" s="3">
        <v>42013</v>
      </c>
      <c r="B4125" s="36">
        <v>358</v>
      </c>
      <c r="C4125" t="s">
        <v>4584</v>
      </c>
      <c r="D4125">
        <v>7.65</v>
      </c>
      <c r="E4125" s="18">
        <v>765</v>
      </c>
      <c r="F4125" t="s">
        <v>889</v>
      </c>
      <c r="G4125" t="s">
        <v>4585</v>
      </c>
      <c r="H4125" s="18">
        <v>765</v>
      </c>
      <c r="I4125" s="3">
        <v>42013</v>
      </c>
      <c r="J4125"/>
      <c r="L4125"/>
      <c r="M4125"/>
      <c r="N4125" s="20"/>
      <c r="O4125"/>
      <c r="P4125" s="20"/>
      <c r="Q4125" s="20"/>
      <c r="R4125" s="20"/>
      <c r="S4125" s="20"/>
      <c r="T4125" s="20"/>
    </row>
    <row r="4126" spans="1:20" x14ac:dyDescent="0.25">
      <c r="A4126" s="3">
        <v>42013</v>
      </c>
      <c r="B4126" s="36">
        <v>358</v>
      </c>
      <c r="C4126" t="s">
        <v>4586</v>
      </c>
      <c r="D4126">
        <v>7.9050000000000002</v>
      </c>
      <c r="E4126" s="18">
        <v>790.5</v>
      </c>
      <c r="F4126" t="s">
        <v>889</v>
      </c>
      <c r="G4126" t="s">
        <v>4587</v>
      </c>
      <c r="H4126" s="18">
        <v>790.5</v>
      </c>
      <c r="I4126" s="3">
        <v>42013</v>
      </c>
      <c r="J4126"/>
      <c r="L4126"/>
      <c r="M4126"/>
      <c r="N4126" s="20"/>
      <c r="O4126"/>
      <c r="P4126" s="20"/>
      <c r="Q4126" s="20"/>
      <c r="R4126" s="20"/>
      <c r="S4126" s="20"/>
      <c r="T4126" s="20"/>
    </row>
    <row r="4127" spans="1:20" x14ac:dyDescent="0.25">
      <c r="A4127" s="3">
        <v>42013</v>
      </c>
      <c r="B4127" s="36">
        <v>358</v>
      </c>
      <c r="C4127" t="s">
        <v>4580</v>
      </c>
      <c r="D4127">
        <v>8.16</v>
      </c>
      <c r="E4127" s="18">
        <v>816</v>
      </c>
      <c r="F4127" t="s">
        <v>889</v>
      </c>
      <c r="G4127" t="s">
        <v>4581</v>
      </c>
      <c r="H4127" s="18">
        <v>816</v>
      </c>
      <c r="I4127" s="3">
        <v>42013</v>
      </c>
      <c r="J4127"/>
      <c r="L4127"/>
      <c r="M4127"/>
      <c r="N4127" s="20"/>
      <c r="O4127"/>
      <c r="P4127" s="20"/>
      <c r="Q4127" s="20"/>
      <c r="R4127" s="20"/>
      <c r="S4127" s="20"/>
      <c r="T4127" s="20"/>
    </row>
    <row r="4128" spans="1:20" x14ac:dyDescent="0.25">
      <c r="A4128" s="3">
        <v>42013</v>
      </c>
      <c r="B4128" s="36">
        <v>358</v>
      </c>
      <c r="C4128" t="s">
        <v>2573</v>
      </c>
      <c r="E4128" s="18">
        <v>-96.32</v>
      </c>
      <c r="F4128" t="s">
        <v>889</v>
      </c>
      <c r="G4128" t="s">
        <v>442</v>
      </c>
      <c r="H4128" s="18" t="s">
        <v>442</v>
      </c>
      <c r="I4128" s="3" t="s">
        <v>442</v>
      </c>
      <c r="J4128"/>
      <c r="L4128"/>
      <c r="M4128"/>
      <c r="N4128" s="20"/>
      <c r="O4128"/>
      <c r="P4128" s="20"/>
      <c r="Q4128" s="20" t="s">
        <v>401</v>
      </c>
      <c r="R4128" s="20"/>
      <c r="S4128" s="20"/>
      <c r="T4128" s="20"/>
    </row>
    <row r="4129" spans="1:21" x14ac:dyDescent="0.25">
      <c r="A4129" s="3">
        <v>42013</v>
      </c>
      <c r="B4129" s="36">
        <v>358</v>
      </c>
      <c r="C4129" t="s">
        <v>1304</v>
      </c>
      <c r="E4129" s="18">
        <v>-96.32</v>
      </c>
      <c r="F4129" t="s">
        <v>889</v>
      </c>
      <c r="G4129" t="s">
        <v>442</v>
      </c>
      <c r="H4129" s="18" t="s">
        <v>442</v>
      </c>
      <c r="I4129" s="3" t="s">
        <v>442</v>
      </c>
      <c r="J4129"/>
      <c r="L4129"/>
      <c r="M4129"/>
      <c r="N4129" s="20"/>
      <c r="O4129"/>
      <c r="P4129" s="20"/>
      <c r="Q4129" s="20" t="s">
        <v>401</v>
      </c>
      <c r="R4129" s="20"/>
      <c r="S4129" s="20"/>
      <c r="T4129" s="20"/>
    </row>
    <row r="4130" spans="1:21" x14ac:dyDescent="0.25">
      <c r="A4130" s="3">
        <v>42013</v>
      </c>
      <c r="B4130" s="36">
        <v>358</v>
      </c>
      <c r="C4130" t="s">
        <v>1304</v>
      </c>
      <c r="E4130" s="18">
        <v>-96.32</v>
      </c>
      <c r="F4130" t="s">
        <v>889</v>
      </c>
      <c r="G4130" t="s">
        <v>442</v>
      </c>
      <c r="H4130" s="18" t="s">
        <v>442</v>
      </c>
      <c r="I4130" s="3" t="s">
        <v>442</v>
      </c>
      <c r="J4130"/>
      <c r="L4130"/>
      <c r="M4130"/>
      <c r="N4130" s="20"/>
      <c r="O4130"/>
      <c r="P4130" s="20"/>
      <c r="Q4130" s="20" t="s">
        <v>401</v>
      </c>
      <c r="R4130" s="20"/>
      <c r="S4130" s="20"/>
      <c r="T4130" s="20"/>
    </row>
    <row r="4131" spans="1:21" x14ac:dyDescent="0.25">
      <c r="A4131" s="3">
        <v>42013</v>
      </c>
      <c r="B4131" s="36">
        <v>358</v>
      </c>
      <c r="C4131" t="s">
        <v>1312</v>
      </c>
      <c r="E4131" s="18">
        <v>-96.32</v>
      </c>
      <c r="F4131" t="s">
        <v>889</v>
      </c>
      <c r="G4131" t="s">
        <v>442</v>
      </c>
      <c r="H4131" s="18" t="s">
        <v>442</v>
      </c>
      <c r="I4131" s="3" t="s">
        <v>442</v>
      </c>
      <c r="J4131"/>
      <c r="L4131"/>
      <c r="M4131"/>
      <c r="N4131" s="20"/>
      <c r="O4131"/>
      <c r="P4131" s="20"/>
      <c r="Q4131" s="20" t="s">
        <v>401</v>
      </c>
      <c r="R4131" s="20"/>
      <c r="S4131" s="20"/>
      <c r="T4131" s="20"/>
    </row>
    <row r="4132" spans="1:21" x14ac:dyDescent="0.25">
      <c r="A4132" s="3">
        <v>42013</v>
      </c>
      <c r="B4132" s="36">
        <v>358</v>
      </c>
      <c r="C4132" t="s">
        <v>4588</v>
      </c>
      <c r="E4132" s="18">
        <v>-96.32</v>
      </c>
      <c r="F4132" t="s">
        <v>889</v>
      </c>
      <c r="G4132" t="s">
        <v>442</v>
      </c>
      <c r="H4132" s="18" t="s">
        <v>442</v>
      </c>
      <c r="I4132" s="3" t="s">
        <v>442</v>
      </c>
      <c r="J4132"/>
      <c r="L4132"/>
      <c r="M4132"/>
      <c r="N4132" s="20"/>
      <c r="O4132"/>
      <c r="P4132" s="20"/>
      <c r="Q4132" s="20" t="s">
        <v>401</v>
      </c>
      <c r="R4132" s="20"/>
      <c r="S4132" s="20"/>
      <c r="T4132" s="20"/>
    </row>
    <row r="4133" spans="1:21" x14ac:dyDescent="0.25">
      <c r="A4133" s="3">
        <v>42013</v>
      </c>
      <c r="B4133" s="36">
        <v>358</v>
      </c>
      <c r="C4133" t="s">
        <v>4562</v>
      </c>
      <c r="D4133">
        <v>7.25</v>
      </c>
      <c r="E4133" s="18">
        <v>96.666666666666629</v>
      </c>
      <c r="F4133" t="s">
        <v>889</v>
      </c>
      <c r="G4133" t="s">
        <v>4563</v>
      </c>
      <c r="H4133" s="18">
        <v>96.666666666666629</v>
      </c>
      <c r="I4133" s="3">
        <v>42013</v>
      </c>
      <c r="J4133"/>
      <c r="L4133"/>
      <c r="M4133"/>
      <c r="N4133" s="20"/>
      <c r="O4133"/>
      <c r="P4133" s="20"/>
      <c r="Q4133" s="20"/>
      <c r="R4133" s="20"/>
      <c r="S4133" s="20"/>
      <c r="T4133" s="20"/>
    </row>
    <row r="4134" spans="1:21" x14ac:dyDescent="0.25">
      <c r="A4134" s="3">
        <v>42013</v>
      </c>
      <c r="B4134" s="36">
        <v>358</v>
      </c>
      <c r="C4134" t="s">
        <v>4589</v>
      </c>
      <c r="D4134">
        <v>6.8849999999999998</v>
      </c>
      <c r="E4134" s="18">
        <v>688.5</v>
      </c>
      <c r="F4134" t="s">
        <v>889</v>
      </c>
      <c r="G4134" t="s">
        <v>4590</v>
      </c>
      <c r="H4134" s="18">
        <v>688.5</v>
      </c>
      <c r="I4134" s="3">
        <v>42013</v>
      </c>
      <c r="J4134"/>
      <c r="L4134"/>
      <c r="M4134"/>
      <c r="N4134" s="20"/>
      <c r="O4134"/>
      <c r="P4134" s="20"/>
      <c r="Q4134" s="20"/>
      <c r="R4134" s="20"/>
      <c r="S4134" s="20"/>
      <c r="T4134" s="20"/>
    </row>
    <row r="4135" spans="1:21" x14ac:dyDescent="0.25">
      <c r="A4135" s="3">
        <v>42027</v>
      </c>
      <c r="B4135" s="36">
        <v>358</v>
      </c>
      <c r="C4135" t="s">
        <v>4591</v>
      </c>
      <c r="D4135" s="55">
        <v>7.9050000000000002</v>
      </c>
      <c r="E4135" s="18">
        <v>790.5</v>
      </c>
      <c r="F4135" t="s">
        <v>889</v>
      </c>
      <c r="G4135" t="s">
        <v>4587</v>
      </c>
      <c r="H4135" s="18">
        <v>790.5</v>
      </c>
      <c r="I4135" s="3">
        <v>42027</v>
      </c>
      <c r="J4135"/>
      <c r="L4135"/>
      <c r="M4135"/>
      <c r="N4135" s="20"/>
      <c r="O4135"/>
      <c r="P4135" s="20"/>
      <c r="Q4135" s="20"/>
      <c r="R4135" s="20"/>
      <c r="S4135" s="20"/>
      <c r="T4135" s="20"/>
    </row>
    <row r="4136" spans="1:21" x14ac:dyDescent="0.25">
      <c r="B4136">
        <v>358</v>
      </c>
      <c r="C4136" t="s">
        <v>2729</v>
      </c>
      <c r="E4136" s="18">
        <v>-1500</v>
      </c>
      <c r="I4136"/>
      <c r="J4136"/>
      <c r="L4136"/>
      <c r="M4136"/>
      <c r="O4136"/>
      <c r="P4136" s="20"/>
      <c r="Q4136" s="20"/>
      <c r="R4136" s="20"/>
      <c r="S4136" s="20"/>
      <c r="T4136" s="20"/>
      <c r="U4136" t="s">
        <v>401</v>
      </c>
    </row>
    <row r="4137" spans="1:21" x14ac:dyDescent="0.25">
      <c r="B4137">
        <v>358</v>
      </c>
      <c r="C4137" t="s">
        <v>4562</v>
      </c>
      <c r="E4137" s="18">
        <v>96.666666666666629</v>
      </c>
      <c r="F4137" t="s">
        <v>889</v>
      </c>
      <c r="G4137" t="s">
        <v>4563</v>
      </c>
      <c r="I4137"/>
      <c r="J4137"/>
      <c r="L4137"/>
      <c r="M4137"/>
      <c r="O4137"/>
      <c r="P4137" s="20"/>
      <c r="Q4137" s="20"/>
      <c r="R4137" s="20"/>
      <c r="S4137" s="20"/>
      <c r="T4137" s="20"/>
      <c r="U4137" t="s">
        <v>401</v>
      </c>
    </row>
    <row r="4138" spans="1:21" x14ac:dyDescent="0.25">
      <c r="A4138" s="3">
        <v>41873</v>
      </c>
      <c r="B4138" s="36">
        <v>360</v>
      </c>
      <c r="C4138" t="s">
        <v>4592</v>
      </c>
      <c r="D4138">
        <v>3</v>
      </c>
      <c r="E4138" s="18">
        <v>300</v>
      </c>
      <c r="F4138" t="s">
        <v>889</v>
      </c>
      <c r="G4138" t="s">
        <v>4593</v>
      </c>
      <c r="H4138" s="18">
        <v>300</v>
      </c>
      <c r="I4138" s="3">
        <v>41873</v>
      </c>
      <c r="J4138"/>
      <c r="L4138"/>
      <c r="M4138"/>
      <c r="N4138" s="20"/>
      <c r="O4138"/>
      <c r="P4138" s="20"/>
      <c r="Q4138" s="20"/>
      <c r="R4138" s="20"/>
      <c r="S4138" s="20"/>
      <c r="T4138" s="20"/>
    </row>
    <row r="4139" spans="1:21" x14ac:dyDescent="0.25">
      <c r="B4139">
        <v>360</v>
      </c>
      <c r="C4139" t="s">
        <v>4592</v>
      </c>
      <c r="D4139">
        <v>3</v>
      </c>
      <c r="E4139" s="18">
        <v>-300</v>
      </c>
      <c r="F4139" t="s">
        <v>889</v>
      </c>
      <c r="G4139" t="s">
        <v>4593</v>
      </c>
      <c r="I4139"/>
      <c r="J4139"/>
      <c r="L4139"/>
      <c r="M4139"/>
      <c r="O4139"/>
      <c r="P4139" s="20"/>
      <c r="Q4139" s="20"/>
      <c r="R4139" s="20"/>
      <c r="S4139" s="20"/>
      <c r="T4139" s="20"/>
      <c r="U4139" t="s">
        <v>401</v>
      </c>
    </row>
    <row r="4140" spans="1:21" x14ac:dyDescent="0.25">
      <c r="A4140" s="3">
        <v>41853</v>
      </c>
      <c r="B4140" s="36">
        <v>363</v>
      </c>
      <c r="C4140" t="s">
        <v>4594</v>
      </c>
      <c r="D4140">
        <v>9.25</v>
      </c>
      <c r="E4140" s="18">
        <v>925</v>
      </c>
      <c r="F4140" t="s">
        <v>889</v>
      </c>
      <c r="G4140" t="s">
        <v>4595</v>
      </c>
      <c r="H4140" s="18">
        <v>925</v>
      </c>
      <c r="I4140" s="3">
        <v>41853</v>
      </c>
      <c r="J4140"/>
      <c r="L4140"/>
      <c r="M4140"/>
      <c r="N4140" s="20"/>
      <c r="O4140"/>
      <c r="P4140" s="20"/>
      <c r="Q4140" s="20"/>
      <c r="R4140" s="20"/>
      <c r="S4140" s="20"/>
      <c r="T4140" s="20"/>
    </row>
    <row r="4141" spans="1:21" x14ac:dyDescent="0.25">
      <c r="A4141" s="3">
        <v>41894</v>
      </c>
      <c r="B4141" s="36">
        <v>363</v>
      </c>
      <c r="C4141" t="s">
        <v>4596</v>
      </c>
      <c r="D4141">
        <v>13</v>
      </c>
      <c r="E4141" s="18">
        <v>1300</v>
      </c>
      <c r="F4141" t="s">
        <v>889</v>
      </c>
      <c r="G4141" t="s">
        <v>4597</v>
      </c>
      <c r="H4141" s="18">
        <v>1300</v>
      </c>
      <c r="I4141" s="3">
        <v>41894</v>
      </c>
      <c r="J4141"/>
      <c r="L4141"/>
      <c r="M4141"/>
      <c r="N4141" s="20"/>
      <c r="O4141"/>
      <c r="P4141" s="20"/>
      <c r="Q4141" s="20"/>
      <c r="R4141" s="20"/>
      <c r="S4141" s="20"/>
      <c r="T4141" s="20"/>
    </row>
    <row r="4142" spans="1:21" x14ac:dyDescent="0.25">
      <c r="A4142" s="3">
        <v>41894</v>
      </c>
      <c r="B4142" s="36">
        <v>363</v>
      </c>
      <c r="C4142" t="s">
        <v>4594</v>
      </c>
      <c r="D4142">
        <v>9.25</v>
      </c>
      <c r="E4142" s="18">
        <v>-925</v>
      </c>
      <c r="F4142" t="s">
        <v>889</v>
      </c>
      <c r="G4142" t="s">
        <v>4595</v>
      </c>
      <c r="H4142" s="18" t="s">
        <v>442</v>
      </c>
      <c r="I4142" s="3" t="s">
        <v>442</v>
      </c>
      <c r="J4142"/>
      <c r="L4142"/>
      <c r="M4142"/>
      <c r="N4142" s="20"/>
      <c r="O4142"/>
      <c r="P4142" s="20"/>
      <c r="Q4142" s="20"/>
      <c r="R4142" s="20"/>
      <c r="S4142" s="20"/>
      <c r="T4142" s="20"/>
    </row>
    <row r="4143" spans="1:21" x14ac:dyDescent="0.25">
      <c r="A4143" s="3">
        <v>41855</v>
      </c>
      <c r="B4143" s="36">
        <v>365</v>
      </c>
      <c r="C4143" t="s">
        <v>4598</v>
      </c>
      <c r="D4143">
        <v>3.75</v>
      </c>
      <c r="E4143" s="18">
        <v>375</v>
      </c>
      <c r="F4143" t="s">
        <v>889</v>
      </c>
      <c r="G4143" t="s">
        <v>4599</v>
      </c>
      <c r="H4143" s="18">
        <v>375</v>
      </c>
      <c r="I4143" s="3">
        <v>41855</v>
      </c>
      <c r="J4143"/>
      <c r="L4143"/>
      <c r="M4143"/>
      <c r="N4143" s="20"/>
      <c r="O4143" t="s">
        <v>1009</v>
      </c>
      <c r="P4143" s="20"/>
      <c r="Q4143" s="20"/>
      <c r="R4143" s="20"/>
      <c r="S4143" s="20"/>
      <c r="T4143" s="20"/>
    </row>
    <row r="4144" spans="1:21" x14ac:dyDescent="0.25">
      <c r="A4144" s="57">
        <v>41858</v>
      </c>
      <c r="B4144" s="42">
        <v>365</v>
      </c>
      <c r="C4144" s="45" t="s">
        <v>951</v>
      </c>
      <c r="D4144" s="45">
        <v>12</v>
      </c>
      <c r="E4144" s="58">
        <v>1200</v>
      </c>
      <c r="F4144" s="45" t="s">
        <v>889</v>
      </c>
      <c r="G4144" s="45" t="s">
        <v>952</v>
      </c>
      <c r="H4144" s="18">
        <v>1200</v>
      </c>
      <c r="I4144" s="3">
        <v>41858</v>
      </c>
      <c r="J4144" s="45"/>
      <c r="K4144" s="45"/>
      <c r="L4144" s="45"/>
      <c r="M4144" s="45"/>
      <c r="N4144" s="45"/>
      <c r="O4144" s="45" t="s">
        <v>4600</v>
      </c>
      <c r="P4144" s="20"/>
      <c r="Q4144" s="20"/>
      <c r="R4144" s="20"/>
      <c r="S4144" s="20"/>
      <c r="T4144" s="20"/>
    </row>
    <row r="4145" spans="1:20" x14ac:dyDescent="0.25">
      <c r="A4145" s="3">
        <v>41894</v>
      </c>
      <c r="B4145" s="36">
        <v>365</v>
      </c>
      <c r="C4145" t="s">
        <v>4601</v>
      </c>
      <c r="D4145">
        <v>11</v>
      </c>
      <c r="E4145" s="18">
        <v>1100</v>
      </c>
      <c r="F4145" t="s">
        <v>889</v>
      </c>
      <c r="G4145" t="s">
        <v>4602</v>
      </c>
      <c r="H4145" s="18">
        <v>1100</v>
      </c>
      <c r="I4145" s="3">
        <v>41894</v>
      </c>
      <c r="J4145"/>
      <c r="L4145"/>
      <c r="M4145"/>
      <c r="N4145" s="20"/>
      <c r="O4145"/>
      <c r="P4145" s="20"/>
      <c r="Q4145" s="20"/>
      <c r="R4145" s="20"/>
      <c r="S4145" s="20"/>
      <c r="T4145" s="20"/>
    </row>
    <row r="4146" spans="1:20" x14ac:dyDescent="0.25">
      <c r="A4146" s="3">
        <v>41894</v>
      </c>
      <c r="B4146" s="36">
        <v>365</v>
      </c>
      <c r="C4146" t="s">
        <v>4603</v>
      </c>
      <c r="D4146">
        <v>4.75</v>
      </c>
      <c r="E4146" s="18">
        <v>475</v>
      </c>
      <c r="F4146" t="s">
        <v>889</v>
      </c>
      <c r="G4146" t="s">
        <v>4604</v>
      </c>
      <c r="H4146" s="18">
        <v>475</v>
      </c>
      <c r="I4146" s="3">
        <v>41894</v>
      </c>
      <c r="J4146"/>
      <c r="L4146"/>
      <c r="M4146"/>
      <c r="N4146" s="20"/>
      <c r="O4146"/>
      <c r="P4146" s="20"/>
      <c r="Q4146" s="20"/>
      <c r="R4146" s="20"/>
      <c r="S4146" s="20"/>
      <c r="T4146" s="20"/>
    </row>
    <row r="4147" spans="1:20" x14ac:dyDescent="0.25">
      <c r="A4147" s="3">
        <v>41894</v>
      </c>
      <c r="B4147" s="36">
        <v>365</v>
      </c>
      <c r="C4147" t="s">
        <v>4605</v>
      </c>
      <c r="D4147">
        <v>10.25</v>
      </c>
      <c r="E4147" s="18">
        <v>1025</v>
      </c>
      <c r="F4147" t="s">
        <v>889</v>
      </c>
      <c r="G4147" t="s">
        <v>4606</v>
      </c>
      <c r="H4147" s="18">
        <v>1025</v>
      </c>
      <c r="I4147" s="3">
        <v>41894</v>
      </c>
      <c r="J4147"/>
      <c r="L4147"/>
      <c r="M4147"/>
      <c r="N4147" s="20"/>
      <c r="O4147"/>
      <c r="P4147" s="20"/>
      <c r="Q4147" s="20"/>
      <c r="R4147" s="20"/>
      <c r="S4147" s="20"/>
      <c r="T4147" s="20"/>
    </row>
    <row r="4148" spans="1:20" x14ac:dyDescent="0.25">
      <c r="A4148" s="3">
        <v>41901</v>
      </c>
      <c r="B4148" s="36">
        <v>365</v>
      </c>
      <c r="C4148" t="s">
        <v>4607</v>
      </c>
      <c r="D4148">
        <v>5.5</v>
      </c>
      <c r="E4148" s="18">
        <v>550</v>
      </c>
      <c r="F4148" t="s">
        <v>889</v>
      </c>
      <c r="G4148" t="s">
        <v>4608</v>
      </c>
      <c r="H4148" s="18">
        <v>550</v>
      </c>
      <c r="I4148" s="3">
        <v>41901</v>
      </c>
      <c r="J4148"/>
      <c r="L4148"/>
      <c r="M4148"/>
      <c r="N4148" s="20"/>
      <c r="O4148"/>
      <c r="P4148" s="20"/>
      <c r="Q4148" s="20"/>
      <c r="R4148" s="20"/>
      <c r="S4148" s="20"/>
      <c r="T4148" s="20"/>
    </row>
    <row r="4149" spans="1:20" x14ac:dyDescent="0.25">
      <c r="A4149" s="3">
        <v>41901</v>
      </c>
      <c r="B4149" s="36">
        <v>365</v>
      </c>
      <c r="C4149" t="s">
        <v>4609</v>
      </c>
      <c r="D4149">
        <v>5.75</v>
      </c>
      <c r="E4149" s="18">
        <v>575</v>
      </c>
      <c r="F4149" t="s">
        <v>889</v>
      </c>
      <c r="G4149" t="s">
        <v>4610</v>
      </c>
      <c r="H4149" s="18">
        <v>575</v>
      </c>
      <c r="I4149" s="3">
        <v>41901</v>
      </c>
      <c r="J4149"/>
      <c r="L4149"/>
      <c r="M4149"/>
      <c r="N4149" s="20"/>
      <c r="O4149"/>
      <c r="P4149" s="20"/>
      <c r="Q4149" s="20"/>
      <c r="R4149" s="20"/>
      <c r="S4149" s="20"/>
      <c r="T4149" s="20"/>
    </row>
    <row r="4150" spans="1:20" x14ac:dyDescent="0.25">
      <c r="A4150" s="3">
        <v>41918</v>
      </c>
      <c r="B4150" s="36">
        <v>365</v>
      </c>
      <c r="C4150" t="s">
        <v>4611</v>
      </c>
      <c r="D4150">
        <v>10</v>
      </c>
      <c r="E4150" s="18">
        <v>1000</v>
      </c>
      <c r="F4150" t="s">
        <v>889</v>
      </c>
      <c r="G4150" t="s">
        <v>4612</v>
      </c>
      <c r="H4150" s="18">
        <v>1000</v>
      </c>
      <c r="I4150" s="3">
        <v>41918</v>
      </c>
      <c r="J4150"/>
      <c r="L4150"/>
      <c r="M4150"/>
      <c r="N4150" s="20"/>
      <c r="O4150"/>
      <c r="P4150" s="20"/>
      <c r="Q4150" s="20"/>
      <c r="R4150" s="20"/>
      <c r="S4150" s="20"/>
      <c r="T4150" s="20"/>
    </row>
    <row r="4151" spans="1:20" x14ac:dyDescent="0.25">
      <c r="A4151" s="3">
        <v>41918</v>
      </c>
      <c r="B4151" s="36">
        <v>365</v>
      </c>
      <c r="C4151" t="s">
        <v>4613</v>
      </c>
      <c r="D4151">
        <v>3.75</v>
      </c>
      <c r="E4151" s="18">
        <v>375</v>
      </c>
      <c r="F4151" t="s">
        <v>889</v>
      </c>
      <c r="G4151" t="s">
        <v>4614</v>
      </c>
      <c r="H4151" s="18">
        <v>375</v>
      </c>
      <c r="I4151" s="3">
        <v>41918</v>
      </c>
      <c r="J4151"/>
      <c r="L4151"/>
      <c r="M4151"/>
      <c r="N4151" s="20"/>
      <c r="O4151"/>
      <c r="P4151" s="20"/>
      <c r="Q4151" s="20"/>
      <c r="R4151" s="20"/>
      <c r="S4151" s="20"/>
      <c r="T4151" s="20"/>
    </row>
    <row r="4152" spans="1:20" x14ac:dyDescent="0.25">
      <c r="A4152" s="3">
        <v>41922</v>
      </c>
      <c r="B4152" s="36">
        <v>365</v>
      </c>
      <c r="C4152" t="s">
        <v>4615</v>
      </c>
      <c r="D4152">
        <v>6.5</v>
      </c>
      <c r="E4152" s="18">
        <v>650</v>
      </c>
      <c r="F4152" t="s">
        <v>889</v>
      </c>
      <c r="G4152" t="s">
        <v>4616</v>
      </c>
      <c r="H4152" s="18">
        <v>650</v>
      </c>
      <c r="I4152" s="3">
        <v>41922</v>
      </c>
      <c r="J4152"/>
      <c r="L4152"/>
      <c r="M4152"/>
      <c r="N4152" s="20"/>
      <c r="O4152"/>
      <c r="P4152" s="20"/>
      <c r="Q4152" s="20"/>
      <c r="R4152" s="20"/>
      <c r="S4152" s="20"/>
      <c r="T4152" s="20"/>
    </row>
    <row r="4153" spans="1:20" x14ac:dyDescent="0.25">
      <c r="A4153" s="3">
        <v>41922</v>
      </c>
      <c r="B4153" s="36">
        <v>365</v>
      </c>
      <c r="C4153" t="s">
        <v>4617</v>
      </c>
      <c r="D4153">
        <v>3.75</v>
      </c>
      <c r="E4153" s="18">
        <v>375</v>
      </c>
      <c r="F4153" t="s">
        <v>889</v>
      </c>
      <c r="G4153" t="s">
        <v>4618</v>
      </c>
      <c r="H4153" s="18">
        <v>375</v>
      </c>
      <c r="I4153" s="3">
        <v>41922</v>
      </c>
      <c r="J4153"/>
      <c r="L4153"/>
      <c r="M4153"/>
      <c r="N4153" s="20"/>
      <c r="O4153"/>
      <c r="P4153" s="20"/>
      <c r="Q4153" s="20"/>
      <c r="R4153" s="20"/>
      <c r="S4153" s="20"/>
      <c r="T4153" s="20"/>
    </row>
    <row r="4154" spans="1:20" x14ac:dyDescent="0.25">
      <c r="A4154" s="3">
        <v>41929</v>
      </c>
      <c r="B4154" s="36">
        <v>365</v>
      </c>
      <c r="C4154" t="s">
        <v>4619</v>
      </c>
      <c r="D4154">
        <v>4.25</v>
      </c>
      <c r="E4154" s="18">
        <v>425</v>
      </c>
      <c r="F4154" t="s">
        <v>889</v>
      </c>
      <c r="G4154" t="s">
        <v>4620</v>
      </c>
      <c r="H4154" s="18">
        <v>425</v>
      </c>
      <c r="I4154" s="3">
        <v>41929</v>
      </c>
      <c r="J4154"/>
      <c r="L4154"/>
      <c r="M4154"/>
      <c r="N4154" s="20"/>
      <c r="O4154"/>
      <c r="P4154" s="20"/>
      <c r="Q4154" s="20"/>
      <c r="R4154" s="20"/>
      <c r="S4154" s="20"/>
      <c r="T4154" s="20"/>
    </row>
    <row r="4155" spans="1:20" x14ac:dyDescent="0.25">
      <c r="A4155" s="3">
        <v>41929</v>
      </c>
      <c r="B4155" s="36">
        <v>365</v>
      </c>
      <c r="C4155" t="s">
        <v>4621</v>
      </c>
      <c r="D4155">
        <v>5.25</v>
      </c>
      <c r="E4155" s="18">
        <v>525</v>
      </c>
      <c r="F4155" t="s">
        <v>889</v>
      </c>
      <c r="G4155" t="s">
        <v>4622</v>
      </c>
      <c r="H4155" s="18">
        <v>525</v>
      </c>
      <c r="I4155" s="3">
        <v>41929</v>
      </c>
      <c r="J4155"/>
      <c r="L4155"/>
      <c r="M4155"/>
      <c r="N4155" s="20"/>
      <c r="O4155"/>
      <c r="P4155" s="20"/>
      <c r="Q4155" s="20"/>
      <c r="R4155" s="20"/>
      <c r="S4155" s="20"/>
      <c r="T4155" s="20"/>
    </row>
    <row r="4156" spans="1:20" x14ac:dyDescent="0.25">
      <c r="A4156" s="3">
        <v>41929</v>
      </c>
      <c r="B4156" s="36">
        <v>365</v>
      </c>
      <c r="C4156" t="s">
        <v>4623</v>
      </c>
      <c r="D4156">
        <v>4.5</v>
      </c>
      <c r="E4156" s="18">
        <v>450</v>
      </c>
      <c r="F4156" t="s">
        <v>889</v>
      </c>
      <c r="G4156" t="s">
        <v>4624</v>
      </c>
      <c r="H4156" s="18">
        <v>450</v>
      </c>
      <c r="I4156" s="3">
        <v>41929</v>
      </c>
      <c r="J4156"/>
      <c r="L4156"/>
      <c r="M4156"/>
      <c r="N4156" s="20"/>
      <c r="O4156"/>
      <c r="P4156" s="20"/>
      <c r="Q4156" s="20"/>
      <c r="R4156" s="20"/>
      <c r="S4156" s="20"/>
      <c r="T4156" s="20"/>
    </row>
    <row r="4157" spans="1:20" x14ac:dyDescent="0.25">
      <c r="A4157" s="3">
        <v>41936</v>
      </c>
      <c r="B4157" s="36">
        <v>365</v>
      </c>
      <c r="C4157" t="s">
        <v>4625</v>
      </c>
      <c r="D4157">
        <v>6.25</v>
      </c>
      <c r="E4157" s="18">
        <v>637.5</v>
      </c>
      <c r="F4157" t="s">
        <v>889</v>
      </c>
      <c r="G4157" t="s">
        <v>4626</v>
      </c>
      <c r="H4157" s="18">
        <v>637.5</v>
      </c>
      <c r="I4157" s="3">
        <v>41936</v>
      </c>
      <c r="J4157"/>
      <c r="L4157"/>
      <c r="M4157"/>
      <c r="N4157" s="20"/>
      <c r="O4157"/>
      <c r="P4157" s="20"/>
      <c r="Q4157" s="20"/>
      <c r="R4157" s="20"/>
      <c r="S4157" s="20"/>
      <c r="T4157" s="20"/>
    </row>
    <row r="4158" spans="1:20" x14ac:dyDescent="0.25">
      <c r="A4158" s="3">
        <v>41936</v>
      </c>
      <c r="B4158" s="36">
        <v>365</v>
      </c>
      <c r="C4158" t="s">
        <v>4613</v>
      </c>
      <c r="D4158">
        <v>4</v>
      </c>
      <c r="E4158" s="18">
        <v>-375</v>
      </c>
      <c r="F4158" t="s">
        <v>889</v>
      </c>
      <c r="G4158" t="s">
        <v>4614</v>
      </c>
      <c r="H4158" s="18" t="s">
        <v>442</v>
      </c>
      <c r="I4158" s="3" t="s">
        <v>442</v>
      </c>
      <c r="J4158"/>
      <c r="L4158"/>
      <c r="M4158"/>
      <c r="N4158" s="20"/>
      <c r="O4158"/>
      <c r="P4158" s="20"/>
      <c r="Q4158" s="20"/>
      <c r="R4158" s="20"/>
      <c r="S4158" s="20"/>
      <c r="T4158" s="20"/>
    </row>
    <row r="4159" spans="1:20" x14ac:dyDescent="0.25">
      <c r="A4159" s="3">
        <v>41943</v>
      </c>
      <c r="B4159" s="36">
        <v>365</v>
      </c>
      <c r="C4159" t="s">
        <v>4627</v>
      </c>
      <c r="D4159">
        <v>6.12</v>
      </c>
      <c r="E4159" s="18">
        <v>612</v>
      </c>
      <c r="F4159" t="s">
        <v>889</v>
      </c>
      <c r="G4159" t="s">
        <v>4628</v>
      </c>
      <c r="H4159" s="18">
        <v>612</v>
      </c>
      <c r="I4159" s="3">
        <v>41943</v>
      </c>
      <c r="J4159"/>
      <c r="L4159"/>
      <c r="M4159"/>
      <c r="N4159" s="20"/>
      <c r="O4159"/>
      <c r="P4159" s="20"/>
      <c r="Q4159" s="20"/>
      <c r="R4159" s="20"/>
      <c r="S4159" s="20"/>
      <c r="T4159" s="20"/>
    </row>
    <row r="4160" spans="1:20" x14ac:dyDescent="0.25">
      <c r="A4160" s="3">
        <v>41950</v>
      </c>
      <c r="B4160" s="36">
        <v>365</v>
      </c>
      <c r="C4160" t="s">
        <v>4629</v>
      </c>
      <c r="D4160">
        <v>2.8050000000000002</v>
      </c>
      <c r="E4160" s="18">
        <v>280.5</v>
      </c>
      <c r="F4160" t="s">
        <v>889</v>
      </c>
      <c r="G4160" t="s">
        <v>4630</v>
      </c>
      <c r="H4160" s="18">
        <v>280.5</v>
      </c>
      <c r="I4160" s="3">
        <v>41950</v>
      </c>
      <c r="J4160"/>
      <c r="L4160"/>
      <c r="M4160"/>
      <c r="N4160" s="20"/>
      <c r="O4160"/>
      <c r="P4160" s="20"/>
      <c r="Q4160" s="20"/>
      <c r="R4160" s="20"/>
      <c r="S4160" s="20"/>
      <c r="T4160" s="20"/>
    </row>
    <row r="4161" spans="1:20" x14ac:dyDescent="0.25">
      <c r="A4161" s="3">
        <v>41950</v>
      </c>
      <c r="B4161" s="36">
        <v>365</v>
      </c>
      <c r="C4161" t="s">
        <v>4631</v>
      </c>
      <c r="D4161">
        <v>10.965</v>
      </c>
      <c r="E4161" s="18">
        <v>1096.5</v>
      </c>
      <c r="F4161" t="s">
        <v>889</v>
      </c>
      <c r="G4161" t="s">
        <v>4632</v>
      </c>
      <c r="H4161" s="18">
        <v>1096.5</v>
      </c>
      <c r="I4161" s="3">
        <v>41950</v>
      </c>
      <c r="J4161"/>
      <c r="L4161"/>
      <c r="M4161"/>
      <c r="N4161" s="20"/>
      <c r="O4161"/>
      <c r="P4161" s="20"/>
      <c r="Q4161" s="20"/>
      <c r="R4161" s="20"/>
      <c r="S4161" s="20"/>
      <c r="T4161" s="20"/>
    </row>
    <row r="4162" spans="1:20" x14ac:dyDescent="0.25">
      <c r="A4162" s="3">
        <v>41950</v>
      </c>
      <c r="B4162" s="36">
        <v>365</v>
      </c>
      <c r="C4162" t="s">
        <v>4633</v>
      </c>
      <c r="D4162">
        <v>8.16</v>
      </c>
      <c r="E4162" s="18">
        <v>816</v>
      </c>
      <c r="F4162" t="s">
        <v>889</v>
      </c>
      <c r="G4162" t="s">
        <v>4634</v>
      </c>
      <c r="H4162" s="18">
        <v>816</v>
      </c>
      <c r="I4162" s="3">
        <v>41950</v>
      </c>
      <c r="J4162"/>
      <c r="L4162"/>
      <c r="M4162"/>
      <c r="N4162" s="20"/>
      <c r="O4162"/>
      <c r="P4162" s="20"/>
      <c r="Q4162" s="20"/>
      <c r="R4162" s="20"/>
      <c r="S4162" s="20"/>
      <c r="T4162" s="20"/>
    </row>
    <row r="4163" spans="1:20" x14ac:dyDescent="0.25">
      <c r="A4163" s="3">
        <v>41950</v>
      </c>
      <c r="B4163" s="36">
        <v>365</v>
      </c>
      <c r="C4163" t="s">
        <v>4605</v>
      </c>
      <c r="D4163">
        <v>10.25</v>
      </c>
      <c r="E4163" s="18">
        <v>-1025</v>
      </c>
      <c r="F4163" t="s">
        <v>889</v>
      </c>
      <c r="G4163" t="s">
        <v>4606</v>
      </c>
      <c r="H4163" s="18" t="s">
        <v>442</v>
      </c>
      <c r="I4163" s="3" t="s">
        <v>442</v>
      </c>
      <c r="J4163"/>
      <c r="L4163"/>
      <c r="M4163"/>
      <c r="N4163" s="20"/>
      <c r="O4163"/>
      <c r="P4163" s="20"/>
      <c r="Q4163" s="20"/>
      <c r="R4163" s="20"/>
      <c r="S4163" s="20"/>
      <c r="T4163" s="20"/>
    </row>
    <row r="4164" spans="1:20" x14ac:dyDescent="0.25">
      <c r="A4164" s="46">
        <v>41950</v>
      </c>
      <c r="B4164" s="36">
        <v>365</v>
      </c>
      <c r="C4164" s="47" t="s">
        <v>1313</v>
      </c>
      <c r="D4164" s="47"/>
      <c r="E4164" s="48">
        <v>586.5</v>
      </c>
      <c r="F4164" s="47"/>
      <c r="G4164" s="20"/>
      <c r="H4164" s="18" t="s">
        <v>442</v>
      </c>
      <c r="I4164" s="3" t="s">
        <v>442</v>
      </c>
      <c r="J4164" s="20"/>
      <c r="K4164" s="20"/>
      <c r="L4164" s="20"/>
      <c r="M4164" s="20"/>
      <c r="N4164" s="20"/>
      <c r="O4164" s="47"/>
      <c r="P4164" s="20"/>
      <c r="Q4164" s="20"/>
      <c r="R4164" s="20"/>
      <c r="S4164" s="20" t="s">
        <v>401</v>
      </c>
      <c r="T4164" s="20"/>
    </row>
    <row r="4165" spans="1:20" x14ac:dyDescent="0.25">
      <c r="A4165" s="3">
        <v>41957</v>
      </c>
      <c r="B4165" s="36">
        <v>365</v>
      </c>
      <c r="C4165" t="s">
        <v>4598</v>
      </c>
      <c r="D4165">
        <v>3.75</v>
      </c>
      <c r="E4165" s="18">
        <v>150</v>
      </c>
      <c r="F4165" t="s">
        <v>889</v>
      </c>
      <c r="G4165" t="s">
        <v>4599</v>
      </c>
      <c r="H4165" s="18">
        <v>150</v>
      </c>
      <c r="I4165" s="3">
        <v>41957</v>
      </c>
      <c r="J4165"/>
      <c r="L4165"/>
      <c r="M4165"/>
      <c r="N4165" s="20"/>
      <c r="O4165" t="s">
        <v>959</v>
      </c>
      <c r="P4165" s="20"/>
      <c r="Q4165" s="20"/>
      <c r="R4165" s="20"/>
      <c r="S4165" s="20"/>
      <c r="T4165" s="20"/>
    </row>
    <row r="4166" spans="1:20" x14ac:dyDescent="0.25">
      <c r="A4166" s="3">
        <v>41964</v>
      </c>
      <c r="B4166" s="36">
        <v>365</v>
      </c>
      <c r="C4166" t="s">
        <v>4635</v>
      </c>
      <c r="D4166">
        <v>9.18</v>
      </c>
      <c r="E4166" s="18">
        <v>918</v>
      </c>
      <c r="F4166" t="s">
        <v>889</v>
      </c>
      <c r="G4166" t="s">
        <v>4636</v>
      </c>
      <c r="H4166" s="18">
        <v>918</v>
      </c>
      <c r="I4166" s="3">
        <v>41964</v>
      </c>
      <c r="J4166"/>
      <c r="L4166"/>
      <c r="M4166"/>
      <c r="N4166" s="20"/>
      <c r="O4166"/>
      <c r="P4166" s="20"/>
      <c r="Q4166" s="20"/>
      <c r="R4166" s="20"/>
      <c r="S4166" s="20"/>
      <c r="T4166" s="20"/>
    </row>
    <row r="4167" spans="1:20" x14ac:dyDescent="0.25">
      <c r="A4167" s="3">
        <v>41964</v>
      </c>
      <c r="B4167" s="36">
        <v>365</v>
      </c>
      <c r="C4167" t="s">
        <v>4637</v>
      </c>
      <c r="D4167">
        <v>4.335</v>
      </c>
      <c r="E4167" s="18">
        <v>433.5</v>
      </c>
      <c r="F4167" t="s">
        <v>889</v>
      </c>
      <c r="G4167" t="s">
        <v>4638</v>
      </c>
      <c r="H4167" s="18">
        <v>433.5</v>
      </c>
      <c r="I4167" s="3">
        <v>41964</v>
      </c>
      <c r="J4167"/>
      <c r="L4167"/>
      <c r="M4167"/>
      <c r="N4167" s="20"/>
      <c r="O4167"/>
      <c r="P4167" s="20"/>
      <c r="Q4167" s="20"/>
      <c r="R4167" s="20"/>
      <c r="S4167" s="20"/>
      <c r="T4167" s="20"/>
    </row>
    <row r="4168" spans="1:20" x14ac:dyDescent="0.25">
      <c r="A4168" s="3">
        <v>41968</v>
      </c>
      <c r="B4168" s="36">
        <v>365</v>
      </c>
      <c r="C4168" t="s">
        <v>4639</v>
      </c>
      <c r="D4168">
        <v>5.61</v>
      </c>
      <c r="E4168" s="18">
        <v>561</v>
      </c>
      <c r="F4168" t="s">
        <v>889</v>
      </c>
      <c r="G4168" t="s">
        <v>4640</v>
      </c>
      <c r="H4168" s="18">
        <v>561</v>
      </c>
      <c r="I4168" s="3">
        <v>41968</v>
      </c>
      <c r="J4168"/>
      <c r="L4168"/>
      <c r="M4168"/>
      <c r="N4168" s="20"/>
      <c r="O4168"/>
      <c r="P4168" s="20"/>
      <c r="Q4168" s="20"/>
      <c r="R4168" s="20"/>
      <c r="S4168" s="20"/>
      <c r="T4168" s="20"/>
    </row>
    <row r="4169" spans="1:20" x14ac:dyDescent="0.25">
      <c r="A4169" s="3">
        <v>41978</v>
      </c>
      <c r="B4169" s="36">
        <v>365</v>
      </c>
      <c r="C4169" t="s">
        <v>4641</v>
      </c>
      <c r="D4169">
        <v>7.14</v>
      </c>
      <c r="E4169" s="18">
        <v>714</v>
      </c>
      <c r="F4169" t="s">
        <v>889</v>
      </c>
      <c r="G4169" t="s">
        <v>4642</v>
      </c>
      <c r="H4169" s="18">
        <v>714</v>
      </c>
      <c r="I4169" s="3">
        <v>41978</v>
      </c>
      <c r="J4169"/>
      <c r="L4169"/>
      <c r="M4169"/>
      <c r="N4169" s="20"/>
      <c r="O4169"/>
      <c r="P4169" s="20"/>
      <c r="Q4169" s="20"/>
      <c r="R4169" s="20"/>
      <c r="S4169" s="20"/>
      <c r="T4169" s="20"/>
    </row>
    <row r="4170" spans="1:20" x14ac:dyDescent="0.25">
      <c r="A4170" s="3">
        <v>41985</v>
      </c>
      <c r="B4170" s="36">
        <v>365</v>
      </c>
      <c r="C4170" t="s">
        <v>4605</v>
      </c>
      <c r="D4170">
        <v>10.25</v>
      </c>
      <c r="E4170" s="18">
        <v>1025</v>
      </c>
      <c r="F4170" t="s">
        <v>889</v>
      </c>
      <c r="G4170" t="s">
        <v>4606</v>
      </c>
      <c r="H4170" s="18">
        <v>1025</v>
      </c>
      <c r="I4170" s="3">
        <v>41985</v>
      </c>
      <c r="J4170"/>
      <c r="L4170"/>
      <c r="M4170"/>
      <c r="N4170" s="20"/>
      <c r="O4170"/>
      <c r="P4170" s="20"/>
      <c r="Q4170" s="20"/>
      <c r="R4170" s="20"/>
      <c r="S4170" s="20"/>
      <c r="T4170" s="20"/>
    </row>
    <row r="4171" spans="1:20" x14ac:dyDescent="0.25">
      <c r="A4171" s="3">
        <v>41999</v>
      </c>
      <c r="B4171" s="36">
        <v>365</v>
      </c>
      <c r="C4171" t="s">
        <v>4601</v>
      </c>
      <c r="D4171">
        <v>11</v>
      </c>
      <c r="E4171" s="18">
        <v>1100</v>
      </c>
      <c r="F4171" t="s">
        <v>889</v>
      </c>
      <c r="G4171" t="s">
        <v>4602</v>
      </c>
      <c r="H4171" s="18">
        <v>1100</v>
      </c>
      <c r="I4171" s="3">
        <v>41999</v>
      </c>
      <c r="J4171"/>
      <c r="L4171"/>
      <c r="M4171"/>
      <c r="N4171" s="20"/>
      <c r="O4171" t="s">
        <v>959</v>
      </c>
      <c r="P4171" s="20"/>
      <c r="Q4171" s="20"/>
      <c r="R4171" s="20"/>
      <c r="S4171" s="20"/>
      <c r="T4171" s="20"/>
    </row>
    <row r="4172" spans="1:20" x14ac:dyDescent="0.25">
      <c r="A4172" s="3">
        <v>41999</v>
      </c>
      <c r="B4172" s="36">
        <v>365</v>
      </c>
      <c r="C4172" t="s">
        <v>4621</v>
      </c>
      <c r="D4172">
        <v>16.5</v>
      </c>
      <c r="E4172" s="18">
        <v>2775</v>
      </c>
      <c r="F4172" t="s">
        <v>889</v>
      </c>
      <c r="G4172" t="s">
        <v>4622</v>
      </c>
      <c r="H4172" s="18">
        <v>2775</v>
      </c>
      <c r="I4172" s="3">
        <v>41999</v>
      </c>
      <c r="J4172"/>
      <c r="L4172"/>
      <c r="M4172"/>
      <c r="N4172" s="20"/>
      <c r="O4172" t="s">
        <v>959</v>
      </c>
      <c r="P4172" s="20"/>
      <c r="Q4172" s="20"/>
      <c r="R4172" s="20"/>
      <c r="S4172" s="20"/>
      <c r="T4172" s="20"/>
    </row>
    <row r="4173" spans="1:20" x14ac:dyDescent="0.25">
      <c r="A4173" s="3">
        <v>41999</v>
      </c>
      <c r="B4173" s="36">
        <v>365</v>
      </c>
      <c r="C4173" t="s">
        <v>4623</v>
      </c>
      <c r="D4173">
        <v>4.5</v>
      </c>
      <c r="E4173" s="18">
        <v>450</v>
      </c>
      <c r="F4173" t="s">
        <v>889</v>
      </c>
      <c r="G4173" t="s">
        <v>4624</v>
      </c>
      <c r="H4173" s="18">
        <v>450</v>
      </c>
      <c r="I4173" s="3">
        <v>41999</v>
      </c>
      <c r="J4173"/>
      <c r="L4173"/>
      <c r="M4173"/>
      <c r="N4173" s="20"/>
      <c r="O4173" t="s">
        <v>959</v>
      </c>
      <c r="P4173" s="20"/>
      <c r="Q4173" s="20"/>
      <c r="R4173" s="20"/>
      <c r="S4173" s="20"/>
      <c r="T4173" s="20"/>
    </row>
    <row r="4174" spans="1:20" x14ac:dyDescent="0.25">
      <c r="A4174" s="3">
        <v>41999</v>
      </c>
      <c r="B4174" s="36">
        <v>365</v>
      </c>
      <c r="C4174" t="s">
        <v>4605</v>
      </c>
      <c r="D4174">
        <v>11.22</v>
      </c>
      <c r="E4174" s="18">
        <v>1219</v>
      </c>
      <c r="F4174" t="s">
        <v>889</v>
      </c>
      <c r="G4174" t="s">
        <v>4606</v>
      </c>
      <c r="H4174" s="18">
        <v>1219</v>
      </c>
      <c r="I4174" s="3">
        <v>41999</v>
      </c>
      <c r="J4174"/>
      <c r="L4174"/>
      <c r="M4174"/>
      <c r="N4174" s="20"/>
      <c r="O4174" t="s">
        <v>959</v>
      </c>
      <c r="P4174" s="20"/>
      <c r="Q4174" s="20"/>
      <c r="R4174" s="20"/>
      <c r="S4174" s="20"/>
      <c r="T4174" s="20"/>
    </row>
    <row r="4175" spans="1:20" x14ac:dyDescent="0.25">
      <c r="A4175" s="3">
        <v>42013</v>
      </c>
      <c r="B4175" s="36">
        <v>365</v>
      </c>
      <c r="C4175" t="s">
        <v>506</v>
      </c>
      <c r="D4175">
        <v>6.75</v>
      </c>
      <c r="E4175" s="18">
        <v>694.25</v>
      </c>
      <c r="F4175" t="s">
        <v>889</v>
      </c>
      <c r="G4175" t="s">
        <v>507</v>
      </c>
      <c r="H4175" s="18">
        <v>694.25</v>
      </c>
      <c r="I4175" s="3">
        <v>42013</v>
      </c>
      <c r="J4175"/>
      <c r="L4175"/>
      <c r="M4175"/>
      <c r="N4175" s="20"/>
      <c r="O4175"/>
      <c r="P4175" s="20"/>
      <c r="Q4175" s="20"/>
      <c r="R4175" s="20"/>
      <c r="S4175" s="20"/>
      <c r="T4175" s="20"/>
    </row>
    <row r="4176" spans="1:20" x14ac:dyDescent="0.25">
      <c r="A4176" s="3">
        <v>42013</v>
      </c>
      <c r="B4176" s="36">
        <v>365</v>
      </c>
      <c r="C4176" t="s">
        <v>746</v>
      </c>
      <c r="D4176">
        <v>6.375</v>
      </c>
      <c r="E4176" s="18">
        <v>668.75</v>
      </c>
      <c r="F4176" t="s">
        <v>889</v>
      </c>
      <c r="G4176" t="s">
        <v>747</v>
      </c>
      <c r="H4176" s="18">
        <v>668.75</v>
      </c>
      <c r="I4176" s="3">
        <v>42013</v>
      </c>
      <c r="J4176"/>
      <c r="L4176"/>
      <c r="M4176"/>
      <c r="N4176" s="20"/>
      <c r="O4176"/>
      <c r="P4176" s="20"/>
      <c r="Q4176" s="20"/>
      <c r="R4176" s="20"/>
      <c r="S4176" s="20"/>
      <c r="T4176" s="20"/>
    </row>
    <row r="4177" spans="1:21" x14ac:dyDescent="0.25">
      <c r="A4177" s="3">
        <v>42013</v>
      </c>
      <c r="B4177" s="36">
        <v>365</v>
      </c>
      <c r="C4177" t="s">
        <v>744</v>
      </c>
      <c r="D4177">
        <v>6.12</v>
      </c>
      <c r="E4177" s="18">
        <v>656</v>
      </c>
      <c r="F4177" t="s">
        <v>889</v>
      </c>
      <c r="G4177" t="s">
        <v>745</v>
      </c>
      <c r="H4177" s="18">
        <v>656</v>
      </c>
      <c r="I4177" s="3">
        <v>42013</v>
      </c>
      <c r="J4177"/>
      <c r="L4177"/>
      <c r="M4177"/>
      <c r="N4177" s="20"/>
      <c r="O4177"/>
      <c r="P4177" s="20"/>
      <c r="Q4177" s="20"/>
      <c r="R4177" s="20"/>
      <c r="S4177" s="20"/>
      <c r="T4177" s="20"/>
    </row>
    <row r="4178" spans="1:21" x14ac:dyDescent="0.25">
      <c r="A4178" s="3">
        <v>42019</v>
      </c>
      <c r="B4178" s="36">
        <v>365</v>
      </c>
      <c r="C4178" t="s">
        <v>4643</v>
      </c>
      <c r="D4178" s="55">
        <v>5.2</v>
      </c>
      <c r="E4178" s="18">
        <v>510</v>
      </c>
      <c r="F4178" t="s">
        <v>889</v>
      </c>
      <c r="G4178" t="s">
        <v>684</v>
      </c>
      <c r="H4178" s="18">
        <v>510</v>
      </c>
      <c r="I4178" s="3">
        <v>42019</v>
      </c>
      <c r="J4178"/>
      <c r="L4178"/>
      <c r="M4178"/>
      <c r="N4178" s="20"/>
      <c r="O4178"/>
      <c r="P4178" s="20"/>
      <c r="Q4178" s="20"/>
      <c r="R4178" s="20"/>
      <c r="S4178" s="20"/>
      <c r="T4178" s="20"/>
    </row>
    <row r="4179" spans="1:21" x14ac:dyDescent="0.25">
      <c r="A4179" s="3">
        <v>42019</v>
      </c>
      <c r="B4179" s="36">
        <v>365</v>
      </c>
      <c r="C4179" t="s">
        <v>4617</v>
      </c>
      <c r="D4179" s="55">
        <v>3.75</v>
      </c>
      <c r="E4179" s="18">
        <v>-375</v>
      </c>
      <c r="F4179" t="s">
        <v>889</v>
      </c>
      <c r="G4179" t="s">
        <v>4618</v>
      </c>
      <c r="H4179" s="18" t="s">
        <v>442</v>
      </c>
      <c r="I4179" s="3" t="s">
        <v>442</v>
      </c>
      <c r="J4179"/>
      <c r="L4179"/>
      <c r="M4179"/>
      <c r="N4179" s="20"/>
      <c r="O4179"/>
      <c r="P4179" s="20"/>
      <c r="Q4179" s="20"/>
      <c r="R4179" s="20"/>
      <c r="S4179" s="20"/>
      <c r="T4179" s="20"/>
    </row>
    <row r="4180" spans="1:21" x14ac:dyDescent="0.25">
      <c r="A4180" s="3">
        <v>42027</v>
      </c>
      <c r="B4180" s="36">
        <v>365</v>
      </c>
      <c r="C4180" t="s">
        <v>642</v>
      </c>
      <c r="D4180" s="55">
        <v>7.28</v>
      </c>
      <c r="E4180" s="18">
        <v>614</v>
      </c>
      <c r="F4180" t="s">
        <v>889</v>
      </c>
      <c r="G4180" t="s">
        <v>643</v>
      </c>
      <c r="H4180" s="18">
        <v>614</v>
      </c>
      <c r="I4180" s="3">
        <v>42027</v>
      </c>
      <c r="J4180"/>
      <c r="L4180"/>
      <c r="M4180"/>
      <c r="N4180" s="20"/>
      <c r="O4180"/>
      <c r="P4180" s="20"/>
      <c r="Q4180" s="20"/>
      <c r="R4180" s="20"/>
      <c r="S4180" s="20"/>
      <c r="T4180" s="20"/>
    </row>
    <row r="4181" spans="1:21" x14ac:dyDescent="0.25">
      <c r="A4181" s="3">
        <v>42034</v>
      </c>
      <c r="B4181">
        <v>365</v>
      </c>
      <c r="C4181" t="s">
        <v>602</v>
      </c>
      <c r="D4181" s="19">
        <v>5.46</v>
      </c>
      <c r="E4181" s="18">
        <v>623</v>
      </c>
      <c r="F4181" s="23" t="s">
        <v>889</v>
      </c>
      <c r="G4181" t="s">
        <v>603</v>
      </c>
      <c r="H4181" s="18"/>
      <c r="J4181"/>
      <c r="L4181"/>
      <c r="M4181"/>
      <c r="N4181" s="20"/>
      <c r="O4181"/>
      <c r="P4181" s="20"/>
      <c r="Q4181" s="20"/>
      <c r="R4181" s="20"/>
      <c r="S4181" s="20"/>
      <c r="T4181" s="20"/>
    </row>
    <row r="4182" spans="1:21" x14ac:dyDescent="0.25">
      <c r="A4182" s="3">
        <v>42034</v>
      </c>
      <c r="B4182">
        <v>365</v>
      </c>
      <c r="C4182" t="s">
        <v>608</v>
      </c>
      <c r="D4182" s="19">
        <v>4.16</v>
      </c>
      <c r="E4182" s="18">
        <v>350</v>
      </c>
      <c r="F4182" s="23" t="s">
        <v>889</v>
      </c>
      <c r="G4182" t="s">
        <v>609</v>
      </c>
      <c r="H4182" s="18"/>
      <c r="J4182"/>
      <c r="L4182"/>
      <c r="M4182"/>
      <c r="N4182" s="20"/>
      <c r="O4182"/>
      <c r="P4182" s="20"/>
      <c r="Q4182" s="20"/>
      <c r="R4182" s="20"/>
      <c r="S4182" s="20"/>
      <c r="T4182" s="20"/>
    </row>
    <row r="4183" spans="1:21" x14ac:dyDescent="0.25">
      <c r="A4183" s="3">
        <v>42034</v>
      </c>
      <c r="B4183">
        <v>365</v>
      </c>
      <c r="C4183" t="s">
        <v>610</v>
      </c>
      <c r="D4183" s="19">
        <v>4.42</v>
      </c>
      <c r="E4183" s="18">
        <v>350</v>
      </c>
      <c r="F4183" s="23" t="s">
        <v>889</v>
      </c>
      <c r="G4183" t="s">
        <v>611</v>
      </c>
      <c r="H4183" s="18"/>
      <c r="J4183"/>
      <c r="L4183"/>
      <c r="M4183"/>
      <c r="N4183" s="20"/>
      <c r="O4183"/>
      <c r="P4183" s="20"/>
      <c r="Q4183" s="20"/>
      <c r="R4183" s="20"/>
      <c r="S4183" s="20"/>
      <c r="T4183" s="20"/>
    </row>
    <row r="4184" spans="1:21" x14ac:dyDescent="0.25">
      <c r="A4184" s="3">
        <v>42041</v>
      </c>
      <c r="B4184">
        <v>365</v>
      </c>
      <c r="C4184" t="s">
        <v>538</v>
      </c>
      <c r="D4184">
        <v>7.54</v>
      </c>
      <c r="E4184" s="18">
        <v>250</v>
      </c>
      <c r="F4184" t="s">
        <v>889</v>
      </c>
      <c r="G4184" t="s">
        <v>539</v>
      </c>
      <c r="I4184"/>
      <c r="J4184"/>
      <c r="L4184"/>
      <c r="M4184"/>
      <c r="O4184"/>
      <c r="P4184" s="20"/>
      <c r="Q4184" s="20"/>
      <c r="R4184" s="20"/>
      <c r="S4184" s="20"/>
      <c r="T4184" s="20"/>
    </row>
    <row r="4185" spans="1:21" x14ac:dyDescent="0.25">
      <c r="A4185" s="3">
        <v>42041</v>
      </c>
      <c r="B4185">
        <v>365</v>
      </c>
      <c r="C4185" t="s">
        <v>490</v>
      </c>
      <c r="D4185">
        <v>6.5</v>
      </c>
      <c r="E4185" s="18">
        <v>250</v>
      </c>
      <c r="F4185" t="s">
        <v>889</v>
      </c>
      <c r="G4185" t="s">
        <v>491</v>
      </c>
      <c r="I4185"/>
      <c r="J4185"/>
      <c r="L4185"/>
      <c r="M4185"/>
      <c r="O4185"/>
      <c r="P4185" s="20"/>
      <c r="Q4185" s="20"/>
      <c r="R4185" s="20"/>
      <c r="S4185" s="20"/>
      <c r="T4185" s="20"/>
    </row>
    <row r="4186" spans="1:21" x14ac:dyDescent="0.25">
      <c r="B4186">
        <v>365</v>
      </c>
      <c r="C4186" t="s">
        <v>4615</v>
      </c>
      <c r="D4186">
        <v>6.5</v>
      </c>
      <c r="E4186" s="18">
        <v>216.66666666666666</v>
      </c>
      <c r="F4186" t="s">
        <v>889</v>
      </c>
      <c r="G4186" t="s">
        <v>4616</v>
      </c>
      <c r="I4186"/>
      <c r="J4186"/>
      <c r="L4186"/>
      <c r="M4186"/>
      <c r="O4186"/>
      <c r="P4186" s="20"/>
      <c r="Q4186" s="20"/>
      <c r="R4186" s="20"/>
      <c r="S4186" s="20"/>
      <c r="T4186" s="20"/>
      <c r="U4186" t="s">
        <v>401</v>
      </c>
    </row>
    <row r="4187" spans="1:21" x14ac:dyDescent="0.25">
      <c r="B4187">
        <v>365</v>
      </c>
      <c r="C4187" t="s">
        <v>4619</v>
      </c>
      <c r="D4187">
        <v>4.25</v>
      </c>
      <c r="E4187" s="18">
        <v>141.66666666666666</v>
      </c>
      <c r="F4187" t="s">
        <v>889</v>
      </c>
      <c r="G4187" t="s">
        <v>4620</v>
      </c>
      <c r="I4187"/>
      <c r="J4187"/>
      <c r="L4187"/>
      <c r="M4187"/>
      <c r="O4187"/>
      <c r="P4187" s="20"/>
      <c r="Q4187" s="20"/>
      <c r="R4187" s="20"/>
      <c r="S4187" s="20"/>
      <c r="T4187" s="20"/>
      <c r="U4187" t="s">
        <v>401</v>
      </c>
    </row>
    <row r="4188" spans="1:21" x14ac:dyDescent="0.25">
      <c r="B4188">
        <v>365</v>
      </c>
      <c r="C4188" t="s">
        <v>4611</v>
      </c>
      <c r="D4188">
        <v>10</v>
      </c>
      <c r="E4188" s="18">
        <v>333.33333333333331</v>
      </c>
      <c r="F4188" t="s">
        <v>889</v>
      </c>
      <c r="G4188" t="s">
        <v>4612</v>
      </c>
      <c r="I4188"/>
      <c r="J4188"/>
      <c r="L4188"/>
      <c r="M4188"/>
      <c r="O4188"/>
      <c r="P4188" s="20"/>
      <c r="Q4188" s="20"/>
      <c r="R4188" s="20"/>
      <c r="S4188" s="20"/>
      <c r="T4188" s="20"/>
      <c r="U4188" t="s">
        <v>401</v>
      </c>
    </row>
    <row r="4189" spans="1:21" x14ac:dyDescent="0.25">
      <c r="B4189">
        <v>365</v>
      </c>
      <c r="C4189" t="s">
        <v>4625</v>
      </c>
      <c r="D4189">
        <v>6.375</v>
      </c>
      <c r="E4189" s="18">
        <v>212.5</v>
      </c>
      <c r="F4189" t="s">
        <v>889</v>
      </c>
      <c r="G4189" t="s">
        <v>4626</v>
      </c>
      <c r="I4189"/>
      <c r="J4189"/>
      <c r="L4189"/>
      <c r="M4189"/>
      <c r="O4189"/>
      <c r="P4189" s="20"/>
      <c r="Q4189" s="20"/>
      <c r="R4189" s="20"/>
      <c r="S4189" s="20"/>
      <c r="T4189" s="20"/>
      <c r="U4189" t="s">
        <v>401</v>
      </c>
    </row>
    <row r="4190" spans="1:21" x14ac:dyDescent="0.25">
      <c r="B4190">
        <v>365</v>
      </c>
      <c r="C4190" t="s">
        <v>4603</v>
      </c>
      <c r="D4190">
        <v>4.75</v>
      </c>
      <c r="E4190" s="18">
        <v>158.33333333333334</v>
      </c>
      <c r="F4190" t="s">
        <v>889</v>
      </c>
      <c r="G4190" t="s">
        <v>4604</v>
      </c>
      <c r="I4190"/>
      <c r="J4190"/>
      <c r="L4190"/>
      <c r="M4190"/>
      <c r="O4190"/>
      <c r="P4190" s="20"/>
      <c r="Q4190" s="20"/>
      <c r="R4190" s="20"/>
      <c r="S4190" s="20"/>
      <c r="T4190" s="20"/>
      <c r="U4190" t="s">
        <v>401</v>
      </c>
    </row>
    <row r="4191" spans="1:21" x14ac:dyDescent="0.25">
      <c r="B4191">
        <v>365</v>
      </c>
      <c r="C4191" t="s">
        <v>4621</v>
      </c>
      <c r="D4191">
        <v>5.25</v>
      </c>
      <c r="E4191" s="18">
        <v>-2250</v>
      </c>
      <c r="F4191" t="s">
        <v>889</v>
      </c>
      <c r="G4191" t="s">
        <v>4622</v>
      </c>
      <c r="I4191"/>
      <c r="J4191"/>
      <c r="L4191"/>
      <c r="M4191"/>
      <c r="O4191"/>
      <c r="P4191" s="20"/>
      <c r="Q4191" s="20"/>
      <c r="R4191" s="20"/>
      <c r="S4191" s="20"/>
      <c r="T4191" s="20"/>
      <c r="U4191" t="s">
        <v>401</v>
      </c>
    </row>
    <row r="4192" spans="1:21" x14ac:dyDescent="0.25">
      <c r="B4192">
        <v>365</v>
      </c>
      <c r="C4192" t="s">
        <v>4609</v>
      </c>
      <c r="D4192">
        <v>5.75</v>
      </c>
      <c r="E4192" s="18">
        <v>191.66666666666666</v>
      </c>
      <c r="F4192" t="s">
        <v>889</v>
      </c>
      <c r="G4192" t="s">
        <v>4610</v>
      </c>
      <c r="I4192"/>
      <c r="J4192"/>
      <c r="L4192"/>
      <c r="M4192"/>
      <c r="O4192"/>
      <c r="P4192" s="20"/>
      <c r="Q4192" s="20"/>
      <c r="R4192" s="20"/>
      <c r="S4192" s="20"/>
      <c r="T4192" s="20"/>
      <c r="U4192" t="s">
        <v>401</v>
      </c>
    </row>
    <row r="4193" spans="1:21" x14ac:dyDescent="0.25">
      <c r="B4193">
        <v>365</v>
      </c>
      <c r="C4193" t="s">
        <v>4605</v>
      </c>
      <c r="D4193">
        <v>10.25</v>
      </c>
      <c r="E4193" s="18">
        <v>-194</v>
      </c>
      <c r="F4193" t="s">
        <v>889</v>
      </c>
      <c r="G4193" t="s">
        <v>4606</v>
      </c>
      <c r="I4193"/>
      <c r="J4193"/>
      <c r="L4193"/>
      <c r="M4193"/>
      <c r="O4193"/>
      <c r="P4193" s="20"/>
      <c r="Q4193" s="20"/>
      <c r="R4193" s="20"/>
      <c r="S4193" s="20"/>
      <c r="T4193" s="20"/>
      <c r="U4193" t="s">
        <v>401</v>
      </c>
    </row>
    <row r="4194" spans="1:21" x14ac:dyDescent="0.25">
      <c r="A4194" s="3">
        <v>41873</v>
      </c>
      <c r="B4194" s="36">
        <v>368</v>
      </c>
      <c r="C4194" t="s">
        <v>4644</v>
      </c>
      <c r="D4194">
        <v>5.0999999999999996</v>
      </c>
      <c r="E4194" s="18">
        <v>509.99999999999994</v>
      </c>
      <c r="F4194" t="s">
        <v>889</v>
      </c>
      <c r="G4194" t="s">
        <v>4645</v>
      </c>
      <c r="H4194" s="18">
        <v>509.99999999999994</v>
      </c>
      <c r="I4194" s="3">
        <v>41873</v>
      </c>
      <c r="J4194"/>
      <c r="L4194"/>
      <c r="M4194"/>
      <c r="N4194" s="20"/>
      <c r="O4194"/>
      <c r="P4194" s="20"/>
      <c r="Q4194" s="20"/>
      <c r="R4194" s="20"/>
      <c r="S4194" s="20"/>
      <c r="T4194" s="20"/>
    </row>
    <row r="4195" spans="1:21" x14ac:dyDescent="0.25">
      <c r="A4195" s="3">
        <v>41873</v>
      </c>
      <c r="B4195" s="36">
        <v>368</v>
      </c>
      <c r="C4195" t="s">
        <v>4646</v>
      </c>
      <c r="D4195">
        <v>3.3149999999999999</v>
      </c>
      <c r="E4195" s="18">
        <v>331.5</v>
      </c>
      <c r="F4195" t="s">
        <v>889</v>
      </c>
      <c r="G4195" t="s">
        <v>4647</v>
      </c>
      <c r="H4195" s="18">
        <v>331.5</v>
      </c>
      <c r="I4195" s="3">
        <v>41873</v>
      </c>
      <c r="J4195"/>
      <c r="L4195"/>
      <c r="M4195"/>
      <c r="N4195" s="20"/>
      <c r="O4195"/>
      <c r="P4195" s="20"/>
      <c r="Q4195" s="20"/>
      <c r="R4195" s="20"/>
      <c r="S4195" s="20"/>
      <c r="T4195" s="20"/>
    </row>
    <row r="4196" spans="1:21" x14ac:dyDescent="0.25">
      <c r="B4196">
        <v>368</v>
      </c>
      <c r="C4196" t="s">
        <v>4644</v>
      </c>
      <c r="D4196">
        <v>2.2949999999999999</v>
      </c>
      <c r="E4196" s="18">
        <v>-510</v>
      </c>
      <c r="F4196" t="s">
        <v>889</v>
      </c>
      <c r="G4196" t="s">
        <v>4645</v>
      </c>
      <c r="I4196"/>
      <c r="J4196"/>
      <c r="L4196"/>
      <c r="M4196"/>
      <c r="O4196"/>
      <c r="P4196" s="20"/>
      <c r="Q4196" s="20"/>
      <c r="R4196" s="20"/>
      <c r="S4196" s="20"/>
      <c r="T4196" s="20"/>
      <c r="U4196" t="s">
        <v>401</v>
      </c>
    </row>
    <row r="4197" spans="1:21" x14ac:dyDescent="0.25">
      <c r="B4197">
        <v>368</v>
      </c>
      <c r="C4197" t="s">
        <v>4646</v>
      </c>
      <c r="D4197">
        <v>3.3149999999999999</v>
      </c>
      <c r="E4197" s="18">
        <v>-331.5</v>
      </c>
      <c r="F4197" t="s">
        <v>889</v>
      </c>
      <c r="G4197" t="s">
        <v>4647</v>
      </c>
      <c r="I4197"/>
      <c r="J4197"/>
      <c r="L4197"/>
      <c r="M4197"/>
      <c r="O4197"/>
      <c r="P4197" s="20"/>
      <c r="Q4197" s="20"/>
      <c r="R4197" s="20"/>
      <c r="S4197" s="20"/>
      <c r="T4197" s="20"/>
      <c r="U4197" t="s">
        <v>401</v>
      </c>
    </row>
    <row r="4198" spans="1:21" x14ac:dyDescent="0.25">
      <c r="A4198" s="3">
        <v>41859</v>
      </c>
      <c r="B4198" s="36">
        <v>370</v>
      </c>
      <c r="C4198" t="s">
        <v>4648</v>
      </c>
      <c r="D4198">
        <v>3.8250000000000002</v>
      </c>
      <c r="E4198" s="18">
        <v>382.5</v>
      </c>
      <c r="F4198" t="s">
        <v>889</v>
      </c>
      <c r="G4198" t="s">
        <v>4649</v>
      </c>
      <c r="H4198" s="18">
        <v>382.5</v>
      </c>
      <c r="I4198" s="3">
        <v>41859</v>
      </c>
      <c r="J4198"/>
      <c r="L4198"/>
      <c r="M4198"/>
      <c r="N4198" s="20"/>
      <c r="O4198" t="s">
        <v>931</v>
      </c>
      <c r="P4198" s="20"/>
      <c r="Q4198" s="20"/>
      <c r="R4198" s="20"/>
      <c r="S4198" s="20"/>
      <c r="T4198" s="20"/>
    </row>
    <row r="4199" spans="1:21" x14ac:dyDescent="0.25">
      <c r="A4199" s="3">
        <v>41873</v>
      </c>
      <c r="B4199" s="36">
        <v>370</v>
      </c>
      <c r="C4199" t="s">
        <v>4650</v>
      </c>
      <c r="D4199">
        <v>3.8250000000000002</v>
      </c>
      <c r="E4199" s="18">
        <v>382.5</v>
      </c>
      <c r="F4199" t="s">
        <v>889</v>
      </c>
      <c r="G4199" t="s">
        <v>4651</v>
      </c>
      <c r="H4199" s="18">
        <v>382.5</v>
      </c>
      <c r="I4199" s="3">
        <v>41873</v>
      </c>
      <c r="J4199"/>
      <c r="L4199"/>
      <c r="M4199"/>
      <c r="N4199" s="20"/>
      <c r="O4199"/>
      <c r="P4199" s="20"/>
      <c r="Q4199" s="20"/>
      <c r="R4199" s="20"/>
      <c r="S4199" s="20"/>
      <c r="T4199" s="20"/>
    </row>
    <row r="4200" spans="1:21" x14ac:dyDescent="0.25">
      <c r="A4200" s="3">
        <v>42027</v>
      </c>
      <c r="B4200" s="36">
        <v>370</v>
      </c>
      <c r="C4200" s="64" t="s">
        <v>4648</v>
      </c>
      <c r="D4200" s="64">
        <v>3.8250000000000002</v>
      </c>
      <c r="E4200" s="18">
        <v>-382.5</v>
      </c>
      <c r="F4200" t="s">
        <v>889</v>
      </c>
      <c r="G4200" s="64" t="s">
        <v>4649</v>
      </c>
      <c r="H4200" s="18" t="s">
        <v>442</v>
      </c>
      <c r="I4200" s="3" t="s">
        <v>442</v>
      </c>
      <c r="J4200"/>
      <c r="L4200"/>
      <c r="M4200"/>
      <c r="N4200" s="20"/>
      <c r="O4200"/>
      <c r="P4200" s="20"/>
      <c r="Q4200" s="20"/>
      <c r="R4200" s="20"/>
      <c r="S4200" s="20"/>
      <c r="T4200" s="20"/>
    </row>
    <row r="4201" spans="1:21" x14ac:dyDescent="0.25">
      <c r="A4201" s="3">
        <v>42027</v>
      </c>
      <c r="B4201" s="36">
        <v>370</v>
      </c>
      <c r="C4201" t="s">
        <v>4652</v>
      </c>
      <c r="D4201" s="55">
        <v>3.8250000000000002</v>
      </c>
      <c r="E4201" s="18">
        <v>382.5</v>
      </c>
      <c r="F4201" t="s">
        <v>889</v>
      </c>
      <c r="G4201" t="s">
        <v>4651</v>
      </c>
      <c r="H4201" s="18">
        <v>382.5</v>
      </c>
      <c r="I4201" s="3">
        <v>42027</v>
      </c>
      <c r="J4201"/>
      <c r="L4201"/>
      <c r="M4201"/>
      <c r="N4201" s="20"/>
      <c r="O4201"/>
      <c r="P4201" s="20"/>
      <c r="Q4201" s="20"/>
      <c r="R4201" s="20"/>
      <c r="S4201" s="20"/>
      <c r="T4201" s="20"/>
    </row>
    <row r="4202" spans="1:21" x14ac:dyDescent="0.25">
      <c r="A4202" s="3">
        <v>41705</v>
      </c>
      <c r="B4202" s="36">
        <v>373</v>
      </c>
      <c r="C4202" t="s">
        <v>4653</v>
      </c>
      <c r="E4202" s="18">
        <v>500</v>
      </c>
      <c r="G4202" t="s">
        <v>4654</v>
      </c>
      <c r="H4202" s="18">
        <v>500</v>
      </c>
      <c r="I4202" s="3">
        <v>41705</v>
      </c>
      <c r="J4202"/>
      <c r="L4202"/>
      <c r="M4202"/>
      <c r="N4202" s="20"/>
      <c r="O4202" t="s">
        <v>4655</v>
      </c>
      <c r="P4202" s="20"/>
      <c r="Q4202" s="20"/>
      <c r="R4202" s="20"/>
      <c r="S4202" s="20"/>
      <c r="T4202" s="20"/>
    </row>
    <row r="4203" spans="1:21" x14ac:dyDescent="0.25">
      <c r="A4203" s="3">
        <v>41705</v>
      </c>
      <c r="B4203" s="36">
        <v>373</v>
      </c>
      <c r="C4203" t="s">
        <v>4656</v>
      </c>
      <c r="E4203" s="18">
        <v>750</v>
      </c>
      <c r="G4203" t="s">
        <v>4657</v>
      </c>
      <c r="H4203" s="18">
        <v>750</v>
      </c>
      <c r="I4203" s="3">
        <v>41705</v>
      </c>
      <c r="J4203"/>
      <c r="L4203"/>
      <c r="M4203"/>
      <c r="N4203" s="20"/>
      <c r="O4203"/>
      <c r="P4203" s="20"/>
      <c r="Q4203" s="20"/>
      <c r="R4203" s="20"/>
      <c r="S4203" s="20"/>
      <c r="T4203" s="20"/>
    </row>
    <row r="4204" spans="1:21" x14ac:dyDescent="0.25">
      <c r="A4204" s="3">
        <v>41733</v>
      </c>
      <c r="B4204" s="36">
        <v>373</v>
      </c>
      <c r="C4204" t="s">
        <v>4658</v>
      </c>
      <c r="D4204">
        <v>10</v>
      </c>
      <c r="E4204" s="18">
        <v>1000</v>
      </c>
      <c r="G4204" t="s">
        <v>4659</v>
      </c>
      <c r="H4204" s="18">
        <v>1000</v>
      </c>
      <c r="I4204" s="3">
        <v>41733</v>
      </c>
      <c r="J4204"/>
      <c r="L4204"/>
      <c r="M4204"/>
      <c r="N4204" s="20"/>
      <c r="O4204"/>
      <c r="P4204" s="20"/>
      <c r="Q4204" s="20"/>
      <c r="R4204" s="20"/>
      <c r="S4204" s="20"/>
      <c r="T4204" s="20"/>
    </row>
    <row r="4205" spans="1:21" x14ac:dyDescent="0.25">
      <c r="A4205" s="3">
        <v>41843</v>
      </c>
      <c r="B4205" s="36">
        <v>373</v>
      </c>
      <c r="C4205" t="s">
        <v>4658</v>
      </c>
      <c r="D4205">
        <v>10</v>
      </c>
      <c r="E4205" s="18">
        <v>1000</v>
      </c>
      <c r="G4205" t="s">
        <v>4659</v>
      </c>
      <c r="H4205" s="18">
        <v>1000</v>
      </c>
      <c r="I4205" s="3">
        <v>41843</v>
      </c>
      <c r="J4205"/>
      <c r="L4205"/>
      <c r="M4205"/>
      <c r="N4205" s="20"/>
      <c r="O4205"/>
      <c r="P4205" s="20"/>
      <c r="Q4205" s="20"/>
      <c r="R4205" s="20"/>
      <c r="S4205" s="20"/>
      <c r="T4205" s="20"/>
    </row>
    <row r="4206" spans="1:21" x14ac:dyDescent="0.25">
      <c r="A4206" s="3">
        <v>41862</v>
      </c>
      <c r="B4206" s="36">
        <v>373</v>
      </c>
      <c r="C4206" t="s">
        <v>2552</v>
      </c>
      <c r="E4206" s="18">
        <v>1200</v>
      </c>
      <c r="F4206" t="s">
        <v>889</v>
      </c>
      <c r="G4206" t="s">
        <v>442</v>
      </c>
      <c r="H4206" s="18" t="s">
        <v>442</v>
      </c>
      <c r="I4206" s="3" t="s">
        <v>442</v>
      </c>
      <c r="J4206"/>
      <c r="L4206"/>
      <c r="M4206"/>
      <c r="N4206" s="20"/>
      <c r="O4206"/>
      <c r="P4206" s="20"/>
      <c r="Q4206" s="20"/>
      <c r="R4206" s="20"/>
      <c r="S4206" s="20"/>
      <c r="T4206" s="20" t="s">
        <v>401</v>
      </c>
    </row>
    <row r="4207" spans="1:21" x14ac:dyDescent="0.25">
      <c r="A4207" s="3">
        <v>41862</v>
      </c>
      <c r="B4207" s="36">
        <v>373</v>
      </c>
      <c r="C4207" t="s">
        <v>1468</v>
      </c>
      <c r="E4207" s="18">
        <v>300</v>
      </c>
      <c r="F4207" t="s">
        <v>889</v>
      </c>
      <c r="H4207" s="18" t="s">
        <v>442</v>
      </c>
      <c r="I4207" s="3" t="s">
        <v>442</v>
      </c>
      <c r="J4207"/>
      <c r="L4207"/>
      <c r="M4207"/>
      <c r="N4207" s="20"/>
      <c r="O4207" t="s">
        <v>4660</v>
      </c>
      <c r="P4207" s="20" t="s">
        <v>401</v>
      </c>
      <c r="Q4207" s="20"/>
      <c r="R4207" s="20"/>
      <c r="S4207" s="20"/>
      <c r="T4207" s="20"/>
    </row>
    <row r="4208" spans="1:21" x14ac:dyDescent="0.25">
      <c r="A4208" s="3">
        <v>41865</v>
      </c>
      <c r="B4208" s="36">
        <v>373</v>
      </c>
      <c r="C4208" t="s">
        <v>2701</v>
      </c>
      <c r="E4208" s="18">
        <v>1200</v>
      </c>
      <c r="F4208" t="s">
        <v>889</v>
      </c>
      <c r="G4208" t="s">
        <v>442</v>
      </c>
      <c r="H4208" s="18" t="s">
        <v>442</v>
      </c>
      <c r="I4208" s="3" t="s">
        <v>442</v>
      </c>
      <c r="J4208"/>
      <c r="L4208"/>
      <c r="M4208"/>
      <c r="N4208" s="20"/>
      <c r="O4208"/>
      <c r="P4208" s="20"/>
      <c r="Q4208" s="20"/>
      <c r="R4208" s="20"/>
      <c r="S4208" s="20"/>
      <c r="T4208" s="20" t="s">
        <v>401</v>
      </c>
    </row>
    <row r="4209" spans="1:20" x14ac:dyDescent="0.25">
      <c r="A4209" s="3">
        <v>41887</v>
      </c>
      <c r="B4209" s="36">
        <v>373</v>
      </c>
      <c r="C4209" t="s">
        <v>4661</v>
      </c>
      <c r="E4209" s="18">
        <v>-1888.37</v>
      </c>
      <c r="F4209" t="s">
        <v>891</v>
      </c>
      <c r="G4209" t="s">
        <v>442</v>
      </c>
      <c r="H4209" s="18" t="s">
        <v>442</v>
      </c>
      <c r="I4209" s="3" t="s">
        <v>442</v>
      </c>
      <c r="J4209"/>
      <c r="L4209"/>
      <c r="M4209"/>
      <c r="N4209" s="20"/>
      <c r="O4209"/>
      <c r="P4209" s="20"/>
      <c r="Q4209" s="20" t="s">
        <v>401</v>
      </c>
      <c r="R4209" s="20"/>
      <c r="S4209" s="20"/>
      <c r="T4209" s="20"/>
    </row>
    <row r="4210" spans="1:20" x14ac:dyDescent="0.25">
      <c r="A4210" s="3">
        <v>41894</v>
      </c>
      <c r="B4210" s="36">
        <v>373</v>
      </c>
      <c r="C4210" t="s">
        <v>1111</v>
      </c>
      <c r="E4210" s="18">
        <v>-452.79033329999999</v>
      </c>
      <c r="F4210" t="s">
        <v>891</v>
      </c>
      <c r="G4210" t="s">
        <v>442</v>
      </c>
      <c r="H4210" s="18" t="s">
        <v>442</v>
      </c>
      <c r="I4210" s="3" t="s">
        <v>442</v>
      </c>
      <c r="J4210"/>
      <c r="L4210"/>
      <c r="M4210"/>
      <c r="N4210" s="20"/>
      <c r="O4210"/>
      <c r="P4210" s="20"/>
      <c r="Q4210" s="20" t="s">
        <v>401</v>
      </c>
      <c r="R4210" s="20"/>
      <c r="S4210" s="20"/>
      <c r="T4210" s="20"/>
    </row>
    <row r="4211" spans="1:20" x14ac:dyDescent="0.25">
      <c r="A4211" s="3">
        <v>41901</v>
      </c>
      <c r="B4211" s="36">
        <v>373</v>
      </c>
      <c r="C4211" t="s">
        <v>1110</v>
      </c>
      <c r="E4211" s="18">
        <v>-452.79033329999999</v>
      </c>
      <c r="F4211" t="s">
        <v>891</v>
      </c>
      <c r="G4211" t="s">
        <v>442</v>
      </c>
      <c r="H4211" s="18" t="s">
        <v>442</v>
      </c>
      <c r="I4211" s="3" t="s">
        <v>442</v>
      </c>
      <c r="J4211"/>
      <c r="L4211"/>
      <c r="M4211"/>
      <c r="N4211" s="20"/>
      <c r="O4211"/>
      <c r="P4211" s="20"/>
      <c r="Q4211" s="20" t="s">
        <v>401</v>
      </c>
      <c r="R4211" s="20"/>
      <c r="S4211" s="20"/>
      <c r="T4211" s="20"/>
    </row>
    <row r="4212" spans="1:20" x14ac:dyDescent="0.25">
      <c r="A4212" s="3">
        <v>41907</v>
      </c>
      <c r="B4212" s="36">
        <v>373</v>
      </c>
      <c r="C4212" t="s">
        <v>1117</v>
      </c>
      <c r="E4212" s="18">
        <v>-452.79033329999999</v>
      </c>
      <c r="F4212" t="s">
        <v>891</v>
      </c>
      <c r="G4212" t="s">
        <v>442</v>
      </c>
      <c r="H4212" s="18" t="s">
        <v>442</v>
      </c>
      <c r="I4212" s="3" t="s">
        <v>442</v>
      </c>
      <c r="J4212"/>
      <c r="L4212"/>
      <c r="M4212"/>
      <c r="N4212" s="20"/>
      <c r="O4212"/>
      <c r="P4212" s="20"/>
      <c r="Q4212" s="20" t="s">
        <v>401</v>
      </c>
      <c r="R4212" s="20"/>
      <c r="S4212" s="20"/>
      <c r="T4212" s="20"/>
    </row>
    <row r="4213" spans="1:20" x14ac:dyDescent="0.25">
      <c r="A4213" s="3">
        <v>41915</v>
      </c>
      <c r="B4213" s="36">
        <v>373</v>
      </c>
      <c r="C4213" t="s">
        <v>1509</v>
      </c>
      <c r="E4213" s="18">
        <v>-442.3573763</v>
      </c>
      <c r="F4213" t="s">
        <v>891</v>
      </c>
      <c r="G4213" t="s">
        <v>442</v>
      </c>
      <c r="H4213" s="18" t="s">
        <v>442</v>
      </c>
      <c r="I4213" s="3" t="s">
        <v>442</v>
      </c>
      <c r="J4213"/>
      <c r="L4213"/>
      <c r="M4213"/>
      <c r="N4213" s="20"/>
      <c r="O4213"/>
      <c r="P4213" s="20"/>
      <c r="Q4213" s="20" t="s">
        <v>401</v>
      </c>
      <c r="R4213" s="20"/>
      <c r="S4213" s="20"/>
      <c r="T4213" s="20"/>
    </row>
    <row r="4214" spans="1:20" x14ac:dyDescent="0.25">
      <c r="A4214" s="3">
        <v>41995</v>
      </c>
      <c r="B4214" s="36">
        <v>373</v>
      </c>
      <c r="C4214" t="s">
        <v>4662</v>
      </c>
      <c r="E4214" s="18">
        <v>500</v>
      </c>
      <c r="F4214" t="s">
        <v>889</v>
      </c>
      <c r="G4214" t="s">
        <v>442</v>
      </c>
      <c r="H4214" s="18" t="s">
        <v>442</v>
      </c>
      <c r="I4214" s="3" t="s">
        <v>442</v>
      </c>
      <c r="J4214"/>
      <c r="L4214"/>
      <c r="M4214"/>
      <c r="N4214" s="20"/>
      <c r="O4214"/>
      <c r="P4214" s="20"/>
      <c r="Q4214" s="20"/>
      <c r="R4214" s="20"/>
      <c r="S4214" s="20" t="s">
        <v>401</v>
      </c>
      <c r="T4214" s="20"/>
    </row>
    <row r="4215" spans="1:20" x14ac:dyDescent="0.25">
      <c r="A4215" s="3">
        <v>41858</v>
      </c>
      <c r="B4215" s="36">
        <v>378</v>
      </c>
      <c r="C4215" t="s">
        <v>4663</v>
      </c>
      <c r="D4215">
        <v>6.25</v>
      </c>
      <c r="E4215" s="18">
        <v>625</v>
      </c>
      <c r="F4215" t="s">
        <v>889</v>
      </c>
      <c r="G4215" t="s">
        <v>4664</v>
      </c>
      <c r="H4215" s="18">
        <v>625</v>
      </c>
      <c r="I4215" s="3">
        <v>41858</v>
      </c>
      <c r="J4215"/>
      <c r="L4215"/>
      <c r="M4215"/>
      <c r="N4215" s="20"/>
      <c r="O4215"/>
      <c r="P4215" s="20"/>
      <c r="Q4215" s="20"/>
      <c r="R4215" s="20"/>
      <c r="S4215" s="20"/>
      <c r="T4215" s="20"/>
    </row>
    <row r="4216" spans="1:20" x14ac:dyDescent="0.25">
      <c r="A4216" s="3">
        <v>41858</v>
      </c>
      <c r="B4216" s="36">
        <v>378</v>
      </c>
      <c r="C4216" t="s">
        <v>4665</v>
      </c>
      <c r="D4216">
        <v>6.5</v>
      </c>
      <c r="E4216" s="18">
        <v>650</v>
      </c>
      <c r="F4216" t="s">
        <v>889</v>
      </c>
      <c r="G4216" t="s">
        <v>4666</v>
      </c>
      <c r="H4216" s="18">
        <v>650</v>
      </c>
      <c r="I4216" s="3">
        <v>41858</v>
      </c>
      <c r="J4216"/>
      <c r="L4216"/>
      <c r="M4216"/>
      <c r="N4216" s="20"/>
      <c r="O4216"/>
      <c r="P4216" s="20"/>
      <c r="Q4216" s="20"/>
      <c r="R4216" s="20"/>
      <c r="S4216" s="20"/>
      <c r="T4216" s="20"/>
    </row>
    <row r="4217" spans="1:20" x14ac:dyDescent="0.25">
      <c r="A4217" s="3">
        <v>41858</v>
      </c>
      <c r="B4217" s="36">
        <v>378</v>
      </c>
      <c r="C4217" t="s">
        <v>4667</v>
      </c>
      <c r="D4217">
        <v>6.75</v>
      </c>
      <c r="E4217" s="18">
        <v>675</v>
      </c>
      <c r="F4217" t="s">
        <v>889</v>
      </c>
      <c r="G4217" t="s">
        <v>4668</v>
      </c>
      <c r="H4217" s="18">
        <v>675</v>
      </c>
      <c r="I4217" s="3">
        <v>41858</v>
      </c>
      <c r="J4217"/>
      <c r="L4217"/>
      <c r="M4217"/>
      <c r="N4217" s="20"/>
      <c r="O4217"/>
      <c r="P4217" s="20"/>
      <c r="Q4217" s="20"/>
      <c r="R4217" s="20"/>
      <c r="S4217" s="20"/>
      <c r="T4217" s="20"/>
    </row>
    <row r="4218" spans="1:20" x14ac:dyDescent="0.25">
      <c r="A4218" s="3">
        <v>41865</v>
      </c>
      <c r="B4218" s="36">
        <v>378</v>
      </c>
      <c r="C4218" t="s">
        <v>4669</v>
      </c>
      <c r="D4218">
        <v>18.75</v>
      </c>
      <c r="E4218" s="18">
        <v>1875</v>
      </c>
      <c r="F4218" t="s">
        <v>889</v>
      </c>
      <c r="G4218" t="s">
        <v>4670</v>
      </c>
      <c r="H4218" s="18">
        <v>1875</v>
      </c>
      <c r="I4218" s="3">
        <v>41865</v>
      </c>
      <c r="J4218"/>
      <c r="L4218"/>
      <c r="M4218"/>
      <c r="N4218" s="20"/>
      <c r="O4218"/>
      <c r="P4218" s="20"/>
      <c r="Q4218" s="20"/>
      <c r="R4218" s="20"/>
      <c r="S4218" s="20"/>
      <c r="T4218" s="20"/>
    </row>
    <row r="4219" spans="1:20" x14ac:dyDescent="0.25">
      <c r="A4219" s="3">
        <v>41865</v>
      </c>
      <c r="B4219" s="36">
        <v>378</v>
      </c>
      <c r="C4219" t="s">
        <v>4671</v>
      </c>
      <c r="D4219">
        <v>3.06</v>
      </c>
      <c r="E4219" s="18">
        <v>306</v>
      </c>
      <c r="F4219" t="s">
        <v>889</v>
      </c>
      <c r="G4219" t="s">
        <v>4672</v>
      </c>
      <c r="H4219" s="18">
        <v>306</v>
      </c>
      <c r="I4219" s="3">
        <v>41865</v>
      </c>
      <c r="J4219"/>
      <c r="L4219"/>
      <c r="M4219"/>
      <c r="N4219" s="20"/>
      <c r="O4219"/>
      <c r="P4219" s="20"/>
      <c r="Q4219" s="20"/>
      <c r="R4219" s="20"/>
      <c r="S4219" s="20"/>
      <c r="T4219" s="20"/>
    </row>
    <row r="4220" spans="1:20" x14ac:dyDescent="0.25">
      <c r="A4220" s="3">
        <v>41894</v>
      </c>
      <c r="B4220" s="36">
        <v>378</v>
      </c>
      <c r="C4220" t="s">
        <v>4673</v>
      </c>
      <c r="D4220">
        <v>8.5</v>
      </c>
      <c r="E4220" s="18">
        <v>850</v>
      </c>
      <c r="F4220" t="s">
        <v>889</v>
      </c>
      <c r="G4220" t="s">
        <v>4674</v>
      </c>
      <c r="H4220" s="18">
        <v>850</v>
      </c>
      <c r="I4220" s="3">
        <v>41894</v>
      </c>
      <c r="J4220"/>
      <c r="L4220"/>
      <c r="M4220"/>
      <c r="N4220" s="20"/>
      <c r="O4220"/>
      <c r="P4220" s="20"/>
      <c r="Q4220" s="20"/>
      <c r="R4220" s="20"/>
      <c r="S4220" s="20"/>
      <c r="T4220" s="20"/>
    </row>
    <row r="4221" spans="1:20" x14ac:dyDescent="0.25">
      <c r="A4221" s="3">
        <v>41995</v>
      </c>
      <c r="B4221" s="36">
        <v>378</v>
      </c>
      <c r="C4221" t="s">
        <v>4669</v>
      </c>
      <c r="D4221">
        <v>18.75</v>
      </c>
      <c r="E4221" s="18">
        <v>1875</v>
      </c>
      <c r="F4221" t="s">
        <v>889</v>
      </c>
      <c r="G4221" t="s">
        <v>4670</v>
      </c>
      <c r="H4221" s="18">
        <v>1875</v>
      </c>
      <c r="I4221" s="3">
        <v>41995</v>
      </c>
      <c r="J4221"/>
      <c r="L4221"/>
      <c r="M4221"/>
      <c r="N4221" s="20"/>
      <c r="O4221" t="s">
        <v>959</v>
      </c>
      <c r="P4221" s="20"/>
      <c r="Q4221" s="20"/>
      <c r="R4221" s="20"/>
      <c r="S4221" s="20"/>
      <c r="T4221" s="20"/>
    </row>
    <row r="4222" spans="1:20" x14ac:dyDescent="0.25">
      <c r="A4222" s="3">
        <v>42004</v>
      </c>
      <c r="B4222" s="36">
        <v>378</v>
      </c>
      <c r="C4222" t="s">
        <v>4675</v>
      </c>
      <c r="D4222">
        <v>7.75</v>
      </c>
      <c r="E4222" s="18">
        <v>775</v>
      </c>
      <c r="F4222" t="s">
        <v>889</v>
      </c>
      <c r="G4222" t="s">
        <v>4676</v>
      </c>
      <c r="H4222" s="18">
        <v>775</v>
      </c>
      <c r="I4222" s="3">
        <v>42004</v>
      </c>
      <c r="J4222"/>
      <c r="L4222"/>
      <c r="M4222"/>
      <c r="N4222" s="20"/>
      <c r="O4222"/>
      <c r="P4222" s="20"/>
      <c r="Q4222" s="20"/>
      <c r="R4222" s="20"/>
      <c r="S4222" s="20"/>
      <c r="T4222" s="20"/>
    </row>
    <row r="4223" spans="1:20" x14ac:dyDescent="0.25">
      <c r="A4223" s="3">
        <v>42004</v>
      </c>
      <c r="B4223" s="36">
        <v>378</v>
      </c>
      <c r="C4223" t="s">
        <v>4669</v>
      </c>
      <c r="D4223">
        <v>18.75</v>
      </c>
      <c r="E4223" s="18">
        <v>625</v>
      </c>
      <c r="F4223" t="s">
        <v>889</v>
      </c>
      <c r="G4223" t="s">
        <v>4670</v>
      </c>
      <c r="H4223" s="18">
        <v>625</v>
      </c>
      <c r="I4223" s="3">
        <v>42004</v>
      </c>
      <c r="J4223"/>
      <c r="L4223"/>
      <c r="M4223"/>
      <c r="N4223" s="20"/>
      <c r="O4223"/>
      <c r="P4223" s="20"/>
      <c r="Q4223" s="20"/>
      <c r="R4223" s="20"/>
      <c r="S4223" s="20"/>
      <c r="T4223" s="20"/>
    </row>
    <row r="4224" spans="1:20" x14ac:dyDescent="0.25">
      <c r="A4224" s="3">
        <v>42004</v>
      </c>
      <c r="B4224" s="36">
        <v>378</v>
      </c>
      <c r="C4224" t="s">
        <v>4665</v>
      </c>
      <c r="D4224">
        <v>6.5</v>
      </c>
      <c r="E4224" s="18">
        <v>216.66666666666666</v>
      </c>
      <c r="F4224" t="s">
        <v>889</v>
      </c>
      <c r="G4224" t="s">
        <v>4666</v>
      </c>
      <c r="H4224" s="18">
        <v>216.66666666666666</v>
      </c>
      <c r="I4224" s="3">
        <v>42004</v>
      </c>
      <c r="J4224"/>
      <c r="L4224"/>
      <c r="M4224"/>
      <c r="N4224" s="20"/>
      <c r="O4224"/>
      <c r="P4224" s="20"/>
      <c r="Q4224" s="20"/>
      <c r="R4224" s="20"/>
      <c r="S4224" s="20"/>
      <c r="T4224" s="20"/>
    </row>
    <row r="4225" spans="1:20" x14ac:dyDescent="0.25">
      <c r="A4225" s="3">
        <v>42004</v>
      </c>
      <c r="B4225" s="36">
        <v>378</v>
      </c>
      <c r="C4225" t="s">
        <v>4673</v>
      </c>
      <c r="D4225">
        <v>8.5</v>
      </c>
      <c r="E4225" s="18">
        <v>-850</v>
      </c>
      <c r="F4225" t="s">
        <v>889</v>
      </c>
      <c r="G4225" t="s">
        <v>4674</v>
      </c>
      <c r="H4225" s="18" t="s">
        <v>442</v>
      </c>
      <c r="I4225" s="3" t="s">
        <v>442</v>
      </c>
      <c r="J4225"/>
      <c r="L4225"/>
      <c r="M4225"/>
      <c r="N4225" s="20"/>
      <c r="O4225"/>
      <c r="P4225" s="20"/>
      <c r="Q4225" s="20"/>
      <c r="R4225" s="20"/>
      <c r="S4225" s="20"/>
      <c r="T4225" s="20"/>
    </row>
    <row r="4226" spans="1:20" x14ac:dyDescent="0.25">
      <c r="A4226" s="3">
        <v>42004</v>
      </c>
      <c r="B4226" s="36">
        <v>378</v>
      </c>
      <c r="C4226" t="s">
        <v>4667</v>
      </c>
      <c r="D4226">
        <v>6.75</v>
      </c>
      <c r="E4226" s="18">
        <v>-675</v>
      </c>
      <c r="F4226" t="s">
        <v>889</v>
      </c>
      <c r="G4226" t="s">
        <v>4668</v>
      </c>
      <c r="H4226" s="18" t="s">
        <v>442</v>
      </c>
      <c r="I4226" s="3" t="s">
        <v>442</v>
      </c>
      <c r="J4226"/>
      <c r="L4226"/>
      <c r="M4226"/>
      <c r="N4226" s="20"/>
      <c r="O4226"/>
      <c r="P4226" s="20"/>
      <c r="Q4226" s="20"/>
      <c r="R4226" s="20"/>
      <c r="S4226" s="20"/>
      <c r="T4226" s="20"/>
    </row>
    <row r="4227" spans="1:20" x14ac:dyDescent="0.25">
      <c r="A4227" s="3">
        <v>42004</v>
      </c>
      <c r="B4227" s="36">
        <v>378</v>
      </c>
      <c r="C4227" t="s">
        <v>4667</v>
      </c>
      <c r="D4227">
        <v>6.75</v>
      </c>
      <c r="E4227" s="18">
        <v>675</v>
      </c>
      <c r="F4227" t="s">
        <v>889</v>
      </c>
      <c r="G4227" t="s">
        <v>4668</v>
      </c>
      <c r="H4227" s="18">
        <v>675</v>
      </c>
      <c r="I4227" s="3">
        <v>42004</v>
      </c>
      <c r="J4227"/>
      <c r="L4227"/>
      <c r="M4227"/>
      <c r="N4227" s="20"/>
      <c r="O4227"/>
      <c r="P4227" s="20"/>
      <c r="Q4227" s="20"/>
      <c r="R4227" s="20"/>
      <c r="S4227" s="20"/>
      <c r="T4227" s="20"/>
    </row>
    <row r="4228" spans="1:20" x14ac:dyDescent="0.25">
      <c r="A4228" s="3">
        <v>42041</v>
      </c>
      <c r="B4228">
        <v>378</v>
      </c>
      <c r="C4228" t="s">
        <v>4669</v>
      </c>
      <c r="E4228" s="18">
        <v>625</v>
      </c>
      <c r="F4228" t="s">
        <v>889</v>
      </c>
      <c r="G4228" t="s">
        <v>4670</v>
      </c>
      <c r="I4228"/>
      <c r="J4228"/>
      <c r="L4228"/>
      <c r="M4228"/>
      <c r="O4228"/>
      <c r="P4228" s="20"/>
      <c r="Q4228" s="20"/>
      <c r="R4228" s="20"/>
      <c r="S4228" s="20"/>
      <c r="T4228" s="20"/>
    </row>
    <row r="4229" spans="1:20" x14ac:dyDescent="0.25">
      <c r="A4229" s="3">
        <v>42041</v>
      </c>
      <c r="B4229">
        <v>378</v>
      </c>
      <c r="C4229" t="s">
        <v>4665</v>
      </c>
      <c r="E4229" s="18">
        <v>216.66666666666666</v>
      </c>
      <c r="F4229" t="s">
        <v>889</v>
      </c>
      <c r="G4229" t="s">
        <v>4666</v>
      </c>
      <c r="I4229"/>
      <c r="J4229"/>
      <c r="L4229"/>
      <c r="M4229"/>
      <c r="O4229"/>
      <c r="P4229" s="20"/>
      <c r="Q4229" s="20"/>
      <c r="R4229" s="20"/>
      <c r="S4229" s="20"/>
      <c r="T4229" s="20"/>
    </row>
    <row r="4230" spans="1:20" x14ac:dyDescent="0.25">
      <c r="A4230" s="3">
        <v>41838</v>
      </c>
      <c r="B4230" s="36">
        <v>379</v>
      </c>
      <c r="C4230" t="s">
        <v>4677</v>
      </c>
      <c r="E4230" s="18">
        <v>500</v>
      </c>
      <c r="G4230" t="s">
        <v>442</v>
      </c>
      <c r="H4230" s="18" t="s">
        <v>442</v>
      </c>
      <c r="I4230" s="3" t="s">
        <v>442</v>
      </c>
      <c r="J4230"/>
      <c r="L4230"/>
      <c r="M4230"/>
      <c r="N4230" s="20"/>
      <c r="O4230"/>
      <c r="P4230" s="20"/>
      <c r="Q4230" s="20"/>
      <c r="R4230" s="20"/>
      <c r="S4230" s="20"/>
      <c r="T4230" s="20" t="s">
        <v>401</v>
      </c>
    </row>
    <row r="4231" spans="1:20" x14ac:dyDescent="0.25">
      <c r="A4231" s="3">
        <v>41851</v>
      </c>
      <c r="B4231" s="36">
        <v>379</v>
      </c>
      <c r="C4231" t="s">
        <v>4678</v>
      </c>
      <c r="D4231">
        <v>9.5</v>
      </c>
      <c r="E4231" s="18">
        <v>190</v>
      </c>
      <c r="F4231" t="s">
        <v>889</v>
      </c>
      <c r="G4231" s="20" t="s">
        <v>1086</v>
      </c>
      <c r="H4231" s="18">
        <v>190</v>
      </c>
      <c r="I4231" s="3">
        <v>41851</v>
      </c>
      <c r="J4231"/>
      <c r="L4231"/>
      <c r="M4231"/>
      <c r="N4231" s="20"/>
      <c r="O4231"/>
      <c r="P4231" s="20"/>
      <c r="Q4231" s="20"/>
      <c r="R4231" s="20"/>
      <c r="S4231" s="20"/>
      <c r="T4231" s="20"/>
    </row>
    <row r="4232" spans="1:20" x14ac:dyDescent="0.25">
      <c r="A4232" s="3">
        <v>41851</v>
      </c>
      <c r="B4232" s="36">
        <v>379</v>
      </c>
      <c r="C4232" t="s">
        <v>4679</v>
      </c>
      <c r="D4232">
        <v>8</v>
      </c>
      <c r="E4232" s="18">
        <v>160</v>
      </c>
      <c r="F4232" t="s">
        <v>889</v>
      </c>
      <c r="G4232" s="20" t="s">
        <v>1086</v>
      </c>
      <c r="H4232" s="18">
        <v>160</v>
      </c>
      <c r="I4232" s="3">
        <v>41851</v>
      </c>
      <c r="J4232"/>
      <c r="L4232"/>
      <c r="M4232"/>
      <c r="N4232" s="20"/>
      <c r="O4232"/>
      <c r="P4232" s="20"/>
      <c r="Q4232" s="20"/>
      <c r="R4232" s="20"/>
      <c r="S4232" s="20"/>
      <c r="T4232" s="20"/>
    </row>
    <row r="4233" spans="1:20" x14ac:dyDescent="0.25">
      <c r="A4233" s="3">
        <v>41851</v>
      </c>
      <c r="B4233" s="36">
        <v>379</v>
      </c>
      <c r="C4233" t="s">
        <v>302</v>
      </c>
      <c r="D4233">
        <v>8.25</v>
      </c>
      <c r="E4233" s="18">
        <v>165</v>
      </c>
      <c r="F4233" t="s">
        <v>889</v>
      </c>
      <c r="G4233" s="20" t="s">
        <v>4680</v>
      </c>
      <c r="H4233" s="18">
        <v>165</v>
      </c>
      <c r="I4233" s="3">
        <v>41851</v>
      </c>
      <c r="J4233"/>
      <c r="L4233"/>
      <c r="M4233"/>
      <c r="N4233" s="20"/>
      <c r="O4233"/>
      <c r="P4233" s="20"/>
      <c r="Q4233" s="20"/>
      <c r="R4233" s="20"/>
      <c r="S4233" s="20"/>
      <c r="T4233" s="20"/>
    </row>
    <row r="4234" spans="1:20" x14ac:dyDescent="0.25">
      <c r="A4234" s="3">
        <v>41851</v>
      </c>
      <c r="B4234" s="36">
        <v>379</v>
      </c>
      <c r="C4234" t="s">
        <v>4677</v>
      </c>
      <c r="E4234" s="18">
        <v>-500</v>
      </c>
      <c r="F4234" t="s">
        <v>889</v>
      </c>
      <c r="G4234" s="20" t="s">
        <v>442</v>
      </c>
      <c r="H4234" s="18" t="s">
        <v>442</v>
      </c>
      <c r="I4234" s="3" t="s">
        <v>442</v>
      </c>
      <c r="J4234"/>
      <c r="L4234"/>
      <c r="M4234"/>
      <c r="N4234" s="20"/>
      <c r="O4234"/>
      <c r="P4234" s="20"/>
      <c r="Q4234" s="20"/>
      <c r="R4234" s="20"/>
      <c r="S4234" s="20"/>
      <c r="T4234" s="20" t="s">
        <v>401</v>
      </c>
    </row>
    <row r="4235" spans="1:20" x14ac:dyDescent="0.25">
      <c r="A4235" s="3">
        <v>41851</v>
      </c>
      <c r="B4235" s="36">
        <v>379</v>
      </c>
      <c r="C4235" t="s">
        <v>4681</v>
      </c>
      <c r="D4235">
        <v>7.25</v>
      </c>
      <c r="E4235" s="18">
        <v>145</v>
      </c>
      <c r="F4235" t="s">
        <v>889</v>
      </c>
      <c r="G4235" s="20" t="s">
        <v>1086</v>
      </c>
      <c r="H4235" s="18">
        <v>145</v>
      </c>
      <c r="I4235" s="3">
        <v>41851</v>
      </c>
      <c r="J4235"/>
      <c r="L4235"/>
      <c r="M4235"/>
      <c r="N4235" s="20"/>
      <c r="O4235"/>
      <c r="P4235" s="20"/>
      <c r="Q4235" s="20"/>
      <c r="R4235" s="20"/>
      <c r="S4235" s="20"/>
      <c r="T4235" s="20"/>
    </row>
    <row r="4236" spans="1:20" x14ac:dyDescent="0.25">
      <c r="A4236" s="3">
        <v>41851</v>
      </c>
      <c r="B4236" s="36">
        <v>379</v>
      </c>
      <c r="C4236" t="s">
        <v>4682</v>
      </c>
      <c r="D4236">
        <v>10.75</v>
      </c>
      <c r="E4236" s="18">
        <v>215</v>
      </c>
      <c r="F4236" t="s">
        <v>889</v>
      </c>
      <c r="G4236" s="20" t="s">
        <v>1086</v>
      </c>
      <c r="H4236" s="18">
        <v>215</v>
      </c>
      <c r="I4236" s="3">
        <v>41851</v>
      </c>
      <c r="J4236"/>
      <c r="L4236"/>
      <c r="M4236"/>
      <c r="N4236" s="20"/>
      <c r="O4236"/>
      <c r="P4236" s="20"/>
      <c r="Q4236" s="20"/>
      <c r="R4236" s="20"/>
      <c r="S4236" s="20"/>
      <c r="T4236" s="20"/>
    </row>
    <row r="4237" spans="1:20" x14ac:dyDescent="0.25">
      <c r="A4237" s="3">
        <v>41866</v>
      </c>
      <c r="B4237" s="36">
        <v>379</v>
      </c>
      <c r="C4237" t="s">
        <v>4679</v>
      </c>
      <c r="D4237">
        <v>24.75</v>
      </c>
      <c r="E4237" s="18">
        <v>2315</v>
      </c>
      <c r="F4237" t="s">
        <v>889</v>
      </c>
      <c r="G4237" s="20" t="s">
        <v>1086</v>
      </c>
      <c r="H4237" s="18">
        <v>2315</v>
      </c>
      <c r="I4237" s="3">
        <v>41866</v>
      </c>
      <c r="J4237"/>
      <c r="L4237"/>
      <c r="M4237"/>
      <c r="N4237" s="20"/>
      <c r="O4237" t="s">
        <v>4683</v>
      </c>
      <c r="P4237" s="20"/>
      <c r="Q4237" s="20"/>
      <c r="R4237" s="20"/>
      <c r="S4237" s="20"/>
      <c r="T4237" s="20"/>
    </row>
    <row r="4238" spans="1:20" x14ac:dyDescent="0.25">
      <c r="A4238" s="3">
        <v>41866</v>
      </c>
      <c r="B4238" s="36">
        <v>379</v>
      </c>
      <c r="C4238" t="s">
        <v>4684</v>
      </c>
      <c r="D4238">
        <v>6</v>
      </c>
      <c r="E4238" s="18">
        <v>120</v>
      </c>
      <c r="F4238" t="s">
        <v>889</v>
      </c>
      <c r="G4238" s="20" t="s">
        <v>1086</v>
      </c>
      <c r="H4238" s="18">
        <v>120</v>
      </c>
      <c r="I4238" s="3">
        <v>41866</v>
      </c>
      <c r="J4238"/>
      <c r="L4238"/>
      <c r="M4238"/>
      <c r="N4238" s="20"/>
      <c r="O4238" t="s">
        <v>4685</v>
      </c>
      <c r="P4238" s="20"/>
      <c r="Q4238" s="20"/>
      <c r="R4238" s="20"/>
      <c r="S4238" s="20"/>
      <c r="T4238" s="20"/>
    </row>
    <row r="4239" spans="1:20" x14ac:dyDescent="0.25">
      <c r="A4239" s="3">
        <v>41876</v>
      </c>
      <c r="B4239" s="36">
        <v>379</v>
      </c>
      <c r="C4239" t="s">
        <v>4686</v>
      </c>
      <c r="D4239">
        <v>8.5</v>
      </c>
      <c r="E4239" s="18">
        <v>850</v>
      </c>
      <c r="F4239" t="s">
        <v>889</v>
      </c>
      <c r="G4239" s="20" t="s">
        <v>1086</v>
      </c>
      <c r="H4239" s="18">
        <v>850</v>
      </c>
      <c r="I4239" s="3">
        <v>41876</v>
      </c>
      <c r="J4239"/>
      <c r="L4239"/>
      <c r="M4239"/>
      <c r="N4239" s="20"/>
      <c r="O4239"/>
      <c r="P4239" s="20"/>
      <c r="Q4239" s="20"/>
      <c r="R4239" s="20"/>
      <c r="S4239" s="20"/>
      <c r="T4239" s="20"/>
    </row>
    <row r="4240" spans="1:20" x14ac:dyDescent="0.25">
      <c r="A4240" s="3">
        <v>41901</v>
      </c>
      <c r="B4240" s="36">
        <v>379</v>
      </c>
      <c r="C4240" t="s">
        <v>4687</v>
      </c>
      <c r="E4240" s="18">
        <v>390</v>
      </c>
      <c r="H4240" s="18" t="s">
        <v>442</v>
      </c>
      <c r="I4240" s="3" t="s">
        <v>442</v>
      </c>
      <c r="J4240"/>
      <c r="L4240"/>
      <c r="M4240"/>
      <c r="N4240" s="20"/>
      <c r="O4240"/>
      <c r="P4240" s="20" t="s">
        <v>401</v>
      </c>
      <c r="Q4240" s="20"/>
      <c r="R4240" s="20"/>
      <c r="S4240" s="20"/>
      <c r="T4240" s="20"/>
    </row>
    <row r="4241" spans="1:21" x14ac:dyDescent="0.25">
      <c r="A4241" s="3">
        <v>41904</v>
      </c>
      <c r="B4241" s="36">
        <v>379</v>
      </c>
      <c r="C4241" t="s">
        <v>4688</v>
      </c>
      <c r="D4241">
        <v>6.25</v>
      </c>
      <c r="E4241" s="18">
        <v>625</v>
      </c>
      <c r="F4241" t="s">
        <v>889</v>
      </c>
      <c r="G4241" t="s">
        <v>4689</v>
      </c>
      <c r="H4241" s="18">
        <v>625</v>
      </c>
      <c r="I4241" s="3">
        <v>41904</v>
      </c>
      <c r="J4241"/>
      <c r="L4241"/>
      <c r="M4241"/>
      <c r="N4241" s="20"/>
      <c r="O4241"/>
      <c r="P4241" s="20"/>
      <c r="Q4241" s="20"/>
      <c r="R4241" s="20"/>
      <c r="S4241" s="20"/>
      <c r="T4241" s="20"/>
    </row>
    <row r="4242" spans="1:21" x14ac:dyDescent="0.25">
      <c r="A4242" s="3">
        <v>41907</v>
      </c>
      <c r="B4242" s="36">
        <v>379</v>
      </c>
      <c r="C4242" t="s">
        <v>4688</v>
      </c>
      <c r="D4242">
        <v>6.25</v>
      </c>
      <c r="E4242" s="18">
        <v>625</v>
      </c>
      <c r="F4242" t="s">
        <v>889</v>
      </c>
      <c r="G4242" t="s">
        <v>4689</v>
      </c>
      <c r="H4242" s="18">
        <v>625</v>
      </c>
      <c r="I4242" s="3">
        <v>41907</v>
      </c>
      <c r="J4242"/>
      <c r="L4242"/>
      <c r="M4242"/>
      <c r="N4242" s="20"/>
      <c r="O4242"/>
      <c r="P4242" s="20"/>
      <c r="Q4242" s="20"/>
      <c r="R4242" s="20"/>
      <c r="S4242" s="20"/>
      <c r="T4242" s="20"/>
    </row>
    <row r="4243" spans="1:21" x14ac:dyDescent="0.25">
      <c r="B4243">
        <v>379</v>
      </c>
      <c r="C4243" t="s">
        <v>4690</v>
      </c>
      <c r="E4243" s="18">
        <v>-992.52110219999997</v>
      </c>
      <c r="F4243" t="s">
        <v>891</v>
      </c>
      <c r="G4243" t="s">
        <v>442</v>
      </c>
      <c r="I4243"/>
      <c r="J4243"/>
      <c r="L4243"/>
      <c r="M4243"/>
      <c r="O4243"/>
      <c r="P4243" s="20"/>
      <c r="Q4243" s="20"/>
      <c r="R4243" s="20"/>
      <c r="S4243" s="20"/>
      <c r="T4243" s="20"/>
      <c r="U4243" t="s">
        <v>401</v>
      </c>
    </row>
    <row r="4244" spans="1:21" x14ac:dyDescent="0.25">
      <c r="B4244">
        <v>379</v>
      </c>
      <c r="C4244" t="s">
        <v>1509</v>
      </c>
      <c r="E4244" s="18">
        <v>-290.22686019999998</v>
      </c>
      <c r="F4244" t="s">
        <v>891</v>
      </c>
      <c r="G4244" t="s">
        <v>442</v>
      </c>
      <c r="I4244"/>
      <c r="J4244"/>
      <c r="L4244"/>
      <c r="M4244"/>
      <c r="O4244"/>
      <c r="P4244" s="20"/>
      <c r="Q4244" s="20"/>
      <c r="R4244" s="20"/>
      <c r="S4244" s="20"/>
      <c r="T4244" s="20"/>
      <c r="U4244" t="s">
        <v>401</v>
      </c>
    </row>
    <row r="4245" spans="1:21" x14ac:dyDescent="0.25">
      <c r="B4245">
        <v>379</v>
      </c>
      <c r="C4245" t="s">
        <v>3076</v>
      </c>
      <c r="E4245" s="18">
        <v>-293</v>
      </c>
      <c r="G4245" t="s">
        <v>442</v>
      </c>
      <c r="I4245"/>
      <c r="J4245"/>
      <c r="L4245"/>
      <c r="M4245"/>
      <c r="O4245"/>
      <c r="P4245" s="20"/>
      <c r="Q4245" s="20"/>
      <c r="R4245" s="20"/>
      <c r="S4245" s="20"/>
      <c r="T4245" s="20"/>
      <c r="U4245" t="s">
        <v>401</v>
      </c>
    </row>
    <row r="4246" spans="1:21" x14ac:dyDescent="0.25">
      <c r="B4246">
        <v>379</v>
      </c>
      <c r="C4246" t="s">
        <v>4691</v>
      </c>
      <c r="E4246" s="18">
        <v>-247.4</v>
      </c>
      <c r="I4246"/>
      <c r="J4246"/>
      <c r="L4246"/>
      <c r="M4246"/>
      <c r="O4246"/>
      <c r="P4246" s="20"/>
      <c r="Q4246" s="20"/>
      <c r="R4246" s="20"/>
      <c r="S4246" s="20"/>
      <c r="T4246" s="20"/>
      <c r="U4246" t="s">
        <v>401</v>
      </c>
    </row>
    <row r="4247" spans="1:21" x14ac:dyDescent="0.25">
      <c r="B4247">
        <v>379</v>
      </c>
      <c r="C4247" t="s">
        <v>2573</v>
      </c>
      <c r="E4247" s="18">
        <v>-293</v>
      </c>
      <c r="F4247" t="s">
        <v>891</v>
      </c>
      <c r="G4247" t="s">
        <v>442</v>
      </c>
      <c r="I4247"/>
      <c r="J4247"/>
      <c r="L4247"/>
      <c r="M4247"/>
      <c r="O4247"/>
      <c r="P4247" s="20"/>
      <c r="Q4247" s="20"/>
      <c r="R4247" s="20"/>
      <c r="S4247" s="20"/>
      <c r="T4247" s="20"/>
      <c r="U4247" t="s">
        <v>401</v>
      </c>
    </row>
    <row r="4248" spans="1:21" x14ac:dyDescent="0.25">
      <c r="B4248">
        <v>379</v>
      </c>
      <c r="C4248" t="s">
        <v>1299</v>
      </c>
      <c r="E4248" s="18">
        <v>-293</v>
      </c>
      <c r="F4248" t="s">
        <v>891</v>
      </c>
      <c r="G4248" t="s">
        <v>442</v>
      </c>
      <c r="I4248"/>
      <c r="J4248"/>
      <c r="L4248"/>
      <c r="M4248"/>
      <c r="O4248"/>
      <c r="P4248" s="20"/>
      <c r="Q4248" s="20"/>
      <c r="R4248" s="20"/>
      <c r="S4248" s="20"/>
      <c r="T4248" s="20"/>
      <c r="U4248" t="s">
        <v>401</v>
      </c>
    </row>
    <row r="4249" spans="1:21" x14ac:dyDescent="0.25">
      <c r="B4249">
        <v>379</v>
      </c>
      <c r="C4249" t="s">
        <v>1304</v>
      </c>
      <c r="E4249" s="18">
        <v>-293</v>
      </c>
      <c r="F4249" t="s">
        <v>891</v>
      </c>
      <c r="G4249" t="s">
        <v>442</v>
      </c>
      <c r="I4249"/>
      <c r="J4249"/>
      <c r="L4249"/>
      <c r="M4249"/>
      <c r="O4249"/>
      <c r="P4249" s="20"/>
      <c r="Q4249" s="20"/>
      <c r="R4249" s="20"/>
      <c r="S4249" s="20"/>
      <c r="T4249" s="20"/>
      <c r="U4249" t="s">
        <v>401</v>
      </c>
    </row>
    <row r="4250" spans="1:21" x14ac:dyDescent="0.25">
      <c r="B4250">
        <v>379</v>
      </c>
      <c r="C4250" t="s">
        <v>1312</v>
      </c>
      <c r="E4250" s="18">
        <v>-293</v>
      </c>
      <c r="F4250" t="s">
        <v>891</v>
      </c>
      <c r="G4250" t="s">
        <v>442</v>
      </c>
      <c r="I4250"/>
      <c r="J4250"/>
      <c r="L4250"/>
      <c r="M4250"/>
      <c r="O4250"/>
      <c r="P4250" s="20"/>
      <c r="Q4250" s="20"/>
      <c r="R4250" s="20"/>
      <c r="S4250" s="20"/>
      <c r="T4250" s="20"/>
      <c r="U4250" t="s">
        <v>401</v>
      </c>
    </row>
    <row r="4251" spans="1:21" x14ac:dyDescent="0.25">
      <c r="B4251">
        <v>379</v>
      </c>
      <c r="C4251" t="s">
        <v>1282</v>
      </c>
      <c r="E4251" s="18">
        <v>-293</v>
      </c>
      <c r="F4251" t="s">
        <v>891</v>
      </c>
      <c r="G4251" t="s">
        <v>442</v>
      </c>
      <c r="I4251"/>
      <c r="J4251"/>
      <c r="L4251"/>
      <c r="M4251"/>
      <c r="O4251"/>
      <c r="P4251" s="20"/>
      <c r="Q4251" s="20"/>
      <c r="R4251" s="20"/>
      <c r="S4251" s="20"/>
      <c r="T4251" s="20"/>
      <c r="U4251" t="s">
        <v>401</v>
      </c>
    </row>
    <row r="4252" spans="1:21" x14ac:dyDescent="0.25">
      <c r="B4252">
        <v>379</v>
      </c>
      <c r="C4252" t="s">
        <v>1292</v>
      </c>
      <c r="E4252" s="18">
        <v>-293</v>
      </c>
      <c r="F4252" t="s">
        <v>891</v>
      </c>
      <c r="G4252" t="s">
        <v>442</v>
      </c>
      <c r="I4252"/>
      <c r="J4252"/>
      <c r="L4252"/>
      <c r="M4252"/>
      <c r="O4252"/>
      <c r="P4252" s="20"/>
      <c r="Q4252" s="20"/>
      <c r="R4252" s="20"/>
      <c r="S4252" s="20"/>
      <c r="T4252" s="20"/>
      <c r="U4252" t="s">
        <v>401</v>
      </c>
    </row>
    <row r="4253" spans="1:21" x14ac:dyDescent="0.25">
      <c r="B4253">
        <v>379</v>
      </c>
      <c r="C4253" t="s">
        <v>1300</v>
      </c>
      <c r="E4253" s="18">
        <v>-293</v>
      </c>
      <c r="F4253" t="s">
        <v>891</v>
      </c>
      <c r="G4253" t="s">
        <v>442</v>
      </c>
      <c r="I4253"/>
      <c r="J4253"/>
      <c r="L4253"/>
      <c r="M4253"/>
      <c r="O4253"/>
      <c r="P4253" s="20"/>
      <c r="Q4253" s="20"/>
      <c r="R4253" s="20"/>
      <c r="S4253" s="20"/>
      <c r="T4253" s="20"/>
      <c r="U4253" t="s">
        <v>401</v>
      </c>
    </row>
    <row r="4254" spans="1:21" x14ac:dyDescent="0.25">
      <c r="B4254">
        <v>379</v>
      </c>
      <c r="C4254" t="s">
        <v>1110</v>
      </c>
      <c r="E4254" s="18">
        <v>-297.07183329999998</v>
      </c>
      <c r="F4254" t="s">
        <v>891</v>
      </c>
      <c r="G4254" t="s">
        <v>442</v>
      </c>
      <c r="I4254"/>
      <c r="J4254"/>
      <c r="L4254"/>
      <c r="M4254"/>
      <c r="O4254"/>
      <c r="P4254" s="20"/>
      <c r="Q4254" s="20"/>
      <c r="R4254" s="20"/>
      <c r="S4254" s="20"/>
      <c r="T4254" s="20"/>
      <c r="U4254" t="s">
        <v>401</v>
      </c>
    </row>
    <row r="4255" spans="1:21" x14ac:dyDescent="0.25">
      <c r="B4255">
        <v>379</v>
      </c>
      <c r="C4255" t="s">
        <v>1117</v>
      </c>
      <c r="E4255" s="18">
        <v>-297.07183329999998</v>
      </c>
      <c r="F4255" t="s">
        <v>891</v>
      </c>
      <c r="G4255" t="s">
        <v>442</v>
      </c>
      <c r="I4255"/>
      <c r="J4255"/>
      <c r="L4255"/>
      <c r="M4255"/>
      <c r="O4255"/>
      <c r="P4255" s="20"/>
      <c r="Q4255" s="20"/>
      <c r="R4255" s="20"/>
      <c r="S4255" s="20"/>
      <c r="T4255" s="20"/>
      <c r="U4255" t="s">
        <v>401</v>
      </c>
    </row>
    <row r="4256" spans="1:21" x14ac:dyDescent="0.25">
      <c r="B4256">
        <v>379</v>
      </c>
      <c r="C4256" t="s">
        <v>1111</v>
      </c>
      <c r="E4256" s="18">
        <v>-297.07183329999998</v>
      </c>
      <c r="F4256" t="s">
        <v>891</v>
      </c>
      <c r="G4256" t="s">
        <v>442</v>
      </c>
      <c r="I4256"/>
      <c r="J4256"/>
      <c r="L4256"/>
      <c r="M4256"/>
      <c r="O4256"/>
      <c r="P4256" s="20"/>
      <c r="Q4256" s="20"/>
      <c r="R4256" s="20"/>
      <c r="S4256" s="20"/>
      <c r="T4256" s="20"/>
      <c r="U4256" t="s">
        <v>401</v>
      </c>
    </row>
    <row r="4257" spans="1:21" x14ac:dyDescent="0.25">
      <c r="B4257">
        <v>379</v>
      </c>
      <c r="C4257" t="s">
        <v>1283</v>
      </c>
      <c r="E4257" s="18">
        <v>-293</v>
      </c>
      <c r="F4257" t="s">
        <v>891</v>
      </c>
      <c r="G4257" t="s">
        <v>442</v>
      </c>
      <c r="I4257"/>
      <c r="J4257"/>
      <c r="L4257"/>
      <c r="M4257"/>
      <c r="O4257"/>
      <c r="P4257" s="20"/>
      <c r="Q4257" s="20"/>
      <c r="R4257" s="20"/>
      <c r="S4257" s="20"/>
      <c r="T4257" s="20"/>
      <c r="U4257" t="s">
        <v>401</v>
      </c>
    </row>
    <row r="4258" spans="1:21" x14ac:dyDescent="0.25">
      <c r="A4258" s="3">
        <v>41859</v>
      </c>
      <c r="B4258" s="36">
        <v>382</v>
      </c>
      <c r="C4258" t="s">
        <v>164</v>
      </c>
      <c r="D4258">
        <v>8</v>
      </c>
      <c r="E4258" s="18">
        <v>800</v>
      </c>
      <c r="F4258" t="s">
        <v>889</v>
      </c>
      <c r="G4258" t="s">
        <v>4692</v>
      </c>
      <c r="H4258" s="18">
        <v>800</v>
      </c>
      <c r="I4258" s="3">
        <v>41859</v>
      </c>
      <c r="J4258"/>
      <c r="L4258"/>
      <c r="M4258"/>
      <c r="N4258" s="20"/>
      <c r="O4258"/>
      <c r="P4258" s="20"/>
      <c r="Q4258" s="20"/>
      <c r="R4258" s="20"/>
      <c r="S4258" s="20"/>
      <c r="T4258" s="20"/>
    </row>
    <row r="4259" spans="1:21" x14ac:dyDescent="0.25">
      <c r="A4259" s="3">
        <v>41879</v>
      </c>
      <c r="B4259" s="36">
        <v>382</v>
      </c>
      <c r="C4259" t="s">
        <v>4693</v>
      </c>
      <c r="D4259">
        <v>8.25</v>
      </c>
      <c r="E4259" s="18">
        <v>525</v>
      </c>
      <c r="F4259" t="s">
        <v>889</v>
      </c>
      <c r="G4259" t="s">
        <v>4694</v>
      </c>
      <c r="H4259" s="18">
        <v>525</v>
      </c>
      <c r="I4259" s="3">
        <v>41879</v>
      </c>
      <c r="J4259"/>
      <c r="L4259"/>
      <c r="M4259"/>
      <c r="N4259" s="20"/>
      <c r="O4259"/>
      <c r="P4259" s="20"/>
      <c r="Q4259" s="20"/>
      <c r="R4259" s="20"/>
      <c r="S4259" s="20"/>
      <c r="T4259" s="20"/>
    </row>
    <row r="4260" spans="1:21" x14ac:dyDescent="0.25">
      <c r="A4260" s="3">
        <v>41879</v>
      </c>
      <c r="B4260" s="36">
        <v>382</v>
      </c>
      <c r="C4260" t="s">
        <v>4695</v>
      </c>
      <c r="D4260">
        <v>13</v>
      </c>
      <c r="E4260" s="18">
        <v>1300</v>
      </c>
      <c r="F4260" t="s">
        <v>889</v>
      </c>
      <c r="G4260" t="s">
        <v>4696</v>
      </c>
      <c r="H4260" s="18">
        <v>1300</v>
      </c>
      <c r="I4260" s="3">
        <v>41879</v>
      </c>
      <c r="J4260"/>
      <c r="L4260"/>
      <c r="M4260"/>
      <c r="N4260" s="20"/>
      <c r="O4260"/>
      <c r="P4260" s="20"/>
      <c r="Q4260" s="20"/>
      <c r="R4260" s="20"/>
      <c r="S4260" s="20"/>
      <c r="T4260" s="20"/>
    </row>
    <row r="4261" spans="1:21" x14ac:dyDescent="0.25">
      <c r="A4261" s="3">
        <v>41936</v>
      </c>
      <c r="B4261" s="36">
        <v>382</v>
      </c>
      <c r="C4261" t="s">
        <v>4697</v>
      </c>
      <c r="D4261">
        <v>4</v>
      </c>
      <c r="E4261" s="18">
        <v>375</v>
      </c>
      <c r="F4261" t="s">
        <v>889</v>
      </c>
      <c r="G4261" t="s">
        <v>4698</v>
      </c>
      <c r="H4261" s="18">
        <v>375</v>
      </c>
      <c r="I4261" s="3">
        <v>41936</v>
      </c>
      <c r="J4261"/>
      <c r="L4261"/>
      <c r="M4261"/>
      <c r="N4261" s="20"/>
      <c r="O4261"/>
      <c r="P4261" s="20"/>
      <c r="Q4261" s="20"/>
      <c r="R4261" s="20"/>
      <c r="S4261" s="20"/>
      <c r="T4261" s="20"/>
    </row>
    <row r="4262" spans="1:21" x14ac:dyDescent="0.25">
      <c r="A4262" s="3">
        <v>41936</v>
      </c>
      <c r="B4262" s="36">
        <v>382</v>
      </c>
      <c r="C4262" t="s">
        <v>4699</v>
      </c>
      <c r="D4262">
        <v>9.25</v>
      </c>
      <c r="E4262" s="18">
        <v>850</v>
      </c>
      <c r="F4262" t="s">
        <v>889</v>
      </c>
      <c r="G4262" t="s">
        <v>4700</v>
      </c>
      <c r="H4262" s="18">
        <v>850</v>
      </c>
      <c r="I4262" s="3">
        <v>41936</v>
      </c>
      <c r="J4262"/>
      <c r="L4262"/>
      <c r="M4262"/>
      <c r="N4262" s="20"/>
      <c r="O4262"/>
      <c r="P4262" s="20"/>
      <c r="Q4262" s="20"/>
      <c r="R4262" s="20"/>
      <c r="S4262" s="20"/>
      <c r="T4262" s="20"/>
    </row>
    <row r="4263" spans="1:21" x14ac:dyDescent="0.25">
      <c r="A4263" s="3">
        <v>41943</v>
      </c>
      <c r="B4263" s="36">
        <v>382</v>
      </c>
      <c r="C4263" t="s">
        <v>4701</v>
      </c>
      <c r="D4263">
        <v>9.25</v>
      </c>
      <c r="E4263" s="18">
        <v>925</v>
      </c>
      <c r="F4263" t="s">
        <v>889</v>
      </c>
      <c r="G4263" t="s">
        <v>4702</v>
      </c>
      <c r="H4263" s="18">
        <v>925</v>
      </c>
      <c r="I4263" s="3">
        <v>41943</v>
      </c>
      <c r="J4263"/>
      <c r="L4263"/>
      <c r="M4263"/>
      <c r="N4263" s="20"/>
      <c r="O4263"/>
      <c r="P4263" s="20"/>
      <c r="Q4263" s="20"/>
      <c r="R4263" s="20"/>
      <c r="S4263" s="20"/>
      <c r="T4263" s="20"/>
    </row>
    <row r="4264" spans="1:21" x14ac:dyDescent="0.25">
      <c r="A4264" s="3">
        <v>41943</v>
      </c>
      <c r="B4264" s="36">
        <v>382</v>
      </c>
      <c r="C4264" t="s">
        <v>4703</v>
      </c>
      <c r="D4264">
        <v>8.25</v>
      </c>
      <c r="E4264" s="18">
        <v>825</v>
      </c>
      <c r="F4264" t="s">
        <v>889</v>
      </c>
      <c r="G4264" t="s">
        <v>4704</v>
      </c>
      <c r="H4264" s="18">
        <v>825</v>
      </c>
      <c r="I4264" s="3">
        <v>41943</v>
      </c>
      <c r="J4264"/>
      <c r="L4264"/>
      <c r="M4264"/>
      <c r="N4264" s="20"/>
      <c r="O4264"/>
      <c r="P4264" s="20"/>
      <c r="Q4264" s="20"/>
      <c r="R4264" s="20"/>
      <c r="S4264" s="20"/>
      <c r="T4264" s="20"/>
    </row>
    <row r="4265" spans="1:21" x14ac:dyDescent="0.25">
      <c r="A4265" s="3">
        <v>41950</v>
      </c>
      <c r="B4265" s="36">
        <v>382</v>
      </c>
      <c r="C4265" t="s">
        <v>4705</v>
      </c>
      <c r="D4265">
        <v>3</v>
      </c>
      <c r="E4265" s="18">
        <v>300</v>
      </c>
      <c r="F4265" t="s">
        <v>889</v>
      </c>
      <c r="G4265" t="s">
        <v>4706</v>
      </c>
      <c r="H4265" s="18">
        <v>300</v>
      </c>
      <c r="I4265" s="3">
        <v>41950</v>
      </c>
      <c r="J4265"/>
      <c r="L4265"/>
      <c r="M4265"/>
      <c r="N4265" s="20"/>
      <c r="O4265"/>
      <c r="P4265" s="20"/>
      <c r="Q4265" s="20"/>
      <c r="R4265" s="20"/>
      <c r="S4265" s="20"/>
      <c r="T4265" s="20"/>
    </row>
    <row r="4266" spans="1:21" x14ac:dyDescent="0.25">
      <c r="A4266" s="3">
        <v>41957</v>
      </c>
      <c r="B4266" s="36">
        <v>382</v>
      </c>
      <c r="C4266" t="s">
        <v>164</v>
      </c>
      <c r="D4266">
        <v>8</v>
      </c>
      <c r="E4266" s="18">
        <v>800</v>
      </c>
      <c r="F4266" t="s">
        <v>889</v>
      </c>
      <c r="G4266" t="s">
        <v>4692</v>
      </c>
      <c r="H4266" s="18">
        <v>800</v>
      </c>
      <c r="I4266" s="3">
        <v>41957</v>
      </c>
      <c r="J4266"/>
      <c r="L4266"/>
      <c r="M4266"/>
      <c r="N4266" s="20"/>
      <c r="O4266" t="s">
        <v>959</v>
      </c>
      <c r="P4266" s="20"/>
      <c r="Q4266" s="20"/>
      <c r="R4266" s="20"/>
      <c r="S4266" s="20"/>
      <c r="T4266" s="20"/>
    </row>
    <row r="4267" spans="1:21" x14ac:dyDescent="0.25">
      <c r="A4267" s="3">
        <v>41985</v>
      </c>
      <c r="B4267" s="36">
        <v>382</v>
      </c>
      <c r="C4267" t="s">
        <v>4707</v>
      </c>
      <c r="D4267">
        <v>8.25</v>
      </c>
      <c r="E4267" s="18">
        <v>825</v>
      </c>
      <c r="F4267" t="s">
        <v>889</v>
      </c>
      <c r="G4267" t="s">
        <v>4708</v>
      </c>
      <c r="H4267" s="18">
        <v>825</v>
      </c>
      <c r="I4267" s="3">
        <v>41985</v>
      </c>
      <c r="J4267"/>
      <c r="L4267"/>
      <c r="M4267"/>
      <c r="N4267" s="20"/>
      <c r="O4267"/>
      <c r="P4267" s="20"/>
      <c r="Q4267" s="20"/>
      <c r="R4267" s="20"/>
      <c r="S4267" s="20"/>
      <c r="T4267" s="20"/>
    </row>
    <row r="4268" spans="1:21" x14ac:dyDescent="0.25">
      <c r="A4268" s="3">
        <v>41985</v>
      </c>
      <c r="B4268" s="36">
        <v>382</v>
      </c>
      <c r="C4268" t="s">
        <v>4709</v>
      </c>
      <c r="D4268">
        <v>3.75</v>
      </c>
      <c r="E4268" s="18">
        <v>375</v>
      </c>
      <c r="F4268" t="s">
        <v>889</v>
      </c>
      <c r="G4268" t="s">
        <v>4710</v>
      </c>
      <c r="H4268" s="18">
        <v>375</v>
      </c>
      <c r="I4268" s="3">
        <v>41985</v>
      </c>
      <c r="J4268"/>
      <c r="L4268"/>
      <c r="M4268"/>
      <c r="N4268" s="20"/>
      <c r="O4268"/>
      <c r="P4268" s="20"/>
      <c r="Q4268" s="20"/>
      <c r="R4268" s="20"/>
      <c r="S4268" s="20"/>
      <c r="T4268" s="20"/>
    </row>
    <row r="4269" spans="1:21" x14ac:dyDescent="0.25">
      <c r="A4269" s="3">
        <v>41985</v>
      </c>
      <c r="B4269" s="36">
        <v>382</v>
      </c>
      <c r="C4269" t="s">
        <v>4693</v>
      </c>
      <c r="D4269">
        <v>5.25</v>
      </c>
      <c r="E4269" s="18">
        <v>525</v>
      </c>
      <c r="F4269" t="s">
        <v>889</v>
      </c>
      <c r="G4269" t="s">
        <v>4694</v>
      </c>
      <c r="H4269" s="18">
        <v>525</v>
      </c>
      <c r="I4269" s="3">
        <v>41985</v>
      </c>
      <c r="J4269"/>
      <c r="L4269"/>
      <c r="M4269"/>
      <c r="N4269" s="20"/>
      <c r="O4269" t="s">
        <v>959</v>
      </c>
      <c r="P4269" s="20"/>
      <c r="Q4269" s="20"/>
      <c r="R4269" s="20"/>
      <c r="S4269" s="20"/>
      <c r="T4269" s="20"/>
    </row>
    <row r="4270" spans="1:21" x14ac:dyDescent="0.25">
      <c r="A4270" s="3">
        <v>41999</v>
      </c>
      <c r="B4270" s="36">
        <v>382</v>
      </c>
      <c r="C4270" t="s">
        <v>4703</v>
      </c>
      <c r="D4270">
        <v>9</v>
      </c>
      <c r="E4270" s="18">
        <v>1425</v>
      </c>
      <c r="F4270" t="s">
        <v>889</v>
      </c>
      <c r="G4270" t="s">
        <v>4704</v>
      </c>
      <c r="H4270" s="18">
        <v>1425</v>
      </c>
      <c r="I4270" s="3">
        <v>41999</v>
      </c>
      <c r="J4270"/>
      <c r="L4270"/>
      <c r="M4270"/>
      <c r="N4270" s="20"/>
      <c r="O4270" t="s">
        <v>959</v>
      </c>
      <c r="P4270" s="20"/>
      <c r="Q4270" s="20"/>
      <c r="R4270" s="20"/>
      <c r="S4270" s="20"/>
      <c r="T4270" s="20"/>
    </row>
    <row r="4271" spans="1:21" x14ac:dyDescent="0.25">
      <c r="A4271" s="3">
        <v>41999</v>
      </c>
      <c r="B4271" s="36">
        <v>382</v>
      </c>
      <c r="C4271" t="s">
        <v>4697</v>
      </c>
      <c r="D4271">
        <v>9</v>
      </c>
      <c r="E4271" s="18">
        <v>1425</v>
      </c>
      <c r="F4271" t="s">
        <v>889</v>
      </c>
      <c r="G4271" t="s">
        <v>4698</v>
      </c>
      <c r="H4271" s="18">
        <v>1425</v>
      </c>
      <c r="I4271" s="3">
        <v>41999</v>
      </c>
      <c r="J4271"/>
      <c r="L4271"/>
      <c r="M4271"/>
      <c r="N4271" s="20"/>
      <c r="O4271" t="s">
        <v>959</v>
      </c>
      <c r="P4271" s="20"/>
      <c r="Q4271" s="20"/>
      <c r="R4271" s="20"/>
      <c r="S4271" s="20"/>
      <c r="T4271" s="20"/>
    </row>
    <row r="4272" spans="1:21" x14ac:dyDescent="0.25">
      <c r="A4272" s="3">
        <v>42013</v>
      </c>
      <c r="B4272" s="36">
        <v>382</v>
      </c>
      <c r="C4272" t="s">
        <v>693</v>
      </c>
      <c r="D4272">
        <v>5.5</v>
      </c>
      <c r="E4272" s="18">
        <v>525</v>
      </c>
      <c r="F4272" t="s">
        <v>889</v>
      </c>
      <c r="G4272" t="s">
        <v>694</v>
      </c>
      <c r="H4272" s="18">
        <v>525</v>
      </c>
      <c r="I4272" s="3">
        <v>42013</v>
      </c>
      <c r="J4272"/>
      <c r="L4272"/>
      <c r="M4272"/>
      <c r="N4272" s="20"/>
      <c r="O4272"/>
      <c r="P4272" s="20"/>
      <c r="Q4272" s="20"/>
      <c r="R4272" s="20"/>
      <c r="S4272" s="20"/>
      <c r="T4272" s="20"/>
    </row>
    <row r="4273" spans="1:20" x14ac:dyDescent="0.25">
      <c r="A4273" s="3">
        <v>42027</v>
      </c>
      <c r="B4273" s="36">
        <v>382</v>
      </c>
      <c r="C4273" t="s">
        <v>4711</v>
      </c>
      <c r="D4273" s="55">
        <v>8.25</v>
      </c>
      <c r="E4273" s="18">
        <v>825</v>
      </c>
      <c r="F4273" t="s">
        <v>889</v>
      </c>
      <c r="G4273" t="s">
        <v>4708</v>
      </c>
      <c r="H4273" s="18">
        <v>825</v>
      </c>
      <c r="I4273" s="3">
        <v>42027</v>
      </c>
      <c r="J4273"/>
      <c r="L4273"/>
      <c r="M4273"/>
      <c r="N4273" s="20"/>
      <c r="O4273"/>
      <c r="P4273" s="20"/>
      <c r="Q4273" s="20"/>
      <c r="R4273" s="20"/>
      <c r="S4273" s="20"/>
      <c r="T4273" s="20"/>
    </row>
    <row r="4274" spans="1:20" x14ac:dyDescent="0.25">
      <c r="A4274" s="3">
        <v>42027</v>
      </c>
      <c r="B4274" s="36">
        <v>382</v>
      </c>
      <c r="C4274" t="s">
        <v>4712</v>
      </c>
      <c r="D4274" s="55">
        <v>13</v>
      </c>
      <c r="E4274" s="18">
        <v>1300</v>
      </c>
      <c r="F4274" t="s">
        <v>889</v>
      </c>
      <c r="G4274" t="s">
        <v>4696</v>
      </c>
      <c r="H4274" s="18">
        <v>1300</v>
      </c>
      <c r="I4274" s="3">
        <v>42027</v>
      </c>
      <c r="J4274"/>
      <c r="L4274"/>
      <c r="M4274"/>
      <c r="N4274" s="20"/>
      <c r="O4274"/>
      <c r="P4274" s="20"/>
      <c r="Q4274" s="20"/>
      <c r="R4274" s="20"/>
      <c r="S4274" s="20"/>
      <c r="T4274" s="20"/>
    </row>
    <row r="4275" spans="1:20" x14ac:dyDescent="0.25">
      <c r="A4275" s="3">
        <v>42027</v>
      </c>
      <c r="B4275" s="36">
        <v>382</v>
      </c>
      <c r="C4275" t="s">
        <v>4703</v>
      </c>
      <c r="D4275" s="55">
        <v>8.25</v>
      </c>
      <c r="E4275" s="18">
        <v>-600</v>
      </c>
      <c r="F4275" t="s">
        <v>889</v>
      </c>
      <c r="G4275" t="s">
        <v>4704</v>
      </c>
      <c r="H4275" s="18" t="s">
        <v>442</v>
      </c>
      <c r="I4275" s="3" t="s">
        <v>442</v>
      </c>
      <c r="J4275"/>
      <c r="L4275"/>
      <c r="M4275"/>
      <c r="N4275" s="20"/>
      <c r="O4275"/>
      <c r="P4275" s="20"/>
      <c r="Q4275" s="20"/>
      <c r="R4275" s="20"/>
      <c r="S4275" s="20"/>
      <c r="T4275" s="20"/>
    </row>
    <row r="4276" spans="1:20" x14ac:dyDescent="0.25">
      <c r="A4276" s="3">
        <v>42027</v>
      </c>
      <c r="B4276" s="36">
        <v>382</v>
      </c>
      <c r="C4276" t="s">
        <v>4697</v>
      </c>
      <c r="D4276" s="55">
        <v>3.75</v>
      </c>
      <c r="E4276" s="18">
        <v>-1050</v>
      </c>
      <c r="F4276" t="s">
        <v>889</v>
      </c>
      <c r="G4276" t="s">
        <v>4698</v>
      </c>
      <c r="H4276" s="18" t="s">
        <v>442</v>
      </c>
      <c r="I4276" s="3" t="s">
        <v>442</v>
      </c>
      <c r="J4276"/>
      <c r="L4276"/>
      <c r="M4276"/>
      <c r="N4276" s="20"/>
      <c r="O4276"/>
      <c r="P4276" s="20"/>
      <c r="Q4276" s="20"/>
      <c r="R4276" s="20"/>
      <c r="S4276" s="20"/>
      <c r="T4276" s="20"/>
    </row>
    <row r="4277" spans="1:20" x14ac:dyDescent="0.25">
      <c r="A4277" s="3">
        <v>42034</v>
      </c>
      <c r="B4277">
        <v>382</v>
      </c>
      <c r="C4277" t="s">
        <v>573</v>
      </c>
      <c r="D4277" s="19">
        <v>9.25</v>
      </c>
      <c r="E4277" s="18">
        <v>250</v>
      </c>
      <c r="F4277" s="23" t="s">
        <v>889</v>
      </c>
      <c r="G4277" t="s">
        <v>574</v>
      </c>
      <c r="H4277" s="18"/>
      <c r="J4277"/>
      <c r="L4277"/>
      <c r="M4277"/>
      <c r="N4277" s="20"/>
      <c r="O4277"/>
      <c r="P4277" s="20"/>
      <c r="Q4277" s="20"/>
      <c r="R4277" s="20"/>
      <c r="S4277" s="20"/>
      <c r="T4277" s="20"/>
    </row>
    <row r="4278" spans="1:20" x14ac:dyDescent="0.25">
      <c r="A4278" s="3">
        <v>41858</v>
      </c>
      <c r="B4278" s="36">
        <v>383</v>
      </c>
      <c r="C4278" t="s">
        <v>4713</v>
      </c>
      <c r="D4278">
        <v>4.25</v>
      </c>
      <c r="E4278" s="18">
        <v>425</v>
      </c>
      <c r="G4278" t="s">
        <v>4714</v>
      </c>
      <c r="H4278" s="18">
        <v>425</v>
      </c>
      <c r="I4278" s="3">
        <v>41858</v>
      </c>
      <c r="J4278"/>
      <c r="L4278"/>
      <c r="M4278"/>
      <c r="N4278" s="20"/>
      <c r="O4278"/>
      <c r="P4278" s="20"/>
      <c r="Q4278" s="20"/>
      <c r="R4278" s="20"/>
      <c r="S4278" s="20"/>
      <c r="T4278" s="20"/>
    </row>
    <row r="4279" spans="1:20" x14ac:dyDescent="0.25">
      <c r="A4279" s="37">
        <v>41862</v>
      </c>
      <c r="B4279" s="36">
        <v>383</v>
      </c>
      <c r="C4279" s="38" t="s">
        <v>4715</v>
      </c>
      <c r="D4279" s="38"/>
      <c r="E4279" s="39">
        <v>400</v>
      </c>
      <c r="F4279" s="38"/>
      <c r="G4279" t="s">
        <v>442</v>
      </c>
      <c r="H4279" s="18" t="s">
        <v>442</v>
      </c>
      <c r="I4279" s="3" t="s">
        <v>442</v>
      </c>
      <c r="J4279"/>
      <c r="L4279"/>
      <c r="M4279"/>
      <c r="N4279" s="40"/>
      <c r="O4279" s="38"/>
      <c r="P4279" s="20"/>
      <c r="Q4279" s="20"/>
      <c r="R4279" s="20"/>
      <c r="S4279" s="20"/>
      <c r="T4279" s="20" t="s">
        <v>401</v>
      </c>
    </row>
    <row r="4280" spans="1:20" x14ac:dyDescent="0.25">
      <c r="A4280" s="3">
        <v>41865</v>
      </c>
      <c r="B4280" s="36">
        <v>383</v>
      </c>
      <c r="C4280" t="s">
        <v>4716</v>
      </c>
      <c r="D4280">
        <v>3.5</v>
      </c>
      <c r="E4280" s="18">
        <v>350</v>
      </c>
      <c r="G4280" t="s">
        <v>4717</v>
      </c>
      <c r="H4280" s="18">
        <v>350</v>
      </c>
      <c r="I4280" s="3">
        <v>41865</v>
      </c>
      <c r="J4280"/>
      <c r="L4280"/>
      <c r="M4280"/>
      <c r="N4280" s="20"/>
      <c r="O4280"/>
      <c r="P4280" s="20"/>
      <c r="Q4280" s="20"/>
      <c r="R4280" s="20"/>
      <c r="S4280" s="20"/>
      <c r="T4280" s="20"/>
    </row>
    <row r="4281" spans="1:20" x14ac:dyDescent="0.25">
      <c r="A4281" s="37">
        <v>41876</v>
      </c>
      <c r="B4281" s="36">
        <v>383</v>
      </c>
      <c r="C4281" s="38" t="s">
        <v>3428</v>
      </c>
      <c r="D4281" s="38"/>
      <c r="E4281" s="39">
        <v>1350</v>
      </c>
      <c r="F4281" s="38"/>
      <c r="G4281" t="s">
        <v>442</v>
      </c>
      <c r="H4281" s="18" t="s">
        <v>442</v>
      </c>
      <c r="I4281" s="3" t="s">
        <v>442</v>
      </c>
      <c r="J4281"/>
      <c r="L4281"/>
      <c r="M4281"/>
      <c r="N4281" s="40"/>
      <c r="O4281" s="38"/>
      <c r="P4281" s="20"/>
      <c r="Q4281" s="20"/>
      <c r="R4281" s="20"/>
      <c r="S4281" s="20"/>
      <c r="T4281" s="20" t="s">
        <v>401</v>
      </c>
    </row>
    <row r="4282" spans="1:20" x14ac:dyDescent="0.25">
      <c r="A4282" s="3">
        <v>41886</v>
      </c>
      <c r="B4282" s="36">
        <v>383</v>
      </c>
      <c r="C4282" t="s">
        <v>4718</v>
      </c>
      <c r="D4282">
        <v>10</v>
      </c>
      <c r="E4282" s="18">
        <v>1000</v>
      </c>
      <c r="G4282" t="s">
        <v>4719</v>
      </c>
      <c r="H4282" s="18">
        <v>1000</v>
      </c>
      <c r="I4282" s="3">
        <v>41886</v>
      </c>
      <c r="J4282"/>
      <c r="L4282"/>
      <c r="M4282"/>
      <c r="N4282" s="20"/>
      <c r="O4282"/>
      <c r="P4282" s="20"/>
      <c r="Q4282" s="20"/>
      <c r="R4282" s="20"/>
      <c r="S4282" s="20"/>
      <c r="T4282" s="20"/>
    </row>
    <row r="4283" spans="1:20" x14ac:dyDescent="0.25">
      <c r="A4283" s="3">
        <v>41886</v>
      </c>
      <c r="B4283" s="36">
        <v>383</v>
      </c>
      <c r="C4283" t="s">
        <v>4720</v>
      </c>
      <c r="D4283">
        <v>4.25</v>
      </c>
      <c r="E4283" s="18">
        <v>425</v>
      </c>
      <c r="G4283" t="s">
        <v>4721</v>
      </c>
      <c r="H4283" s="18">
        <v>425</v>
      </c>
      <c r="I4283" s="3">
        <v>41886</v>
      </c>
      <c r="J4283"/>
      <c r="L4283"/>
      <c r="M4283"/>
      <c r="N4283" s="20"/>
      <c r="O4283"/>
      <c r="P4283" s="20"/>
      <c r="Q4283" s="20"/>
      <c r="R4283" s="20"/>
      <c r="S4283" s="20"/>
      <c r="T4283" s="20"/>
    </row>
    <row r="4284" spans="1:20" x14ac:dyDescent="0.25">
      <c r="A4284" s="3">
        <v>41891</v>
      </c>
      <c r="B4284" s="36">
        <v>383</v>
      </c>
      <c r="C4284" t="s">
        <v>4722</v>
      </c>
      <c r="E4284" s="18">
        <v>3000</v>
      </c>
      <c r="G4284" t="s">
        <v>442</v>
      </c>
      <c r="H4284" s="18" t="s">
        <v>442</v>
      </c>
      <c r="I4284" s="3" t="s">
        <v>442</v>
      </c>
      <c r="J4284"/>
      <c r="L4284"/>
      <c r="M4284"/>
      <c r="N4284" s="20"/>
      <c r="O4284"/>
      <c r="P4284" s="20"/>
      <c r="Q4284" s="20"/>
      <c r="R4284" s="20"/>
      <c r="S4284" s="20"/>
      <c r="T4284" s="20" t="s">
        <v>401</v>
      </c>
    </row>
    <row r="4285" spans="1:20" x14ac:dyDescent="0.25">
      <c r="A4285" s="3">
        <v>41901</v>
      </c>
      <c r="B4285" s="36">
        <v>383</v>
      </c>
      <c r="C4285" t="s">
        <v>4723</v>
      </c>
      <c r="D4285">
        <v>5.75</v>
      </c>
      <c r="E4285" s="18">
        <v>575</v>
      </c>
      <c r="G4285" t="s">
        <v>4724</v>
      </c>
      <c r="H4285" s="18">
        <v>575</v>
      </c>
      <c r="I4285" s="3">
        <v>41901</v>
      </c>
      <c r="J4285"/>
      <c r="L4285"/>
      <c r="M4285"/>
      <c r="N4285" s="20"/>
      <c r="O4285"/>
      <c r="P4285" s="20"/>
      <c r="Q4285" s="20"/>
      <c r="R4285" s="20"/>
      <c r="S4285" s="20"/>
      <c r="T4285" s="20"/>
    </row>
    <row r="4286" spans="1:20" x14ac:dyDescent="0.25">
      <c r="A4286" s="3">
        <v>41901</v>
      </c>
      <c r="B4286" s="36">
        <v>383</v>
      </c>
      <c r="C4286" t="s">
        <v>4725</v>
      </c>
      <c r="D4286">
        <v>5.5</v>
      </c>
      <c r="E4286" s="18">
        <v>550</v>
      </c>
      <c r="G4286" t="s">
        <v>4726</v>
      </c>
      <c r="H4286" s="18">
        <v>550</v>
      </c>
      <c r="I4286" s="3">
        <v>41901</v>
      </c>
      <c r="J4286"/>
      <c r="L4286"/>
      <c r="M4286"/>
      <c r="N4286" s="20"/>
      <c r="O4286"/>
      <c r="P4286" s="20"/>
      <c r="Q4286" s="20"/>
      <c r="R4286" s="20"/>
      <c r="S4286" s="20"/>
      <c r="T4286" s="20"/>
    </row>
    <row r="4287" spans="1:20" x14ac:dyDescent="0.25">
      <c r="A4287" s="3">
        <v>41901</v>
      </c>
      <c r="B4287" s="36">
        <v>383</v>
      </c>
      <c r="C4287" t="s">
        <v>4727</v>
      </c>
      <c r="D4287">
        <v>10</v>
      </c>
      <c r="E4287" s="18">
        <v>-500</v>
      </c>
      <c r="G4287" t="s">
        <v>4719</v>
      </c>
      <c r="H4287" s="18" t="s">
        <v>442</v>
      </c>
      <c r="I4287" s="3" t="s">
        <v>442</v>
      </c>
      <c r="J4287"/>
      <c r="L4287"/>
      <c r="M4287"/>
      <c r="N4287" s="20"/>
      <c r="O4287"/>
      <c r="P4287" s="20"/>
      <c r="Q4287" s="20"/>
      <c r="R4287" s="20"/>
      <c r="S4287" s="20"/>
      <c r="T4287" s="20"/>
    </row>
    <row r="4288" spans="1:20" x14ac:dyDescent="0.25">
      <c r="A4288" s="3">
        <v>41901</v>
      </c>
      <c r="B4288" s="36">
        <v>383</v>
      </c>
      <c r="C4288" t="s">
        <v>4728</v>
      </c>
      <c r="D4288">
        <v>4.5</v>
      </c>
      <c r="E4288" s="18">
        <v>450</v>
      </c>
      <c r="G4288" t="s">
        <v>4729</v>
      </c>
      <c r="H4288" s="18">
        <v>450</v>
      </c>
      <c r="I4288" s="3">
        <v>41901</v>
      </c>
      <c r="J4288"/>
      <c r="L4288"/>
      <c r="M4288"/>
      <c r="N4288" s="20"/>
      <c r="O4288"/>
      <c r="P4288" s="20"/>
      <c r="Q4288" s="20"/>
      <c r="R4288" s="20"/>
      <c r="S4288" s="20"/>
      <c r="T4288" s="20"/>
    </row>
    <row r="4289" spans="1:20" x14ac:dyDescent="0.25">
      <c r="A4289" s="3">
        <v>41901</v>
      </c>
      <c r="B4289" s="36">
        <v>383</v>
      </c>
      <c r="C4289" t="s">
        <v>4730</v>
      </c>
      <c r="D4289">
        <v>4.25</v>
      </c>
      <c r="E4289" s="18">
        <v>425</v>
      </c>
      <c r="G4289" t="s">
        <v>4731</v>
      </c>
      <c r="H4289" s="18">
        <v>425</v>
      </c>
      <c r="I4289" s="3">
        <v>41901</v>
      </c>
      <c r="J4289"/>
      <c r="L4289"/>
      <c r="M4289"/>
      <c r="N4289" s="20"/>
      <c r="O4289"/>
      <c r="P4289" s="20"/>
      <c r="Q4289" s="20"/>
      <c r="R4289" s="20"/>
      <c r="S4289" s="20"/>
      <c r="T4289" s="20"/>
    </row>
    <row r="4290" spans="1:20" x14ac:dyDescent="0.25">
      <c r="A4290" s="3">
        <v>41905</v>
      </c>
      <c r="B4290" s="36">
        <v>383</v>
      </c>
      <c r="C4290" t="s">
        <v>4732</v>
      </c>
      <c r="D4290">
        <v>4.25</v>
      </c>
      <c r="E4290" s="18">
        <v>425</v>
      </c>
      <c r="G4290" t="s">
        <v>4733</v>
      </c>
      <c r="H4290" s="18">
        <v>425</v>
      </c>
      <c r="I4290" s="3">
        <v>41905</v>
      </c>
      <c r="J4290"/>
      <c r="L4290"/>
      <c r="M4290"/>
      <c r="N4290" s="20"/>
      <c r="O4290"/>
      <c r="P4290" s="20"/>
      <c r="Q4290" s="20"/>
      <c r="R4290" s="20"/>
      <c r="S4290" s="20"/>
      <c r="T4290" s="20"/>
    </row>
    <row r="4291" spans="1:20" x14ac:dyDescent="0.25">
      <c r="A4291" s="3">
        <v>41905</v>
      </c>
      <c r="B4291" s="36">
        <v>383</v>
      </c>
      <c r="C4291" t="s">
        <v>1589</v>
      </c>
      <c r="E4291" s="18">
        <v>600</v>
      </c>
      <c r="H4291" s="18" t="s">
        <v>442</v>
      </c>
      <c r="I4291" s="3" t="s">
        <v>442</v>
      </c>
      <c r="J4291"/>
      <c r="L4291"/>
      <c r="M4291"/>
      <c r="N4291" s="20"/>
      <c r="O4291"/>
      <c r="P4291" s="20"/>
      <c r="Q4291" s="20"/>
      <c r="R4291" s="20"/>
      <c r="S4291" s="20" t="s">
        <v>401</v>
      </c>
      <c r="T4291" s="20"/>
    </row>
    <row r="4292" spans="1:20" x14ac:dyDescent="0.25">
      <c r="A4292" s="3">
        <v>41913</v>
      </c>
      <c r="B4292" s="36">
        <v>383</v>
      </c>
      <c r="C4292" t="s">
        <v>4734</v>
      </c>
      <c r="E4292" s="18">
        <v>300</v>
      </c>
      <c r="G4292" t="s">
        <v>442</v>
      </c>
      <c r="H4292" s="18" t="s">
        <v>442</v>
      </c>
      <c r="I4292" s="3" t="s">
        <v>442</v>
      </c>
      <c r="J4292"/>
      <c r="L4292"/>
      <c r="M4292"/>
      <c r="N4292" s="20"/>
      <c r="O4292"/>
      <c r="P4292" s="20"/>
      <c r="Q4292" s="20"/>
      <c r="R4292" s="20"/>
      <c r="S4292" s="20"/>
      <c r="T4292" s="20" t="s">
        <v>401</v>
      </c>
    </row>
    <row r="4293" spans="1:20" x14ac:dyDescent="0.25">
      <c r="A4293" s="3">
        <v>41918</v>
      </c>
      <c r="B4293" s="36">
        <v>383</v>
      </c>
      <c r="C4293" t="s">
        <v>4735</v>
      </c>
      <c r="E4293" s="18">
        <v>1700</v>
      </c>
      <c r="G4293" t="s">
        <v>442</v>
      </c>
      <c r="H4293" s="18" t="s">
        <v>442</v>
      </c>
      <c r="I4293" s="3" t="s">
        <v>442</v>
      </c>
      <c r="J4293"/>
      <c r="L4293"/>
      <c r="M4293"/>
      <c r="N4293" s="20"/>
      <c r="O4293"/>
      <c r="P4293" s="20"/>
      <c r="Q4293" s="20"/>
      <c r="R4293" s="20"/>
      <c r="S4293" s="20"/>
      <c r="T4293" s="20" t="s">
        <v>401</v>
      </c>
    </row>
    <row r="4294" spans="1:20" x14ac:dyDescent="0.25">
      <c r="A4294" s="3">
        <v>41926</v>
      </c>
      <c r="B4294" s="36">
        <v>383</v>
      </c>
      <c r="C4294" t="s">
        <v>4734</v>
      </c>
      <c r="E4294" s="18">
        <v>-300</v>
      </c>
      <c r="G4294" t="s">
        <v>442</v>
      </c>
      <c r="H4294" s="18" t="s">
        <v>442</v>
      </c>
      <c r="I4294" s="3" t="s">
        <v>442</v>
      </c>
      <c r="J4294"/>
      <c r="L4294"/>
      <c r="M4294"/>
      <c r="N4294" s="20"/>
      <c r="O4294"/>
      <c r="P4294" s="20"/>
      <c r="Q4294" s="20"/>
      <c r="R4294" s="20"/>
      <c r="S4294" s="20"/>
      <c r="T4294" s="20" t="s">
        <v>401</v>
      </c>
    </row>
    <row r="4295" spans="1:20" x14ac:dyDescent="0.25">
      <c r="A4295" s="3">
        <v>41926</v>
      </c>
      <c r="B4295" s="36">
        <v>383</v>
      </c>
      <c r="C4295" t="s">
        <v>4736</v>
      </c>
      <c r="D4295">
        <v>6</v>
      </c>
      <c r="E4295" s="18">
        <v>600</v>
      </c>
      <c r="G4295" t="s">
        <v>4737</v>
      </c>
      <c r="H4295" s="18">
        <v>600</v>
      </c>
      <c r="I4295" s="3">
        <v>41926</v>
      </c>
      <c r="J4295"/>
      <c r="L4295"/>
      <c r="M4295"/>
      <c r="N4295" s="20"/>
      <c r="O4295"/>
      <c r="P4295" s="20"/>
      <c r="Q4295" s="20"/>
      <c r="R4295" s="20"/>
      <c r="S4295" s="20"/>
      <c r="T4295" s="20"/>
    </row>
    <row r="4296" spans="1:20" x14ac:dyDescent="0.25">
      <c r="A4296" s="3">
        <v>41926</v>
      </c>
      <c r="B4296" s="36">
        <v>383</v>
      </c>
      <c r="C4296" t="s">
        <v>4738</v>
      </c>
      <c r="D4296">
        <v>10</v>
      </c>
      <c r="E4296" s="18">
        <v>-200</v>
      </c>
      <c r="G4296" t="s">
        <v>4719</v>
      </c>
      <c r="H4296" s="18" t="s">
        <v>442</v>
      </c>
      <c r="I4296" s="3" t="s">
        <v>442</v>
      </c>
      <c r="J4296"/>
      <c r="L4296"/>
      <c r="M4296"/>
      <c r="N4296" s="20"/>
      <c r="O4296"/>
      <c r="P4296" s="20"/>
      <c r="Q4296" s="20"/>
      <c r="R4296" s="20"/>
      <c r="S4296" s="20"/>
      <c r="T4296" s="20"/>
    </row>
    <row r="4297" spans="1:20" x14ac:dyDescent="0.25">
      <c r="A4297" s="3">
        <v>41926</v>
      </c>
      <c r="B4297" s="36">
        <v>383</v>
      </c>
      <c r="C4297" t="s">
        <v>4739</v>
      </c>
      <c r="D4297">
        <v>4</v>
      </c>
      <c r="E4297" s="18">
        <v>400</v>
      </c>
      <c r="G4297" t="s">
        <v>4740</v>
      </c>
      <c r="H4297" s="18">
        <v>400</v>
      </c>
      <c r="I4297" s="3">
        <v>41926</v>
      </c>
      <c r="J4297"/>
      <c r="L4297"/>
      <c r="M4297"/>
      <c r="N4297" s="20"/>
      <c r="O4297"/>
      <c r="P4297" s="20"/>
      <c r="Q4297" s="20"/>
      <c r="R4297" s="20"/>
      <c r="S4297" s="20"/>
      <c r="T4297" s="20"/>
    </row>
    <row r="4298" spans="1:20" x14ac:dyDescent="0.25">
      <c r="A4298" s="3">
        <v>41936</v>
      </c>
      <c r="B4298" s="36">
        <v>383</v>
      </c>
      <c r="C4298" t="s">
        <v>4713</v>
      </c>
      <c r="D4298">
        <v>4.25</v>
      </c>
      <c r="E4298" s="18">
        <v>425</v>
      </c>
      <c r="G4298" t="s">
        <v>4714</v>
      </c>
      <c r="H4298" s="18">
        <v>425</v>
      </c>
      <c r="I4298" s="3">
        <v>41936</v>
      </c>
      <c r="J4298"/>
      <c r="L4298"/>
      <c r="M4298"/>
      <c r="N4298" s="20"/>
      <c r="O4298" t="s">
        <v>959</v>
      </c>
      <c r="P4298" s="20"/>
      <c r="Q4298" s="20"/>
      <c r="R4298" s="20"/>
      <c r="S4298" s="20"/>
      <c r="T4298" s="20"/>
    </row>
    <row r="4299" spans="1:20" x14ac:dyDescent="0.25">
      <c r="A4299" s="3">
        <v>41953</v>
      </c>
      <c r="B4299" s="36">
        <v>383</v>
      </c>
      <c r="C4299" t="s">
        <v>4741</v>
      </c>
      <c r="E4299" s="18">
        <v>1200</v>
      </c>
      <c r="G4299" t="s">
        <v>442</v>
      </c>
      <c r="H4299" s="18" t="s">
        <v>442</v>
      </c>
      <c r="I4299" s="3" t="s">
        <v>442</v>
      </c>
      <c r="J4299"/>
      <c r="L4299"/>
      <c r="M4299"/>
      <c r="N4299" s="20"/>
      <c r="O4299"/>
      <c r="P4299" s="20"/>
      <c r="Q4299" s="20"/>
      <c r="R4299" s="20"/>
      <c r="S4299" s="20"/>
      <c r="T4299" s="20" t="s">
        <v>401</v>
      </c>
    </row>
    <row r="4300" spans="1:20" x14ac:dyDescent="0.25">
      <c r="A4300" s="3">
        <v>41964</v>
      </c>
      <c r="B4300" s="36">
        <v>383</v>
      </c>
      <c r="C4300" t="s">
        <v>4742</v>
      </c>
      <c r="D4300">
        <v>5</v>
      </c>
      <c r="E4300" s="18">
        <v>500</v>
      </c>
      <c r="G4300" t="s">
        <v>4743</v>
      </c>
      <c r="H4300" s="18">
        <v>500</v>
      </c>
      <c r="I4300" s="3">
        <v>41964</v>
      </c>
      <c r="J4300"/>
      <c r="L4300"/>
      <c r="M4300"/>
      <c r="N4300" s="20"/>
      <c r="O4300"/>
      <c r="P4300" s="20"/>
      <c r="Q4300" s="20"/>
      <c r="R4300" s="20"/>
      <c r="S4300" s="20"/>
      <c r="T4300" s="20"/>
    </row>
    <row r="4301" spans="1:20" x14ac:dyDescent="0.25">
      <c r="A4301" s="3">
        <v>41964</v>
      </c>
      <c r="B4301" s="36">
        <v>383</v>
      </c>
      <c r="C4301" t="s">
        <v>4744</v>
      </c>
      <c r="D4301">
        <v>4.25</v>
      </c>
      <c r="E4301" s="18">
        <v>425</v>
      </c>
      <c r="G4301" t="s">
        <v>4745</v>
      </c>
      <c r="H4301" s="18">
        <v>425</v>
      </c>
      <c r="I4301" s="3">
        <v>41964</v>
      </c>
      <c r="J4301"/>
      <c r="L4301"/>
      <c r="M4301"/>
      <c r="N4301" s="20"/>
      <c r="O4301"/>
      <c r="P4301" s="20"/>
      <c r="Q4301" s="20"/>
      <c r="R4301" s="20"/>
      <c r="S4301" s="20"/>
      <c r="T4301" s="20"/>
    </row>
    <row r="4302" spans="1:20" x14ac:dyDescent="0.25">
      <c r="A4302" s="3">
        <v>41964</v>
      </c>
      <c r="B4302" s="36">
        <v>383</v>
      </c>
      <c r="C4302" t="s">
        <v>4744</v>
      </c>
      <c r="D4302">
        <v>3</v>
      </c>
      <c r="E4302" s="18">
        <v>300</v>
      </c>
      <c r="G4302" t="s">
        <v>4746</v>
      </c>
      <c r="H4302" s="18">
        <v>300</v>
      </c>
      <c r="I4302" s="3">
        <v>41964</v>
      </c>
      <c r="J4302"/>
      <c r="L4302"/>
      <c r="M4302"/>
      <c r="N4302" s="20"/>
      <c r="O4302"/>
      <c r="P4302" s="20"/>
      <c r="Q4302" s="20"/>
      <c r="R4302" s="20"/>
      <c r="S4302" s="20"/>
      <c r="T4302" s="20"/>
    </row>
    <row r="4303" spans="1:20" x14ac:dyDescent="0.25">
      <c r="A4303" s="3">
        <v>41964</v>
      </c>
      <c r="B4303" s="36">
        <v>383</v>
      </c>
      <c r="C4303" t="s">
        <v>963</v>
      </c>
      <c r="E4303" s="18">
        <v>2720</v>
      </c>
      <c r="G4303" t="s">
        <v>442</v>
      </c>
      <c r="H4303" s="18" t="s">
        <v>442</v>
      </c>
      <c r="I4303" s="3" t="s">
        <v>442</v>
      </c>
      <c r="J4303"/>
      <c r="L4303"/>
      <c r="M4303"/>
      <c r="N4303" s="40" t="s">
        <v>401</v>
      </c>
      <c r="O4303"/>
      <c r="P4303" s="20"/>
      <c r="Q4303" s="20"/>
      <c r="R4303" s="20"/>
      <c r="S4303" s="20"/>
      <c r="T4303" s="20"/>
    </row>
    <row r="4304" spans="1:20" x14ac:dyDescent="0.25">
      <c r="A4304" s="3">
        <v>41964</v>
      </c>
      <c r="B4304" s="36">
        <v>383</v>
      </c>
      <c r="C4304" t="s">
        <v>4747</v>
      </c>
      <c r="D4304">
        <v>4.75</v>
      </c>
      <c r="E4304" s="18">
        <v>-475</v>
      </c>
      <c r="G4304" t="s">
        <v>4748</v>
      </c>
      <c r="H4304" s="18" t="s">
        <v>442</v>
      </c>
      <c r="I4304" s="3" t="s">
        <v>442</v>
      </c>
      <c r="J4304"/>
      <c r="L4304"/>
      <c r="M4304"/>
      <c r="N4304" s="20"/>
      <c r="O4304"/>
      <c r="P4304" s="20"/>
      <c r="Q4304" s="20"/>
      <c r="R4304" s="20"/>
      <c r="S4304" s="20"/>
      <c r="T4304" s="20"/>
    </row>
    <row r="4305" spans="1:21" x14ac:dyDescent="0.25">
      <c r="A4305" s="3">
        <v>41999</v>
      </c>
      <c r="B4305" s="36">
        <v>383</v>
      </c>
      <c r="C4305" t="s">
        <v>4749</v>
      </c>
      <c r="D4305">
        <v>4.75</v>
      </c>
      <c r="E4305" s="18">
        <v>475</v>
      </c>
      <c r="G4305" t="s">
        <v>4750</v>
      </c>
      <c r="H4305" s="18">
        <v>475</v>
      </c>
      <c r="I4305" s="3">
        <v>41999</v>
      </c>
      <c r="J4305"/>
      <c r="L4305"/>
      <c r="M4305"/>
      <c r="N4305" s="20"/>
      <c r="O4305"/>
      <c r="P4305" s="20"/>
      <c r="Q4305" s="20"/>
      <c r="R4305" s="20"/>
      <c r="S4305" s="20"/>
      <c r="T4305" s="20"/>
    </row>
    <row r="4306" spans="1:21" x14ac:dyDescent="0.25">
      <c r="B4306">
        <v>383</v>
      </c>
      <c r="C4306" t="s">
        <v>4735</v>
      </c>
      <c r="E4306" s="18">
        <v>-1700</v>
      </c>
      <c r="G4306" t="s">
        <v>442</v>
      </c>
      <c r="I4306"/>
      <c r="J4306"/>
      <c r="L4306"/>
      <c r="M4306"/>
      <c r="O4306"/>
      <c r="P4306" s="20"/>
      <c r="Q4306" s="20"/>
      <c r="R4306" s="20"/>
      <c r="S4306" s="20"/>
      <c r="T4306" s="20"/>
      <c r="U4306" t="s">
        <v>401</v>
      </c>
    </row>
    <row r="4307" spans="1:21" x14ac:dyDescent="0.25">
      <c r="B4307">
        <v>383</v>
      </c>
      <c r="C4307" t="s">
        <v>4741</v>
      </c>
      <c r="E4307" s="18">
        <v>-1200</v>
      </c>
      <c r="G4307" t="s">
        <v>442</v>
      </c>
      <c r="I4307"/>
      <c r="J4307"/>
      <c r="L4307"/>
      <c r="M4307"/>
      <c r="O4307"/>
      <c r="P4307" s="20"/>
      <c r="Q4307" s="20"/>
      <c r="R4307" s="20"/>
      <c r="S4307" s="20"/>
      <c r="T4307" s="20"/>
      <c r="U4307" t="s">
        <v>401</v>
      </c>
    </row>
    <row r="4308" spans="1:21" x14ac:dyDescent="0.25">
      <c r="B4308">
        <v>383</v>
      </c>
      <c r="C4308" t="s">
        <v>3428</v>
      </c>
      <c r="E4308" s="18">
        <v>-1350</v>
      </c>
      <c r="G4308" t="s">
        <v>442</v>
      </c>
      <c r="I4308"/>
      <c r="J4308"/>
      <c r="L4308"/>
      <c r="M4308"/>
      <c r="O4308"/>
      <c r="P4308" s="20"/>
      <c r="Q4308" s="20"/>
      <c r="R4308" s="20"/>
      <c r="S4308" s="20"/>
      <c r="T4308" s="20"/>
      <c r="U4308" t="s">
        <v>401</v>
      </c>
    </row>
    <row r="4309" spans="1:21" x14ac:dyDescent="0.25">
      <c r="B4309">
        <v>383</v>
      </c>
      <c r="C4309" t="s">
        <v>4715</v>
      </c>
      <c r="E4309" s="18">
        <v>-400</v>
      </c>
      <c r="G4309" t="s">
        <v>442</v>
      </c>
      <c r="I4309"/>
      <c r="J4309"/>
      <c r="L4309"/>
      <c r="M4309"/>
      <c r="O4309"/>
      <c r="P4309" s="20"/>
      <c r="Q4309" s="20"/>
      <c r="R4309" s="20"/>
      <c r="S4309" s="20"/>
      <c r="T4309" s="20"/>
      <c r="U4309" t="s">
        <v>401</v>
      </c>
    </row>
    <row r="4310" spans="1:21" x14ac:dyDescent="0.25">
      <c r="B4310">
        <v>383</v>
      </c>
      <c r="C4310" t="s">
        <v>4722</v>
      </c>
      <c r="E4310" s="18">
        <v>-3000</v>
      </c>
      <c r="G4310" t="s">
        <v>442</v>
      </c>
      <c r="I4310"/>
      <c r="J4310"/>
      <c r="L4310"/>
      <c r="M4310"/>
      <c r="O4310"/>
      <c r="P4310" s="20"/>
      <c r="Q4310" s="20"/>
      <c r="R4310" s="20"/>
      <c r="S4310" s="20"/>
      <c r="T4310" s="20"/>
      <c r="U4310" t="s">
        <v>401</v>
      </c>
    </row>
    <row r="4311" spans="1:21" x14ac:dyDescent="0.25">
      <c r="B4311">
        <v>383</v>
      </c>
      <c r="C4311" t="s">
        <v>1098</v>
      </c>
      <c r="E4311" s="18">
        <v>157.5</v>
      </c>
      <c r="G4311" t="s">
        <v>442</v>
      </c>
      <c r="I4311"/>
      <c r="J4311"/>
      <c r="L4311"/>
      <c r="M4311"/>
      <c r="O4311"/>
      <c r="P4311" s="20"/>
      <c r="Q4311" s="20"/>
      <c r="R4311" s="20"/>
      <c r="S4311" s="20"/>
      <c r="T4311" s="20"/>
      <c r="U4311" t="s">
        <v>401</v>
      </c>
    </row>
    <row r="4312" spans="1:21" x14ac:dyDescent="0.25">
      <c r="B4312">
        <v>383</v>
      </c>
      <c r="C4312" t="s">
        <v>4749</v>
      </c>
      <c r="D4312">
        <v>4.75</v>
      </c>
      <c r="E4312" s="18">
        <v>-475</v>
      </c>
      <c r="G4312" t="s">
        <v>4750</v>
      </c>
      <c r="I4312"/>
      <c r="J4312"/>
      <c r="L4312"/>
      <c r="M4312"/>
      <c r="O4312"/>
      <c r="P4312" s="20"/>
      <c r="Q4312" s="20"/>
      <c r="R4312" s="20"/>
      <c r="S4312" s="20"/>
      <c r="T4312" s="20"/>
      <c r="U4312" t="s">
        <v>401</v>
      </c>
    </row>
    <row r="4313" spans="1:21" x14ac:dyDescent="0.25">
      <c r="B4313">
        <v>383</v>
      </c>
      <c r="C4313" t="s">
        <v>4751</v>
      </c>
      <c r="D4313">
        <v>5</v>
      </c>
      <c r="E4313" s="18">
        <v>500</v>
      </c>
      <c r="G4313" t="s">
        <v>4752</v>
      </c>
      <c r="I4313"/>
      <c r="J4313"/>
      <c r="L4313"/>
      <c r="M4313"/>
      <c r="O4313"/>
      <c r="P4313" s="20"/>
      <c r="Q4313" s="20"/>
      <c r="R4313" s="20"/>
      <c r="S4313" s="20"/>
      <c r="T4313" s="20"/>
      <c r="U4313" t="s">
        <v>401</v>
      </c>
    </row>
    <row r="4314" spans="1:21" x14ac:dyDescent="0.25">
      <c r="B4314">
        <v>383</v>
      </c>
      <c r="C4314" t="s">
        <v>4753</v>
      </c>
      <c r="D4314">
        <v>2.25</v>
      </c>
      <c r="E4314" s="18">
        <v>225</v>
      </c>
      <c r="G4314" t="s">
        <v>4754</v>
      </c>
      <c r="I4314"/>
      <c r="J4314"/>
      <c r="L4314"/>
      <c r="M4314"/>
      <c r="O4314"/>
      <c r="P4314" s="20"/>
      <c r="Q4314" s="20"/>
      <c r="R4314" s="20"/>
      <c r="S4314" s="20"/>
      <c r="T4314" s="20"/>
      <c r="U4314" t="s">
        <v>401</v>
      </c>
    </row>
    <row r="4315" spans="1:21" x14ac:dyDescent="0.25">
      <c r="B4315">
        <v>383</v>
      </c>
      <c r="C4315" t="s">
        <v>4725</v>
      </c>
      <c r="D4315">
        <v>5.5</v>
      </c>
      <c r="E4315" s="18">
        <v>-550</v>
      </c>
      <c r="G4315" t="s">
        <v>4726</v>
      </c>
      <c r="I4315"/>
      <c r="J4315"/>
      <c r="L4315"/>
      <c r="M4315"/>
      <c r="O4315"/>
      <c r="P4315" s="20"/>
      <c r="Q4315" s="20"/>
      <c r="R4315" s="20"/>
      <c r="S4315" s="20"/>
      <c r="T4315" s="20"/>
      <c r="U4315" t="s">
        <v>401</v>
      </c>
    </row>
    <row r="4316" spans="1:21" x14ac:dyDescent="0.25">
      <c r="B4316">
        <v>383</v>
      </c>
      <c r="C4316" t="s">
        <v>4744</v>
      </c>
      <c r="D4316">
        <v>3</v>
      </c>
      <c r="E4316" s="18">
        <v>-300</v>
      </c>
      <c r="G4316" t="s">
        <v>4746</v>
      </c>
      <c r="I4316"/>
      <c r="J4316"/>
      <c r="L4316"/>
      <c r="M4316"/>
      <c r="O4316"/>
      <c r="P4316" s="20"/>
      <c r="Q4316" s="20"/>
      <c r="R4316" s="20"/>
      <c r="S4316" s="20"/>
      <c r="T4316" s="20"/>
      <c r="U4316" t="s">
        <v>401</v>
      </c>
    </row>
    <row r="4317" spans="1:21" x14ac:dyDescent="0.25">
      <c r="B4317">
        <v>383</v>
      </c>
      <c r="C4317" t="s">
        <v>4755</v>
      </c>
      <c r="D4317">
        <v>7.75</v>
      </c>
      <c r="E4317" s="18">
        <v>825</v>
      </c>
      <c r="G4317" t="s">
        <v>4756</v>
      </c>
      <c r="I4317"/>
      <c r="J4317"/>
      <c r="L4317"/>
      <c r="M4317"/>
      <c r="O4317"/>
      <c r="P4317" s="20"/>
      <c r="Q4317" s="20"/>
      <c r="R4317" s="20"/>
      <c r="S4317" s="20"/>
      <c r="T4317" s="20"/>
      <c r="U4317" t="s">
        <v>401</v>
      </c>
    </row>
    <row r="4318" spans="1:21" x14ac:dyDescent="0.25">
      <c r="B4318">
        <v>383</v>
      </c>
      <c r="C4318" t="s">
        <v>4755</v>
      </c>
      <c r="D4318">
        <v>8.25</v>
      </c>
      <c r="E4318" s="18">
        <v>825</v>
      </c>
      <c r="G4318" t="s">
        <v>4756</v>
      </c>
      <c r="I4318"/>
      <c r="J4318"/>
      <c r="L4318"/>
      <c r="M4318"/>
      <c r="O4318"/>
      <c r="P4318" s="20"/>
      <c r="Q4318" s="20"/>
      <c r="R4318" s="20"/>
      <c r="S4318" s="20"/>
      <c r="T4318" s="20"/>
      <c r="U4318" t="s">
        <v>401</v>
      </c>
    </row>
    <row r="4319" spans="1:21" x14ac:dyDescent="0.25">
      <c r="B4319">
        <v>383</v>
      </c>
      <c r="C4319" t="s">
        <v>4757</v>
      </c>
      <c r="D4319">
        <v>10</v>
      </c>
      <c r="E4319" s="18">
        <v>-300</v>
      </c>
      <c r="G4319" t="s">
        <v>4719</v>
      </c>
      <c r="I4319"/>
      <c r="J4319"/>
      <c r="L4319"/>
      <c r="M4319"/>
      <c r="O4319"/>
      <c r="P4319" s="20"/>
      <c r="Q4319" s="20"/>
      <c r="R4319" s="20"/>
      <c r="S4319" s="20"/>
      <c r="T4319" s="20"/>
      <c r="U4319" t="s">
        <v>401</v>
      </c>
    </row>
    <row r="4320" spans="1:21" x14ac:dyDescent="0.25">
      <c r="B4320">
        <v>383</v>
      </c>
      <c r="C4320" t="s">
        <v>4720</v>
      </c>
      <c r="D4320">
        <v>4.25</v>
      </c>
      <c r="E4320" s="18">
        <v>-425</v>
      </c>
      <c r="G4320" t="s">
        <v>4721</v>
      </c>
      <c r="I4320"/>
      <c r="J4320"/>
      <c r="L4320"/>
      <c r="M4320"/>
      <c r="O4320"/>
      <c r="P4320" s="20"/>
      <c r="Q4320" s="20"/>
      <c r="R4320" s="20"/>
      <c r="S4320" s="20"/>
      <c r="T4320" s="20"/>
      <c r="U4320" t="s">
        <v>401</v>
      </c>
    </row>
    <row r="4321" spans="1:21" x14ac:dyDescent="0.25">
      <c r="B4321">
        <v>383</v>
      </c>
      <c r="C4321" t="s">
        <v>4728</v>
      </c>
      <c r="D4321">
        <v>4.25</v>
      </c>
      <c r="E4321" s="18">
        <v>-450</v>
      </c>
      <c r="G4321" t="s">
        <v>4729</v>
      </c>
      <c r="I4321"/>
      <c r="J4321"/>
      <c r="L4321"/>
      <c r="M4321"/>
      <c r="O4321"/>
      <c r="P4321" s="20"/>
      <c r="Q4321" s="20"/>
      <c r="R4321" s="20"/>
      <c r="S4321" s="20"/>
      <c r="T4321" s="20"/>
      <c r="U4321" t="s">
        <v>401</v>
      </c>
    </row>
    <row r="4322" spans="1:21" x14ac:dyDescent="0.25">
      <c r="B4322">
        <v>383</v>
      </c>
      <c r="C4322" t="s">
        <v>4730</v>
      </c>
      <c r="D4322">
        <v>4.25</v>
      </c>
      <c r="E4322" s="18">
        <v>141.66666666666666</v>
      </c>
      <c r="G4322" t="s">
        <v>4731</v>
      </c>
      <c r="I4322"/>
      <c r="J4322"/>
      <c r="L4322"/>
      <c r="M4322"/>
      <c r="O4322"/>
      <c r="P4322" s="20"/>
      <c r="Q4322" s="20"/>
      <c r="R4322" s="20"/>
      <c r="S4322" s="20"/>
      <c r="T4322" s="20"/>
      <c r="U4322" t="s">
        <v>401</v>
      </c>
    </row>
    <row r="4323" spans="1:21" x14ac:dyDescent="0.25">
      <c r="B4323">
        <v>383</v>
      </c>
      <c r="C4323" t="s">
        <v>4730</v>
      </c>
      <c r="D4323">
        <v>4.25</v>
      </c>
      <c r="E4323" s="18">
        <v>141.66666666666666</v>
      </c>
      <c r="F4323" t="s">
        <v>889</v>
      </c>
      <c r="G4323" t="s">
        <v>4731</v>
      </c>
      <c r="I4323"/>
      <c r="J4323"/>
      <c r="L4323"/>
      <c r="M4323"/>
      <c r="O4323"/>
      <c r="P4323" s="20"/>
      <c r="Q4323" s="20"/>
      <c r="R4323" s="20"/>
      <c r="S4323" s="20"/>
      <c r="T4323" s="20"/>
      <c r="U4323" t="s">
        <v>401</v>
      </c>
    </row>
    <row r="4324" spans="1:21" x14ac:dyDescent="0.25">
      <c r="B4324">
        <v>383</v>
      </c>
      <c r="C4324" t="s">
        <v>967</v>
      </c>
      <c r="E4324" s="18">
        <v>-1666.5</v>
      </c>
      <c r="G4324" t="s">
        <v>442</v>
      </c>
      <c r="I4324"/>
      <c r="J4324"/>
      <c r="L4324"/>
      <c r="M4324"/>
      <c r="O4324"/>
      <c r="P4324" s="20"/>
      <c r="Q4324" s="20"/>
      <c r="R4324" s="20"/>
      <c r="S4324" s="20"/>
      <c r="T4324" s="20"/>
      <c r="U4324" t="s">
        <v>401</v>
      </c>
    </row>
    <row r="4325" spans="1:21" x14ac:dyDescent="0.25">
      <c r="B4325">
        <v>383</v>
      </c>
      <c r="C4325" t="s">
        <v>4739</v>
      </c>
      <c r="D4325">
        <v>4</v>
      </c>
      <c r="E4325" s="18">
        <v>-400</v>
      </c>
      <c r="G4325" t="s">
        <v>4740</v>
      </c>
      <c r="I4325"/>
      <c r="J4325"/>
      <c r="L4325"/>
      <c r="M4325"/>
      <c r="O4325"/>
      <c r="P4325" s="20"/>
      <c r="Q4325" s="20"/>
      <c r="R4325" s="20"/>
      <c r="S4325" s="20"/>
      <c r="T4325" s="20"/>
      <c r="U4325" t="s">
        <v>401</v>
      </c>
    </row>
    <row r="4326" spans="1:21" x14ac:dyDescent="0.25">
      <c r="B4326">
        <v>383</v>
      </c>
      <c r="C4326" t="s">
        <v>4758</v>
      </c>
      <c r="D4326">
        <v>5.75</v>
      </c>
      <c r="E4326" s="18">
        <v>-575</v>
      </c>
      <c r="G4326" t="s">
        <v>4759</v>
      </c>
      <c r="I4326"/>
      <c r="J4326"/>
      <c r="L4326"/>
      <c r="M4326"/>
      <c r="O4326"/>
      <c r="P4326" s="20"/>
      <c r="Q4326" s="20"/>
      <c r="R4326" s="20"/>
      <c r="S4326" s="20"/>
      <c r="T4326" s="20"/>
      <c r="U4326" t="s">
        <v>401</v>
      </c>
    </row>
    <row r="4327" spans="1:21" x14ac:dyDescent="0.25">
      <c r="B4327">
        <v>383</v>
      </c>
      <c r="C4327" t="s">
        <v>4758</v>
      </c>
      <c r="D4327">
        <v>5.75</v>
      </c>
      <c r="E4327" s="18">
        <v>575</v>
      </c>
      <c r="G4327" t="s">
        <v>4759</v>
      </c>
      <c r="I4327"/>
      <c r="J4327"/>
      <c r="L4327"/>
      <c r="M4327"/>
      <c r="O4327"/>
      <c r="P4327" s="20"/>
      <c r="Q4327" s="20"/>
      <c r="R4327" s="20"/>
      <c r="S4327" s="20"/>
      <c r="T4327" s="20"/>
      <c r="U4327" t="s">
        <v>401</v>
      </c>
    </row>
    <row r="4328" spans="1:21" x14ac:dyDescent="0.25">
      <c r="B4328">
        <v>383</v>
      </c>
      <c r="C4328" t="s">
        <v>4747</v>
      </c>
      <c r="D4328">
        <v>4.75</v>
      </c>
      <c r="E4328" s="18">
        <v>475</v>
      </c>
      <c r="G4328" t="s">
        <v>4748</v>
      </c>
      <c r="I4328"/>
      <c r="J4328"/>
      <c r="L4328"/>
      <c r="M4328"/>
      <c r="O4328"/>
      <c r="P4328" s="20"/>
      <c r="Q4328" s="20"/>
      <c r="R4328" s="20"/>
      <c r="S4328" s="20"/>
      <c r="T4328" s="20"/>
      <c r="U4328" t="s">
        <v>401</v>
      </c>
    </row>
    <row r="4329" spans="1:21" x14ac:dyDescent="0.25">
      <c r="A4329" s="3">
        <v>41926</v>
      </c>
      <c r="B4329" s="36">
        <v>387</v>
      </c>
      <c r="C4329" t="s">
        <v>4760</v>
      </c>
      <c r="D4329">
        <v>8.67</v>
      </c>
      <c r="E4329" s="18">
        <v>867</v>
      </c>
      <c r="F4329" t="s">
        <v>889</v>
      </c>
      <c r="G4329" t="s">
        <v>4761</v>
      </c>
      <c r="H4329" s="18">
        <v>867</v>
      </c>
      <c r="I4329" s="3">
        <v>41926</v>
      </c>
      <c r="J4329"/>
      <c r="L4329"/>
      <c r="M4329"/>
      <c r="N4329" s="20"/>
      <c r="O4329"/>
      <c r="P4329" s="20"/>
      <c r="Q4329" s="20"/>
      <c r="R4329" s="20"/>
      <c r="S4329" s="20"/>
      <c r="T4329" s="20"/>
    </row>
    <row r="4330" spans="1:21" x14ac:dyDescent="0.25">
      <c r="A4330" s="3">
        <v>41929</v>
      </c>
      <c r="B4330" s="36">
        <v>387</v>
      </c>
      <c r="C4330" t="s">
        <v>4762</v>
      </c>
      <c r="D4330">
        <v>9.25</v>
      </c>
      <c r="E4330" s="18">
        <v>925</v>
      </c>
      <c r="F4330" t="s">
        <v>889</v>
      </c>
      <c r="G4330" t="s">
        <v>4763</v>
      </c>
      <c r="H4330" s="18">
        <v>925</v>
      </c>
      <c r="I4330" s="3">
        <v>41929</v>
      </c>
      <c r="J4330"/>
      <c r="L4330"/>
      <c r="M4330"/>
      <c r="N4330" s="20"/>
      <c r="O4330"/>
      <c r="P4330" s="20"/>
      <c r="Q4330" s="20"/>
      <c r="R4330" s="20"/>
      <c r="S4330" s="20"/>
      <c r="T4330" s="20"/>
    </row>
    <row r="4331" spans="1:21" x14ac:dyDescent="0.25">
      <c r="A4331" s="3">
        <v>41968</v>
      </c>
      <c r="B4331" s="36">
        <v>387</v>
      </c>
      <c r="C4331" t="s">
        <v>4764</v>
      </c>
      <c r="D4331">
        <v>8.16</v>
      </c>
      <c r="E4331" s="18">
        <v>816</v>
      </c>
      <c r="F4331" t="s">
        <v>889</v>
      </c>
      <c r="G4331" t="s">
        <v>4765</v>
      </c>
      <c r="H4331" s="18">
        <v>816</v>
      </c>
      <c r="I4331" s="3">
        <v>41968</v>
      </c>
      <c r="J4331"/>
      <c r="L4331"/>
      <c r="M4331"/>
      <c r="N4331" s="20"/>
      <c r="O4331"/>
      <c r="P4331" s="20"/>
      <c r="Q4331" s="20"/>
      <c r="R4331" s="20"/>
      <c r="S4331" s="20"/>
      <c r="T4331" s="20"/>
    </row>
    <row r="4332" spans="1:21" x14ac:dyDescent="0.25">
      <c r="A4332" s="3">
        <v>41968</v>
      </c>
      <c r="B4332" s="36">
        <v>387</v>
      </c>
      <c r="C4332" t="s">
        <v>4766</v>
      </c>
      <c r="D4332">
        <v>4.25</v>
      </c>
      <c r="E4332" s="18">
        <v>408</v>
      </c>
      <c r="F4332" t="s">
        <v>889</v>
      </c>
      <c r="G4332" t="s">
        <v>4767</v>
      </c>
      <c r="H4332" s="18">
        <v>408</v>
      </c>
      <c r="I4332" s="3">
        <v>41968</v>
      </c>
      <c r="J4332"/>
      <c r="L4332"/>
      <c r="M4332"/>
      <c r="N4332" s="20"/>
      <c r="O4332"/>
      <c r="P4332" s="20"/>
      <c r="Q4332" s="20"/>
      <c r="R4332" s="20"/>
      <c r="S4332" s="20"/>
      <c r="T4332" s="20"/>
    </row>
    <row r="4333" spans="1:21" x14ac:dyDescent="0.25">
      <c r="A4333" s="3">
        <v>41968</v>
      </c>
      <c r="B4333" s="36">
        <v>387</v>
      </c>
      <c r="C4333" t="s">
        <v>4760</v>
      </c>
      <c r="D4333">
        <v>11</v>
      </c>
      <c r="E4333" s="18">
        <v>-867</v>
      </c>
      <c r="F4333" t="s">
        <v>889</v>
      </c>
      <c r="G4333" t="s">
        <v>4761</v>
      </c>
      <c r="H4333" s="18" t="s">
        <v>442</v>
      </c>
      <c r="I4333" s="3" t="s">
        <v>442</v>
      </c>
      <c r="J4333"/>
      <c r="L4333"/>
      <c r="M4333"/>
      <c r="N4333" s="20"/>
      <c r="O4333"/>
      <c r="P4333" s="20"/>
      <c r="Q4333" s="20"/>
      <c r="R4333" s="20"/>
      <c r="S4333" s="20"/>
      <c r="T4333" s="20"/>
    </row>
    <row r="4334" spans="1:21" x14ac:dyDescent="0.25">
      <c r="A4334" s="3">
        <v>42004</v>
      </c>
      <c r="B4334" s="36">
        <v>387</v>
      </c>
      <c r="C4334" t="s">
        <v>4766</v>
      </c>
      <c r="D4334">
        <v>4.08</v>
      </c>
      <c r="E4334" s="18">
        <v>136</v>
      </c>
      <c r="F4334" t="s">
        <v>889</v>
      </c>
      <c r="G4334" t="s">
        <v>4767</v>
      </c>
      <c r="H4334" s="18">
        <v>136</v>
      </c>
      <c r="I4334" s="3">
        <v>42004</v>
      </c>
      <c r="J4334"/>
      <c r="L4334"/>
      <c r="M4334"/>
      <c r="N4334" s="20"/>
      <c r="O4334"/>
      <c r="P4334" s="20"/>
      <c r="Q4334" s="20"/>
      <c r="R4334" s="20"/>
      <c r="S4334" s="20"/>
      <c r="T4334" s="20"/>
    </row>
    <row r="4335" spans="1:21" x14ac:dyDescent="0.25">
      <c r="A4335" s="3">
        <v>42041</v>
      </c>
      <c r="B4335">
        <v>387</v>
      </c>
      <c r="C4335" t="s">
        <v>4766</v>
      </c>
      <c r="E4335" s="18">
        <v>136</v>
      </c>
      <c r="F4335" t="s">
        <v>889</v>
      </c>
      <c r="G4335" t="s">
        <v>4767</v>
      </c>
      <c r="I4335"/>
      <c r="J4335"/>
      <c r="L4335"/>
      <c r="M4335"/>
      <c r="O4335"/>
      <c r="P4335" s="20"/>
      <c r="Q4335" s="20"/>
      <c r="R4335" s="20"/>
      <c r="S4335" s="20"/>
      <c r="T4335" s="20"/>
    </row>
    <row r="4336" spans="1:21" x14ac:dyDescent="0.25">
      <c r="A4336" s="3">
        <v>41859</v>
      </c>
      <c r="B4336" s="36">
        <v>389</v>
      </c>
      <c r="C4336" t="s">
        <v>1010</v>
      </c>
      <c r="E4336" s="18">
        <v>2000</v>
      </c>
      <c r="G4336" t="s">
        <v>442</v>
      </c>
      <c r="H4336" s="18" t="s">
        <v>442</v>
      </c>
      <c r="I4336" s="3" t="s">
        <v>442</v>
      </c>
      <c r="J4336"/>
      <c r="L4336"/>
      <c r="M4336"/>
      <c r="N4336" s="20"/>
      <c r="O4336"/>
      <c r="P4336" s="20"/>
      <c r="Q4336" s="20"/>
      <c r="R4336" s="20"/>
      <c r="S4336" s="20"/>
      <c r="T4336" s="20" t="s">
        <v>401</v>
      </c>
    </row>
    <row r="4337" spans="1:20" x14ac:dyDescent="0.25">
      <c r="A4337" s="3">
        <v>41859</v>
      </c>
      <c r="B4337" s="36">
        <v>389</v>
      </c>
      <c r="C4337" t="s">
        <v>4768</v>
      </c>
      <c r="D4337">
        <v>3.8250000000000002</v>
      </c>
      <c r="E4337" s="18">
        <v>382.5</v>
      </c>
      <c r="G4337" t="s">
        <v>4769</v>
      </c>
      <c r="H4337" s="18">
        <v>382.5</v>
      </c>
      <c r="I4337" s="3">
        <v>41859</v>
      </c>
      <c r="J4337"/>
      <c r="L4337"/>
      <c r="M4337"/>
      <c r="N4337" s="20"/>
      <c r="O4337"/>
      <c r="P4337" s="20"/>
      <c r="Q4337" s="20"/>
      <c r="R4337" s="20"/>
      <c r="S4337" s="20"/>
      <c r="T4337" s="20"/>
    </row>
    <row r="4338" spans="1:20" x14ac:dyDescent="0.25">
      <c r="A4338" s="3">
        <v>41859</v>
      </c>
      <c r="B4338" s="36">
        <v>389</v>
      </c>
      <c r="C4338" t="s">
        <v>4770</v>
      </c>
      <c r="D4338">
        <v>9.18</v>
      </c>
      <c r="E4338" s="18">
        <v>918</v>
      </c>
      <c r="G4338" t="s">
        <v>4771</v>
      </c>
      <c r="H4338" s="18">
        <v>918</v>
      </c>
      <c r="I4338" s="3">
        <v>41859</v>
      </c>
      <c r="J4338"/>
      <c r="L4338"/>
      <c r="M4338"/>
      <c r="N4338" s="20"/>
      <c r="O4338"/>
      <c r="P4338" s="20"/>
      <c r="Q4338" s="20"/>
      <c r="R4338" s="20"/>
      <c r="S4338" s="20"/>
      <c r="T4338" s="20"/>
    </row>
    <row r="4339" spans="1:20" x14ac:dyDescent="0.25">
      <c r="A4339" s="3">
        <v>41866</v>
      </c>
      <c r="B4339" s="36">
        <v>389</v>
      </c>
      <c r="C4339" t="s">
        <v>4768</v>
      </c>
      <c r="D4339">
        <v>6.5</v>
      </c>
      <c r="E4339" s="18">
        <v>-382.5</v>
      </c>
      <c r="G4339" t="s">
        <v>4769</v>
      </c>
      <c r="H4339" s="18" t="s">
        <v>442</v>
      </c>
      <c r="I4339" s="3" t="s">
        <v>442</v>
      </c>
      <c r="J4339"/>
      <c r="L4339"/>
      <c r="M4339"/>
      <c r="N4339" s="20"/>
      <c r="O4339"/>
      <c r="P4339" s="20"/>
      <c r="Q4339" s="20"/>
      <c r="R4339" s="20"/>
      <c r="S4339" s="20"/>
      <c r="T4339" s="20"/>
    </row>
    <row r="4340" spans="1:20" x14ac:dyDescent="0.25">
      <c r="A4340" s="3">
        <v>41866</v>
      </c>
      <c r="B4340" s="36">
        <v>389</v>
      </c>
      <c r="C4340" t="s">
        <v>4772</v>
      </c>
      <c r="D4340">
        <v>4.5</v>
      </c>
      <c r="E4340" s="18">
        <v>450</v>
      </c>
      <c r="G4340" t="s">
        <v>4773</v>
      </c>
      <c r="H4340" s="18">
        <v>450</v>
      </c>
      <c r="I4340" s="3">
        <v>41866</v>
      </c>
      <c r="J4340"/>
      <c r="L4340"/>
      <c r="M4340"/>
      <c r="N4340" s="20"/>
      <c r="O4340"/>
      <c r="P4340" s="20"/>
      <c r="Q4340" s="20"/>
      <c r="R4340" s="20"/>
      <c r="S4340" s="20"/>
      <c r="T4340" s="20"/>
    </row>
    <row r="4341" spans="1:20" x14ac:dyDescent="0.25">
      <c r="A4341" s="3">
        <v>41866</v>
      </c>
      <c r="B4341" s="36">
        <v>389</v>
      </c>
      <c r="C4341" t="s">
        <v>4774</v>
      </c>
      <c r="D4341">
        <v>5</v>
      </c>
      <c r="E4341" s="18">
        <v>500</v>
      </c>
      <c r="G4341" t="s">
        <v>4775</v>
      </c>
      <c r="H4341" s="18">
        <v>500</v>
      </c>
      <c r="I4341" s="3">
        <v>41866</v>
      </c>
      <c r="J4341"/>
      <c r="L4341"/>
      <c r="M4341"/>
      <c r="N4341" s="20"/>
      <c r="O4341"/>
      <c r="P4341" s="20"/>
      <c r="Q4341" s="20"/>
      <c r="R4341" s="20"/>
      <c r="S4341" s="20"/>
      <c r="T4341" s="20"/>
    </row>
    <row r="4342" spans="1:20" x14ac:dyDescent="0.25">
      <c r="A4342" s="3">
        <v>41866</v>
      </c>
      <c r="B4342" s="36">
        <v>389</v>
      </c>
      <c r="C4342" t="s">
        <v>4776</v>
      </c>
      <c r="D4342">
        <v>5.5</v>
      </c>
      <c r="E4342" s="18">
        <v>550</v>
      </c>
      <c r="G4342" t="s">
        <v>4777</v>
      </c>
      <c r="H4342" s="18">
        <v>550</v>
      </c>
      <c r="I4342" s="3">
        <v>41866</v>
      </c>
      <c r="J4342"/>
      <c r="L4342"/>
      <c r="M4342"/>
      <c r="N4342" s="20"/>
      <c r="O4342"/>
      <c r="P4342" s="20"/>
      <c r="Q4342" s="20"/>
      <c r="R4342" s="20"/>
      <c r="S4342" s="20"/>
      <c r="T4342" s="20"/>
    </row>
    <row r="4343" spans="1:20" x14ac:dyDescent="0.25">
      <c r="A4343" s="3">
        <v>41873</v>
      </c>
      <c r="B4343" s="36">
        <v>389</v>
      </c>
      <c r="C4343" t="s">
        <v>1010</v>
      </c>
      <c r="E4343" s="18">
        <v>-2000</v>
      </c>
      <c r="G4343" t="s">
        <v>442</v>
      </c>
      <c r="H4343" s="18" t="s">
        <v>442</v>
      </c>
      <c r="I4343" s="3" t="s">
        <v>442</v>
      </c>
      <c r="J4343"/>
      <c r="L4343"/>
      <c r="M4343"/>
      <c r="N4343" s="20"/>
      <c r="O4343"/>
      <c r="P4343" s="20"/>
      <c r="Q4343" s="20"/>
      <c r="R4343" s="20"/>
      <c r="S4343" s="20"/>
      <c r="T4343" s="20" t="s">
        <v>401</v>
      </c>
    </row>
    <row r="4344" spans="1:20" x14ac:dyDescent="0.25">
      <c r="A4344" s="3">
        <v>41873</v>
      </c>
      <c r="B4344" s="36">
        <v>389</v>
      </c>
      <c r="C4344" t="s">
        <v>4778</v>
      </c>
      <c r="D4344">
        <v>9.75</v>
      </c>
      <c r="E4344" s="18">
        <v>975</v>
      </c>
      <c r="G4344" t="s">
        <v>4779</v>
      </c>
      <c r="H4344" s="18">
        <v>975</v>
      </c>
      <c r="I4344" s="3">
        <v>41873</v>
      </c>
      <c r="J4344"/>
      <c r="L4344"/>
      <c r="M4344"/>
      <c r="N4344" s="20"/>
      <c r="O4344"/>
      <c r="P4344" s="20"/>
      <c r="Q4344" s="20"/>
      <c r="R4344" s="20"/>
      <c r="S4344" s="20"/>
      <c r="T4344" s="20"/>
    </row>
    <row r="4345" spans="1:20" x14ac:dyDescent="0.25">
      <c r="A4345" s="3">
        <v>41873</v>
      </c>
      <c r="B4345" s="36">
        <v>389</v>
      </c>
      <c r="C4345" t="s">
        <v>4780</v>
      </c>
      <c r="D4345">
        <v>16.75</v>
      </c>
      <c r="E4345" s="18">
        <v>1675</v>
      </c>
      <c r="G4345" t="s">
        <v>4781</v>
      </c>
      <c r="H4345" s="18">
        <v>1675</v>
      </c>
      <c r="I4345" s="3">
        <v>41873</v>
      </c>
      <c r="J4345"/>
      <c r="L4345"/>
      <c r="M4345"/>
      <c r="N4345" s="20"/>
      <c r="O4345"/>
      <c r="P4345" s="20"/>
      <c r="Q4345" s="20"/>
      <c r="R4345" s="20"/>
      <c r="S4345" s="20"/>
      <c r="T4345" s="20"/>
    </row>
    <row r="4346" spans="1:20" x14ac:dyDescent="0.25">
      <c r="A4346" s="3">
        <v>41873</v>
      </c>
      <c r="B4346" s="36">
        <v>389</v>
      </c>
      <c r="C4346" t="s">
        <v>4782</v>
      </c>
      <c r="D4346">
        <v>4.75</v>
      </c>
      <c r="E4346" s="18">
        <v>475</v>
      </c>
      <c r="G4346" t="s">
        <v>4783</v>
      </c>
      <c r="H4346" s="18">
        <v>475</v>
      </c>
      <c r="I4346" s="3">
        <v>41873</v>
      </c>
      <c r="J4346"/>
      <c r="L4346"/>
      <c r="M4346"/>
      <c r="N4346" s="20"/>
      <c r="O4346"/>
      <c r="P4346" s="20"/>
      <c r="Q4346" s="20"/>
      <c r="R4346" s="20"/>
      <c r="S4346" s="20"/>
      <c r="T4346" s="20"/>
    </row>
    <row r="4347" spans="1:20" x14ac:dyDescent="0.25">
      <c r="A4347" s="3">
        <v>41880</v>
      </c>
      <c r="B4347" s="36">
        <v>389</v>
      </c>
      <c r="C4347" t="s">
        <v>4784</v>
      </c>
      <c r="D4347">
        <v>12</v>
      </c>
      <c r="E4347" s="18">
        <v>1200</v>
      </c>
      <c r="G4347" t="s">
        <v>4785</v>
      </c>
      <c r="H4347" s="18">
        <v>1200</v>
      </c>
      <c r="I4347" s="3">
        <v>41880</v>
      </c>
      <c r="J4347"/>
      <c r="L4347"/>
      <c r="M4347"/>
      <c r="N4347" s="20"/>
      <c r="O4347"/>
      <c r="P4347" s="20"/>
      <c r="Q4347" s="20"/>
      <c r="R4347" s="20"/>
      <c r="S4347" s="20"/>
      <c r="T4347" s="20"/>
    </row>
    <row r="4348" spans="1:20" x14ac:dyDescent="0.25">
      <c r="A4348" s="3">
        <v>41880</v>
      </c>
      <c r="B4348" s="36">
        <v>389</v>
      </c>
      <c r="C4348" t="s">
        <v>4786</v>
      </c>
      <c r="D4348">
        <v>7.5</v>
      </c>
      <c r="E4348" s="18">
        <v>650</v>
      </c>
      <c r="G4348" t="s">
        <v>4787</v>
      </c>
      <c r="H4348" s="18">
        <v>650</v>
      </c>
      <c r="I4348" s="3">
        <v>41880</v>
      </c>
      <c r="J4348"/>
      <c r="L4348"/>
      <c r="M4348"/>
      <c r="N4348" s="20"/>
      <c r="O4348"/>
      <c r="P4348" s="20"/>
      <c r="Q4348" s="20"/>
      <c r="R4348" s="20"/>
      <c r="S4348" s="20"/>
      <c r="T4348" s="20"/>
    </row>
    <row r="4349" spans="1:20" x14ac:dyDescent="0.25">
      <c r="A4349" s="3">
        <v>41880</v>
      </c>
      <c r="B4349" s="36">
        <v>389</v>
      </c>
      <c r="C4349" t="s">
        <v>4788</v>
      </c>
      <c r="D4349">
        <v>8.25</v>
      </c>
      <c r="E4349" s="18">
        <v>825</v>
      </c>
      <c r="G4349" t="s">
        <v>4789</v>
      </c>
      <c r="H4349" s="18">
        <v>825</v>
      </c>
      <c r="I4349" s="3">
        <v>41880</v>
      </c>
      <c r="J4349"/>
      <c r="L4349"/>
      <c r="M4349"/>
      <c r="N4349" s="20"/>
      <c r="O4349"/>
      <c r="P4349" s="20"/>
      <c r="Q4349" s="20"/>
      <c r="R4349" s="20"/>
      <c r="S4349" s="20"/>
      <c r="T4349" s="20"/>
    </row>
    <row r="4350" spans="1:20" x14ac:dyDescent="0.25">
      <c r="A4350" s="3">
        <v>41880</v>
      </c>
      <c r="B4350" s="36">
        <v>389</v>
      </c>
      <c r="C4350" t="s">
        <v>4790</v>
      </c>
      <c r="D4350">
        <v>4.75</v>
      </c>
      <c r="E4350" s="18">
        <v>475</v>
      </c>
      <c r="G4350" t="s">
        <v>4791</v>
      </c>
      <c r="H4350" s="18">
        <v>475</v>
      </c>
      <c r="I4350" s="3">
        <v>41880</v>
      </c>
      <c r="J4350"/>
      <c r="L4350"/>
      <c r="M4350"/>
      <c r="N4350" s="20"/>
      <c r="O4350"/>
      <c r="P4350" s="20"/>
      <c r="Q4350" s="20"/>
      <c r="R4350" s="20"/>
      <c r="S4350" s="20"/>
      <c r="T4350" s="20"/>
    </row>
    <row r="4351" spans="1:20" x14ac:dyDescent="0.25">
      <c r="A4351" s="3">
        <v>41880</v>
      </c>
      <c r="B4351" s="36">
        <v>389</v>
      </c>
      <c r="C4351" t="s">
        <v>4792</v>
      </c>
      <c r="D4351">
        <v>7.75</v>
      </c>
      <c r="E4351" s="18">
        <v>750</v>
      </c>
      <c r="G4351" t="s">
        <v>4793</v>
      </c>
      <c r="H4351" s="18">
        <v>750</v>
      </c>
      <c r="I4351" s="3">
        <v>41880</v>
      </c>
      <c r="J4351"/>
      <c r="L4351"/>
      <c r="M4351"/>
      <c r="N4351" s="20"/>
      <c r="O4351"/>
      <c r="P4351" s="20"/>
      <c r="Q4351" s="20"/>
      <c r="R4351" s="20"/>
      <c r="S4351" s="20"/>
      <c r="T4351" s="20"/>
    </row>
    <row r="4352" spans="1:20" x14ac:dyDescent="0.25">
      <c r="A4352" s="3">
        <v>41880</v>
      </c>
      <c r="B4352" s="36">
        <v>389</v>
      </c>
      <c r="C4352" t="s">
        <v>4794</v>
      </c>
      <c r="D4352">
        <v>6.5</v>
      </c>
      <c r="E4352" s="18">
        <v>675</v>
      </c>
      <c r="G4352" t="s">
        <v>4795</v>
      </c>
      <c r="H4352" s="18">
        <v>675</v>
      </c>
      <c r="I4352" s="3">
        <v>41880</v>
      </c>
      <c r="J4352"/>
      <c r="L4352"/>
      <c r="M4352"/>
      <c r="N4352" s="20"/>
      <c r="O4352"/>
      <c r="P4352" s="20"/>
      <c r="Q4352" s="20"/>
      <c r="R4352" s="20"/>
      <c r="S4352" s="20"/>
      <c r="T4352" s="20"/>
    </row>
    <row r="4353" spans="1:20" x14ac:dyDescent="0.25">
      <c r="A4353" s="3">
        <v>41880</v>
      </c>
      <c r="B4353" s="36">
        <v>389</v>
      </c>
      <c r="C4353" t="s">
        <v>4796</v>
      </c>
      <c r="D4353">
        <v>8.25</v>
      </c>
      <c r="E4353" s="18">
        <v>825</v>
      </c>
      <c r="G4353" t="s">
        <v>4797</v>
      </c>
      <c r="H4353" s="18">
        <v>825</v>
      </c>
      <c r="I4353" s="3">
        <v>41880</v>
      </c>
      <c r="J4353"/>
      <c r="L4353"/>
      <c r="M4353"/>
      <c r="N4353" s="20"/>
      <c r="O4353"/>
      <c r="P4353" s="20"/>
      <c r="Q4353" s="20"/>
      <c r="R4353" s="20"/>
      <c r="S4353" s="20"/>
      <c r="T4353" s="20"/>
    </row>
    <row r="4354" spans="1:20" x14ac:dyDescent="0.25">
      <c r="A4354" s="3">
        <v>41880</v>
      </c>
      <c r="B4354" s="36">
        <v>389</v>
      </c>
      <c r="C4354" t="s">
        <v>4798</v>
      </c>
      <c r="D4354">
        <v>5.5</v>
      </c>
      <c r="E4354" s="18">
        <v>550</v>
      </c>
      <c r="G4354" t="s">
        <v>4799</v>
      </c>
      <c r="H4354" s="18">
        <v>550</v>
      </c>
      <c r="I4354" s="3">
        <v>41880</v>
      </c>
      <c r="J4354"/>
      <c r="L4354"/>
      <c r="M4354"/>
      <c r="N4354" s="20"/>
      <c r="O4354"/>
      <c r="P4354" s="20"/>
      <c r="Q4354" s="20"/>
      <c r="R4354" s="20"/>
      <c r="S4354" s="20"/>
      <c r="T4354" s="20"/>
    </row>
    <row r="4355" spans="1:20" x14ac:dyDescent="0.25">
      <c r="A4355" s="3">
        <v>41887</v>
      </c>
      <c r="B4355" s="36">
        <v>389</v>
      </c>
      <c r="C4355" t="s">
        <v>4800</v>
      </c>
      <c r="D4355">
        <v>5.5</v>
      </c>
      <c r="E4355" s="18">
        <v>550</v>
      </c>
      <c r="G4355" t="s">
        <v>4801</v>
      </c>
      <c r="H4355" s="18">
        <v>550</v>
      </c>
      <c r="I4355" s="3">
        <v>41887</v>
      </c>
      <c r="J4355"/>
      <c r="L4355"/>
      <c r="M4355"/>
      <c r="N4355" s="20"/>
      <c r="O4355"/>
      <c r="P4355" s="20"/>
      <c r="Q4355" s="20"/>
      <c r="R4355" s="20"/>
      <c r="S4355" s="20"/>
      <c r="T4355" s="20"/>
    </row>
    <row r="4356" spans="1:20" x14ac:dyDescent="0.25">
      <c r="A4356" s="3">
        <v>41894</v>
      </c>
      <c r="B4356" s="36">
        <v>389</v>
      </c>
      <c r="C4356" t="s">
        <v>4802</v>
      </c>
      <c r="D4356">
        <v>9.75</v>
      </c>
      <c r="E4356" s="18">
        <v>975</v>
      </c>
      <c r="G4356" t="s">
        <v>4803</v>
      </c>
      <c r="H4356" s="18">
        <v>975</v>
      </c>
      <c r="I4356" s="3">
        <v>41894</v>
      </c>
      <c r="J4356"/>
      <c r="L4356"/>
      <c r="M4356"/>
      <c r="N4356" s="20"/>
      <c r="O4356"/>
      <c r="P4356" s="20"/>
      <c r="Q4356" s="20"/>
      <c r="R4356" s="20"/>
      <c r="S4356" s="20"/>
      <c r="T4356" s="20"/>
    </row>
    <row r="4357" spans="1:20" x14ac:dyDescent="0.25">
      <c r="A4357" s="3">
        <v>41894</v>
      </c>
      <c r="B4357" s="36">
        <v>389</v>
      </c>
      <c r="C4357" t="s">
        <v>4804</v>
      </c>
      <c r="D4357">
        <v>10.25</v>
      </c>
      <c r="E4357" s="18">
        <v>1025</v>
      </c>
      <c r="G4357" t="s">
        <v>4805</v>
      </c>
      <c r="H4357" s="18">
        <v>1025</v>
      </c>
      <c r="I4357" s="3">
        <v>41894</v>
      </c>
      <c r="J4357"/>
      <c r="L4357"/>
      <c r="M4357"/>
      <c r="N4357" s="20"/>
      <c r="O4357"/>
      <c r="P4357" s="20"/>
      <c r="Q4357" s="20"/>
      <c r="R4357" s="20"/>
      <c r="S4357" s="20"/>
      <c r="T4357" s="20"/>
    </row>
    <row r="4358" spans="1:20" x14ac:dyDescent="0.25">
      <c r="A4358" s="3">
        <v>41894</v>
      </c>
      <c r="B4358" s="36">
        <v>389</v>
      </c>
      <c r="C4358" t="s">
        <v>4806</v>
      </c>
      <c r="D4358">
        <v>5</v>
      </c>
      <c r="E4358" s="18">
        <v>500</v>
      </c>
      <c r="G4358" t="s">
        <v>4807</v>
      </c>
      <c r="H4358" s="18">
        <v>500</v>
      </c>
      <c r="I4358" s="3">
        <v>41894</v>
      </c>
      <c r="J4358"/>
      <c r="L4358"/>
      <c r="M4358"/>
      <c r="N4358" s="20"/>
      <c r="O4358"/>
      <c r="P4358" s="20"/>
      <c r="Q4358" s="20"/>
      <c r="R4358" s="20"/>
      <c r="S4358" s="20"/>
      <c r="T4358" s="20"/>
    </row>
    <row r="4359" spans="1:20" x14ac:dyDescent="0.25">
      <c r="A4359" s="3">
        <v>41894</v>
      </c>
      <c r="B4359" s="36">
        <v>389</v>
      </c>
      <c r="C4359" t="s">
        <v>4808</v>
      </c>
      <c r="D4359">
        <v>11.25</v>
      </c>
      <c r="E4359" s="18">
        <v>1125</v>
      </c>
      <c r="G4359" t="s">
        <v>4809</v>
      </c>
      <c r="H4359" s="18">
        <v>1125</v>
      </c>
      <c r="I4359" s="3">
        <v>41894</v>
      </c>
      <c r="J4359"/>
      <c r="L4359"/>
      <c r="M4359"/>
      <c r="N4359" s="20"/>
      <c r="O4359"/>
      <c r="P4359" s="20"/>
      <c r="Q4359" s="20"/>
      <c r="R4359" s="20"/>
      <c r="S4359" s="20"/>
      <c r="T4359" s="20"/>
    </row>
    <row r="4360" spans="1:20" x14ac:dyDescent="0.25">
      <c r="A4360" s="3">
        <v>41894</v>
      </c>
      <c r="B4360" s="36">
        <v>389</v>
      </c>
      <c r="C4360" t="s">
        <v>4810</v>
      </c>
      <c r="D4360">
        <v>15</v>
      </c>
      <c r="E4360" s="18">
        <v>1500</v>
      </c>
      <c r="G4360" t="s">
        <v>4811</v>
      </c>
      <c r="H4360" s="18">
        <v>1500</v>
      </c>
      <c r="I4360" s="3">
        <v>41894</v>
      </c>
      <c r="J4360"/>
      <c r="L4360"/>
      <c r="M4360"/>
      <c r="N4360" s="20"/>
      <c r="O4360"/>
      <c r="P4360" s="20"/>
      <c r="Q4360" s="20"/>
      <c r="R4360" s="20"/>
      <c r="S4360" s="20"/>
      <c r="T4360" s="20"/>
    </row>
    <row r="4361" spans="1:20" x14ac:dyDescent="0.25">
      <c r="A4361" s="3">
        <v>41894</v>
      </c>
      <c r="B4361" s="36">
        <v>389</v>
      </c>
      <c r="C4361" t="s">
        <v>4812</v>
      </c>
      <c r="D4361">
        <v>8.75</v>
      </c>
      <c r="E4361" s="18">
        <v>875</v>
      </c>
      <c r="G4361" t="s">
        <v>4813</v>
      </c>
      <c r="H4361" s="18">
        <v>875</v>
      </c>
      <c r="I4361" s="3">
        <v>41894</v>
      </c>
      <c r="J4361"/>
      <c r="L4361"/>
      <c r="M4361"/>
      <c r="N4361" s="20"/>
      <c r="O4361"/>
      <c r="P4361" s="20"/>
      <c r="Q4361" s="20"/>
      <c r="R4361" s="20"/>
      <c r="S4361" s="20"/>
      <c r="T4361" s="20"/>
    </row>
    <row r="4362" spans="1:20" x14ac:dyDescent="0.25">
      <c r="A4362" s="3">
        <v>41901</v>
      </c>
      <c r="B4362" s="36">
        <v>389</v>
      </c>
      <c r="C4362" t="s">
        <v>4814</v>
      </c>
      <c r="D4362">
        <v>12</v>
      </c>
      <c r="E4362" s="18">
        <v>1200</v>
      </c>
      <c r="G4362" t="s">
        <v>4815</v>
      </c>
      <c r="H4362" s="18">
        <v>1200</v>
      </c>
      <c r="I4362" s="3">
        <v>41901</v>
      </c>
      <c r="J4362"/>
      <c r="L4362"/>
      <c r="M4362"/>
      <c r="N4362" s="20"/>
      <c r="O4362"/>
      <c r="P4362" s="20"/>
      <c r="Q4362" s="20"/>
      <c r="R4362" s="20"/>
      <c r="S4362" s="20"/>
      <c r="T4362" s="20"/>
    </row>
    <row r="4363" spans="1:20" x14ac:dyDescent="0.25">
      <c r="A4363" s="3">
        <v>41907</v>
      </c>
      <c r="B4363" s="36">
        <v>389</v>
      </c>
      <c r="C4363" t="s">
        <v>1098</v>
      </c>
      <c r="E4363" s="18">
        <v>30</v>
      </c>
      <c r="G4363" t="s">
        <v>442</v>
      </c>
      <c r="H4363" s="18" t="s">
        <v>442</v>
      </c>
      <c r="I4363" s="3" t="s">
        <v>442</v>
      </c>
      <c r="J4363"/>
      <c r="L4363"/>
      <c r="M4363"/>
      <c r="N4363" s="20" t="s">
        <v>401</v>
      </c>
      <c r="O4363"/>
      <c r="P4363" s="20"/>
      <c r="Q4363" s="20"/>
      <c r="R4363" s="20"/>
      <c r="S4363" s="20"/>
      <c r="T4363" s="20"/>
    </row>
    <row r="4364" spans="1:20" x14ac:dyDescent="0.25">
      <c r="A4364" s="3">
        <v>41907</v>
      </c>
      <c r="B4364" s="36">
        <v>389</v>
      </c>
      <c r="C4364" t="s">
        <v>4806</v>
      </c>
      <c r="D4364">
        <v>5</v>
      </c>
      <c r="E4364" s="18">
        <v>-500</v>
      </c>
      <c r="G4364" t="s">
        <v>4807</v>
      </c>
      <c r="H4364" s="18" t="s">
        <v>442</v>
      </c>
      <c r="I4364" s="3" t="s">
        <v>442</v>
      </c>
      <c r="J4364"/>
      <c r="L4364"/>
      <c r="M4364"/>
      <c r="N4364" s="20"/>
      <c r="O4364"/>
      <c r="P4364" s="20"/>
      <c r="Q4364" s="20"/>
      <c r="R4364" s="20"/>
      <c r="S4364" s="20"/>
      <c r="T4364" s="20"/>
    </row>
    <row r="4365" spans="1:20" x14ac:dyDescent="0.25">
      <c r="A4365" s="3">
        <v>41907</v>
      </c>
      <c r="B4365" s="36">
        <v>389</v>
      </c>
      <c r="C4365" t="s">
        <v>4778</v>
      </c>
      <c r="D4365">
        <v>9.75</v>
      </c>
      <c r="E4365" s="18">
        <v>-975</v>
      </c>
      <c r="G4365" t="s">
        <v>4779</v>
      </c>
      <c r="H4365" s="18" t="s">
        <v>442</v>
      </c>
      <c r="I4365" s="3" t="s">
        <v>442</v>
      </c>
      <c r="J4365"/>
      <c r="L4365"/>
      <c r="M4365"/>
      <c r="N4365" s="20"/>
      <c r="O4365"/>
      <c r="P4365" s="20"/>
      <c r="Q4365" s="20"/>
      <c r="R4365" s="20"/>
      <c r="S4365" s="20"/>
      <c r="T4365" s="20"/>
    </row>
    <row r="4366" spans="1:20" x14ac:dyDescent="0.25">
      <c r="A4366" s="3">
        <v>41907</v>
      </c>
      <c r="B4366" s="36">
        <v>389</v>
      </c>
      <c r="C4366" t="s">
        <v>4816</v>
      </c>
      <c r="D4366">
        <v>19.5</v>
      </c>
      <c r="E4366" s="18">
        <v>1950</v>
      </c>
      <c r="G4366" t="s">
        <v>4817</v>
      </c>
      <c r="H4366" s="18">
        <v>1950</v>
      </c>
      <c r="I4366" s="3">
        <v>41907</v>
      </c>
      <c r="J4366"/>
      <c r="L4366"/>
      <c r="M4366"/>
      <c r="N4366" s="20"/>
      <c r="O4366"/>
      <c r="P4366" s="20"/>
      <c r="Q4366" s="20"/>
      <c r="R4366" s="20"/>
      <c r="S4366" s="20"/>
      <c r="T4366" s="20"/>
    </row>
    <row r="4367" spans="1:20" x14ac:dyDescent="0.25">
      <c r="A4367" s="3">
        <v>41915</v>
      </c>
      <c r="B4367" s="36">
        <v>389</v>
      </c>
      <c r="C4367" t="s">
        <v>4818</v>
      </c>
      <c r="E4367" s="18">
        <v>2000</v>
      </c>
      <c r="G4367" t="s">
        <v>442</v>
      </c>
      <c r="H4367" s="18" t="s">
        <v>442</v>
      </c>
      <c r="I4367" s="3" t="s">
        <v>442</v>
      </c>
      <c r="J4367"/>
      <c r="L4367"/>
      <c r="M4367"/>
      <c r="N4367" s="20"/>
      <c r="O4367"/>
      <c r="P4367" s="20"/>
      <c r="Q4367" s="20"/>
      <c r="R4367" s="20"/>
      <c r="S4367" s="20"/>
      <c r="T4367" s="20" t="s">
        <v>401</v>
      </c>
    </row>
    <row r="4368" spans="1:20" x14ac:dyDescent="0.25">
      <c r="A4368" s="3">
        <v>41918</v>
      </c>
      <c r="B4368" s="36">
        <v>389</v>
      </c>
      <c r="C4368" t="s">
        <v>4819</v>
      </c>
      <c r="D4368">
        <v>7.25</v>
      </c>
      <c r="E4368" s="18">
        <v>725</v>
      </c>
      <c r="G4368" t="s">
        <v>4820</v>
      </c>
      <c r="H4368" s="18">
        <v>725</v>
      </c>
      <c r="I4368" s="3">
        <v>41918</v>
      </c>
      <c r="J4368"/>
      <c r="L4368"/>
      <c r="M4368"/>
      <c r="N4368" s="20"/>
      <c r="O4368"/>
      <c r="P4368" s="20"/>
      <c r="Q4368" s="20"/>
      <c r="R4368" s="20"/>
      <c r="S4368" s="20"/>
      <c r="T4368" s="20"/>
    </row>
    <row r="4369" spans="1:20" x14ac:dyDescent="0.25">
      <c r="A4369" s="3">
        <v>41918</v>
      </c>
      <c r="B4369" s="36">
        <v>389</v>
      </c>
      <c r="C4369" t="s">
        <v>4821</v>
      </c>
      <c r="D4369">
        <v>10.25</v>
      </c>
      <c r="E4369" s="18">
        <v>1025</v>
      </c>
      <c r="G4369" t="s">
        <v>4822</v>
      </c>
      <c r="H4369" s="18">
        <v>1025</v>
      </c>
      <c r="I4369" s="3">
        <v>41918</v>
      </c>
      <c r="J4369"/>
      <c r="L4369"/>
      <c r="M4369"/>
      <c r="N4369" s="20"/>
      <c r="O4369"/>
      <c r="P4369" s="20"/>
      <c r="Q4369" s="20"/>
      <c r="R4369" s="20"/>
      <c r="S4369" s="20"/>
      <c r="T4369" s="20"/>
    </row>
    <row r="4370" spans="1:20" x14ac:dyDescent="0.25">
      <c r="A4370" s="3">
        <v>41919</v>
      </c>
      <c r="B4370" s="36">
        <v>389</v>
      </c>
      <c r="C4370" t="s">
        <v>4823</v>
      </c>
      <c r="E4370" s="18">
        <v>1000</v>
      </c>
      <c r="G4370" t="s">
        <v>442</v>
      </c>
      <c r="H4370" s="18" t="s">
        <v>442</v>
      </c>
      <c r="I4370" s="3" t="s">
        <v>442</v>
      </c>
      <c r="J4370"/>
      <c r="L4370"/>
      <c r="M4370"/>
      <c r="N4370" s="20"/>
      <c r="O4370"/>
      <c r="P4370" s="20"/>
      <c r="Q4370" s="20"/>
      <c r="R4370" s="20"/>
      <c r="S4370" s="20"/>
      <c r="T4370" s="20" t="s">
        <v>401</v>
      </c>
    </row>
    <row r="4371" spans="1:20" x14ac:dyDescent="0.25">
      <c r="A4371" s="3">
        <v>41929</v>
      </c>
      <c r="B4371" s="36">
        <v>389</v>
      </c>
      <c r="C4371" t="s">
        <v>4818</v>
      </c>
      <c r="E4371" s="18">
        <v>-2000</v>
      </c>
      <c r="G4371" t="s">
        <v>442</v>
      </c>
      <c r="H4371" s="18" t="s">
        <v>442</v>
      </c>
      <c r="I4371" s="3" t="s">
        <v>442</v>
      </c>
      <c r="J4371"/>
      <c r="L4371"/>
      <c r="M4371"/>
      <c r="N4371" s="20"/>
      <c r="O4371"/>
      <c r="P4371" s="20"/>
      <c r="Q4371" s="20"/>
      <c r="R4371" s="20"/>
      <c r="S4371" s="20"/>
      <c r="T4371" s="20" t="s">
        <v>401</v>
      </c>
    </row>
    <row r="4372" spans="1:20" x14ac:dyDescent="0.25">
      <c r="A4372" s="3">
        <v>41929</v>
      </c>
      <c r="B4372" s="36">
        <v>389</v>
      </c>
      <c r="C4372" t="s">
        <v>4824</v>
      </c>
      <c r="D4372">
        <v>11.5</v>
      </c>
      <c r="E4372" s="18">
        <v>1150</v>
      </c>
      <c r="G4372" t="s">
        <v>4825</v>
      </c>
      <c r="H4372" s="18">
        <v>1150</v>
      </c>
      <c r="I4372" s="3">
        <v>41929</v>
      </c>
      <c r="J4372"/>
      <c r="L4372"/>
      <c r="M4372"/>
      <c r="N4372" s="20"/>
      <c r="O4372"/>
      <c r="P4372" s="20"/>
      <c r="Q4372" s="20"/>
      <c r="R4372" s="20"/>
      <c r="S4372" s="20"/>
      <c r="T4372" s="20"/>
    </row>
    <row r="4373" spans="1:20" x14ac:dyDescent="0.25">
      <c r="A4373" s="3">
        <v>41929</v>
      </c>
      <c r="B4373" s="36">
        <v>389</v>
      </c>
      <c r="C4373" t="s">
        <v>4778</v>
      </c>
      <c r="D4373">
        <v>9.75</v>
      </c>
      <c r="E4373" s="18">
        <v>975</v>
      </c>
      <c r="G4373" t="s">
        <v>4779</v>
      </c>
      <c r="H4373" s="18">
        <v>975</v>
      </c>
      <c r="I4373" s="3">
        <v>41929</v>
      </c>
      <c r="J4373"/>
      <c r="L4373"/>
      <c r="M4373"/>
      <c r="N4373" s="20"/>
      <c r="O4373"/>
      <c r="P4373" s="20"/>
      <c r="Q4373" s="20"/>
      <c r="R4373" s="20"/>
      <c r="S4373" s="20"/>
      <c r="T4373" s="20"/>
    </row>
    <row r="4374" spans="1:20" x14ac:dyDescent="0.25">
      <c r="A4374" s="3">
        <v>41929</v>
      </c>
      <c r="B4374" s="36">
        <v>389</v>
      </c>
      <c r="C4374" t="s">
        <v>4826</v>
      </c>
      <c r="D4374">
        <v>13.25</v>
      </c>
      <c r="E4374" s="18">
        <v>1325</v>
      </c>
      <c r="G4374" t="s">
        <v>4827</v>
      </c>
      <c r="H4374" s="18">
        <v>1325</v>
      </c>
      <c r="I4374" s="3">
        <v>41929</v>
      </c>
      <c r="J4374"/>
      <c r="L4374"/>
      <c r="M4374"/>
      <c r="N4374" s="20"/>
      <c r="O4374"/>
      <c r="P4374" s="20"/>
      <c r="Q4374" s="20"/>
      <c r="R4374" s="20"/>
      <c r="S4374" s="20"/>
      <c r="T4374" s="20"/>
    </row>
    <row r="4375" spans="1:20" x14ac:dyDescent="0.25">
      <c r="A4375" s="3">
        <v>41929</v>
      </c>
      <c r="B4375" s="36">
        <v>389</v>
      </c>
      <c r="C4375" t="s">
        <v>4821</v>
      </c>
      <c r="D4375">
        <v>10.25</v>
      </c>
      <c r="E4375" s="18">
        <v>-1025</v>
      </c>
      <c r="G4375" t="s">
        <v>4822</v>
      </c>
      <c r="H4375" s="18" t="s">
        <v>442</v>
      </c>
      <c r="I4375" s="3" t="s">
        <v>442</v>
      </c>
      <c r="J4375"/>
      <c r="L4375"/>
      <c r="M4375"/>
      <c r="N4375" s="20"/>
      <c r="O4375"/>
      <c r="P4375" s="20"/>
      <c r="Q4375" s="20"/>
      <c r="R4375" s="20"/>
      <c r="S4375" s="20"/>
      <c r="T4375" s="20"/>
    </row>
    <row r="4376" spans="1:20" x14ac:dyDescent="0.25">
      <c r="A4376" s="3">
        <v>41929</v>
      </c>
      <c r="B4376" s="36">
        <v>389</v>
      </c>
      <c r="C4376" t="s">
        <v>960</v>
      </c>
      <c r="E4376" s="18">
        <v>162.5</v>
      </c>
      <c r="G4376" t="s">
        <v>442</v>
      </c>
      <c r="H4376" s="18" t="s">
        <v>442</v>
      </c>
      <c r="I4376" s="3" t="s">
        <v>442</v>
      </c>
      <c r="J4376"/>
      <c r="L4376"/>
      <c r="M4376"/>
      <c r="N4376" s="20" t="s">
        <v>401</v>
      </c>
      <c r="O4376"/>
      <c r="P4376" s="20"/>
      <c r="Q4376" s="20"/>
      <c r="R4376" s="20"/>
      <c r="S4376" s="20"/>
      <c r="T4376" s="20"/>
    </row>
    <row r="4377" spans="1:20" x14ac:dyDescent="0.25">
      <c r="A4377" s="3">
        <v>41929</v>
      </c>
      <c r="B4377" s="36">
        <v>389</v>
      </c>
      <c r="C4377" t="s">
        <v>4828</v>
      </c>
      <c r="D4377">
        <v>7.25</v>
      </c>
      <c r="E4377" s="18">
        <v>725</v>
      </c>
      <c r="G4377" t="s">
        <v>4829</v>
      </c>
      <c r="H4377" s="18">
        <v>725</v>
      </c>
      <c r="I4377" s="3">
        <v>41929</v>
      </c>
      <c r="J4377"/>
      <c r="L4377"/>
      <c r="M4377"/>
      <c r="N4377" s="20"/>
      <c r="O4377"/>
      <c r="P4377" s="20"/>
      <c r="Q4377" s="20"/>
      <c r="R4377" s="20"/>
      <c r="S4377" s="20"/>
      <c r="T4377" s="20"/>
    </row>
    <row r="4378" spans="1:20" x14ac:dyDescent="0.25">
      <c r="A4378" s="3">
        <v>41936</v>
      </c>
      <c r="B4378" s="36">
        <v>389</v>
      </c>
      <c r="C4378" t="s">
        <v>4830</v>
      </c>
      <c r="D4378">
        <v>6.25</v>
      </c>
      <c r="E4378" s="18">
        <v>625</v>
      </c>
      <c r="G4378" t="s">
        <v>4831</v>
      </c>
      <c r="H4378" s="18">
        <v>625</v>
      </c>
      <c r="I4378" s="3">
        <v>41936</v>
      </c>
      <c r="J4378"/>
      <c r="L4378"/>
      <c r="M4378"/>
      <c r="N4378" s="20"/>
      <c r="O4378"/>
      <c r="P4378" s="20"/>
      <c r="Q4378" s="20"/>
      <c r="R4378" s="20"/>
      <c r="S4378" s="20"/>
      <c r="T4378" s="20"/>
    </row>
    <row r="4379" spans="1:20" x14ac:dyDescent="0.25">
      <c r="A4379" s="3">
        <v>41936</v>
      </c>
      <c r="B4379" s="36">
        <v>389</v>
      </c>
      <c r="C4379" t="s">
        <v>4832</v>
      </c>
      <c r="D4379">
        <v>6.5</v>
      </c>
      <c r="E4379" s="18">
        <v>650</v>
      </c>
      <c r="G4379" t="s">
        <v>4833</v>
      </c>
      <c r="H4379" s="18">
        <v>650</v>
      </c>
      <c r="I4379" s="3">
        <v>41936</v>
      </c>
      <c r="J4379"/>
      <c r="L4379"/>
      <c r="M4379"/>
      <c r="N4379" s="20"/>
      <c r="O4379"/>
      <c r="P4379" s="20"/>
      <c r="Q4379" s="20"/>
      <c r="R4379" s="20"/>
      <c r="S4379" s="20"/>
      <c r="T4379" s="20"/>
    </row>
    <row r="4380" spans="1:20" x14ac:dyDescent="0.25">
      <c r="A4380" s="3">
        <v>41936</v>
      </c>
      <c r="B4380" s="36">
        <v>389</v>
      </c>
      <c r="C4380" t="s">
        <v>4834</v>
      </c>
      <c r="D4380">
        <v>10.5</v>
      </c>
      <c r="E4380" s="18">
        <v>475</v>
      </c>
      <c r="G4380" t="s">
        <v>4835</v>
      </c>
      <c r="H4380" s="18">
        <v>475</v>
      </c>
      <c r="I4380" s="3">
        <v>41936</v>
      </c>
      <c r="J4380"/>
      <c r="L4380"/>
      <c r="M4380"/>
      <c r="N4380" s="20"/>
      <c r="O4380"/>
      <c r="P4380" s="20"/>
      <c r="Q4380" s="20"/>
      <c r="R4380" s="20"/>
      <c r="S4380" s="20"/>
      <c r="T4380" s="20"/>
    </row>
    <row r="4381" spans="1:20" x14ac:dyDescent="0.25">
      <c r="A4381" s="3">
        <v>41936</v>
      </c>
      <c r="B4381" s="36">
        <v>389</v>
      </c>
      <c r="C4381" t="s">
        <v>4836</v>
      </c>
      <c r="D4381">
        <v>16.25</v>
      </c>
      <c r="E4381" s="18">
        <v>1625</v>
      </c>
      <c r="G4381" t="s">
        <v>4837</v>
      </c>
      <c r="H4381" s="18">
        <v>1625</v>
      </c>
      <c r="I4381" s="3">
        <v>41936</v>
      </c>
      <c r="J4381"/>
      <c r="L4381"/>
      <c r="M4381"/>
      <c r="N4381" s="20"/>
      <c r="O4381"/>
      <c r="P4381" s="20"/>
      <c r="Q4381" s="20"/>
      <c r="R4381" s="20"/>
      <c r="S4381" s="20"/>
      <c r="T4381" s="20"/>
    </row>
    <row r="4382" spans="1:20" x14ac:dyDescent="0.25">
      <c r="A4382" s="3">
        <v>41936</v>
      </c>
      <c r="B4382" s="36">
        <v>389</v>
      </c>
      <c r="C4382" t="s">
        <v>4838</v>
      </c>
      <c r="D4382">
        <v>3</v>
      </c>
      <c r="E4382" s="18">
        <v>250</v>
      </c>
      <c r="G4382" t="s">
        <v>4839</v>
      </c>
      <c r="H4382" s="18">
        <v>250</v>
      </c>
      <c r="I4382" s="3">
        <v>41936</v>
      </c>
      <c r="J4382"/>
      <c r="L4382"/>
      <c r="M4382"/>
      <c r="N4382" s="20"/>
      <c r="O4382"/>
      <c r="P4382" s="20"/>
      <c r="Q4382" s="20"/>
      <c r="R4382" s="20"/>
      <c r="S4382" s="20"/>
      <c r="T4382" s="20"/>
    </row>
    <row r="4383" spans="1:20" x14ac:dyDescent="0.25">
      <c r="A4383" s="3">
        <v>41936</v>
      </c>
      <c r="B4383" s="36">
        <v>389</v>
      </c>
      <c r="C4383" t="s">
        <v>4840</v>
      </c>
      <c r="D4383">
        <v>8</v>
      </c>
      <c r="E4383" s="18">
        <v>775</v>
      </c>
      <c r="G4383" t="s">
        <v>4841</v>
      </c>
      <c r="H4383" s="18">
        <v>775</v>
      </c>
      <c r="I4383" s="3">
        <v>41936</v>
      </c>
      <c r="J4383"/>
      <c r="L4383"/>
      <c r="M4383"/>
      <c r="N4383" s="20"/>
      <c r="O4383"/>
      <c r="P4383" s="20"/>
      <c r="Q4383" s="20"/>
      <c r="R4383" s="20"/>
      <c r="S4383" s="20"/>
      <c r="T4383" s="20"/>
    </row>
    <row r="4384" spans="1:20" x14ac:dyDescent="0.25">
      <c r="A4384" s="3">
        <v>41936</v>
      </c>
      <c r="B4384" s="36">
        <v>389</v>
      </c>
      <c r="C4384" t="s">
        <v>4842</v>
      </c>
      <c r="D4384">
        <v>6</v>
      </c>
      <c r="E4384" s="18">
        <v>600</v>
      </c>
      <c r="G4384" t="s">
        <v>4843</v>
      </c>
      <c r="H4384" s="18">
        <v>600</v>
      </c>
      <c r="I4384" s="3">
        <v>41936</v>
      </c>
      <c r="J4384"/>
      <c r="L4384"/>
      <c r="M4384"/>
      <c r="N4384" s="20"/>
      <c r="O4384"/>
      <c r="P4384" s="20"/>
      <c r="Q4384" s="20"/>
      <c r="R4384" s="20"/>
      <c r="S4384" s="20"/>
      <c r="T4384" s="20"/>
    </row>
    <row r="4385" spans="1:20" x14ac:dyDescent="0.25">
      <c r="A4385" s="3">
        <v>41947</v>
      </c>
      <c r="B4385" s="36">
        <v>389</v>
      </c>
      <c r="C4385" t="s">
        <v>4844</v>
      </c>
      <c r="E4385" s="18">
        <v>3000</v>
      </c>
      <c r="G4385" t="s">
        <v>442</v>
      </c>
      <c r="H4385" s="18" t="s">
        <v>442</v>
      </c>
      <c r="I4385" s="3" t="s">
        <v>442</v>
      </c>
      <c r="J4385"/>
      <c r="L4385"/>
      <c r="M4385"/>
      <c r="N4385" s="20"/>
      <c r="O4385"/>
      <c r="P4385" s="20"/>
      <c r="Q4385" s="20"/>
      <c r="R4385" s="20"/>
      <c r="S4385" s="20"/>
      <c r="T4385" s="20" t="s">
        <v>401</v>
      </c>
    </row>
    <row r="4386" spans="1:20" x14ac:dyDescent="0.25">
      <c r="A4386" s="3">
        <v>41950</v>
      </c>
      <c r="B4386" s="36">
        <v>389</v>
      </c>
      <c r="C4386" t="s">
        <v>685</v>
      </c>
      <c r="D4386">
        <v>4</v>
      </c>
      <c r="E4386" s="18">
        <v>400</v>
      </c>
      <c r="G4386" t="s">
        <v>4845</v>
      </c>
      <c r="H4386" s="18">
        <v>400</v>
      </c>
      <c r="I4386" s="3">
        <v>41950</v>
      </c>
      <c r="J4386"/>
      <c r="L4386"/>
      <c r="M4386"/>
      <c r="N4386" s="20"/>
      <c r="O4386"/>
      <c r="P4386" s="20"/>
      <c r="Q4386" s="20"/>
      <c r="R4386" s="20"/>
      <c r="S4386" s="20"/>
      <c r="T4386" s="20"/>
    </row>
    <row r="4387" spans="1:20" x14ac:dyDescent="0.25">
      <c r="A4387" s="37">
        <v>41950</v>
      </c>
      <c r="B4387" s="36">
        <v>389</v>
      </c>
      <c r="C4387" s="38" t="s">
        <v>4846</v>
      </c>
      <c r="D4387" s="38"/>
      <c r="E4387" s="39">
        <v>371.25</v>
      </c>
      <c r="F4387" s="38"/>
      <c r="G4387" t="s">
        <v>442</v>
      </c>
      <c r="H4387" s="18" t="s">
        <v>442</v>
      </c>
      <c r="I4387" s="3" t="s">
        <v>442</v>
      </c>
      <c r="J4387"/>
      <c r="L4387"/>
      <c r="M4387"/>
      <c r="N4387" s="40"/>
      <c r="O4387" s="38"/>
      <c r="P4387" s="20"/>
      <c r="Q4387" s="20"/>
      <c r="R4387" s="20"/>
      <c r="S4387" s="20"/>
      <c r="T4387" s="20" t="s">
        <v>401</v>
      </c>
    </row>
    <row r="4388" spans="1:20" x14ac:dyDescent="0.25">
      <c r="A4388" s="3">
        <v>41950</v>
      </c>
      <c r="B4388" s="36">
        <v>389</v>
      </c>
      <c r="C4388" t="s">
        <v>4847</v>
      </c>
      <c r="D4388">
        <v>6</v>
      </c>
      <c r="E4388" s="18">
        <v>600</v>
      </c>
      <c r="G4388" t="s">
        <v>4848</v>
      </c>
      <c r="H4388" s="18">
        <v>600</v>
      </c>
      <c r="I4388" s="3">
        <v>41950</v>
      </c>
      <c r="J4388"/>
      <c r="L4388"/>
      <c r="M4388"/>
      <c r="N4388" s="20"/>
      <c r="O4388"/>
      <c r="P4388" s="20"/>
      <c r="Q4388" s="20"/>
      <c r="R4388" s="20"/>
      <c r="S4388" s="20"/>
      <c r="T4388" s="20"/>
    </row>
    <row r="4389" spans="1:20" x14ac:dyDescent="0.25">
      <c r="A4389" s="3">
        <v>41950</v>
      </c>
      <c r="B4389" s="36">
        <v>389</v>
      </c>
      <c r="C4389" t="s">
        <v>4830</v>
      </c>
      <c r="D4389">
        <v>6.25</v>
      </c>
      <c r="E4389" s="18">
        <v>-625</v>
      </c>
      <c r="G4389" t="s">
        <v>4831</v>
      </c>
      <c r="H4389" s="18" t="s">
        <v>442</v>
      </c>
      <c r="I4389" s="3" t="s">
        <v>442</v>
      </c>
      <c r="J4389"/>
      <c r="L4389"/>
      <c r="M4389"/>
      <c r="N4389" s="20"/>
      <c r="O4389"/>
      <c r="P4389" s="20"/>
      <c r="Q4389" s="20"/>
      <c r="R4389" s="20"/>
      <c r="S4389" s="20"/>
      <c r="T4389" s="20"/>
    </row>
    <row r="4390" spans="1:20" x14ac:dyDescent="0.25">
      <c r="A4390" s="3">
        <v>41950</v>
      </c>
      <c r="B4390" s="36">
        <v>389</v>
      </c>
      <c r="C4390" t="s">
        <v>4849</v>
      </c>
      <c r="D4390">
        <v>4.75</v>
      </c>
      <c r="E4390" s="18">
        <v>475</v>
      </c>
      <c r="G4390" t="s">
        <v>4850</v>
      </c>
      <c r="H4390" s="18">
        <v>475</v>
      </c>
      <c r="I4390" s="3">
        <v>41950</v>
      </c>
      <c r="J4390"/>
      <c r="L4390"/>
      <c r="M4390"/>
      <c r="N4390" s="20"/>
      <c r="O4390"/>
      <c r="P4390" s="20"/>
      <c r="Q4390" s="20"/>
      <c r="R4390" s="20"/>
      <c r="S4390" s="20"/>
      <c r="T4390" s="20"/>
    </row>
    <row r="4391" spans="1:20" x14ac:dyDescent="0.25">
      <c r="A4391" s="3">
        <v>41950</v>
      </c>
      <c r="B4391" s="36">
        <v>389</v>
      </c>
      <c r="C4391" t="s">
        <v>4851</v>
      </c>
      <c r="D4391">
        <v>5.25</v>
      </c>
      <c r="E4391" s="18">
        <v>525</v>
      </c>
      <c r="G4391" t="s">
        <v>4852</v>
      </c>
      <c r="H4391" s="18">
        <v>525</v>
      </c>
      <c r="I4391" s="3">
        <v>41950</v>
      </c>
      <c r="J4391"/>
      <c r="L4391"/>
      <c r="M4391"/>
      <c r="N4391" s="20"/>
      <c r="O4391"/>
      <c r="P4391" s="20"/>
      <c r="Q4391" s="20"/>
      <c r="R4391" s="20"/>
      <c r="S4391" s="20"/>
      <c r="T4391" s="20"/>
    </row>
    <row r="4392" spans="1:20" x14ac:dyDescent="0.25">
      <c r="A4392" s="3">
        <v>41950</v>
      </c>
      <c r="B4392" s="36">
        <v>389</v>
      </c>
      <c r="C4392" t="s">
        <v>4804</v>
      </c>
      <c r="D4392">
        <v>10.25</v>
      </c>
      <c r="E4392" s="18">
        <v>-1025</v>
      </c>
      <c r="G4392" t="s">
        <v>4805</v>
      </c>
      <c r="H4392" s="18" t="s">
        <v>442</v>
      </c>
      <c r="I4392" s="3" t="s">
        <v>442</v>
      </c>
      <c r="J4392"/>
      <c r="L4392"/>
      <c r="M4392"/>
      <c r="N4392" s="20"/>
      <c r="O4392"/>
      <c r="P4392" s="20"/>
      <c r="Q4392" s="20"/>
      <c r="R4392" s="20"/>
      <c r="S4392" s="20"/>
      <c r="T4392" s="20"/>
    </row>
    <row r="4393" spans="1:20" x14ac:dyDescent="0.25">
      <c r="A4393" s="3">
        <v>41950</v>
      </c>
      <c r="B4393" s="36">
        <v>389</v>
      </c>
      <c r="C4393" t="s">
        <v>4853</v>
      </c>
      <c r="D4393">
        <v>4.5</v>
      </c>
      <c r="E4393" s="18">
        <v>450</v>
      </c>
      <c r="G4393" t="s">
        <v>4854</v>
      </c>
      <c r="H4393" s="18">
        <v>450</v>
      </c>
      <c r="I4393" s="3">
        <v>41950</v>
      </c>
      <c r="J4393"/>
      <c r="L4393"/>
      <c r="M4393"/>
      <c r="N4393" s="20"/>
      <c r="O4393"/>
      <c r="P4393" s="20"/>
      <c r="Q4393" s="20"/>
      <c r="R4393" s="20"/>
      <c r="S4393" s="20"/>
      <c r="T4393" s="20"/>
    </row>
    <row r="4394" spans="1:20" x14ac:dyDescent="0.25">
      <c r="A4394" s="3">
        <v>41950</v>
      </c>
      <c r="B4394" s="36">
        <v>389</v>
      </c>
      <c r="C4394" t="s">
        <v>4855</v>
      </c>
      <c r="D4394">
        <v>9.5</v>
      </c>
      <c r="E4394" s="18">
        <v>950</v>
      </c>
      <c r="G4394" t="s">
        <v>4856</v>
      </c>
      <c r="H4394" s="18">
        <v>950</v>
      </c>
      <c r="I4394" s="3">
        <v>41950</v>
      </c>
      <c r="J4394"/>
      <c r="L4394"/>
      <c r="M4394"/>
      <c r="N4394" s="20"/>
      <c r="O4394"/>
      <c r="P4394" s="20"/>
      <c r="Q4394" s="20"/>
      <c r="R4394" s="20"/>
      <c r="S4394" s="20"/>
      <c r="T4394" s="20"/>
    </row>
    <row r="4395" spans="1:20" x14ac:dyDescent="0.25">
      <c r="A4395" s="3">
        <v>41950</v>
      </c>
      <c r="B4395" s="36">
        <v>389</v>
      </c>
      <c r="C4395" t="s">
        <v>4788</v>
      </c>
      <c r="D4395">
        <v>8.25</v>
      </c>
      <c r="E4395" s="18">
        <v>-825</v>
      </c>
      <c r="G4395" t="s">
        <v>4789</v>
      </c>
      <c r="H4395" s="18" t="s">
        <v>442</v>
      </c>
      <c r="I4395" s="3" t="s">
        <v>442</v>
      </c>
      <c r="J4395"/>
      <c r="L4395"/>
      <c r="M4395"/>
      <c r="N4395" s="20"/>
      <c r="O4395"/>
      <c r="P4395" s="20"/>
      <c r="Q4395" s="20"/>
      <c r="R4395" s="20"/>
      <c r="S4395" s="20"/>
      <c r="T4395" s="20"/>
    </row>
    <row r="4396" spans="1:20" x14ac:dyDescent="0.25">
      <c r="A4396" s="3">
        <v>41950</v>
      </c>
      <c r="B4396" s="36">
        <v>389</v>
      </c>
      <c r="C4396" t="s">
        <v>4857</v>
      </c>
      <c r="D4396">
        <v>7.25</v>
      </c>
      <c r="E4396" s="18">
        <v>725</v>
      </c>
      <c r="G4396" t="s">
        <v>4858</v>
      </c>
      <c r="H4396" s="18">
        <v>725</v>
      </c>
      <c r="I4396" s="3">
        <v>41950</v>
      </c>
      <c r="J4396"/>
      <c r="L4396"/>
      <c r="M4396"/>
      <c r="N4396" s="20"/>
      <c r="O4396"/>
      <c r="P4396" s="20"/>
      <c r="Q4396" s="20"/>
      <c r="R4396" s="20"/>
      <c r="S4396" s="20"/>
      <c r="T4396" s="20"/>
    </row>
    <row r="4397" spans="1:20" x14ac:dyDescent="0.25">
      <c r="A4397" s="3">
        <v>41950</v>
      </c>
      <c r="B4397" s="36">
        <v>389</v>
      </c>
      <c r="C4397" t="s">
        <v>4859</v>
      </c>
      <c r="D4397">
        <v>7</v>
      </c>
      <c r="E4397" s="18">
        <v>700</v>
      </c>
      <c r="G4397" t="s">
        <v>4860</v>
      </c>
      <c r="H4397" s="18">
        <v>700</v>
      </c>
      <c r="I4397" s="3">
        <v>41950</v>
      </c>
      <c r="J4397"/>
      <c r="L4397"/>
      <c r="M4397"/>
      <c r="N4397" s="20"/>
      <c r="O4397"/>
      <c r="P4397" s="20"/>
      <c r="Q4397" s="20"/>
      <c r="R4397" s="20"/>
      <c r="S4397" s="20"/>
      <c r="T4397" s="20"/>
    </row>
    <row r="4398" spans="1:20" x14ac:dyDescent="0.25">
      <c r="A4398" s="3">
        <v>41950</v>
      </c>
      <c r="B4398" s="36">
        <v>389</v>
      </c>
      <c r="C4398" t="s">
        <v>4861</v>
      </c>
      <c r="D4398">
        <v>3</v>
      </c>
      <c r="E4398" s="18">
        <v>300</v>
      </c>
      <c r="G4398" t="s">
        <v>4862</v>
      </c>
      <c r="H4398" s="18">
        <v>300</v>
      </c>
      <c r="I4398" s="3">
        <v>41950</v>
      </c>
      <c r="J4398"/>
      <c r="L4398"/>
      <c r="M4398"/>
      <c r="N4398" s="20"/>
      <c r="O4398"/>
      <c r="P4398" s="20"/>
      <c r="Q4398" s="20"/>
      <c r="R4398" s="20"/>
      <c r="S4398" s="20"/>
      <c r="T4398" s="20"/>
    </row>
    <row r="4399" spans="1:20" x14ac:dyDescent="0.25">
      <c r="A4399" s="3">
        <v>41957</v>
      </c>
      <c r="B4399" s="36">
        <v>389</v>
      </c>
      <c r="C4399" t="s">
        <v>4774</v>
      </c>
      <c r="D4399">
        <v>5.25</v>
      </c>
      <c r="E4399" s="18">
        <v>239.77272727272737</v>
      </c>
      <c r="G4399" t="s">
        <v>4775</v>
      </c>
      <c r="H4399" s="18">
        <v>239.77272727272737</v>
      </c>
      <c r="I4399" s="3">
        <v>41957</v>
      </c>
      <c r="J4399"/>
      <c r="L4399"/>
      <c r="M4399"/>
      <c r="N4399" s="20"/>
      <c r="O4399"/>
      <c r="P4399" s="20"/>
      <c r="Q4399" s="20"/>
      <c r="R4399" s="20"/>
      <c r="S4399" s="20"/>
      <c r="T4399" s="20"/>
    </row>
    <row r="4400" spans="1:20" x14ac:dyDescent="0.25">
      <c r="A4400" s="3">
        <v>41957</v>
      </c>
      <c r="B4400" s="36">
        <v>389</v>
      </c>
      <c r="C4400" t="s">
        <v>4863</v>
      </c>
      <c r="D4400">
        <v>10.5</v>
      </c>
      <c r="E4400" s="18">
        <v>1050</v>
      </c>
      <c r="G4400" t="s">
        <v>4864</v>
      </c>
      <c r="H4400" s="18">
        <v>1050</v>
      </c>
      <c r="I4400" s="3">
        <v>41957</v>
      </c>
      <c r="J4400"/>
      <c r="L4400"/>
      <c r="M4400"/>
      <c r="N4400" s="20"/>
      <c r="O4400"/>
      <c r="P4400" s="20"/>
      <c r="Q4400" s="20"/>
      <c r="R4400" s="20"/>
      <c r="S4400" s="20"/>
      <c r="T4400" s="20"/>
    </row>
    <row r="4401" spans="1:20" x14ac:dyDescent="0.25">
      <c r="A4401" s="3">
        <v>41957</v>
      </c>
      <c r="B4401" s="36">
        <v>389</v>
      </c>
      <c r="C4401" t="s">
        <v>4780</v>
      </c>
      <c r="D4401">
        <v>16.75</v>
      </c>
      <c r="E4401" s="18">
        <v>685.22727272727298</v>
      </c>
      <c r="G4401" t="s">
        <v>4781</v>
      </c>
      <c r="H4401" s="18">
        <v>685.22727272727298</v>
      </c>
      <c r="I4401" s="3">
        <v>41957</v>
      </c>
      <c r="J4401"/>
      <c r="L4401"/>
      <c r="M4401"/>
      <c r="N4401" s="20"/>
      <c r="O4401"/>
      <c r="P4401" s="20"/>
      <c r="Q4401" s="20"/>
      <c r="R4401" s="20"/>
      <c r="S4401" s="20"/>
      <c r="T4401" s="20"/>
    </row>
    <row r="4402" spans="1:20" x14ac:dyDescent="0.25">
      <c r="A4402" s="3">
        <v>41957</v>
      </c>
      <c r="B4402" s="36">
        <v>389</v>
      </c>
      <c r="C4402" t="s">
        <v>4865</v>
      </c>
      <c r="D4402">
        <v>12</v>
      </c>
      <c r="E4402" s="18">
        <v>1200</v>
      </c>
      <c r="G4402" t="s">
        <v>4866</v>
      </c>
      <c r="H4402" s="18">
        <v>1200</v>
      </c>
      <c r="I4402" s="3">
        <v>41957</v>
      </c>
      <c r="J4402"/>
      <c r="L4402"/>
      <c r="M4402"/>
      <c r="N4402" s="20"/>
      <c r="O4402"/>
      <c r="P4402" s="20"/>
      <c r="Q4402" s="20"/>
      <c r="R4402" s="20"/>
      <c r="S4402" s="20"/>
      <c r="T4402" s="20"/>
    </row>
    <row r="4403" spans="1:20" x14ac:dyDescent="0.25">
      <c r="A4403" s="3">
        <v>41957</v>
      </c>
      <c r="B4403" s="36">
        <v>389</v>
      </c>
      <c r="C4403" t="s">
        <v>4867</v>
      </c>
      <c r="D4403">
        <v>9.25</v>
      </c>
      <c r="E4403" s="18">
        <v>925</v>
      </c>
      <c r="G4403" t="s">
        <v>4868</v>
      </c>
      <c r="H4403" s="18">
        <v>925</v>
      </c>
      <c r="I4403" s="3">
        <v>41957</v>
      </c>
      <c r="J4403"/>
      <c r="L4403"/>
      <c r="M4403"/>
      <c r="N4403" s="20"/>
      <c r="O4403"/>
      <c r="P4403" s="20"/>
      <c r="Q4403" s="20"/>
      <c r="R4403" s="20"/>
      <c r="S4403" s="20"/>
      <c r="T4403" s="20"/>
    </row>
    <row r="4404" spans="1:20" x14ac:dyDescent="0.25">
      <c r="A4404" s="3">
        <v>41964</v>
      </c>
      <c r="B4404" s="36">
        <v>389</v>
      </c>
      <c r="C4404" t="s">
        <v>4869</v>
      </c>
      <c r="D4404">
        <v>6.25</v>
      </c>
      <c r="E4404" s="18">
        <v>625</v>
      </c>
      <c r="G4404" t="s">
        <v>4870</v>
      </c>
      <c r="H4404" s="18">
        <v>625</v>
      </c>
      <c r="I4404" s="3">
        <v>41964</v>
      </c>
      <c r="J4404"/>
      <c r="L4404"/>
      <c r="M4404"/>
      <c r="N4404" s="20"/>
      <c r="O4404"/>
      <c r="P4404" s="20"/>
      <c r="Q4404" s="20"/>
      <c r="R4404" s="20"/>
      <c r="S4404" s="20"/>
      <c r="T4404" s="20"/>
    </row>
    <row r="4405" spans="1:20" x14ac:dyDescent="0.25">
      <c r="A4405" s="3">
        <v>41964</v>
      </c>
      <c r="B4405" s="36">
        <v>389</v>
      </c>
      <c r="C4405" t="s">
        <v>4851</v>
      </c>
      <c r="D4405">
        <v>5.25</v>
      </c>
      <c r="E4405" s="18">
        <v>-525</v>
      </c>
      <c r="G4405" t="s">
        <v>4852</v>
      </c>
      <c r="H4405" s="18" t="s">
        <v>442</v>
      </c>
      <c r="I4405" s="3" t="s">
        <v>442</v>
      </c>
      <c r="J4405"/>
      <c r="L4405"/>
      <c r="M4405"/>
      <c r="N4405" s="20"/>
      <c r="O4405"/>
      <c r="P4405" s="20"/>
      <c r="Q4405" s="20"/>
      <c r="R4405" s="20"/>
      <c r="S4405" s="20"/>
      <c r="T4405" s="20"/>
    </row>
    <row r="4406" spans="1:20" x14ac:dyDescent="0.25">
      <c r="A4406" s="3">
        <v>41964</v>
      </c>
      <c r="B4406" s="36">
        <v>389</v>
      </c>
      <c r="C4406" t="s">
        <v>4832</v>
      </c>
      <c r="D4406">
        <v>6.5</v>
      </c>
      <c r="E4406" s="18">
        <v>-650</v>
      </c>
      <c r="G4406" t="s">
        <v>4833</v>
      </c>
      <c r="H4406" s="18" t="s">
        <v>442</v>
      </c>
      <c r="I4406" s="3" t="s">
        <v>442</v>
      </c>
      <c r="J4406"/>
      <c r="L4406"/>
      <c r="M4406"/>
      <c r="N4406" s="20"/>
      <c r="O4406"/>
      <c r="P4406" s="20"/>
      <c r="Q4406" s="20"/>
      <c r="R4406" s="20"/>
      <c r="S4406" s="20"/>
      <c r="T4406" s="20"/>
    </row>
    <row r="4407" spans="1:20" x14ac:dyDescent="0.25">
      <c r="A4407" s="3">
        <v>41964</v>
      </c>
      <c r="B4407" s="36">
        <v>389</v>
      </c>
      <c r="C4407" t="s">
        <v>4871</v>
      </c>
      <c r="D4407">
        <v>3.5</v>
      </c>
      <c r="E4407" s="18">
        <v>350</v>
      </c>
      <c r="G4407" t="s">
        <v>4872</v>
      </c>
      <c r="H4407" s="18">
        <v>350</v>
      </c>
      <c r="I4407" s="3">
        <v>41964</v>
      </c>
      <c r="J4407"/>
      <c r="L4407"/>
      <c r="M4407"/>
      <c r="N4407" s="20"/>
      <c r="O4407"/>
      <c r="P4407" s="20"/>
      <c r="Q4407" s="20"/>
      <c r="R4407" s="20"/>
      <c r="S4407" s="20"/>
      <c r="T4407" s="20"/>
    </row>
    <row r="4408" spans="1:20" x14ac:dyDescent="0.25">
      <c r="A4408" s="3">
        <v>41964</v>
      </c>
      <c r="B4408" s="36">
        <v>389</v>
      </c>
      <c r="C4408" t="s">
        <v>4873</v>
      </c>
      <c r="D4408">
        <v>11.75</v>
      </c>
      <c r="E4408" s="18">
        <v>1175</v>
      </c>
      <c r="G4408" t="s">
        <v>4874</v>
      </c>
      <c r="H4408" s="18">
        <v>1175</v>
      </c>
      <c r="I4408" s="3">
        <v>41964</v>
      </c>
      <c r="J4408"/>
      <c r="L4408"/>
      <c r="M4408"/>
      <c r="N4408" s="20"/>
      <c r="O4408"/>
      <c r="P4408" s="20"/>
      <c r="Q4408" s="20"/>
      <c r="R4408" s="20"/>
      <c r="S4408" s="20"/>
      <c r="T4408" s="20"/>
    </row>
    <row r="4409" spans="1:20" x14ac:dyDescent="0.25">
      <c r="A4409" s="3">
        <v>41964</v>
      </c>
      <c r="B4409" s="36">
        <v>389</v>
      </c>
      <c r="C4409" t="s">
        <v>963</v>
      </c>
      <c r="E4409" s="18">
        <v>96.25</v>
      </c>
      <c r="G4409" t="s">
        <v>442</v>
      </c>
      <c r="H4409" s="18" t="s">
        <v>442</v>
      </c>
      <c r="I4409" s="3" t="s">
        <v>442</v>
      </c>
      <c r="J4409"/>
      <c r="L4409"/>
      <c r="M4409"/>
      <c r="N4409" s="40" t="s">
        <v>401</v>
      </c>
      <c r="O4409"/>
      <c r="P4409" s="20"/>
      <c r="Q4409" s="20"/>
      <c r="R4409" s="20"/>
      <c r="S4409" s="20"/>
      <c r="T4409" s="20"/>
    </row>
    <row r="4410" spans="1:20" x14ac:dyDescent="0.25">
      <c r="A4410" s="3">
        <v>41964</v>
      </c>
      <c r="B4410" s="36">
        <v>389</v>
      </c>
      <c r="C4410" t="s">
        <v>4875</v>
      </c>
      <c r="D4410">
        <v>2.5</v>
      </c>
      <c r="E4410" s="18">
        <v>250</v>
      </c>
      <c r="G4410" t="s">
        <v>4876</v>
      </c>
      <c r="H4410" s="18">
        <v>250</v>
      </c>
      <c r="I4410" s="3">
        <v>41964</v>
      </c>
      <c r="J4410"/>
      <c r="L4410"/>
      <c r="M4410"/>
      <c r="N4410" s="20"/>
      <c r="O4410"/>
      <c r="P4410" s="20"/>
      <c r="Q4410" s="20"/>
      <c r="R4410" s="20"/>
      <c r="S4410" s="20"/>
      <c r="T4410" s="20"/>
    </row>
    <row r="4411" spans="1:20" x14ac:dyDescent="0.25">
      <c r="A4411" s="3">
        <v>41964</v>
      </c>
      <c r="B4411" s="36">
        <v>389</v>
      </c>
      <c r="C4411" t="s">
        <v>4867</v>
      </c>
      <c r="D4411">
        <v>9.25</v>
      </c>
      <c r="E4411" s="18">
        <v>-925</v>
      </c>
      <c r="G4411" t="s">
        <v>4868</v>
      </c>
      <c r="H4411" s="18" t="s">
        <v>442</v>
      </c>
      <c r="I4411" s="3" t="s">
        <v>442</v>
      </c>
      <c r="J4411"/>
      <c r="L4411"/>
      <c r="M4411"/>
      <c r="N4411" s="20"/>
      <c r="O4411"/>
      <c r="P4411" s="20"/>
      <c r="Q4411" s="20"/>
      <c r="R4411" s="20"/>
      <c r="S4411" s="20"/>
      <c r="T4411" s="20"/>
    </row>
    <row r="4412" spans="1:20" x14ac:dyDescent="0.25">
      <c r="A4412" s="3">
        <v>41985</v>
      </c>
      <c r="B4412" s="36">
        <v>389</v>
      </c>
      <c r="C4412" t="s">
        <v>4877</v>
      </c>
      <c r="E4412" s="18">
        <v>-3000</v>
      </c>
      <c r="G4412" t="s">
        <v>442</v>
      </c>
      <c r="H4412" s="18" t="s">
        <v>442</v>
      </c>
      <c r="I4412" s="3" t="s">
        <v>442</v>
      </c>
      <c r="J4412"/>
      <c r="L4412"/>
      <c r="M4412"/>
      <c r="N4412" s="20"/>
      <c r="O4412"/>
      <c r="P4412" s="20"/>
      <c r="Q4412" s="20"/>
      <c r="R4412" s="20"/>
      <c r="S4412" s="20"/>
      <c r="T4412" s="20" t="s">
        <v>401</v>
      </c>
    </row>
    <row r="4413" spans="1:20" x14ac:dyDescent="0.25">
      <c r="A4413" s="3">
        <v>41985</v>
      </c>
      <c r="B4413" s="36">
        <v>389</v>
      </c>
      <c r="C4413" t="s">
        <v>4768</v>
      </c>
      <c r="D4413">
        <v>3.8250000000000002</v>
      </c>
      <c r="E4413" s="18">
        <v>382.5</v>
      </c>
      <c r="G4413" t="s">
        <v>4769</v>
      </c>
      <c r="H4413" s="18">
        <v>382.5</v>
      </c>
      <c r="I4413" s="3">
        <v>41985</v>
      </c>
      <c r="J4413"/>
      <c r="L4413"/>
      <c r="M4413"/>
      <c r="N4413" s="20"/>
      <c r="O4413"/>
      <c r="P4413" s="20"/>
      <c r="Q4413" s="20"/>
      <c r="R4413" s="20"/>
      <c r="S4413" s="20"/>
      <c r="T4413" s="20"/>
    </row>
    <row r="4414" spans="1:20" x14ac:dyDescent="0.25">
      <c r="A4414" s="3">
        <v>41985</v>
      </c>
      <c r="B4414" s="36">
        <v>389</v>
      </c>
      <c r="C4414" t="s">
        <v>4878</v>
      </c>
      <c r="D4414">
        <v>9</v>
      </c>
      <c r="E4414" s="18">
        <v>900</v>
      </c>
      <c r="G4414" t="s">
        <v>4879</v>
      </c>
      <c r="H4414" s="18">
        <v>900</v>
      </c>
      <c r="I4414" s="3">
        <v>41985</v>
      </c>
      <c r="J4414"/>
      <c r="L4414"/>
      <c r="M4414"/>
      <c r="N4414" s="20"/>
      <c r="O4414"/>
      <c r="P4414" s="20"/>
      <c r="Q4414" s="20"/>
      <c r="R4414" s="20"/>
      <c r="S4414" s="20"/>
      <c r="T4414" s="20"/>
    </row>
    <row r="4415" spans="1:20" x14ac:dyDescent="0.25">
      <c r="A4415" s="3">
        <v>41985</v>
      </c>
      <c r="B4415" s="36">
        <v>389</v>
      </c>
      <c r="C4415" t="s">
        <v>4832</v>
      </c>
      <c r="D4415">
        <v>6.5</v>
      </c>
      <c r="E4415" s="18">
        <v>650</v>
      </c>
      <c r="G4415" t="s">
        <v>4833</v>
      </c>
      <c r="H4415" s="18">
        <v>650</v>
      </c>
      <c r="I4415" s="3">
        <v>41985</v>
      </c>
      <c r="J4415"/>
      <c r="L4415"/>
      <c r="M4415"/>
      <c r="N4415" s="20"/>
      <c r="O4415"/>
      <c r="P4415" s="20"/>
      <c r="Q4415" s="20"/>
      <c r="R4415" s="20"/>
      <c r="S4415" s="20"/>
      <c r="T4415" s="20"/>
    </row>
    <row r="4416" spans="1:20" x14ac:dyDescent="0.25">
      <c r="A4416" s="3">
        <v>41985</v>
      </c>
      <c r="B4416" s="36">
        <v>389</v>
      </c>
      <c r="C4416" t="s">
        <v>4810</v>
      </c>
      <c r="D4416">
        <v>15</v>
      </c>
      <c r="E4416" s="18">
        <v>1500</v>
      </c>
      <c r="G4416" t="s">
        <v>4811</v>
      </c>
      <c r="H4416" s="18">
        <v>1500</v>
      </c>
      <c r="I4416" s="3">
        <v>41985</v>
      </c>
      <c r="J4416"/>
      <c r="L4416"/>
      <c r="M4416"/>
      <c r="N4416" s="20"/>
      <c r="O4416"/>
      <c r="P4416" s="20"/>
      <c r="Q4416" s="20"/>
      <c r="R4416" s="20"/>
      <c r="S4416" s="20"/>
      <c r="T4416" s="20"/>
    </row>
    <row r="4417" spans="1:20" x14ac:dyDescent="0.25">
      <c r="A4417" s="3">
        <v>41985</v>
      </c>
      <c r="B4417" s="36">
        <v>389</v>
      </c>
      <c r="C4417" t="s">
        <v>4840</v>
      </c>
      <c r="D4417">
        <v>7.75</v>
      </c>
      <c r="E4417" s="18">
        <v>775</v>
      </c>
      <c r="G4417" t="s">
        <v>4841</v>
      </c>
      <c r="H4417" s="18">
        <v>775</v>
      </c>
      <c r="I4417" s="3">
        <v>41985</v>
      </c>
      <c r="J4417"/>
      <c r="L4417"/>
      <c r="M4417"/>
      <c r="N4417" s="20"/>
      <c r="O4417"/>
      <c r="P4417" s="20"/>
      <c r="Q4417" s="20"/>
      <c r="R4417" s="20"/>
      <c r="S4417" s="20"/>
      <c r="T4417" s="20"/>
    </row>
    <row r="4418" spans="1:20" x14ac:dyDescent="0.25">
      <c r="A4418" s="3">
        <v>41985</v>
      </c>
      <c r="B4418" s="36">
        <v>389</v>
      </c>
      <c r="C4418" t="s">
        <v>4812</v>
      </c>
      <c r="D4418">
        <v>8.75</v>
      </c>
      <c r="E4418" s="18">
        <v>875</v>
      </c>
      <c r="G4418" t="s">
        <v>4813</v>
      </c>
      <c r="H4418" s="18">
        <v>875</v>
      </c>
      <c r="I4418" s="3">
        <v>41985</v>
      </c>
      <c r="J4418"/>
      <c r="L4418"/>
      <c r="M4418"/>
      <c r="N4418" s="20"/>
      <c r="O4418"/>
      <c r="P4418" s="20"/>
      <c r="Q4418" s="20"/>
      <c r="R4418" s="20"/>
      <c r="S4418" s="20"/>
      <c r="T4418" s="20"/>
    </row>
    <row r="4419" spans="1:20" x14ac:dyDescent="0.25">
      <c r="A4419" s="3">
        <v>41985</v>
      </c>
      <c r="B4419" s="36">
        <v>389</v>
      </c>
      <c r="C4419" t="s">
        <v>4798</v>
      </c>
      <c r="D4419">
        <v>5.5</v>
      </c>
      <c r="E4419" s="18">
        <v>550</v>
      </c>
      <c r="G4419" t="s">
        <v>4799</v>
      </c>
      <c r="H4419" s="18">
        <v>550</v>
      </c>
      <c r="I4419" s="3">
        <v>41985</v>
      </c>
      <c r="J4419"/>
      <c r="L4419"/>
      <c r="M4419"/>
      <c r="N4419" s="20"/>
      <c r="O4419"/>
      <c r="P4419" s="20"/>
      <c r="Q4419" s="20"/>
      <c r="R4419" s="20"/>
      <c r="S4419" s="20"/>
      <c r="T4419" s="20"/>
    </row>
    <row r="4420" spans="1:20" x14ac:dyDescent="0.25">
      <c r="A4420" s="3">
        <v>41992</v>
      </c>
      <c r="B4420" s="36">
        <v>389</v>
      </c>
      <c r="C4420" t="s">
        <v>780</v>
      </c>
      <c r="D4420">
        <v>10.5</v>
      </c>
      <c r="E4420" s="18">
        <v>350</v>
      </c>
      <c r="G4420" t="s">
        <v>781</v>
      </c>
      <c r="H4420" s="18">
        <v>350</v>
      </c>
      <c r="I4420" s="3">
        <v>41992</v>
      </c>
      <c r="J4420"/>
      <c r="L4420"/>
      <c r="M4420"/>
      <c r="N4420" s="20"/>
      <c r="O4420"/>
      <c r="P4420" s="20"/>
      <c r="Q4420" s="20"/>
      <c r="R4420" s="20"/>
      <c r="S4420" s="20"/>
      <c r="T4420" s="20"/>
    </row>
    <row r="4421" spans="1:20" x14ac:dyDescent="0.25">
      <c r="A4421" s="3">
        <v>41992</v>
      </c>
      <c r="B4421" s="36">
        <v>389</v>
      </c>
      <c r="C4421" t="s">
        <v>4871</v>
      </c>
      <c r="D4421">
        <v>3.5</v>
      </c>
      <c r="E4421" s="18">
        <v>-350</v>
      </c>
      <c r="G4421" t="s">
        <v>4872</v>
      </c>
      <c r="H4421" s="18" t="s">
        <v>442</v>
      </c>
      <c r="I4421" s="3" t="s">
        <v>442</v>
      </c>
      <c r="J4421"/>
      <c r="L4421"/>
      <c r="M4421"/>
      <c r="N4421" s="20"/>
      <c r="O4421"/>
      <c r="P4421" s="20"/>
      <c r="Q4421" s="20"/>
      <c r="R4421" s="20"/>
      <c r="S4421" s="20"/>
      <c r="T4421" s="20"/>
    </row>
    <row r="4422" spans="1:20" x14ac:dyDescent="0.25">
      <c r="A4422" s="3">
        <v>41992</v>
      </c>
      <c r="B4422" s="36">
        <v>389</v>
      </c>
      <c r="C4422" t="s">
        <v>672</v>
      </c>
      <c r="D4422">
        <v>8.5</v>
      </c>
      <c r="E4422" s="18">
        <v>350</v>
      </c>
      <c r="G4422" t="s">
        <v>673</v>
      </c>
      <c r="H4422" s="18">
        <v>350</v>
      </c>
      <c r="I4422" s="3">
        <v>41992</v>
      </c>
      <c r="J4422"/>
      <c r="L4422"/>
      <c r="M4422"/>
      <c r="N4422" s="20"/>
      <c r="O4422"/>
      <c r="P4422" s="20"/>
      <c r="Q4422" s="20"/>
      <c r="R4422" s="20"/>
      <c r="S4422" s="20"/>
      <c r="T4422" s="20"/>
    </row>
    <row r="4423" spans="1:20" x14ac:dyDescent="0.25">
      <c r="A4423" s="3">
        <v>41992</v>
      </c>
      <c r="B4423" s="36">
        <v>389</v>
      </c>
      <c r="C4423" t="s">
        <v>774</v>
      </c>
      <c r="D4423">
        <v>2.75</v>
      </c>
      <c r="E4423" s="18">
        <v>350</v>
      </c>
      <c r="G4423" t="s">
        <v>775</v>
      </c>
      <c r="H4423" s="18">
        <v>350</v>
      </c>
      <c r="I4423" s="3">
        <v>41992</v>
      </c>
      <c r="J4423"/>
      <c r="L4423"/>
      <c r="M4423"/>
      <c r="N4423" s="20"/>
      <c r="O4423"/>
      <c r="P4423" s="20"/>
      <c r="Q4423" s="20"/>
      <c r="R4423" s="20"/>
      <c r="S4423" s="20"/>
      <c r="T4423" s="20"/>
    </row>
    <row r="4424" spans="1:20" x14ac:dyDescent="0.25">
      <c r="A4424" s="3">
        <v>41992</v>
      </c>
      <c r="B4424" s="36">
        <v>389</v>
      </c>
      <c r="C4424" t="s">
        <v>762</v>
      </c>
      <c r="D4424">
        <v>9</v>
      </c>
      <c r="E4424" s="18">
        <v>350</v>
      </c>
      <c r="G4424" t="s">
        <v>763</v>
      </c>
      <c r="H4424" s="18">
        <v>350</v>
      </c>
      <c r="I4424" s="3">
        <v>41992</v>
      </c>
      <c r="J4424"/>
      <c r="L4424"/>
      <c r="M4424"/>
      <c r="N4424" s="20"/>
      <c r="O4424"/>
      <c r="P4424" s="20"/>
      <c r="Q4424" s="20"/>
      <c r="R4424" s="20"/>
      <c r="S4424" s="20"/>
      <c r="T4424" s="20"/>
    </row>
    <row r="4425" spans="1:20" x14ac:dyDescent="0.25">
      <c r="A4425" s="3">
        <v>41992</v>
      </c>
      <c r="B4425" s="36">
        <v>389</v>
      </c>
      <c r="C4425" t="s">
        <v>967</v>
      </c>
      <c r="E4425" s="18">
        <v>166.22499999999999</v>
      </c>
      <c r="G4425" t="s">
        <v>442</v>
      </c>
      <c r="H4425" s="18" t="s">
        <v>442</v>
      </c>
      <c r="I4425" s="3" t="s">
        <v>442</v>
      </c>
      <c r="J4425"/>
      <c r="L4425"/>
      <c r="M4425"/>
      <c r="N4425" s="40" t="s">
        <v>401</v>
      </c>
      <c r="O4425"/>
      <c r="P4425" s="20"/>
      <c r="Q4425" s="20"/>
      <c r="R4425" s="20"/>
      <c r="S4425" s="20"/>
      <c r="T4425" s="20"/>
    </row>
    <row r="4426" spans="1:20" x14ac:dyDescent="0.25">
      <c r="A4426" s="3">
        <v>41992</v>
      </c>
      <c r="B4426" s="36">
        <v>389</v>
      </c>
      <c r="C4426" t="s">
        <v>724</v>
      </c>
      <c r="D4426">
        <v>8.5</v>
      </c>
      <c r="E4426" s="18">
        <v>425</v>
      </c>
      <c r="G4426" t="s">
        <v>725</v>
      </c>
      <c r="H4426" s="18">
        <v>425</v>
      </c>
      <c r="I4426" s="3">
        <v>41992</v>
      </c>
      <c r="J4426"/>
      <c r="L4426"/>
      <c r="M4426"/>
      <c r="N4426" s="20"/>
      <c r="O4426"/>
      <c r="P4426" s="20"/>
      <c r="Q4426" s="20"/>
      <c r="R4426" s="20"/>
      <c r="S4426" s="20"/>
      <c r="T4426" s="20"/>
    </row>
    <row r="4427" spans="1:20" x14ac:dyDescent="0.25">
      <c r="A4427" s="3">
        <v>41999</v>
      </c>
      <c r="B4427" s="36">
        <v>389</v>
      </c>
      <c r="C4427" t="s">
        <v>4824</v>
      </c>
      <c r="D4427">
        <v>6.25</v>
      </c>
      <c r="E4427" s="18">
        <v>100</v>
      </c>
      <c r="G4427" t="s">
        <v>4825</v>
      </c>
      <c r="H4427" s="18">
        <v>100</v>
      </c>
      <c r="I4427" s="3">
        <v>41999</v>
      </c>
      <c r="J4427"/>
      <c r="L4427"/>
      <c r="M4427"/>
      <c r="N4427" s="20"/>
      <c r="O4427"/>
      <c r="P4427" s="20"/>
      <c r="Q4427" s="20"/>
      <c r="R4427" s="20"/>
      <c r="S4427" s="20"/>
      <c r="T4427" s="20"/>
    </row>
    <row r="4428" spans="1:20" x14ac:dyDescent="0.25">
      <c r="A4428" s="3">
        <v>41999</v>
      </c>
      <c r="B4428" s="36">
        <v>389</v>
      </c>
      <c r="C4428" t="s">
        <v>4819</v>
      </c>
      <c r="D4428">
        <v>6.25</v>
      </c>
      <c r="E4428" s="18">
        <v>525</v>
      </c>
      <c r="G4428" t="s">
        <v>4820</v>
      </c>
      <c r="H4428" s="18">
        <v>525</v>
      </c>
      <c r="I4428" s="3">
        <v>41999</v>
      </c>
      <c r="J4428"/>
      <c r="L4428"/>
      <c r="M4428"/>
      <c r="N4428" s="20"/>
      <c r="O4428"/>
      <c r="P4428" s="20"/>
      <c r="Q4428" s="20"/>
      <c r="R4428" s="20"/>
      <c r="S4428" s="20"/>
      <c r="T4428" s="20"/>
    </row>
    <row r="4429" spans="1:20" x14ac:dyDescent="0.25">
      <c r="A4429" s="3">
        <v>41999</v>
      </c>
      <c r="B4429" s="36">
        <v>389</v>
      </c>
      <c r="C4429" t="s">
        <v>4875</v>
      </c>
      <c r="D4429">
        <v>7.25</v>
      </c>
      <c r="E4429" s="18">
        <v>1200</v>
      </c>
      <c r="G4429" t="s">
        <v>4876</v>
      </c>
      <c r="H4429" s="18">
        <v>1200</v>
      </c>
      <c r="I4429" s="3">
        <v>41999</v>
      </c>
      <c r="J4429"/>
      <c r="L4429"/>
      <c r="M4429"/>
      <c r="N4429" s="20"/>
      <c r="O4429"/>
      <c r="P4429" s="20"/>
      <c r="Q4429" s="20"/>
      <c r="R4429" s="20"/>
      <c r="S4429" s="20"/>
      <c r="T4429" s="20"/>
    </row>
    <row r="4430" spans="1:20" x14ac:dyDescent="0.25">
      <c r="A4430" s="3">
        <v>42006</v>
      </c>
      <c r="B4430" s="36">
        <v>389</v>
      </c>
      <c r="C4430" t="s">
        <v>4847</v>
      </c>
      <c r="D4430">
        <v>6</v>
      </c>
      <c r="E4430" s="18">
        <v>300</v>
      </c>
      <c r="G4430" t="s">
        <v>4848</v>
      </c>
      <c r="H4430" s="18">
        <v>300</v>
      </c>
      <c r="I4430" s="3">
        <v>42006</v>
      </c>
      <c r="J4430"/>
      <c r="L4430"/>
      <c r="M4430"/>
      <c r="N4430" s="20"/>
      <c r="O4430"/>
      <c r="P4430" s="20"/>
      <c r="Q4430" s="20"/>
      <c r="R4430" s="20"/>
      <c r="S4430" s="20"/>
      <c r="T4430" s="20"/>
    </row>
    <row r="4431" spans="1:20" x14ac:dyDescent="0.25">
      <c r="A4431" s="3">
        <v>42006</v>
      </c>
      <c r="B4431" s="36">
        <v>389</v>
      </c>
      <c r="C4431" t="s">
        <v>4786</v>
      </c>
      <c r="D4431">
        <v>6.5</v>
      </c>
      <c r="E4431" s="18">
        <v>348.6363636363638</v>
      </c>
      <c r="G4431" t="s">
        <v>4787</v>
      </c>
      <c r="H4431" s="18">
        <v>348.6363636363638</v>
      </c>
      <c r="I4431" s="3">
        <v>42006</v>
      </c>
      <c r="J4431"/>
      <c r="L4431"/>
      <c r="M4431"/>
      <c r="N4431" s="20"/>
      <c r="O4431"/>
      <c r="P4431" s="20"/>
      <c r="Q4431" s="20"/>
      <c r="R4431" s="20"/>
      <c r="S4431" s="20"/>
      <c r="T4431" s="20"/>
    </row>
    <row r="4432" spans="1:20" x14ac:dyDescent="0.25">
      <c r="A4432" s="3">
        <v>42006</v>
      </c>
      <c r="B4432" s="36">
        <v>389</v>
      </c>
      <c r="C4432" t="s">
        <v>4802</v>
      </c>
      <c r="D4432">
        <v>9.75</v>
      </c>
      <c r="E4432" s="18">
        <v>585</v>
      </c>
      <c r="G4432" t="s">
        <v>4803</v>
      </c>
      <c r="H4432" s="18">
        <v>585</v>
      </c>
      <c r="I4432" s="3">
        <v>42006</v>
      </c>
      <c r="J4432"/>
      <c r="L4432"/>
      <c r="M4432"/>
      <c r="N4432" s="20"/>
      <c r="O4432"/>
      <c r="P4432" s="20"/>
      <c r="Q4432" s="20"/>
      <c r="R4432" s="20"/>
      <c r="S4432" s="20"/>
      <c r="T4432" s="20"/>
    </row>
    <row r="4433" spans="1:20" x14ac:dyDescent="0.25">
      <c r="A4433" s="3">
        <v>42006</v>
      </c>
      <c r="B4433" s="36">
        <v>389</v>
      </c>
      <c r="C4433" t="s">
        <v>4770</v>
      </c>
      <c r="D4433">
        <v>9.18</v>
      </c>
      <c r="E4433" s="18">
        <v>194.72727272727275</v>
      </c>
      <c r="G4433" t="s">
        <v>4771</v>
      </c>
      <c r="H4433" s="18">
        <v>194.72727272727275</v>
      </c>
      <c r="I4433" s="3">
        <v>42006</v>
      </c>
      <c r="J4433"/>
      <c r="L4433"/>
      <c r="M4433"/>
      <c r="N4433" s="20"/>
      <c r="O4433"/>
      <c r="P4433" s="20"/>
      <c r="Q4433" s="20"/>
      <c r="R4433" s="20"/>
      <c r="S4433" s="20"/>
      <c r="T4433" s="20"/>
    </row>
    <row r="4434" spans="1:20" x14ac:dyDescent="0.25">
      <c r="A4434" s="3">
        <v>42006</v>
      </c>
      <c r="B4434" s="36">
        <v>389</v>
      </c>
      <c r="C4434" t="s">
        <v>4832</v>
      </c>
      <c r="D4434">
        <v>6.5</v>
      </c>
      <c r="E4434" s="18">
        <v>325</v>
      </c>
      <c r="G4434" t="s">
        <v>4833</v>
      </c>
      <c r="H4434" s="18">
        <v>325</v>
      </c>
      <c r="I4434" s="3">
        <v>42006</v>
      </c>
      <c r="J4434"/>
      <c r="L4434"/>
      <c r="M4434"/>
      <c r="N4434" s="20"/>
      <c r="O4434"/>
      <c r="P4434" s="20"/>
      <c r="Q4434" s="20"/>
      <c r="R4434" s="20"/>
      <c r="S4434" s="20"/>
      <c r="T4434" s="20"/>
    </row>
    <row r="4435" spans="1:20" x14ac:dyDescent="0.25">
      <c r="A4435" s="3">
        <v>42006</v>
      </c>
      <c r="B4435" s="36">
        <v>389</v>
      </c>
      <c r="C4435" t="s">
        <v>4814</v>
      </c>
      <c r="D4435">
        <v>12</v>
      </c>
      <c r="E4435" s="18">
        <v>720</v>
      </c>
      <c r="G4435" t="s">
        <v>4815</v>
      </c>
      <c r="H4435" s="18">
        <v>720</v>
      </c>
      <c r="I4435" s="3">
        <v>42006</v>
      </c>
      <c r="J4435"/>
      <c r="L4435"/>
      <c r="M4435"/>
      <c r="N4435" s="20"/>
      <c r="O4435"/>
      <c r="P4435" s="20"/>
      <c r="Q4435" s="20"/>
      <c r="R4435" s="20"/>
      <c r="S4435" s="20"/>
      <c r="T4435" s="20"/>
    </row>
    <row r="4436" spans="1:20" x14ac:dyDescent="0.25">
      <c r="A4436" s="3">
        <v>42006</v>
      </c>
      <c r="B4436" s="36">
        <v>389</v>
      </c>
      <c r="C4436" t="s">
        <v>4772</v>
      </c>
      <c r="D4436">
        <v>4.5</v>
      </c>
      <c r="E4436" s="18">
        <v>145.90909090909091</v>
      </c>
      <c r="G4436" t="s">
        <v>4773</v>
      </c>
      <c r="H4436" s="18">
        <v>145.90909090909091</v>
      </c>
      <c r="I4436" s="3">
        <v>42006</v>
      </c>
      <c r="J4436"/>
      <c r="L4436"/>
      <c r="M4436"/>
      <c r="N4436" s="20"/>
      <c r="O4436"/>
      <c r="P4436" s="20"/>
      <c r="Q4436" s="20"/>
      <c r="R4436" s="20"/>
      <c r="S4436" s="20"/>
      <c r="T4436" s="20"/>
    </row>
    <row r="4437" spans="1:20" x14ac:dyDescent="0.25">
      <c r="A4437" s="3">
        <v>42006</v>
      </c>
      <c r="B4437" s="36">
        <v>389</v>
      </c>
      <c r="C4437" t="s">
        <v>4790</v>
      </c>
      <c r="D4437">
        <v>4.75</v>
      </c>
      <c r="E4437" s="18">
        <v>204.39393939393949</v>
      </c>
      <c r="G4437" t="s">
        <v>4791</v>
      </c>
      <c r="H4437" s="18">
        <v>204.39393939393949</v>
      </c>
      <c r="I4437" s="3">
        <v>42006</v>
      </c>
      <c r="J4437"/>
      <c r="L4437"/>
      <c r="M4437"/>
      <c r="N4437" s="20"/>
      <c r="O4437"/>
      <c r="P4437" s="20"/>
      <c r="Q4437" s="20"/>
      <c r="R4437" s="20"/>
      <c r="S4437" s="20"/>
      <c r="T4437" s="20"/>
    </row>
    <row r="4438" spans="1:20" x14ac:dyDescent="0.25">
      <c r="A4438" s="3">
        <v>42006</v>
      </c>
      <c r="B4438" s="36">
        <v>389</v>
      </c>
      <c r="C4438" t="s">
        <v>4778</v>
      </c>
      <c r="D4438">
        <v>9.75</v>
      </c>
      <c r="E4438" s="18">
        <v>94.54545454545466</v>
      </c>
      <c r="G4438" t="s">
        <v>4779</v>
      </c>
      <c r="H4438" s="18">
        <v>94.54545454545466</v>
      </c>
      <c r="I4438" s="3">
        <v>42006</v>
      </c>
      <c r="J4438"/>
      <c r="L4438"/>
      <c r="M4438"/>
      <c r="N4438" s="20"/>
      <c r="O4438"/>
      <c r="P4438" s="20"/>
      <c r="Q4438" s="20"/>
      <c r="R4438" s="20"/>
      <c r="S4438" s="20"/>
      <c r="T4438" s="20"/>
    </row>
    <row r="4439" spans="1:20" x14ac:dyDescent="0.25">
      <c r="A4439" s="3">
        <v>42006</v>
      </c>
      <c r="B4439" s="36">
        <v>389</v>
      </c>
      <c r="C4439" t="s">
        <v>4792</v>
      </c>
      <c r="D4439">
        <v>7.5</v>
      </c>
      <c r="E4439" s="18">
        <v>322.7272727272728</v>
      </c>
      <c r="G4439" t="s">
        <v>4793</v>
      </c>
      <c r="H4439" s="18">
        <v>322.7272727272728</v>
      </c>
      <c r="I4439" s="3">
        <v>42006</v>
      </c>
      <c r="J4439"/>
      <c r="L4439"/>
      <c r="M4439"/>
      <c r="N4439" s="20"/>
      <c r="O4439"/>
      <c r="P4439" s="20"/>
      <c r="Q4439" s="20"/>
      <c r="R4439" s="20"/>
      <c r="S4439" s="20"/>
      <c r="T4439" s="20"/>
    </row>
    <row r="4440" spans="1:20" x14ac:dyDescent="0.25">
      <c r="A4440" s="3">
        <v>42006</v>
      </c>
      <c r="B4440" s="36">
        <v>389</v>
      </c>
      <c r="C4440" t="s">
        <v>4842</v>
      </c>
      <c r="D4440">
        <v>6</v>
      </c>
      <c r="E4440" s="18">
        <v>300</v>
      </c>
      <c r="G4440" t="s">
        <v>4843</v>
      </c>
      <c r="H4440" s="18">
        <v>300</v>
      </c>
      <c r="I4440" s="3">
        <v>42006</v>
      </c>
      <c r="J4440"/>
      <c r="L4440"/>
      <c r="M4440"/>
      <c r="N4440" s="20"/>
      <c r="O4440"/>
      <c r="P4440" s="20"/>
      <c r="Q4440" s="20"/>
      <c r="R4440" s="20"/>
      <c r="S4440" s="20"/>
      <c r="T4440" s="20"/>
    </row>
    <row r="4441" spans="1:20" x14ac:dyDescent="0.25">
      <c r="A4441" s="3">
        <v>42006</v>
      </c>
      <c r="B4441" s="36">
        <v>389</v>
      </c>
      <c r="C4441" t="s">
        <v>4794</v>
      </c>
      <c r="D4441">
        <v>6.75</v>
      </c>
      <c r="E4441" s="18">
        <v>347.72727272727269</v>
      </c>
      <c r="G4441" t="s">
        <v>4795</v>
      </c>
      <c r="H4441" s="18">
        <v>347.72727272727269</v>
      </c>
      <c r="I4441" s="3">
        <v>42006</v>
      </c>
      <c r="J4441"/>
      <c r="L4441"/>
      <c r="M4441"/>
      <c r="N4441" s="20"/>
      <c r="O4441"/>
      <c r="P4441" s="20"/>
      <c r="Q4441" s="20"/>
      <c r="R4441" s="20"/>
      <c r="S4441" s="20"/>
      <c r="T4441" s="20"/>
    </row>
    <row r="4442" spans="1:20" x14ac:dyDescent="0.25">
      <c r="A4442" s="3">
        <v>42006</v>
      </c>
      <c r="B4442" s="36">
        <v>389</v>
      </c>
      <c r="C4442" t="s">
        <v>4782</v>
      </c>
      <c r="D4442">
        <v>4.75</v>
      </c>
      <c r="E4442" s="18">
        <v>154.01515151515153</v>
      </c>
      <c r="G4442" t="s">
        <v>4783</v>
      </c>
      <c r="H4442" s="18">
        <v>154.01515151515153</v>
      </c>
      <c r="I4442" s="3">
        <v>42006</v>
      </c>
      <c r="J4442"/>
      <c r="L4442"/>
      <c r="M4442"/>
      <c r="N4442" s="20"/>
      <c r="O4442"/>
      <c r="P4442" s="20"/>
      <c r="Q4442" s="20"/>
      <c r="R4442" s="20"/>
      <c r="S4442" s="20"/>
      <c r="T4442" s="20"/>
    </row>
    <row r="4443" spans="1:20" x14ac:dyDescent="0.25">
      <c r="A4443" s="3">
        <v>42006</v>
      </c>
      <c r="B4443" s="36">
        <v>389</v>
      </c>
      <c r="C4443" t="s">
        <v>4796</v>
      </c>
      <c r="D4443">
        <v>8.25</v>
      </c>
      <c r="E4443" s="18">
        <v>355.00000000000017</v>
      </c>
      <c r="G4443" t="s">
        <v>4797</v>
      </c>
      <c r="H4443" s="18">
        <v>355.00000000000017</v>
      </c>
      <c r="I4443" s="3">
        <v>42006</v>
      </c>
      <c r="J4443"/>
      <c r="L4443"/>
      <c r="M4443"/>
      <c r="N4443" s="20"/>
      <c r="O4443"/>
      <c r="P4443" s="20"/>
      <c r="Q4443" s="20"/>
      <c r="R4443" s="20"/>
      <c r="S4443" s="20"/>
      <c r="T4443" s="20"/>
    </row>
    <row r="4444" spans="1:20" x14ac:dyDescent="0.25">
      <c r="A4444" s="3">
        <v>42006</v>
      </c>
      <c r="B4444" s="36">
        <v>389</v>
      </c>
      <c r="C4444" t="s">
        <v>4776</v>
      </c>
      <c r="D4444">
        <v>5.5</v>
      </c>
      <c r="E4444" s="18">
        <v>75</v>
      </c>
      <c r="G4444" t="s">
        <v>4777</v>
      </c>
      <c r="H4444" s="18">
        <v>75</v>
      </c>
      <c r="I4444" s="3">
        <v>42006</v>
      </c>
      <c r="J4444"/>
      <c r="L4444"/>
      <c r="M4444"/>
      <c r="N4444" s="20"/>
      <c r="O4444"/>
      <c r="P4444" s="20"/>
      <c r="Q4444" s="20"/>
      <c r="R4444" s="20"/>
      <c r="S4444" s="20"/>
      <c r="T4444" s="20"/>
    </row>
    <row r="4445" spans="1:20" x14ac:dyDescent="0.25">
      <c r="A4445" s="3">
        <v>42006</v>
      </c>
      <c r="B4445" s="36">
        <v>389</v>
      </c>
      <c r="C4445" t="s">
        <v>4828</v>
      </c>
      <c r="D4445">
        <v>7.25</v>
      </c>
      <c r="E4445" s="18">
        <v>362.5</v>
      </c>
      <c r="G4445" t="s">
        <v>4829</v>
      </c>
      <c r="H4445" s="18">
        <v>362.5</v>
      </c>
      <c r="I4445" s="3">
        <v>42006</v>
      </c>
      <c r="J4445"/>
      <c r="L4445"/>
      <c r="M4445"/>
      <c r="N4445" s="20"/>
      <c r="O4445"/>
      <c r="P4445" s="20"/>
      <c r="Q4445" s="20"/>
      <c r="R4445" s="20"/>
      <c r="S4445" s="20"/>
      <c r="T4445" s="20"/>
    </row>
    <row r="4446" spans="1:20" x14ac:dyDescent="0.25">
      <c r="A4446" s="3">
        <v>42013</v>
      </c>
      <c r="B4446" s="36">
        <v>389</v>
      </c>
      <c r="C4446" t="s">
        <v>4824</v>
      </c>
      <c r="D4446">
        <v>11.5</v>
      </c>
      <c r="E4446" s="18">
        <v>1050</v>
      </c>
      <c r="G4446" t="s">
        <v>4825</v>
      </c>
      <c r="H4446" s="18">
        <v>1050</v>
      </c>
      <c r="I4446" s="3">
        <v>42013</v>
      </c>
      <c r="J4446"/>
      <c r="L4446"/>
      <c r="M4446"/>
      <c r="N4446" s="20"/>
      <c r="O4446"/>
      <c r="P4446" s="20"/>
      <c r="Q4446" s="20"/>
      <c r="R4446" s="20"/>
      <c r="S4446" s="20"/>
      <c r="T4446" s="20"/>
    </row>
    <row r="4447" spans="1:20" x14ac:dyDescent="0.25">
      <c r="A4447" s="3">
        <v>42013</v>
      </c>
      <c r="B4447" s="36">
        <v>389</v>
      </c>
      <c r="C4447" t="s">
        <v>4819</v>
      </c>
      <c r="D4447">
        <v>7.25</v>
      </c>
      <c r="E4447" s="18">
        <v>200</v>
      </c>
      <c r="G4447" t="s">
        <v>4820</v>
      </c>
      <c r="H4447" s="18">
        <v>200</v>
      </c>
      <c r="I4447" s="3">
        <v>42013</v>
      </c>
      <c r="J4447"/>
      <c r="L4447"/>
      <c r="M4447"/>
      <c r="N4447" s="20"/>
      <c r="O4447"/>
      <c r="P4447" s="20"/>
      <c r="Q4447" s="20"/>
      <c r="R4447" s="20"/>
      <c r="S4447" s="20"/>
      <c r="T4447" s="20"/>
    </row>
    <row r="4448" spans="1:20" x14ac:dyDescent="0.25">
      <c r="A4448" s="3">
        <v>42013</v>
      </c>
      <c r="B4448" s="36">
        <v>389</v>
      </c>
      <c r="C4448" t="s">
        <v>762</v>
      </c>
      <c r="D4448">
        <v>9</v>
      </c>
      <c r="E4448" s="18">
        <v>450</v>
      </c>
      <c r="G4448" t="s">
        <v>763</v>
      </c>
      <c r="H4448" s="18">
        <v>450</v>
      </c>
      <c r="I4448" s="3">
        <v>42013</v>
      </c>
      <c r="J4448"/>
      <c r="L4448"/>
      <c r="M4448"/>
      <c r="N4448" s="20"/>
      <c r="O4448"/>
      <c r="P4448" s="20"/>
      <c r="Q4448" s="20"/>
      <c r="R4448" s="20"/>
      <c r="S4448" s="20"/>
      <c r="T4448" s="20"/>
    </row>
    <row r="4449" spans="1:20" x14ac:dyDescent="0.25">
      <c r="A4449" s="3">
        <v>42013</v>
      </c>
      <c r="B4449" s="36">
        <v>389</v>
      </c>
      <c r="C4449" t="s">
        <v>724</v>
      </c>
      <c r="D4449">
        <v>8.5</v>
      </c>
      <c r="E4449" s="18">
        <v>250</v>
      </c>
      <c r="G4449" t="s">
        <v>725</v>
      </c>
      <c r="H4449" s="18">
        <v>250</v>
      </c>
      <c r="I4449" s="3">
        <v>42013</v>
      </c>
      <c r="J4449"/>
      <c r="L4449"/>
      <c r="M4449"/>
      <c r="N4449" s="20"/>
      <c r="O4449"/>
      <c r="P4449" s="20"/>
      <c r="Q4449" s="20"/>
      <c r="R4449" s="20"/>
      <c r="S4449" s="20"/>
      <c r="T4449" s="20"/>
    </row>
    <row r="4450" spans="1:20" x14ac:dyDescent="0.25">
      <c r="A4450" s="3">
        <v>42013</v>
      </c>
      <c r="B4450" s="36">
        <v>389</v>
      </c>
      <c r="C4450" t="s">
        <v>4875</v>
      </c>
      <c r="D4450">
        <v>2.5</v>
      </c>
      <c r="E4450" s="18">
        <v>-950</v>
      </c>
      <c r="G4450" t="s">
        <v>4876</v>
      </c>
      <c r="H4450" s="18" t="s">
        <v>442</v>
      </c>
      <c r="I4450" s="3" t="s">
        <v>442</v>
      </c>
      <c r="J4450"/>
      <c r="L4450"/>
      <c r="M4450"/>
      <c r="N4450" s="20"/>
      <c r="O4450"/>
      <c r="P4450" s="20"/>
      <c r="Q4450" s="20"/>
      <c r="R4450" s="20"/>
      <c r="S4450" s="20"/>
      <c r="T4450" s="20"/>
    </row>
    <row r="4451" spans="1:20" x14ac:dyDescent="0.25">
      <c r="A4451" s="3">
        <v>42017</v>
      </c>
      <c r="B4451" s="36">
        <v>389</v>
      </c>
      <c r="C4451" t="s">
        <v>4880</v>
      </c>
      <c r="E4451" s="18">
        <v>3000</v>
      </c>
      <c r="G4451" t="s">
        <v>442</v>
      </c>
      <c r="H4451" s="18" t="s">
        <v>442</v>
      </c>
      <c r="I4451" s="3" t="s">
        <v>442</v>
      </c>
      <c r="J4451"/>
      <c r="L4451"/>
      <c r="M4451"/>
      <c r="N4451" s="20"/>
      <c r="O4451"/>
      <c r="P4451" s="20"/>
      <c r="Q4451" s="20"/>
      <c r="R4451" s="20"/>
      <c r="S4451" s="20"/>
      <c r="T4451" s="20" t="s">
        <v>401</v>
      </c>
    </row>
    <row r="4452" spans="1:20" x14ac:dyDescent="0.25">
      <c r="A4452" s="3">
        <v>42017</v>
      </c>
      <c r="B4452" s="36">
        <v>389</v>
      </c>
      <c r="C4452" t="s">
        <v>4880</v>
      </c>
      <c r="E4452" s="18">
        <v>3000</v>
      </c>
      <c r="H4452" s="18" t="s">
        <v>442</v>
      </c>
      <c r="I4452" s="3" t="s">
        <v>442</v>
      </c>
      <c r="J4452"/>
      <c r="L4452"/>
      <c r="M4452"/>
      <c r="N4452" s="20"/>
      <c r="O4452"/>
      <c r="P4452" s="20"/>
      <c r="Q4452" s="20"/>
      <c r="R4452" s="20"/>
      <c r="S4452" s="20"/>
      <c r="T4452" s="20" t="s">
        <v>401</v>
      </c>
    </row>
    <row r="4453" spans="1:20" x14ac:dyDescent="0.25">
      <c r="A4453" s="3">
        <v>42041</v>
      </c>
      <c r="B4453">
        <v>389</v>
      </c>
      <c r="C4453" t="s">
        <v>4880</v>
      </c>
      <c r="E4453" s="18">
        <v>-3000</v>
      </c>
      <c r="F4453" t="s">
        <v>889</v>
      </c>
      <c r="I4453"/>
      <c r="J4453"/>
      <c r="L4453"/>
      <c r="M4453"/>
      <c r="O4453"/>
      <c r="P4453" s="20"/>
      <c r="Q4453" s="20"/>
      <c r="R4453" s="20"/>
      <c r="S4453" s="20"/>
      <c r="T4453" s="20" t="s">
        <v>401</v>
      </c>
    </row>
    <row r="4454" spans="1:20" x14ac:dyDescent="0.25">
      <c r="A4454" s="3">
        <v>42041</v>
      </c>
      <c r="B4454">
        <v>389</v>
      </c>
      <c r="C4454" t="s">
        <v>4847</v>
      </c>
      <c r="E4454" s="18">
        <v>300</v>
      </c>
      <c r="F4454" t="s">
        <v>889</v>
      </c>
      <c r="G4454" t="s">
        <v>4848</v>
      </c>
      <c r="I4454"/>
      <c r="J4454"/>
      <c r="L4454"/>
      <c r="M4454"/>
      <c r="O4454"/>
      <c r="P4454" s="20"/>
      <c r="Q4454" s="20"/>
      <c r="R4454" s="20"/>
      <c r="S4454" s="20"/>
      <c r="T4454" s="20"/>
    </row>
    <row r="4455" spans="1:20" x14ac:dyDescent="0.25">
      <c r="A4455" s="3">
        <v>42041</v>
      </c>
      <c r="B4455">
        <v>389</v>
      </c>
      <c r="C4455" t="s">
        <v>4786</v>
      </c>
      <c r="E4455" s="18">
        <v>348.6363636363638</v>
      </c>
      <c r="F4455" t="s">
        <v>889</v>
      </c>
      <c r="G4455" t="s">
        <v>4787</v>
      </c>
      <c r="I4455"/>
      <c r="J4455"/>
      <c r="L4455"/>
      <c r="M4455"/>
      <c r="O4455"/>
      <c r="P4455" s="20"/>
      <c r="Q4455" s="20"/>
      <c r="R4455" s="20"/>
      <c r="S4455" s="20"/>
      <c r="T4455" s="20"/>
    </row>
    <row r="4456" spans="1:20" x14ac:dyDescent="0.25">
      <c r="A4456" s="3">
        <v>42041</v>
      </c>
      <c r="B4456">
        <v>389</v>
      </c>
      <c r="C4456" t="s">
        <v>4802</v>
      </c>
      <c r="E4456" s="18">
        <v>585</v>
      </c>
      <c r="F4456" t="s">
        <v>889</v>
      </c>
      <c r="G4456" t="s">
        <v>4803</v>
      </c>
      <c r="I4456"/>
      <c r="J4456"/>
      <c r="L4456"/>
      <c r="M4456"/>
      <c r="O4456"/>
      <c r="P4456" s="20"/>
      <c r="Q4456" s="20"/>
      <c r="R4456" s="20"/>
      <c r="S4456" s="20"/>
      <c r="T4456" s="20"/>
    </row>
    <row r="4457" spans="1:20" x14ac:dyDescent="0.25">
      <c r="A4457" s="3">
        <v>42041</v>
      </c>
      <c r="B4457">
        <v>389</v>
      </c>
      <c r="C4457" t="s">
        <v>4770</v>
      </c>
      <c r="E4457" s="18">
        <v>194.72727272727275</v>
      </c>
      <c r="F4457" t="s">
        <v>889</v>
      </c>
      <c r="G4457" t="s">
        <v>4771</v>
      </c>
      <c r="I4457"/>
      <c r="J4457"/>
      <c r="L4457"/>
      <c r="M4457"/>
      <c r="O4457"/>
      <c r="P4457" s="20"/>
      <c r="Q4457" s="20"/>
      <c r="R4457" s="20"/>
      <c r="S4457" s="20"/>
      <c r="T4457" s="20"/>
    </row>
    <row r="4458" spans="1:20" x14ac:dyDescent="0.25">
      <c r="A4458" s="3">
        <v>42041</v>
      </c>
      <c r="B4458">
        <v>389</v>
      </c>
      <c r="C4458" t="s">
        <v>4832</v>
      </c>
      <c r="E4458" s="18">
        <v>325</v>
      </c>
      <c r="F4458" t="s">
        <v>889</v>
      </c>
      <c r="G4458" t="s">
        <v>4833</v>
      </c>
      <c r="I4458"/>
      <c r="J4458"/>
      <c r="L4458"/>
      <c r="M4458"/>
      <c r="O4458"/>
      <c r="P4458" s="20"/>
      <c r="Q4458" s="20"/>
      <c r="R4458" s="20"/>
      <c r="S4458" s="20"/>
      <c r="T4458" s="20"/>
    </row>
    <row r="4459" spans="1:20" x14ac:dyDescent="0.25">
      <c r="A4459" s="3">
        <v>42041</v>
      </c>
      <c r="B4459">
        <v>389</v>
      </c>
      <c r="C4459" t="s">
        <v>4814</v>
      </c>
      <c r="E4459" s="18">
        <v>720</v>
      </c>
      <c r="F4459" t="s">
        <v>889</v>
      </c>
      <c r="G4459" t="s">
        <v>4815</v>
      </c>
      <c r="I4459"/>
      <c r="J4459"/>
      <c r="L4459"/>
      <c r="M4459"/>
      <c r="O4459"/>
      <c r="P4459" s="20"/>
      <c r="Q4459" s="20"/>
      <c r="R4459" s="20"/>
      <c r="S4459" s="20"/>
      <c r="T4459" s="20"/>
    </row>
    <row r="4460" spans="1:20" x14ac:dyDescent="0.25">
      <c r="A4460" s="3">
        <v>42041</v>
      </c>
      <c r="B4460">
        <v>389</v>
      </c>
      <c r="C4460" t="s">
        <v>4772</v>
      </c>
      <c r="E4460" s="18">
        <v>145.90909090909091</v>
      </c>
      <c r="F4460" t="s">
        <v>889</v>
      </c>
      <c r="G4460" t="s">
        <v>4773</v>
      </c>
      <c r="I4460"/>
      <c r="J4460"/>
      <c r="L4460"/>
      <c r="M4460"/>
      <c r="O4460"/>
      <c r="P4460" s="20"/>
      <c r="Q4460" s="20"/>
      <c r="R4460" s="20"/>
      <c r="S4460" s="20"/>
      <c r="T4460" s="20"/>
    </row>
    <row r="4461" spans="1:20" x14ac:dyDescent="0.25">
      <c r="A4461" s="3">
        <v>42041</v>
      </c>
      <c r="B4461">
        <v>389</v>
      </c>
      <c r="C4461" t="s">
        <v>4790</v>
      </c>
      <c r="E4461" s="18">
        <v>204.39393939393949</v>
      </c>
      <c r="F4461" t="s">
        <v>889</v>
      </c>
      <c r="G4461" t="s">
        <v>4791</v>
      </c>
      <c r="I4461"/>
      <c r="J4461"/>
      <c r="L4461"/>
      <c r="M4461"/>
      <c r="O4461"/>
      <c r="P4461" s="20"/>
      <c r="Q4461" s="20"/>
      <c r="R4461" s="20"/>
      <c r="S4461" s="20"/>
      <c r="T4461" s="20"/>
    </row>
    <row r="4462" spans="1:20" x14ac:dyDescent="0.25">
      <c r="A4462" s="3">
        <v>42041</v>
      </c>
      <c r="B4462">
        <v>389</v>
      </c>
      <c r="C4462" t="s">
        <v>4778</v>
      </c>
      <c r="E4462" s="18">
        <v>94.54545454545466</v>
      </c>
      <c r="F4462" t="s">
        <v>889</v>
      </c>
      <c r="G4462" t="s">
        <v>4779</v>
      </c>
      <c r="I4462"/>
      <c r="J4462"/>
      <c r="L4462"/>
      <c r="M4462"/>
      <c r="O4462"/>
      <c r="P4462" s="20"/>
      <c r="Q4462" s="20"/>
      <c r="R4462" s="20"/>
      <c r="S4462" s="20"/>
      <c r="T4462" s="20"/>
    </row>
    <row r="4463" spans="1:20" x14ac:dyDescent="0.25">
      <c r="A4463" s="3">
        <v>42041</v>
      </c>
      <c r="B4463">
        <v>389</v>
      </c>
      <c r="C4463" t="s">
        <v>4792</v>
      </c>
      <c r="E4463" s="18">
        <v>322.7272727272728</v>
      </c>
      <c r="F4463" t="s">
        <v>889</v>
      </c>
      <c r="G4463" t="s">
        <v>4793</v>
      </c>
      <c r="I4463"/>
      <c r="J4463"/>
      <c r="L4463"/>
      <c r="M4463"/>
      <c r="O4463"/>
      <c r="P4463" s="20"/>
      <c r="Q4463" s="20"/>
      <c r="R4463" s="20"/>
      <c r="S4463" s="20"/>
      <c r="T4463" s="20"/>
    </row>
    <row r="4464" spans="1:20" x14ac:dyDescent="0.25">
      <c r="A4464" s="3">
        <v>42041</v>
      </c>
      <c r="B4464">
        <v>389</v>
      </c>
      <c r="C4464" t="s">
        <v>4842</v>
      </c>
      <c r="E4464" s="18">
        <v>300</v>
      </c>
      <c r="F4464" t="s">
        <v>889</v>
      </c>
      <c r="G4464" t="s">
        <v>4843</v>
      </c>
      <c r="I4464"/>
      <c r="J4464"/>
      <c r="L4464"/>
      <c r="M4464"/>
      <c r="O4464"/>
      <c r="P4464" s="20"/>
      <c r="Q4464" s="20"/>
      <c r="R4464" s="20"/>
      <c r="S4464" s="20"/>
      <c r="T4464" s="20"/>
    </row>
    <row r="4465" spans="1:21" x14ac:dyDescent="0.25">
      <c r="A4465" s="3">
        <v>42041</v>
      </c>
      <c r="B4465">
        <v>389</v>
      </c>
      <c r="C4465" t="s">
        <v>4794</v>
      </c>
      <c r="E4465" s="18">
        <v>347.72727272727269</v>
      </c>
      <c r="F4465" t="s">
        <v>889</v>
      </c>
      <c r="G4465" t="s">
        <v>4795</v>
      </c>
      <c r="I4465"/>
      <c r="J4465"/>
      <c r="L4465"/>
      <c r="M4465"/>
      <c r="O4465"/>
      <c r="P4465" s="20"/>
      <c r="Q4465" s="20"/>
      <c r="R4465" s="20"/>
      <c r="S4465" s="20"/>
      <c r="T4465" s="20"/>
    </row>
    <row r="4466" spans="1:21" x14ac:dyDescent="0.25">
      <c r="A4466" s="3">
        <v>42041</v>
      </c>
      <c r="B4466">
        <v>389</v>
      </c>
      <c r="C4466" t="s">
        <v>4782</v>
      </c>
      <c r="E4466" s="18">
        <v>154.01515151515153</v>
      </c>
      <c r="F4466" t="s">
        <v>889</v>
      </c>
      <c r="G4466" t="s">
        <v>4783</v>
      </c>
      <c r="I4466"/>
      <c r="J4466"/>
      <c r="L4466"/>
      <c r="M4466"/>
      <c r="O4466"/>
      <c r="P4466" s="20"/>
      <c r="Q4466" s="20"/>
      <c r="R4466" s="20"/>
      <c r="S4466" s="20"/>
      <c r="T4466" s="20"/>
    </row>
    <row r="4467" spans="1:21" x14ac:dyDescent="0.25">
      <c r="A4467" s="3">
        <v>42041</v>
      </c>
      <c r="B4467">
        <v>389</v>
      </c>
      <c r="C4467" t="s">
        <v>974</v>
      </c>
      <c r="E4467" s="18">
        <v>8.3333333333333339</v>
      </c>
      <c r="F4467" t="s">
        <v>889</v>
      </c>
      <c r="I4467"/>
      <c r="J4467"/>
      <c r="L4467"/>
      <c r="M4467"/>
      <c r="N4467" s="20" t="s">
        <v>401</v>
      </c>
      <c r="O4467"/>
      <c r="P4467" s="20"/>
      <c r="Q4467" s="20"/>
      <c r="R4467" s="20"/>
      <c r="S4467" s="20"/>
      <c r="T4467" s="20"/>
    </row>
    <row r="4468" spans="1:21" x14ac:dyDescent="0.25">
      <c r="A4468" s="3">
        <v>42041</v>
      </c>
      <c r="B4468">
        <v>389</v>
      </c>
      <c r="C4468" t="s">
        <v>4796</v>
      </c>
      <c r="E4468" s="18">
        <v>355.00000000000017</v>
      </c>
      <c r="F4468" t="s">
        <v>889</v>
      </c>
      <c r="G4468" t="s">
        <v>4797</v>
      </c>
      <c r="I4468"/>
      <c r="J4468"/>
      <c r="L4468"/>
      <c r="M4468"/>
      <c r="O4468"/>
      <c r="P4468" s="20"/>
      <c r="Q4468" s="20"/>
      <c r="R4468" s="20"/>
      <c r="S4468" s="20"/>
      <c r="T4468" s="20"/>
    </row>
    <row r="4469" spans="1:21" x14ac:dyDescent="0.25">
      <c r="A4469" s="3">
        <v>42041</v>
      </c>
      <c r="B4469">
        <v>389</v>
      </c>
      <c r="C4469" t="s">
        <v>4881</v>
      </c>
      <c r="D4469">
        <v>16.25</v>
      </c>
      <c r="E4469" s="18">
        <v>1625</v>
      </c>
      <c r="F4469" t="s">
        <v>889</v>
      </c>
      <c r="G4469" t="s">
        <v>4837</v>
      </c>
      <c r="I4469"/>
      <c r="J4469"/>
      <c r="L4469"/>
      <c r="M4469"/>
      <c r="O4469"/>
      <c r="P4469" s="20"/>
      <c r="Q4469" s="20"/>
      <c r="R4469" s="20"/>
      <c r="S4469" s="20"/>
      <c r="T4469" s="20"/>
    </row>
    <row r="4470" spans="1:21" x14ac:dyDescent="0.25">
      <c r="A4470" s="3">
        <v>42041</v>
      </c>
      <c r="B4470">
        <v>389</v>
      </c>
      <c r="C4470" t="s">
        <v>4776</v>
      </c>
      <c r="E4470" s="18">
        <v>75</v>
      </c>
      <c r="F4470" t="s">
        <v>889</v>
      </c>
      <c r="G4470" t="s">
        <v>4777</v>
      </c>
      <c r="I4470"/>
      <c r="J4470"/>
      <c r="L4470"/>
      <c r="M4470"/>
      <c r="O4470"/>
      <c r="P4470" s="20"/>
      <c r="Q4470" s="20"/>
      <c r="R4470" s="20"/>
      <c r="S4470" s="20"/>
      <c r="T4470" s="20"/>
    </row>
    <row r="4471" spans="1:21" x14ac:dyDescent="0.25">
      <c r="A4471" s="3">
        <v>42041</v>
      </c>
      <c r="B4471">
        <v>389</v>
      </c>
      <c r="C4471" t="s">
        <v>4828</v>
      </c>
      <c r="E4471" s="18">
        <v>362.5</v>
      </c>
      <c r="F4471" t="s">
        <v>889</v>
      </c>
      <c r="G4471" t="s">
        <v>4829</v>
      </c>
      <c r="I4471"/>
      <c r="J4471"/>
      <c r="L4471"/>
      <c r="M4471"/>
      <c r="O4471"/>
      <c r="P4471" s="20"/>
      <c r="Q4471" s="20"/>
      <c r="R4471" s="20"/>
      <c r="S4471" s="20"/>
      <c r="T4471" s="20"/>
    </row>
    <row r="4472" spans="1:21" x14ac:dyDescent="0.25">
      <c r="B4472">
        <v>389</v>
      </c>
      <c r="C4472" t="s">
        <v>4880</v>
      </c>
      <c r="E4472" s="18">
        <v>-3000</v>
      </c>
      <c r="G4472" t="s">
        <v>442</v>
      </c>
      <c r="I4472"/>
      <c r="J4472"/>
      <c r="L4472"/>
      <c r="M4472"/>
      <c r="O4472"/>
      <c r="P4472" s="20"/>
      <c r="Q4472" s="20"/>
      <c r="R4472" s="20"/>
      <c r="S4472" s="20"/>
      <c r="T4472" s="20"/>
      <c r="U4472" t="s">
        <v>401</v>
      </c>
    </row>
    <row r="4473" spans="1:21" x14ac:dyDescent="0.25">
      <c r="B4473">
        <v>389</v>
      </c>
      <c r="C4473" t="s">
        <v>4880</v>
      </c>
      <c r="E4473" s="18">
        <v>-3000</v>
      </c>
      <c r="I4473"/>
      <c r="J4473"/>
      <c r="L4473"/>
      <c r="M4473"/>
      <c r="O4473"/>
      <c r="P4473" s="20"/>
      <c r="Q4473" s="20"/>
      <c r="R4473" s="20"/>
      <c r="S4473" s="20"/>
      <c r="T4473" s="20"/>
      <c r="U4473" t="s">
        <v>401</v>
      </c>
    </row>
    <row r="4474" spans="1:21" x14ac:dyDescent="0.25">
      <c r="B4474">
        <v>389</v>
      </c>
      <c r="C4474" t="s">
        <v>4846</v>
      </c>
      <c r="E4474" s="18">
        <v>-371.25</v>
      </c>
      <c r="G4474" t="s">
        <v>442</v>
      </c>
      <c r="I4474"/>
      <c r="J4474"/>
      <c r="L4474"/>
      <c r="M4474"/>
      <c r="O4474"/>
      <c r="P4474" s="20"/>
      <c r="Q4474" s="20"/>
      <c r="R4474" s="20"/>
      <c r="S4474" s="20"/>
      <c r="T4474" s="20"/>
      <c r="U4474" t="s">
        <v>401</v>
      </c>
    </row>
    <row r="4475" spans="1:21" x14ac:dyDescent="0.25">
      <c r="B4475">
        <v>389</v>
      </c>
      <c r="C4475" t="s">
        <v>4823</v>
      </c>
      <c r="E4475" s="18">
        <v>-1000</v>
      </c>
      <c r="G4475" t="s">
        <v>442</v>
      </c>
      <c r="I4475"/>
      <c r="J4475"/>
      <c r="L4475"/>
      <c r="M4475"/>
      <c r="O4475"/>
      <c r="P4475" s="20"/>
      <c r="Q4475" s="20"/>
      <c r="R4475" s="20"/>
      <c r="S4475" s="20"/>
      <c r="T4475" s="20"/>
      <c r="U4475" t="s">
        <v>401</v>
      </c>
    </row>
    <row r="4476" spans="1:21" x14ac:dyDescent="0.25">
      <c r="B4476">
        <v>389</v>
      </c>
      <c r="C4476" t="s">
        <v>4784</v>
      </c>
      <c r="D4476">
        <v>12</v>
      </c>
      <c r="E4476" s="18">
        <v>-1200</v>
      </c>
      <c r="F4476" t="s">
        <v>889</v>
      </c>
      <c r="G4476" t="s">
        <v>4785</v>
      </c>
      <c r="I4476"/>
      <c r="J4476"/>
      <c r="L4476"/>
      <c r="M4476"/>
      <c r="O4476"/>
      <c r="P4476" s="20"/>
      <c r="Q4476" s="20"/>
      <c r="R4476" s="20"/>
      <c r="S4476" s="20"/>
      <c r="T4476" s="20"/>
      <c r="U4476" t="s">
        <v>401</v>
      </c>
    </row>
    <row r="4477" spans="1:21" x14ac:dyDescent="0.25">
      <c r="B4477">
        <v>389</v>
      </c>
      <c r="C4477" t="s">
        <v>4882</v>
      </c>
      <c r="D4477">
        <v>5.5</v>
      </c>
      <c r="E4477" s="18">
        <v>550</v>
      </c>
      <c r="F4477" t="s">
        <v>889</v>
      </c>
      <c r="G4477" t="s">
        <v>4801</v>
      </c>
      <c r="I4477"/>
      <c r="J4477"/>
      <c r="L4477"/>
      <c r="M4477"/>
      <c r="O4477"/>
      <c r="P4477" s="20"/>
      <c r="Q4477" s="20"/>
      <c r="R4477" s="20"/>
      <c r="S4477" s="20"/>
      <c r="T4477" s="20"/>
      <c r="U4477" t="s">
        <v>401</v>
      </c>
    </row>
    <row r="4478" spans="1:21" x14ac:dyDescent="0.25">
      <c r="B4478">
        <v>389</v>
      </c>
      <c r="C4478" t="s">
        <v>4869</v>
      </c>
      <c r="D4478">
        <v>6.25</v>
      </c>
      <c r="E4478" s="18">
        <v>-625</v>
      </c>
      <c r="F4478" t="s">
        <v>889</v>
      </c>
      <c r="G4478" t="s">
        <v>4870</v>
      </c>
      <c r="I4478"/>
      <c r="J4478"/>
      <c r="L4478"/>
      <c r="M4478"/>
      <c r="O4478"/>
      <c r="P4478" s="20"/>
      <c r="Q4478" s="20"/>
      <c r="R4478" s="20"/>
      <c r="S4478" s="20"/>
      <c r="T4478" s="20"/>
      <c r="U4478" t="s">
        <v>401</v>
      </c>
    </row>
    <row r="4479" spans="1:21" x14ac:dyDescent="0.25">
      <c r="B4479">
        <v>389</v>
      </c>
      <c r="C4479" t="s">
        <v>4878</v>
      </c>
      <c r="D4479">
        <v>9</v>
      </c>
      <c r="E4479" s="18">
        <v>-900</v>
      </c>
      <c r="F4479" t="s">
        <v>889</v>
      </c>
      <c r="G4479" t="s">
        <v>4879</v>
      </c>
      <c r="I4479"/>
      <c r="J4479"/>
      <c r="L4479"/>
      <c r="M4479"/>
      <c r="O4479"/>
      <c r="P4479" s="20"/>
      <c r="Q4479" s="20"/>
      <c r="R4479" s="20"/>
      <c r="S4479" s="20"/>
      <c r="T4479" s="20"/>
      <c r="U4479" t="s">
        <v>401</v>
      </c>
    </row>
    <row r="4480" spans="1:21" x14ac:dyDescent="0.25">
      <c r="B4480">
        <v>389</v>
      </c>
      <c r="C4480" t="s">
        <v>969</v>
      </c>
      <c r="E4480" s="18">
        <v>28.75</v>
      </c>
      <c r="F4480" t="s">
        <v>889</v>
      </c>
      <c r="I4480"/>
      <c r="J4480"/>
      <c r="L4480"/>
      <c r="M4480"/>
      <c r="O4480"/>
      <c r="P4480" s="20"/>
      <c r="Q4480" s="20"/>
      <c r="R4480" s="20"/>
      <c r="S4480" s="20"/>
      <c r="T4480" s="20"/>
      <c r="U4480" t="s">
        <v>401</v>
      </c>
    </row>
    <row r="4481" spans="1:21" x14ac:dyDescent="0.25">
      <c r="B4481">
        <v>389</v>
      </c>
      <c r="C4481" t="s">
        <v>4853</v>
      </c>
      <c r="D4481">
        <v>4.5</v>
      </c>
      <c r="E4481" s="18">
        <v>-450</v>
      </c>
      <c r="F4481" t="s">
        <v>889</v>
      </c>
      <c r="G4481" t="s">
        <v>4854</v>
      </c>
      <c r="I4481"/>
      <c r="J4481"/>
      <c r="L4481"/>
      <c r="M4481"/>
      <c r="O4481"/>
      <c r="P4481" s="20"/>
      <c r="Q4481" s="20"/>
      <c r="R4481" s="20"/>
      <c r="S4481" s="20"/>
      <c r="T4481" s="20"/>
      <c r="U4481" t="s">
        <v>401</v>
      </c>
    </row>
    <row r="4482" spans="1:21" x14ac:dyDescent="0.25">
      <c r="B4482">
        <v>389</v>
      </c>
      <c r="C4482" t="s">
        <v>4855</v>
      </c>
      <c r="D4482">
        <v>9.5</v>
      </c>
      <c r="E4482" s="18">
        <v>-950</v>
      </c>
      <c r="F4482" t="s">
        <v>889</v>
      </c>
      <c r="G4482" t="s">
        <v>4856</v>
      </c>
      <c r="I4482"/>
      <c r="J4482"/>
      <c r="L4482"/>
      <c r="M4482"/>
      <c r="O4482"/>
      <c r="P4482" s="20"/>
      <c r="Q4482" s="20"/>
      <c r="R4482" s="20"/>
      <c r="S4482" s="20"/>
      <c r="T4482" s="20"/>
      <c r="U4482" t="s">
        <v>401</v>
      </c>
    </row>
    <row r="4483" spans="1:21" x14ac:dyDescent="0.25">
      <c r="B4483">
        <v>389</v>
      </c>
      <c r="C4483" t="s">
        <v>4883</v>
      </c>
      <c r="D4483">
        <v>12</v>
      </c>
      <c r="E4483" s="18">
        <v>1200</v>
      </c>
      <c r="F4483" t="s">
        <v>889</v>
      </c>
      <c r="G4483" t="s">
        <v>4866</v>
      </c>
      <c r="I4483"/>
      <c r="J4483"/>
      <c r="L4483"/>
      <c r="M4483"/>
      <c r="O4483"/>
      <c r="P4483" s="20"/>
      <c r="Q4483" s="20"/>
      <c r="R4483" s="20"/>
      <c r="S4483" s="20"/>
      <c r="T4483" s="20"/>
      <c r="U4483" t="s">
        <v>401</v>
      </c>
    </row>
    <row r="4484" spans="1:21" x14ac:dyDescent="0.25">
      <c r="B4484">
        <v>389</v>
      </c>
      <c r="C4484" t="s">
        <v>4816</v>
      </c>
      <c r="D4484">
        <v>19.5</v>
      </c>
      <c r="E4484" s="18">
        <v>-1950</v>
      </c>
      <c r="F4484" t="s">
        <v>889</v>
      </c>
      <c r="G4484" t="s">
        <v>4817</v>
      </c>
      <c r="I4484"/>
      <c r="J4484"/>
      <c r="L4484"/>
      <c r="M4484"/>
      <c r="O4484"/>
      <c r="P4484" s="20"/>
      <c r="Q4484" s="20"/>
      <c r="R4484" s="20"/>
      <c r="S4484" s="20"/>
      <c r="T4484" s="20"/>
      <c r="U4484" t="s">
        <v>401</v>
      </c>
    </row>
    <row r="4485" spans="1:21" x14ac:dyDescent="0.25">
      <c r="B4485">
        <v>389</v>
      </c>
      <c r="C4485" t="s">
        <v>4857</v>
      </c>
      <c r="D4485">
        <v>7.25</v>
      </c>
      <c r="E4485" s="18">
        <v>-725</v>
      </c>
      <c r="F4485" t="s">
        <v>889</v>
      </c>
      <c r="G4485" t="s">
        <v>4858</v>
      </c>
      <c r="I4485"/>
      <c r="J4485"/>
      <c r="L4485"/>
      <c r="M4485"/>
      <c r="O4485"/>
      <c r="P4485" s="20"/>
      <c r="Q4485" s="20"/>
      <c r="R4485" s="20"/>
      <c r="S4485" s="20"/>
      <c r="T4485" s="20"/>
      <c r="U4485" t="s">
        <v>401</v>
      </c>
    </row>
    <row r="4486" spans="1:21" x14ac:dyDescent="0.25">
      <c r="B4486">
        <v>389</v>
      </c>
      <c r="C4486" t="s">
        <v>4863</v>
      </c>
      <c r="D4486">
        <v>10.5</v>
      </c>
      <c r="E4486" s="18">
        <v>-1050</v>
      </c>
      <c r="F4486" t="s">
        <v>889</v>
      </c>
      <c r="G4486" t="s">
        <v>4864</v>
      </c>
      <c r="I4486"/>
      <c r="J4486"/>
      <c r="L4486"/>
      <c r="M4486"/>
      <c r="O4486"/>
      <c r="P4486" s="20"/>
      <c r="Q4486" s="20"/>
      <c r="R4486" s="20"/>
      <c r="S4486" s="20"/>
      <c r="T4486" s="20"/>
      <c r="U4486" t="s">
        <v>401</v>
      </c>
    </row>
    <row r="4487" spans="1:21" x14ac:dyDescent="0.25">
      <c r="B4487">
        <v>389</v>
      </c>
      <c r="C4487" t="s">
        <v>4808</v>
      </c>
      <c r="D4487">
        <v>11.25</v>
      </c>
      <c r="E4487" s="18">
        <v>-1125</v>
      </c>
      <c r="F4487" t="s">
        <v>889</v>
      </c>
      <c r="G4487" t="s">
        <v>4809</v>
      </c>
      <c r="I4487"/>
      <c r="J4487"/>
      <c r="L4487"/>
      <c r="M4487"/>
      <c r="O4487"/>
      <c r="P4487" s="20"/>
      <c r="Q4487" s="20"/>
      <c r="R4487" s="20"/>
      <c r="S4487" s="20"/>
      <c r="T4487" s="20"/>
      <c r="U4487" t="s">
        <v>401</v>
      </c>
    </row>
    <row r="4488" spans="1:21" x14ac:dyDescent="0.25">
      <c r="B4488">
        <v>389</v>
      </c>
      <c r="C4488" t="s">
        <v>672</v>
      </c>
      <c r="D4488">
        <v>8.25</v>
      </c>
      <c r="E4488" s="18">
        <v>412.5</v>
      </c>
      <c r="F4488" t="s">
        <v>889</v>
      </c>
      <c r="G4488" t="s">
        <v>673</v>
      </c>
      <c r="I4488"/>
      <c r="J4488"/>
      <c r="L4488"/>
      <c r="M4488"/>
      <c r="O4488"/>
      <c r="P4488" s="20"/>
      <c r="Q4488" s="20"/>
      <c r="R4488" s="20"/>
      <c r="S4488" s="20"/>
      <c r="T4488" s="20"/>
      <c r="U4488" t="s">
        <v>401</v>
      </c>
    </row>
    <row r="4489" spans="1:21" x14ac:dyDescent="0.25">
      <c r="B4489">
        <v>389</v>
      </c>
      <c r="C4489" t="s">
        <v>4838</v>
      </c>
      <c r="D4489">
        <v>2.5</v>
      </c>
      <c r="E4489" s="18">
        <v>-250</v>
      </c>
      <c r="F4489" t="s">
        <v>889</v>
      </c>
      <c r="G4489" t="s">
        <v>4839</v>
      </c>
      <c r="I4489"/>
      <c r="J4489"/>
      <c r="L4489"/>
      <c r="M4489"/>
      <c r="O4489"/>
      <c r="P4489" s="20"/>
      <c r="Q4489" s="20"/>
      <c r="R4489" s="20"/>
      <c r="S4489" s="20"/>
      <c r="T4489" s="20"/>
      <c r="U4489" t="s">
        <v>401</v>
      </c>
    </row>
    <row r="4490" spans="1:21" x14ac:dyDescent="0.25">
      <c r="B4490">
        <v>389</v>
      </c>
      <c r="C4490" t="s">
        <v>4873</v>
      </c>
      <c r="D4490">
        <v>11.75</v>
      </c>
      <c r="E4490" s="18">
        <v>-1175</v>
      </c>
      <c r="F4490" t="s">
        <v>889</v>
      </c>
      <c r="G4490" t="s">
        <v>4874</v>
      </c>
      <c r="I4490"/>
      <c r="J4490"/>
      <c r="L4490"/>
      <c r="M4490"/>
      <c r="O4490"/>
      <c r="P4490" s="20"/>
      <c r="Q4490" s="20"/>
      <c r="R4490" s="20"/>
      <c r="S4490" s="20"/>
      <c r="T4490" s="20"/>
      <c r="U4490" t="s">
        <v>401</v>
      </c>
    </row>
    <row r="4491" spans="1:21" x14ac:dyDescent="0.25">
      <c r="A4491" s="3">
        <v>41908</v>
      </c>
      <c r="B4491" s="36">
        <v>390</v>
      </c>
      <c r="C4491" t="s">
        <v>4884</v>
      </c>
      <c r="D4491">
        <v>8.5</v>
      </c>
      <c r="E4491" s="18">
        <v>850</v>
      </c>
      <c r="F4491" t="s">
        <v>889</v>
      </c>
      <c r="G4491" t="s">
        <v>4885</v>
      </c>
      <c r="H4491" s="18">
        <v>850</v>
      </c>
      <c r="I4491" s="3">
        <v>41908</v>
      </c>
      <c r="J4491"/>
      <c r="L4491"/>
      <c r="M4491"/>
      <c r="N4491" s="20"/>
      <c r="O4491"/>
      <c r="P4491" s="20"/>
      <c r="Q4491" s="20"/>
      <c r="R4491" s="20"/>
      <c r="S4491" s="20"/>
      <c r="T4491" s="20"/>
    </row>
    <row r="4492" spans="1:21" x14ac:dyDescent="0.25">
      <c r="A4492" s="3">
        <v>41859</v>
      </c>
      <c r="B4492" s="36">
        <v>391</v>
      </c>
      <c r="C4492" t="s">
        <v>4886</v>
      </c>
      <c r="D4492">
        <v>9.5</v>
      </c>
      <c r="E4492" s="18">
        <v>950</v>
      </c>
      <c r="F4492" t="s">
        <v>889</v>
      </c>
      <c r="G4492" t="s">
        <v>4887</v>
      </c>
      <c r="H4492" s="18">
        <v>950</v>
      </c>
      <c r="I4492" s="3">
        <v>41859</v>
      </c>
      <c r="J4492"/>
      <c r="L4492"/>
      <c r="M4492"/>
      <c r="N4492" s="20"/>
      <c r="O4492" t="s">
        <v>4888</v>
      </c>
      <c r="P4492" s="20"/>
      <c r="Q4492" s="20"/>
      <c r="R4492" s="20"/>
      <c r="S4492" s="20"/>
      <c r="T4492" s="20"/>
    </row>
    <row r="4493" spans="1:21" x14ac:dyDescent="0.25">
      <c r="A4493" s="3">
        <v>41859</v>
      </c>
      <c r="B4493" s="36">
        <v>391</v>
      </c>
      <c r="C4493" t="s">
        <v>4889</v>
      </c>
      <c r="D4493">
        <v>7</v>
      </c>
      <c r="E4493" s="18">
        <v>700</v>
      </c>
      <c r="F4493" t="s">
        <v>889</v>
      </c>
      <c r="G4493" t="s">
        <v>4890</v>
      </c>
      <c r="H4493" s="18">
        <v>700</v>
      </c>
      <c r="I4493" s="3">
        <v>41859</v>
      </c>
      <c r="J4493"/>
      <c r="L4493"/>
      <c r="M4493"/>
      <c r="N4493" s="20"/>
      <c r="O4493" t="s">
        <v>4888</v>
      </c>
      <c r="P4493" s="20"/>
      <c r="Q4493" s="20"/>
      <c r="R4493" s="20"/>
      <c r="S4493" s="20"/>
      <c r="T4493" s="20"/>
    </row>
    <row r="4494" spans="1:21" x14ac:dyDescent="0.25">
      <c r="A4494" s="3">
        <v>41879</v>
      </c>
      <c r="B4494" s="36">
        <v>391</v>
      </c>
      <c r="C4494" t="s">
        <v>4886</v>
      </c>
      <c r="D4494">
        <v>9.5</v>
      </c>
      <c r="E4494" s="18">
        <v>-950</v>
      </c>
      <c r="F4494" t="s">
        <v>889</v>
      </c>
      <c r="G4494" t="s">
        <v>4887</v>
      </c>
      <c r="H4494" s="18" t="s">
        <v>442</v>
      </c>
      <c r="I4494" s="3" t="s">
        <v>442</v>
      </c>
      <c r="J4494"/>
      <c r="L4494"/>
      <c r="M4494"/>
      <c r="N4494" s="20"/>
      <c r="O4494"/>
      <c r="P4494" s="20"/>
      <c r="Q4494" s="20"/>
      <c r="R4494" s="20"/>
      <c r="S4494" s="20"/>
      <c r="T4494" s="20"/>
    </row>
    <row r="4495" spans="1:21" x14ac:dyDescent="0.25">
      <c r="A4495" s="3">
        <v>41879</v>
      </c>
      <c r="B4495" s="36">
        <v>391</v>
      </c>
      <c r="C4495" t="s">
        <v>4891</v>
      </c>
      <c r="D4495">
        <v>20.5</v>
      </c>
      <c r="E4495" s="18">
        <v>2050</v>
      </c>
      <c r="F4495" t="s">
        <v>889</v>
      </c>
      <c r="G4495" t="s">
        <v>4892</v>
      </c>
      <c r="H4495" s="18">
        <v>2050</v>
      </c>
      <c r="I4495" s="3">
        <v>41879</v>
      </c>
      <c r="J4495"/>
      <c r="L4495"/>
      <c r="M4495"/>
      <c r="N4495" s="20"/>
      <c r="O4495"/>
      <c r="P4495" s="20"/>
      <c r="Q4495" s="20"/>
      <c r="R4495" s="20"/>
      <c r="S4495" s="20"/>
      <c r="T4495" s="20"/>
    </row>
    <row r="4496" spans="1:21" x14ac:dyDescent="0.25">
      <c r="A4496" s="3">
        <v>41886</v>
      </c>
      <c r="B4496" s="36">
        <v>391</v>
      </c>
      <c r="C4496" t="s">
        <v>4886</v>
      </c>
      <c r="D4496">
        <v>9.5</v>
      </c>
      <c r="E4496" s="18">
        <v>-950</v>
      </c>
      <c r="F4496" t="s">
        <v>889</v>
      </c>
      <c r="G4496" t="s">
        <v>4887</v>
      </c>
      <c r="H4496" s="18" t="s">
        <v>442</v>
      </c>
      <c r="I4496" s="3" t="s">
        <v>442</v>
      </c>
      <c r="J4496"/>
      <c r="L4496"/>
      <c r="M4496"/>
      <c r="N4496" s="20"/>
      <c r="O4496" t="s">
        <v>1107</v>
      </c>
      <c r="P4496" s="20"/>
      <c r="Q4496" s="20"/>
      <c r="R4496" s="20"/>
      <c r="S4496" s="20"/>
      <c r="T4496" s="20"/>
    </row>
    <row r="4497" spans="1:21" x14ac:dyDescent="0.25">
      <c r="A4497" s="3">
        <v>41886</v>
      </c>
      <c r="B4497" s="36">
        <v>391</v>
      </c>
      <c r="C4497" t="s">
        <v>4891</v>
      </c>
      <c r="D4497">
        <v>18.5</v>
      </c>
      <c r="E4497" s="18">
        <v>1850</v>
      </c>
      <c r="F4497" t="s">
        <v>889</v>
      </c>
      <c r="G4497" t="s">
        <v>4892</v>
      </c>
      <c r="H4497" s="18">
        <v>1850</v>
      </c>
      <c r="I4497" s="3">
        <v>41886</v>
      </c>
      <c r="J4497"/>
      <c r="L4497"/>
      <c r="M4497"/>
      <c r="N4497" s="20"/>
      <c r="O4497" t="s">
        <v>4893</v>
      </c>
      <c r="P4497" s="20"/>
      <c r="Q4497" s="20"/>
      <c r="R4497" s="20"/>
      <c r="S4497" s="20"/>
      <c r="T4497" s="20"/>
    </row>
    <row r="4498" spans="1:21" x14ac:dyDescent="0.25">
      <c r="A4498" s="3">
        <v>41894</v>
      </c>
      <c r="B4498" s="36">
        <v>391</v>
      </c>
      <c r="C4498" t="s">
        <v>4886</v>
      </c>
      <c r="D4498">
        <v>9.5</v>
      </c>
      <c r="E4498" s="18">
        <v>950</v>
      </c>
      <c r="F4498" t="s">
        <v>889</v>
      </c>
      <c r="G4498" t="s">
        <v>4887</v>
      </c>
      <c r="H4498" s="18">
        <v>950</v>
      </c>
      <c r="I4498" s="3">
        <v>41894</v>
      </c>
      <c r="J4498"/>
      <c r="L4498"/>
      <c r="M4498"/>
      <c r="N4498" s="20"/>
      <c r="O4498" t="s">
        <v>1272</v>
      </c>
      <c r="P4498" s="20"/>
      <c r="Q4498" s="20"/>
      <c r="R4498" s="20"/>
      <c r="S4498" s="20"/>
      <c r="T4498" s="20"/>
    </row>
    <row r="4499" spans="1:21" x14ac:dyDescent="0.25">
      <c r="B4499">
        <v>391</v>
      </c>
      <c r="C4499" t="s">
        <v>4891</v>
      </c>
      <c r="D4499">
        <v>18.5</v>
      </c>
      <c r="E4499" s="18">
        <v>-1850</v>
      </c>
      <c r="F4499" t="s">
        <v>889</v>
      </c>
      <c r="G4499" t="s">
        <v>4892</v>
      </c>
      <c r="I4499"/>
      <c r="J4499"/>
      <c r="L4499"/>
      <c r="M4499"/>
      <c r="O4499"/>
      <c r="P4499" s="20"/>
      <c r="Q4499" s="20"/>
      <c r="R4499" s="20"/>
      <c r="S4499" s="20"/>
      <c r="T4499" s="20"/>
      <c r="U4499" t="s">
        <v>401</v>
      </c>
    </row>
    <row r="4500" spans="1:21" x14ac:dyDescent="0.25">
      <c r="B4500">
        <v>391</v>
      </c>
      <c r="C4500" t="s">
        <v>4889</v>
      </c>
      <c r="D4500">
        <v>7</v>
      </c>
      <c r="E4500" s="18">
        <v>97.575757575757578</v>
      </c>
      <c r="F4500" t="s">
        <v>889</v>
      </c>
      <c r="G4500" t="s">
        <v>4890</v>
      </c>
      <c r="I4500"/>
      <c r="J4500"/>
      <c r="L4500"/>
      <c r="M4500"/>
      <c r="O4500"/>
      <c r="P4500" s="20"/>
      <c r="Q4500" s="20"/>
      <c r="R4500" s="20"/>
      <c r="S4500" s="20"/>
      <c r="T4500" s="20"/>
      <c r="U4500" t="s">
        <v>401</v>
      </c>
    </row>
    <row r="4501" spans="1:21" x14ac:dyDescent="0.25">
      <c r="B4501">
        <v>391</v>
      </c>
      <c r="C4501" t="s">
        <v>4889</v>
      </c>
      <c r="E4501" s="18">
        <v>97.575757575757578</v>
      </c>
      <c r="G4501" t="s">
        <v>4890</v>
      </c>
      <c r="I4501"/>
      <c r="J4501"/>
      <c r="L4501"/>
      <c r="M4501"/>
      <c r="O4501"/>
      <c r="P4501" s="20"/>
      <c r="Q4501" s="20"/>
      <c r="R4501" s="20"/>
      <c r="S4501" s="20"/>
      <c r="T4501" s="20"/>
      <c r="U4501" t="s">
        <v>401</v>
      </c>
    </row>
    <row r="4502" spans="1:21" x14ac:dyDescent="0.25">
      <c r="A4502" s="3">
        <v>41865</v>
      </c>
      <c r="B4502" s="36">
        <v>392</v>
      </c>
      <c r="C4502" t="s">
        <v>4894</v>
      </c>
      <c r="D4502">
        <v>13.75</v>
      </c>
      <c r="E4502" s="18">
        <v>1375</v>
      </c>
      <c r="F4502" t="s">
        <v>889</v>
      </c>
      <c r="G4502" t="s">
        <v>4895</v>
      </c>
      <c r="H4502" s="18">
        <v>1375</v>
      </c>
      <c r="I4502" s="3">
        <v>41865</v>
      </c>
      <c r="J4502"/>
      <c r="L4502"/>
      <c r="M4502"/>
      <c r="N4502" s="20"/>
      <c r="O4502"/>
      <c r="P4502" s="20"/>
      <c r="Q4502" s="20"/>
      <c r="R4502" s="20"/>
      <c r="S4502" s="20"/>
      <c r="T4502" s="20"/>
    </row>
    <row r="4503" spans="1:21" x14ac:dyDescent="0.25">
      <c r="A4503" s="3">
        <v>41879</v>
      </c>
      <c r="B4503" s="36">
        <v>392</v>
      </c>
      <c r="C4503" t="s">
        <v>4896</v>
      </c>
      <c r="D4503">
        <v>8.25</v>
      </c>
      <c r="E4503" s="18">
        <v>825</v>
      </c>
      <c r="F4503" t="s">
        <v>889</v>
      </c>
      <c r="G4503" t="s">
        <v>4897</v>
      </c>
      <c r="H4503" s="18">
        <v>825</v>
      </c>
      <c r="I4503" s="3">
        <v>41879</v>
      </c>
      <c r="J4503"/>
      <c r="L4503"/>
      <c r="M4503"/>
      <c r="N4503" s="20"/>
      <c r="O4503"/>
      <c r="P4503" s="20"/>
      <c r="Q4503" s="20"/>
      <c r="R4503" s="20"/>
      <c r="S4503" s="20"/>
      <c r="T4503" s="20"/>
    </row>
    <row r="4504" spans="1:21" x14ac:dyDescent="0.25">
      <c r="A4504" s="3">
        <v>41879</v>
      </c>
      <c r="B4504" s="36">
        <v>392</v>
      </c>
      <c r="C4504" t="s">
        <v>4898</v>
      </c>
      <c r="D4504">
        <v>14</v>
      </c>
      <c r="E4504" s="18">
        <v>1300</v>
      </c>
      <c r="F4504" t="s">
        <v>889</v>
      </c>
      <c r="G4504" t="s">
        <v>4899</v>
      </c>
      <c r="H4504" s="18">
        <v>1300</v>
      </c>
      <c r="I4504" s="3">
        <v>41879</v>
      </c>
      <c r="J4504"/>
      <c r="L4504"/>
      <c r="M4504"/>
      <c r="N4504" s="20"/>
      <c r="O4504"/>
      <c r="P4504" s="20"/>
      <c r="Q4504" s="20"/>
      <c r="R4504" s="20"/>
      <c r="S4504" s="20"/>
      <c r="T4504" s="20"/>
    </row>
    <row r="4505" spans="1:21" x14ac:dyDescent="0.25">
      <c r="A4505" s="3">
        <v>41886</v>
      </c>
      <c r="B4505" s="36">
        <v>392</v>
      </c>
      <c r="C4505" t="s">
        <v>4900</v>
      </c>
      <c r="D4505">
        <v>13</v>
      </c>
      <c r="E4505" s="18">
        <v>1300</v>
      </c>
      <c r="F4505" t="s">
        <v>889</v>
      </c>
      <c r="G4505" t="s">
        <v>4901</v>
      </c>
      <c r="H4505" s="18">
        <v>1300</v>
      </c>
      <c r="I4505" s="3">
        <v>41886</v>
      </c>
      <c r="J4505"/>
      <c r="L4505"/>
      <c r="M4505"/>
      <c r="N4505" s="20"/>
      <c r="O4505"/>
      <c r="P4505" s="20"/>
      <c r="Q4505" s="20"/>
      <c r="R4505" s="20"/>
      <c r="S4505" s="20"/>
      <c r="T4505" s="20"/>
    </row>
    <row r="4506" spans="1:21" x14ac:dyDescent="0.25">
      <c r="A4506" s="3">
        <v>41894</v>
      </c>
      <c r="B4506" s="36">
        <v>392</v>
      </c>
      <c r="C4506" t="s">
        <v>4902</v>
      </c>
      <c r="D4506">
        <v>10.5</v>
      </c>
      <c r="E4506" s="18">
        <v>1050</v>
      </c>
      <c r="F4506" t="s">
        <v>889</v>
      </c>
      <c r="G4506" t="s">
        <v>4903</v>
      </c>
      <c r="H4506" s="18">
        <v>1050</v>
      </c>
      <c r="I4506" s="3">
        <v>41894</v>
      </c>
      <c r="J4506"/>
      <c r="L4506"/>
      <c r="M4506"/>
      <c r="N4506" s="20"/>
      <c r="O4506"/>
      <c r="P4506" s="20"/>
      <c r="Q4506" s="20"/>
      <c r="R4506" s="20"/>
      <c r="S4506" s="20"/>
      <c r="T4506" s="20"/>
    </row>
    <row r="4507" spans="1:21" x14ac:dyDescent="0.25">
      <c r="A4507" s="3">
        <v>41894</v>
      </c>
      <c r="B4507" s="36">
        <v>392</v>
      </c>
      <c r="C4507" t="s">
        <v>4904</v>
      </c>
      <c r="D4507">
        <v>8</v>
      </c>
      <c r="E4507" s="18">
        <v>800</v>
      </c>
      <c r="F4507" t="s">
        <v>889</v>
      </c>
      <c r="G4507" t="s">
        <v>4905</v>
      </c>
      <c r="H4507" s="18">
        <v>800</v>
      </c>
      <c r="I4507" s="3">
        <v>41894</v>
      </c>
      <c r="J4507"/>
      <c r="L4507"/>
      <c r="M4507"/>
      <c r="N4507" s="20"/>
      <c r="O4507"/>
      <c r="P4507" s="20"/>
      <c r="Q4507" s="20"/>
      <c r="R4507" s="20"/>
      <c r="S4507" s="20"/>
      <c r="T4507" s="20"/>
    </row>
    <row r="4508" spans="1:21" x14ac:dyDescent="0.25">
      <c r="A4508" s="3">
        <v>41918</v>
      </c>
      <c r="B4508" s="36">
        <v>392</v>
      </c>
      <c r="C4508" t="s">
        <v>4906</v>
      </c>
      <c r="D4508">
        <v>9.5</v>
      </c>
      <c r="E4508" s="18">
        <v>950</v>
      </c>
      <c r="F4508" t="s">
        <v>889</v>
      </c>
      <c r="G4508" t="s">
        <v>4907</v>
      </c>
      <c r="H4508" s="18">
        <v>950</v>
      </c>
      <c r="I4508" s="3">
        <v>41918</v>
      </c>
      <c r="J4508"/>
      <c r="L4508"/>
      <c r="M4508"/>
      <c r="N4508" s="20"/>
      <c r="O4508"/>
      <c r="P4508" s="20"/>
      <c r="Q4508" s="20"/>
      <c r="R4508" s="20"/>
      <c r="S4508" s="20"/>
      <c r="T4508" s="20"/>
    </row>
    <row r="4509" spans="1:21" x14ac:dyDescent="0.25">
      <c r="A4509" s="3">
        <v>41922</v>
      </c>
      <c r="B4509" s="36">
        <v>392</v>
      </c>
      <c r="C4509" t="s">
        <v>4908</v>
      </c>
      <c r="D4509">
        <v>10.5</v>
      </c>
      <c r="E4509" s="18">
        <v>1050</v>
      </c>
      <c r="F4509" t="s">
        <v>889</v>
      </c>
      <c r="G4509" t="s">
        <v>4909</v>
      </c>
      <c r="H4509" s="18">
        <v>1050</v>
      </c>
      <c r="I4509" s="3">
        <v>41922</v>
      </c>
      <c r="J4509"/>
      <c r="L4509"/>
      <c r="M4509"/>
      <c r="N4509" s="20"/>
      <c r="O4509"/>
      <c r="P4509" s="20"/>
      <c r="Q4509" s="20"/>
      <c r="R4509" s="20"/>
      <c r="S4509" s="20"/>
      <c r="T4509" s="20"/>
    </row>
    <row r="4510" spans="1:21" x14ac:dyDescent="0.25">
      <c r="A4510" s="3">
        <v>41922</v>
      </c>
      <c r="B4510" s="36">
        <v>392</v>
      </c>
      <c r="C4510" t="s">
        <v>4910</v>
      </c>
      <c r="D4510">
        <v>8.25</v>
      </c>
      <c r="E4510" s="18">
        <v>825</v>
      </c>
      <c r="F4510" t="s">
        <v>889</v>
      </c>
      <c r="G4510" t="s">
        <v>4911</v>
      </c>
      <c r="H4510" s="18">
        <v>825</v>
      </c>
      <c r="I4510" s="3">
        <v>41922</v>
      </c>
      <c r="J4510"/>
      <c r="L4510"/>
      <c r="M4510"/>
      <c r="N4510" s="20"/>
      <c r="O4510"/>
      <c r="P4510" s="20"/>
      <c r="Q4510" s="20"/>
      <c r="R4510" s="20"/>
      <c r="S4510" s="20"/>
      <c r="T4510" s="20"/>
    </row>
    <row r="4511" spans="1:21" x14ac:dyDescent="0.25">
      <c r="A4511" s="3">
        <v>41950</v>
      </c>
      <c r="B4511" s="36">
        <v>392</v>
      </c>
      <c r="C4511" t="s">
        <v>4908</v>
      </c>
      <c r="D4511">
        <v>10.75</v>
      </c>
      <c r="E4511" s="18">
        <v>-1050</v>
      </c>
      <c r="F4511" t="s">
        <v>889</v>
      </c>
      <c r="G4511" t="s">
        <v>4909</v>
      </c>
      <c r="H4511" s="18" t="s">
        <v>442</v>
      </c>
      <c r="I4511" s="3" t="s">
        <v>442</v>
      </c>
      <c r="J4511"/>
      <c r="L4511"/>
      <c r="M4511"/>
      <c r="N4511" s="20"/>
      <c r="O4511"/>
      <c r="P4511" s="20"/>
      <c r="Q4511" s="20"/>
      <c r="R4511" s="20"/>
      <c r="S4511" s="20"/>
      <c r="T4511" s="20"/>
    </row>
    <row r="4512" spans="1:21" x14ac:dyDescent="0.25">
      <c r="A4512" s="3">
        <v>41950</v>
      </c>
      <c r="B4512" s="36">
        <v>392</v>
      </c>
      <c r="C4512" t="s">
        <v>4912</v>
      </c>
      <c r="D4512">
        <v>10.25</v>
      </c>
      <c r="E4512" s="18">
        <v>1025</v>
      </c>
      <c r="F4512" t="s">
        <v>889</v>
      </c>
      <c r="G4512" t="s">
        <v>4913</v>
      </c>
      <c r="H4512" s="18">
        <v>1025</v>
      </c>
      <c r="I4512" s="3">
        <v>41950</v>
      </c>
      <c r="J4512"/>
      <c r="L4512"/>
      <c r="M4512"/>
      <c r="N4512" s="20"/>
      <c r="O4512"/>
      <c r="P4512" s="20"/>
      <c r="Q4512" s="20"/>
      <c r="R4512" s="20"/>
      <c r="S4512" s="20"/>
      <c r="T4512" s="20"/>
    </row>
    <row r="4513" spans="1:20" x14ac:dyDescent="0.25">
      <c r="A4513" s="3">
        <v>41950</v>
      </c>
      <c r="B4513" s="36">
        <v>392</v>
      </c>
      <c r="C4513" t="s">
        <v>4900</v>
      </c>
      <c r="D4513">
        <v>13</v>
      </c>
      <c r="E4513" s="18">
        <v>-1300</v>
      </c>
      <c r="F4513" t="s">
        <v>889</v>
      </c>
      <c r="G4513" t="s">
        <v>4901</v>
      </c>
      <c r="H4513" s="18" t="s">
        <v>442</v>
      </c>
      <c r="I4513" s="3" t="s">
        <v>442</v>
      </c>
      <c r="J4513"/>
      <c r="L4513"/>
      <c r="M4513"/>
      <c r="N4513" s="20"/>
      <c r="O4513"/>
      <c r="P4513" s="20"/>
      <c r="Q4513" s="20"/>
      <c r="R4513" s="20"/>
      <c r="S4513" s="20"/>
      <c r="T4513" s="20"/>
    </row>
    <row r="4514" spans="1:20" x14ac:dyDescent="0.25">
      <c r="A4514" s="3">
        <v>41950</v>
      </c>
      <c r="B4514" s="36">
        <v>392</v>
      </c>
      <c r="C4514" t="s">
        <v>4914</v>
      </c>
      <c r="D4514">
        <v>8.25</v>
      </c>
      <c r="E4514" s="18">
        <v>825</v>
      </c>
      <c r="F4514" t="s">
        <v>889</v>
      </c>
      <c r="G4514" t="s">
        <v>4915</v>
      </c>
      <c r="H4514" s="18">
        <v>825</v>
      </c>
      <c r="I4514" s="3">
        <v>41950</v>
      </c>
      <c r="J4514"/>
      <c r="L4514"/>
      <c r="M4514"/>
      <c r="N4514" s="20"/>
      <c r="O4514"/>
      <c r="P4514" s="20"/>
      <c r="Q4514" s="20"/>
      <c r="R4514" s="20"/>
      <c r="S4514" s="20"/>
      <c r="T4514" s="20"/>
    </row>
    <row r="4515" spans="1:20" x14ac:dyDescent="0.25">
      <c r="A4515" s="3">
        <v>41950</v>
      </c>
      <c r="B4515" s="36">
        <v>392</v>
      </c>
      <c r="C4515" t="s">
        <v>4916</v>
      </c>
      <c r="D4515">
        <v>10</v>
      </c>
      <c r="E4515" s="18">
        <v>1000</v>
      </c>
      <c r="F4515" t="s">
        <v>889</v>
      </c>
      <c r="G4515" t="s">
        <v>4917</v>
      </c>
      <c r="H4515" s="18">
        <v>1000</v>
      </c>
      <c r="I4515" s="3">
        <v>41950</v>
      </c>
      <c r="J4515"/>
      <c r="L4515"/>
      <c r="M4515"/>
      <c r="N4515" s="20"/>
      <c r="O4515"/>
      <c r="P4515" s="20"/>
      <c r="Q4515" s="20"/>
      <c r="R4515" s="20"/>
      <c r="S4515" s="20"/>
      <c r="T4515" s="20"/>
    </row>
    <row r="4516" spans="1:20" x14ac:dyDescent="0.25">
      <c r="A4516" s="3">
        <v>41964</v>
      </c>
      <c r="B4516" s="36">
        <v>392</v>
      </c>
      <c r="C4516" t="s">
        <v>4918</v>
      </c>
      <c r="D4516">
        <v>6</v>
      </c>
      <c r="E4516" s="18">
        <v>600</v>
      </c>
      <c r="F4516" t="s">
        <v>889</v>
      </c>
      <c r="G4516" t="s">
        <v>4919</v>
      </c>
      <c r="H4516" s="18">
        <v>600</v>
      </c>
      <c r="I4516" s="3">
        <v>41964</v>
      </c>
      <c r="J4516"/>
      <c r="L4516"/>
      <c r="M4516"/>
      <c r="N4516" s="20"/>
      <c r="O4516"/>
      <c r="P4516" s="20"/>
      <c r="Q4516" s="20"/>
      <c r="R4516" s="20"/>
      <c r="S4516" s="20"/>
      <c r="T4516" s="20"/>
    </row>
    <row r="4517" spans="1:20" x14ac:dyDescent="0.25">
      <c r="A4517" s="3">
        <v>41968</v>
      </c>
      <c r="B4517" s="36">
        <v>392</v>
      </c>
      <c r="C4517" t="s">
        <v>4920</v>
      </c>
      <c r="D4517">
        <v>15</v>
      </c>
      <c r="E4517" s="18">
        <v>1500</v>
      </c>
      <c r="F4517" t="s">
        <v>889</v>
      </c>
      <c r="G4517" t="s">
        <v>4921</v>
      </c>
      <c r="H4517" s="18">
        <v>1500</v>
      </c>
      <c r="I4517" s="3">
        <v>41968</v>
      </c>
      <c r="J4517"/>
      <c r="L4517"/>
      <c r="M4517"/>
      <c r="N4517" s="20"/>
      <c r="O4517"/>
      <c r="P4517" s="20"/>
      <c r="Q4517" s="20"/>
      <c r="R4517" s="20"/>
      <c r="S4517" s="20"/>
      <c r="T4517" s="20"/>
    </row>
    <row r="4518" spans="1:20" x14ac:dyDescent="0.25">
      <c r="A4518" s="3">
        <v>41985</v>
      </c>
      <c r="B4518" s="36">
        <v>392</v>
      </c>
      <c r="C4518" t="s">
        <v>4910</v>
      </c>
      <c r="D4518">
        <v>8.25</v>
      </c>
      <c r="E4518" s="18">
        <v>825</v>
      </c>
      <c r="F4518" t="s">
        <v>889</v>
      </c>
      <c r="G4518" t="s">
        <v>4911</v>
      </c>
      <c r="H4518" s="18">
        <v>825</v>
      </c>
      <c r="I4518" s="3">
        <v>41985</v>
      </c>
      <c r="J4518"/>
      <c r="L4518"/>
      <c r="M4518"/>
      <c r="N4518" s="20"/>
      <c r="O4518" t="s">
        <v>959</v>
      </c>
      <c r="P4518" s="20"/>
      <c r="Q4518" s="20"/>
      <c r="R4518" s="20"/>
      <c r="S4518" s="20"/>
      <c r="T4518" s="20"/>
    </row>
    <row r="4519" spans="1:20" x14ac:dyDescent="0.25">
      <c r="A4519" s="3">
        <v>41985</v>
      </c>
      <c r="B4519" s="36">
        <v>392</v>
      </c>
      <c r="C4519" t="s">
        <v>4922</v>
      </c>
      <c r="D4519">
        <v>10.25</v>
      </c>
      <c r="E4519" s="18">
        <v>1025</v>
      </c>
      <c r="F4519" t="s">
        <v>889</v>
      </c>
      <c r="G4519" t="s">
        <v>4923</v>
      </c>
      <c r="H4519" s="18">
        <v>1025</v>
      </c>
      <c r="I4519" s="3">
        <v>41985</v>
      </c>
      <c r="J4519"/>
      <c r="L4519"/>
      <c r="M4519"/>
      <c r="N4519" s="20"/>
      <c r="O4519"/>
      <c r="P4519" s="20"/>
      <c r="Q4519" s="20"/>
      <c r="R4519" s="20"/>
      <c r="S4519" s="20"/>
      <c r="T4519" s="20"/>
    </row>
    <row r="4520" spans="1:20" x14ac:dyDescent="0.25">
      <c r="A4520" s="3">
        <v>41985</v>
      </c>
      <c r="B4520" s="36">
        <v>392</v>
      </c>
      <c r="C4520" t="s">
        <v>4904</v>
      </c>
      <c r="D4520">
        <v>8</v>
      </c>
      <c r="E4520" s="18">
        <v>800</v>
      </c>
      <c r="F4520" t="s">
        <v>889</v>
      </c>
      <c r="G4520" t="s">
        <v>4905</v>
      </c>
      <c r="H4520" s="18">
        <v>800</v>
      </c>
      <c r="I4520" s="3">
        <v>41985</v>
      </c>
      <c r="J4520"/>
      <c r="L4520"/>
      <c r="M4520"/>
      <c r="N4520" s="20"/>
      <c r="O4520" t="s">
        <v>959</v>
      </c>
      <c r="P4520" s="20"/>
      <c r="Q4520" s="20"/>
      <c r="R4520" s="20"/>
      <c r="S4520" s="20"/>
      <c r="T4520" s="20"/>
    </row>
    <row r="4521" spans="1:20" x14ac:dyDescent="0.25">
      <c r="A4521" s="3">
        <v>41992</v>
      </c>
      <c r="B4521" s="36">
        <v>392</v>
      </c>
      <c r="C4521" t="s">
        <v>4924</v>
      </c>
      <c r="D4521">
        <v>14.5</v>
      </c>
      <c r="E4521" s="18">
        <v>1450</v>
      </c>
      <c r="F4521" t="s">
        <v>889</v>
      </c>
      <c r="G4521" t="s">
        <v>4925</v>
      </c>
      <c r="H4521" s="18">
        <v>1450</v>
      </c>
      <c r="I4521" s="3">
        <v>41992</v>
      </c>
      <c r="J4521"/>
      <c r="L4521"/>
      <c r="M4521"/>
      <c r="N4521" s="20"/>
      <c r="O4521"/>
      <c r="P4521" s="20"/>
      <c r="Q4521" s="20"/>
      <c r="R4521" s="20"/>
      <c r="S4521" s="20"/>
      <c r="T4521" s="20"/>
    </row>
    <row r="4522" spans="1:20" x14ac:dyDescent="0.25">
      <c r="A4522" s="3">
        <v>41999</v>
      </c>
      <c r="B4522" s="36">
        <v>392</v>
      </c>
      <c r="C4522" t="s">
        <v>4916</v>
      </c>
      <c r="D4522">
        <v>7.14</v>
      </c>
      <c r="E4522" s="18">
        <v>428</v>
      </c>
      <c r="F4522" t="s">
        <v>889</v>
      </c>
      <c r="G4522" t="s">
        <v>4917</v>
      </c>
      <c r="H4522" s="18">
        <v>428</v>
      </c>
      <c r="I4522" s="3">
        <v>41999</v>
      </c>
      <c r="J4522"/>
      <c r="L4522"/>
      <c r="M4522"/>
      <c r="N4522" s="20"/>
      <c r="O4522" t="s">
        <v>959</v>
      </c>
      <c r="P4522" s="20"/>
      <c r="Q4522" s="20"/>
      <c r="R4522" s="20"/>
      <c r="S4522" s="20"/>
      <c r="T4522" s="20"/>
    </row>
    <row r="4523" spans="1:20" x14ac:dyDescent="0.25">
      <c r="A4523" s="3">
        <v>42004</v>
      </c>
      <c r="B4523" s="36">
        <v>392</v>
      </c>
      <c r="C4523" t="s">
        <v>4906</v>
      </c>
      <c r="D4523">
        <v>9.5</v>
      </c>
      <c r="E4523" s="18">
        <v>316.66666666666669</v>
      </c>
      <c r="F4523" t="s">
        <v>889</v>
      </c>
      <c r="G4523" t="s">
        <v>4907</v>
      </c>
      <c r="H4523" s="18">
        <v>316.66666666666669</v>
      </c>
      <c r="I4523" s="3">
        <v>42004</v>
      </c>
      <c r="J4523"/>
      <c r="L4523"/>
      <c r="M4523"/>
      <c r="N4523" s="20"/>
      <c r="O4523"/>
      <c r="P4523" s="20"/>
      <c r="Q4523" s="20"/>
      <c r="R4523" s="20"/>
      <c r="S4523" s="20"/>
      <c r="T4523" s="20"/>
    </row>
    <row r="4524" spans="1:20" x14ac:dyDescent="0.25">
      <c r="A4524" s="3">
        <v>42004</v>
      </c>
      <c r="B4524" s="36">
        <v>392</v>
      </c>
      <c r="C4524" t="s">
        <v>4894</v>
      </c>
      <c r="D4524">
        <v>13.75</v>
      </c>
      <c r="E4524" s="18">
        <v>458.33333333333331</v>
      </c>
      <c r="F4524" t="s">
        <v>889</v>
      </c>
      <c r="G4524" t="s">
        <v>4895</v>
      </c>
      <c r="H4524" s="18">
        <v>458.33333333333331</v>
      </c>
      <c r="I4524" s="3">
        <v>42004</v>
      </c>
      <c r="J4524"/>
      <c r="L4524"/>
      <c r="M4524"/>
      <c r="N4524" s="20"/>
      <c r="O4524"/>
      <c r="P4524" s="20"/>
      <c r="Q4524" s="20"/>
      <c r="R4524" s="20"/>
      <c r="S4524" s="20"/>
      <c r="T4524" s="20"/>
    </row>
    <row r="4525" spans="1:20" x14ac:dyDescent="0.25">
      <c r="A4525" s="3">
        <v>42004</v>
      </c>
      <c r="B4525" s="36">
        <v>392</v>
      </c>
      <c r="C4525" t="s">
        <v>4912</v>
      </c>
      <c r="D4525">
        <v>10.25</v>
      </c>
      <c r="E4525" s="18">
        <v>341.66666666666669</v>
      </c>
      <c r="F4525" t="s">
        <v>889</v>
      </c>
      <c r="G4525" t="s">
        <v>4913</v>
      </c>
      <c r="H4525" s="18">
        <v>341.66666666666669</v>
      </c>
      <c r="I4525" s="3">
        <v>42004</v>
      </c>
      <c r="J4525"/>
      <c r="L4525"/>
      <c r="M4525"/>
      <c r="N4525" s="20"/>
      <c r="O4525"/>
      <c r="P4525" s="20"/>
      <c r="Q4525" s="20"/>
      <c r="R4525" s="20"/>
      <c r="S4525" s="20"/>
      <c r="T4525" s="20"/>
    </row>
    <row r="4526" spans="1:20" x14ac:dyDescent="0.25">
      <c r="A4526" s="3">
        <v>42004</v>
      </c>
      <c r="B4526" s="36">
        <v>392</v>
      </c>
      <c r="C4526" t="s">
        <v>4902</v>
      </c>
      <c r="D4526">
        <v>10.5</v>
      </c>
      <c r="E4526" s="18">
        <v>350</v>
      </c>
      <c r="F4526" t="s">
        <v>889</v>
      </c>
      <c r="G4526" t="s">
        <v>4903</v>
      </c>
      <c r="H4526" s="18">
        <v>350</v>
      </c>
      <c r="I4526" s="3">
        <v>42004</v>
      </c>
      <c r="J4526"/>
      <c r="L4526"/>
      <c r="M4526"/>
      <c r="N4526" s="20"/>
      <c r="O4526"/>
      <c r="P4526" s="20"/>
      <c r="Q4526" s="20"/>
      <c r="R4526" s="20"/>
      <c r="S4526" s="20"/>
      <c r="T4526" s="20"/>
    </row>
    <row r="4527" spans="1:20" x14ac:dyDescent="0.25">
      <c r="A4527" s="3">
        <v>42013</v>
      </c>
      <c r="B4527" s="36">
        <v>392</v>
      </c>
      <c r="C4527" t="s">
        <v>4916</v>
      </c>
      <c r="D4527">
        <v>10</v>
      </c>
      <c r="E4527" s="18">
        <v>572</v>
      </c>
      <c r="F4527" t="s">
        <v>889</v>
      </c>
      <c r="G4527" t="s">
        <v>4917</v>
      </c>
      <c r="H4527" s="18">
        <v>572</v>
      </c>
      <c r="I4527" s="3">
        <v>42013</v>
      </c>
      <c r="J4527"/>
      <c r="L4527"/>
      <c r="M4527"/>
      <c r="N4527" s="20"/>
      <c r="O4527"/>
      <c r="P4527" s="20"/>
      <c r="Q4527" s="20"/>
      <c r="R4527" s="20"/>
      <c r="S4527" s="20"/>
      <c r="T4527" s="20"/>
    </row>
    <row r="4528" spans="1:20" x14ac:dyDescent="0.25">
      <c r="A4528" s="3">
        <v>42041</v>
      </c>
      <c r="B4528">
        <v>392</v>
      </c>
      <c r="C4528" t="s">
        <v>4906</v>
      </c>
      <c r="E4528" s="18">
        <v>316.66666666666669</v>
      </c>
      <c r="F4528" t="s">
        <v>889</v>
      </c>
      <c r="G4528" t="s">
        <v>4907</v>
      </c>
      <c r="I4528"/>
      <c r="J4528"/>
      <c r="L4528"/>
      <c r="M4528"/>
      <c r="O4528"/>
      <c r="P4528" s="20"/>
      <c r="Q4528" s="20"/>
      <c r="R4528" s="20"/>
      <c r="S4528" s="20"/>
      <c r="T4528" s="20"/>
    </row>
    <row r="4529" spans="1:21" x14ac:dyDescent="0.25">
      <c r="A4529" s="3">
        <v>42041</v>
      </c>
      <c r="B4529">
        <v>392</v>
      </c>
      <c r="C4529" t="s">
        <v>4894</v>
      </c>
      <c r="E4529" s="18">
        <v>458.33333333333331</v>
      </c>
      <c r="F4529" t="s">
        <v>889</v>
      </c>
      <c r="G4529" t="s">
        <v>4895</v>
      </c>
      <c r="I4529"/>
      <c r="J4529"/>
      <c r="L4529"/>
      <c r="M4529"/>
      <c r="O4529"/>
      <c r="P4529" s="20"/>
      <c r="Q4529" s="20"/>
      <c r="R4529" s="20"/>
      <c r="S4529" s="20"/>
      <c r="T4529" s="20"/>
    </row>
    <row r="4530" spans="1:21" x14ac:dyDescent="0.25">
      <c r="A4530" s="3">
        <v>42041</v>
      </c>
      <c r="B4530">
        <v>392</v>
      </c>
      <c r="C4530" t="s">
        <v>4912</v>
      </c>
      <c r="E4530" s="18">
        <v>341.66666666666669</v>
      </c>
      <c r="F4530" t="s">
        <v>889</v>
      </c>
      <c r="G4530" t="s">
        <v>4913</v>
      </c>
      <c r="I4530"/>
      <c r="J4530"/>
      <c r="L4530"/>
      <c r="M4530"/>
      <c r="O4530"/>
      <c r="P4530" s="20"/>
      <c r="Q4530" s="20"/>
      <c r="R4530" s="20"/>
      <c r="S4530" s="20"/>
      <c r="T4530" s="20"/>
    </row>
    <row r="4531" spans="1:21" x14ac:dyDescent="0.25">
      <c r="A4531" s="3">
        <v>42041</v>
      </c>
      <c r="B4531">
        <v>392</v>
      </c>
      <c r="C4531" t="s">
        <v>4902</v>
      </c>
      <c r="E4531" s="18">
        <v>350</v>
      </c>
      <c r="F4531" t="s">
        <v>889</v>
      </c>
      <c r="G4531" t="s">
        <v>4903</v>
      </c>
      <c r="I4531"/>
      <c r="J4531"/>
      <c r="L4531"/>
      <c r="M4531"/>
      <c r="O4531"/>
      <c r="P4531" s="20"/>
      <c r="Q4531" s="20"/>
      <c r="R4531" s="20"/>
      <c r="S4531" s="20"/>
      <c r="T4531" s="20"/>
    </row>
    <row r="4532" spans="1:21" x14ac:dyDescent="0.25">
      <c r="B4532">
        <v>392</v>
      </c>
      <c r="C4532" t="s">
        <v>4896</v>
      </c>
      <c r="D4532">
        <v>8.25</v>
      </c>
      <c r="E4532" s="18">
        <v>-825</v>
      </c>
      <c r="F4532" t="s">
        <v>889</v>
      </c>
      <c r="G4532" t="s">
        <v>4897</v>
      </c>
      <c r="I4532"/>
      <c r="J4532"/>
      <c r="L4532"/>
      <c r="M4532"/>
      <c r="O4532"/>
      <c r="P4532" s="20"/>
      <c r="Q4532" s="20"/>
      <c r="R4532" s="20"/>
      <c r="S4532" s="20"/>
      <c r="T4532" s="20"/>
      <c r="U4532" t="s">
        <v>401</v>
      </c>
    </row>
    <row r="4533" spans="1:21" x14ac:dyDescent="0.25">
      <c r="B4533">
        <v>392</v>
      </c>
      <c r="C4533" t="s">
        <v>4918</v>
      </c>
      <c r="D4533">
        <v>6</v>
      </c>
      <c r="E4533" s="18">
        <v>-600</v>
      </c>
      <c r="F4533" t="s">
        <v>889</v>
      </c>
      <c r="G4533" t="s">
        <v>4919</v>
      </c>
      <c r="I4533"/>
      <c r="J4533"/>
      <c r="L4533"/>
      <c r="M4533"/>
      <c r="O4533"/>
      <c r="P4533" s="20"/>
      <c r="Q4533" s="20"/>
      <c r="R4533" s="20"/>
      <c r="S4533" s="20"/>
      <c r="T4533" s="20"/>
      <c r="U4533" t="s">
        <v>401</v>
      </c>
    </row>
    <row r="4534" spans="1:21" x14ac:dyDescent="0.25">
      <c r="B4534">
        <v>392</v>
      </c>
      <c r="C4534" t="s">
        <v>4898</v>
      </c>
      <c r="D4534">
        <v>13</v>
      </c>
      <c r="E4534" s="18">
        <v>-1300</v>
      </c>
      <c r="F4534" t="s">
        <v>889</v>
      </c>
      <c r="G4534" t="s">
        <v>4899</v>
      </c>
      <c r="I4534"/>
      <c r="J4534"/>
      <c r="L4534"/>
      <c r="M4534"/>
      <c r="O4534"/>
      <c r="P4534" s="20"/>
      <c r="Q4534" s="20"/>
      <c r="R4534" s="20"/>
      <c r="S4534" s="20"/>
      <c r="T4534" s="20"/>
      <c r="U4534" t="s">
        <v>401</v>
      </c>
    </row>
    <row r="4535" spans="1:21" x14ac:dyDescent="0.25">
      <c r="A4535" s="3">
        <v>41873</v>
      </c>
      <c r="B4535" s="36">
        <v>395</v>
      </c>
      <c r="C4535" t="s">
        <v>4534</v>
      </c>
      <c r="E4535" s="18">
        <v>500</v>
      </c>
      <c r="F4535" t="s">
        <v>889</v>
      </c>
      <c r="G4535" t="s">
        <v>442</v>
      </c>
      <c r="H4535" s="18" t="s">
        <v>442</v>
      </c>
      <c r="I4535" s="3" t="s">
        <v>442</v>
      </c>
      <c r="J4535"/>
      <c r="L4535"/>
      <c r="M4535"/>
      <c r="N4535" s="20"/>
      <c r="O4535"/>
      <c r="P4535" s="20"/>
      <c r="Q4535" s="20"/>
      <c r="R4535" s="20"/>
      <c r="S4535" s="20"/>
      <c r="T4535" s="20" t="s">
        <v>401</v>
      </c>
    </row>
    <row r="4536" spans="1:21" x14ac:dyDescent="0.25">
      <c r="A4536" s="3">
        <v>41880</v>
      </c>
      <c r="B4536" s="36">
        <v>395</v>
      </c>
      <c r="C4536" t="s">
        <v>4926</v>
      </c>
      <c r="E4536" s="18">
        <v>500</v>
      </c>
      <c r="F4536" t="s">
        <v>889</v>
      </c>
      <c r="G4536" t="s">
        <v>442</v>
      </c>
      <c r="H4536" s="18" t="s">
        <v>442</v>
      </c>
      <c r="I4536" s="3" t="s">
        <v>442</v>
      </c>
      <c r="J4536"/>
      <c r="L4536"/>
      <c r="M4536"/>
      <c r="N4536" s="20"/>
      <c r="O4536"/>
      <c r="P4536" s="20"/>
      <c r="Q4536" s="20"/>
      <c r="R4536" s="20"/>
      <c r="S4536" s="20"/>
      <c r="T4536" s="20" t="s">
        <v>401</v>
      </c>
    </row>
    <row r="4537" spans="1:21" x14ac:dyDescent="0.25">
      <c r="B4537">
        <v>395</v>
      </c>
      <c r="C4537" t="s">
        <v>4534</v>
      </c>
      <c r="E4537" s="18">
        <v>-500</v>
      </c>
      <c r="F4537" t="s">
        <v>889</v>
      </c>
      <c r="G4537" t="s">
        <v>442</v>
      </c>
      <c r="I4537"/>
      <c r="J4537"/>
      <c r="L4537"/>
      <c r="M4537"/>
      <c r="O4537"/>
      <c r="P4537" s="20"/>
      <c r="Q4537" s="20"/>
      <c r="R4537" s="20"/>
      <c r="S4537" s="20"/>
      <c r="T4537" s="20"/>
      <c r="U4537" t="s">
        <v>401</v>
      </c>
    </row>
    <row r="4538" spans="1:21" x14ac:dyDescent="0.25">
      <c r="B4538">
        <v>395</v>
      </c>
      <c r="C4538" t="s">
        <v>4926</v>
      </c>
      <c r="E4538" s="18">
        <v>-500</v>
      </c>
      <c r="F4538" t="s">
        <v>889</v>
      </c>
      <c r="G4538" t="s">
        <v>442</v>
      </c>
      <c r="I4538"/>
      <c r="J4538"/>
      <c r="L4538"/>
      <c r="M4538"/>
      <c r="O4538"/>
      <c r="P4538" s="20"/>
      <c r="Q4538" s="20"/>
      <c r="R4538" s="20"/>
      <c r="S4538" s="20"/>
      <c r="T4538" s="20"/>
      <c r="U4538" t="s">
        <v>401</v>
      </c>
    </row>
    <row r="4539" spans="1:21" x14ac:dyDescent="0.25">
      <c r="A4539" s="3">
        <v>41831</v>
      </c>
      <c r="B4539" s="36">
        <v>396</v>
      </c>
      <c r="C4539" t="s">
        <v>4927</v>
      </c>
      <c r="D4539">
        <v>4.59</v>
      </c>
      <c r="E4539" s="18">
        <v>459</v>
      </c>
      <c r="G4539" t="s">
        <v>4928</v>
      </c>
      <c r="H4539" s="18">
        <v>459</v>
      </c>
      <c r="I4539" s="3">
        <v>41831</v>
      </c>
      <c r="J4539"/>
      <c r="L4539"/>
      <c r="M4539"/>
      <c r="N4539" s="20"/>
      <c r="O4539" t="s">
        <v>931</v>
      </c>
      <c r="P4539" s="20"/>
      <c r="Q4539" s="20"/>
      <c r="R4539" s="20"/>
      <c r="S4539" s="20"/>
      <c r="T4539" s="20"/>
    </row>
    <row r="4540" spans="1:21" x14ac:dyDescent="0.25">
      <c r="A4540" s="3">
        <v>41845</v>
      </c>
      <c r="B4540" s="36">
        <v>396</v>
      </c>
      <c r="C4540" t="s">
        <v>4929</v>
      </c>
      <c r="D4540">
        <v>16.065000000000001</v>
      </c>
      <c r="E4540" s="18">
        <v>1606.5000000000002</v>
      </c>
      <c r="G4540" t="s">
        <v>4930</v>
      </c>
      <c r="H4540" s="18">
        <v>1606.5000000000002</v>
      </c>
      <c r="I4540" s="3">
        <v>41845</v>
      </c>
      <c r="J4540"/>
      <c r="L4540"/>
      <c r="M4540"/>
      <c r="N4540" s="20"/>
      <c r="O4540" t="s">
        <v>931</v>
      </c>
      <c r="P4540" s="20"/>
      <c r="Q4540" s="20"/>
      <c r="R4540" s="20"/>
      <c r="S4540" s="20"/>
      <c r="T4540" s="20"/>
    </row>
    <row r="4541" spans="1:21" x14ac:dyDescent="0.25">
      <c r="A4541" s="3">
        <v>41845</v>
      </c>
      <c r="B4541" s="36">
        <v>396</v>
      </c>
      <c r="C4541" t="s">
        <v>2584</v>
      </c>
      <c r="D4541">
        <v>2</v>
      </c>
      <c r="E4541" s="18">
        <v>-200</v>
      </c>
      <c r="G4541" t="s">
        <v>442</v>
      </c>
      <c r="H4541" s="18" t="s">
        <v>442</v>
      </c>
      <c r="I4541" s="3" t="s">
        <v>442</v>
      </c>
      <c r="J4541"/>
      <c r="L4541"/>
      <c r="M4541"/>
      <c r="N4541" s="20"/>
      <c r="O4541"/>
      <c r="P4541" s="20"/>
      <c r="Q4541" s="20"/>
      <c r="R4541" s="20" t="s">
        <v>401</v>
      </c>
      <c r="S4541" s="20"/>
      <c r="T4541" s="20"/>
    </row>
    <row r="4542" spans="1:21" x14ac:dyDescent="0.25">
      <c r="A4542" s="3">
        <v>41845</v>
      </c>
      <c r="B4542" s="36">
        <v>396</v>
      </c>
      <c r="C4542" t="s">
        <v>1482</v>
      </c>
      <c r="E4542" s="18">
        <v>-100</v>
      </c>
      <c r="G4542" t="s">
        <v>442</v>
      </c>
      <c r="H4542" s="18" t="s">
        <v>442</v>
      </c>
      <c r="I4542" s="3" t="s">
        <v>442</v>
      </c>
      <c r="J4542"/>
      <c r="L4542"/>
      <c r="M4542"/>
      <c r="N4542" s="20"/>
      <c r="O4542" t="s">
        <v>1219</v>
      </c>
      <c r="P4542" s="20"/>
      <c r="Q4542" s="20" t="s">
        <v>401</v>
      </c>
      <c r="R4542" s="20"/>
      <c r="S4542" s="20"/>
      <c r="T4542" s="20"/>
    </row>
    <row r="4543" spans="1:21" x14ac:dyDescent="0.25">
      <c r="A4543" s="3">
        <v>41845</v>
      </c>
      <c r="B4543" s="36">
        <v>396</v>
      </c>
      <c r="C4543" t="s">
        <v>1483</v>
      </c>
      <c r="E4543" s="18">
        <v>-100</v>
      </c>
      <c r="G4543" t="s">
        <v>442</v>
      </c>
      <c r="H4543" s="18" t="s">
        <v>442</v>
      </c>
      <c r="I4543" s="3" t="s">
        <v>442</v>
      </c>
      <c r="J4543"/>
      <c r="L4543"/>
      <c r="M4543"/>
      <c r="N4543" s="20"/>
      <c r="O4543" t="s">
        <v>1228</v>
      </c>
      <c r="P4543" s="20"/>
      <c r="Q4543" s="20" t="s">
        <v>401</v>
      </c>
      <c r="R4543" s="20"/>
      <c r="S4543" s="20"/>
      <c r="T4543" s="20"/>
    </row>
    <row r="4544" spans="1:21" x14ac:dyDescent="0.25">
      <c r="A4544" s="3">
        <v>41845</v>
      </c>
      <c r="B4544" s="36">
        <v>396</v>
      </c>
      <c r="C4544" t="s">
        <v>1845</v>
      </c>
      <c r="E4544" s="18">
        <v>-100</v>
      </c>
      <c r="G4544" t="s">
        <v>442</v>
      </c>
      <c r="H4544" s="18" t="s">
        <v>442</v>
      </c>
      <c r="I4544" s="3" t="s">
        <v>442</v>
      </c>
      <c r="J4544"/>
      <c r="L4544"/>
      <c r="M4544"/>
      <c r="N4544" s="20"/>
      <c r="O4544" t="s">
        <v>1846</v>
      </c>
      <c r="P4544" s="20"/>
      <c r="Q4544" s="20" t="s">
        <v>401</v>
      </c>
      <c r="R4544" s="20"/>
      <c r="S4544" s="20"/>
      <c r="T4544" s="20"/>
    </row>
    <row r="4545" spans="1:21" x14ac:dyDescent="0.25">
      <c r="A4545" s="3">
        <v>41845</v>
      </c>
      <c r="B4545" s="36">
        <v>396</v>
      </c>
      <c r="C4545" t="s">
        <v>2769</v>
      </c>
      <c r="E4545" s="18">
        <v>-178.57142857142858</v>
      </c>
      <c r="G4545" t="s">
        <v>442</v>
      </c>
      <c r="H4545" s="18" t="s">
        <v>442</v>
      </c>
      <c r="I4545" s="3" t="s">
        <v>442</v>
      </c>
      <c r="J4545"/>
      <c r="L4545"/>
      <c r="M4545"/>
      <c r="N4545" s="20"/>
      <c r="O4545" t="s">
        <v>2770</v>
      </c>
      <c r="P4545" s="20"/>
      <c r="Q4545" s="20" t="s">
        <v>401</v>
      </c>
      <c r="R4545" s="20"/>
      <c r="S4545" s="20"/>
      <c r="T4545" s="20"/>
    </row>
    <row r="4546" spans="1:21" x14ac:dyDescent="0.25">
      <c r="A4546" s="3">
        <v>41845</v>
      </c>
      <c r="B4546" s="36">
        <v>396</v>
      </c>
      <c r="C4546" t="s">
        <v>1574</v>
      </c>
      <c r="E4546" s="18">
        <v>-100</v>
      </c>
      <c r="G4546" t="s">
        <v>442</v>
      </c>
      <c r="H4546" s="18" t="s">
        <v>442</v>
      </c>
      <c r="I4546" s="3" t="s">
        <v>442</v>
      </c>
      <c r="J4546"/>
      <c r="L4546"/>
      <c r="M4546"/>
      <c r="N4546" s="20"/>
      <c r="O4546" t="s">
        <v>1839</v>
      </c>
      <c r="P4546" s="20"/>
      <c r="Q4546" s="20" t="s">
        <v>401</v>
      </c>
      <c r="R4546" s="20"/>
      <c r="S4546" s="20"/>
      <c r="T4546" s="20"/>
    </row>
    <row r="4547" spans="1:21" x14ac:dyDescent="0.25">
      <c r="A4547" s="3">
        <v>41845</v>
      </c>
      <c r="B4547" s="36">
        <v>396</v>
      </c>
      <c r="C4547" t="s">
        <v>1575</v>
      </c>
      <c r="E4547" s="18">
        <v>-100</v>
      </c>
      <c r="G4547" t="s">
        <v>442</v>
      </c>
      <c r="H4547" s="18" t="s">
        <v>442</v>
      </c>
      <c r="I4547" s="3" t="s">
        <v>442</v>
      </c>
      <c r="J4547"/>
      <c r="L4547"/>
      <c r="M4547"/>
      <c r="N4547" s="20"/>
      <c r="O4547" t="s">
        <v>1851</v>
      </c>
      <c r="P4547" s="20"/>
      <c r="Q4547" s="20" t="s">
        <v>401</v>
      </c>
      <c r="R4547" s="20"/>
      <c r="S4547" s="20"/>
      <c r="T4547" s="20"/>
    </row>
    <row r="4548" spans="1:21" x14ac:dyDescent="0.25">
      <c r="A4548" s="3">
        <v>41851</v>
      </c>
      <c r="B4548" s="36">
        <v>396</v>
      </c>
      <c r="C4548" t="s">
        <v>4931</v>
      </c>
      <c r="D4548">
        <v>3.3149999999999999</v>
      </c>
      <c r="E4548" s="18">
        <v>331.5</v>
      </c>
      <c r="F4548" t="s">
        <v>889</v>
      </c>
      <c r="G4548" t="s">
        <v>4932</v>
      </c>
      <c r="H4548" s="18">
        <v>331.5</v>
      </c>
      <c r="I4548" s="3">
        <v>41851</v>
      </c>
      <c r="J4548"/>
      <c r="L4548"/>
      <c r="M4548"/>
      <c r="N4548" s="20"/>
      <c r="O4548" t="s">
        <v>931</v>
      </c>
      <c r="P4548" s="20"/>
      <c r="Q4548" s="20"/>
      <c r="R4548" s="20"/>
      <c r="S4548" s="20"/>
      <c r="T4548" s="20"/>
    </row>
    <row r="4549" spans="1:21" x14ac:dyDescent="0.25">
      <c r="A4549" s="3">
        <v>41851</v>
      </c>
      <c r="B4549" s="36">
        <v>396</v>
      </c>
      <c r="C4549" t="s">
        <v>1237</v>
      </c>
      <c r="E4549" s="18">
        <v>-100</v>
      </c>
      <c r="F4549" t="s">
        <v>1484</v>
      </c>
      <c r="G4549" t="s">
        <v>442</v>
      </c>
      <c r="H4549" s="18" t="s">
        <v>442</v>
      </c>
      <c r="I4549" s="3" t="s">
        <v>442</v>
      </c>
      <c r="J4549"/>
      <c r="L4549"/>
      <c r="M4549"/>
      <c r="N4549" s="20"/>
      <c r="O4549" t="s">
        <v>1238</v>
      </c>
      <c r="P4549" s="20"/>
      <c r="Q4549" s="20" t="s">
        <v>401</v>
      </c>
      <c r="R4549" s="20"/>
      <c r="S4549" s="20"/>
      <c r="T4549" s="20"/>
    </row>
    <row r="4550" spans="1:21" x14ac:dyDescent="0.25">
      <c r="B4550">
        <v>396</v>
      </c>
      <c r="C4550" t="s">
        <v>4929</v>
      </c>
      <c r="D4550">
        <v>16.065000000000001</v>
      </c>
      <c r="E4550" s="18">
        <v>-1606.5</v>
      </c>
      <c r="F4550" t="s">
        <v>889</v>
      </c>
      <c r="G4550" t="s">
        <v>4930</v>
      </c>
      <c r="I4550"/>
      <c r="J4550"/>
      <c r="L4550"/>
      <c r="M4550"/>
      <c r="O4550"/>
      <c r="P4550" s="20"/>
      <c r="Q4550" s="20"/>
      <c r="R4550" s="20"/>
      <c r="S4550" s="20"/>
      <c r="T4550" s="20"/>
      <c r="U4550" t="s">
        <v>401</v>
      </c>
    </row>
    <row r="4551" spans="1:21" x14ac:dyDescent="0.25">
      <c r="B4551">
        <v>396</v>
      </c>
      <c r="C4551" t="s">
        <v>4927</v>
      </c>
      <c r="D4551">
        <v>4.59</v>
      </c>
      <c r="E4551" s="18">
        <v>459</v>
      </c>
      <c r="G4551" t="s">
        <v>4928</v>
      </c>
      <c r="I4551"/>
      <c r="J4551"/>
      <c r="L4551"/>
      <c r="M4551"/>
      <c r="O4551"/>
      <c r="P4551" s="20"/>
      <c r="Q4551" s="20"/>
      <c r="R4551" s="20"/>
      <c r="S4551" s="20"/>
      <c r="T4551" s="20"/>
      <c r="U4551" t="s">
        <v>401</v>
      </c>
    </row>
    <row r="4552" spans="1:21" x14ac:dyDescent="0.25">
      <c r="A4552" s="3" t="s">
        <v>4192</v>
      </c>
      <c r="B4552" s="36">
        <v>397</v>
      </c>
      <c r="C4552" t="s">
        <v>4193</v>
      </c>
      <c r="E4552" s="18">
        <v>500</v>
      </c>
      <c r="G4552" t="s">
        <v>442</v>
      </c>
      <c r="H4552" s="18" t="s">
        <v>442</v>
      </c>
      <c r="I4552" s="3" t="s">
        <v>442</v>
      </c>
      <c r="J4552"/>
      <c r="L4552"/>
      <c r="M4552"/>
      <c r="N4552" s="20"/>
      <c r="O4552"/>
      <c r="P4552" s="20"/>
      <c r="Q4552" s="20"/>
      <c r="R4552" s="20"/>
      <c r="S4552" s="20"/>
      <c r="T4552" s="20" t="s">
        <v>401</v>
      </c>
    </row>
    <row r="4553" spans="1:21" x14ac:dyDescent="0.25">
      <c r="A4553" s="3" t="s">
        <v>4535</v>
      </c>
      <c r="B4553" s="36">
        <v>397</v>
      </c>
      <c r="C4553" t="s">
        <v>4536</v>
      </c>
      <c r="E4553" s="18">
        <v>500</v>
      </c>
      <c r="G4553" t="s">
        <v>442</v>
      </c>
      <c r="H4553" s="18" t="s">
        <v>442</v>
      </c>
      <c r="I4553" s="3" t="s">
        <v>442</v>
      </c>
      <c r="J4553"/>
      <c r="L4553"/>
      <c r="M4553"/>
      <c r="N4553" s="20"/>
      <c r="O4553"/>
      <c r="P4553" s="20"/>
      <c r="Q4553" s="20"/>
      <c r="R4553" s="20"/>
      <c r="S4553" s="20"/>
      <c r="T4553" s="20" t="s">
        <v>401</v>
      </c>
    </row>
    <row r="4554" spans="1:21" x14ac:dyDescent="0.25">
      <c r="A4554" s="3" t="s">
        <v>4196</v>
      </c>
      <c r="B4554" s="36">
        <v>397</v>
      </c>
      <c r="C4554" t="s">
        <v>4197</v>
      </c>
      <c r="E4554" s="18">
        <v>500</v>
      </c>
      <c r="G4554" t="s">
        <v>442</v>
      </c>
      <c r="H4554" s="18" t="s">
        <v>442</v>
      </c>
      <c r="I4554" s="3" t="s">
        <v>442</v>
      </c>
      <c r="J4554"/>
      <c r="L4554"/>
      <c r="M4554"/>
      <c r="N4554" s="20"/>
      <c r="O4554"/>
      <c r="P4554" s="20"/>
      <c r="Q4554" s="20"/>
      <c r="R4554" s="20"/>
      <c r="S4554" s="20"/>
      <c r="T4554" s="20" t="s">
        <v>401</v>
      </c>
    </row>
    <row r="4555" spans="1:21" x14ac:dyDescent="0.25">
      <c r="A4555" s="3" t="s">
        <v>4198</v>
      </c>
      <c r="B4555" s="36">
        <v>397</v>
      </c>
      <c r="C4555" t="s">
        <v>4199</v>
      </c>
      <c r="E4555" s="18">
        <v>500</v>
      </c>
      <c r="G4555" t="s">
        <v>442</v>
      </c>
      <c r="H4555" s="18" t="s">
        <v>442</v>
      </c>
      <c r="I4555" s="3" t="s">
        <v>442</v>
      </c>
      <c r="J4555"/>
      <c r="L4555"/>
      <c r="M4555"/>
      <c r="N4555" s="20"/>
      <c r="O4555"/>
      <c r="P4555" s="20"/>
      <c r="Q4555" s="20"/>
      <c r="R4555" s="20"/>
      <c r="S4555" s="20"/>
      <c r="T4555" s="20" t="s">
        <v>401</v>
      </c>
    </row>
    <row r="4556" spans="1:21" x14ac:dyDescent="0.25">
      <c r="A4556" s="3" t="s">
        <v>4200</v>
      </c>
      <c r="B4556" s="36">
        <v>397</v>
      </c>
      <c r="C4556" t="s">
        <v>4201</v>
      </c>
      <c r="E4556" s="18">
        <v>500</v>
      </c>
      <c r="G4556" t="s">
        <v>442</v>
      </c>
      <c r="H4556" s="18" t="s">
        <v>442</v>
      </c>
      <c r="I4556" s="3" t="s">
        <v>442</v>
      </c>
      <c r="J4556"/>
      <c r="L4556"/>
      <c r="M4556"/>
      <c r="N4556" s="20"/>
      <c r="O4556"/>
      <c r="P4556" s="20"/>
      <c r="Q4556" s="20"/>
      <c r="R4556" s="20"/>
      <c r="S4556" s="20"/>
      <c r="T4556" s="20" t="s">
        <v>401</v>
      </c>
    </row>
    <row r="4557" spans="1:21" x14ac:dyDescent="0.25">
      <c r="A4557" s="3" t="s">
        <v>4202</v>
      </c>
      <c r="B4557" s="36">
        <v>397</v>
      </c>
      <c r="C4557" t="s">
        <v>4203</v>
      </c>
      <c r="E4557" s="18">
        <v>500</v>
      </c>
      <c r="G4557" t="s">
        <v>442</v>
      </c>
      <c r="H4557" s="18" t="s">
        <v>442</v>
      </c>
      <c r="I4557" s="3" t="s">
        <v>442</v>
      </c>
      <c r="J4557"/>
      <c r="L4557"/>
      <c r="M4557"/>
      <c r="N4557" s="20"/>
      <c r="O4557"/>
      <c r="P4557" s="20"/>
      <c r="Q4557" s="20"/>
      <c r="R4557" s="20"/>
      <c r="S4557" s="20"/>
      <c r="T4557" s="20" t="s">
        <v>401</v>
      </c>
    </row>
    <row r="4558" spans="1:21" x14ac:dyDescent="0.25">
      <c r="A4558" s="3" t="s">
        <v>4204</v>
      </c>
      <c r="B4558" s="36">
        <v>397</v>
      </c>
      <c r="C4558" t="s">
        <v>4205</v>
      </c>
      <c r="E4558" s="18">
        <v>500</v>
      </c>
      <c r="G4558" t="s">
        <v>442</v>
      </c>
      <c r="H4558" s="18" t="s">
        <v>442</v>
      </c>
      <c r="I4558" s="3" t="s">
        <v>442</v>
      </c>
      <c r="J4558"/>
      <c r="L4558"/>
      <c r="M4558"/>
      <c r="N4558" s="20"/>
      <c r="O4558"/>
      <c r="P4558" s="20"/>
      <c r="Q4558" s="20"/>
      <c r="R4558" s="20"/>
      <c r="S4558" s="20"/>
      <c r="T4558" s="20" t="s">
        <v>401</v>
      </c>
    </row>
    <row r="4559" spans="1:21" x14ac:dyDescent="0.25">
      <c r="A4559" s="3" t="s">
        <v>4206</v>
      </c>
      <c r="B4559" s="36">
        <v>397</v>
      </c>
      <c r="C4559" t="s">
        <v>4207</v>
      </c>
      <c r="E4559" s="18">
        <v>500</v>
      </c>
      <c r="G4559" t="s">
        <v>442</v>
      </c>
      <c r="H4559" s="18" t="s">
        <v>442</v>
      </c>
      <c r="I4559" s="3" t="s">
        <v>442</v>
      </c>
      <c r="J4559"/>
      <c r="L4559"/>
      <c r="M4559"/>
      <c r="N4559" s="20"/>
      <c r="O4559"/>
      <c r="P4559" s="20"/>
      <c r="Q4559" s="20"/>
      <c r="R4559" s="20"/>
      <c r="S4559" s="20"/>
      <c r="T4559" s="20" t="s">
        <v>401</v>
      </c>
    </row>
    <row r="4560" spans="1:21" x14ac:dyDescent="0.25">
      <c r="A4560" s="3" t="s">
        <v>4210</v>
      </c>
      <c r="B4560" s="36">
        <v>397</v>
      </c>
      <c r="C4560" t="s">
        <v>4211</v>
      </c>
      <c r="E4560" s="18">
        <v>500</v>
      </c>
      <c r="G4560" t="s">
        <v>442</v>
      </c>
      <c r="H4560" s="18" t="s">
        <v>442</v>
      </c>
      <c r="I4560" s="3" t="s">
        <v>442</v>
      </c>
      <c r="J4560"/>
      <c r="L4560"/>
      <c r="M4560"/>
      <c r="N4560" s="20"/>
      <c r="O4560"/>
      <c r="P4560" s="20"/>
      <c r="Q4560" s="20"/>
      <c r="R4560" s="20"/>
      <c r="S4560" s="20"/>
      <c r="T4560" s="20" t="s">
        <v>401</v>
      </c>
    </row>
    <row r="4561" spans="1:21" x14ac:dyDescent="0.25">
      <c r="B4561">
        <v>397</v>
      </c>
      <c r="C4561" t="s">
        <v>4193</v>
      </c>
      <c r="E4561" s="18">
        <v>-500</v>
      </c>
      <c r="G4561" t="s">
        <v>442</v>
      </c>
      <c r="I4561"/>
      <c r="J4561"/>
      <c r="L4561"/>
      <c r="M4561"/>
      <c r="O4561"/>
      <c r="P4561" s="20"/>
      <c r="Q4561" s="20"/>
      <c r="R4561" s="20"/>
      <c r="S4561" s="20"/>
      <c r="T4561" s="20"/>
      <c r="U4561" t="s">
        <v>401</v>
      </c>
    </row>
    <row r="4562" spans="1:21" x14ac:dyDescent="0.25">
      <c r="B4562">
        <v>397</v>
      </c>
      <c r="C4562" t="s">
        <v>4536</v>
      </c>
      <c r="E4562" s="18">
        <v>-500</v>
      </c>
      <c r="G4562" t="s">
        <v>442</v>
      </c>
      <c r="I4562"/>
      <c r="J4562"/>
      <c r="L4562"/>
      <c r="M4562"/>
      <c r="O4562"/>
      <c r="P4562" s="20"/>
      <c r="Q4562" s="20"/>
      <c r="R4562" s="20"/>
      <c r="S4562" s="20"/>
      <c r="T4562" s="20"/>
      <c r="U4562" t="s">
        <v>401</v>
      </c>
    </row>
    <row r="4563" spans="1:21" x14ac:dyDescent="0.25">
      <c r="B4563">
        <v>397</v>
      </c>
      <c r="C4563" t="s">
        <v>4197</v>
      </c>
      <c r="E4563" s="18">
        <v>-500</v>
      </c>
      <c r="G4563" t="s">
        <v>442</v>
      </c>
      <c r="I4563"/>
      <c r="J4563"/>
      <c r="L4563"/>
      <c r="M4563"/>
      <c r="O4563"/>
      <c r="P4563" s="20"/>
      <c r="Q4563" s="20"/>
      <c r="R4563" s="20"/>
      <c r="S4563" s="20"/>
      <c r="T4563" s="20"/>
      <c r="U4563" t="s">
        <v>401</v>
      </c>
    </row>
    <row r="4564" spans="1:21" x14ac:dyDescent="0.25">
      <c r="B4564">
        <v>397</v>
      </c>
      <c r="C4564" t="s">
        <v>4199</v>
      </c>
      <c r="E4564" s="18">
        <v>-500</v>
      </c>
      <c r="G4564" t="s">
        <v>442</v>
      </c>
      <c r="I4564"/>
      <c r="J4564"/>
      <c r="L4564"/>
      <c r="M4564"/>
      <c r="O4564"/>
      <c r="P4564" s="20"/>
      <c r="Q4564" s="20"/>
      <c r="R4564" s="20"/>
      <c r="S4564" s="20"/>
      <c r="T4564" s="20"/>
      <c r="U4564" t="s">
        <v>401</v>
      </c>
    </row>
    <row r="4565" spans="1:21" x14ac:dyDescent="0.25">
      <c r="B4565">
        <v>397</v>
      </c>
      <c r="C4565" t="s">
        <v>4201</v>
      </c>
      <c r="E4565" s="18">
        <v>-500</v>
      </c>
      <c r="G4565" t="s">
        <v>442</v>
      </c>
      <c r="I4565"/>
      <c r="J4565"/>
      <c r="L4565"/>
      <c r="M4565"/>
      <c r="O4565"/>
      <c r="P4565" s="20"/>
      <c r="Q4565" s="20"/>
      <c r="R4565" s="20"/>
      <c r="S4565" s="20"/>
      <c r="T4565" s="20"/>
      <c r="U4565" t="s">
        <v>401</v>
      </c>
    </row>
    <row r="4566" spans="1:21" x14ac:dyDescent="0.25">
      <c r="B4566">
        <v>397</v>
      </c>
      <c r="C4566" t="s">
        <v>4203</v>
      </c>
      <c r="E4566" s="18">
        <v>-500</v>
      </c>
      <c r="G4566" t="s">
        <v>442</v>
      </c>
      <c r="I4566"/>
      <c r="J4566"/>
      <c r="L4566"/>
      <c r="M4566"/>
      <c r="O4566"/>
      <c r="P4566" s="20"/>
      <c r="Q4566" s="20"/>
      <c r="R4566" s="20"/>
      <c r="S4566" s="20"/>
      <c r="T4566" s="20"/>
      <c r="U4566" t="s">
        <v>401</v>
      </c>
    </row>
    <row r="4567" spans="1:21" x14ac:dyDescent="0.25">
      <c r="B4567">
        <v>397</v>
      </c>
      <c r="C4567" t="s">
        <v>4205</v>
      </c>
      <c r="E4567" s="18">
        <v>-500</v>
      </c>
      <c r="G4567" t="s">
        <v>442</v>
      </c>
      <c r="I4567"/>
      <c r="J4567"/>
      <c r="L4567"/>
      <c r="M4567"/>
      <c r="O4567"/>
      <c r="P4567" s="20"/>
      <c r="Q4567" s="20"/>
      <c r="R4567" s="20"/>
      <c r="S4567" s="20"/>
      <c r="T4567" s="20"/>
      <c r="U4567" t="s">
        <v>401</v>
      </c>
    </row>
    <row r="4568" spans="1:21" x14ac:dyDescent="0.25">
      <c r="B4568">
        <v>397</v>
      </c>
      <c r="C4568" t="s">
        <v>4207</v>
      </c>
      <c r="E4568" s="18">
        <v>-500</v>
      </c>
      <c r="G4568" t="s">
        <v>442</v>
      </c>
      <c r="I4568"/>
      <c r="J4568"/>
      <c r="L4568"/>
      <c r="M4568"/>
      <c r="O4568"/>
      <c r="P4568" s="20"/>
      <c r="Q4568" s="20"/>
      <c r="R4568" s="20"/>
      <c r="S4568" s="20"/>
      <c r="T4568" s="20"/>
      <c r="U4568" t="s">
        <v>401</v>
      </c>
    </row>
    <row r="4569" spans="1:21" x14ac:dyDescent="0.25">
      <c r="B4569">
        <v>397</v>
      </c>
      <c r="C4569" t="s">
        <v>4211</v>
      </c>
      <c r="E4569" s="18">
        <v>-500</v>
      </c>
      <c r="G4569" t="s">
        <v>442</v>
      </c>
      <c r="I4569"/>
      <c r="J4569"/>
      <c r="L4569"/>
      <c r="M4569"/>
      <c r="O4569"/>
      <c r="P4569" s="20"/>
      <c r="Q4569" s="20"/>
      <c r="R4569" s="20"/>
      <c r="S4569" s="20"/>
      <c r="T4569" s="20"/>
      <c r="U4569" t="s">
        <v>401</v>
      </c>
    </row>
    <row r="4570" spans="1:21" x14ac:dyDescent="0.25">
      <c r="B4570">
        <v>399</v>
      </c>
      <c r="C4570" t="s">
        <v>4933</v>
      </c>
      <c r="D4570">
        <v>10.5</v>
      </c>
      <c r="E4570" s="18">
        <v>1050</v>
      </c>
      <c r="F4570" t="s">
        <v>889</v>
      </c>
      <c r="G4570" t="s">
        <v>4934</v>
      </c>
      <c r="I4570"/>
      <c r="J4570"/>
      <c r="L4570"/>
      <c r="M4570"/>
      <c r="O4570"/>
      <c r="P4570" s="20"/>
      <c r="Q4570" s="20"/>
      <c r="R4570" s="20"/>
      <c r="S4570" s="20"/>
      <c r="T4570" s="20"/>
      <c r="U4570" t="s">
        <v>401</v>
      </c>
    </row>
    <row r="4571" spans="1:21" x14ac:dyDescent="0.25">
      <c r="B4571">
        <v>399</v>
      </c>
      <c r="C4571" t="s">
        <v>4935</v>
      </c>
      <c r="D4571">
        <v>4.25</v>
      </c>
      <c r="E4571" s="18">
        <v>425</v>
      </c>
      <c r="F4571" t="s">
        <v>889</v>
      </c>
      <c r="G4571" t="s">
        <v>4936</v>
      </c>
      <c r="I4571"/>
      <c r="J4571"/>
      <c r="L4571"/>
      <c r="M4571"/>
      <c r="O4571"/>
      <c r="P4571" s="20"/>
      <c r="Q4571" s="20"/>
      <c r="R4571" s="20"/>
      <c r="S4571" s="20"/>
      <c r="T4571" s="20"/>
      <c r="U4571" t="s">
        <v>401</v>
      </c>
    </row>
    <row r="4572" spans="1:21" x14ac:dyDescent="0.25">
      <c r="A4572" s="3">
        <v>41873</v>
      </c>
      <c r="B4572" s="36">
        <v>401</v>
      </c>
      <c r="C4572" t="s">
        <v>4937</v>
      </c>
      <c r="D4572">
        <v>11.75</v>
      </c>
      <c r="E4572" s="18">
        <v>1175</v>
      </c>
      <c r="F4572" t="s">
        <v>889</v>
      </c>
      <c r="G4572" t="s">
        <v>4938</v>
      </c>
      <c r="H4572" s="18">
        <v>1175</v>
      </c>
      <c r="I4572" s="3">
        <v>41873</v>
      </c>
      <c r="J4572"/>
      <c r="L4572"/>
      <c r="M4572"/>
      <c r="N4572" s="20"/>
      <c r="O4572"/>
      <c r="P4572" s="20"/>
      <c r="Q4572" s="20"/>
      <c r="R4572" s="20"/>
      <c r="S4572" s="20"/>
      <c r="T4572" s="20"/>
    </row>
    <row r="4573" spans="1:21" x14ac:dyDescent="0.25">
      <c r="A4573" s="3">
        <v>41886</v>
      </c>
      <c r="B4573" s="36">
        <v>401</v>
      </c>
      <c r="C4573" t="s">
        <v>4939</v>
      </c>
      <c r="D4573">
        <v>9</v>
      </c>
      <c r="E4573" s="18">
        <v>900</v>
      </c>
      <c r="F4573" t="s">
        <v>889</v>
      </c>
      <c r="G4573" t="s">
        <v>4940</v>
      </c>
      <c r="H4573" s="18">
        <v>900</v>
      </c>
      <c r="I4573" s="3">
        <v>41886</v>
      </c>
      <c r="J4573"/>
      <c r="L4573"/>
      <c r="M4573"/>
      <c r="N4573" s="20"/>
      <c r="O4573"/>
      <c r="P4573" s="20"/>
      <c r="Q4573" s="20"/>
      <c r="R4573" s="20"/>
      <c r="S4573" s="20"/>
      <c r="T4573" s="20"/>
    </row>
    <row r="4574" spans="1:21" x14ac:dyDescent="0.25">
      <c r="A4574" s="3">
        <v>41894</v>
      </c>
      <c r="B4574" s="36">
        <v>401</v>
      </c>
      <c r="C4574" t="s">
        <v>4941</v>
      </c>
      <c r="D4574">
        <v>9.5</v>
      </c>
      <c r="E4574" s="18">
        <v>950</v>
      </c>
      <c r="F4574" t="s">
        <v>889</v>
      </c>
      <c r="G4574" t="s">
        <v>4942</v>
      </c>
      <c r="H4574" s="18">
        <v>950</v>
      </c>
      <c r="I4574" s="3">
        <v>41894</v>
      </c>
      <c r="J4574"/>
      <c r="L4574"/>
      <c r="M4574"/>
      <c r="N4574" s="20"/>
      <c r="O4574"/>
      <c r="P4574" s="20"/>
      <c r="Q4574" s="20"/>
      <c r="R4574" s="20"/>
      <c r="S4574" s="20"/>
      <c r="T4574" s="20"/>
    </row>
    <row r="4575" spans="1:21" x14ac:dyDescent="0.25">
      <c r="A4575" s="3">
        <v>41901</v>
      </c>
      <c r="B4575" s="36">
        <v>401</v>
      </c>
      <c r="C4575" t="s">
        <v>4943</v>
      </c>
      <c r="D4575">
        <v>4.5</v>
      </c>
      <c r="E4575" s="18">
        <v>450</v>
      </c>
      <c r="F4575" t="s">
        <v>889</v>
      </c>
      <c r="G4575" t="s">
        <v>4944</v>
      </c>
      <c r="H4575" s="18">
        <v>450</v>
      </c>
      <c r="I4575" s="3">
        <v>41901</v>
      </c>
      <c r="J4575"/>
      <c r="L4575"/>
      <c r="M4575"/>
      <c r="N4575" s="20"/>
      <c r="O4575"/>
      <c r="P4575" s="20"/>
      <c r="Q4575" s="20"/>
      <c r="R4575" s="20"/>
      <c r="S4575" s="20"/>
      <c r="T4575" s="20"/>
    </row>
    <row r="4576" spans="1:21" x14ac:dyDescent="0.25">
      <c r="A4576" s="3">
        <v>41907</v>
      </c>
      <c r="B4576" s="36">
        <v>401</v>
      </c>
      <c r="C4576" t="s">
        <v>4945</v>
      </c>
      <c r="D4576">
        <v>9.5</v>
      </c>
      <c r="E4576" s="18">
        <v>950</v>
      </c>
      <c r="F4576" t="s">
        <v>889</v>
      </c>
      <c r="G4576" t="s">
        <v>4946</v>
      </c>
      <c r="H4576" s="18">
        <v>950</v>
      </c>
      <c r="I4576" s="3">
        <v>41907</v>
      </c>
      <c r="J4576"/>
      <c r="L4576"/>
      <c r="M4576"/>
      <c r="N4576" s="20"/>
      <c r="O4576"/>
      <c r="P4576" s="20"/>
      <c r="Q4576" s="20"/>
      <c r="R4576" s="20"/>
      <c r="S4576" s="20"/>
      <c r="T4576" s="20"/>
    </row>
    <row r="4577" spans="1:20" x14ac:dyDescent="0.25">
      <c r="A4577" s="3">
        <v>41907</v>
      </c>
      <c r="B4577" s="36">
        <v>401</v>
      </c>
      <c r="C4577" t="s">
        <v>4947</v>
      </c>
      <c r="D4577">
        <v>3.5</v>
      </c>
      <c r="E4577" s="18">
        <v>350</v>
      </c>
      <c r="F4577" t="s">
        <v>889</v>
      </c>
      <c r="G4577" t="s">
        <v>4948</v>
      </c>
      <c r="H4577" s="18">
        <v>350</v>
      </c>
      <c r="I4577" s="3">
        <v>41907</v>
      </c>
      <c r="J4577"/>
      <c r="L4577"/>
      <c r="M4577"/>
      <c r="N4577" s="20"/>
      <c r="O4577"/>
      <c r="P4577" s="20"/>
      <c r="Q4577" s="20"/>
      <c r="R4577" s="20"/>
      <c r="S4577" s="20"/>
      <c r="T4577" s="20"/>
    </row>
    <row r="4578" spans="1:20" x14ac:dyDescent="0.25">
      <c r="A4578" s="3">
        <v>41922</v>
      </c>
      <c r="B4578" s="36">
        <v>401</v>
      </c>
      <c r="C4578" t="s">
        <v>4949</v>
      </c>
      <c r="D4578">
        <v>2.75</v>
      </c>
      <c r="E4578" s="18">
        <v>275</v>
      </c>
      <c r="F4578" t="s">
        <v>889</v>
      </c>
      <c r="G4578" t="s">
        <v>4950</v>
      </c>
      <c r="H4578" s="18">
        <v>275</v>
      </c>
      <c r="I4578" s="3">
        <v>41922</v>
      </c>
      <c r="J4578"/>
      <c r="L4578"/>
      <c r="M4578"/>
      <c r="N4578" s="20"/>
      <c r="O4578"/>
      <c r="P4578" s="20"/>
      <c r="Q4578" s="20"/>
      <c r="R4578" s="20"/>
      <c r="S4578" s="20"/>
      <c r="T4578" s="20"/>
    </row>
    <row r="4579" spans="1:20" x14ac:dyDescent="0.25">
      <c r="A4579" s="3">
        <v>41926</v>
      </c>
      <c r="B4579" s="36">
        <v>401</v>
      </c>
      <c r="C4579" t="s">
        <v>4941</v>
      </c>
      <c r="D4579">
        <v>9.5</v>
      </c>
      <c r="E4579" s="18">
        <v>-950</v>
      </c>
      <c r="F4579" t="s">
        <v>889</v>
      </c>
      <c r="G4579" t="s">
        <v>4942</v>
      </c>
      <c r="H4579" s="18" t="s">
        <v>442</v>
      </c>
      <c r="I4579" s="3" t="s">
        <v>442</v>
      </c>
      <c r="J4579"/>
      <c r="L4579"/>
      <c r="M4579"/>
      <c r="N4579" s="20"/>
      <c r="O4579"/>
      <c r="P4579" s="20"/>
      <c r="Q4579" s="20"/>
      <c r="R4579" s="20"/>
      <c r="S4579" s="20"/>
      <c r="T4579" s="20"/>
    </row>
    <row r="4580" spans="1:20" x14ac:dyDescent="0.25">
      <c r="A4580" s="3">
        <v>41926</v>
      </c>
      <c r="B4580" s="36">
        <v>401</v>
      </c>
      <c r="C4580" t="s">
        <v>4941</v>
      </c>
      <c r="D4580">
        <v>9.5</v>
      </c>
      <c r="E4580" s="18">
        <v>950</v>
      </c>
      <c r="F4580" t="s">
        <v>889</v>
      </c>
      <c r="G4580" t="s">
        <v>4942</v>
      </c>
      <c r="H4580" s="18">
        <v>950</v>
      </c>
      <c r="I4580" s="3">
        <v>41926</v>
      </c>
      <c r="J4580"/>
      <c r="L4580"/>
      <c r="M4580"/>
      <c r="N4580" s="20"/>
      <c r="O4580"/>
      <c r="P4580" s="20"/>
      <c r="Q4580" s="20"/>
      <c r="R4580" s="20"/>
      <c r="S4580" s="20"/>
      <c r="T4580" s="20"/>
    </row>
    <row r="4581" spans="1:20" x14ac:dyDescent="0.25">
      <c r="A4581" s="3">
        <v>41926</v>
      </c>
      <c r="B4581" s="36">
        <v>401</v>
      </c>
      <c r="C4581" t="s">
        <v>4951</v>
      </c>
      <c r="D4581">
        <v>4.5</v>
      </c>
      <c r="E4581" s="18">
        <v>450</v>
      </c>
      <c r="F4581" t="s">
        <v>889</v>
      </c>
      <c r="G4581" t="s">
        <v>4952</v>
      </c>
      <c r="H4581" s="18">
        <v>450</v>
      </c>
      <c r="I4581" s="3">
        <v>41926</v>
      </c>
      <c r="J4581"/>
      <c r="L4581"/>
      <c r="M4581"/>
      <c r="N4581" s="20"/>
      <c r="O4581"/>
      <c r="P4581" s="20"/>
      <c r="Q4581" s="20"/>
      <c r="R4581" s="20"/>
      <c r="S4581" s="20"/>
      <c r="T4581" s="20"/>
    </row>
    <row r="4582" spans="1:20" x14ac:dyDescent="0.25">
      <c r="A4582" s="3">
        <v>41929</v>
      </c>
      <c r="B4582" s="36">
        <v>401</v>
      </c>
      <c r="C4582" t="s">
        <v>4953</v>
      </c>
      <c r="D4582">
        <v>7.25</v>
      </c>
      <c r="E4582" s="18">
        <v>725</v>
      </c>
      <c r="F4582" t="s">
        <v>889</v>
      </c>
      <c r="G4582" t="s">
        <v>4954</v>
      </c>
      <c r="H4582" s="18">
        <v>725</v>
      </c>
      <c r="I4582" s="3">
        <v>41929</v>
      </c>
      <c r="J4582"/>
      <c r="L4582"/>
      <c r="M4582"/>
      <c r="N4582" s="20"/>
      <c r="O4582"/>
      <c r="P4582" s="20"/>
      <c r="Q4582" s="20"/>
      <c r="R4582" s="20"/>
      <c r="S4582" s="20"/>
      <c r="T4582" s="20"/>
    </row>
    <row r="4583" spans="1:20" x14ac:dyDescent="0.25">
      <c r="A4583" s="3">
        <v>41929</v>
      </c>
      <c r="B4583" s="36">
        <v>401</v>
      </c>
      <c r="C4583" t="s">
        <v>960</v>
      </c>
      <c r="E4583" s="18">
        <v>108.75</v>
      </c>
      <c r="H4583" s="18" t="s">
        <v>442</v>
      </c>
      <c r="I4583" s="3" t="s">
        <v>442</v>
      </c>
      <c r="J4583"/>
      <c r="L4583"/>
      <c r="M4583"/>
      <c r="N4583" s="20" t="s">
        <v>401</v>
      </c>
      <c r="O4583"/>
      <c r="P4583" s="20"/>
      <c r="Q4583" s="20"/>
      <c r="R4583" s="20"/>
      <c r="S4583" s="20"/>
      <c r="T4583" s="20"/>
    </row>
    <row r="4584" spans="1:20" x14ac:dyDescent="0.25">
      <c r="A4584" s="3">
        <v>41936</v>
      </c>
      <c r="B4584" s="36">
        <v>401</v>
      </c>
      <c r="C4584" t="s">
        <v>4955</v>
      </c>
      <c r="D4584">
        <v>8.5</v>
      </c>
      <c r="E4584" s="18">
        <v>561</v>
      </c>
      <c r="F4584" t="s">
        <v>889</v>
      </c>
      <c r="G4584" t="s">
        <v>4956</v>
      </c>
      <c r="H4584" s="18">
        <v>561</v>
      </c>
      <c r="I4584" s="3">
        <v>41936</v>
      </c>
      <c r="J4584"/>
      <c r="L4584"/>
      <c r="M4584"/>
      <c r="N4584" s="20"/>
      <c r="O4584"/>
      <c r="P4584" s="20"/>
      <c r="Q4584" s="20"/>
      <c r="R4584" s="20"/>
      <c r="S4584" s="20"/>
      <c r="T4584" s="20"/>
    </row>
    <row r="4585" spans="1:20" x14ac:dyDescent="0.25">
      <c r="A4585" s="3">
        <v>41964</v>
      </c>
      <c r="B4585" s="36">
        <v>401</v>
      </c>
      <c r="C4585" t="s">
        <v>4957</v>
      </c>
      <c r="D4585">
        <v>10.5</v>
      </c>
      <c r="E4585" s="18">
        <v>1050</v>
      </c>
      <c r="F4585" t="s">
        <v>889</v>
      </c>
      <c r="G4585" t="s">
        <v>4958</v>
      </c>
      <c r="H4585" s="18">
        <v>1050</v>
      </c>
      <c r="I4585" s="3">
        <v>41964</v>
      </c>
      <c r="J4585"/>
      <c r="L4585"/>
      <c r="M4585"/>
      <c r="N4585" s="20"/>
      <c r="O4585"/>
      <c r="P4585" s="20"/>
      <c r="Q4585" s="20"/>
      <c r="R4585" s="20"/>
      <c r="S4585" s="20"/>
      <c r="T4585" s="20"/>
    </row>
    <row r="4586" spans="1:20" x14ac:dyDescent="0.25">
      <c r="A4586" s="3">
        <v>41964</v>
      </c>
      <c r="B4586" s="36">
        <v>401</v>
      </c>
      <c r="C4586" t="s">
        <v>4955</v>
      </c>
      <c r="D4586">
        <v>4.08</v>
      </c>
      <c r="E4586" s="18">
        <v>-561</v>
      </c>
      <c r="F4586" t="s">
        <v>889</v>
      </c>
      <c r="G4586" t="s">
        <v>4956</v>
      </c>
      <c r="H4586" s="18" t="s">
        <v>442</v>
      </c>
      <c r="I4586" s="3" t="s">
        <v>442</v>
      </c>
      <c r="J4586"/>
      <c r="L4586"/>
      <c r="M4586"/>
      <c r="N4586" s="20"/>
      <c r="O4586"/>
      <c r="P4586" s="20"/>
      <c r="Q4586" s="20"/>
      <c r="R4586" s="20"/>
      <c r="S4586" s="20"/>
      <c r="T4586" s="20"/>
    </row>
    <row r="4587" spans="1:20" x14ac:dyDescent="0.25">
      <c r="A4587" s="3">
        <v>41964</v>
      </c>
      <c r="B4587" s="36">
        <v>401</v>
      </c>
      <c r="C4587" t="s">
        <v>963</v>
      </c>
      <c r="E4587" s="18">
        <v>93.074999999999989</v>
      </c>
      <c r="F4587" t="s">
        <v>889</v>
      </c>
      <c r="G4587" t="s">
        <v>442</v>
      </c>
      <c r="H4587" s="18" t="s">
        <v>442</v>
      </c>
      <c r="I4587" s="3" t="s">
        <v>442</v>
      </c>
      <c r="J4587"/>
      <c r="L4587"/>
      <c r="M4587"/>
      <c r="N4587" s="40" t="s">
        <v>401</v>
      </c>
      <c r="O4587"/>
      <c r="P4587" s="20"/>
      <c r="Q4587" s="20"/>
      <c r="R4587" s="20"/>
      <c r="S4587" s="20"/>
      <c r="T4587" s="20"/>
    </row>
    <row r="4588" spans="1:20" x14ac:dyDescent="0.25">
      <c r="A4588" s="3">
        <v>41964</v>
      </c>
      <c r="B4588" s="36">
        <v>401</v>
      </c>
      <c r="C4588" t="s">
        <v>4947</v>
      </c>
      <c r="D4588">
        <v>3.5</v>
      </c>
      <c r="E4588" s="18">
        <v>-350</v>
      </c>
      <c r="F4588" t="s">
        <v>889</v>
      </c>
      <c r="G4588" t="s">
        <v>4948</v>
      </c>
      <c r="H4588" s="18" t="s">
        <v>442</v>
      </c>
      <c r="I4588" s="3" t="s">
        <v>442</v>
      </c>
      <c r="J4588"/>
      <c r="L4588"/>
      <c r="M4588"/>
      <c r="N4588" s="20"/>
      <c r="O4588"/>
      <c r="P4588" s="20"/>
      <c r="Q4588" s="20"/>
      <c r="R4588" s="20"/>
      <c r="S4588" s="20"/>
      <c r="T4588" s="20"/>
    </row>
    <row r="4589" spans="1:20" x14ac:dyDescent="0.25">
      <c r="A4589" s="3">
        <v>41995</v>
      </c>
      <c r="B4589" s="36">
        <v>401</v>
      </c>
      <c r="C4589" t="s">
        <v>967</v>
      </c>
      <c r="E4589" s="18">
        <v>78.174999999999983</v>
      </c>
      <c r="F4589" t="s">
        <v>889</v>
      </c>
      <c r="G4589" t="s">
        <v>442</v>
      </c>
      <c r="H4589" s="18" t="s">
        <v>442</v>
      </c>
      <c r="I4589" s="3" t="s">
        <v>442</v>
      </c>
      <c r="J4589"/>
      <c r="L4589"/>
      <c r="M4589"/>
      <c r="N4589" s="40" t="s">
        <v>401</v>
      </c>
      <c r="O4589"/>
      <c r="P4589" s="20"/>
      <c r="Q4589" s="20"/>
      <c r="R4589" s="20"/>
      <c r="S4589" s="20"/>
      <c r="T4589" s="20"/>
    </row>
    <row r="4590" spans="1:20" x14ac:dyDescent="0.25">
      <c r="A4590" s="3">
        <v>42013</v>
      </c>
      <c r="B4590" s="36">
        <v>401</v>
      </c>
      <c r="C4590" t="s">
        <v>4953</v>
      </c>
      <c r="D4590">
        <v>7.25</v>
      </c>
      <c r="E4590" s="18">
        <v>-725</v>
      </c>
      <c r="F4590" t="s">
        <v>889</v>
      </c>
      <c r="G4590" t="s">
        <v>4954</v>
      </c>
      <c r="H4590" s="18" t="s">
        <v>442</v>
      </c>
      <c r="I4590" s="3" t="s">
        <v>442</v>
      </c>
      <c r="J4590"/>
      <c r="L4590"/>
      <c r="M4590"/>
      <c r="N4590" s="20"/>
      <c r="O4590"/>
      <c r="P4590" s="20"/>
      <c r="Q4590" s="20"/>
      <c r="R4590" s="20"/>
      <c r="S4590" s="20"/>
      <c r="T4590" s="20"/>
    </row>
    <row r="4591" spans="1:20" x14ac:dyDescent="0.25">
      <c r="A4591" s="3">
        <v>42013</v>
      </c>
      <c r="B4591" s="36">
        <v>401</v>
      </c>
      <c r="C4591" t="s">
        <v>4941</v>
      </c>
      <c r="D4591">
        <v>9.5</v>
      </c>
      <c r="E4591" s="18">
        <v>950</v>
      </c>
      <c r="F4591" t="s">
        <v>889</v>
      </c>
      <c r="G4591" t="s">
        <v>4942</v>
      </c>
      <c r="H4591" s="18">
        <v>950</v>
      </c>
      <c r="I4591" s="3">
        <v>42013</v>
      </c>
      <c r="J4591"/>
      <c r="L4591"/>
      <c r="M4591"/>
      <c r="N4591" s="20"/>
      <c r="O4591"/>
      <c r="P4591" s="20"/>
      <c r="Q4591" s="20"/>
      <c r="R4591" s="20"/>
      <c r="S4591" s="20"/>
      <c r="T4591" s="20"/>
    </row>
    <row r="4592" spans="1:20" x14ac:dyDescent="0.25">
      <c r="A4592" s="3">
        <v>42013</v>
      </c>
      <c r="B4592" s="36">
        <v>401</v>
      </c>
      <c r="C4592" t="s">
        <v>4951</v>
      </c>
      <c r="D4592">
        <v>4.5</v>
      </c>
      <c r="E4592" s="18">
        <v>450</v>
      </c>
      <c r="F4592" t="s">
        <v>889</v>
      </c>
      <c r="G4592" t="s">
        <v>4952</v>
      </c>
      <c r="H4592" s="18">
        <v>450</v>
      </c>
      <c r="I4592" s="3">
        <v>42013</v>
      </c>
      <c r="J4592"/>
      <c r="L4592"/>
      <c r="M4592"/>
      <c r="N4592" s="20"/>
      <c r="O4592"/>
      <c r="P4592" s="20"/>
      <c r="Q4592" s="20"/>
      <c r="R4592" s="20"/>
      <c r="S4592" s="20"/>
      <c r="T4592" s="20"/>
    </row>
    <row r="4593" spans="1:20" x14ac:dyDescent="0.25">
      <c r="A4593" s="3">
        <v>42019</v>
      </c>
      <c r="B4593" s="36">
        <v>401</v>
      </c>
      <c r="C4593" t="s">
        <v>969</v>
      </c>
      <c r="D4593" s="55"/>
      <c r="E4593" s="18">
        <v>145.875</v>
      </c>
      <c r="F4593" t="s">
        <v>889</v>
      </c>
      <c r="H4593" s="18" t="s">
        <v>442</v>
      </c>
      <c r="I4593" s="3" t="s">
        <v>442</v>
      </c>
      <c r="J4593"/>
      <c r="L4593"/>
      <c r="M4593"/>
      <c r="N4593" s="40" t="s">
        <v>401</v>
      </c>
      <c r="O4593"/>
      <c r="P4593" s="20"/>
      <c r="Q4593" s="20"/>
      <c r="R4593" s="20"/>
      <c r="S4593" s="20"/>
      <c r="T4593" s="20"/>
    </row>
    <row r="4594" spans="1:20" x14ac:dyDescent="0.25">
      <c r="A4594" s="21">
        <v>41894</v>
      </c>
      <c r="B4594" s="36">
        <v>403</v>
      </c>
      <c r="C4594" s="20" t="s">
        <v>4959</v>
      </c>
      <c r="D4594" s="20"/>
      <c r="E4594" s="59">
        <v>330.01</v>
      </c>
      <c r="F4594" s="20" t="s">
        <v>891</v>
      </c>
      <c r="H4594" s="18" t="s">
        <v>442</v>
      </c>
      <c r="I4594" s="3" t="s">
        <v>442</v>
      </c>
      <c r="J4594"/>
      <c r="L4594"/>
      <c r="M4594"/>
      <c r="N4594" s="20"/>
      <c r="O4594" s="20"/>
      <c r="P4594" s="20" t="s">
        <v>401</v>
      </c>
      <c r="Q4594" s="20"/>
      <c r="R4594" s="20"/>
      <c r="S4594" s="20"/>
      <c r="T4594" s="20"/>
    </row>
    <row r="4595" spans="1:20" x14ac:dyDescent="0.25">
      <c r="A4595" s="21">
        <v>41933</v>
      </c>
      <c r="B4595" s="36">
        <v>403</v>
      </c>
      <c r="C4595" s="20" t="s">
        <v>4960</v>
      </c>
      <c r="D4595" s="20">
        <v>5</v>
      </c>
      <c r="E4595" s="59">
        <v>509.99999999999994</v>
      </c>
      <c r="F4595" s="20" t="s">
        <v>889</v>
      </c>
      <c r="G4595" t="s">
        <v>4961</v>
      </c>
      <c r="H4595" s="18">
        <v>509.99999999999994</v>
      </c>
      <c r="I4595" s="3">
        <v>41933</v>
      </c>
      <c r="J4595"/>
      <c r="L4595"/>
      <c r="M4595"/>
      <c r="N4595" s="20"/>
      <c r="O4595" s="20"/>
      <c r="P4595" s="20"/>
      <c r="Q4595" s="20"/>
      <c r="R4595" s="20"/>
      <c r="S4595" s="20"/>
      <c r="T4595" s="20"/>
    </row>
    <row r="4596" spans="1:20" x14ac:dyDescent="0.25">
      <c r="A4596" s="21">
        <v>41933</v>
      </c>
      <c r="B4596" s="36">
        <v>403</v>
      </c>
      <c r="C4596" s="20" t="s">
        <v>4962</v>
      </c>
      <c r="D4596" s="20">
        <v>5.5</v>
      </c>
      <c r="E4596" s="59">
        <v>612</v>
      </c>
      <c r="F4596" s="20" t="s">
        <v>889</v>
      </c>
      <c r="G4596" t="s">
        <v>4963</v>
      </c>
      <c r="H4596" s="18">
        <v>612</v>
      </c>
      <c r="I4596" s="3">
        <v>41933</v>
      </c>
      <c r="J4596"/>
      <c r="L4596"/>
      <c r="M4596"/>
      <c r="N4596" s="20"/>
      <c r="O4596" s="20"/>
      <c r="P4596" s="20"/>
      <c r="Q4596" s="20"/>
      <c r="R4596" s="20"/>
      <c r="S4596" s="20"/>
      <c r="T4596" s="20"/>
    </row>
    <row r="4597" spans="1:20" x14ac:dyDescent="0.25">
      <c r="A4597" s="21">
        <v>41933</v>
      </c>
      <c r="B4597" s="36">
        <v>403</v>
      </c>
      <c r="C4597" s="20" t="s">
        <v>4959</v>
      </c>
      <c r="D4597" s="20"/>
      <c r="E4597" s="59">
        <v>330.01</v>
      </c>
      <c r="F4597" s="20" t="s">
        <v>889</v>
      </c>
      <c r="H4597" s="18" t="s">
        <v>442</v>
      </c>
      <c r="I4597" s="3" t="s">
        <v>442</v>
      </c>
      <c r="J4597"/>
      <c r="L4597"/>
      <c r="M4597"/>
      <c r="N4597" s="20"/>
      <c r="O4597" s="20"/>
      <c r="P4597" s="20" t="s">
        <v>401</v>
      </c>
      <c r="Q4597" s="20"/>
      <c r="R4597" s="20"/>
      <c r="S4597" s="20"/>
      <c r="T4597" s="20"/>
    </row>
    <row r="4598" spans="1:20" x14ac:dyDescent="0.25">
      <c r="A4598" s="21">
        <v>41933</v>
      </c>
      <c r="B4598" s="36">
        <v>403</v>
      </c>
      <c r="C4598" s="20" t="s">
        <v>1509</v>
      </c>
      <c r="D4598" s="20"/>
      <c r="E4598" s="59">
        <v>-294.52981720000002</v>
      </c>
      <c r="F4598" s="20" t="s">
        <v>891</v>
      </c>
      <c r="G4598" t="s">
        <v>442</v>
      </c>
      <c r="H4598" s="18" t="s">
        <v>442</v>
      </c>
      <c r="I4598" s="3" t="s">
        <v>442</v>
      </c>
      <c r="J4598"/>
      <c r="L4598"/>
      <c r="M4598"/>
      <c r="N4598" s="20"/>
      <c r="O4598" s="20"/>
      <c r="P4598" s="20"/>
      <c r="Q4598" s="20" t="s">
        <v>401</v>
      </c>
      <c r="R4598" s="20"/>
      <c r="S4598" s="20"/>
      <c r="T4598" s="20"/>
    </row>
    <row r="4599" spans="1:20" x14ac:dyDescent="0.25">
      <c r="A4599" s="21">
        <v>41933</v>
      </c>
      <c r="B4599" s="36">
        <v>403</v>
      </c>
      <c r="C4599" s="20" t="s">
        <v>1521</v>
      </c>
      <c r="D4599" s="20"/>
      <c r="E4599" s="59">
        <v>294.52981720000002</v>
      </c>
      <c r="F4599" s="20" t="s">
        <v>891</v>
      </c>
      <c r="G4599" t="s">
        <v>442</v>
      </c>
      <c r="H4599" s="18" t="s">
        <v>442</v>
      </c>
      <c r="I4599" s="3" t="s">
        <v>442</v>
      </c>
      <c r="J4599"/>
      <c r="L4599"/>
      <c r="M4599"/>
      <c r="N4599" s="20"/>
      <c r="O4599" s="20"/>
      <c r="P4599" s="20"/>
      <c r="Q4599" s="20" t="s">
        <v>401</v>
      </c>
      <c r="R4599" s="20"/>
      <c r="S4599" s="20"/>
      <c r="T4599" s="20"/>
    </row>
    <row r="4600" spans="1:20" x14ac:dyDescent="0.25">
      <c r="A4600" s="21">
        <v>41933</v>
      </c>
      <c r="B4600" s="36">
        <v>403</v>
      </c>
      <c r="C4600" s="20" t="s">
        <v>4661</v>
      </c>
      <c r="D4600" s="20"/>
      <c r="E4600" s="59">
        <v>-736.32454299999995</v>
      </c>
      <c r="F4600" s="20" t="s">
        <v>891</v>
      </c>
      <c r="G4600" t="s">
        <v>442</v>
      </c>
      <c r="H4600" s="18" t="s">
        <v>442</v>
      </c>
      <c r="I4600" s="3" t="s">
        <v>442</v>
      </c>
      <c r="J4600"/>
      <c r="L4600"/>
      <c r="M4600"/>
      <c r="N4600" s="20"/>
      <c r="O4600" s="20"/>
      <c r="P4600" s="20"/>
      <c r="Q4600" s="20" t="s">
        <v>401</v>
      </c>
      <c r="R4600" s="20"/>
      <c r="S4600" s="20"/>
      <c r="T4600" s="20"/>
    </row>
    <row r="4601" spans="1:20" x14ac:dyDescent="0.25">
      <c r="A4601" s="21">
        <v>41933</v>
      </c>
      <c r="B4601" s="36">
        <v>403</v>
      </c>
      <c r="C4601" s="20" t="s">
        <v>4964</v>
      </c>
      <c r="D4601" s="20"/>
      <c r="E4601" s="59">
        <v>710.0200000000001</v>
      </c>
      <c r="F4601" s="20" t="s">
        <v>891</v>
      </c>
      <c r="G4601" t="s">
        <v>442</v>
      </c>
      <c r="H4601" s="18" t="s">
        <v>442</v>
      </c>
      <c r="I4601" s="3" t="s">
        <v>442</v>
      </c>
      <c r="J4601"/>
      <c r="L4601"/>
      <c r="M4601"/>
      <c r="N4601" s="20"/>
      <c r="O4601" s="20"/>
      <c r="P4601" s="20"/>
      <c r="Q4601" s="20" t="s">
        <v>401</v>
      </c>
      <c r="R4601" s="20"/>
      <c r="S4601" s="20"/>
      <c r="T4601" s="20"/>
    </row>
    <row r="4602" spans="1:20" x14ac:dyDescent="0.25">
      <c r="A4602" s="21">
        <v>41933</v>
      </c>
      <c r="B4602" s="36">
        <v>403</v>
      </c>
      <c r="C4602" s="20" t="s">
        <v>1282</v>
      </c>
      <c r="D4602" s="20"/>
      <c r="E4602" s="59">
        <v>-174.14</v>
      </c>
      <c r="F4602" s="20" t="s">
        <v>891</v>
      </c>
      <c r="G4602" t="s">
        <v>442</v>
      </c>
      <c r="H4602" s="18" t="s">
        <v>442</v>
      </c>
      <c r="I4602" s="3" t="s">
        <v>442</v>
      </c>
      <c r="J4602"/>
      <c r="L4602"/>
      <c r="M4602"/>
      <c r="N4602" s="20"/>
      <c r="O4602" s="20"/>
      <c r="P4602" s="20"/>
      <c r="Q4602" s="20" t="s">
        <v>401</v>
      </c>
      <c r="R4602" s="20"/>
      <c r="S4602" s="20"/>
      <c r="T4602" s="20"/>
    </row>
    <row r="4603" spans="1:20" x14ac:dyDescent="0.25">
      <c r="A4603" s="21">
        <v>41933</v>
      </c>
      <c r="B4603" s="36">
        <v>403</v>
      </c>
      <c r="C4603" s="20" t="s">
        <v>1110</v>
      </c>
      <c r="D4603" s="20"/>
      <c r="E4603" s="59">
        <v>-176.5551667</v>
      </c>
      <c r="F4603" s="20" t="s">
        <v>891</v>
      </c>
      <c r="G4603" t="s">
        <v>442</v>
      </c>
      <c r="H4603" s="18" t="s">
        <v>442</v>
      </c>
      <c r="I4603" s="3" t="s">
        <v>442</v>
      </c>
      <c r="J4603"/>
      <c r="L4603"/>
      <c r="M4603"/>
      <c r="N4603" s="20"/>
      <c r="O4603" s="20"/>
      <c r="P4603" s="20"/>
      <c r="Q4603" s="20" t="s">
        <v>401</v>
      </c>
      <c r="R4603" s="20"/>
      <c r="S4603" s="20"/>
      <c r="T4603" s="20"/>
    </row>
    <row r="4604" spans="1:20" x14ac:dyDescent="0.25">
      <c r="A4604" s="21">
        <v>41933</v>
      </c>
      <c r="B4604" s="36">
        <v>403</v>
      </c>
      <c r="C4604" s="20" t="s">
        <v>4965</v>
      </c>
      <c r="D4604" s="20"/>
      <c r="E4604" s="59">
        <v>176.5551667</v>
      </c>
      <c r="F4604" s="20" t="s">
        <v>891</v>
      </c>
      <c r="G4604" t="s">
        <v>442</v>
      </c>
      <c r="H4604" s="18" t="s">
        <v>442</v>
      </c>
      <c r="I4604" s="3" t="s">
        <v>442</v>
      </c>
      <c r="J4604"/>
      <c r="L4604"/>
      <c r="M4604"/>
      <c r="N4604" s="20"/>
      <c r="O4604" s="20"/>
      <c r="P4604" s="20"/>
      <c r="Q4604" s="20" t="s">
        <v>401</v>
      </c>
      <c r="R4604" s="20"/>
      <c r="S4604" s="20"/>
      <c r="T4604" s="20"/>
    </row>
    <row r="4605" spans="1:20" x14ac:dyDescent="0.25">
      <c r="A4605" s="21">
        <v>41933</v>
      </c>
      <c r="B4605" s="36">
        <v>403</v>
      </c>
      <c r="C4605" s="20" t="s">
        <v>1117</v>
      </c>
      <c r="D4605" s="20"/>
      <c r="E4605" s="59">
        <v>-176.5551667</v>
      </c>
      <c r="F4605" s="20" t="s">
        <v>891</v>
      </c>
      <c r="G4605" t="s">
        <v>442</v>
      </c>
      <c r="H4605" s="18" t="s">
        <v>442</v>
      </c>
      <c r="I4605" s="3" t="s">
        <v>442</v>
      </c>
      <c r="J4605"/>
      <c r="L4605"/>
      <c r="M4605"/>
      <c r="N4605" s="20"/>
      <c r="O4605" s="20"/>
      <c r="P4605" s="20"/>
      <c r="Q4605" s="20" t="s">
        <v>401</v>
      </c>
      <c r="R4605" s="20"/>
      <c r="S4605" s="20"/>
      <c r="T4605" s="20"/>
    </row>
    <row r="4606" spans="1:20" x14ac:dyDescent="0.25">
      <c r="A4606" s="21">
        <v>41933</v>
      </c>
      <c r="B4606" s="36">
        <v>403</v>
      </c>
      <c r="C4606" s="20" t="s">
        <v>4434</v>
      </c>
      <c r="D4606" s="20"/>
      <c r="E4606" s="59">
        <v>176.5551667</v>
      </c>
      <c r="F4606" s="20" t="s">
        <v>891</v>
      </c>
      <c r="G4606" t="s">
        <v>442</v>
      </c>
      <c r="H4606" s="18" t="s">
        <v>442</v>
      </c>
      <c r="I4606" s="3" t="s">
        <v>442</v>
      </c>
      <c r="J4606"/>
      <c r="L4606"/>
      <c r="M4606"/>
      <c r="N4606" s="20"/>
      <c r="O4606" s="20"/>
      <c r="P4606" s="20"/>
      <c r="Q4606" s="20" t="s">
        <v>401</v>
      </c>
      <c r="R4606" s="20"/>
      <c r="S4606" s="20"/>
      <c r="T4606" s="20"/>
    </row>
    <row r="4607" spans="1:20" x14ac:dyDescent="0.25">
      <c r="A4607" s="21">
        <v>41933</v>
      </c>
      <c r="B4607" s="36">
        <v>403</v>
      </c>
      <c r="C4607" s="20" t="s">
        <v>1111</v>
      </c>
      <c r="D4607" s="20"/>
      <c r="E4607" s="59">
        <v>-176.5551667</v>
      </c>
      <c r="F4607" s="20" t="s">
        <v>891</v>
      </c>
      <c r="G4607" t="s">
        <v>442</v>
      </c>
      <c r="H4607" s="18" t="s">
        <v>442</v>
      </c>
      <c r="I4607" s="3" t="s">
        <v>442</v>
      </c>
      <c r="J4607"/>
      <c r="L4607"/>
      <c r="M4607"/>
      <c r="N4607" s="20"/>
      <c r="O4607" s="20"/>
      <c r="P4607" s="20"/>
      <c r="Q4607" s="20" t="s">
        <v>401</v>
      </c>
      <c r="R4607" s="20"/>
      <c r="S4607" s="20"/>
      <c r="T4607" s="20"/>
    </row>
    <row r="4608" spans="1:20" x14ac:dyDescent="0.25">
      <c r="A4608" s="21">
        <v>41933</v>
      </c>
      <c r="B4608" s="36">
        <v>403</v>
      </c>
      <c r="C4608" s="20" t="s">
        <v>4966</v>
      </c>
      <c r="D4608" s="20"/>
      <c r="E4608" s="59">
        <v>100.89</v>
      </c>
      <c r="F4608" s="20" t="s">
        <v>891</v>
      </c>
      <c r="G4608" t="s">
        <v>442</v>
      </c>
      <c r="H4608" s="18" t="s">
        <v>442</v>
      </c>
      <c r="I4608" s="3" t="s">
        <v>442</v>
      </c>
      <c r="J4608"/>
      <c r="L4608"/>
      <c r="M4608"/>
      <c r="N4608" s="20"/>
      <c r="O4608" s="20"/>
      <c r="P4608" s="20"/>
      <c r="Q4608" s="20" t="s">
        <v>401</v>
      </c>
      <c r="R4608" s="20"/>
      <c r="S4608" s="20"/>
      <c r="T4608" s="20"/>
    </row>
    <row r="4609" spans="1:21" x14ac:dyDescent="0.25">
      <c r="A4609" s="21">
        <v>41933</v>
      </c>
      <c r="B4609" s="36">
        <v>403</v>
      </c>
      <c r="C4609" s="20" t="s">
        <v>1283</v>
      </c>
      <c r="D4609" s="20"/>
      <c r="E4609" s="59">
        <v>-174.14</v>
      </c>
      <c r="F4609" s="20" t="s">
        <v>891</v>
      </c>
      <c r="G4609" t="s">
        <v>442</v>
      </c>
      <c r="H4609" s="18" t="s">
        <v>442</v>
      </c>
      <c r="I4609" s="3" t="s">
        <v>442</v>
      </c>
      <c r="J4609"/>
      <c r="L4609"/>
      <c r="M4609"/>
      <c r="N4609" s="20"/>
      <c r="O4609" s="20"/>
      <c r="P4609" s="20"/>
      <c r="Q4609" s="20" t="s">
        <v>401</v>
      </c>
      <c r="R4609" s="20"/>
      <c r="S4609" s="20"/>
      <c r="T4609" s="20"/>
    </row>
    <row r="4610" spans="1:21" x14ac:dyDescent="0.25">
      <c r="A4610" s="21">
        <v>41933</v>
      </c>
      <c r="B4610" s="36">
        <v>403</v>
      </c>
      <c r="C4610" s="20" t="s">
        <v>4967</v>
      </c>
      <c r="D4610" s="20"/>
      <c r="E4610" s="59">
        <v>124.38</v>
      </c>
      <c r="F4610" s="20" t="s">
        <v>891</v>
      </c>
      <c r="G4610" t="s">
        <v>442</v>
      </c>
      <c r="H4610" s="18" t="s">
        <v>442</v>
      </c>
      <c r="I4610" s="3" t="s">
        <v>442</v>
      </c>
      <c r="J4610"/>
      <c r="L4610"/>
      <c r="M4610"/>
      <c r="N4610" s="20"/>
      <c r="O4610" s="20"/>
      <c r="P4610" s="20"/>
      <c r="Q4610" s="20" t="s">
        <v>401</v>
      </c>
      <c r="R4610" s="20"/>
      <c r="S4610" s="20"/>
      <c r="T4610" s="20"/>
    </row>
    <row r="4611" spans="1:21" x14ac:dyDescent="0.25">
      <c r="A4611" s="21">
        <v>41999</v>
      </c>
      <c r="B4611" s="36">
        <v>403</v>
      </c>
      <c r="C4611" s="20" t="s">
        <v>4960</v>
      </c>
      <c r="D4611" s="20">
        <v>10.5</v>
      </c>
      <c r="E4611" s="59">
        <v>1590</v>
      </c>
      <c r="F4611" s="20" t="s">
        <v>889</v>
      </c>
      <c r="G4611" t="s">
        <v>4961</v>
      </c>
      <c r="H4611" s="18">
        <v>1590</v>
      </c>
      <c r="I4611" s="3">
        <v>41999</v>
      </c>
      <c r="J4611"/>
      <c r="L4611"/>
      <c r="M4611"/>
      <c r="N4611" s="20"/>
      <c r="O4611" s="20" t="s">
        <v>959</v>
      </c>
      <c r="P4611" s="20"/>
      <c r="Q4611" s="20"/>
      <c r="R4611" s="20"/>
      <c r="S4611" s="20"/>
      <c r="T4611" s="20"/>
    </row>
    <row r="4612" spans="1:21" x14ac:dyDescent="0.25">
      <c r="A4612" s="21">
        <v>41999</v>
      </c>
      <c r="B4612" s="36">
        <v>403</v>
      </c>
      <c r="C4612" s="20" t="s">
        <v>4962</v>
      </c>
      <c r="D4612" s="20">
        <v>8.16</v>
      </c>
      <c r="E4612" s="59">
        <v>1020</v>
      </c>
      <c r="F4612" s="20" t="s">
        <v>889</v>
      </c>
      <c r="G4612" t="s">
        <v>4963</v>
      </c>
      <c r="H4612" s="18">
        <v>1020</v>
      </c>
      <c r="I4612" s="3">
        <v>41999</v>
      </c>
      <c r="J4612"/>
      <c r="L4612"/>
      <c r="M4612"/>
      <c r="N4612" s="20"/>
      <c r="O4612" s="20" t="s">
        <v>959</v>
      </c>
      <c r="P4612" s="20"/>
      <c r="Q4612" s="20"/>
      <c r="R4612" s="20"/>
      <c r="S4612" s="20"/>
      <c r="T4612" s="20"/>
    </row>
    <row r="4613" spans="1:21" x14ac:dyDescent="0.25">
      <c r="A4613" s="21">
        <v>41999</v>
      </c>
      <c r="B4613" s="36">
        <v>403</v>
      </c>
      <c r="C4613" s="20" t="s">
        <v>4968</v>
      </c>
      <c r="D4613" s="20"/>
      <c r="E4613" s="59">
        <v>-630.92999999999995</v>
      </c>
      <c r="F4613" s="20" t="s">
        <v>889</v>
      </c>
      <c r="H4613" s="18" t="s">
        <v>442</v>
      </c>
      <c r="I4613" s="3" t="s">
        <v>442</v>
      </c>
      <c r="J4613"/>
      <c r="L4613"/>
      <c r="M4613"/>
      <c r="N4613" s="20"/>
      <c r="O4613" s="20"/>
      <c r="P4613" s="20"/>
      <c r="Q4613" s="20"/>
      <c r="R4613" s="20" t="s">
        <v>401</v>
      </c>
      <c r="S4613" s="20"/>
      <c r="T4613" s="20"/>
    </row>
    <row r="4614" spans="1:21" x14ac:dyDescent="0.25">
      <c r="A4614" s="21">
        <v>41999</v>
      </c>
      <c r="B4614" s="36">
        <v>403</v>
      </c>
      <c r="C4614" s="20" t="s">
        <v>1299</v>
      </c>
      <c r="D4614" s="20"/>
      <c r="E4614" s="59">
        <v>-174.14</v>
      </c>
      <c r="F4614" s="20" t="s">
        <v>891</v>
      </c>
      <c r="G4614" t="s">
        <v>442</v>
      </c>
      <c r="H4614" s="18" t="s">
        <v>442</v>
      </c>
      <c r="I4614" s="3" t="s">
        <v>442</v>
      </c>
      <c r="J4614"/>
      <c r="L4614"/>
      <c r="M4614"/>
      <c r="N4614" s="20"/>
      <c r="O4614" s="20"/>
      <c r="P4614" s="20"/>
      <c r="Q4614" s="20" t="s">
        <v>401</v>
      </c>
      <c r="R4614" s="20"/>
      <c r="S4614" s="20"/>
      <c r="T4614" s="20"/>
    </row>
    <row r="4615" spans="1:21" x14ac:dyDescent="0.25">
      <c r="A4615" s="21">
        <v>41999</v>
      </c>
      <c r="B4615" s="36">
        <v>403</v>
      </c>
      <c r="C4615" s="20" t="s">
        <v>1304</v>
      </c>
      <c r="D4615" s="20"/>
      <c r="E4615" s="59">
        <v>-174.14</v>
      </c>
      <c r="F4615" s="20" t="s">
        <v>891</v>
      </c>
      <c r="G4615" t="s">
        <v>442</v>
      </c>
      <c r="H4615" s="18" t="s">
        <v>442</v>
      </c>
      <c r="I4615" s="3" t="s">
        <v>442</v>
      </c>
      <c r="J4615"/>
      <c r="L4615"/>
      <c r="M4615"/>
      <c r="N4615" s="20"/>
      <c r="O4615" s="20"/>
      <c r="P4615" s="20"/>
      <c r="Q4615" s="20" t="s">
        <v>401</v>
      </c>
      <c r="R4615" s="20"/>
      <c r="S4615" s="20"/>
      <c r="T4615" s="20"/>
    </row>
    <row r="4616" spans="1:21" x14ac:dyDescent="0.25">
      <c r="A4616" s="21">
        <v>41999</v>
      </c>
      <c r="B4616" s="36">
        <v>403</v>
      </c>
      <c r="C4616" s="20" t="s">
        <v>1312</v>
      </c>
      <c r="D4616" s="20"/>
      <c r="E4616" s="59">
        <v>-174.14</v>
      </c>
      <c r="F4616" s="20" t="s">
        <v>891</v>
      </c>
      <c r="G4616" t="s">
        <v>442</v>
      </c>
      <c r="H4616" s="18" t="s">
        <v>442</v>
      </c>
      <c r="I4616" s="3" t="s">
        <v>442</v>
      </c>
      <c r="J4616"/>
      <c r="L4616"/>
      <c r="M4616"/>
      <c r="N4616" s="20"/>
      <c r="O4616" s="20"/>
      <c r="P4616" s="20"/>
      <c r="Q4616" s="20" t="s">
        <v>401</v>
      </c>
      <c r="R4616" s="20"/>
      <c r="S4616" s="20"/>
      <c r="T4616" s="20"/>
    </row>
    <row r="4617" spans="1:21" x14ac:dyDescent="0.25">
      <c r="A4617" s="21">
        <v>41999</v>
      </c>
      <c r="B4617" s="36">
        <v>403</v>
      </c>
      <c r="C4617" s="20" t="s">
        <v>1292</v>
      </c>
      <c r="D4617" s="20"/>
      <c r="E4617" s="59">
        <v>-174.14</v>
      </c>
      <c r="F4617" s="20" t="s">
        <v>891</v>
      </c>
      <c r="G4617" t="s">
        <v>442</v>
      </c>
      <c r="H4617" s="18" t="s">
        <v>442</v>
      </c>
      <c r="I4617" s="3" t="s">
        <v>442</v>
      </c>
      <c r="J4617"/>
      <c r="L4617"/>
      <c r="M4617"/>
      <c r="N4617" s="20"/>
      <c r="O4617" s="20"/>
      <c r="P4617" s="20"/>
      <c r="Q4617" s="20" t="s">
        <v>401</v>
      </c>
      <c r="R4617" s="20"/>
      <c r="S4617" s="20"/>
      <c r="T4617" s="20"/>
    </row>
    <row r="4618" spans="1:21" x14ac:dyDescent="0.25">
      <c r="A4618" s="21">
        <v>41999</v>
      </c>
      <c r="B4618" s="36">
        <v>403</v>
      </c>
      <c r="C4618" s="20" t="s">
        <v>1300</v>
      </c>
      <c r="D4618" s="20"/>
      <c r="E4618" s="59">
        <v>-174.14</v>
      </c>
      <c r="F4618" s="20" t="s">
        <v>891</v>
      </c>
      <c r="G4618" t="s">
        <v>442</v>
      </c>
      <c r="H4618" s="18" t="s">
        <v>442</v>
      </c>
      <c r="I4618" s="3" t="s">
        <v>442</v>
      </c>
      <c r="J4618"/>
      <c r="L4618"/>
      <c r="M4618"/>
      <c r="N4618" s="20"/>
      <c r="O4618" s="20"/>
      <c r="P4618" s="20"/>
      <c r="Q4618" s="20" t="s">
        <v>401</v>
      </c>
      <c r="R4618" s="20"/>
      <c r="S4618" s="20"/>
      <c r="T4618" s="20"/>
    </row>
    <row r="4619" spans="1:21" x14ac:dyDescent="0.25">
      <c r="B4619">
        <v>403</v>
      </c>
      <c r="C4619" t="s">
        <v>4960</v>
      </c>
      <c r="D4619">
        <v>5.0999999999999996</v>
      </c>
      <c r="E4619" s="18">
        <v>-1080</v>
      </c>
      <c r="F4619" t="s">
        <v>889</v>
      </c>
      <c r="G4619" t="s">
        <v>4961</v>
      </c>
      <c r="I4619"/>
      <c r="J4619"/>
      <c r="L4619"/>
      <c r="M4619"/>
      <c r="O4619"/>
      <c r="P4619" s="20"/>
      <c r="Q4619" s="20"/>
      <c r="R4619" s="20"/>
      <c r="S4619" s="20"/>
      <c r="T4619" s="20"/>
      <c r="U4619" t="s">
        <v>401</v>
      </c>
    </row>
    <row r="4620" spans="1:21" x14ac:dyDescent="0.25">
      <c r="B4620">
        <v>403</v>
      </c>
      <c r="C4620" t="s">
        <v>4962</v>
      </c>
      <c r="D4620">
        <v>6.12</v>
      </c>
      <c r="E4620" s="18">
        <v>-408</v>
      </c>
      <c r="F4620" t="s">
        <v>889</v>
      </c>
      <c r="G4620" t="s">
        <v>4963</v>
      </c>
      <c r="I4620"/>
      <c r="J4620"/>
      <c r="L4620"/>
      <c r="M4620"/>
      <c r="O4620"/>
      <c r="P4620" s="20"/>
      <c r="Q4620" s="20"/>
      <c r="R4620" s="20"/>
      <c r="S4620" s="20"/>
      <c r="T4620" s="20"/>
      <c r="U4620" t="s">
        <v>401</v>
      </c>
    </row>
    <row r="4621" spans="1:21" x14ac:dyDescent="0.25">
      <c r="B4621">
        <v>403</v>
      </c>
      <c r="C4621" t="s">
        <v>4969</v>
      </c>
      <c r="E4621" s="18">
        <v>870.69999999999993</v>
      </c>
      <c r="F4621" t="s">
        <v>889</v>
      </c>
      <c r="I4621"/>
      <c r="J4621"/>
      <c r="L4621"/>
      <c r="M4621"/>
      <c r="O4621"/>
      <c r="P4621" s="20"/>
      <c r="Q4621" s="20"/>
      <c r="R4621" s="20"/>
      <c r="S4621" s="20"/>
      <c r="T4621" s="20"/>
      <c r="U4621" t="s">
        <v>401</v>
      </c>
    </row>
    <row r="4622" spans="1:21" x14ac:dyDescent="0.25">
      <c r="B4622">
        <v>403</v>
      </c>
      <c r="C4622" t="s">
        <v>4970</v>
      </c>
      <c r="E4622" s="18">
        <v>-330.01</v>
      </c>
      <c r="F4622" t="s">
        <v>889</v>
      </c>
      <c r="I4622"/>
      <c r="J4622"/>
      <c r="L4622"/>
      <c r="M4622"/>
      <c r="O4622"/>
      <c r="P4622" s="20"/>
      <c r="Q4622" s="20"/>
      <c r="R4622" s="20"/>
      <c r="S4622" s="20"/>
      <c r="T4622" s="20"/>
      <c r="U4622" t="s">
        <v>401</v>
      </c>
    </row>
    <row r="4623" spans="1:21" x14ac:dyDescent="0.25">
      <c r="A4623" s="37">
        <v>41873</v>
      </c>
      <c r="B4623" s="36">
        <v>404</v>
      </c>
      <c r="C4623" s="38" t="s">
        <v>4971</v>
      </c>
      <c r="D4623" s="38"/>
      <c r="E4623" s="39">
        <v>400</v>
      </c>
      <c r="F4623" s="38" t="s">
        <v>889</v>
      </c>
      <c r="G4623" t="s">
        <v>442</v>
      </c>
      <c r="H4623" s="18" t="s">
        <v>442</v>
      </c>
      <c r="I4623" s="3" t="s">
        <v>442</v>
      </c>
      <c r="J4623"/>
      <c r="L4623"/>
      <c r="M4623"/>
      <c r="N4623" s="40"/>
      <c r="O4623" s="38"/>
      <c r="P4623" s="20"/>
      <c r="Q4623" s="20"/>
      <c r="R4623" s="20"/>
      <c r="S4623" s="20"/>
      <c r="T4623" s="20" t="s">
        <v>401</v>
      </c>
    </row>
    <row r="4624" spans="1:21" x14ac:dyDescent="0.25">
      <c r="A4624" s="3">
        <v>41894</v>
      </c>
      <c r="B4624" s="36">
        <v>404</v>
      </c>
      <c r="C4624" t="s">
        <v>4972</v>
      </c>
      <c r="E4624" s="18">
        <v>400</v>
      </c>
      <c r="F4624" t="s">
        <v>889</v>
      </c>
      <c r="G4624" t="s">
        <v>442</v>
      </c>
      <c r="H4624" s="18" t="s">
        <v>442</v>
      </c>
      <c r="I4624" s="3" t="s">
        <v>442</v>
      </c>
      <c r="J4624"/>
      <c r="L4624"/>
      <c r="M4624"/>
      <c r="N4624" s="20"/>
      <c r="O4624"/>
      <c r="P4624" s="20"/>
      <c r="Q4624" s="20"/>
      <c r="R4624" s="20"/>
      <c r="S4624" s="20"/>
      <c r="T4624" s="20" t="s">
        <v>401</v>
      </c>
    </row>
    <row r="4625" spans="1:21" x14ac:dyDescent="0.25">
      <c r="A4625" s="3">
        <v>41907</v>
      </c>
      <c r="B4625" s="36">
        <v>404</v>
      </c>
      <c r="C4625" t="s">
        <v>4973</v>
      </c>
      <c r="E4625" s="18">
        <v>1000</v>
      </c>
      <c r="F4625" t="s">
        <v>889</v>
      </c>
      <c r="G4625" t="s">
        <v>442</v>
      </c>
      <c r="H4625" s="18" t="s">
        <v>442</v>
      </c>
      <c r="I4625" s="3" t="s">
        <v>442</v>
      </c>
      <c r="J4625"/>
      <c r="L4625"/>
      <c r="M4625"/>
      <c r="N4625" s="20"/>
      <c r="O4625"/>
      <c r="P4625" s="20"/>
      <c r="Q4625" s="20"/>
      <c r="R4625" s="20"/>
      <c r="S4625" s="20"/>
      <c r="T4625" s="20" t="s">
        <v>401</v>
      </c>
    </row>
    <row r="4626" spans="1:21" x14ac:dyDescent="0.25">
      <c r="B4626">
        <v>404</v>
      </c>
      <c r="C4626" t="s">
        <v>4971</v>
      </c>
      <c r="E4626" s="18">
        <v>-400</v>
      </c>
      <c r="F4626" t="s">
        <v>889</v>
      </c>
      <c r="G4626" t="s">
        <v>442</v>
      </c>
      <c r="I4626"/>
      <c r="J4626"/>
      <c r="L4626"/>
      <c r="M4626"/>
      <c r="O4626"/>
      <c r="P4626" s="20"/>
      <c r="Q4626" s="20"/>
      <c r="R4626" s="20"/>
      <c r="S4626" s="20"/>
      <c r="T4626" s="20"/>
      <c r="U4626" t="s">
        <v>401</v>
      </c>
    </row>
    <row r="4627" spans="1:21" x14ac:dyDescent="0.25">
      <c r="B4627">
        <v>404</v>
      </c>
      <c r="C4627" t="s">
        <v>4972</v>
      </c>
      <c r="E4627" s="18">
        <v>-400</v>
      </c>
      <c r="F4627" t="s">
        <v>889</v>
      </c>
      <c r="G4627" t="s">
        <v>442</v>
      </c>
      <c r="I4627"/>
      <c r="J4627"/>
      <c r="L4627"/>
      <c r="M4627"/>
      <c r="O4627"/>
      <c r="P4627" s="20"/>
      <c r="Q4627" s="20"/>
      <c r="R4627" s="20"/>
      <c r="S4627" s="20"/>
      <c r="T4627" s="20"/>
      <c r="U4627" t="s">
        <v>401</v>
      </c>
    </row>
    <row r="4628" spans="1:21" x14ac:dyDescent="0.25">
      <c r="B4628">
        <v>404</v>
      </c>
      <c r="C4628" t="s">
        <v>4974</v>
      </c>
      <c r="E4628" s="18">
        <v>-1000</v>
      </c>
      <c r="F4628" t="s">
        <v>889</v>
      </c>
      <c r="G4628" t="s">
        <v>442</v>
      </c>
      <c r="I4628"/>
      <c r="J4628"/>
      <c r="L4628"/>
      <c r="M4628"/>
      <c r="O4628"/>
      <c r="P4628" s="20"/>
      <c r="Q4628" s="20"/>
      <c r="R4628" s="20"/>
      <c r="S4628" s="20"/>
      <c r="T4628" s="20"/>
      <c r="U4628" t="s">
        <v>401</v>
      </c>
    </row>
    <row r="4629" spans="1:21" x14ac:dyDescent="0.25">
      <c r="B4629">
        <v>404</v>
      </c>
      <c r="C4629" t="s">
        <v>1509</v>
      </c>
      <c r="E4629" s="18">
        <v>-294.52981720000002</v>
      </c>
      <c r="F4629" t="s">
        <v>891</v>
      </c>
      <c r="G4629" t="s">
        <v>442</v>
      </c>
      <c r="I4629"/>
      <c r="J4629"/>
      <c r="L4629"/>
      <c r="M4629"/>
      <c r="O4629"/>
      <c r="P4629" s="20"/>
      <c r="Q4629" s="20"/>
      <c r="R4629" s="20"/>
      <c r="S4629" s="20"/>
      <c r="T4629" s="20"/>
      <c r="U4629" t="s">
        <v>401</v>
      </c>
    </row>
    <row r="4630" spans="1:21" x14ac:dyDescent="0.25">
      <c r="B4630">
        <v>404</v>
      </c>
      <c r="C4630" t="s">
        <v>4661</v>
      </c>
      <c r="E4630" s="18">
        <v>-736.32454299999995</v>
      </c>
      <c r="G4630" t="s">
        <v>442</v>
      </c>
      <c r="I4630"/>
      <c r="J4630"/>
      <c r="L4630"/>
      <c r="M4630"/>
      <c r="O4630"/>
      <c r="P4630" s="20"/>
      <c r="Q4630" s="20"/>
      <c r="R4630" s="20"/>
      <c r="S4630" s="20"/>
      <c r="T4630" s="20"/>
      <c r="U4630" t="s">
        <v>401</v>
      </c>
    </row>
    <row r="4631" spans="1:21" x14ac:dyDescent="0.25">
      <c r="B4631">
        <v>404</v>
      </c>
      <c r="C4631" t="s">
        <v>3076</v>
      </c>
      <c r="E4631" s="18">
        <v>-174.14</v>
      </c>
      <c r="G4631" t="s">
        <v>442</v>
      </c>
      <c r="I4631"/>
      <c r="J4631"/>
      <c r="L4631"/>
      <c r="M4631"/>
      <c r="O4631"/>
      <c r="P4631" s="20"/>
      <c r="Q4631" s="20"/>
      <c r="R4631" s="20"/>
      <c r="S4631" s="20"/>
      <c r="T4631" s="20"/>
      <c r="U4631" t="s">
        <v>401</v>
      </c>
    </row>
    <row r="4632" spans="1:21" x14ac:dyDescent="0.25">
      <c r="B4632">
        <v>404</v>
      </c>
      <c r="C4632" t="s">
        <v>2573</v>
      </c>
      <c r="E4632" s="18">
        <v>-174.14</v>
      </c>
      <c r="F4632" t="s">
        <v>891</v>
      </c>
      <c r="G4632" t="s">
        <v>442</v>
      </c>
      <c r="I4632"/>
      <c r="J4632"/>
      <c r="L4632"/>
      <c r="M4632"/>
      <c r="O4632"/>
      <c r="P4632" s="20"/>
      <c r="Q4632" s="20"/>
      <c r="R4632" s="20"/>
      <c r="S4632" s="20"/>
      <c r="T4632" s="20"/>
      <c r="U4632" t="s">
        <v>401</v>
      </c>
    </row>
    <row r="4633" spans="1:21" x14ac:dyDescent="0.25">
      <c r="B4633">
        <v>404</v>
      </c>
      <c r="C4633" t="s">
        <v>1299</v>
      </c>
      <c r="E4633" s="18">
        <v>-174.14</v>
      </c>
      <c r="F4633" t="s">
        <v>891</v>
      </c>
      <c r="G4633" t="s">
        <v>442</v>
      </c>
      <c r="I4633"/>
      <c r="J4633"/>
      <c r="L4633"/>
      <c r="M4633"/>
      <c r="O4633"/>
      <c r="P4633" s="20"/>
      <c r="Q4633" s="20"/>
      <c r="R4633" s="20"/>
      <c r="S4633" s="20"/>
      <c r="T4633" s="20"/>
      <c r="U4633" t="s">
        <v>401</v>
      </c>
    </row>
    <row r="4634" spans="1:21" x14ac:dyDescent="0.25">
      <c r="B4634">
        <v>404</v>
      </c>
      <c r="C4634" t="s">
        <v>1304</v>
      </c>
      <c r="E4634" s="18">
        <v>-174.14</v>
      </c>
      <c r="F4634" t="s">
        <v>891</v>
      </c>
      <c r="G4634" t="s">
        <v>442</v>
      </c>
      <c r="I4634"/>
      <c r="J4634"/>
      <c r="L4634"/>
      <c r="M4634"/>
      <c r="O4634"/>
      <c r="P4634" s="20"/>
      <c r="Q4634" s="20"/>
      <c r="R4634" s="20"/>
      <c r="S4634" s="20"/>
      <c r="T4634" s="20"/>
      <c r="U4634" t="s">
        <v>401</v>
      </c>
    </row>
    <row r="4635" spans="1:21" x14ac:dyDescent="0.25">
      <c r="B4635">
        <v>404</v>
      </c>
      <c r="C4635" t="s">
        <v>1312</v>
      </c>
      <c r="E4635" s="18">
        <v>-174.14</v>
      </c>
      <c r="F4635" t="s">
        <v>891</v>
      </c>
      <c r="G4635" t="s">
        <v>442</v>
      </c>
      <c r="I4635"/>
      <c r="J4635"/>
      <c r="L4635"/>
      <c r="M4635"/>
      <c r="O4635"/>
      <c r="P4635" s="20"/>
      <c r="Q4635" s="20"/>
      <c r="R4635" s="20"/>
      <c r="S4635" s="20"/>
      <c r="T4635" s="20"/>
      <c r="U4635" t="s">
        <v>401</v>
      </c>
    </row>
    <row r="4636" spans="1:21" x14ac:dyDescent="0.25">
      <c r="B4636">
        <v>404</v>
      </c>
      <c r="C4636" t="s">
        <v>1282</v>
      </c>
      <c r="E4636" s="18">
        <v>-174.14</v>
      </c>
      <c r="F4636" t="s">
        <v>891</v>
      </c>
      <c r="G4636" t="s">
        <v>442</v>
      </c>
      <c r="I4636"/>
      <c r="J4636"/>
      <c r="L4636"/>
      <c r="M4636"/>
      <c r="O4636"/>
      <c r="P4636" s="20"/>
      <c r="Q4636" s="20"/>
      <c r="R4636" s="20"/>
      <c r="S4636" s="20"/>
      <c r="T4636" s="20"/>
      <c r="U4636" t="s">
        <v>401</v>
      </c>
    </row>
    <row r="4637" spans="1:21" x14ac:dyDescent="0.25">
      <c r="B4637">
        <v>404</v>
      </c>
      <c r="C4637" t="s">
        <v>1292</v>
      </c>
      <c r="E4637" s="18">
        <v>-174.14</v>
      </c>
      <c r="F4637" t="s">
        <v>891</v>
      </c>
      <c r="G4637" t="s">
        <v>442</v>
      </c>
      <c r="I4637"/>
      <c r="J4637"/>
      <c r="L4637"/>
      <c r="M4637"/>
      <c r="O4637"/>
      <c r="P4637" s="20"/>
      <c r="Q4637" s="20"/>
      <c r="R4637" s="20"/>
      <c r="S4637" s="20"/>
      <c r="T4637" s="20"/>
      <c r="U4637" t="s">
        <v>401</v>
      </c>
    </row>
    <row r="4638" spans="1:21" x14ac:dyDescent="0.25">
      <c r="B4638">
        <v>404</v>
      </c>
      <c r="C4638" t="s">
        <v>1300</v>
      </c>
      <c r="E4638" s="18">
        <v>-174.14</v>
      </c>
      <c r="F4638" t="s">
        <v>891</v>
      </c>
      <c r="G4638" t="s">
        <v>442</v>
      </c>
      <c r="I4638"/>
      <c r="J4638"/>
      <c r="L4638"/>
      <c r="M4638"/>
      <c r="O4638"/>
      <c r="P4638" s="20"/>
      <c r="Q4638" s="20"/>
      <c r="R4638" s="20"/>
      <c r="S4638" s="20"/>
      <c r="T4638" s="20"/>
      <c r="U4638" t="s">
        <v>401</v>
      </c>
    </row>
    <row r="4639" spans="1:21" x14ac:dyDescent="0.25">
      <c r="B4639">
        <v>404</v>
      </c>
      <c r="C4639" t="s">
        <v>1110</v>
      </c>
      <c r="E4639" s="18">
        <v>-176.5551667</v>
      </c>
      <c r="F4639" t="s">
        <v>891</v>
      </c>
      <c r="G4639" t="s">
        <v>442</v>
      </c>
      <c r="I4639"/>
      <c r="J4639"/>
      <c r="L4639"/>
      <c r="M4639"/>
      <c r="O4639"/>
      <c r="P4639" s="20"/>
      <c r="Q4639" s="20"/>
      <c r="R4639" s="20"/>
      <c r="S4639" s="20"/>
      <c r="T4639" s="20"/>
      <c r="U4639" t="s">
        <v>401</v>
      </c>
    </row>
    <row r="4640" spans="1:21" x14ac:dyDescent="0.25">
      <c r="B4640">
        <v>404</v>
      </c>
      <c r="C4640" t="s">
        <v>1117</v>
      </c>
      <c r="E4640" s="18">
        <v>-176.5551667</v>
      </c>
      <c r="F4640" t="s">
        <v>891</v>
      </c>
      <c r="G4640" t="s">
        <v>442</v>
      </c>
      <c r="I4640"/>
      <c r="J4640"/>
      <c r="L4640"/>
      <c r="M4640"/>
      <c r="O4640"/>
      <c r="P4640" s="20"/>
      <c r="Q4640" s="20"/>
      <c r="R4640" s="20"/>
      <c r="S4640" s="20"/>
      <c r="T4640" s="20"/>
      <c r="U4640" t="s">
        <v>401</v>
      </c>
    </row>
    <row r="4641" spans="1:21" x14ac:dyDescent="0.25">
      <c r="B4641">
        <v>404</v>
      </c>
      <c r="C4641" t="s">
        <v>1111</v>
      </c>
      <c r="E4641" s="18">
        <v>-176.5551667</v>
      </c>
      <c r="F4641" t="s">
        <v>891</v>
      </c>
      <c r="G4641" t="s">
        <v>442</v>
      </c>
      <c r="I4641"/>
      <c r="J4641"/>
      <c r="L4641"/>
      <c r="M4641"/>
      <c r="O4641"/>
      <c r="P4641" s="20"/>
      <c r="Q4641" s="20"/>
      <c r="R4641" s="20"/>
      <c r="S4641" s="20"/>
      <c r="T4641" s="20"/>
      <c r="U4641" t="s">
        <v>401</v>
      </c>
    </row>
    <row r="4642" spans="1:21" x14ac:dyDescent="0.25">
      <c r="B4642">
        <v>404</v>
      </c>
      <c r="C4642" t="s">
        <v>1283</v>
      </c>
      <c r="E4642" s="18">
        <v>-174.14</v>
      </c>
      <c r="F4642" t="s">
        <v>891</v>
      </c>
      <c r="G4642" t="s">
        <v>442</v>
      </c>
      <c r="I4642"/>
      <c r="J4642"/>
      <c r="L4642"/>
      <c r="M4642"/>
      <c r="O4642"/>
      <c r="P4642" s="20"/>
      <c r="Q4642" s="20"/>
      <c r="R4642" s="20"/>
      <c r="S4642" s="20"/>
      <c r="T4642" s="20"/>
      <c r="U4642" t="s">
        <v>401</v>
      </c>
    </row>
    <row r="4643" spans="1:21" x14ac:dyDescent="0.25">
      <c r="B4643">
        <v>404</v>
      </c>
      <c r="C4643" t="s">
        <v>1301</v>
      </c>
      <c r="E4643" s="18">
        <v>56.1</v>
      </c>
      <c r="F4643" t="s">
        <v>889</v>
      </c>
      <c r="I4643"/>
      <c r="J4643"/>
      <c r="L4643"/>
      <c r="M4643"/>
      <c r="O4643"/>
      <c r="P4643" s="20"/>
      <c r="Q4643" s="20"/>
      <c r="R4643" s="20"/>
      <c r="S4643" s="20"/>
      <c r="T4643" s="20"/>
      <c r="U4643" t="s">
        <v>401</v>
      </c>
    </row>
    <row r="4644" spans="1:21" x14ac:dyDescent="0.25">
      <c r="A4644" s="3">
        <v>41873</v>
      </c>
      <c r="B4644" s="36">
        <v>405</v>
      </c>
      <c r="C4644" t="s">
        <v>4975</v>
      </c>
      <c r="D4644">
        <v>6.5</v>
      </c>
      <c r="E4644" s="18">
        <v>650</v>
      </c>
      <c r="F4644" t="s">
        <v>889</v>
      </c>
      <c r="G4644" t="s">
        <v>4976</v>
      </c>
      <c r="H4644" s="18">
        <v>650</v>
      </c>
      <c r="I4644" s="3">
        <v>41873</v>
      </c>
      <c r="J4644"/>
      <c r="L4644"/>
      <c r="M4644"/>
      <c r="N4644" s="20"/>
      <c r="O4644"/>
      <c r="P4644" s="20"/>
      <c r="Q4644" s="20"/>
      <c r="R4644" s="20"/>
      <c r="S4644" s="20"/>
      <c r="T4644" s="20"/>
    </row>
    <row r="4645" spans="1:21" x14ac:dyDescent="0.25">
      <c r="A4645" s="3">
        <v>41894</v>
      </c>
      <c r="B4645" s="36">
        <v>405</v>
      </c>
      <c r="C4645" t="s">
        <v>4977</v>
      </c>
      <c r="D4645">
        <v>4</v>
      </c>
      <c r="E4645" s="18">
        <v>400</v>
      </c>
      <c r="F4645" t="s">
        <v>889</v>
      </c>
      <c r="G4645" t="s">
        <v>4978</v>
      </c>
      <c r="H4645" s="18">
        <v>400</v>
      </c>
      <c r="I4645" s="3">
        <v>41894</v>
      </c>
      <c r="J4645"/>
      <c r="L4645"/>
      <c r="M4645"/>
      <c r="N4645" s="20"/>
      <c r="O4645"/>
      <c r="P4645" s="20"/>
      <c r="Q4645" s="20"/>
      <c r="R4645" s="20"/>
      <c r="S4645" s="20"/>
      <c r="T4645" s="20"/>
    </row>
    <row r="4646" spans="1:21" x14ac:dyDescent="0.25">
      <c r="A4646" s="3">
        <v>41922</v>
      </c>
      <c r="B4646" s="36">
        <v>405</v>
      </c>
      <c r="C4646" t="s">
        <v>4979</v>
      </c>
      <c r="D4646">
        <v>9.5</v>
      </c>
      <c r="E4646" s="18">
        <v>950</v>
      </c>
      <c r="F4646" t="s">
        <v>889</v>
      </c>
      <c r="G4646" t="s">
        <v>4980</v>
      </c>
      <c r="H4646" s="18">
        <v>950</v>
      </c>
      <c r="I4646" s="3">
        <v>41922</v>
      </c>
      <c r="J4646"/>
      <c r="L4646"/>
      <c r="M4646"/>
      <c r="N4646" s="20"/>
      <c r="O4646"/>
      <c r="P4646" s="20"/>
      <c r="Q4646" s="20"/>
      <c r="R4646" s="20"/>
      <c r="S4646" s="20"/>
      <c r="T4646" s="20"/>
    </row>
    <row r="4647" spans="1:21" x14ac:dyDescent="0.25">
      <c r="A4647" s="3">
        <v>41943</v>
      </c>
      <c r="B4647" s="36">
        <v>405</v>
      </c>
      <c r="C4647" t="s">
        <v>4981</v>
      </c>
      <c r="D4647">
        <v>6</v>
      </c>
      <c r="E4647" s="18">
        <v>600</v>
      </c>
      <c r="F4647" t="s">
        <v>889</v>
      </c>
      <c r="G4647" t="s">
        <v>4982</v>
      </c>
      <c r="H4647" s="18">
        <v>600</v>
      </c>
      <c r="I4647" s="3">
        <v>41943</v>
      </c>
      <c r="J4647"/>
      <c r="L4647"/>
      <c r="M4647"/>
      <c r="N4647" s="20"/>
      <c r="O4647"/>
      <c r="P4647" s="20"/>
      <c r="Q4647" s="20"/>
      <c r="R4647" s="20"/>
      <c r="S4647" s="20"/>
      <c r="T4647" s="20"/>
    </row>
    <row r="4648" spans="1:21" x14ac:dyDescent="0.25">
      <c r="A4648" s="3">
        <v>41964</v>
      </c>
      <c r="B4648" s="36">
        <v>405</v>
      </c>
      <c r="C4648" t="s">
        <v>4983</v>
      </c>
      <c r="D4648">
        <v>4</v>
      </c>
      <c r="E4648" s="18">
        <v>400</v>
      </c>
      <c r="F4648" t="s">
        <v>889</v>
      </c>
      <c r="G4648" t="s">
        <v>4984</v>
      </c>
      <c r="H4648" s="18">
        <v>400</v>
      </c>
      <c r="I4648" s="3">
        <v>41964</v>
      </c>
      <c r="J4648"/>
      <c r="L4648"/>
      <c r="M4648"/>
      <c r="N4648" s="20"/>
      <c r="O4648"/>
      <c r="P4648" s="20"/>
      <c r="Q4648" s="20"/>
      <c r="R4648" s="20"/>
      <c r="S4648" s="20"/>
      <c r="T4648" s="20"/>
    </row>
    <row r="4649" spans="1:21" x14ac:dyDescent="0.25">
      <c r="A4649" s="3">
        <v>42004</v>
      </c>
      <c r="B4649" s="36">
        <v>405</v>
      </c>
      <c r="C4649" t="s">
        <v>4977</v>
      </c>
      <c r="D4649">
        <v>4</v>
      </c>
      <c r="E4649" s="18">
        <v>133.33333333333334</v>
      </c>
      <c r="F4649" t="s">
        <v>889</v>
      </c>
      <c r="G4649" t="s">
        <v>4978</v>
      </c>
      <c r="H4649" s="18">
        <v>133.33333333333334</v>
      </c>
      <c r="I4649" s="3">
        <v>42004</v>
      </c>
      <c r="J4649"/>
      <c r="L4649"/>
      <c r="M4649"/>
      <c r="N4649" s="20"/>
      <c r="O4649"/>
      <c r="P4649" s="20"/>
      <c r="Q4649" s="20"/>
      <c r="R4649" s="20"/>
      <c r="S4649" s="20"/>
      <c r="T4649" s="20"/>
    </row>
    <row r="4650" spans="1:21" x14ac:dyDescent="0.25">
      <c r="A4650" s="3">
        <v>42013</v>
      </c>
      <c r="B4650" s="36">
        <v>405</v>
      </c>
      <c r="C4650" t="s">
        <v>703</v>
      </c>
      <c r="D4650">
        <v>7.75</v>
      </c>
      <c r="E4650" s="18">
        <v>637.5</v>
      </c>
      <c r="F4650" t="s">
        <v>889</v>
      </c>
      <c r="G4650" t="s">
        <v>704</v>
      </c>
      <c r="H4650" s="18">
        <v>637.5</v>
      </c>
      <c r="I4650" s="3">
        <v>42013</v>
      </c>
      <c r="J4650"/>
      <c r="L4650"/>
      <c r="M4650"/>
      <c r="N4650" s="20"/>
      <c r="O4650"/>
      <c r="P4650" s="20"/>
      <c r="Q4650" s="20"/>
      <c r="R4650" s="20"/>
      <c r="S4650" s="20"/>
      <c r="T4650" s="20"/>
    </row>
    <row r="4651" spans="1:21" x14ac:dyDescent="0.25">
      <c r="A4651" s="3">
        <v>42013</v>
      </c>
      <c r="B4651" s="36">
        <v>405</v>
      </c>
      <c r="C4651" t="s">
        <v>4985</v>
      </c>
      <c r="D4651">
        <v>6</v>
      </c>
      <c r="E4651" s="18">
        <v>600</v>
      </c>
      <c r="F4651" t="s">
        <v>889</v>
      </c>
      <c r="G4651" t="s">
        <v>4982</v>
      </c>
      <c r="H4651" s="18">
        <v>600</v>
      </c>
      <c r="I4651" s="3">
        <v>42013</v>
      </c>
      <c r="J4651"/>
      <c r="L4651"/>
      <c r="M4651"/>
      <c r="N4651" s="20"/>
      <c r="O4651"/>
      <c r="P4651" s="20"/>
      <c r="Q4651" s="20"/>
      <c r="R4651" s="20"/>
      <c r="S4651" s="20"/>
      <c r="T4651" s="20"/>
    </row>
    <row r="4652" spans="1:21" x14ac:dyDescent="0.25">
      <c r="A4652" s="3">
        <v>42041</v>
      </c>
      <c r="B4652">
        <v>405</v>
      </c>
      <c r="C4652" t="s">
        <v>4977</v>
      </c>
      <c r="E4652" s="18">
        <v>133.33333333333334</v>
      </c>
      <c r="F4652" t="s">
        <v>889</v>
      </c>
      <c r="G4652" t="s">
        <v>4978</v>
      </c>
      <c r="I4652"/>
      <c r="J4652"/>
      <c r="L4652"/>
      <c r="M4652"/>
      <c r="O4652"/>
      <c r="P4652" s="20"/>
      <c r="Q4652" s="20"/>
      <c r="R4652" s="20"/>
      <c r="S4652" s="20"/>
      <c r="T4652" s="20"/>
    </row>
    <row r="4653" spans="1:21" x14ac:dyDescent="0.25">
      <c r="B4653">
        <v>405</v>
      </c>
      <c r="C4653" t="s">
        <v>4979</v>
      </c>
      <c r="D4653">
        <v>9.5</v>
      </c>
      <c r="E4653" s="18">
        <v>-950</v>
      </c>
      <c r="F4653" t="s">
        <v>889</v>
      </c>
      <c r="G4653" t="s">
        <v>4980</v>
      </c>
      <c r="I4653"/>
      <c r="J4653"/>
      <c r="L4653"/>
      <c r="M4653"/>
      <c r="O4653"/>
      <c r="P4653" s="20"/>
      <c r="Q4653" s="20"/>
      <c r="R4653" s="20"/>
      <c r="S4653" s="20"/>
      <c r="T4653" s="20"/>
      <c r="U4653" t="s">
        <v>401</v>
      </c>
    </row>
    <row r="4654" spans="1:21" x14ac:dyDescent="0.25">
      <c r="A4654" s="3">
        <v>41873</v>
      </c>
      <c r="B4654" s="36">
        <v>407</v>
      </c>
      <c r="C4654" t="s">
        <v>4986</v>
      </c>
      <c r="E4654" s="18">
        <v>333.86</v>
      </c>
      <c r="F4654" t="s">
        <v>891</v>
      </c>
      <c r="H4654" s="18" t="s">
        <v>442</v>
      </c>
      <c r="I4654" s="3" t="s">
        <v>442</v>
      </c>
      <c r="J4654"/>
      <c r="L4654"/>
      <c r="M4654"/>
      <c r="N4654" s="20"/>
      <c r="O4654" t="s">
        <v>4987</v>
      </c>
      <c r="P4654" s="20" t="s">
        <v>401</v>
      </c>
      <c r="Q4654" s="20"/>
      <c r="R4654" s="20"/>
      <c r="S4654" s="20"/>
      <c r="T4654" s="20"/>
    </row>
    <row r="4655" spans="1:21" x14ac:dyDescent="0.25">
      <c r="A4655" s="3">
        <v>41894</v>
      </c>
      <c r="B4655" s="36">
        <v>407</v>
      </c>
      <c r="C4655" t="s">
        <v>4988</v>
      </c>
      <c r="E4655" s="18">
        <v>295</v>
      </c>
      <c r="F4655" t="s">
        <v>891</v>
      </c>
      <c r="H4655" s="18" t="s">
        <v>442</v>
      </c>
      <c r="I4655" s="3" t="s">
        <v>442</v>
      </c>
      <c r="J4655"/>
      <c r="L4655"/>
      <c r="M4655"/>
      <c r="N4655" s="20"/>
      <c r="O4655" t="s">
        <v>4989</v>
      </c>
      <c r="P4655" s="20" t="s">
        <v>401</v>
      </c>
      <c r="Q4655" s="20"/>
      <c r="R4655" s="20"/>
      <c r="S4655" s="20"/>
      <c r="T4655" s="20"/>
    </row>
    <row r="4656" spans="1:21" x14ac:dyDescent="0.25">
      <c r="A4656" s="3">
        <v>41907</v>
      </c>
      <c r="B4656" s="36">
        <v>407</v>
      </c>
      <c r="C4656" t="s">
        <v>4990</v>
      </c>
      <c r="E4656" s="18">
        <v>225.02</v>
      </c>
      <c r="F4656" t="s">
        <v>891</v>
      </c>
      <c r="H4656" s="18" t="s">
        <v>442</v>
      </c>
      <c r="I4656" s="3" t="s">
        <v>442</v>
      </c>
      <c r="J4656"/>
      <c r="L4656"/>
      <c r="M4656"/>
      <c r="N4656" s="20"/>
      <c r="O4656" t="s">
        <v>4991</v>
      </c>
      <c r="P4656" s="20" t="s">
        <v>401</v>
      </c>
      <c r="Q4656" s="20"/>
      <c r="R4656" s="20"/>
      <c r="S4656" s="20"/>
      <c r="T4656" s="20"/>
    </row>
    <row r="4657" spans="1:20" x14ac:dyDescent="0.25">
      <c r="A4657" s="3">
        <v>41932</v>
      </c>
      <c r="B4657" s="36">
        <v>407</v>
      </c>
      <c r="C4657" t="s">
        <v>960</v>
      </c>
      <c r="E4657" s="18">
        <v>105.82499999999999</v>
      </c>
      <c r="H4657" s="18" t="s">
        <v>442</v>
      </c>
      <c r="I4657" s="3" t="s">
        <v>442</v>
      </c>
      <c r="J4657"/>
      <c r="L4657"/>
      <c r="M4657"/>
      <c r="N4657" s="20" t="s">
        <v>401</v>
      </c>
      <c r="O4657"/>
      <c r="P4657" s="20"/>
      <c r="Q4657" s="20"/>
      <c r="R4657" s="20"/>
      <c r="S4657" s="20"/>
      <c r="T4657" s="20"/>
    </row>
    <row r="4658" spans="1:20" x14ac:dyDescent="0.25">
      <c r="A4658" s="3">
        <v>41943</v>
      </c>
      <c r="B4658" s="36">
        <v>407</v>
      </c>
      <c r="C4658" t="s">
        <v>4992</v>
      </c>
      <c r="E4658" s="18">
        <v>100</v>
      </c>
      <c r="F4658" t="s">
        <v>891</v>
      </c>
      <c r="H4658" s="18" t="s">
        <v>442</v>
      </c>
      <c r="I4658" s="3" t="s">
        <v>442</v>
      </c>
      <c r="J4658"/>
      <c r="L4658"/>
      <c r="M4658"/>
      <c r="N4658" s="20"/>
      <c r="O4658"/>
      <c r="P4658" s="20" t="s">
        <v>401</v>
      </c>
      <c r="Q4658" s="20"/>
      <c r="R4658" s="20"/>
      <c r="S4658" s="20"/>
      <c r="T4658" s="20"/>
    </row>
    <row r="4659" spans="1:20" x14ac:dyDescent="0.25">
      <c r="A4659" s="3">
        <v>41943</v>
      </c>
      <c r="B4659" s="36">
        <v>407</v>
      </c>
      <c r="C4659" t="s">
        <v>1301</v>
      </c>
      <c r="E4659" s="18">
        <v>211.65</v>
      </c>
      <c r="F4659" t="s">
        <v>889</v>
      </c>
      <c r="H4659" s="18" t="s">
        <v>442</v>
      </c>
      <c r="I4659" s="3" t="s">
        <v>442</v>
      </c>
      <c r="J4659"/>
      <c r="L4659"/>
      <c r="M4659"/>
      <c r="N4659" s="20" t="s">
        <v>401</v>
      </c>
      <c r="O4659"/>
      <c r="P4659" s="20"/>
      <c r="Q4659" s="20"/>
      <c r="R4659" s="20"/>
      <c r="S4659" s="20"/>
      <c r="T4659" s="20"/>
    </row>
    <row r="4660" spans="1:20" x14ac:dyDescent="0.25">
      <c r="A4660" s="3">
        <v>41964</v>
      </c>
      <c r="B4660" s="36">
        <v>407</v>
      </c>
      <c r="C4660" t="s">
        <v>963</v>
      </c>
      <c r="E4660" s="18">
        <v>395.90000000000003</v>
      </c>
      <c r="F4660" t="s">
        <v>889</v>
      </c>
      <c r="G4660" t="s">
        <v>442</v>
      </c>
      <c r="H4660" s="18" t="s">
        <v>442</v>
      </c>
      <c r="I4660" s="3" t="s">
        <v>442</v>
      </c>
      <c r="J4660"/>
      <c r="L4660"/>
      <c r="M4660"/>
      <c r="N4660" s="40" t="s">
        <v>401</v>
      </c>
      <c r="O4660"/>
      <c r="P4660" s="20"/>
      <c r="Q4660" s="20"/>
      <c r="R4660" s="20"/>
      <c r="S4660" s="20"/>
      <c r="T4660" s="20"/>
    </row>
    <row r="4661" spans="1:20" x14ac:dyDescent="0.25">
      <c r="A4661" s="3">
        <v>41964</v>
      </c>
      <c r="B4661" s="36">
        <v>407</v>
      </c>
      <c r="C4661" t="s">
        <v>2662</v>
      </c>
      <c r="E4661" s="18">
        <v>100</v>
      </c>
      <c r="F4661" t="s">
        <v>891</v>
      </c>
      <c r="H4661" s="18" t="s">
        <v>442</v>
      </c>
      <c r="I4661" s="3" t="s">
        <v>442</v>
      </c>
      <c r="J4661"/>
      <c r="L4661"/>
      <c r="M4661"/>
      <c r="N4661" s="20"/>
      <c r="O4661"/>
      <c r="P4661" s="20" t="s">
        <v>401</v>
      </c>
      <c r="Q4661" s="20"/>
      <c r="R4661" s="20"/>
      <c r="S4661" s="20"/>
      <c r="T4661" s="20"/>
    </row>
    <row r="4662" spans="1:20" x14ac:dyDescent="0.25">
      <c r="A4662" s="3">
        <v>41995</v>
      </c>
      <c r="B4662" s="36">
        <v>407</v>
      </c>
      <c r="C4662" t="s">
        <v>967</v>
      </c>
      <c r="E4662" s="18">
        <v>325.35000000000002</v>
      </c>
      <c r="F4662" t="s">
        <v>889</v>
      </c>
      <c r="G4662" t="s">
        <v>442</v>
      </c>
      <c r="H4662" s="18" t="s">
        <v>442</v>
      </c>
      <c r="I4662" s="3" t="s">
        <v>442</v>
      </c>
      <c r="J4662"/>
      <c r="L4662"/>
      <c r="M4662"/>
      <c r="N4662" s="40" t="s">
        <v>401</v>
      </c>
      <c r="O4662"/>
      <c r="P4662" s="20"/>
      <c r="Q4662" s="20"/>
      <c r="R4662" s="20"/>
      <c r="S4662" s="20"/>
      <c r="T4662" s="20"/>
    </row>
    <row r="4663" spans="1:20" x14ac:dyDescent="0.25">
      <c r="A4663" s="3">
        <v>41995</v>
      </c>
      <c r="B4663" s="36">
        <v>407</v>
      </c>
      <c r="C4663" t="s">
        <v>4993</v>
      </c>
      <c r="E4663" s="18">
        <v>150</v>
      </c>
      <c r="F4663" t="s">
        <v>891</v>
      </c>
      <c r="H4663" s="18" t="s">
        <v>442</v>
      </c>
      <c r="I4663" s="3" t="s">
        <v>442</v>
      </c>
      <c r="J4663"/>
      <c r="L4663"/>
      <c r="M4663"/>
      <c r="N4663" s="20"/>
      <c r="O4663"/>
      <c r="P4663" s="20" t="s">
        <v>401</v>
      </c>
      <c r="Q4663" s="20"/>
      <c r="R4663" s="20"/>
      <c r="S4663" s="20"/>
      <c r="T4663" s="20"/>
    </row>
    <row r="4664" spans="1:20" x14ac:dyDescent="0.25">
      <c r="A4664" s="3">
        <v>41999</v>
      </c>
      <c r="B4664" s="36">
        <v>407</v>
      </c>
      <c r="C4664" t="s">
        <v>4994</v>
      </c>
      <c r="E4664" s="18">
        <v>185</v>
      </c>
      <c r="F4664" t="s">
        <v>891</v>
      </c>
      <c r="H4664" s="18" t="s">
        <v>442</v>
      </c>
      <c r="I4664" s="3" t="s">
        <v>442</v>
      </c>
      <c r="J4664"/>
      <c r="L4664"/>
      <c r="M4664"/>
      <c r="N4664" s="20"/>
      <c r="O4664"/>
      <c r="P4664" s="20" t="s">
        <v>401</v>
      </c>
      <c r="Q4664" s="20"/>
      <c r="R4664" s="20"/>
      <c r="S4664" s="20"/>
      <c r="T4664" s="20"/>
    </row>
    <row r="4665" spans="1:20" x14ac:dyDescent="0.25">
      <c r="A4665" s="3">
        <v>42019</v>
      </c>
      <c r="B4665" s="36">
        <v>407</v>
      </c>
      <c r="C4665" t="s">
        <v>969</v>
      </c>
      <c r="D4665" s="55"/>
      <c r="E4665" s="18">
        <v>88.2</v>
      </c>
      <c r="F4665" t="s">
        <v>889</v>
      </c>
      <c r="H4665" s="18" t="s">
        <v>442</v>
      </c>
      <c r="I4665" s="3" t="s">
        <v>442</v>
      </c>
      <c r="J4665"/>
      <c r="L4665"/>
      <c r="M4665"/>
      <c r="N4665" s="40" t="s">
        <v>401</v>
      </c>
      <c r="O4665"/>
      <c r="P4665" s="20"/>
      <c r="Q4665" s="20"/>
      <c r="R4665" s="20"/>
      <c r="S4665" s="20"/>
      <c r="T4665" s="20"/>
    </row>
    <row r="4666" spans="1:20" x14ac:dyDescent="0.25">
      <c r="A4666" s="3">
        <v>42019</v>
      </c>
      <c r="B4666" s="36">
        <v>407</v>
      </c>
      <c r="C4666" t="s">
        <v>4995</v>
      </c>
      <c r="D4666" s="55"/>
      <c r="E4666" s="18">
        <v>300</v>
      </c>
      <c r="F4666" t="s">
        <v>891</v>
      </c>
      <c r="H4666" s="18" t="s">
        <v>442</v>
      </c>
      <c r="I4666" s="3" t="s">
        <v>442</v>
      </c>
      <c r="J4666"/>
      <c r="L4666"/>
      <c r="M4666"/>
      <c r="N4666" s="20"/>
      <c r="O4666"/>
      <c r="P4666" s="20" t="s">
        <v>401</v>
      </c>
      <c r="Q4666" s="20"/>
      <c r="R4666" s="20"/>
      <c r="S4666" s="20"/>
      <c r="T4666" s="20"/>
    </row>
    <row r="4667" spans="1:20" x14ac:dyDescent="0.25">
      <c r="A4667" s="3">
        <v>42027</v>
      </c>
      <c r="B4667" s="36">
        <v>407</v>
      </c>
      <c r="C4667" t="s">
        <v>4996</v>
      </c>
      <c r="D4667" s="55"/>
      <c r="E4667" s="18">
        <v>225</v>
      </c>
      <c r="F4667" t="s">
        <v>891</v>
      </c>
      <c r="H4667" s="18" t="s">
        <v>442</v>
      </c>
      <c r="I4667" s="3" t="s">
        <v>442</v>
      </c>
      <c r="J4667"/>
      <c r="L4667"/>
      <c r="M4667"/>
      <c r="N4667" s="20"/>
      <c r="O4667"/>
      <c r="P4667" s="20" t="s">
        <v>401</v>
      </c>
      <c r="Q4667" s="20"/>
      <c r="R4667" s="20"/>
      <c r="S4667" s="20"/>
      <c r="T4667" s="20"/>
    </row>
    <row r="4668" spans="1:20" x14ac:dyDescent="0.25">
      <c r="A4668" s="3">
        <v>42041</v>
      </c>
      <c r="B4668">
        <v>407</v>
      </c>
      <c r="C4668" t="s">
        <v>2671</v>
      </c>
      <c r="E4668" s="18">
        <v>150</v>
      </c>
      <c r="F4668" t="s">
        <v>891</v>
      </c>
      <c r="I4668"/>
      <c r="J4668"/>
      <c r="L4668"/>
      <c r="M4668"/>
      <c r="O4668"/>
      <c r="P4668" s="20" t="s">
        <v>401</v>
      </c>
      <c r="Q4668" s="20"/>
      <c r="R4668" s="20"/>
      <c r="S4668" s="20"/>
      <c r="T4668" s="20"/>
    </row>
    <row r="4669" spans="1:20" x14ac:dyDescent="0.25">
      <c r="A4669" s="3">
        <v>41880</v>
      </c>
      <c r="B4669" s="72">
        <v>410</v>
      </c>
      <c r="C4669" t="s">
        <v>4784</v>
      </c>
      <c r="D4669">
        <v>12</v>
      </c>
      <c r="E4669" s="18">
        <v>1200</v>
      </c>
      <c r="F4669" s="18" t="s">
        <v>889</v>
      </c>
      <c r="G4669" t="s">
        <v>4785</v>
      </c>
      <c r="H4669" s="18"/>
      <c r="J4669"/>
      <c r="L4669"/>
      <c r="M4669"/>
      <c r="N4669" s="20"/>
      <c r="O4669"/>
      <c r="P4669" s="20"/>
      <c r="Q4669" s="20"/>
      <c r="R4669" s="20"/>
      <c r="S4669" s="20"/>
      <c r="T4669" s="20"/>
    </row>
    <row r="4670" spans="1:20" x14ac:dyDescent="0.25">
      <c r="A4670" s="3">
        <v>41894</v>
      </c>
      <c r="B4670" s="72">
        <v>410</v>
      </c>
      <c r="C4670" t="s">
        <v>4972</v>
      </c>
      <c r="E4670" s="18">
        <v>1000</v>
      </c>
      <c r="F4670" s="18" t="s">
        <v>889</v>
      </c>
      <c r="H4670" s="18"/>
      <c r="J4670"/>
      <c r="L4670"/>
      <c r="M4670"/>
      <c r="N4670" s="20"/>
      <c r="O4670"/>
      <c r="P4670" s="20"/>
      <c r="Q4670" s="20"/>
      <c r="R4670" s="20"/>
      <c r="S4670" s="20"/>
      <c r="T4670" s="20" t="s">
        <v>401</v>
      </c>
    </row>
    <row r="4671" spans="1:20" x14ac:dyDescent="0.25">
      <c r="A4671" s="3">
        <v>41901</v>
      </c>
      <c r="B4671" s="72">
        <v>410</v>
      </c>
      <c r="C4671" t="s">
        <v>4997</v>
      </c>
      <c r="E4671" s="18">
        <v>1500</v>
      </c>
      <c r="F4671" s="18" t="s">
        <v>889</v>
      </c>
      <c r="H4671" s="18"/>
      <c r="J4671"/>
      <c r="L4671"/>
      <c r="M4671"/>
      <c r="N4671" s="20"/>
      <c r="O4671"/>
      <c r="P4671" s="20"/>
      <c r="Q4671" s="20"/>
      <c r="R4671" s="20"/>
      <c r="S4671" s="20"/>
      <c r="T4671" s="20" t="s">
        <v>401</v>
      </c>
    </row>
    <row r="4672" spans="1:20" x14ac:dyDescent="0.25">
      <c r="A4672" s="3">
        <v>41922</v>
      </c>
      <c r="B4672" s="72">
        <v>410</v>
      </c>
      <c r="C4672" t="s">
        <v>4998</v>
      </c>
      <c r="E4672" s="18">
        <v>1000</v>
      </c>
      <c r="F4672" s="18"/>
      <c r="H4672" s="18"/>
      <c r="J4672"/>
      <c r="L4672"/>
      <c r="M4672"/>
      <c r="N4672" s="20"/>
      <c r="O4672"/>
      <c r="P4672" s="20"/>
      <c r="Q4672" s="20"/>
      <c r="R4672" s="20"/>
      <c r="S4672" s="20"/>
      <c r="T4672" s="20" t="s">
        <v>401</v>
      </c>
    </row>
    <row r="4673" spans="1:20" x14ac:dyDescent="0.25">
      <c r="A4673" s="3">
        <v>41929</v>
      </c>
      <c r="B4673" s="72">
        <v>410</v>
      </c>
      <c r="C4673" t="s">
        <v>4999</v>
      </c>
      <c r="D4673">
        <v>3.5</v>
      </c>
      <c r="E4673" s="18">
        <v>357</v>
      </c>
      <c r="F4673" s="18"/>
      <c r="G4673" t="s">
        <v>5000</v>
      </c>
      <c r="H4673" s="18"/>
      <c r="J4673"/>
      <c r="L4673"/>
      <c r="M4673"/>
      <c r="N4673" s="20"/>
      <c r="O4673"/>
      <c r="P4673" s="20"/>
      <c r="Q4673" s="20"/>
      <c r="R4673" s="20"/>
      <c r="S4673" s="20"/>
      <c r="T4673" s="20"/>
    </row>
    <row r="4674" spans="1:20" x14ac:dyDescent="0.25">
      <c r="A4674" s="3">
        <v>41929</v>
      </c>
      <c r="B4674" s="72">
        <v>410</v>
      </c>
      <c r="C4674" t="s">
        <v>4998</v>
      </c>
      <c r="E4674" s="18">
        <v>-1000</v>
      </c>
      <c r="F4674" s="18"/>
      <c r="H4674" s="18"/>
      <c r="J4674"/>
      <c r="L4674"/>
      <c r="M4674"/>
      <c r="N4674" s="20"/>
      <c r="O4674"/>
      <c r="P4674" s="20"/>
      <c r="Q4674" s="20"/>
      <c r="R4674" s="20"/>
      <c r="S4674" s="20"/>
      <c r="T4674" s="20" t="s">
        <v>401</v>
      </c>
    </row>
    <row r="4675" spans="1:20" x14ac:dyDescent="0.25">
      <c r="A4675" s="3">
        <v>41929</v>
      </c>
      <c r="B4675" s="72">
        <v>410</v>
      </c>
      <c r="C4675" t="s">
        <v>5001</v>
      </c>
      <c r="D4675">
        <v>3.25</v>
      </c>
      <c r="E4675" s="18">
        <v>-331.5</v>
      </c>
      <c r="F4675" s="18"/>
      <c r="G4675" t="s">
        <v>5002</v>
      </c>
      <c r="H4675" s="18"/>
      <c r="J4675"/>
      <c r="L4675"/>
      <c r="M4675"/>
      <c r="N4675" s="20"/>
      <c r="O4675"/>
      <c r="P4675" s="20"/>
      <c r="Q4675" s="20"/>
      <c r="R4675" s="20"/>
      <c r="S4675" s="20"/>
      <c r="T4675" s="20"/>
    </row>
    <row r="4676" spans="1:20" x14ac:dyDescent="0.25">
      <c r="A4676" s="3">
        <v>41929</v>
      </c>
      <c r="B4676" s="72">
        <v>410</v>
      </c>
      <c r="C4676" t="s">
        <v>5003</v>
      </c>
      <c r="D4676">
        <v>5</v>
      </c>
      <c r="E4676" s="18">
        <v>509.99999999999994</v>
      </c>
      <c r="F4676" s="18"/>
      <c r="G4676" t="s">
        <v>5004</v>
      </c>
      <c r="H4676" s="18"/>
      <c r="J4676"/>
      <c r="L4676"/>
      <c r="M4676"/>
      <c r="N4676" s="20"/>
      <c r="O4676"/>
      <c r="P4676" s="20"/>
      <c r="Q4676" s="20"/>
      <c r="R4676" s="20"/>
      <c r="S4676" s="20"/>
      <c r="T4676" s="20"/>
    </row>
    <row r="4677" spans="1:20" x14ac:dyDescent="0.25">
      <c r="A4677" s="3">
        <v>41929</v>
      </c>
      <c r="B4677" s="72">
        <v>410</v>
      </c>
      <c r="C4677" t="s">
        <v>5005</v>
      </c>
      <c r="D4677">
        <v>3</v>
      </c>
      <c r="E4677" s="18">
        <v>331.5</v>
      </c>
      <c r="F4677" s="18"/>
      <c r="G4677" t="s">
        <v>5006</v>
      </c>
      <c r="H4677" s="18"/>
      <c r="J4677"/>
      <c r="L4677"/>
      <c r="M4677"/>
      <c r="N4677" s="20"/>
      <c r="O4677"/>
      <c r="P4677" s="20"/>
      <c r="Q4677" s="20"/>
      <c r="R4677" s="20"/>
      <c r="S4677" s="20"/>
      <c r="T4677" s="20"/>
    </row>
    <row r="4678" spans="1:20" x14ac:dyDescent="0.25">
      <c r="A4678" s="3">
        <v>41929</v>
      </c>
      <c r="B4678" s="72">
        <v>410</v>
      </c>
      <c r="C4678" t="s">
        <v>5007</v>
      </c>
      <c r="E4678" s="18">
        <v>1725</v>
      </c>
      <c r="F4678" s="18"/>
      <c r="G4678" t="s">
        <v>5008</v>
      </c>
      <c r="H4678" s="18"/>
      <c r="J4678"/>
      <c r="L4678"/>
      <c r="M4678"/>
      <c r="N4678" s="20"/>
      <c r="O4678"/>
      <c r="P4678" s="20"/>
      <c r="Q4678" s="20"/>
      <c r="R4678" s="20"/>
      <c r="S4678" s="20"/>
      <c r="T4678" s="20"/>
    </row>
    <row r="4679" spans="1:20" x14ac:dyDescent="0.25">
      <c r="A4679" s="3">
        <v>41943</v>
      </c>
      <c r="B4679" s="72">
        <v>410</v>
      </c>
      <c r="C4679" t="s">
        <v>5009</v>
      </c>
      <c r="D4679">
        <v>6.63</v>
      </c>
      <c r="E4679" s="18">
        <v>663</v>
      </c>
      <c r="F4679" s="18" t="s">
        <v>889</v>
      </c>
      <c r="G4679" t="s">
        <v>5010</v>
      </c>
      <c r="H4679" s="18"/>
      <c r="J4679"/>
      <c r="L4679"/>
      <c r="M4679"/>
      <c r="N4679" s="20"/>
      <c r="O4679"/>
      <c r="P4679" s="20"/>
      <c r="Q4679" s="20"/>
      <c r="R4679" s="20"/>
      <c r="S4679" s="20"/>
      <c r="T4679" s="20"/>
    </row>
    <row r="4680" spans="1:20" x14ac:dyDescent="0.25">
      <c r="A4680" s="3">
        <v>41943</v>
      </c>
      <c r="B4680" s="72">
        <v>410</v>
      </c>
      <c r="C4680" t="s">
        <v>5011</v>
      </c>
      <c r="D4680">
        <v>5.0999999999999996</v>
      </c>
      <c r="E4680" s="18">
        <v>509.99999999999994</v>
      </c>
      <c r="F4680" s="18" t="s">
        <v>889</v>
      </c>
      <c r="G4680" t="s">
        <v>5012</v>
      </c>
      <c r="H4680" s="18"/>
      <c r="J4680"/>
      <c r="L4680"/>
      <c r="M4680"/>
      <c r="N4680" s="20"/>
      <c r="O4680"/>
      <c r="P4680" s="20"/>
      <c r="Q4680" s="20"/>
      <c r="R4680" s="20"/>
      <c r="S4680" s="20"/>
      <c r="T4680" s="20"/>
    </row>
    <row r="4681" spans="1:20" x14ac:dyDescent="0.25">
      <c r="A4681" s="3">
        <v>41943</v>
      </c>
      <c r="B4681" s="72">
        <v>410</v>
      </c>
      <c r="C4681" t="s">
        <v>5013</v>
      </c>
      <c r="D4681">
        <v>3.75</v>
      </c>
      <c r="E4681" s="18">
        <v>331.5</v>
      </c>
      <c r="F4681" s="18" t="s">
        <v>889</v>
      </c>
      <c r="G4681" t="s">
        <v>5014</v>
      </c>
      <c r="H4681" s="18"/>
      <c r="J4681"/>
      <c r="L4681"/>
      <c r="M4681"/>
      <c r="N4681" s="20"/>
      <c r="O4681" t="s">
        <v>5015</v>
      </c>
      <c r="P4681" s="20"/>
      <c r="Q4681" s="20"/>
      <c r="R4681" s="20"/>
      <c r="S4681" s="20"/>
      <c r="T4681" s="20"/>
    </row>
    <row r="4682" spans="1:20" x14ac:dyDescent="0.25">
      <c r="A4682" s="3">
        <v>41943</v>
      </c>
      <c r="B4682" s="72">
        <v>410</v>
      </c>
      <c r="C4682" t="s">
        <v>5016</v>
      </c>
      <c r="D4682">
        <v>2.8050000000000002</v>
      </c>
      <c r="E4682" s="18">
        <v>280.5</v>
      </c>
      <c r="F4682" s="18" t="s">
        <v>889</v>
      </c>
      <c r="G4682" t="s">
        <v>5017</v>
      </c>
      <c r="H4682" s="18"/>
      <c r="J4682"/>
      <c r="L4682"/>
      <c r="M4682"/>
      <c r="N4682" s="20"/>
      <c r="O4682"/>
      <c r="P4682" s="20"/>
      <c r="Q4682" s="20"/>
      <c r="R4682" s="20"/>
      <c r="S4682" s="20"/>
      <c r="T4682" s="20"/>
    </row>
    <row r="4683" spans="1:20" x14ac:dyDescent="0.25">
      <c r="A4683" s="3">
        <v>41943</v>
      </c>
      <c r="B4683" s="72">
        <v>410</v>
      </c>
      <c r="C4683" t="s">
        <v>5018</v>
      </c>
      <c r="D4683">
        <v>17.25</v>
      </c>
      <c r="E4683" s="18">
        <v>-1510.31</v>
      </c>
      <c r="F4683" s="18"/>
      <c r="G4683" t="s">
        <v>5008</v>
      </c>
      <c r="H4683" s="18"/>
      <c r="J4683"/>
      <c r="L4683"/>
      <c r="M4683"/>
      <c r="N4683" s="20"/>
      <c r="O4683" t="s">
        <v>5019</v>
      </c>
      <c r="P4683" s="20"/>
      <c r="Q4683" s="20"/>
      <c r="R4683" s="20"/>
      <c r="S4683" s="20"/>
      <c r="T4683" s="20"/>
    </row>
    <row r="4684" spans="1:20" x14ac:dyDescent="0.25">
      <c r="A4684" s="3">
        <v>41943</v>
      </c>
      <c r="B4684" s="72">
        <v>410</v>
      </c>
      <c r="C4684" t="s">
        <v>5020</v>
      </c>
      <c r="E4684" s="18">
        <v>19.309999999999999</v>
      </c>
      <c r="F4684" s="18" t="s">
        <v>891</v>
      </c>
      <c r="H4684" s="18"/>
      <c r="J4684"/>
      <c r="L4684"/>
      <c r="M4684"/>
      <c r="N4684" s="20"/>
      <c r="O4684"/>
      <c r="P4684" s="20" t="s">
        <v>401</v>
      </c>
      <c r="Q4684" s="20"/>
      <c r="R4684" s="20"/>
      <c r="S4684" s="20"/>
      <c r="T4684" s="20"/>
    </row>
    <row r="4685" spans="1:20" x14ac:dyDescent="0.25">
      <c r="A4685" s="3">
        <v>41943</v>
      </c>
      <c r="B4685" s="72">
        <v>410</v>
      </c>
      <c r="C4685" t="s">
        <v>5021</v>
      </c>
      <c r="E4685" s="18">
        <v>135</v>
      </c>
      <c r="F4685" s="18" t="s">
        <v>891</v>
      </c>
      <c r="H4685" s="18"/>
      <c r="J4685"/>
      <c r="L4685"/>
      <c r="M4685"/>
      <c r="N4685" s="20"/>
      <c r="O4685"/>
      <c r="P4685" s="20" t="s">
        <v>401</v>
      </c>
      <c r="Q4685" s="20"/>
      <c r="R4685" s="20"/>
      <c r="S4685" s="20"/>
      <c r="T4685" s="20"/>
    </row>
    <row r="4686" spans="1:20" x14ac:dyDescent="0.25">
      <c r="A4686" s="3">
        <v>41943</v>
      </c>
      <c r="B4686" s="72">
        <v>410</v>
      </c>
      <c r="C4686" t="s">
        <v>5022</v>
      </c>
      <c r="D4686">
        <v>5.61</v>
      </c>
      <c r="E4686" s="18">
        <v>561</v>
      </c>
      <c r="F4686" s="18" t="s">
        <v>889</v>
      </c>
      <c r="G4686" t="s">
        <v>5023</v>
      </c>
      <c r="H4686" s="18"/>
      <c r="J4686"/>
      <c r="L4686"/>
      <c r="M4686"/>
      <c r="N4686" s="20"/>
      <c r="O4686"/>
      <c r="P4686" s="20"/>
      <c r="Q4686" s="20"/>
      <c r="R4686" s="20"/>
      <c r="S4686" s="20"/>
      <c r="T4686" s="20"/>
    </row>
    <row r="4687" spans="1:20" x14ac:dyDescent="0.25">
      <c r="A4687" s="3">
        <v>41943</v>
      </c>
      <c r="B4687" s="72">
        <v>410</v>
      </c>
      <c r="C4687" t="s">
        <v>5024</v>
      </c>
      <c r="D4687">
        <v>5.0999999999999996</v>
      </c>
      <c r="E4687" s="18">
        <v>509.99999999999994</v>
      </c>
      <c r="F4687" s="18" t="s">
        <v>889</v>
      </c>
      <c r="G4687" t="s">
        <v>5025</v>
      </c>
      <c r="H4687" s="18"/>
      <c r="J4687"/>
      <c r="L4687"/>
      <c r="M4687"/>
      <c r="N4687" s="20"/>
      <c r="O4687"/>
      <c r="P4687" s="20"/>
      <c r="Q4687" s="20"/>
      <c r="R4687" s="20"/>
      <c r="S4687" s="20"/>
      <c r="T4687" s="20"/>
    </row>
    <row r="4688" spans="1:20" x14ac:dyDescent="0.25">
      <c r="A4688" s="3">
        <v>41950</v>
      </c>
      <c r="B4688" s="72">
        <v>410</v>
      </c>
      <c r="C4688" t="s">
        <v>5026</v>
      </c>
      <c r="E4688" s="18">
        <v>1000</v>
      </c>
      <c r="F4688" s="18" t="s">
        <v>889</v>
      </c>
      <c r="H4688" s="18"/>
      <c r="J4688"/>
      <c r="L4688"/>
      <c r="M4688"/>
      <c r="N4688" s="20"/>
      <c r="O4688"/>
      <c r="P4688" s="20"/>
      <c r="Q4688" s="20"/>
      <c r="R4688" s="20"/>
      <c r="S4688" s="20"/>
      <c r="T4688" s="20" t="s">
        <v>401</v>
      </c>
    </row>
    <row r="4689" spans="1:20" x14ac:dyDescent="0.25">
      <c r="A4689" s="3">
        <v>41950</v>
      </c>
      <c r="B4689" s="72">
        <v>410</v>
      </c>
      <c r="C4689" t="s">
        <v>5027</v>
      </c>
      <c r="D4689">
        <v>4.5</v>
      </c>
      <c r="E4689" s="18">
        <v>535.5</v>
      </c>
      <c r="F4689" s="18"/>
      <c r="G4689" t="s">
        <v>5028</v>
      </c>
      <c r="H4689" s="18"/>
      <c r="J4689"/>
      <c r="L4689"/>
      <c r="M4689"/>
      <c r="N4689" s="20"/>
      <c r="O4689" t="s">
        <v>5028</v>
      </c>
      <c r="P4689" s="20"/>
      <c r="Q4689" s="20"/>
      <c r="R4689" s="20"/>
      <c r="S4689" s="20"/>
      <c r="T4689" s="20"/>
    </row>
    <row r="4690" spans="1:20" x14ac:dyDescent="0.25">
      <c r="A4690" s="3">
        <v>41950</v>
      </c>
      <c r="B4690" s="72">
        <v>410</v>
      </c>
      <c r="C4690" t="s">
        <v>5001</v>
      </c>
      <c r="D4690">
        <v>3.3149999999999999</v>
      </c>
      <c r="E4690" s="18">
        <v>331.5</v>
      </c>
      <c r="F4690" s="18"/>
      <c r="G4690" t="s">
        <v>5002</v>
      </c>
      <c r="H4690" s="18"/>
      <c r="J4690"/>
      <c r="L4690"/>
      <c r="M4690"/>
      <c r="N4690" s="20"/>
      <c r="O4690"/>
      <c r="P4690" s="20"/>
      <c r="Q4690" s="20"/>
      <c r="R4690" s="20"/>
      <c r="S4690" s="20"/>
      <c r="T4690" s="20"/>
    </row>
    <row r="4691" spans="1:20" x14ac:dyDescent="0.25">
      <c r="A4691" s="3">
        <v>41950</v>
      </c>
      <c r="B4691" s="72">
        <v>410</v>
      </c>
      <c r="C4691" t="s">
        <v>5029</v>
      </c>
      <c r="D4691">
        <v>4.25</v>
      </c>
      <c r="E4691" s="18">
        <v>382.5</v>
      </c>
      <c r="F4691" s="18"/>
      <c r="G4691" t="s">
        <v>5030</v>
      </c>
      <c r="H4691" s="18"/>
      <c r="J4691"/>
      <c r="L4691"/>
      <c r="M4691"/>
      <c r="N4691" s="20"/>
      <c r="O4691" t="s">
        <v>5030</v>
      </c>
      <c r="P4691" s="20"/>
      <c r="Q4691" s="20"/>
      <c r="R4691" s="20"/>
      <c r="S4691" s="20"/>
      <c r="T4691" s="20"/>
    </row>
    <row r="4692" spans="1:20" x14ac:dyDescent="0.25">
      <c r="A4692" s="3">
        <v>41950</v>
      </c>
      <c r="B4692" s="72">
        <v>410</v>
      </c>
      <c r="C4692" t="s">
        <v>5003</v>
      </c>
      <c r="D4692">
        <v>5.0999999999999996</v>
      </c>
      <c r="E4692" s="18">
        <v>-509.99999999999994</v>
      </c>
      <c r="F4692" s="18" t="s">
        <v>889</v>
      </c>
      <c r="G4692" t="s">
        <v>5004</v>
      </c>
      <c r="H4692" s="18"/>
      <c r="J4692"/>
      <c r="L4692"/>
      <c r="M4692"/>
      <c r="N4692" s="20"/>
      <c r="O4692"/>
      <c r="P4692" s="20"/>
      <c r="Q4692" s="20"/>
      <c r="R4692" s="20"/>
      <c r="S4692" s="20"/>
      <c r="T4692" s="20"/>
    </row>
    <row r="4693" spans="1:20" x14ac:dyDescent="0.25">
      <c r="A4693" s="3">
        <v>41950</v>
      </c>
      <c r="B4693" s="72">
        <v>410</v>
      </c>
      <c r="C4693" t="s">
        <v>5031</v>
      </c>
      <c r="D4693">
        <v>7.14</v>
      </c>
      <c r="E4693" s="18">
        <v>714</v>
      </c>
      <c r="F4693" s="18" t="s">
        <v>889</v>
      </c>
      <c r="G4693" t="s">
        <v>5032</v>
      </c>
      <c r="H4693" s="18"/>
      <c r="J4693"/>
      <c r="L4693"/>
      <c r="M4693"/>
      <c r="N4693" s="20"/>
      <c r="O4693"/>
      <c r="P4693" s="20"/>
      <c r="Q4693" s="20"/>
      <c r="R4693" s="20"/>
      <c r="S4693" s="20"/>
      <c r="T4693" s="20"/>
    </row>
    <row r="4694" spans="1:20" x14ac:dyDescent="0.25">
      <c r="A4694" s="3">
        <v>41950</v>
      </c>
      <c r="B4694" s="72">
        <v>410</v>
      </c>
      <c r="C4694" t="s">
        <v>5018</v>
      </c>
      <c r="D4694">
        <v>17.25</v>
      </c>
      <c r="E4694" s="18">
        <v>-214.69000000000005</v>
      </c>
      <c r="F4694" s="18"/>
      <c r="G4694" t="s">
        <v>5008</v>
      </c>
      <c r="H4694" s="18"/>
      <c r="J4694"/>
      <c r="L4694"/>
      <c r="M4694"/>
      <c r="N4694" s="20"/>
      <c r="O4694" t="s">
        <v>5019</v>
      </c>
      <c r="P4694" s="20"/>
      <c r="Q4694" s="20"/>
      <c r="R4694" s="20"/>
      <c r="S4694" s="20"/>
      <c r="T4694" s="20"/>
    </row>
    <row r="4695" spans="1:20" x14ac:dyDescent="0.25">
      <c r="A4695" s="3">
        <v>41950</v>
      </c>
      <c r="B4695" s="72">
        <v>410</v>
      </c>
      <c r="C4695" t="s">
        <v>4997</v>
      </c>
      <c r="E4695" s="18">
        <v>-1500</v>
      </c>
      <c r="F4695" s="18"/>
      <c r="H4695" s="18"/>
      <c r="J4695"/>
      <c r="L4695"/>
      <c r="M4695"/>
      <c r="N4695" s="20"/>
      <c r="O4695" t="s">
        <v>5033</v>
      </c>
      <c r="P4695" s="20"/>
      <c r="Q4695" s="20"/>
      <c r="R4695" s="20"/>
      <c r="S4695" s="20"/>
      <c r="T4695" s="20" t="s">
        <v>401</v>
      </c>
    </row>
    <row r="4696" spans="1:20" x14ac:dyDescent="0.25">
      <c r="A4696" s="3">
        <v>41950</v>
      </c>
      <c r="B4696" s="72">
        <v>410</v>
      </c>
      <c r="C4696" t="s">
        <v>1315</v>
      </c>
      <c r="E4696" s="18">
        <v>-204.15</v>
      </c>
      <c r="F4696" s="18"/>
      <c r="H4696" s="18"/>
      <c r="J4696"/>
      <c r="L4696"/>
      <c r="M4696"/>
      <c r="N4696" s="20"/>
      <c r="O4696" t="s">
        <v>5034</v>
      </c>
      <c r="P4696" s="20"/>
      <c r="Q4696" s="20" t="s">
        <v>401</v>
      </c>
      <c r="R4696" s="20"/>
      <c r="S4696" s="20"/>
      <c r="T4696" s="20"/>
    </row>
    <row r="4697" spans="1:20" x14ac:dyDescent="0.25">
      <c r="A4697" s="3">
        <v>41950</v>
      </c>
      <c r="B4697" s="72">
        <v>410</v>
      </c>
      <c r="C4697" t="s">
        <v>1117</v>
      </c>
      <c r="E4697" s="18">
        <v>-206.98611109999999</v>
      </c>
      <c r="F4697" s="18"/>
      <c r="H4697" s="18"/>
      <c r="J4697"/>
      <c r="L4697"/>
      <c r="M4697"/>
      <c r="N4697" s="20"/>
      <c r="O4697" t="s">
        <v>5035</v>
      </c>
      <c r="P4697" s="20"/>
      <c r="Q4697" s="20" t="s">
        <v>401</v>
      </c>
      <c r="R4697" s="20"/>
      <c r="S4697" s="20"/>
      <c r="T4697" s="20"/>
    </row>
    <row r="4698" spans="1:20" x14ac:dyDescent="0.25">
      <c r="A4698" s="3">
        <v>41950</v>
      </c>
      <c r="B4698" s="72">
        <v>410</v>
      </c>
      <c r="C4698" t="s">
        <v>4434</v>
      </c>
      <c r="E4698" s="18">
        <v>206.98611109999999</v>
      </c>
      <c r="F4698" s="18" t="s">
        <v>891</v>
      </c>
      <c r="H4698" s="18"/>
      <c r="J4698"/>
      <c r="L4698"/>
      <c r="M4698"/>
      <c r="N4698" s="20"/>
      <c r="O4698"/>
      <c r="P4698" s="20"/>
      <c r="Q4698" s="20" t="s">
        <v>401</v>
      </c>
      <c r="R4698" s="20"/>
      <c r="S4698" s="20"/>
      <c r="T4698" s="20"/>
    </row>
    <row r="4699" spans="1:20" x14ac:dyDescent="0.25">
      <c r="A4699" s="3">
        <v>41950</v>
      </c>
      <c r="B4699" s="72">
        <v>410</v>
      </c>
      <c r="C4699" t="s">
        <v>5036</v>
      </c>
      <c r="E4699" s="18">
        <v>-384.40277780000002</v>
      </c>
      <c r="F4699" s="18"/>
      <c r="H4699" s="18"/>
      <c r="J4699"/>
      <c r="L4699"/>
      <c r="M4699"/>
      <c r="N4699" s="20"/>
      <c r="O4699" t="s">
        <v>5035</v>
      </c>
      <c r="P4699" s="20"/>
      <c r="Q4699" s="20" t="s">
        <v>401</v>
      </c>
      <c r="R4699" s="20"/>
      <c r="S4699" s="20"/>
      <c r="T4699" s="20"/>
    </row>
    <row r="4700" spans="1:20" x14ac:dyDescent="0.25">
      <c r="A4700" s="3">
        <v>41950</v>
      </c>
      <c r="B4700" s="72">
        <v>410</v>
      </c>
      <c r="C4700" t="s">
        <v>5037</v>
      </c>
      <c r="E4700" s="18">
        <v>384.40277780000002</v>
      </c>
      <c r="F4700" s="18" t="s">
        <v>891</v>
      </c>
      <c r="H4700" s="18"/>
      <c r="J4700"/>
      <c r="L4700"/>
      <c r="M4700"/>
      <c r="N4700" s="20"/>
      <c r="O4700"/>
      <c r="P4700" s="20"/>
      <c r="Q4700" s="20" t="s">
        <v>401</v>
      </c>
      <c r="R4700" s="20"/>
      <c r="S4700" s="20"/>
      <c r="T4700" s="20"/>
    </row>
    <row r="4701" spans="1:20" x14ac:dyDescent="0.25">
      <c r="A4701" s="3">
        <v>41950</v>
      </c>
      <c r="B4701" s="72">
        <v>410</v>
      </c>
      <c r="C4701" t="s">
        <v>5038</v>
      </c>
      <c r="D4701">
        <v>3.06</v>
      </c>
      <c r="E4701" s="18">
        <v>306</v>
      </c>
      <c r="F4701" s="18"/>
      <c r="G4701" t="s">
        <v>5039</v>
      </c>
      <c r="H4701" s="18"/>
      <c r="J4701"/>
      <c r="L4701"/>
      <c r="M4701"/>
      <c r="N4701" s="20"/>
      <c r="O4701"/>
      <c r="P4701" s="20"/>
      <c r="Q4701" s="20"/>
      <c r="R4701" s="20"/>
      <c r="S4701" s="20"/>
      <c r="T4701" s="20"/>
    </row>
    <row r="4702" spans="1:20" x14ac:dyDescent="0.25">
      <c r="A4702" s="3">
        <v>41950</v>
      </c>
      <c r="B4702" s="72">
        <v>410</v>
      </c>
      <c r="C4702" t="s">
        <v>5040</v>
      </c>
      <c r="D4702">
        <v>3.8250000000000002</v>
      </c>
      <c r="E4702" s="18">
        <v>382.5</v>
      </c>
      <c r="F4702" s="18"/>
      <c r="G4702" t="s">
        <v>5041</v>
      </c>
      <c r="H4702" s="18"/>
      <c r="J4702"/>
      <c r="L4702"/>
      <c r="M4702"/>
      <c r="N4702" s="20"/>
      <c r="O4702"/>
      <c r="P4702" s="20"/>
      <c r="Q4702" s="20"/>
      <c r="R4702" s="20"/>
      <c r="S4702" s="20"/>
      <c r="T4702" s="20"/>
    </row>
    <row r="4703" spans="1:20" x14ac:dyDescent="0.25">
      <c r="A4703" s="3">
        <v>41950</v>
      </c>
      <c r="B4703" s="72">
        <v>410</v>
      </c>
      <c r="C4703" t="s">
        <v>5040</v>
      </c>
      <c r="D4703">
        <v>3.75</v>
      </c>
      <c r="E4703" s="18">
        <v>-382.5</v>
      </c>
      <c r="F4703" s="18"/>
      <c r="G4703" t="s">
        <v>5041</v>
      </c>
      <c r="H4703" s="18"/>
      <c r="J4703"/>
      <c r="L4703"/>
      <c r="M4703"/>
      <c r="N4703" s="20"/>
      <c r="O4703" t="s">
        <v>5041</v>
      </c>
      <c r="P4703" s="20"/>
      <c r="Q4703" s="20"/>
      <c r="R4703" s="20"/>
      <c r="S4703" s="20"/>
      <c r="T4703" s="20"/>
    </row>
    <row r="4704" spans="1:20" x14ac:dyDescent="0.25">
      <c r="A4704" s="3">
        <v>41957</v>
      </c>
      <c r="B4704" s="72">
        <v>410</v>
      </c>
      <c r="C4704" t="s">
        <v>5042</v>
      </c>
      <c r="D4704">
        <v>7.14</v>
      </c>
      <c r="E4704" s="18">
        <v>714</v>
      </c>
      <c r="F4704" s="18" t="s">
        <v>889</v>
      </c>
      <c r="G4704" t="s">
        <v>5043</v>
      </c>
      <c r="H4704" s="18"/>
      <c r="J4704"/>
      <c r="L4704"/>
      <c r="M4704"/>
      <c r="N4704" s="20"/>
      <c r="O4704"/>
      <c r="P4704" s="20"/>
      <c r="Q4704" s="20"/>
      <c r="R4704" s="20"/>
      <c r="S4704" s="20"/>
      <c r="T4704" s="20"/>
    </row>
    <row r="4705" spans="1:20" x14ac:dyDescent="0.25">
      <c r="A4705" s="3">
        <v>41957</v>
      </c>
      <c r="B4705" s="72">
        <v>410</v>
      </c>
      <c r="C4705" t="s">
        <v>5044</v>
      </c>
      <c r="D4705">
        <v>6.12</v>
      </c>
      <c r="E4705" s="18">
        <v>612</v>
      </c>
      <c r="F4705" s="18" t="s">
        <v>889</v>
      </c>
      <c r="G4705" t="s">
        <v>5045</v>
      </c>
      <c r="H4705" s="18"/>
      <c r="J4705"/>
      <c r="L4705"/>
      <c r="M4705"/>
      <c r="N4705" s="20"/>
      <c r="O4705"/>
      <c r="P4705" s="20"/>
      <c r="Q4705" s="20"/>
      <c r="R4705" s="20"/>
      <c r="S4705" s="20"/>
      <c r="T4705" s="20"/>
    </row>
    <row r="4706" spans="1:20" x14ac:dyDescent="0.25">
      <c r="A4706" s="3">
        <v>41957</v>
      </c>
      <c r="B4706" s="72">
        <v>410</v>
      </c>
      <c r="C4706" t="s">
        <v>5046</v>
      </c>
      <c r="E4706" s="18">
        <v>106.92</v>
      </c>
      <c r="F4706" s="18" t="s">
        <v>891</v>
      </c>
      <c r="H4706" s="18"/>
      <c r="J4706"/>
      <c r="L4706"/>
      <c r="M4706"/>
      <c r="N4706" s="20"/>
      <c r="O4706"/>
      <c r="P4706" s="20" t="s">
        <v>401</v>
      </c>
      <c r="Q4706" s="20"/>
      <c r="R4706" s="20"/>
      <c r="S4706" s="20"/>
      <c r="T4706" s="20"/>
    </row>
    <row r="4707" spans="1:20" x14ac:dyDescent="0.25">
      <c r="A4707" s="3">
        <v>41957</v>
      </c>
      <c r="B4707" s="72">
        <v>410</v>
      </c>
      <c r="C4707" t="s">
        <v>5038</v>
      </c>
      <c r="D4707">
        <v>3.06</v>
      </c>
      <c r="E4707" s="18">
        <v>306</v>
      </c>
      <c r="F4707" s="18" t="s">
        <v>889</v>
      </c>
      <c r="G4707" t="s">
        <v>5039</v>
      </c>
      <c r="H4707" s="18"/>
      <c r="J4707"/>
      <c r="L4707"/>
      <c r="M4707"/>
      <c r="N4707" s="20"/>
      <c r="O4707" t="s">
        <v>959</v>
      </c>
      <c r="P4707" s="20"/>
      <c r="Q4707" s="20"/>
      <c r="R4707" s="20"/>
      <c r="S4707" s="20"/>
      <c r="T4707" s="20"/>
    </row>
    <row r="4708" spans="1:20" x14ac:dyDescent="0.25">
      <c r="A4708" s="3">
        <v>41964</v>
      </c>
      <c r="B4708" s="72">
        <v>410</v>
      </c>
      <c r="C4708" t="s">
        <v>5047</v>
      </c>
      <c r="D4708">
        <v>7.3949999999999996</v>
      </c>
      <c r="E4708" s="18">
        <v>739.5</v>
      </c>
      <c r="F4708" s="18"/>
      <c r="G4708" t="s">
        <v>5048</v>
      </c>
      <c r="H4708" s="18"/>
      <c r="J4708"/>
      <c r="L4708"/>
      <c r="M4708"/>
      <c r="N4708" s="20"/>
      <c r="O4708"/>
      <c r="P4708" s="20"/>
      <c r="Q4708" s="20"/>
      <c r="R4708" s="20"/>
      <c r="S4708" s="20"/>
      <c r="T4708" s="20"/>
    </row>
    <row r="4709" spans="1:20" x14ac:dyDescent="0.25">
      <c r="A4709" s="3">
        <v>41964</v>
      </c>
      <c r="B4709" s="72">
        <v>410</v>
      </c>
      <c r="C4709" t="s">
        <v>5026</v>
      </c>
      <c r="E4709" s="18">
        <v>-1000</v>
      </c>
      <c r="F4709" s="18"/>
      <c r="H4709" s="18"/>
      <c r="J4709"/>
      <c r="L4709"/>
      <c r="M4709"/>
      <c r="N4709" s="20"/>
      <c r="O4709"/>
      <c r="P4709" s="20"/>
      <c r="Q4709" s="20"/>
      <c r="R4709" s="20"/>
      <c r="S4709" s="20"/>
      <c r="T4709" s="20" t="s">
        <v>401</v>
      </c>
    </row>
    <row r="4710" spans="1:20" x14ac:dyDescent="0.25">
      <c r="A4710" s="3">
        <v>41964</v>
      </c>
      <c r="B4710" s="72">
        <v>410</v>
      </c>
      <c r="C4710" t="s">
        <v>5049</v>
      </c>
      <c r="E4710" s="18">
        <v>-204.15</v>
      </c>
      <c r="F4710" s="18"/>
      <c r="H4710" s="18"/>
      <c r="J4710"/>
      <c r="L4710"/>
      <c r="M4710"/>
      <c r="N4710" s="20"/>
      <c r="O4710"/>
      <c r="P4710" s="20"/>
      <c r="Q4710" s="20" t="s">
        <v>401</v>
      </c>
      <c r="R4710" s="20"/>
      <c r="S4710" s="20"/>
      <c r="T4710" s="20"/>
    </row>
    <row r="4711" spans="1:20" x14ac:dyDescent="0.25">
      <c r="A4711" s="3">
        <v>41964</v>
      </c>
      <c r="B4711" s="72">
        <v>410</v>
      </c>
      <c r="C4711" t="s">
        <v>5049</v>
      </c>
      <c r="E4711" s="18">
        <v>-204.15</v>
      </c>
      <c r="F4711" s="18"/>
      <c r="H4711" s="18"/>
      <c r="J4711"/>
      <c r="L4711"/>
      <c r="M4711"/>
      <c r="N4711" s="20"/>
      <c r="O4711"/>
      <c r="P4711" s="20"/>
      <c r="Q4711" s="20" t="s">
        <v>401</v>
      </c>
      <c r="R4711" s="20"/>
      <c r="S4711" s="20"/>
      <c r="T4711" s="20"/>
    </row>
    <row r="4712" spans="1:20" x14ac:dyDescent="0.25">
      <c r="A4712" s="3">
        <v>41964</v>
      </c>
      <c r="B4712" s="72">
        <v>410</v>
      </c>
      <c r="C4712" t="s">
        <v>5050</v>
      </c>
      <c r="E4712" s="18">
        <v>-204.15</v>
      </c>
      <c r="F4712" s="18"/>
      <c r="H4712" s="18"/>
      <c r="J4712"/>
      <c r="L4712"/>
      <c r="M4712"/>
      <c r="N4712" s="20"/>
      <c r="O4712"/>
      <c r="P4712" s="20"/>
      <c r="Q4712" s="20" t="s">
        <v>401</v>
      </c>
      <c r="R4712" s="20"/>
      <c r="S4712" s="20"/>
      <c r="T4712" s="20"/>
    </row>
    <row r="4713" spans="1:20" x14ac:dyDescent="0.25">
      <c r="A4713" s="3">
        <v>41964</v>
      </c>
      <c r="B4713" s="72">
        <v>410</v>
      </c>
      <c r="C4713" t="s">
        <v>5051</v>
      </c>
      <c r="E4713" s="18">
        <v>-204.15</v>
      </c>
      <c r="F4713" s="18"/>
      <c r="H4713" s="18"/>
      <c r="J4713"/>
      <c r="L4713"/>
      <c r="M4713"/>
      <c r="N4713" s="20"/>
      <c r="O4713"/>
      <c r="P4713" s="20"/>
      <c r="Q4713" s="20" t="s">
        <v>401</v>
      </c>
      <c r="R4713" s="20"/>
      <c r="S4713" s="20"/>
      <c r="T4713" s="20"/>
    </row>
    <row r="4714" spans="1:20" x14ac:dyDescent="0.25">
      <c r="A4714" s="3">
        <v>41964</v>
      </c>
      <c r="B4714" s="72">
        <v>410</v>
      </c>
      <c r="C4714" t="s">
        <v>5052</v>
      </c>
      <c r="E4714" s="18">
        <v>-204.15</v>
      </c>
      <c r="F4714" s="18"/>
      <c r="H4714" s="18"/>
      <c r="J4714"/>
      <c r="L4714"/>
      <c r="M4714"/>
      <c r="N4714" s="20"/>
      <c r="O4714"/>
      <c r="P4714" s="20"/>
      <c r="Q4714" s="20" t="s">
        <v>401</v>
      </c>
      <c r="R4714" s="20"/>
      <c r="S4714" s="20"/>
      <c r="T4714" s="20"/>
    </row>
    <row r="4715" spans="1:20" x14ac:dyDescent="0.25">
      <c r="A4715" s="3">
        <v>41964</v>
      </c>
      <c r="B4715" s="72">
        <v>410</v>
      </c>
      <c r="C4715" t="s">
        <v>963</v>
      </c>
      <c r="E4715" s="18">
        <v>2284.8500000000004</v>
      </c>
      <c r="F4715" s="18"/>
      <c r="H4715" s="18"/>
      <c r="J4715"/>
      <c r="L4715"/>
      <c r="M4715"/>
      <c r="N4715" s="20" t="s">
        <v>401</v>
      </c>
      <c r="O4715"/>
      <c r="P4715" s="20"/>
      <c r="Q4715" s="20"/>
      <c r="R4715" s="20"/>
      <c r="S4715" s="20"/>
      <c r="T4715" s="20"/>
    </row>
    <row r="4716" spans="1:20" x14ac:dyDescent="0.25">
      <c r="A4716" s="3">
        <v>41964</v>
      </c>
      <c r="B4716" s="72">
        <v>410</v>
      </c>
      <c r="C4716" t="s">
        <v>5053</v>
      </c>
      <c r="E4716" s="18">
        <v>-202.21684590000001</v>
      </c>
      <c r="F4716" s="18"/>
      <c r="H4716" s="18"/>
      <c r="J4716"/>
      <c r="L4716"/>
      <c r="M4716"/>
      <c r="N4716" s="20"/>
      <c r="O4716"/>
      <c r="P4716" s="20"/>
      <c r="Q4716" s="20" t="s">
        <v>401</v>
      </c>
      <c r="R4716" s="20"/>
      <c r="S4716" s="20"/>
      <c r="T4716" s="20"/>
    </row>
    <row r="4717" spans="1:20" x14ac:dyDescent="0.25">
      <c r="A4717" s="3">
        <v>41964</v>
      </c>
      <c r="B4717" s="72">
        <v>410</v>
      </c>
      <c r="C4717" t="s">
        <v>5054</v>
      </c>
      <c r="E4717" s="18">
        <v>-204.15</v>
      </c>
      <c r="F4717" s="18"/>
      <c r="H4717" s="18"/>
      <c r="J4717"/>
      <c r="L4717"/>
      <c r="M4717"/>
      <c r="N4717" s="20"/>
      <c r="O4717"/>
      <c r="P4717" s="20"/>
      <c r="Q4717" s="20" t="s">
        <v>401</v>
      </c>
      <c r="R4717" s="20"/>
      <c r="S4717" s="20"/>
      <c r="T4717" s="20"/>
    </row>
    <row r="4718" spans="1:20" x14ac:dyDescent="0.25">
      <c r="A4718" s="3">
        <v>41964</v>
      </c>
      <c r="B4718" s="72">
        <v>410</v>
      </c>
      <c r="C4718" t="s">
        <v>1283</v>
      </c>
      <c r="E4718" s="18">
        <v>-204.15</v>
      </c>
      <c r="F4718" s="18"/>
      <c r="H4718" s="18"/>
      <c r="J4718"/>
      <c r="L4718"/>
      <c r="M4718"/>
      <c r="N4718" s="20"/>
      <c r="O4718"/>
      <c r="P4718" s="20"/>
      <c r="Q4718" s="20" t="s">
        <v>401</v>
      </c>
      <c r="R4718" s="20"/>
      <c r="S4718" s="20"/>
      <c r="T4718" s="20"/>
    </row>
    <row r="4719" spans="1:20" x14ac:dyDescent="0.25">
      <c r="A4719" s="3">
        <v>41968</v>
      </c>
      <c r="B4719" s="72">
        <v>410</v>
      </c>
      <c r="C4719" t="s">
        <v>5047</v>
      </c>
      <c r="D4719">
        <v>7.3949999999999996</v>
      </c>
      <c r="E4719" s="18">
        <v>739.5</v>
      </c>
      <c r="F4719" s="18" t="s">
        <v>889</v>
      </c>
      <c r="G4719" t="s">
        <v>5048</v>
      </c>
      <c r="H4719" s="18"/>
      <c r="J4719"/>
      <c r="L4719"/>
      <c r="M4719"/>
      <c r="N4719" s="20"/>
      <c r="O4719"/>
      <c r="P4719" s="20"/>
      <c r="Q4719" s="20"/>
      <c r="R4719" s="20"/>
      <c r="S4719" s="20"/>
      <c r="T4719" s="20"/>
    </row>
    <row r="4720" spans="1:20" x14ac:dyDescent="0.25">
      <c r="A4720" s="3">
        <v>41968</v>
      </c>
      <c r="B4720" s="72">
        <v>410</v>
      </c>
      <c r="C4720" t="s">
        <v>5026</v>
      </c>
      <c r="E4720" s="18">
        <v>-1000</v>
      </c>
      <c r="F4720" s="18" t="s">
        <v>889</v>
      </c>
      <c r="H4720" s="18"/>
      <c r="J4720"/>
      <c r="L4720"/>
      <c r="M4720"/>
      <c r="N4720" s="20"/>
      <c r="O4720"/>
      <c r="P4720" s="20"/>
      <c r="Q4720" s="20"/>
      <c r="R4720" s="20"/>
      <c r="S4720" s="20"/>
      <c r="T4720" s="20" t="s">
        <v>401</v>
      </c>
    </row>
    <row r="4721" spans="1:20" x14ac:dyDescent="0.25">
      <c r="A4721" s="3">
        <v>41968</v>
      </c>
      <c r="B4721" s="72">
        <v>410</v>
      </c>
      <c r="C4721" t="s">
        <v>963</v>
      </c>
      <c r="E4721" s="18">
        <v>2284.8500000000004</v>
      </c>
      <c r="F4721" s="18" t="s">
        <v>889</v>
      </c>
      <c r="H4721" s="18"/>
      <c r="J4721"/>
      <c r="L4721"/>
      <c r="M4721"/>
      <c r="N4721" s="20" t="s">
        <v>401</v>
      </c>
      <c r="O4721"/>
      <c r="P4721" s="20"/>
      <c r="Q4721" s="20"/>
      <c r="R4721" s="20"/>
      <c r="S4721" s="20"/>
      <c r="T4721" s="20"/>
    </row>
    <row r="4722" spans="1:20" x14ac:dyDescent="0.25">
      <c r="A4722" s="3">
        <v>41968</v>
      </c>
      <c r="B4722" s="72">
        <v>410</v>
      </c>
      <c r="C4722" t="s">
        <v>5055</v>
      </c>
      <c r="E4722" s="18">
        <v>-393.08</v>
      </c>
      <c r="F4722" s="18" t="s">
        <v>889</v>
      </c>
      <c r="H4722" s="18"/>
      <c r="J4722"/>
      <c r="L4722"/>
      <c r="M4722"/>
      <c r="N4722" s="20"/>
      <c r="O4722"/>
      <c r="P4722" s="20"/>
      <c r="Q4722" s="20" t="s">
        <v>401</v>
      </c>
      <c r="R4722" s="20"/>
      <c r="S4722" s="20"/>
      <c r="T4722" s="20"/>
    </row>
    <row r="4723" spans="1:20" x14ac:dyDescent="0.25">
      <c r="A4723" s="3">
        <v>41968</v>
      </c>
      <c r="B4723" s="72">
        <v>410</v>
      </c>
      <c r="C4723" t="s">
        <v>1312</v>
      </c>
      <c r="E4723" s="18">
        <v>-204.15</v>
      </c>
      <c r="F4723" s="18" t="s">
        <v>891</v>
      </c>
      <c r="H4723" s="18"/>
      <c r="J4723"/>
      <c r="L4723"/>
      <c r="M4723"/>
      <c r="N4723" s="20"/>
      <c r="O4723"/>
      <c r="P4723" s="20"/>
      <c r="Q4723" s="20" t="s">
        <v>401</v>
      </c>
      <c r="R4723" s="20"/>
      <c r="S4723" s="20"/>
      <c r="T4723" s="20"/>
    </row>
    <row r="4724" spans="1:20" x14ac:dyDescent="0.25">
      <c r="A4724" s="3">
        <v>41968</v>
      </c>
      <c r="B4724" s="72">
        <v>410</v>
      </c>
      <c r="C4724" t="s">
        <v>5056</v>
      </c>
      <c r="D4724">
        <v>7.14</v>
      </c>
      <c r="E4724" s="18">
        <v>714</v>
      </c>
      <c r="F4724" s="18" t="s">
        <v>889</v>
      </c>
      <c r="G4724" t="s">
        <v>5057</v>
      </c>
      <c r="H4724" s="18"/>
      <c r="J4724"/>
      <c r="L4724"/>
      <c r="M4724"/>
      <c r="N4724" s="20"/>
      <c r="O4724"/>
      <c r="P4724" s="20"/>
      <c r="Q4724" s="20"/>
      <c r="R4724" s="20"/>
      <c r="S4724" s="20"/>
      <c r="T4724" s="20"/>
    </row>
    <row r="4725" spans="1:20" x14ac:dyDescent="0.25">
      <c r="A4725" s="3">
        <v>41968</v>
      </c>
      <c r="B4725" s="72">
        <v>410</v>
      </c>
      <c r="C4725" t="s">
        <v>5058</v>
      </c>
      <c r="D4725">
        <v>7.65</v>
      </c>
      <c r="E4725" s="18">
        <v>765</v>
      </c>
      <c r="F4725" s="18" t="s">
        <v>889</v>
      </c>
      <c r="G4725" t="s">
        <v>5059</v>
      </c>
      <c r="H4725" s="18"/>
      <c r="J4725"/>
      <c r="L4725"/>
      <c r="M4725"/>
      <c r="N4725" s="20"/>
      <c r="O4725"/>
      <c r="P4725" s="20"/>
      <c r="Q4725" s="20"/>
      <c r="R4725" s="20"/>
      <c r="S4725" s="20"/>
      <c r="T4725" s="20"/>
    </row>
    <row r="4726" spans="1:20" x14ac:dyDescent="0.25">
      <c r="A4726" s="3">
        <v>41978</v>
      </c>
      <c r="B4726" s="72">
        <v>410</v>
      </c>
      <c r="C4726" t="s">
        <v>5060</v>
      </c>
      <c r="D4726">
        <v>6.12</v>
      </c>
      <c r="E4726" s="18">
        <v>612</v>
      </c>
      <c r="F4726" s="18" t="s">
        <v>889</v>
      </c>
      <c r="G4726" t="s">
        <v>5061</v>
      </c>
      <c r="H4726" s="18"/>
      <c r="J4726"/>
      <c r="L4726"/>
      <c r="M4726"/>
      <c r="N4726" s="20"/>
      <c r="O4726"/>
      <c r="P4726" s="20"/>
      <c r="Q4726" s="20"/>
      <c r="R4726" s="20"/>
      <c r="S4726" s="20"/>
      <c r="T4726" s="20"/>
    </row>
    <row r="4727" spans="1:20" x14ac:dyDescent="0.25">
      <c r="A4727" s="3">
        <v>41978</v>
      </c>
      <c r="B4727" s="72">
        <v>410</v>
      </c>
      <c r="C4727" t="s">
        <v>1311</v>
      </c>
      <c r="E4727" s="18">
        <v>-204.15</v>
      </c>
      <c r="F4727" s="18" t="s">
        <v>891</v>
      </c>
      <c r="H4727" s="18"/>
      <c r="J4727"/>
      <c r="L4727"/>
      <c r="M4727"/>
      <c r="N4727" s="20"/>
      <c r="O4727"/>
      <c r="P4727" s="20"/>
      <c r="Q4727" s="20" t="s">
        <v>401</v>
      </c>
      <c r="R4727" s="20"/>
      <c r="S4727" s="20"/>
      <c r="T4727" s="20"/>
    </row>
    <row r="4728" spans="1:20" x14ac:dyDescent="0.25">
      <c r="A4728" s="3">
        <v>41985</v>
      </c>
      <c r="B4728" s="72">
        <v>410</v>
      </c>
      <c r="C4728" t="s">
        <v>5062</v>
      </c>
      <c r="E4728" s="18">
        <v>282</v>
      </c>
      <c r="F4728" s="18" t="s">
        <v>891</v>
      </c>
      <c r="H4728" s="18"/>
      <c r="J4728"/>
      <c r="L4728"/>
      <c r="M4728"/>
      <c r="N4728" s="20"/>
      <c r="O4728"/>
      <c r="P4728" s="20" t="s">
        <v>401</v>
      </c>
      <c r="Q4728" s="20"/>
      <c r="R4728" s="20"/>
      <c r="S4728" s="20"/>
      <c r="T4728" s="20"/>
    </row>
    <row r="4729" spans="1:20" x14ac:dyDescent="0.25">
      <c r="A4729" s="3">
        <v>41985</v>
      </c>
      <c r="B4729" s="72">
        <v>410</v>
      </c>
      <c r="C4729" t="s">
        <v>1256</v>
      </c>
      <c r="E4729" s="18">
        <v>282</v>
      </c>
      <c r="F4729" s="18" t="s">
        <v>891</v>
      </c>
      <c r="H4729" s="18"/>
      <c r="J4729"/>
      <c r="L4729"/>
      <c r="M4729"/>
      <c r="N4729" s="20"/>
      <c r="O4729" t="s">
        <v>1256</v>
      </c>
      <c r="P4729" s="20" t="s">
        <v>401</v>
      </c>
      <c r="Q4729" s="20"/>
      <c r="R4729" s="20"/>
      <c r="S4729" s="20"/>
      <c r="T4729" s="20"/>
    </row>
    <row r="4730" spans="1:20" x14ac:dyDescent="0.25">
      <c r="A4730" s="3">
        <v>41985</v>
      </c>
      <c r="B4730" s="72">
        <v>410</v>
      </c>
      <c r="C4730" t="s">
        <v>5063</v>
      </c>
      <c r="E4730" s="18">
        <v>204.15</v>
      </c>
      <c r="F4730" s="18" t="s">
        <v>891</v>
      </c>
      <c r="H4730" s="18"/>
      <c r="J4730"/>
      <c r="L4730"/>
      <c r="M4730"/>
      <c r="N4730" s="20"/>
      <c r="O4730"/>
      <c r="P4730" s="20"/>
      <c r="Q4730" s="20" t="s">
        <v>401</v>
      </c>
      <c r="R4730" s="20"/>
      <c r="S4730" s="20"/>
      <c r="T4730" s="20"/>
    </row>
    <row r="4731" spans="1:20" x14ac:dyDescent="0.25">
      <c r="A4731" s="3">
        <v>41985</v>
      </c>
      <c r="B4731" s="72">
        <v>410</v>
      </c>
      <c r="C4731" t="s">
        <v>5064</v>
      </c>
      <c r="D4731">
        <v>3.06</v>
      </c>
      <c r="E4731" s="18">
        <v>153</v>
      </c>
      <c r="F4731" s="18" t="s">
        <v>971</v>
      </c>
      <c r="G4731" t="s">
        <v>5039</v>
      </c>
      <c r="H4731" s="18"/>
      <c r="J4731"/>
      <c r="L4731"/>
      <c r="M4731"/>
      <c r="N4731" s="20"/>
      <c r="O4731"/>
      <c r="P4731" s="20"/>
      <c r="Q4731" s="20"/>
      <c r="R4731" s="20"/>
      <c r="S4731" s="20"/>
      <c r="T4731" s="20"/>
    </row>
    <row r="4732" spans="1:20" x14ac:dyDescent="0.25">
      <c r="A4732" s="3">
        <v>41992</v>
      </c>
      <c r="B4732" s="72">
        <v>410</v>
      </c>
      <c r="C4732" t="s">
        <v>967</v>
      </c>
      <c r="E4732" s="18">
        <v>1472.4874999999995</v>
      </c>
      <c r="F4732" s="18" t="s">
        <v>889</v>
      </c>
      <c r="H4732" s="18"/>
      <c r="J4732"/>
      <c r="L4732"/>
      <c r="M4732"/>
      <c r="N4732" s="20" t="s">
        <v>401</v>
      </c>
      <c r="O4732"/>
      <c r="P4732" s="20"/>
      <c r="Q4732" s="20"/>
      <c r="R4732" s="20"/>
      <c r="S4732" s="20"/>
      <c r="T4732" s="20"/>
    </row>
    <row r="4733" spans="1:20" x14ac:dyDescent="0.25">
      <c r="A4733" s="3">
        <v>41999</v>
      </c>
      <c r="B4733" s="72">
        <v>410</v>
      </c>
      <c r="C4733" t="s">
        <v>5013</v>
      </c>
      <c r="E4733" s="18">
        <v>1504.5</v>
      </c>
      <c r="F4733" s="18" t="s">
        <v>889</v>
      </c>
      <c r="G4733" t="s">
        <v>5014</v>
      </c>
      <c r="H4733" s="18"/>
      <c r="J4733"/>
      <c r="L4733"/>
      <c r="M4733"/>
      <c r="N4733" s="20"/>
      <c r="O4733" t="s">
        <v>959</v>
      </c>
      <c r="P4733" s="20"/>
      <c r="Q4733" s="20"/>
      <c r="R4733" s="20"/>
      <c r="S4733" s="20"/>
      <c r="T4733" s="20"/>
    </row>
    <row r="4734" spans="1:20" x14ac:dyDescent="0.25">
      <c r="A4734" s="3">
        <v>41999</v>
      </c>
      <c r="B4734" s="72">
        <v>410</v>
      </c>
      <c r="C4734" t="s">
        <v>5016</v>
      </c>
      <c r="E4734" s="18">
        <v>803.25</v>
      </c>
      <c r="F4734" s="18" t="s">
        <v>889</v>
      </c>
      <c r="G4734" t="s">
        <v>5017</v>
      </c>
      <c r="H4734" s="18"/>
      <c r="J4734"/>
      <c r="L4734"/>
      <c r="M4734"/>
      <c r="N4734" s="20"/>
      <c r="O4734" t="s">
        <v>959</v>
      </c>
      <c r="P4734" s="20"/>
      <c r="Q4734" s="20"/>
      <c r="R4734" s="20"/>
      <c r="S4734" s="20"/>
      <c r="T4734" s="20"/>
    </row>
    <row r="4735" spans="1:20" x14ac:dyDescent="0.25">
      <c r="A4735" s="3">
        <v>41999</v>
      </c>
      <c r="B4735" s="72">
        <v>410</v>
      </c>
      <c r="C4735" t="s">
        <v>5065</v>
      </c>
      <c r="E4735" s="18">
        <v>1208.5</v>
      </c>
      <c r="F4735" s="18" t="s">
        <v>889</v>
      </c>
      <c r="G4735" t="s">
        <v>5066</v>
      </c>
      <c r="H4735" s="18"/>
      <c r="J4735"/>
      <c r="L4735"/>
      <c r="M4735"/>
      <c r="N4735" s="20"/>
      <c r="O4735" t="s">
        <v>959</v>
      </c>
      <c r="P4735" s="20"/>
      <c r="Q4735" s="20"/>
      <c r="R4735" s="20"/>
      <c r="S4735" s="20"/>
      <c r="T4735" s="20"/>
    </row>
    <row r="4736" spans="1:20" x14ac:dyDescent="0.25">
      <c r="A4736" s="3">
        <v>41999</v>
      </c>
      <c r="B4736" s="72">
        <v>410</v>
      </c>
      <c r="C4736" t="s">
        <v>1315</v>
      </c>
      <c r="E4736" s="18">
        <v>-204.15</v>
      </c>
      <c r="F4736" s="18" t="s">
        <v>891</v>
      </c>
      <c r="H4736" s="18"/>
      <c r="J4736"/>
      <c r="L4736"/>
      <c r="M4736"/>
      <c r="N4736" s="20"/>
      <c r="O4736"/>
      <c r="P4736" s="20"/>
      <c r="Q4736" s="20" t="s">
        <v>401</v>
      </c>
      <c r="R4736" s="20"/>
      <c r="S4736" s="20"/>
      <c r="T4736" s="20"/>
    </row>
    <row r="4737" spans="1:21" x14ac:dyDescent="0.25">
      <c r="A4737" s="3">
        <v>41873</v>
      </c>
      <c r="B4737" s="36">
        <v>415</v>
      </c>
      <c r="C4737" t="s">
        <v>5067</v>
      </c>
      <c r="D4737">
        <v>8.75</v>
      </c>
      <c r="E4737" s="18">
        <v>875</v>
      </c>
      <c r="F4737" t="s">
        <v>889</v>
      </c>
      <c r="G4737" t="s">
        <v>5068</v>
      </c>
      <c r="H4737" s="18">
        <v>875</v>
      </c>
      <c r="I4737" s="3">
        <v>41873</v>
      </c>
      <c r="J4737"/>
      <c r="L4737"/>
      <c r="M4737"/>
      <c r="N4737" s="20"/>
      <c r="O4737"/>
      <c r="P4737" s="20"/>
      <c r="Q4737" s="20"/>
      <c r="R4737" s="20"/>
      <c r="S4737" s="20"/>
      <c r="T4737" s="20"/>
    </row>
    <row r="4738" spans="1:21" x14ac:dyDescent="0.25">
      <c r="B4738">
        <v>415</v>
      </c>
      <c r="C4738" t="s">
        <v>5067</v>
      </c>
      <c r="D4738">
        <v>8.75</v>
      </c>
      <c r="E4738" s="18">
        <v>-875</v>
      </c>
      <c r="F4738" t="s">
        <v>889</v>
      </c>
      <c r="G4738" t="s">
        <v>5068</v>
      </c>
      <c r="I4738"/>
      <c r="J4738"/>
      <c r="L4738"/>
      <c r="M4738"/>
      <c r="O4738"/>
      <c r="P4738" s="20"/>
      <c r="Q4738" s="20"/>
      <c r="R4738" s="20"/>
      <c r="S4738" s="20"/>
      <c r="T4738" s="20"/>
      <c r="U4738" t="s">
        <v>401</v>
      </c>
    </row>
    <row r="4739" spans="1:21" x14ac:dyDescent="0.25">
      <c r="A4739" s="32">
        <v>42034</v>
      </c>
      <c r="B4739" s="56">
        <v>417</v>
      </c>
      <c r="C4739" t="s">
        <v>5069</v>
      </c>
      <c r="E4739" s="18">
        <v>1120.06</v>
      </c>
      <c r="F4739" s="33" t="s">
        <v>891</v>
      </c>
      <c r="G4739" s="33"/>
      <c r="H4739" s="18"/>
      <c r="J4739"/>
      <c r="L4739"/>
      <c r="M4739"/>
      <c r="N4739" s="20"/>
      <c r="O4739"/>
      <c r="P4739" s="20" t="s">
        <v>401</v>
      </c>
      <c r="Q4739" s="20"/>
      <c r="R4739" s="20"/>
      <c r="S4739" s="20"/>
      <c r="T4739" s="20"/>
    </row>
    <row r="4740" spans="1:21" x14ac:dyDescent="0.25">
      <c r="A4740" s="3">
        <v>42041</v>
      </c>
      <c r="B4740">
        <v>417</v>
      </c>
      <c r="C4740" t="s">
        <v>3513</v>
      </c>
      <c r="E4740" s="18">
        <v>1800</v>
      </c>
      <c r="F4740" t="s">
        <v>889</v>
      </c>
      <c r="I4740"/>
      <c r="J4740"/>
      <c r="L4740"/>
      <c r="M4740"/>
      <c r="O4740"/>
      <c r="P4740" s="20"/>
      <c r="Q4740" s="20"/>
      <c r="R4740" s="20"/>
      <c r="S4740" s="20"/>
      <c r="T4740" s="20" t="s">
        <v>401</v>
      </c>
    </row>
    <row r="4741" spans="1:21" x14ac:dyDescent="0.25">
      <c r="A4741" s="3">
        <v>42041</v>
      </c>
      <c r="B4741">
        <v>417</v>
      </c>
      <c r="C4741" t="s">
        <v>5070</v>
      </c>
      <c r="E4741" s="18">
        <v>736.87</v>
      </c>
      <c r="F4741" t="s">
        <v>891</v>
      </c>
      <c r="I4741"/>
      <c r="J4741"/>
      <c r="L4741"/>
      <c r="M4741"/>
      <c r="O4741"/>
      <c r="P4741" s="20" t="s">
        <v>401</v>
      </c>
      <c r="Q4741" s="20"/>
      <c r="R4741" s="20"/>
      <c r="S4741" s="20"/>
      <c r="T4741" s="20"/>
    </row>
    <row r="4742" spans="1:21" x14ac:dyDescent="0.25">
      <c r="A4742" s="3">
        <v>41873</v>
      </c>
      <c r="B4742" s="36">
        <v>418</v>
      </c>
      <c r="C4742" t="s">
        <v>5071</v>
      </c>
      <c r="D4742">
        <v>5.3550000000000004</v>
      </c>
      <c r="E4742" s="18">
        <v>535.5</v>
      </c>
      <c r="F4742" t="s">
        <v>889</v>
      </c>
      <c r="G4742" t="s">
        <v>5072</v>
      </c>
      <c r="H4742" s="18">
        <v>535.5</v>
      </c>
      <c r="I4742" s="3">
        <v>41873</v>
      </c>
      <c r="J4742"/>
      <c r="L4742"/>
      <c r="M4742"/>
      <c r="N4742" s="20"/>
      <c r="O4742"/>
      <c r="P4742" s="20"/>
      <c r="Q4742" s="20"/>
      <c r="R4742" s="20"/>
      <c r="S4742" s="20"/>
      <c r="T4742" s="20"/>
    </row>
    <row r="4743" spans="1:21" x14ac:dyDescent="0.25">
      <c r="A4743" s="3">
        <v>41873</v>
      </c>
      <c r="B4743" s="36">
        <v>418</v>
      </c>
      <c r="C4743" t="s">
        <v>5073</v>
      </c>
      <c r="D4743">
        <v>10.199999999999999</v>
      </c>
      <c r="E4743" s="18">
        <v>1019.9999999999999</v>
      </c>
      <c r="F4743" t="s">
        <v>889</v>
      </c>
      <c r="G4743" t="s">
        <v>5074</v>
      </c>
      <c r="H4743" s="18">
        <v>1019.9999999999999</v>
      </c>
      <c r="I4743" s="3">
        <v>41873</v>
      </c>
      <c r="J4743"/>
      <c r="L4743"/>
      <c r="M4743"/>
      <c r="N4743" s="20"/>
      <c r="O4743"/>
      <c r="P4743" s="20"/>
      <c r="Q4743" s="20"/>
      <c r="R4743" s="20"/>
      <c r="S4743" s="20"/>
      <c r="T4743" s="20"/>
    </row>
    <row r="4744" spans="1:21" x14ac:dyDescent="0.25">
      <c r="B4744">
        <v>418</v>
      </c>
      <c r="C4744" t="s">
        <v>5071</v>
      </c>
      <c r="D4744">
        <v>5.3550000000000004</v>
      </c>
      <c r="E4744" s="18">
        <v>-535.5</v>
      </c>
      <c r="F4744" t="s">
        <v>889</v>
      </c>
      <c r="G4744" t="s">
        <v>5072</v>
      </c>
      <c r="I4744"/>
      <c r="J4744"/>
      <c r="L4744"/>
      <c r="M4744"/>
      <c r="O4744"/>
      <c r="P4744" s="20"/>
      <c r="Q4744" s="20"/>
      <c r="R4744" s="20"/>
      <c r="S4744" s="20"/>
      <c r="T4744" s="20"/>
      <c r="U4744" t="s">
        <v>401</v>
      </c>
    </row>
    <row r="4745" spans="1:21" x14ac:dyDescent="0.25">
      <c r="B4745">
        <v>418</v>
      </c>
      <c r="C4745" t="s">
        <v>5073</v>
      </c>
      <c r="D4745">
        <v>10.199999999999999</v>
      </c>
      <c r="E4745" s="18">
        <v>-1020</v>
      </c>
      <c r="F4745" t="s">
        <v>889</v>
      </c>
      <c r="G4745" t="s">
        <v>5074</v>
      </c>
      <c r="I4745"/>
      <c r="J4745"/>
      <c r="L4745"/>
      <c r="M4745"/>
      <c r="O4745"/>
      <c r="P4745" s="20"/>
      <c r="Q4745" s="20"/>
      <c r="R4745" s="20"/>
      <c r="S4745" s="20"/>
      <c r="T4745" s="20"/>
      <c r="U4745" t="s">
        <v>401</v>
      </c>
    </row>
    <row r="4746" spans="1:21" x14ac:dyDescent="0.25">
      <c r="A4746" s="3">
        <v>41894</v>
      </c>
      <c r="B4746" s="36">
        <v>422</v>
      </c>
      <c r="C4746" t="s">
        <v>5075</v>
      </c>
      <c r="D4746">
        <v>6.25</v>
      </c>
      <c r="E4746" s="18">
        <v>625</v>
      </c>
      <c r="F4746" t="s">
        <v>889</v>
      </c>
      <c r="G4746" t="s">
        <v>5076</v>
      </c>
      <c r="H4746" s="18">
        <v>625</v>
      </c>
      <c r="I4746" s="3">
        <v>41894</v>
      </c>
      <c r="J4746"/>
      <c r="L4746"/>
      <c r="M4746"/>
      <c r="N4746" s="20"/>
      <c r="O4746"/>
      <c r="P4746" s="20"/>
      <c r="Q4746" s="20"/>
      <c r="R4746" s="20"/>
      <c r="S4746" s="20"/>
      <c r="T4746" s="20"/>
    </row>
    <row r="4747" spans="1:21" x14ac:dyDescent="0.25">
      <c r="A4747" s="3">
        <v>41901</v>
      </c>
      <c r="B4747" s="36">
        <v>422</v>
      </c>
      <c r="C4747" t="s">
        <v>5077</v>
      </c>
      <c r="D4747">
        <v>9.25</v>
      </c>
      <c r="E4747" s="18">
        <v>925</v>
      </c>
      <c r="F4747" t="s">
        <v>889</v>
      </c>
      <c r="G4747" t="s">
        <v>5078</v>
      </c>
      <c r="H4747" s="18">
        <v>925</v>
      </c>
      <c r="I4747" s="3">
        <v>41901</v>
      </c>
      <c r="J4747"/>
      <c r="L4747"/>
      <c r="M4747"/>
      <c r="N4747" s="20"/>
      <c r="O4747"/>
      <c r="P4747" s="20"/>
      <c r="Q4747" s="20"/>
      <c r="R4747" s="20"/>
      <c r="S4747" s="20"/>
      <c r="T4747" s="20"/>
    </row>
    <row r="4748" spans="1:21" x14ac:dyDescent="0.25">
      <c r="A4748" s="3">
        <v>41907</v>
      </c>
      <c r="B4748" s="36">
        <v>422</v>
      </c>
      <c r="C4748" t="s">
        <v>5079</v>
      </c>
      <c r="D4748">
        <v>3.75</v>
      </c>
      <c r="E4748" s="18">
        <v>375</v>
      </c>
      <c r="F4748" t="s">
        <v>889</v>
      </c>
      <c r="G4748" t="s">
        <v>5080</v>
      </c>
      <c r="H4748" s="18">
        <v>375</v>
      </c>
      <c r="I4748" s="3">
        <v>41907</v>
      </c>
      <c r="J4748"/>
      <c r="L4748"/>
      <c r="M4748"/>
      <c r="N4748" s="20"/>
      <c r="O4748"/>
      <c r="P4748" s="20"/>
      <c r="Q4748" s="20"/>
      <c r="R4748" s="20"/>
      <c r="S4748" s="20"/>
      <c r="T4748" s="20"/>
    </row>
    <row r="4749" spans="1:21" x14ac:dyDescent="0.25">
      <c r="A4749" s="3">
        <v>41907</v>
      </c>
      <c r="B4749" s="36">
        <v>422</v>
      </c>
      <c r="C4749" t="s">
        <v>5081</v>
      </c>
      <c r="D4749">
        <v>4</v>
      </c>
      <c r="E4749" s="18">
        <v>400</v>
      </c>
      <c r="F4749" t="s">
        <v>889</v>
      </c>
      <c r="G4749" t="s">
        <v>5082</v>
      </c>
      <c r="H4749" s="18">
        <v>400</v>
      </c>
      <c r="I4749" s="3">
        <v>41907</v>
      </c>
      <c r="J4749"/>
      <c r="L4749"/>
      <c r="M4749"/>
      <c r="N4749" s="20"/>
      <c r="O4749"/>
      <c r="P4749" s="20"/>
      <c r="Q4749" s="20"/>
      <c r="R4749" s="20"/>
      <c r="S4749" s="20"/>
      <c r="T4749" s="20"/>
    </row>
    <row r="4750" spans="1:21" x14ac:dyDescent="0.25">
      <c r="A4750" s="3">
        <v>41929</v>
      </c>
      <c r="B4750" s="36">
        <v>422</v>
      </c>
      <c r="C4750" t="s">
        <v>5079</v>
      </c>
      <c r="D4750">
        <v>3.75</v>
      </c>
      <c r="E4750" s="18">
        <v>-375</v>
      </c>
      <c r="F4750" t="s">
        <v>889</v>
      </c>
      <c r="G4750" t="s">
        <v>5080</v>
      </c>
      <c r="H4750" s="18" t="s">
        <v>442</v>
      </c>
      <c r="I4750" s="3" t="s">
        <v>442</v>
      </c>
      <c r="J4750"/>
      <c r="L4750"/>
      <c r="M4750"/>
      <c r="N4750" s="20"/>
      <c r="O4750"/>
      <c r="P4750" s="20"/>
      <c r="Q4750" s="20"/>
      <c r="R4750" s="20"/>
      <c r="S4750" s="20"/>
      <c r="T4750" s="20"/>
    </row>
    <row r="4751" spans="1:21" x14ac:dyDescent="0.25">
      <c r="A4751" s="3">
        <v>41929</v>
      </c>
      <c r="B4751" s="36">
        <v>422</v>
      </c>
      <c r="C4751" t="s">
        <v>5083</v>
      </c>
      <c r="D4751">
        <v>2.25</v>
      </c>
      <c r="E4751" s="18">
        <v>225</v>
      </c>
      <c r="F4751" t="s">
        <v>889</v>
      </c>
      <c r="G4751" t="s">
        <v>5084</v>
      </c>
      <c r="H4751" s="18">
        <v>225</v>
      </c>
      <c r="I4751" s="3">
        <v>41929</v>
      </c>
      <c r="J4751"/>
      <c r="L4751"/>
      <c r="M4751"/>
      <c r="N4751" s="20"/>
      <c r="O4751"/>
      <c r="P4751" s="20"/>
      <c r="Q4751" s="20"/>
      <c r="R4751" s="20"/>
      <c r="S4751" s="20"/>
      <c r="T4751" s="20"/>
    </row>
    <row r="4752" spans="1:21" x14ac:dyDescent="0.25">
      <c r="A4752" s="3">
        <v>41929</v>
      </c>
      <c r="B4752" s="36">
        <v>422</v>
      </c>
      <c r="C4752" t="s">
        <v>5085</v>
      </c>
      <c r="D4752">
        <v>10.46</v>
      </c>
      <c r="E4752" s="18">
        <v>1045.5</v>
      </c>
      <c r="F4752" t="s">
        <v>889</v>
      </c>
      <c r="G4752" t="s">
        <v>5086</v>
      </c>
      <c r="H4752" s="18">
        <v>1045.5</v>
      </c>
      <c r="I4752" s="3">
        <v>41929</v>
      </c>
      <c r="J4752"/>
      <c r="L4752"/>
      <c r="M4752"/>
      <c r="N4752" s="20"/>
      <c r="O4752"/>
      <c r="P4752" s="20"/>
      <c r="Q4752" s="20"/>
      <c r="R4752" s="20"/>
      <c r="S4752" s="20"/>
      <c r="T4752" s="20"/>
    </row>
    <row r="4753" spans="1:21" x14ac:dyDescent="0.25">
      <c r="A4753" s="3">
        <v>41950</v>
      </c>
      <c r="B4753" s="36">
        <v>422</v>
      </c>
      <c r="C4753" t="s">
        <v>5087</v>
      </c>
      <c r="D4753">
        <v>8.16</v>
      </c>
      <c r="E4753" s="18">
        <v>816</v>
      </c>
      <c r="F4753" t="s">
        <v>889</v>
      </c>
      <c r="G4753" t="s">
        <v>5088</v>
      </c>
      <c r="H4753" s="18">
        <v>816</v>
      </c>
      <c r="I4753" s="3">
        <v>41950</v>
      </c>
      <c r="J4753"/>
      <c r="L4753"/>
      <c r="M4753"/>
      <c r="N4753" s="20"/>
      <c r="O4753"/>
      <c r="P4753" s="20"/>
      <c r="Q4753" s="20"/>
      <c r="R4753" s="20"/>
      <c r="S4753" s="20"/>
      <c r="T4753" s="20"/>
    </row>
    <row r="4754" spans="1:21" x14ac:dyDescent="0.25">
      <c r="A4754" s="3">
        <v>41957</v>
      </c>
      <c r="B4754" s="36">
        <v>422</v>
      </c>
      <c r="C4754" t="s">
        <v>3493</v>
      </c>
      <c r="E4754" s="18">
        <v>500</v>
      </c>
      <c r="F4754" t="s">
        <v>889</v>
      </c>
      <c r="G4754" t="s">
        <v>442</v>
      </c>
      <c r="H4754" s="18" t="s">
        <v>442</v>
      </c>
      <c r="I4754" s="3" t="s">
        <v>442</v>
      </c>
      <c r="J4754"/>
      <c r="L4754"/>
      <c r="M4754"/>
      <c r="N4754" s="20"/>
      <c r="O4754"/>
      <c r="P4754" s="20"/>
      <c r="Q4754" s="20"/>
      <c r="R4754" s="20"/>
      <c r="S4754" s="20"/>
      <c r="T4754" s="20" t="s">
        <v>401</v>
      </c>
    </row>
    <row r="4755" spans="1:21" x14ac:dyDescent="0.25">
      <c r="A4755" s="3">
        <v>41968</v>
      </c>
      <c r="B4755" s="36">
        <v>422</v>
      </c>
      <c r="C4755" t="s">
        <v>3495</v>
      </c>
      <c r="E4755" s="18">
        <v>500</v>
      </c>
      <c r="G4755" t="s">
        <v>442</v>
      </c>
      <c r="H4755" s="18" t="s">
        <v>442</v>
      </c>
      <c r="I4755" s="3" t="s">
        <v>442</v>
      </c>
      <c r="J4755"/>
      <c r="L4755"/>
      <c r="M4755"/>
      <c r="N4755" s="20"/>
      <c r="O4755"/>
      <c r="P4755" s="20"/>
      <c r="Q4755" s="20"/>
      <c r="R4755" s="20"/>
      <c r="S4755" s="20"/>
      <c r="T4755" s="20" t="s">
        <v>401</v>
      </c>
    </row>
    <row r="4756" spans="1:21" x14ac:dyDescent="0.25">
      <c r="A4756" s="3">
        <v>41985</v>
      </c>
      <c r="B4756" s="36">
        <v>422</v>
      </c>
      <c r="C4756" t="s">
        <v>5089</v>
      </c>
      <c r="D4756">
        <v>2</v>
      </c>
      <c r="E4756" s="18">
        <v>500</v>
      </c>
      <c r="F4756" t="s">
        <v>889</v>
      </c>
      <c r="G4756" t="s">
        <v>442</v>
      </c>
      <c r="H4756" s="18" t="s">
        <v>442</v>
      </c>
      <c r="I4756" s="3" t="s">
        <v>442</v>
      </c>
      <c r="J4756"/>
      <c r="L4756"/>
      <c r="M4756"/>
      <c r="N4756" s="20"/>
      <c r="O4756"/>
      <c r="P4756" s="20"/>
      <c r="Q4756" s="20"/>
      <c r="R4756" s="20"/>
      <c r="S4756" s="20"/>
      <c r="T4756" s="20" t="s">
        <v>401</v>
      </c>
    </row>
    <row r="4757" spans="1:21" x14ac:dyDescent="0.25">
      <c r="A4757" s="3">
        <v>41995</v>
      </c>
      <c r="B4757" s="36">
        <v>422</v>
      </c>
      <c r="C4757" t="s">
        <v>5090</v>
      </c>
      <c r="D4757">
        <v>2</v>
      </c>
      <c r="E4757" s="18">
        <v>500</v>
      </c>
      <c r="F4757" t="s">
        <v>889</v>
      </c>
      <c r="G4757" t="s">
        <v>442</v>
      </c>
      <c r="H4757" s="18" t="s">
        <v>442</v>
      </c>
      <c r="I4757" s="3" t="s">
        <v>442</v>
      </c>
      <c r="J4757"/>
      <c r="L4757"/>
      <c r="M4757"/>
      <c r="N4757" s="20"/>
      <c r="O4757"/>
      <c r="P4757" s="20"/>
      <c r="Q4757" s="20"/>
      <c r="R4757" s="20"/>
      <c r="S4757" s="20"/>
      <c r="T4757" s="20" t="s">
        <v>401</v>
      </c>
    </row>
    <row r="4758" spans="1:21" x14ac:dyDescent="0.25">
      <c r="A4758" s="3">
        <v>41999</v>
      </c>
      <c r="B4758" s="36">
        <v>422</v>
      </c>
      <c r="C4758" t="s">
        <v>4494</v>
      </c>
      <c r="E4758" s="18">
        <v>500</v>
      </c>
      <c r="F4758" t="s">
        <v>889</v>
      </c>
      <c r="G4758" t="s">
        <v>442</v>
      </c>
      <c r="H4758" s="18" t="s">
        <v>442</v>
      </c>
      <c r="I4758" s="3" t="s">
        <v>442</v>
      </c>
      <c r="J4758"/>
      <c r="L4758"/>
      <c r="M4758"/>
      <c r="N4758" s="20"/>
      <c r="O4758"/>
      <c r="P4758" s="20"/>
      <c r="Q4758" s="20"/>
      <c r="R4758" s="20"/>
      <c r="S4758" s="20"/>
      <c r="T4758" s="20" t="s">
        <v>401</v>
      </c>
    </row>
    <row r="4759" spans="1:21" x14ac:dyDescent="0.25">
      <c r="A4759" s="3">
        <v>42013</v>
      </c>
      <c r="B4759" s="36">
        <v>422</v>
      </c>
      <c r="C4759" t="s">
        <v>722</v>
      </c>
      <c r="D4759">
        <v>24.84</v>
      </c>
      <c r="E4759" s="18">
        <v>1492</v>
      </c>
      <c r="F4759" t="s">
        <v>889</v>
      </c>
      <c r="G4759" t="s">
        <v>723</v>
      </c>
      <c r="H4759" s="18">
        <v>1492</v>
      </c>
      <c r="I4759" s="3">
        <v>42013</v>
      </c>
      <c r="J4759"/>
      <c r="L4759"/>
      <c r="M4759"/>
      <c r="N4759" s="20"/>
      <c r="O4759"/>
      <c r="P4759" s="20"/>
      <c r="Q4759" s="20"/>
      <c r="R4759" s="20"/>
      <c r="S4759" s="20"/>
      <c r="T4759" s="20"/>
    </row>
    <row r="4760" spans="1:21" x14ac:dyDescent="0.25">
      <c r="A4760" s="3">
        <v>42013</v>
      </c>
      <c r="B4760" s="36">
        <v>422</v>
      </c>
      <c r="C4760" t="s">
        <v>711</v>
      </c>
      <c r="D4760">
        <v>11</v>
      </c>
      <c r="E4760" s="18">
        <v>721.75</v>
      </c>
      <c r="F4760" t="s">
        <v>889</v>
      </c>
      <c r="G4760" t="s">
        <v>712</v>
      </c>
      <c r="H4760" s="18">
        <v>721.75</v>
      </c>
      <c r="I4760" s="3">
        <v>42013</v>
      </c>
      <c r="J4760"/>
      <c r="L4760"/>
      <c r="M4760"/>
      <c r="N4760" s="20"/>
      <c r="O4760"/>
      <c r="P4760" s="20"/>
      <c r="Q4760" s="20"/>
      <c r="R4760" s="20"/>
      <c r="S4760" s="20"/>
      <c r="T4760" s="20"/>
    </row>
    <row r="4761" spans="1:21" x14ac:dyDescent="0.25">
      <c r="A4761" s="32">
        <v>42034</v>
      </c>
      <c r="B4761" s="33">
        <v>422</v>
      </c>
      <c r="C4761" t="s">
        <v>5091</v>
      </c>
      <c r="D4761">
        <v>7.9050000000000002</v>
      </c>
      <c r="E4761" s="35">
        <v>494.0625</v>
      </c>
      <c r="F4761" s="33" t="s">
        <v>889</v>
      </c>
      <c r="G4761" t="s">
        <v>5092</v>
      </c>
      <c r="H4761" s="18"/>
      <c r="J4761"/>
      <c r="L4761"/>
      <c r="M4761"/>
      <c r="N4761" s="20"/>
      <c r="O4761"/>
      <c r="P4761" s="20"/>
      <c r="Q4761" s="20"/>
      <c r="R4761" s="20"/>
      <c r="S4761" s="20"/>
      <c r="T4761" s="20"/>
    </row>
    <row r="4762" spans="1:21" x14ac:dyDescent="0.25">
      <c r="B4762">
        <v>422</v>
      </c>
      <c r="C4762" t="s">
        <v>4494</v>
      </c>
      <c r="E4762" s="18">
        <v>-500</v>
      </c>
      <c r="F4762" t="s">
        <v>889</v>
      </c>
      <c r="G4762" t="s">
        <v>442</v>
      </c>
      <c r="I4762"/>
      <c r="J4762"/>
      <c r="L4762"/>
      <c r="M4762"/>
      <c r="O4762"/>
      <c r="P4762" s="20"/>
      <c r="Q4762" s="20"/>
      <c r="R4762" s="20"/>
      <c r="S4762" s="20"/>
      <c r="T4762" s="20"/>
      <c r="U4762" t="s">
        <v>401</v>
      </c>
    </row>
    <row r="4763" spans="1:21" x14ac:dyDescent="0.25">
      <c r="B4763">
        <v>422</v>
      </c>
      <c r="C4763" t="s">
        <v>5089</v>
      </c>
      <c r="D4763">
        <v>2</v>
      </c>
      <c r="E4763" s="18">
        <v>-500</v>
      </c>
      <c r="F4763" t="s">
        <v>889</v>
      </c>
      <c r="G4763" t="s">
        <v>442</v>
      </c>
      <c r="I4763"/>
      <c r="J4763"/>
      <c r="L4763"/>
      <c r="M4763"/>
      <c r="O4763"/>
      <c r="P4763" s="20"/>
      <c r="Q4763" s="20"/>
      <c r="R4763" s="20"/>
      <c r="S4763" s="20"/>
      <c r="T4763" s="20"/>
      <c r="U4763" t="s">
        <v>401</v>
      </c>
    </row>
    <row r="4764" spans="1:21" x14ac:dyDescent="0.25">
      <c r="B4764">
        <v>422</v>
      </c>
      <c r="C4764" t="s">
        <v>5090</v>
      </c>
      <c r="D4764">
        <v>2</v>
      </c>
      <c r="E4764" s="18">
        <v>-500</v>
      </c>
      <c r="F4764" t="s">
        <v>889</v>
      </c>
      <c r="G4764" t="s">
        <v>442</v>
      </c>
      <c r="I4764"/>
      <c r="J4764"/>
      <c r="L4764"/>
      <c r="M4764"/>
      <c r="O4764"/>
      <c r="P4764" s="20"/>
      <c r="Q4764" s="20"/>
      <c r="R4764" s="20"/>
      <c r="S4764" s="20"/>
      <c r="T4764" s="20"/>
      <c r="U4764" t="s">
        <v>401</v>
      </c>
    </row>
    <row r="4765" spans="1:21" x14ac:dyDescent="0.25">
      <c r="B4765">
        <v>422</v>
      </c>
      <c r="C4765" t="s">
        <v>3493</v>
      </c>
      <c r="E4765" s="18">
        <v>-500</v>
      </c>
      <c r="F4765" t="s">
        <v>889</v>
      </c>
      <c r="G4765" t="s">
        <v>442</v>
      </c>
      <c r="I4765"/>
      <c r="J4765"/>
      <c r="L4765"/>
      <c r="M4765"/>
      <c r="O4765"/>
      <c r="P4765" s="20"/>
      <c r="Q4765" s="20"/>
      <c r="R4765" s="20"/>
      <c r="S4765" s="20"/>
      <c r="T4765" s="20"/>
      <c r="U4765" t="s">
        <v>401</v>
      </c>
    </row>
    <row r="4766" spans="1:21" x14ac:dyDescent="0.25">
      <c r="B4766">
        <v>422</v>
      </c>
      <c r="C4766" t="s">
        <v>3495</v>
      </c>
      <c r="E4766" s="18">
        <v>-500</v>
      </c>
      <c r="G4766" t="s">
        <v>442</v>
      </c>
      <c r="I4766"/>
      <c r="J4766"/>
      <c r="L4766"/>
      <c r="M4766"/>
      <c r="O4766"/>
      <c r="P4766" s="20"/>
      <c r="Q4766" s="20"/>
      <c r="R4766" s="20"/>
      <c r="S4766" s="20"/>
      <c r="T4766" s="20"/>
      <c r="U4766" t="s">
        <v>401</v>
      </c>
    </row>
    <row r="4767" spans="1:21" x14ac:dyDescent="0.25">
      <c r="B4767">
        <v>422</v>
      </c>
      <c r="C4767" t="s">
        <v>1314</v>
      </c>
      <c r="E4767" s="18">
        <v>-50</v>
      </c>
      <c r="G4767" t="s">
        <v>442</v>
      </c>
      <c r="I4767"/>
      <c r="J4767"/>
      <c r="L4767"/>
      <c r="M4767"/>
      <c r="O4767"/>
      <c r="P4767" s="20"/>
      <c r="Q4767" s="20"/>
      <c r="R4767" s="20"/>
      <c r="S4767" s="20"/>
      <c r="T4767" s="20"/>
      <c r="U4767" t="s">
        <v>401</v>
      </c>
    </row>
    <row r="4768" spans="1:21" x14ac:dyDescent="0.25">
      <c r="A4768" s="3">
        <v>41894</v>
      </c>
      <c r="B4768" s="36">
        <v>428</v>
      </c>
      <c r="C4768" t="s">
        <v>5093</v>
      </c>
      <c r="D4768">
        <v>14</v>
      </c>
      <c r="E4768" s="18">
        <v>1400</v>
      </c>
      <c r="F4768" t="s">
        <v>889</v>
      </c>
      <c r="G4768" t="s">
        <v>5094</v>
      </c>
      <c r="H4768" s="18">
        <v>1400</v>
      </c>
      <c r="I4768" s="3">
        <v>41894</v>
      </c>
      <c r="J4768"/>
      <c r="L4768"/>
      <c r="M4768"/>
      <c r="N4768" s="20"/>
      <c r="O4768"/>
      <c r="P4768" s="20"/>
      <c r="Q4768" s="20"/>
      <c r="R4768" s="20"/>
      <c r="S4768" s="20"/>
      <c r="T4768" s="20"/>
    </row>
    <row r="4769" spans="1:21" x14ac:dyDescent="0.25">
      <c r="A4769" s="3">
        <v>41894</v>
      </c>
      <c r="B4769" s="36">
        <v>428</v>
      </c>
      <c r="C4769" t="s">
        <v>5095</v>
      </c>
      <c r="D4769">
        <v>6.75</v>
      </c>
      <c r="E4769" s="18">
        <v>675</v>
      </c>
      <c r="F4769" t="s">
        <v>889</v>
      </c>
      <c r="G4769" t="s">
        <v>5096</v>
      </c>
      <c r="H4769" s="18">
        <v>675</v>
      </c>
      <c r="I4769" s="3">
        <v>41894</v>
      </c>
      <c r="J4769"/>
      <c r="L4769"/>
      <c r="M4769"/>
      <c r="N4769" s="20"/>
      <c r="O4769"/>
      <c r="P4769" s="20"/>
      <c r="Q4769" s="20"/>
      <c r="R4769" s="20"/>
      <c r="S4769" s="20"/>
      <c r="T4769" s="20"/>
    </row>
    <row r="4770" spans="1:21" x14ac:dyDescent="0.25">
      <c r="A4770" s="3">
        <v>41915</v>
      </c>
      <c r="B4770" s="36">
        <v>428</v>
      </c>
      <c r="C4770" t="s">
        <v>5097</v>
      </c>
      <c r="D4770">
        <v>4</v>
      </c>
      <c r="E4770" s="18">
        <v>400</v>
      </c>
      <c r="F4770" t="s">
        <v>889</v>
      </c>
      <c r="G4770" t="s">
        <v>5098</v>
      </c>
      <c r="H4770" s="18">
        <v>400</v>
      </c>
      <c r="I4770" s="3">
        <v>41915</v>
      </c>
      <c r="J4770"/>
      <c r="L4770"/>
      <c r="M4770"/>
      <c r="N4770" s="20"/>
      <c r="O4770"/>
      <c r="P4770" s="20"/>
      <c r="Q4770" s="20"/>
      <c r="R4770" s="20"/>
      <c r="S4770" s="20"/>
      <c r="T4770" s="20"/>
    </row>
    <row r="4771" spans="1:21" x14ac:dyDescent="0.25">
      <c r="A4771" s="3">
        <v>41950</v>
      </c>
      <c r="B4771" s="36">
        <v>428</v>
      </c>
      <c r="C4771" t="s">
        <v>5099</v>
      </c>
      <c r="D4771">
        <v>7.65</v>
      </c>
      <c r="E4771" s="18">
        <v>765</v>
      </c>
      <c r="F4771" t="s">
        <v>889</v>
      </c>
      <c r="G4771" t="s">
        <v>5100</v>
      </c>
      <c r="H4771" s="18">
        <v>765</v>
      </c>
      <c r="I4771" s="3">
        <v>41950</v>
      </c>
      <c r="J4771"/>
      <c r="L4771"/>
      <c r="M4771"/>
      <c r="N4771" s="20"/>
      <c r="O4771"/>
      <c r="P4771" s="20"/>
      <c r="Q4771" s="20"/>
      <c r="R4771" s="20"/>
      <c r="S4771" s="20"/>
      <c r="T4771" s="20"/>
    </row>
    <row r="4772" spans="1:21" x14ac:dyDescent="0.25">
      <c r="A4772" s="3">
        <v>41999</v>
      </c>
      <c r="B4772" s="36">
        <v>428</v>
      </c>
      <c r="C4772" t="s">
        <v>4494</v>
      </c>
      <c r="E4772" s="18">
        <v>250</v>
      </c>
      <c r="F4772" t="s">
        <v>889</v>
      </c>
      <c r="G4772" t="s">
        <v>442</v>
      </c>
      <c r="H4772" s="18" t="s">
        <v>442</v>
      </c>
      <c r="I4772" s="3" t="s">
        <v>442</v>
      </c>
      <c r="J4772"/>
      <c r="L4772"/>
      <c r="M4772"/>
      <c r="N4772" s="20"/>
      <c r="O4772"/>
      <c r="P4772" s="20"/>
      <c r="Q4772" s="20"/>
      <c r="R4772" s="20"/>
      <c r="S4772" s="20"/>
      <c r="T4772" s="20" t="s">
        <v>401</v>
      </c>
    </row>
    <row r="4773" spans="1:21" x14ac:dyDescent="0.25">
      <c r="A4773" s="3">
        <v>41999</v>
      </c>
      <c r="B4773" s="36">
        <v>428</v>
      </c>
      <c r="C4773" t="s">
        <v>5099</v>
      </c>
      <c r="D4773">
        <v>8.67</v>
      </c>
      <c r="E4773" s="18">
        <v>969</v>
      </c>
      <c r="F4773" t="s">
        <v>889</v>
      </c>
      <c r="G4773" t="s">
        <v>5100</v>
      </c>
      <c r="H4773" s="18">
        <v>969</v>
      </c>
      <c r="I4773" s="3">
        <v>41999</v>
      </c>
      <c r="J4773"/>
      <c r="L4773"/>
      <c r="M4773"/>
      <c r="N4773" s="20"/>
      <c r="O4773" t="s">
        <v>959</v>
      </c>
      <c r="P4773" s="20"/>
      <c r="Q4773" s="20"/>
      <c r="R4773" s="20"/>
      <c r="S4773" s="20"/>
      <c r="T4773" s="20"/>
    </row>
    <row r="4774" spans="1:21" x14ac:dyDescent="0.25">
      <c r="A4774" s="3">
        <v>42004</v>
      </c>
      <c r="B4774" s="36">
        <v>428</v>
      </c>
      <c r="C4774" t="s">
        <v>5101</v>
      </c>
      <c r="E4774" s="18">
        <v>750</v>
      </c>
      <c r="G4774" t="s">
        <v>442</v>
      </c>
      <c r="H4774" s="18" t="s">
        <v>442</v>
      </c>
      <c r="I4774" s="3" t="s">
        <v>442</v>
      </c>
      <c r="J4774"/>
      <c r="L4774"/>
      <c r="M4774"/>
      <c r="N4774" s="20"/>
      <c r="O4774"/>
      <c r="P4774" s="20"/>
      <c r="Q4774" s="20"/>
      <c r="R4774" s="20"/>
      <c r="S4774" s="20"/>
      <c r="T4774" s="20" t="s">
        <v>401</v>
      </c>
    </row>
    <row r="4775" spans="1:21" x14ac:dyDescent="0.25">
      <c r="B4775">
        <v>428</v>
      </c>
      <c r="C4775" t="s">
        <v>4494</v>
      </c>
      <c r="E4775" s="18">
        <v>-250</v>
      </c>
      <c r="F4775" t="s">
        <v>889</v>
      </c>
      <c r="G4775" t="s">
        <v>442</v>
      </c>
      <c r="I4775"/>
      <c r="J4775"/>
      <c r="L4775"/>
      <c r="M4775"/>
      <c r="O4775"/>
      <c r="P4775" s="20"/>
      <c r="Q4775" s="20"/>
      <c r="R4775" s="20"/>
      <c r="S4775" s="20"/>
      <c r="T4775" s="20"/>
      <c r="U4775" t="s">
        <v>401</v>
      </c>
    </row>
    <row r="4776" spans="1:21" x14ac:dyDescent="0.25">
      <c r="B4776">
        <v>428</v>
      </c>
      <c r="C4776" t="s">
        <v>5101</v>
      </c>
      <c r="E4776" s="18">
        <v>-750</v>
      </c>
      <c r="G4776" t="s">
        <v>442</v>
      </c>
      <c r="I4776"/>
      <c r="J4776"/>
      <c r="L4776"/>
      <c r="M4776"/>
      <c r="O4776"/>
      <c r="P4776" s="20"/>
      <c r="Q4776" s="20"/>
      <c r="R4776" s="20"/>
      <c r="S4776" s="20"/>
      <c r="T4776" s="20"/>
      <c r="U4776" t="s">
        <v>401</v>
      </c>
    </row>
    <row r="4777" spans="1:21" x14ac:dyDescent="0.25">
      <c r="B4777">
        <v>428</v>
      </c>
      <c r="C4777" t="s">
        <v>5099</v>
      </c>
      <c r="D4777">
        <v>7.65</v>
      </c>
      <c r="E4777" s="18">
        <v>-204</v>
      </c>
      <c r="F4777" t="s">
        <v>889</v>
      </c>
      <c r="G4777" t="s">
        <v>5100</v>
      </c>
      <c r="I4777"/>
      <c r="J4777"/>
      <c r="L4777"/>
      <c r="M4777"/>
      <c r="O4777"/>
      <c r="P4777" s="20"/>
      <c r="Q4777" s="20"/>
      <c r="R4777" s="20"/>
      <c r="S4777" s="20"/>
      <c r="T4777" s="20"/>
      <c r="U4777" t="s">
        <v>401</v>
      </c>
    </row>
    <row r="4778" spans="1:21" x14ac:dyDescent="0.25">
      <c r="A4778" s="3">
        <v>41880</v>
      </c>
      <c r="B4778" s="36">
        <v>429</v>
      </c>
      <c r="C4778" t="s">
        <v>5102</v>
      </c>
      <c r="E4778" s="18">
        <v>625</v>
      </c>
      <c r="G4778" t="s">
        <v>5103</v>
      </c>
      <c r="H4778" s="18">
        <v>625</v>
      </c>
      <c r="I4778" s="3">
        <v>41880</v>
      </c>
      <c r="J4778"/>
      <c r="L4778"/>
      <c r="M4778"/>
      <c r="N4778" s="20"/>
      <c r="O4778"/>
      <c r="P4778" s="20"/>
      <c r="Q4778" s="20"/>
      <c r="R4778" s="20"/>
      <c r="S4778" s="20"/>
      <c r="T4778" s="20"/>
    </row>
    <row r="4779" spans="1:21" x14ac:dyDescent="0.25">
      <c r="A4779" s="3">
        <v>41880</v>
      </c>
      <c r="B4779" s="36">
        <v>429</v>
      </c>
      <c r="C4779" t="s">
        <v>5104</v>
      </c>
      <c r="E4779" s="18">
        <v>500</v>
      </c>
      <c r="G4779" t="s">
        <v>5105</v>
      </c>
      <c r="H4779" s="18">
        <v>500</v>
      </c>
      <c r="I4779" s="3">
        <v>41880</v>
      </c>
      <c r="J4779"/>
      <c r="L4779"/>
      <c r="M4779"/>
      <c r="N4779" s="20"/>
      <c r="O4779"/>
      <c r="P4779" s="20"/>
      <c r="Q4779" s="20"/>
      <c r="R4779" s="20"/>
      <c r="S4779" s="20"/>
      <c r="T4779" s="20"/>
    </row>
    <row r="4780" spans="1:21" x14ac:dyDescent="0.25">
      <c r="A4780" s="3">
        <v>41886</v>
      </c>
      <c r="B4780" s="36">
        <v>429</v>
      </c>
      <c r="C4780" t="s">
        <v>5106</v>
      </c>
      <c r="D4780">
        <v>5.25</v>
      </c>
      <c r="E4780" s="18">
        <v>525</v>
      </c>
      <c r="F4780" t="s">
        <v>889</v>
      </c>
      <c r="G4780" t="s">
        <v>5107</v>
      </c>
      <c r="H4780" s="18">
        <v>525</v>
      </c>
      <c r="I4780" s="3">
        <v>41886</v>
      </c>
      <c r="J4780"/>
      <c r="L4780"/>
      <c r="M4780"/>
      <c r="N4780" s="20"/>
      <c r="O4780"/>
      <c r="P4780" s="20"/>
      <c r="Q4780" s="20"/>
      <c r="R4780" s="20"/>
      <c r="S4780" s="20"/>
      <c r="T4780" s="20"/>
    </row>
    <row r="4781" spans="1:21" x14ac:dyDescent="0.25">
      <c r="A4781" s="3">
        <v>41908</v>
      </c>
      <c r="B4781" s="36">
        <v>429</v>
      </c>
      <c r="C4781" t="s">
        <v>5108</v>
      </c>
      <c r="E4781" s="18">
        <v>500</v>
      </c>
      <c r="G4781" t="s">
        <v>442</v>
      </c>
      <c r="H4781" s="18" t="s">
        <v>442</v>
      </c>
      <c r="I4781" s="3" t="s">
        <v>442</v>
      </c>
      <c r="J4781"/>
      <c r="L4781"/>
      <c r="M4781"/>
      <c r="N4781" s="20"/>
      <c r="O4781" t="s">
        <v>5109</v>
      </c>
      <c r="P4781" s="20"/>
      <c r="Q4781" s="20"/>
      <c r="R4781" s="20"/>
      <c r="S4781" s="20"/>
      <c r="T4781" s="20" t="s">
        <v>401</v>
      </c>
    </row>
    <row r="4782" spans="1:21" x14ac:dyDescent="0.25">
      <c r="A4782" s="3">
        <v>41922</v>
      </c>
      <c r="B4782" s="36">
        <v>429</v>
      </c>
      <c r="C4782" t="s">
        <v>5110</v>
      </c>
      <c r="E4782" s="18">
        <v>509.49</v>
      </c>
      <c r="G4782" t="s">
        <v>442</v>
      </c>
      <c r="H4782" s="18" t="s">
        <v>442</v>
      </c>
      <c r="I4782" s="3" t="s">
        <v>442</v>
      </c>
      <c r="J4782"/>
      <c r="L4782"/>
      <c r="M4782"/>
      <c r="N4782" s="20"/>
      <c r="O4782"/>
      <c r="P4782" s="20"/>
      <c r="Q4782" s="20"/>
      <c r="R4782" s="20"/>
      <c r="S4782" s="20"/>
      <c r="T4782" s="20" t="s">
        <v>401</v>
      </c>
    </row>
    <row r="4783" spans="1:21" x14ac:dyDescent="0.25">
      <c r="B4783">
        <v>429</v>
      </c>
      <c r="C4783" t="s">
        <v>5110</v>
      </c>
      <c r="E4783" s="18">
        <v>-509.49</v>
      </c>
      <c r="F4783" t="s">
        <v>889</v>
      </c>
      <c r="G4783" t="s">
        <v>442</v>
      </c>
      <c r="I4783"/>
      <c r="J4783"/>
      <c r="L4783"/>
      <c r="M4783"/>
      <c r="O4783"/>
      <c r="P4783" s="20"/>
      <c r="Q4783" s="20"/>
      <c r="R4783" s="20"/>
      <c r="S4783" s="20"/>
      <c r="T4783" s="20"/>
      <c r="U4783" t="s">
        <v>401</v>
      </c>
    </row>
    <row r="4784" spans="1:21" x14ac:dyDescent="0.25">
      <c r="B4784">
        <v>429</v>
      </c>
      <c r="C4784" t="s">
        <v>5102</v>
      </c>
      <c r="D4784">
        <v>6.25</v>
      </c>
      <c r="E4784" s="18">
        <v>-625</v>
      </c>
      <c r="F4784" t="s">
        <v>889</v>
      </c>
      <c r="G4784" t="s">
        <v>5103</v>
      </c>
      <c r="I4784"/>
      <c r="J4784"/>
      <c r="L4784"/>
      <c r="M4784"/>
      <c r="O4784"/>
      <c r="P4784" s="20"/>
      <c r="Q4784" s="20"/>
      <c r="R4784" s="20"/>
      <c r="S4784" s="20"/>
      <c r="T4784" s="20"/>
      <c r="U4784" t="s">
        <v>401</v>
      </c>
    </row>
    <row r="4785" spans="1:21" x14ac:dyDescent="0.25">
      <c r="B4785">
        <v>429</v>
      </c>
      <c r="C4785" t="s">
        <v>5111</v>
      </c>
      <c r="D4785">
        <v>5.25</v>
      </c>
      <c r="E4785" s="18">
        <v>214.77272727272737</v>
      </c>
      <c r="F4785" t="s">
        <v>889</v>
      </c>
      <c r="G4785" t="s">
        <v>5107</v>
      </c>
      <c r="I4785"/>
      <c r="J4785"/>
      <c r="L4785"/>
      <c r="M4785"/>
      <c r="O4785"/>
      <c r="P4785" s="20"/>
      <c r="Q4785" s="20"/>
      <c r="R4785" s="20"/>
      <c r="S4785" s="20"/>
      <c r="T4785" s="20"/>
      <c r="U4785" t="s">
        <v>401</v>
      </c>
    </row>
    <row r="4786" spans="1:21" x14ac:dyDescent="0.25">
      <c r="B4786">
        <v>429</v>
      </c>
      <c r="C4786" t="s">
        <v>5112</v>
      </c>
      <c r="D4786">
        <v>11.25</v>
      </c>
      <c r="E4786" s="18">
        <v>1125</v>
      </c>
      <c r="F4786" t="s">
        <v>889</v>
      </c>
      <c r="G4786" t="s">
        <v>5113</v>
      </c>
      <c r="I4786"/>
      <c r="J4786"/>
      <c r="L4786"/>
      <c r="M4786"/>
      <c r="O4786"/>
      <c r="P4786" s="20"/>
      <c r="Q4786" s="20"/>
      <c r="R4786" s="20"/>
      <c r="S4786" s="20"/>
      <c r="T4786" s="20"/>
      <c r="U4786" t="s">
        <v>401</v>
      </c>
    </row>
    <row r="4787" spans="1:21" x14ac:dyDescent="0.25">
      <c r="B4787">
        <v>429</v>
      </c>
      <c r="C4787" t="s">
        <v>5112</v>
      </c>
      <c r="D4787">
        <v>11.25</v>
      </c>
      <c r="E4787" s="18">
        <v>-1125</v>
      </c>
      <c r="F4787" t="s">
        <v>889</v>
      </c>
      <c r="G4787" t="s">
        <v>5113</v>
      </c>
      <c r="I4787"/>
      <c r="J4787"/>
      <c r="L4787"/>
      <c r="M4787"/>
      <c r="O4787"/>
      <c r="P4787" s="20"/>
      <c r="Q4787" s="20"/>
      <c r="R4787" s="20"/>
      <c r="S4787" s="20"/>
      <c r="T4787" s="20"/>
      <c r="U4787" t="s">
        <v>401</v>
      </c>
    </row>
    <row r="4788" spans="1:21" x14ac:dyDescent="0.25">
      <c r="B4788">
        <v>429</v>
      </c>
      <c r="C4788" t="s">
        <v>5108</v>
      </c>
      <c r="E4788" s="18">
        <v>-500</v>
      </c>
      <c r="G4788" t="s">
        <v>442</v>
      </c>
      <c r="I4788"/>
      <c r="J4788"/>
      <c r="L4788"/>
      <c r="M4788"/>
      <c r="O4788"/>
      <c r="P4788" s="20"/>
      <c r="Q4788" s="20"/>
      <c r="R4788" s="20"/>
      <c r="S4788" s="20"/>
      <c r="T4788" s="20"/>
      <c r="U4788" t="s">
        <v>401</v>
      </c>
    </row>
    <row r="4789" spans="1:21" x14ac:dyDescent="0.25">
      <c r="B4789">
        <v>429</v>
      </c>
      <c r="C4789" t="s">
        <v>5114</v>
      </c>
      <c r="D4789">
        <v>7.5</v>
      </c>
      <c r="E4789" s="18">
        <v>750</v>
      </c>
      <c r="F4789" t="s">
        <v>889</v>
      </c>
      <c r="G4789" t="s">
        <v>5115</v>
      </c>
      <c r="I4789"/>
      <c r="J4789"/>
      <c r="L4789"/>
      <c r="M4789"/>
      <c r="O4789"/>
      <c r="P4789" s="20"/>
      <c r="Q4789" s="20"/>
      <c r="R4789" s="20"/>
      <c r="S4789" s="20"/>
      <c r="T4789" s="20"/>
      <c r="U4789" t="s">
        <v>401</v>
      </c>
    </row>
    <row r="4790" spans="1:21" x14ac:dyDescent="0.25">
      <c r="B4790">
        <v>429</v>
      </c>
      <c r="C4790" t="s">
        <v>5114</v>
      </c>
      <c r="D4790">
        <v>7.5</v>
      </c>
      <c r="E4790" s="18">
        <v>-750</v>
      </c>
      <c r="F4790" t="s">
        <v>889</v>
      </c>
      <c r="G4790" t="s">
        <v>5115</v>
      </c>
      <c r="I4790"/>
      <c r="J4790"/>
      <c r="L4790"/>
      <c r="M4790"/>
      <c r="O4790"/>
      <c r="P4790" s="20"/>
      <c r="Q4790" s="20"/>
      <c r="R4790" s="20"/>
      <c r="S4790" s="20"/>
      <c r="T4790" s="20"/>
      <c r="U4790" t="s">
        <v>401</v>
      </c>
    </row>
    <row r="4791" spans="1:21" x14ac:dyDescent="0.25">
      <c r="B4791">
        <v>429</v>
      </c>
      <c r="C4791" t="s">
        <v>5104</v>
      </c>
      <c r="D4791">
        <v>5</v>
      </c>
      <c r="E4791" s="18">
        <v>-500</v>
      </c>
      <c r="F4791" t="s">
        <v>889</v>
      </c>
      <c r="G4791" t="s">
        <v>5105</v>
      </c>
      <c r="I4791"/>
      <c r="J4791"/>
      <c r="L4791"/>
      <c r="M4791"/>
      <c r="O4791"/>
      <c r="P4791" s="20"/>
      <c r="Q4791" s="20"/>
      <c r="R4791" s="20"/>
      <c r="S4791" s="20"/>
      <c r="T4791" s="20"/>
      <c r="U4791" t="s">
        <v>401</v>
      </c>
    </row>
    <row r="4792" spans="1:21" x14ac:dyDescent="0.25">
      <c r="A4792" s="3">
        <v>41880</v>
      </c>
      <c r="B4792" s="36">
        <v>430</v>
      </c>
      <c r="C4792" t="s">
        <v>5116</v>
      </c>
      <c r="D4792">
        <v>8.42</v>
      </c>
      <c r="E4792" s="18">
        <v>841.49999999999989</v>
      </c>
      <c r="F4792" t="s">
        <v>889</v>
      </c>
      <c r="G4792" t="s">
        <v>5117</v>
      </c>
      <c r="H4792" s="18">
        <v>841.49999999999989</v>
      </c>
      <c r="I4792" s="3">
        <v>41880</v>
      </c>
      <c r="J4792"/>
      <c r="L4792"/>
      <c r="M4792"/>
      <c r="N4792" s="20"/>
      <c r="O4792"/>
      <c r="P4792" s="20"/>
      <c r="Q4792" s="20"/>
      <c r="R4792" s="20"/>
      <c r="S4792" s="20"/>
      <c r="T4792" s="20"/>
    </row>
    <row r="4793" spans="1:21" x14ac:dyDescent="0.25">
      <c r="A4793" s="3">
        <v>41922</v>
      </c>
      <c r="B4793" s="36">
        <v>430</v>
      </c>
      <c r="C4793" t="s">
        <v>5118</v>
      </c>
      <c r="D4793">
        <v>10.5</v>
      </c>
      <c r="E4793" s="18">
        <v>1050</v>
      </c>
      <c r="F4793" t="s">
        <v>889</v>
      </c>
      <c r="G4793" t="s">
        <v>5119</v>
      </c>
      <c r="H4793" s="18">
        <v>1050</v>
      </c>
      <c r="I4793" s="3">
        <v>41922</v>
      </c>
      <c r="J4793"/>
      <c r="L4793"/>
      <c r="M4793"/>
      <c r="N4793" s="20"/>
      <c r="O4793"/>
      <c r="P4793" s="20"/>
      <c r="Q4793" s="20"/>
      <c r="R4793" s="20"/>
      <c r="S4793" s="20"/>
      <c r="T4793" s="20"/>
    </row>
    <row r="4794" spans="1:21" x14ac:dyDescent="0.25">
      <c r="A4794" s="3">
        <v>41922</v>
      </c>
      <c r="B4794" s="36">
        <v>430</v>
      </c>
      <c r="C4794" t="s">
        <v>5116</v>
      </c>
      <c r="D4794">
        <v>8.4149999999999991</v>
      </c>
      <c r="E4794" s="18">
        <v>-841.49999999999989</v>
      </c>
      <c r="F4794" t="s">
        <v>889</v>
      </c>
      <c r="G4794" t="s">
        <v>5117</v>
      </c>
      <c r="H4794" s="18" t="s">
        <v>442</v>
      </c>
      <c r="I4794" s="3" t="s">
        <v>442</v>
      </c>
      <c r="J4794"/>
      <c r="L4794"/>
      <c r="M4794"/>
      <c r="N4794" s="20"/>
      <c r="O4794"/>
      <c r="P4794" s="20"/>
      <c r="Q4794" s="20"/>
      <c r="R4794" s="20"/>
      <c r="S4794" s="20"/>
      <c r="T4794" s="20"/>
    </row>
    <row r="4795" spans="1:21" x14ac:dyDescent="0.25">
      <c r="A4795" s="3">
        <v>41922</v>
      </c>
      <c r="B4795" s="36">
        <v>430</v>
      </c>
      <c r="C4795" t="s">
        <v>5120</v>
      </c>
      <c r="D4795">
        <v>6</v>
      </c>
      <c r="E4795" s="18">
        <v>600</v>
      </c>
      <c r="F4795" t="s">
        <v>889</v>
      </c>
      <c r="G4795" t="s">
        <v>5121</v>
      </c>
      <c r="H4795" s="18">
        <v>600</v>
      </c>
      <c r="I4795" s="3">
        <v>41922</v>
      </c>
      <c r="J4795"/>
      <c r="L4795"/>
      <c r="M4795"/>
      <c r="N4795" s="20"/>
      <c r="O4795"/>
      <c r="P4795" s="20"/>
      <c r="Q4795" s="20"/>
      <c r="R4795" s="20"/>
      <c r="S4795" s="20"/>
      <c r="T4795" s="20"/>
    </row>
    <row r="4796" spans="1:21" x14ac:dyDescent="0.25">
      <c r="A4796" s="3">
        <v>41922</v>
      </c>
      <c r="B4796" s="36">
        <v>430</v>
      </c>
      <c r="C4796" t="s">
        <v>5122</v>
      </c>
      <c r="D4796">
        <v>8</v>
      </c>
      <c r="E4796" s="18">
        <v>800</v>
      </c>
      <c r="F4796" t="s">
        <v>889</v>
      </c>
      <c r="G4796" t="s">
        <v>5123</v>
      </c>
      <c r="H4796" s="18">
        <v>800</v>
      </c>
      <c r="I4796" s="3">
        <v>41922</v>
      </c>
      <c r="J4796"/>
      <c r="L4796"/>
      <c r="M4796"/>
      <c r="N4796" s="20"/>
      <c r="O4796"/>
      <c r="P4796" s="20"/>
      <c r="Q4796" s="20"/>
      <c r="R4796" s="20"/>
      <c r="S4796" s="20"/>
      <c r="T4796" s="20"/>
    </row>
    <row r="4797" spans="1:21" x14ac:dyDescent="0.25">
      <c r="A4797" s="3">
        <v>41957</v>
      </c>
      <c r="B4797" s="36">
        <v>430</v>
      </c>
      <c r="C4797" t="s">
        <v>5124</v>
      </c>
      <c r="E4797" s="18">
        <v>573.20000000000005</v>
      </c>
      <c r="F4797" t="s">
        <v>891</v>
      </c>
      <c r="H4797" s="18" t="s">
        <v>442</v>
      </c>
      <c r="I4797" s="3" t="s">
        <v>442</v>
      </c>
      <c r="J4797"/>
      <c r="L4797"/>
      <c r="M4797"/>
      <c r="N4797" s="20"/>
      <c r="O4797"/>
      <c r="P4797" s="20" t="s">
        <v>401</v>
      </c>
      <c r="Q4797" s="20"/>
      <c r="R4797" s="20"/>
      <c r="S4797" s="20"/>
      <c r="T4797" s="20"/>
    </row>
    <row r="4798" spans="1:21" x14ac:dyDescent="0.25">
      <c r="A4798" s="3">
        <v>42041</v>
      </c>
      <c r="B4798" s="56">
        <v>430</v>
      </c>
      <c r="C4798" s="64" t="s">
        <v>5118</v>
      </c>
      <c r="D4798" s="64">
        <v>10.5</v>
      </c>
      <c r="E4798" s="65">
        <v>-1050</v>
      </c>
      <c r="F4798" s="64" t="s">
        <v>889</v>
      </c>
      <c r="G4798" s="64" t="s">
        <v>5119</v>
      </c>
      <c r="H4798" s="20"/>
      <c r="I4798" s="20"/>
      <c r="J4798" s="20"/>
      <c r="K4798" s="20"/>
      <c r="L4798" s="20"/>
      <c r="M4798" s="20"/>
      <c r="N4798" s="20"/>
      <c r="O4798" s="20"/>
      <c r="P4798" s="20"/>
      <c r="Q4798" s="20"/>
      <c r="R4798" s="20"/>
      <c r="S4798" s="20"/>
      <c r="T4798" s="20"/>
      <c r="U4798" s="20"/>
    </row>
    <row r="4799" spans="1:21" x14ac:dyDescent="0.25">
      <c r="A4799" s="3">
        <v>42041</v>
      </c>
      <c r="B4799">
        <v>430</v>
      </c>
      <c r="C4799" t="s">
        <v>5120</v>
      </c>
      <c r="E4799" s="18">
        <v>200</v>
      </c>
      <c r="F4799" t="s">
        <v>889</v>
      </c>
      <c r="G4799" t="s">
        <v>5121</v>
      </c>
      <c r="I4799"/>
      <c r="J4799"/>
      <c r="L4799"/>
      <c r="M4799"/>
      <c r="O4799"/>
      <c r="P4799" s="20"/>
      <c r="Q4799" s="20"/>
      <c r="R4799" s="20"/>
      <c r="S4799" s="20"/>
      <c r="T4799" s="20"/>
    </row>
    <row r="4800" spans="1:21" x14ac:dyDescent="0.25">
      <c r="A4800" s="3">
        <v>42041</v>
      </c>
      <c r="B4800">
        <v>430</v>
      </c>
      <c r="C4800" t="s">
        <v>5120</v>
      </c>
      <c r="D4800">
        <v>6</v>
      </c>
      <c r="E4800" s="18">
        <v>200</v>
      </c>
      <c r="F4800" t="s">
        <v>889</v>
      </c>
      <c r="G4800" t="s">
        <v>5121</v>
      </c>
      <c r="I4800"/>
      <c r="J4800"/>
      <c r="L4800"/>
      <c r="M4800"/>
      <c r="O4800"/>
      <c r="P4800" s="20"/>
      <c r="Q4800" s="20"/>
      <c r="R4800" s="20"/>
      <c r="S4800" s="20"/>
      <c r="T4800" s="20"/>
    </row>
    <row r="4801" spans="1:21" x14ac:dyDescent="0.25">
      <c r="A4801" s="3">
        <v>42041</v>
      </c>
      <c r="B4801" s="56">
        <v>430</v>
      </c>
      <c r="C4801" s="64" t="s">
        <v>5122</v>
      </c>
      <c r="D4801" s="64">
        <v>8</v>
      </c>
      <c r="E4801" s="65">
        <v>800</v>
      </c>
      <c r="F4801" s="64" t="s">
        <v>889</v>
      </c>
      <c r="G4801" s="64" t="s">
        <v>5123</v>
      </c>
      <c r="H4801" s="20"/>
      <c r="I4801" s="20"/>
      <c r="J4801" s="20"/>
      <c r="K4801" s="20"/>
      <c r="L4801" s="20"/>
      <c r="M4801" s="20"/>
      <c r="N4801" s="20"/>
      <c r="O4801" s="20"/>
      <c r="P4801" s="20"/>
      <c r="Q4801" s="20"/>
      <c r="R4801" s="20"/>
      <c r="S4801" s="20"/>
      <c r="T4801" s="20"/>
      <c r="U4801" s="20"/>
    </row>
    <row r="4802" spans="1:21" x14ac:dyDescent="0.25">
      <c r="B4802">
        <v>430</v>
      </c>
      <c r="C4802" t="s">
        <v>5120</v>
      </c>
      <c r="D4802">
        <v>6</v>
      </c>
      <c r="E4802" s="18">
        <v>200</v>
      </c>
      <c r="F4802" t="s">
        <v>889</v>
      </c>
      <c r="G4802" t="s">
        <v>5121</v>
      </c>
      <c r="I4802"/>
      <c r="J4802"/>
      <c r="L4802"/>
      <c r="M4802"/>
      <c r="O4802"/>
      <c r="P4802" s="20"/>
      <c r="Q4802" s="20"/>
      <c r="R4802" s="20"/>
      <c r="S4802" s="20"/>
      <c r="T4802" s="20"/>
      <c r="U4802" t="s">
        <v>401</v>
      </c>
    </row>
    <row r="4803" spans="1:21" x14ac:dyDescent="0.25">
      <c r="A4803" s="3">
        <v>41915</v>
      </c>
      <c r="B4803" s="36">
        <v>436</v>
      </c>
      <c r="C4803" t="s">
        <v>5125</v>
      </c>
      <c r="D4803">
        <v>8</v>
      </c>
      <c r="E4803" s="18">
        <v>800</v>
      </c>
      <c r="F4803" t="s">
        <v>889</v>
      </c>
      <c r="G4803" t="s">
        <v>5126</v>
      </c>
      <c r="H4803" s="18">
        <v>800</v>
      </c>
      <c r="I4803" s="3">
        <v>41915</v>
      </c>
      <c r="J4803"/>
      <c r="L4803"/>
      <c r="M4803"/>
      <c r="N4803" s="20"/>
      <c r="O4803"/>
      <c r="P4803" s="20"/>
      <c r="Q4803" s="20"/>
      <c r="R4803" s="20"/>
      <c r="S4803" s="20"/>
      <c r="T4803" s="20"/>
    </row>
    <row r="4804" spans="1:21" x14ac:dyDescent="0.25">
      <c r="B4804">
        <v>436</v>
      </c>
      <c r="C4804" t="s">
        <v>5125</v>
      </c>
      <c r="D4804">
        <v>8</v>
      </c>
      <c r="E4804" s="18">
        <v>-800</v>
      </c>
      <c r="F4804" t="s">
        <v>889</v>
      </c>
      <c r="G4804" t="s">
        <v>5126</v>
      </c>
      <c r="I4804"/>
      <c r="J4804"/>
      <c r="L4804"/>
      <c r="M4804"/>
      <c r="O4804"/>
      <c r="P4804" s="20"/>
      <c r="Q4804" s="20"/>
      <c r="R4804" s="20"/>
      <c r="S4804" s="20"/>
      <c r="T4804" s="20"/>
      <c r="U4804" t="s">
        <v>401</v>
      </c>
    </row>
    <row r="4805" spans="1:21" x14ac:dyDescent="0.25">
      <c r="A4805" s="3">
        <v>41907</v>
      </c>
      <c r="B4805" s="36">
        <v>437</v>
      </c>
      <c r="C4805" t="s">
        <v>5127</v>
      </c>
      <c r="D4805">
        <v>5</v>
      </c>
      <c r="E4805" s="18">
        <v>-750</v>
      </c>
      <c r="F4805" t="s">
        <v>889</v>
      </c>
      <c r="G4805" t="s">
        <v>5128</v>
      </c>
      <c r="H4805" s="18" t="s">
        <v>442</v>
      </c>
      <c r="I4805" s="3" t="s">
        <v>442</v>
      </c>
      <c r="J4805"/>
      <c r="L4805"/>
      <c r="M4805"/>
      <c r="N4805" s="20"/>
      <c r="O4805"/>
      <c r="P4805" s="20"/>
      <c r="Q4805" s="20"/>
      <c r="R4805" s="20"/>
      <c r="S4805" s="20"/>
      <c r="T4805" s="20"/>
    </row>
    <row r="4806" spans="1:21" x14ac:dyDescent="0.25">
      <c r="A4806" s="3">
        <v>41907</v>
      </c>
      <c r="B4806" s="36">
        <v>437</v>
      </c>
      <c r="C4806" t="s">
        <v>5127</v>
      </c>
      <c r="D4806">
        <v>7.5</v>
      </c>
      <c r="E4806" s="18">
        <v>750</v>
      </c>
      <c r="F4806" t="s">
        <v>889</v>
      </c>
      <c r="G4806" t="s">
        <v>5128</v>
      </c>
      <c r="H4806" s="18">
        <v>750</v>
      </c>
      <c r="I4806" s="3">
        <v>41907</v>
      </c>
      <c r="J4806"/>
      <c r="L4806"/>
      <c r="M4806"/>
      <c r="N4806" s="20"/>
      <c r="O4806"/>
      <c r="P4806" s="20"/>
      <c r="Q4806" s="20"/>
      <c r="R4806" s="20"/>
      <c r="S4806" s="20"/>
      <c r="T4806" s="20"/>
    </row>
    <row r="4807" spans="1:21" x14ac:dyDescent="0.25">
      <c r="A4807" s="3">
        <v>41887</v>
      </c>
      <c r="B4807" s="36">
        <v>438</v>
      </c>
      <c r="C4807" t="s">
        <v>5129</v>
      </c>
      <c r="D4807">
        <v>16.5</v>
      </c>
      <c r="E4807" s="18">
        <v>1650</v>
      </c>
      <c r="F4807" t="s">
        <v>889</v>
      </c>
      <c r="G4807" t="s">
        <v>5130</v>
      </c>
      <c r="H4807" s="18">
        <v>1650</v>
      </c>
      <c r="I4807" s="3">
        <v>41887</v>
      </c>
      <c r="J4807"/>
      <c r="L4807"/>
      <c r="M4807"/>
      <c r="N4807" s="20"/>
      <c r="O4807"/>
      <c r="P4807" s="20"/>
      <c r="Q4807" s="20"/>
      <c r="R4807" s="20"/>
      <c r="S4807" s="20"/>
      <c r="T4807" s="20"/>
    </row>
    <row r="4808" spans="1:21" x14ac:dyDescent="0.25">
      <c r="A4808" s="3">
        <v>41887</v>
      </c>
      <c r="B4808" s="36">
        <v>438</v>
      </c>
      <c r="C4808" t="s">
        <v>5131</v>
      </c>
      <c r="D4808">
        <v>5.25</v>
      </c>
      <c r="E4808" s="18">
        <v>525</v>
      </c>
      <c r="F4808" t="s">
        <v>889</v>
      </c>
      <c r="G4808" t="s">
        <v>5132</v>
      </c>
      <c r="H4808" s="18">
        <v>525</v>
      </c>
      <c r="I4808" s="3">
        <v>41887</v>
      </c>
      <c r="J4808"/>
      <c r="L4808"/>
      <c r="M4808"/>
      <c r="N4808" s="20"/>
      <c r="O4808"/>
      <c r="P4808" s="20"/>
      <c r="Q4808" s="20"/>
      <c r="R4808" s="20"/>
      <c r="S4808" s="20"/>
      <c r="T4808" s="20"/>
    </row>
    <row r="4809" spans="1:21" x14ac:dyDescent="0.25">
      <c r="A4809" s="3">
        <v>41901</v>
      </c>
      <c r="B4809" s="36">
        <v>438</v>
      </c>
      <c r="C4809" t="s">
        <v>5133</v>
      </c>
      <c r="D4809">
        <v>9.25</v>
      </c>
      <c r="E4809" s="18">
        <v>925</v>
      </c>
      <c r="F4809" t="s">
        <v>889</v>
      </c>
      <c r="G4809" t="s">
        <v>5134</v>
      </c>
      <c r="H4809" s="18">
        <v>925</v>
      </c>
      <c r="I4809" s="3">
        <v>41901</v>
      </c>
      <c r="J4809"/>
      <c r="L4809"/>
      <c r="M4809"/>
      <c r="N4809" s="20"/>
      <c r="O4809"/>
      <c r="P4809" s="20"/>
      <c r="Q4809" s="20"/>
      <c r="R4809" s="20"/>
      <c r="S4809" s="20"/>
      <c r="T4809" s="20"/>
    </row>
    <row r="4810" spans="1:21" x14ac:dyDescent="0.25">
      <c r="A4810" s="3">
        <v>41907</v>
      </c>
      <c r="B4810" s="36">
        <v>438</v>
      </c>
      <c r="C4810" t="s">
        <v>5135</v>
      </c>
      <c r="D4810">
        <v>6.75</v>
      </c>
      <c r="E4810" s="18">
        <v>675</v>
      </c>
      <c r="F4810" t="s">
        <v>889</v>
      </c>
      <c r="G4810" t="s">
        <v>5136</v>
      </c>
      <c r="H4810" s="18">
        <v>675</v>
      </c>
      <c r="I4810" s="3">
        <v>41907</v>
      </c>
      <c r="J4810"/>
      <c r="L4810"/>
      <c r="M4810"/>
      <c r="N4810" s="20"/>
      <c r="O4810"/>
      <c r="P4810" s="20"/>
      <c r="Q4810" s="20"/>
      <c r="R4810" s="20"/>
      <c r="S4810" s="20"/>
      <c r="T4810" s="20"/>
    </row>
    <row r="4811" spans="1:21" x14ac:dyDescent="0.25">
      <c r="A4811" s="3">
        <v>41915</v>
      </c>
      <c r="B4811" s="36">
        <v>438</v>
      </c>
      <c r="C4811" t="s">
        <v>5137</v>
      </c>
      <c r="D4811">
        <v>7.5</v>
      </c>
      <c r="E4811" s="18">
        <v>750</v>
      </c>
      <c r="F4811" t="s">
        <v>889</v>
      </c>
      <c r="G4811" t="s">
        <v>5138</v>
      </c>
      <c r="H4811" s="18">
        <v>750</v>
      </c>
      <c r="I4811" s="3">
        <v>41915</v>
      </c>
      <c r="J4811"/>
      <c r="L4811"/>
      <c r="M4811"/>
      <c r="N4811" s="20"/>
      <c r="O4811"/>
      <c r="P4811" s="20"/>
      <c r="Q4811" s="20"/>
      <c r="R4811" s="20"/>
      <c r="S4811" s="20"/>
      <c r="T4811" s="20"/>
    </row>
    <row r="4812" spans="1:21" x14ac:dyDescent="0.25">
      <c r="A4812" s="3">
        <v>41915</v>
      </c>
      <c r="B4812" s="36">
        <v>438</v>
      </c>
      <c r="C4812" t="s">
        <v>5139</v>
      </c>
      <c r="D4812">
        <v>5.25</v>
      </c>
      <c r="E4812" s="18">
        <v>525</v>
      </c>
      <c r="F4812" t="s">
        <v>889</v>
      </c>
      <c r="G4812" t="s">
        <v>5140</v>
      </c>
      <c r="H4812" s="18">
        <v>525</v>
      </c>
      <c r="I4812" s="3">
        <v>41915</v>
      </c>
      <c r="J4812"/>
      <c r="L4812"/>
      <c r="M4812"/>
      <c r="N4812" s="20"/>
      <c r="O4812"/>
      <c r="P4812" s="20"/>
      <c r="Q4812" s="20"/>
      <c r="R4812" s="20"/>
      <c r="S4812" s="20"/>
      <c r="T4812" s="20"/>
    </row>
    <row r="4813" spans="1:21" x14ac:dyDescent="0.25">
      <c r="A4813" s="3">
        <v>41922</v>
      </c>
      <c r="B4813" s="36">
        <v>438</v>
      </c>
      <c r="C4813" t="s">
        <v>5141</v>
      </c>
      <c r="D4813">
        <v>6.5</v>
      </c>
      <c r="E4813" s="18">
        <v>650</v>
      </c>
      <c r="F4813" t="s">
        <v>889</v>
      </c>
      <c r="G4813" t="s">
        <v>5142</v>
      </c>
      <c r="H4813" s="18">
        <v>650</v>
      </c>
      <c r="I4813" s="3">
        <v>41922</v>
      </c>
      <c r="J4813"/>
      <c r="L4813"/>
      <c r="M4813"/>
      <c r="N4813" s="20"/>
      <c r="O4813"/>
      <c r="P4813" s="20"/>
      <c r="Q4813" s="20"/>
      <c r="R4813" s="20"/>
      <c r="S4813" s="20"/>
      <c r="T4813" s="20"/>
    </row>
    <row r="4814" spans="1:21" x14ac:dyDescent="0.25">
      <c r="A4814" s="3">
        <v>41943</v>
      </c>
      <c r="B4814" s="36">
        <v>438</v>
      </c>
      <c r="C4814" t="s">
        <v>5143</v>
      </c>
      <c r="D4814">
        <v>6</v>
      </c>
      <c r="E4814" s="18">
        <v>600</v>
      </c>
      <c r="F4814" t="s">
        <v>889</v>
      </c>
      <c r="G4814" t="s">
        <v>5144</v>
      </c>
      <c r="H4814" s="18">
        <v>600</v>
      </c>
      <c r="I4814" s="3">
        <v>41943</v>
      </c>
      <c r="J4814"/>
      <c r="L4814"/>
      <c r="M4814"/>
      <c r="N4814" s="20"/>
      <c r="O4814"/>
      <c r="P4814" s="20"/>
      <c r="Q4814" s="20"/>
      <c r="R4814" s="20"/>
      <c r="S4814" s="20"/>
      <c r="T4814" s="20"/>
    </row>
    <row r="4815" spans="1:21" x14ac:dyDescent="0.25">
      <c r="A4815" s="3">
        <v>41995</v>
      </c>
      <c r="B4815" s="36">
        <v>438</v>
      </c>
      <c r="C4815" t="s">
        <v>5139</v>
      </c>
      <c r="D4815">
        <v>5.25</v>
      </c>
      <c r="E4815" s="18">
        <v>525</v>
      </c>
      <c r="F4815" t="s">
        <v>889</v>
      </c>
      <c r="G4815" t="s">
        <v>5140</v>
      </c>
      <c r="H4815" s="18">
        <v>525</v>
      </c>
      <c r="I4815" s="3">
        <v>41995</v>
      </c>
      <c r="J4815"/>
      <c r="L4815"/>
      <c r="M4815"/>
      <c r="N4815" s="20"/>
      <c r="O4815"/>
      <c r="P4815" s="20"/>
      <c r="Q4815" s="20"/>
      <c r="R4815" s="20"/>
      <c r="S4815" s="20"/>
      <c r="T4815" s="20"/>
    </row>
    <row r="4816" spans="1:21" x14ac:dyDescent="0.25">
      <c r="A4816" s="3">
        <v>41999</v>
      </c>
      <c r="B4816" s="36">
        <v>438</v>
      </c>
      <c r="C4816" t="s">
        <v>5129</v>
      </c>
      <c r="D4816">
        <v>6.12</v>
      </c>
      <c r="E4816" s="18">
        <v>-426</v>
      </c>
      <c r="F4816" t="s">
        <v>889</v>
      </c>
      <c r="G4816" t="s">
        <v>5130</v>
      </c>
      <c r="H4816" s="18" t="s">
        <v>442</v>
      </c>
      <c r="I4816" s="3" t="s">
        <v>442</v>
      </c>
      <c r="J4816"/>
      <c r="L4816"/>
      <c r="M4816"/>
      <c r="N4816" s="20"/>
      <c r="O4816" t="s">
        <v>959</v>
      </c>
      <c r="P4816" s="20"/>
      <c r="Q4816" s="20"/>
      <c r="R4816" s="20"/>
      <c r="S4816" s="20"/>
      <c r="T4816" s="20"/>
    </row>
    <row r="4817" spans="1:21" x14ac:dyDescent="0.25">
      <c r="A4817" s="3">
        <v>41999</v>
      </c>
      <c r="B4817" s="36">
        <v>438</v>
      </c>
      <c r="C4817" t="s">
        <v>5131</v>
      </c>
      <c r="D4817">
        <v>5.25</v>
      </c>
      <c r="E4817" s="18">
        <v>310.22727272727286</v>
      </c>
      <c r="F4817" t="s">
        <v>889</v>
      </c>
      <c r="G4817" t="s">
        <v>5132</v>
      </c>
      <c r="H4817" s="18">
        <v>310.22727272727286</v>
      </c>
      <c r="I4817" s="3">
        <v>41999</v>
      </c>
      <c r="J4817"/>
      <c r="L4817"/>
      <c r="M4817"/>
      <c r="N4817" s="20"/>
      <c r="O4817" t="s">
        <v>959</v>
      </c>
      <c r="P4817" s="20"/>
      <c r="Q4817" s="20"/>
      <c r="R4817" s="20"/>
      <c r="S4817" s="20"/>
      <c r="T4817" s="20"/>
    </row>
    <row r="4818" spans="1:21" x14ac:dyDescent="0.25">
      <c r="A4818" s="3">
        <v>41999</v>
      </c>
      <c r="B4818" s="36">
        <v>438</v>
      </c>
      <c r="C4818" t="s">
        <v>5131</v>
      </c>
      <c r="D4818">
        <v>5.25</v>
      </c>
      <c r="E4818" s="18">
        <v>310.22727272727286</v>
      </c>
      <c r="F4818" t="s">
        <v>889</v>
      </c>
      <c r="G4818" t="s">
        <v>5132</v>
      </c>
      <c r="H4818" s="18">
        <v>310.22727272727286</v>
      </c>
      <c r="I4818" s="3">
        <v>41999</v>
      </c>
      <c r="J4818"/>
      <c r="L4818"/>
      <c r="M4818"/>
      <c r="N4818" s="20"/>
      <c r="O4818" t="s">
        <v>959</v>
      </c>
      <c r="P4818" s="20"/>
      <c r="Q4818" s="20"/>
      <c r="R4818" s="20"/>
      <c r="S4818" s="20"/>
      <c r="T4818" s="20"/>
    </row>
    <row r="4819" spans="1:21" x14ac:dyDescent="0.25">
      <c r="A4819" s="3">
        <v>41999</v>
      </c>
      <c r="B4819" s="36">
        <v>438</v>
      </c>
      <c r="C4819" t="s">
        <v>5133</v>
      </c>
      <c r="D4819">
        <v>6.25</v>
      </c>
      <c r="E4819" s="18">
        <v>325</v>
      </c>
      <c r="F4819" t="s">
        <v>889</v>
      </c>
      <c r="G4819" t="s">
        <v>5134</v>
      </c>
      <c r="H4819" s="18">
        <v>325</v>
      </c>
      <c r="I4819" s="3">
        <v>41999</v>
      </c>
      <c r="J4819"/>
      <c r="L4819"/>
      <c r="M4819"/>
      <c r="N4819" s="20"/>
      <c r="O4819" t="s">
        <v>959</v>
      </c>
      <c r="P4819" s="20"/>
      <c r="Q4819" s="20"/>
      <c r="R4819" s="20"/>
      <c r="S4819" s="20"/>
      <c r="T4819" s="20"/>
    </row>
    <row r="4820" spans="1:21" x14ac:dyDescent="0.25">
      <c r="A4820" s="3">
        <v>41999</v>
      </c>
      <c r="B4820" s="36">
        <v>438</v>
      </c>
      <c r="C4820" t="s">
        <v>5139</v>
      </c>
      <c r="D4820">
        <v>5.25</v>
      </c>
      <c r="E4820" s="18">
        <v>-525</v>
      </c>
      <c r="F4820" t="s">
        <v>889</v>
      </c>
      <c r="G4820" t="s">
        <v>5140</v>
      </c>
      <c r="H4820" s="18" t="s">
        <v>442</v>
      </c>
      <c r="I4820" s="3" t="s">
        <v>442</v>
      </c>
      <c r="J4820"/>
      <c r="L4820"/>
      <c r="M4820"/>
      <c r="N4820" s="20"/>
      <c r="O4820"/>
      <c r="P4820" s="20"/>
      <c r="Q4820" s="20"/>
      <c r="R4820" s="20"/>
      <c r="S4820" s="20"/>
      <c r="T4820" s="20"/>
    </row>
    <row r="4821" spans="1:21" x14ac:dyDescent="0.25">
      <c r="A4821" s="3">
        <v>41999</v>
      </c>
      <c r="B4821" s="36">
        <v>438</v>
      </c>
      <c r="C4821" t="s">
        <v>5139</v>
      </c>
      <c r="D4821">
        <v>5.25</v>
      </c>
      <c r="E4821" s="18">
        <v>-525</v>
      </c>
      <c r="F4821" t="s">
        <v>889</v>
      </c>
      <c r="G4821" t="s">
        <v>5140</v>
      </c>
      <c r="H4821" s="18" t="s">
        <v>442</v>
      </c>
      <c r="I4821" s="3" t="s">
        <v>442</v>
      </c>
      <c r="J4821"/>
      <c r="L4821"/>
      <c r="M4821"/>
      <c r="N4821" s="20"/>
      <c r="O4821"/>
      <c r="P4821" s="20"/>
      <c r="Q4821" s="20"/>
      <c r="R4821" s="20"/>
      <c r="S4821" s="20"/>
      <c r="T4821" s="20"/>
    </row>
    <row r="4822" spans="1:21" x14ac:dyDescent="0.25">
      <c r="A4822" s="3">
        <v>41999</v>
      </c>
      <c r="B4822" s="36">
        <v>438</v>
      </c>
      <c r="C4822" t="s">
        <v>5139</v>
      </c>
      <c r="D4822">
        <v>5.8650000000000002</v>
      </c>
      <c r="E4822" s="18">
        <v>648</v>
      </c>
      <c r="F4822" t="s">
        <v>889</v>
      </c>
      <c r="G4822" t="s">
        <v>5140</v>
      </c>
      <c r="H4822" s="18">
        <v>648</v>
      </c>
      <c r="I4822" s="3">
        <v>41999</v>
      </c>
      <c r="J4822"/>
      <c r="L4822"/>
      <c r="M4822"/>
      <c r="N4822" s="20"/>
      <c r="O4822" t="s">
        <v>959</v>
      </c>
      <c r="P4822" s="20"/>
      <c r="Q4822" s="20"/>
      <c r="R4822" s="20"/>
      <c r="S4822" s="20"/>
      <c r="T4822" s="20"/>
    </row>
    <row r="4823" spans="1:21" x14ac:dyDescent="0.25">
      <c r="A4823" s="3">
        <v>42004</v>
      </c>
      <c r="B4823" s="36">
        <v>438</v>
      </c>
      <c r="C4823" t="s">
        <v>5137</v>
      </c>
      <c r="D4823">
        <v>7.5</v>
      </c>
      <c r="E4823" s="18">
        <v>250</v>
      </c>
      <c r="F4823" t="s">
        <v>889</v>
      </c>
      <c r="G4823" t="s">
        <v>5138</v>
      </c>
      <c r="H4823" s="18">
        <v>250</v>
      </c>
      <c r="I4823" s="3">
        <v>42004</v>
      </c>
      <c r="J4823"/>
      <c r="L4823"/>
      <c r="M4823"/>
      <c r="N4823" s="20"/>
      <c r="O4823"/>
      <c r="P4823" s="20"/>
      <c r="Q4823" s="20"/>
      <c r="R4823" s="20"/>
      <c r="S4823" s="20"/>
      <c r="T4823" s="20"/>
    </row>
    <row r="4824" spans="1:21" x14ac:dyDescent="0.25">
      <c r="A4824" s="3">
        <v>42004</v>
      </c>
      <c r="B4824" s="36">
        <v>438</v>
      </c>
      <c r="C4824" t="s">
        <v>5141</v>
      </c>
      <c r="D4824">
        <v>6.5</v>
      </c>
      <c r="E4824" s="18">
        <v>216.66666666666666</v>
      </c>
      <c r="F4824" t="s">
        <v>889</v>
      </c>
      <c r="G4824" t="s">
        <v>5142</v>
      </c>
      <c r="H4824" s="18">
        <v>216.66666666666666</v>
      </c>
      <c r="I4824" s="3">
        <v>42004</v>
      </c>
      <c r="J4824"/>
      <c r="L4824"/>
      <c r="M4824"/>
      <c r="N4824" s="20"/>
      <c r="O4824"/>
      <c r="P4824" s="20"/>
      <c r="Q4824" s="20"/>
      <c r="R4824" s="20"/>
      <c r="S4824" s="20"/>
      <c r="T4824" s="20"/>
    </row>
    <row r="4825" spans="1:21" x14ac:dyDescent="0.25">
      <c r="A4825" s="3">
        <v>42004</v>
      </c>
      <c r="B4825" s="36">
        <v>438</v>
      </c>
      <c r="C4825" t="s">
        <v>5143</v>
      </c>
      <c r="D4825">
        <v>6</v>
      </c>
      <c r="E4825" s="18">
        <v>200</v>
      </c>
      <c r="F4825" t="s">
        <v>889</v>
      </c>
      <c r="G4825" t="s">
        <v>5144</v>
      </c>
      <c r="H4825" s="18">
        <v>200</v>
      </c>
      <c r="I4825" s="3">
        <v>42004</v>
      </c>
      <c r="J4825"/>
      <c r="L4825"/>
      <c r="M4825"/>
      <c r="N4825" s="20"/>
      <c r="O4825"/>
      <c r="P4825" s="20"/>
      <c r="Q4825" s="20"/>
      <c r="R4825" s="20"/>
      <c r="S4825" s="20"/>
      <c r="T4825" s="20"/>
    </row>
    <row r="4826" spans="1:21" x14ac:dyDescent="0.25">
      <c r="A4826" s="3">
        <v>42013</v>
      </c>
      <c r="B4826" s="36">
        <v>438</v>
      </c>
      <c r="C4826" t="s">
        <v>5129</v>
      </c>
      <c r="D4826">
        <v>16.5</v>
      </c>
      <c r="E4826" s="18">
        <v>1401.0000000000005</v>
      </c>
      <c r="F4826" t="s">
        <v>889</v>
      </c>
      <c r="G4826" t="s">
        <v>5130</v>
      </c>
      <c r="H4826" s="18">
        <v>1401.0000000000005</v>
      </c>
      <c r="I4826" s="3">
        <v>42013</v>
      </c>
      <c r="J4826"/>
      <c r="L4826"/>
      <c r="M4826"/>
      <c r="N4826" s="20"/>
      <c r="O4826"/>
      <c r="P4826" s="20"/>
      <c r="Q4826" s="20"/>
      <c r="R4826" s="20"/>
      <c r="S4826" s="20"/>
      <c r="T4826" s="20"/>
    </row>
    <row r="4827" spans="1:21" x14ac:dyDescent="0.25">
      <c r="A4827" s="3">
        <v>42013</v>
      </c>
      <c r="B4827" s="36">
        <v>438</v>
      </c>
      <c r="C4827" t="s">
        <v>5133</v>
      </c>
      <c r="D4827">
        <v>9.25</v>
      </c>
      <c r="E4827" s="18">
        <v>600</v>
      </c>
      <c r="F4827" t="s">
        <v>889</v>
      </c>
      <c r="G4827" t="s">
        <v>5134</v>
      </c>
      <c r="H4827" s="18">
        <v>600</v>
      </c>
      <c r="I4827" s="3">
        <v>42013</v>
      </c>
      <c r="J4827"/>
      <c r="L4827"/>
      <c r="M4827"/>
      <c r="N4827" s="20"/>
      <c r="O4827"/>
      <c r="P4827" s="20"/>
      <c r="Q4827" s="20"/>
      <c r="R4827" s="20"/>
      <c r="S4827" s="20"/>
      <c r="T4827" s="20"/>
    </row>
    <row r="4828" spans="1:21" x14ac:dyDescent="0.25">
      <c r="A4828" s="3">
        <v>42013</v>
      </c>
      <c r="B4828" s="36">
        <v>438</v>
      </c>
      <c r="C4828" t="s">
        <v>5139</v>
      </c>
      <c r="D4828">
        <v>5.25</v>
      </c>
      <c r="E4828" s="18">
        <v>-123</v>
      </c>
      <c r="F4828" t="s">
        <v>889</v>
      </c>
      <c r="G4828" t="s">
        <v>5140</v>
      </c>
      <c r="H4828" s="18" t="s">
        <v>442</v>
      </c>
      <c r="I4828" s="3" t="s">
        <v>442</v>
      </c>
      <c r="J4828"/>
      <c r="L4828"/>
      <c r="M4828"/>
      <c r="N4828" s="20"/>
      <c r="O4828"/>
      <c r="P4828" s="20"/>
      <c r="Q4828" s="20"/>
      <c r="R4828" s="20"/>
      <c r="S4828" s="20"/>
      <c r="T4828" s="20"/>
    </row>
    <row r="4829" spans="1:21" x14ac:dyDescent="0.25">
      <c r="A4829" s="3">
        <v>42041</v>
      </c>
      <c r="B4829">
        <v>438</v>
      </c>
      <c r="C4829" t="s">
        <v>5137</v>
      </c>
      <c r="E4829" s="18">
        <v>250</v>
      </c>
      <c r="F4829" t="s">
        <v>889</v>
      </c>
      <c r="G4829" t="s">
        <v>5138</v>
      </c>
      <c r="I4829"/>
      <c r="J4829"/>
      <c r="L4829"/>
      <c r="M4829"/>
      <c r="O4829"/>
      <c r="P4829" s="20"/>
      <c r="Q4829" s="20"/>
      <c r="R4829" s="20"/>
      <c r="S4829" s="20"/>
      <c r="T4829" s="20"/>
    </row>
    <row r="4830" spans="1:21" x14ac:dyDescent="0.25">
      <c r="A4830" s="3">
        <v>42041</v>
      </c>
      <c r="B4830">
        <v>438</v>
      </c>
      <c r="C4830" t="s">
        <v>5141</v>
      </c>
      <c r="E4830" s="18">
        <v>216.66666666666666</v>
      </c>
      <c r="F4830" t="s">
        <v>889</v>
      </c>
      <c r="G4830" t="s">
        <v>5142</v>
      </c>
      <c r="I4830"/>
      <c r="J4830"/>
      <c r="L4830"/>
      <c r="M4830"/>
      <c r="O4830"/>
      <c r="P4830" s="20"/>
      <c r="Q4830" s="20"/>
      <c r="R4830" s="20"/>
      <c r="S4830" s="20"/>
      <c r="T4830" s="20"/>
    </row>
    <row r="4831" spans="1:21" x14ac:dyDescent="0.25">
      <c r="A4831" s="3">
        <v>42041</v>
      </c>
      <c r="B4831">
        <v>438</v>
      </c>
      <c r="C4831" t="s">
        <v>5143</v>
      </c>
      <c r="E4831" s="18">
        <v>200</v>
      </c>
      <c r="F4831" t="s">
        <v>889</v>
      </c>
      <c r="G4831" t="s">
        <v>5144</v>
      </c>
      <c r="I4831"/>
      <c r="J4831"/>
      <c r="L4831"/>
      <c r="M4831"/>
      <c r="O4831"/>
      <c r="P4831" s="20"/>
      <c r="Q4831" s="20"/>
      <c r="R4831" s="20"/>
      <c r="S4831" s="20"/>
      <c r="T4831" s="20"/>
    </row>
    <row r="4832" spans="1:21" x14ac:dyDescent="0.25">
      <c r="B4832">
        <v>438</v>
      </c>
      <c r="C4832" t="s">
        <v>5131</v>
      </c>
      <c r="D4832">
        <v>5.25</v>
      </c>
      <c r="E4832" s="18">
        <v>-310.22727272727298</v>
      </c>
      <c r="F4832" t="s">
        <v>889</v>
      </c>
      <c r="G4832" t="s">
        <v>5132</v>
      </c>
      <c r="I4832"/>
      <c r="J4832"/>
      <c r="L4832"/>
      <c r="M4832"/>
      <c r="O4832"/>
      <c r="P4832" s="20"/>
      <c r="Q4832" s="20"/>
      <c r="R4832" s="20"/>
      <c r="S4832" s="20"/>
      <c r="T4832" s="20"/>
      <c r="U4832" t="s">
        <v>401</v>
      </c>
    </row>
    <row r="4833" spans="1:21" x14ac:dyDescent="0.25">
      <c r="B4833">
        <v>438</v>
      </c>
      <c r="C4833" t="s">
        <v>5139</v>
      </c>
      <c r="D4833">
        <v>5.25</v>
      </c>
      <c r="E4833" s="18">
        <v>525</v>
      </c>
      <c r="F4833" t="s">
        <v>889</v>
      </c>
      <c r="G4833" t="s">
        <v>5140</v>
      </c>
      <c r="I4833"/>
      <c r="J4833"/>
      <c r="L4833"/>
      <c r="M4833"/>
      <c r="O4833"/>
      <c r="P4833" s="20"/>
      <c r="Q4833" s="20"/>
      <c r="R4833" s="20"/>
      <c r="S4833" s="20"/>
      <c r="T4833" s="20"/>
      <c r="U4833" t="s">
        <v>401</v>
      </c>
    </row>
    <row r="4834" spans="1:21" x14ac:dyDescent="0.25">
      <c r="A4834" s="3">
        <v>41880</v>
      </c>
      <c r="B4834" s="36">
        <v>443</v>
      </c>
      <c r="C4834" t="s">
        <v>5145</v>
      </c>
      <c r="D4834">
        <v>2.5</v>
      </c>
      <c r="E4834" s="18">
        <v>275</v>
      </c>
      <c r="F4834" t="s">
        <v>889</v>
      </c>
      <c r="G4834" t="s">
        <v>5146</v>
      </c>
      <c r="H4834" s="18">
        <v>275</v>
      </c>
      <c r="I4834" s="3">
        <v>41880</v>
      </c>
      <c r="J4834"/>
      <c r="L4834"/>
      <c r="M4834"/>
      <c r="N4834" s="20"/>
      <c r="O4834"/>
      <c r="P4834" s="20"/>
      <c r="Q4834" s="20"/>
      <c r="R4834" s="20"/>
      <c r="S4834" s="20"/>
      <c r="T4834" s="20"/>
    </row>
    <row r="4835" spans="1:21" x14ac:dyDescent="0.25">
      <c r="A4835" s="3">
        <v>41894</v>
      </c>
      <c r="B4835" s="36">
        <v>443</v>
      </c>
      <c r="C4835" t="s">
        <v>5147</v>
      </c>
      <c r="D4835">
        <v>3</v>
      </c>
      <c r="E4835" s="18">
        <v>300</v>
      </c>
      <c r="F4835" t="s">
        <v>889</v>
      </c>
      <c r="G4835" t="s">
        <v>5148</v>
      </c>
      <c r="H4835" s="18">
        <v>300</v>
      </c>
      <c r="I4835" s="3">
        <v>41894</v>
      </c>
      <c r="J4835"/>
      <c r="L4835"/>
      <c r="M4835"/>
      <c r="N4835" s="20"/>
      <c r="O4835"/>
      <c r="P4835" s="20"/>
      <c r="Q4835" s="20"/>
      <c r="R4835" s="20"/>
      <c r="S4835" s="20"/>
      <c r="T4835" s="20"/>
    </row>
    <row r="4836" spans="1:21" x14ac:dyDescent="0.25">
      <c r="A4836" s="3">
        <v>41907</v>
      </c>
      <c r="B4836" s="36">
        <v>443</v>
      </c>
      <c r="C4836" t="s">
        <v>5149</v>
      </c>
      <c r="D4836">
        <v>4.75</v>
      </c>
      <c r="E4836" s="18">
        <v>475</v>
      </c>
      <c r="F4836" t="s">
        <v>889</v>
      </c>
      <c r="G4836" t="s">
        <v>5150</v>
      </c>
      <c r="H4836" s="18">
        <v>475</v>
      </c>
      <c r="I4836" s="3">
        <v>41907</v>
      </c>
      <c r="J4836"/>
      <c r="L4836"/>
      <c r="M4836"/>
      <c r="N4836" s="20"/>
      <c r="O4836"/>
      <c r="P4836" s="20"/>
      <c r="Q4836" s="20"/>
      <c r="R4836" s="20"/>
      <c r="S4836" s="20"/>
      <c r="T4836" s="20"/>
    </row>
    <row r="4837" spans="1:21" x14ac:dyDescent="0.25">
      <c r="A4837" s="3">
        <v>41918</v>
      </c>
      <c r="B4837" s="36">
        <v>443</v>
      </c>
      <c r="C4837" t="s">
        <v>5151</v>
      </c>
      <c r="E4837" s="18">
        <v>500</v>
      </c>
      <c r="F4837" t="s">
        <v>889</v>
      </c>
      <c r="G4837" t="s">
        <v>442</v>
      </c>
      <c r="H4837" s="18" t="s">
        <v>442</v>
      </c>
      <c r="I4837" s="3" t="s">
        <v>442</v>
      </c>
      <c r="J4837"/>
      <c r="L4837"/>
      <c r="M4837"/>
      <c r="N4837" s="20"/>
      <c r="O4837"/>
      <c r="P4837" s="20"/>
      <c r="Q4837" s="20"/>
      <c r="R4837" s="20"/>
      <c r="S4837" s="20"/>
      <c r="T4837" s="20" t="s">
        <v>401</v>
      </c>
    </row>
    <row r="4838" spans="1:21" x14ac:dyDescent="0.25">
      <c r="B4838">
        <v>443</v>
      </c>
      <c r="C4838" t="s">
        <v>5151</v>
      </c>
      <c r="E4838" s="18">
        <v>-500</v>
      </c>
      <c r="F4838" t="s">
        <v>889</v>
      </c>
      <c r="G4838" t="s">
        <v>442</v>
      </c>
      <c r="I4838"/>
      <c r="J4838"/>
      <c r="L4838"/>
      <c r="M4838"/>
      <c r="O4838"/>
      <c r="P4838" s="20"/>
      <c r="Q4838" s="20"/>
      <c r="R4838" s="20"/>
      <c r="S4838" s="20"/>
      <c r="T4838" s="20"/>
      <c r="U4838" t="s">
        <v>401</v>
      </c>
    </row>
    <row r="4839" spans="1:21" x14ac:dyDescent="0.25">
      <c r="B4839">
        <v>443</v>
      </c>
      <c r="C4839" t="s">
        <v>5149</v>
      </c>
      <c r="D4839">
        <v>4.75</v>
      </c>
      <c r="E4839" s="18">
        <v>-475</v>
      </c>
      <c r="F4839" t="s">
        <v>889</v>
      </c>
      <c r="G4839" t="s">
        <v>5150</v>
      </c>
      <c r="I4839"/>
      <c r="J4839"/>
      <c r="L4839"/>
      <c r="M4839"/>
      <c r="O4839"/>
      <c r="P4839" s="20"/>
      <c r="Q4839" s="20"/>
      <c r="R4839" s="20"/>
      <c r="S4839" s="20"/>
      <c r="T4839" s="20"/>
      <c r="U4839" t="s">
        <v>401</v>
      </c>
    </row>
    <row r="4840" spans="1:21" x14ac:dyDescent="0.25">
      <c r="B4840">
        <v>443</v>
      </c>
      <c r="C4840" t="s">
        <v>5145</v>
      </c>
      <c r="D4840">
        <v>2.75</v>
      </c>
      <c r="E4840" s="18">
        <v>91.666666666666671</v>
      </c>
      <c r="F4840" t="s">
        <v>889</v>
      </c>
      <c r="G4840" t="s">
        <v>5146</v>
      </c>
      <c r="I4840"/>
      <c r="J4840"/>
      <c r="L4840"/>
      <c r="M4840"/>
      <c r="O4840"/>
      <c r="P4840" s="20"/>
      <c r="Q4840" s="20"/>
      <c r="R4840" s="20"/>
      <c r="S4840" s="20"/>
      <c r="T4840" s="20"/>
      <c r="U4840" t="s">
        <v>401</v>
      </c>
    </row>
    <row r="4841" spans="1:21" x14ac:dyDescent="0.25">
      <c r="B4841">
        <v>443</v>
      </c>
      <c r="C4841" t="s">
        <v>5145</v>
      </c>
      <c r="D4841">
        <v>2.75</v>
      </c>
      <c r="E4841" s="18">
        <v>91.666666666666671</v>
      </c>
      <c r="F4841" t="s">
        <v>889</v>
      </c>
      <c r="G4841" t="s">
        <v>5146</v>
      </c>
      <c r="I4841"/>
      <c r="J4841"/>
      <c r="L4841"/>
      <c r="M4841"/>
      <c r="O4841"/>
      <c r="P4841" s="20"/>
      <c r="Q4841" s="20"/>
      <c r="R4841" s="20"/>
      <c r="S4841" s="20"/>
      <c r="T4841" s="20"/>
      <c r="U4841" t="s">
        <v>401</v>
      </c>
    </row>
    <row r="4842" spans="1:21" x14ac:dyDescent="0.25">
      <c r="A4842" s="3">
        <v>41887</v>
      </c>
      <c r="B4842" s="36">
        <v>446</v>
      </c>
      <c r="C4842" t="s">
        <v>5152</v>
      </c>
      <c r="D4842">
        <v>2.25</v>
      </c>
      <c r="E4842" s="18">
        <v>225</v>
      </c>
      <c r="F4842" t="s">
        <v>889</v>
      </c>
      <c r="G4842" t="s">
        <v>5153</v>
      </c>
      <c r="H4842" s="18">
        <v>225</v>
      </c>
      <c r="I4842" s="3">
        <v>41887</v>
      </c>
      <c r="J4842"/>
      <c r="L4842"/>
      <c r="M4842"/>
      <c r="N4842" s="20"/>
      <c r="O4842"/>
      <c r="P4842" s="20"/>
      <c r="Q4842" s="20"/>
      <c r="R4842" s="20"/>
      <c r="S4842" s="20"/>
      <c r="T4842" s="20"/>
    </row>
    <row r="4843" spans="1:21" x14ac:dyDescent="0.25">
      <c r="A4843" s="3">
        <v>41894</v>
      </c>
      <c r="B4843" s="36">
        <v>446</v>
      </c>
      <c r="C4843" t="s">
        <v>5152</v>
      </c>
      <c r="D4843">
        <v>2.25</v>
      </c>
      <c r="E4843" s="18">
        <v>225</v>
      </c>
      <c r="F4843" t="s">
        <v>889</v>
      </c>
      <c r="G4843" t="s">
        <v>5153</v>
      </c>
      <c r="H4843" s="18">
        <v>225</v>
      </c>
      <c r="I4843" s="3">
        <v>41894</v>
      </c>
      <c r="J4843"/>
      <c r="L4843"/>
      <c r="M4843"/>
      <c r="N4843" s="20"/>
      <c r="O4843"/>
      <c r="P4843" s="20"/>
      <c r="Q4843" s="20"/>
      <c r="R4843" s="20"/>
      <c r="S4843" s="20"/>
      <c r="T4843" s="20"/>
    </row>
    <row r="4844" spans="1:21" x14ac:dyDescent="0.25">
      <c r="A4844" s="3">
        <v>42004</v>
      </c>
      <c r="B4844" s="36">
        <v>446</v>
      </c>
      <c r="C4844" t="s">
        <v>5152</v>
      </c>
      <c r="D4844">
        <v>2.25</v>
      </c>
      <c r="E4844" s="18">
        <v>75</v>
      </c>
      <c r="F4844" t="s">
        <v>889</v>
      </c>
      <c r="G4844" t="s">
        <v>5153</v>
      </c>
      <c r="H4844" s="18">
        <v>75</v>
      </c>
      <c r="I4844" s="3">
        <v>42004</v>
      </c>
      <c r="J4844"/>
      <c r="L4844"/>
      <c r="M4844"/>
      <c r="N4844" s="20"/>
      <c r="O4844"/>
      <c r="P4844" s="20"/>
      <c r="Q4844" s="20"/>
      <c r="R4844" s="20"/>
      <c r="S4844" s="20"/>
      <c r="T4844" s="20"/>
    </row>
    <row r="4845" spans="1:21" x14ac:dyDescent="0.25">
      <c r="A4845" s="3">
        <v>42041</v>
      </c>
      <c r="B4845">
        <v>446</v>
      </c>
      <c r="C4845" t="s">
        <v>5152</v>
      </c>
      <c r="E4845" s="18">
        <v>75</v>
      </c>
      <c r="F4845" t="s">
        <v>889</v>
      </c>
      <c r="G4845" t="s">
        <v>5153</v>
      </c>
      <c r="I4845"/>
      <c r="J4845"/>
      <c r="L4845"/>
      <c r="M4845"/>
      <c r="O4845"/>
      <c r="P4845" s="20"/>
      <c r="Q4845" s="20"/>
      <c r="R4845" s="20"/>
      <c r="S4845" s="20"/>
      <c r="T4845" s="20"/>
    </row>
    <row r="4846" spans="1:21" x14ac:dyDescent="0.25">
      <c r="B4846">
        <v>451</v>
      </c>
      <c r="C4846" t="s">
        <v>5154</v>
      </c>
      <c r="D4846">
        <v>5.3550000000000004</v>
      </c>
      <c r="E4846" s="18">
        <v>130.90000000000009</v>
      </c>
      <c r="F4846" t="s">
        <v>889</v>
      </c>
      <c r="G4846" t="s">
        <v>5155</v>
      </c>
      <c r="I4846"/>
      <c r="J4846"/>
      <c r="L4846"/>
      <c r="M4846"/>
      <c r="O4846"/>
      <c r="P4846" s="20"/>
      <c r="Q4846" s="20"/>
      <c r="R4846" s="20"/>
      <c r="S4846" s="20"/>
      <c r="T4846" s="20"/>
      <c r="U4846" t="s">
        <v>401</v>
      </c>
    </row>
    <row r="4847" spans="1:21" x14ac:dyDescent="0.25">
      <c r="A4847" s="3">
        <v>41943</v>
      </c>
      <c r="B4847" s="36">
        <v>453</v>
      </c>
      <c r="C4847" t="s">
        <v>5156</v>
      </c>
      <c r="D4847">
        <v>4.08</v>
      </c>
      <c r="E4847" s="18">
        <v>408</v>
      </c>
      <c r="F4847" t="s">
        <v>889</v>
      </c>
      <c r="G4847" t="s">
        <v>5157</v>
      </c>
      <c r="H4847" s="18">
        <v>408</v>
      </c>
      <c r="I4847" s="3">
        <v>41943</v>
      </c>
      <c r="J4847"/>
      <c r="L4847"/>
      <c r="M4847"/>
      <c r="N4847" s="20"/>
      <c r="O4847"/>
      <c r="P4847" s="20"/>
      <c r="Q4847" s="20"/>
      <c r="R4847" s="20"/>
      <c r="S4847" s="20"/>
      <c r="T4847" s="20"/>
    </row>
    <row r="4848" spans="1:21" x14ac:dyDescent="0.25">
      <c r="A4848" s="3">
        <v>42004</v>
      </c>
      <c r="B4848" s="36">
        <v>453</v>
      </c>
      <c r="C4848" t="s">
        <v>5156</v>
      </c>
      <c r="D4848">
        <v>4.08</v>
      </c>
      <c r="E4848" s="18">
        <v>136</v>
      </c>
      <c r="F4848" t="s">
        <v>889</v>
      </c>
      <c r="G4848" t="s">
        <v>5157</v>
      </c>
      <c r="H4848" s="18">
        <v>136</v>
      </c>
      <c r="I4848" s="3">
        <v>42004</v>
      </c>
      <c r="J4848"/>
      <c r="L4848"/>
      <c r="M4848"/>
      <c r="N4848" s="20"/>
      <c r="O4848"/>
      <c r="P4848" s="20"/>
      <c r="Q4848" s="20"/>
      <c r="R4848" s="20"/>
      <c r="S4848" s="20"/>
      <c r="T4848" s="20"/>
    </row>
    <row r="4849" spans="1:21" x14ac:dyDescent="0.25">
      <c r="A4849" s="3">
        <v>42041</v>
      </c>
      <c r="B4849">
        <v>453</v>
      </c>
      <c r="C4849" t="s">
        <v>5156</v>
      </c>
      <c r="E4849" s="18">
        <v>136</v>
      </c>
      <c r="F4849" t="s">
        <v>889</v>
      </c>
      <c r="G4849" t="s">
        <v>5157</v>
      </c>
      <c r="I4849"/>
      <c r="J4849"/>
      <c r="L4849"/>
      <c r="M4849"/>
      <c r="O4849"/>
      <c r="P4849" s="20"/>
      <c r="Q4849" s="20"/>
      <c r="R4849" s="20"/>
      <c r="S4849" s="20"/>
      <c r="T4849" s="20"/>
    </row>
    <row r="4850" spans="1:21" x14ac:dyDescent="0.25">
      <c r="A4850" s="3">
        <v>41887</v>
      </c>
      <c r="B4850" s="36">
        <v>458</v>
      </c>
      <c r="C4850" t="s">
        <v>5158</v>
      </c>
      <c r="D4850">
        <v>7.75</v>
      </c>
      <c r="E4850" s="18">
        <v>775</v>
      </c>
      <c r="F4850" t="s">
        <v>889</v>
      </c>
      <c r="G4850" t="s">
        <v>5159</v>
      </c>
      <c r="H4850" s="18">
        <v>775</v>
      </c>
      <c r="I4850" s="3">
        <v>41887</v>
      </c>
      <c r="J4850"/>
      <c r="L4850"/>
      <c r="M4850"/>
      <c r="N4850" s="20"/>
      <c r="O4850"/>
      <c r="P4850" s="20"/>
      <c r="Q4850" s="20"/>
      <c r="R4850" s="20"/>
      <c r="S4850" s="20"/>
      <c r="T4850" s="20"/>
    </row>
    <row r="4851" spans="1:21" x14ac:dyDescent="0.25">
      <c r="A4851" s="3">
        <v>41907</v>
      </c>
      <c r="B4851" s="36">
        <v>458</v>
      </c>
      <c r="C4851" t="s">
        <v>5160</v>
      </c>
      <c r="D4851">
        <v>10.75</v>
      </c>
      <c r="E4851" s="18">
        <v>1075</v>
      </c>
      <c r="F4851" t="s">
        <v>889</v>
      </c>
      <c r="G4851" t="s">
        <v>5161</v>
      </c>
      <c r="H4851" s="18">
        <v>1075</v>
      </c>
      <c r="I4851" s="3">
        <v>41907</v>
      </c>
      <c r="J4851"/>
      <c r="L4851"/>
      <c r="M4851"/>
      <c r="N4851" s="20"/>
      <c r="O4851"/>
      <c r="P4851" s="20"/>
      <c r="Q4851" s="20"/>
      <c r="R4851" s="20"/>
      <c r="S4851" s="20"/>
      <c r="T4851" s="20"/>
    </row>
    <row r="4852" spans="1:21" x14ac:dyDescent="0.25">
      <c r="A4852" s="3">
        <v>41908</v>
      </c>
      <c r="B4852" s="36">
        <v>458</v>
      </c>
      <c r="C4852" t="s">
        <v>5162</v>
      </c>
      <c r="D4852">
        <v>4</v>
      </c>
      <c r="E4852" s="18">
        <v>400</v>
      </c>
      <c r="G4852" t="s">
        <v>5163</v>
      </c>
      <c r="H4852" s="18">
        <v>400</v>
      </c>
      <c r="I4852" s="3">
        <v>41908</v>
      </c>
      <c r="J4852"/>
      <c r="L4852"/>
      <c r="M4852"/>
      <c r="N4852" s="20"/>
      <c r="O4852"/>
      <c r="P4852" s="20"/>
      <c r="Q4852" s="20"/>
      <c r="R4852" s="20"/>
      <c r="S4852" s="20"/>
      <c r="T4852" s="20"/>
    </row>
    <row r="4853" spans="1:21" x14ac:dyDescent="0.25">
      <c r="A4853" s="3">
        <v>41915</v>
      </c>
      <c r="B4853" s="36">
        <v>458</v>
      </c>
      <c r="C4853" t="s">
        <v>5164</v>
      </c>
      <c r="D4853">
        <v>6.75</v>
      </c>
      <c r="E4853" s="18">
        <v>675</v>
      </c>
      <c r="F4853" t="s">
        <v>889</v>
      </c>
      <c r="G4853" t="s">
        <v>5165</v>
      </c>
      <c r="H4853" s="18">
        <v>675</v>
      </c>
      <c r="I4853" s="3">
        <v>41915</v>
      </c>
      <c r="J4853"/>
      <c r="L4853"/>
      <c r="M4853"/>
      <c r="N4853" s="20"/>
      <c r="O4853"/>
      <c r="P4853" s="20"/>
      <c r="Q4853" s="20"/>
      <c r="R4853" s="20"/>
      <c r="S4853" s="20"/>
      <c r="T4853" s="20"/>
    </row>
    <row r="4854" spans="1:21" x14ac:dyDescent="0.25">
      <c r="A4854" s="3">
        <v>41929</v>
      </c>
      <c r="B4854" s="36">
        <v>458</v>
      </c>
      <c r="C4854" t="s">
        <v>5162</v>
      </c>
      <c r="D4854">
        <v>4</v>
      </c>
      <c r="E4854" s="18">
        <v>-400</v>
      </c>
      <c r="F4854" t="s">
        <v>889</v>
      </c>
      <c r="G4854" t="s">
        <v>5163</v>
      </c>
      <c r="H4854" s="18" t="s">
        <v>442</v>
      </c>
      <c r="I4854" s="3" t="s">
        <v>442</v>
      </c>
      <c r="J4854"/>
      <c r="L4854"/>
      <c r="M4854"/>
      <c r="N4854" s="20"/>
      <c r="O4854"/>
      <c r="P4854" s="20"/>
      <c r="Q4854" s="20"/>
      <c r="R4854" s="20"/>
      <c r="S4854" s="20"/>
      <c r="T4854" s="20"/>
    </row>
    <row r="4855" spans="1:21" x14ac:dyDescent="0.25">
      <c r="A4855" s="3">
        <v>41929</v>
      </c>
      <c r="B4855" s="36">
        <v>458</v>
      </c>
      <c r="C4855" t="s">
        <v>5166</v>
      </c>
      <c r="D4855">
        <v>14</v>
      </c>
      <c r="E4855" s="18">
        <v>1400</v>
      </c>
      <c r="F4855" t="s">
        <v>889</v>
      </c>
      <c r="G4855" t="s">
        <v>5167</v>
      </c>
      <c r="H4855" s="18">
        <v>1400</v>
      </c>
      <c r="I4855" s="3">
        <v>41929</v>
      </c>
      <c r="J4855"/>
      <c r="L4855"/>
      <c r="M4855"/>
      <c r="N4855" s="20"/>
      <c r="O4855"/>
      <c r="P4855" s="20"/>
      <c r="Q4855" s="20"/>
      <c r="R4855" s="20"/>
      <c r="S4855" s="20"/>
      <c r="T4855" s="20"/>
    </row>
    <row r="4856" spans="1:21" x14ac:dyDescent="0.25">
      <c r="A4856" s="3">
        <v>41929</v>
      </c>
      <c r="B4856" s="36">
        <v>458</v>
      </c>
      <c r="C4856" t="s">
        <v>5158</v>
      </c>
      <c r="D4856">
        <v>7.75</v>
      </c>
      <c r="E4856" s="18">
        <v>-775</v>
      </c>
      <c r="F4856" t="s">
        <v>889</v>
      </c>
      <c r="G4856" t="s">
        <v>5159</v>
      </c>
      <c r="H4856" s="18" t="s">
        <v>442</v>
      </c>
      <c r="I4856" s="3" t="s">
        <v>442</v>
      </c>
      <c r="J4856"/>
      <c r="L4856"/>
      <c r="M4856"/>
      <c r="N4856" s="20"/>
      <c r="O4856"/>
      <c r="P4856" s="20"/>
      <c r="Q4856" s="20"/>
      <c r="R4856" s="20"/>
      <c r="S4856" s="20"/>
      <c r="T4856" s="20"/>
    </row>
    <row r="4857" spans="1:21" x14ac:dyDescent="0.25">
      <c r="A4857" s="3">
        <v>41929</v>
      </c>
      <c r="B4857" s="36">
        <v>458</v>
      </c>
      <c r="C4857" t="s">
        <v>5168</v>
      </c>
      <c r="E4857" s="18">
        <v>-85</v>
      </c>
      <c r="F4857" t="s">
        <v>889</v>
      </c>
      <c r="H4857" s="18" t="s">
        <v>442</v>
      </c>
      <c r="I4857" s="3" t="s">
        <v>442</v>
      </c>
      <c r="J4857"/>
      <c r="L4857"/>
      <c r="M4857"/>
      <c r="N4857" s="20"/>
      <c r="O4857"/>
      <c r="P4857" s="20"/>
      <c r="Q4857" s="20"/>
      <c r="R4857" s="20" t="s">
        <v>401</v>
      </c>
      <c r="S4857" s="20"/>
      <c r="T4857" s="20"/>
    </row>
    <row r="4858" spans="1:21" x14ac:dyDescent="0.25">
      <c r="A4858" s="3">
        <v>41943</v>
      </c>
      <c r="B4858" s="36">
        <v>458</v>
      </c>
      <c r="C4858" t="s">
        <v>5169</v>
      </c>
      <c r="D4858">
        <v>4.5</v>
      </c>
      <c r="E4858" s="18">
        <v>450</v>
      </c>
      <c r="F4858" t="s">
        <v>889</v>
      </c>
      <c r="G4858" t="s">
        <v>5170</v>
      </c>
      <c r="H4858" s="18">
        <v>450</v>
      </c>
      <c r="I4858" s="3">
        <v>41943</v>
      </c>
      <c r="J4858"/>
      <c r="L4858"/>
      <c r="M4858"/>
      <c r="N4858" s="20"/>
      <c r="O4858"/>
      <c r="P4858" s="20"/>
      <c r="Q4858" s="20"/>
      <c r="R4858" s="20"/>
      <c r="S4858" s="20"/>
      <c r="T4858" s="20"/>
    </row>
    <row r="4859" spans="1:21" x14ac:dyDescent="0.25">
      <c r="A4859" s="3">
        <v>41943</v>
      </c>
      <c r="B4859" s="36">
        <v>458</v>
      </c>
      <c r="C4859" t="s">
        <v>5171</v>
      </c>
      <c r="D4859">
        <v>3.8250000000000002</v>
      </c>
      <c r="E4859" s="18">
        <v>382.5</v>
      </c>
      <c r="F4859" t="s">
        <v>889</v>
      </c>
      <c r="G4859" t="s">
        <v>5172</v>
      </c>
      <c r="H4859" s="18">
        <v>382.5</v>
      </c>
      <c r="I4859" s="3">
        <v>41943</v>
      </c>
      <c r="J4859"/>
      <c r="L4859"/>
      <c r="M4859"/>
      <c r="N4859" s="20"/>
      <c r="O4859"/>
      <c r="P4859" s="20"/>
      <c r="Q4859" s="20"/>
      <c r="R4859" s="20"/>
      <c r="S4859" s="20"/>
      <c r="T4859" s="20"/>
    </row>
    <row r="4860" spans="1:21" x14ac:dyDescent="0.25">
      <c r="A4860" s="3">
        <v>41971</v>
      </c>
      <c r="B4860" s="36">
        <v>458</v>
      </c>
      <c r="C4860" t="s">
        <v>5171</v>
      </c>
      <c r="D4860">
        <v>3.8250000000000002</v>
      </c>
      <c r="E4860" s="18">
        <v>-382.5</v>
      </c>
      <c r="F4860" t="s">
        <v>889</v>
      </c>
      <c r="G4860" t="s">
        <v>5172</v>
      </c>
      <c r="H4860" s="18" t="s">
        <v>442</v>
      </c>
      <c r="I4860" s="3" t="s">
        <v>442</v>
      </c>
      <c r="J4860"/>
      <c r="L4860"/>
      <c r="M4860"/>
      <c r="N4860" s="20"/>
      <c r="O4860"/>
      <c r="P4860" s="20"/>
      <c r="Q4860" s="20"/>
      <c r="R4860" s="20"/>
      <c r="S4860" s="20"/>
      <c r="T4860" s="20"/>
    </row>
    <row r="4861" spans="1:21" x14ac:dyDescent="0.25">
      <c r="A4861" s="3">
        <v>42019</v>
      </c>
      <c r="B4861" s="36">
        <v>458</v>
      </c>
      <c r="C4861" t="s">
        <v>5173</v>
      </c>
      <c r="D4861" s="55">
        <v>6.75</v>
      </c>
      <c r="E4861" s="18">
        <v>675</v>
      </c>
      <c r="F4861" t="s">
        <v>889</v>
      </c>
      <c r="G4861" t="s">
        <v>5165</v>
      </c>
      <c r="H4861" s="18">
        <v>675</v>
      </c>
      <c r="I4861" s="3">
        <v>42019</v>
      </c>
      <c r="J4861"/>
      <c r="L4861"/>
      <c r="M4861"/>
      <c r="N4861" s="20"/>
      <c r="O4861"/>
      <c r="P4861" s="20"/>
      <c r="Q4861" s="20"/>
      <c r="R4861" s="20"/>
      <c r="S4861" s="20"/>
      <c r="T4861" s="20"/>
    </row>
    <row r="4862" spans="1:21" x14ac:dyDescent="0.25">
      <c r="B4862">
        <v>458</v>
      </c>
      <c r="C4862" t="s">
        <v>5169</v>
      </c>
      <c r="D4862">
        <v>4.5</v>
      </c>
      <c r="E4862" s="18">
        <v>-450</v>
      </c>
      <c r="F4862" t="s">
        <v>889</v>
      </c>
      <c r="G4862" t="s">
        <v>5170</v>
      </c>
      <c r="I4862"/>
      <c r="J4862"/>
      <c r="L4862"/>
      <c r="M4862"/>
      <c r="O4862"/>
      <c r="P4862" s="20"/>
      <c r="Q4862" s="20"/>
      <c r="R4862" s="20"/>
      <c r="S4862" s="20"/>
      <c r="T4862" s="20"/>
      <c r="U4862" t="s">
        <v>401</v>
      </c>
    </row>
    <row r="4863" spans="1:21" x14ac:dyDescent="0.25">
      <c r="A4863" s="3">
        <v>41908</v>
      </c>
      <c r="B4863" s="36">
        <v>464</v>
      </c>
      <c r="C4863" t="s">
        <v>5174</v>
      </c>
      <c r="D4863">
        <v>6.25</v>
      </c>
      <c r="E4863" s="18">
        <v>625</v>
      </c>
      <c r="F4863" t="s">
        <v>889</v>
      </c>
      <c r="G4863" t="s">
        <v>5175</v>
      </c>
      <c r="H4863" s="18">
        <v>625</v>
      </c>
      <c r="I4863" s="3">
        <v>41908</v>
      </c>
      <c r="J4863"/>
      <c r="L4863"/>
      <c r="M4863"/>
      <c r="N4863" s="20"/>
      <c r="O4863"/>
      <c r="P4863" s="20"/>
      <c r="Q4863" s="20"/>
      <c r="R4863" s="20"/>
      <c r="S4863" s="20"/>
      <c r="T4863" s="20"/>
    </row>
    <row r="4864" spans="1:21" x14ac:dyDescent="0.25">
      <c r="A4864" s="3">
        <v>41918</v>
      </c>
      <c r="B4864" s="36">
        <v>464</v>
      </c>
      <c r="C4864" t="s">
        <v>5176</v>
      </c>
      <c r="D4864">
        <v>3.25</v>
      </c>
      <c r="E4864" s="18">
        <v>325</v>
      </c>
      <c r="F4864" t="s">
        <v>889</v>
      </c>
      <c r="G4864" t="s">
        <v>5177</v>
      </c>
      <c r="H4864" s="18">
        <v>325</v>
      </c>
      <c r="I4864" s="3">
        <v>41918</v>
      </c>
      <c r="J4864"/>
      <c r="L4864"/>
      <c r="M4864"/>
      <c r="N4864" s="20"/>
      <c r="O4864"/>
      <c r="P4864" s="20"/>
      <c r="Q4864" s="20"/>
      <c r="R4864" s="20"/>
      <c r="S4864" s="20"/>
      <c r="T4864" s="20"/>
    </row>
    <row r="4865" spans="1:20" x14ac:dyDescent="0.25">
      <c r="A4865" s="3">
        <v>41929</v>
      </c>
      <c r="B4865" s="36">
        <v>464</v>
      </c>
      <c r="C4865" t="s">
        <v>5176</v>
      </c>
      <c r="D4865">
        <v>3.25</v>
      </c>
      <c r="E4865" s="18">
        <v>-325</v>
      </c>
      <c r="F4865" t="s">
        <v>889</v>
      </c>
      <c r="G4865" t="s">
        <v>5177</v>
      </c>
      <c r="H4865" s="18" t="s">
        <v>442</v>
      </c>
      <c r="I4865" s="3" t="s">
        <v>442</v>
      </c>
      <c r="J4865"/>
      <c r="L4865"/>
      <c r="M4865"/>
      <c r="N4865" s="20"/>
      <c r="O4865"/>
      <c r="P4865" s="20"/>
      <c r="Q4865" s="20"/>
      <c r="R4865" s="20"/>
      <c r="S4865" s="20"/>
      <c r="T4865" s="20"/>
    </row>
    <row r="4866" spans="1:20" x14ac:dyDescent="0.25">
      <c r="A4866" s="3">
        <v>41929</v>
      </c>
      <c r="B4866" s="36">
        <v>464</v>
      </c>
      <c r="C4866" t="s">
        <v>5178</v>
      </c>
      <c r="D4866">
        <v>4.8499999999999996</v>
      </c>
      <c r="E4866" s="18">
        <v>484.5</v>
      </c>
      <c r="F4866" t="s">
        <v>889</v>
      </c>
      <c r="G4866" t="s">
        <v>5179</v>
      </c>
      <c r="H4866" s="18">
        <v>484.5</v>
      </c>
      <c r="I4866" s="3">
        <v>41929</v>
      </c>
      <c r="J4866"/>
      <c r="L4866"/>
      <c r="M4866"/>
      <c r="N4866" s="20"/>
      <c r="O4866"/>
      <c r="P4866" s="20"/>
      <c r="Q4866" s="20"/>
      <c r="R4866" s="20"/>
      <c r="S4866" s="20"/>
      <c r="T4866" s="20"/>
    </row>
    <row r="4867" spans="1:20" x14ac:dyDescent="0.25">
      <c r="A4867" s="3">
        <v>41950</v>
      </c>
      <c r="B4867" s="36">
        <v>464</v>
      </c>
      <c r="C4867" t="s">
        <v>5180</v>
      </c>
      <c r="D4867">
        <v>9.18</v>
      </c>
      <c r="E4867" s="18">
        <v>918</v>
      </c>
      <c r="F4867" t="s">
        <v>889</v>
      </c>
      <c r="G4867" t="s">
        <v>5181</v>
      </c>
      <c r="H4867" s="18">
        <v>918</v>
      </c>
      <c r="I4867" s="3">
        <v>41950</v>
      </c>
      <c r="J4867"/>
      <c r="L4867"/>
      <c r="M4867"/>
      <c r="N4867" s="20"/>
      <c r="O4867"/>
      <c r="P4867" s="20"/>
      <c r="Q4867" s="20"/>
      <c r="R4867" s="20"/>
      <c r="S4867" s="20"/>
      <c r="T4867" s="20"/>
    </row>
    <row r="4868" spans="1:20" x14ac:dyDescent="0.25">
      <c r="A4868" s="3">
        <v>42004</v>
      </c>
      <c r="B4868" s="36">
        <v>464</v>
      </c>
      <c r="C4868" t="s">
        <v>5174</v>
      </c>
      <c r="D4868">
        <v>6.25</v>
      </c>
      <c r="E4868" s="18">
        <v>208.33333333333334</v>
      </c>
      <c r="F4868" t="s">
        <v>889</v>
      </c>
      <c r="G4868" t="s">
        <v>5175</v>
      </c>
      <c r="H4868" s="18">
        <v>208.33333333333334</v>
      </c>
      <c r="I4868" s="3">
        <v>42004</v>
      </c>
      <c r="J4868"/>
      <c r="L4868"/>
      <c r="M4868"/>
      <c r="N4868" s="20"/>
      <c r="O4868"/>
      <c r="P4868" s="20"/>
      <c r="Q4868" s="20"/>
      <c r="R4868" s="20"/>
      <c r="S4868" s="20"/>
      <c r="T4868" s="20"/>
    </row>
    <row r="4869" spans="1:20" x14ac:dyDescent="0.25">
      <c r="A4869" s="3">
        <v>42013</v>
      </c>
      <c r="B4869" s="36">
        <v>464</v>
      </c>
      <c r="C4869" t="s">
        <v>5180</v>
      </c>
      <c r="D4869">
        <v>9.18</v>
      </c>
      <c r="E4869" s="18">
        <v>918</v>
      </c>
      <c r="F4869" t="s">
        <v>889</v>
      </c>
      <c r="G4869" t="s">
        <v>5181</v>
      </c>
      <c r="H4869" s="18">
        <v>918</v>
      </c>
      <c r="I4869" s="3">
        <v>42013</v>
      </c>
      <c r="J4869"/>
      <c r="L4869"/>
      <c r="M4869"/>
      <c r="N4869" s="20"/>
      <c r="O4869"/>
      <c r="P4869" s="20"/>
      <c r="Q4869" s="20"/>
      <c r="R4869" s="20"/>
      <c r="S4869" s="20"/>
      <c r="T4869" s="20"/>
    </row>
    <row r="4870" spans="1:20" x14ac:dyDescent="0.25">
      <c r="A4870" s="3">
        <v>42034</v>
      </c>
      <c r="B4870">
        <v>464</v>
      </c>
      <c r="C4870" t="s">
        <v>5176</v>
      </c>
      <c r="D4870">
        <v>3.25</v>
      </c>
      <c r="E4870" s="18">
        <v>325</v>
      </c>
      <c r="F4870" t="s">
        <v>889</v>
      </c>
      <c r="G4870" t="s">
        <v>5177</v>
      </c>
      <c r="H4870" s="18"/>
      <c r="J4870"/>
      <c r="L4870"/>
      <c r="M4870"/>
      <c r="N4870" s="20"/>
      <c r="O4870"/>
      <c r="P4870" s="20"/>
      <c r="Q4870" s="20"/>
      <c r="R4870" s="20"/>
      <c r="S4870" s="20"/>
      <c r="T4870" s="20"/>
    </row>
    <row r="4871" spans="1:20" x14ac:dyDescent="0.25">
      <c r="A4871" s="3">
        <v>42041</v>
      </c>
      <c r="B4871">
        <v>464</v>
      </c>
      <c r="C4871" t="s">
        <v>5174</v>
      </c>
      <c r="E4871" s="18">
        <v>208.33333333333334</v>
      </c>
      <c r="F4871" t="s">
        <v>889</v>
      </c>
      <c r="G4871" t="s">
        <v>5175</v>
      </c>
      <c r="I4871"/>
      <c r="J4871"/>
      <c r="L4871"/>
      <c r="M4871"/>
      <c r="O4871"/>
      <c r="P4871" s="20"/>
      <c r="Q4871" s="20"/>
      <c r="R4871" s="20"/>
      <c r="S4871" s="20"/>
      <c r="T4871" s="20"/>
    </row>
    <row r="4872" spans="1:20" x14ac:dyDescent="0.25">
      <c r="A4872" s="3">
        <v>41873</v>
      </c>
      <c r="B4872" s="36">
        <v>465</v>
      </c>
      <c r="C4872" t="s">
        <v>5182</v>
      </c>
      <c r="D4872">
        <v>10.5</v>
      </c>
      <c r="E4872" s="18">
        <v>1050</v>
      </c>
      <c r="F4872" t="s">
        <v>889</v>
      </c>
      <c r="G4872" t="s">
        <v>5183</v>
      </c>
      <c r="H4872" s="18">
        <v>1050</v>
      </c>
      <c r="I4872" s="3">
        <v>41873</v>
      </c>
      <c r="J4872"/>
      <c r="L4872"/>
      <c r="M4872"/>
      <c r="N4872" s="20"/>
      <c r="O4872"/>
      <c r="P4872" s="20"/>
      <c r="Q4872" s="20"/>
      <c r="R4872" s="20"/>
      <c r="S4872" s="20"/>
      <c r="T4872" s="20"/>
    </row>
    <row r="4873" spans="1:20" x14ac:dyDescent="0.25">
      <c r="A4873" s="3">
        <v>42004</v>
      </c>
      <c r="B4873" s="36">
        <v>465</v>
      </c>
      <c r="C4873" t="s">
        <v>5182</v>
      </c>
      <c r="D4873">
        <v>10.5</v>
      </c>
      <c r="E4873" s="18">
        <v>143.18181818181824</v>
      </c>
      <c r="F4873" t="s">
        <v>889</v>
      </c>
      <c r="G4873" t="s">
        <v>5183</v>
      </c>
      <c r="H4873" s="18">
        <v>143.18181818181824</v>
      </c>
      <c r="I4873" s="3">
        <v>42004</v>
      </c>
      <c r="J4873"/>
      <c r="L4873"/>
      <c r="M4873"/>
      <c r="N4873" s="20"/>
      <c r="O4873"/>
      <c r="P4873" s="20"/>
      <c r="Q4873" s="20"/>
      <c r="R4873" s="20"/>
      <c r="S4873" s="20"/>
      <c r="T4873" s="20"/>
    </row>
    <row r="4874" spans="1:20" x14ac:dyDescent="0.25">
      <c r="A4874" s="3">
        <v>42041</v>
      </c>
      <c r="B4874">
        <v>465</v>
      </c>
      <c r="C4874" t="s">
        <v>5182</v>
      </c>
      <c r="E4874" s="18">
        <v>143.18181818181824</v>
      </c>
      <c r="F4874" t="s">
        <v>889</v>
      </c>
      <c r="G4874" t="s">
        <v>5183</v>
      </c>
      <c r="I4874"/>
      <c r="J4874"/>
      <c r="L4874"/>
      <c r="M4874"/>
      <c r="O4874"/>
      <c r="P4874" s="20"/>
      <c r="Q4874" s="20"/>
      <c r="R4874" s="20"/>
      <c r="S4874" s="20"/>
      <c r="T4874" s="20"/>
    </row>
    <row r="4875" spans="1:20" x14ac:dyDescent="0.25">
      <c r="A4875" s="3">
        <v>41978</v>
      </c>
      <c r="B4875" s="36">
        <v>468</v>
      </c>
      <c r="C4875" t="s">
        <v>5184</v>
      </c>
      <c r="D4875">
        <v>10.25</v>
      </c>
      <c r="E4875" s="18">
        <v>1025</v>
      </c>
      <c r="F4875" t="s">
        <v>889</v>
      </c>
      <c r="G4875" t="s">
        <v>5185</v>
      </c>
      <c r="H4875" s="18">
        <v>1025</v>
      </c>
      <c r="I4875" s="3">
        <v>41978</v>
      </c>
      <c r="J4875"/>
      <c r="L4875"/>
      <c r="M4875"/>
      <c r="N4875" s="20"/>
      <c r="O4875"/>
      <c r="P4875" s="20"/>
      <c r="Q4875" s="20"/>
      <c r="R4875" s="20"/>
      <c r="S4875" s="20"/>
      <c r="T4875" s="20"/>
    </row>
    <row r="4876" spans="1:20" x14ac:dyDescent="0.25">
      <c r="A4876" s="3">
        <v>41978</v>
      </c>
      <c r="B4876" s="36">
        <v>468</v>
      </c>
      <c r="C4876" t="s">
        <v>5186</v>
      </c>
      <c r="D4876">
        <v>5.5</v>
      </c>
      <c r="E4876" s="18">
        <v>550</v>
      </c>
      <c r="F4876" t="s">
        <v>889</v>
      </c>
      <c r="G4876" t="s">
        <v>5187</v>
      </c>
      <c r="H4876" s="18">
        <v>550</v>
      </c>
      <c r="I4876" s="3">
        <v>41978</v>
      </c>
      <c r="J4876"/>
      <c r="L4876"/>
      <c r="M4876"/>
      <c r="N4876" s="20"/>
      <c r="O4876"/>
      <c r="P4876" s="20"/>
      <c r="Q4876" s="20"/>
      <c r="R4876" s="20"/>
      <c r="S4876" s="20"/>
      <c r="T4876" s="20"/>
    </row>
    <row r="4877" spans="1:20" x14ac:dyDescent="0.25">
      <c r="A4877" s="3">
        <v>41978</v>
      </c>
      <c r="B4877" s="36">
        <v>468</v>
      </c>
      <c r="C4877" t="s">
        <v>5188</v>
      </c>
      <c r="D4877">
        <v>9.5</v>
      </c>
      <c r="E4877" s="18">
        <v>950</v>
      </c>
      <c r="F4877" t="s">
        <v>889</v>
      </c>
      <c r="G4877" t="s">
        <v>5189</v>
      </c>
      <c r="H4877" s="18">
        <v>950</v>
      </c>
      <c r="I4877" s="3">
        <v>41978</v>
      </c>
      <c r="J4877"/>
      <c r="L4877"/>
      <c r="M4877"/>
      <c r="N4877" s="20"/>
      <c r="O4877"/>
      <c r="P4877" s="20"/>
      <c r="Q4877" s="20"/>
      <c r="R4877" s="20"/>
      <c r="S4877" s="20"/>
      <c r="T4877" s="20"/>
    </row>
    <row r="4878" spans="1:20" x14ac:dyDescent="0.25">
      <c r="A4878" s="3">
        <v>41978</v>
      </c>
      <c r="B4878" s="36">
        <v>468</v>
      </c>
      <c r="C4878" t="s">
        <v>5190</v>
      </c>
      <c r="D4878">
        <v>12</v>
      </c>
      <c r="E4878" s="18">
        <v>1200</v>
      </c>
      <c r="F4878" t="s">
        <v>889</v>
      </c>
      <c r="G4878" t="s">
        <v>5191</v>
      </c>
      <c r="H4878" s="18">
        <v>1200</v>
      </c>
      <c r="I4878" s="3">
        <v>41978</v>
      </c>
      <c r="J4878"/>
      <c r="L4878"/>
      <c r="M4878"/>
      <c r="N4878" s="20"/>
      <c r="O4878"/>
      <c r="P4878" s="20"/>
      <c r="Q4878" s="20"/>
      <c r="R4878" s="20"/>
      <c r="S4878" s="20"/>
      <c r="T4878" s="20"/>
    </row>
    <row r="4879" spans="1:20" x14ac:dyDescent="0.25">
      <c r="A4879" s="3">
        <v>41985</v>
      </c>
      <c r="B4879" s="36">
        <v>468</v>
      </c>
      <c r="C4879" t="s">
        <v>5192</v>
      </c>
      <c r="D4879">
        <v>3.5</v>
      </c>
      <c r="E4879" s="18">
        <v>350</v>
      </c>
      <c r="F4879" t="s">
        <v>889</v>
      </c>
      <c r="G4879" t="s">
        <v>5193</v>
      </c>
      <c r="H4879" s="18">
        <v>350</v>
      </c>
      <c r="I4879" s="3">
        <v>41985</v>
      </c>
      <c r="J4879"/>
      <c r="L4879"/>
      <c r="M4879"/>
      <c r="N4879" s="20"/>
      <c r="O4879"/>
      <c r="P4879" s="20"/>
      <c r="Q4879" s="20"/>
      <c r="R4879" s="20"/>
      <c r="S4879" s="20"/>
      <c r="T4879" s="20"/>
    </row>
    <row r="4880" spans="1:20" x14ac:dyDescent="0.25">
      <c r="A4880" s="3">
        <v>41985</v>
      </c>
      <c r="B4880" s="36">
        <v>468</v>
      </c>
      <c r="C4880" t="s">
        <v>5194</v>
      </c>
      <c r="D4880">
        <v>7.75</v>
      </c>
      <c r="E4880" s="18">
        <v>775</v>
      </c>
      <c r="F4880" t="s">
        <v>889</v>
      </c>
      <c r="G4880" t="s">
        <v>5195</v>
      </c>
      <c r="H4880" s="18">
        <v>775</v>
      </c>
      <c r="I4880" s="3">
        <v>41985</v>
      </c>
      <c r="J4880"/>
      <c r="L4880"/>
      <c r="M4880"/>
      <c r="N4880" s="20"/>
      <c r="O4880"/>
      <c r="P4880" s="20"/>
      <c r="Q4880" s="20"/>
      <c r="R4880" s="20"/>
      <c r="S4880" s="20"/>
      <c r="T4880" s="20"/>
    </row>
    <row r="4881" spans="1:20" x14ac:dyDescent="0.25">
      <c r="A4881" s="3">
        <v>41992</v>
      </c>
      <c r="B4881" s="36">
        <v>468</v>
      </c>
      <c r="C4881" t="s">
        <v>752</v>
      </c>
      <c r="D4881">
        <v>6.75</v>
      </c>
      <c r="E4881" s="18">
        <v>450</v>
      </c>
      <c r="F4881" t="s">
        <v>889</v>
      </c>
      <c r="G4881" t="s">
        <v>753</v>
      </c>
      <c r="H4881" s="18">
        <v>450</v>
      </c>
      <c r="I4881" s="3">
        <v>41992</v>
      </c>
      <c r="J4881"/>
      <c r="L4881"/>
      <c r="M4881"/>
      <c r="N4881" s="20"/>
      <c r="O4881"/>
      <c r="P4881" s="20"/>
      <c r="Q4881" s="20"/>
      <c r="R4881" s="20"/>
      <c r="S4881" s="20"/>
      <c r="T4881" s="20"/>
    </row>
    <row r="4882" spans="1:20" x14ac:dyDescent="0.25">
      <c r="A4882" s="3">
        <v>41992</v>
      </c>
      <c r="B4882" s="36">
        <v>468</v>
      </c>
      <c r="C4882" t="s">
        <v>768</v>
      </c>
      <c r="D4882">
        <v>4.5</v>
      </c>
      <c r="E4882" s="18">
        <v>450</v>
      </c>
      <c r="F4882" t="s">
        <v>889</v>
      </c>
      <c r="G4882" t="s">
        <v>769</v>
      </c>
      <c r="H4882" s="18">
        <v>450</v>
      </c>
      <c r="I4882" s="3">
        <v>41992</v>
      </c>
      <c r="J4882"/>
      <c r="L4882"/>
      <c r="M4882"/>
      <c r="N4882" s="20"/>
      <c r="O4882"/>
      <c r="P4882" s="20"/>
      <c r="Q4882" s="20"/>
      <c r="R4882" s="20"/>
      <c r="S4882" s="20"/>
      <c r="T4882" s="20"/>
    </row>
    <row r="4883" spans="1:20" x14ac:dyDescent="0.25">
      <c r="A4883" s="3">
        <v>41992</v>
      </c>
      <c r="B4883" s="36">
        <v>468</v>
      </c>
      <c r="C4883" t="s">
        <v>676</v>
      </c>
      <c r="D4883">
        <v>5</v>
      </c>
      <c r="E4883" s="18">
        <v>450</v>
      </c>
      <c r="F4883" t="s">
        <v>889</v>
      </c>
      <c r="G4883" t="s">
        <v>677</v>
      </c>
      <c r="H4883" s="18">
        <v>450</v>
      </c>
      <c r="I4883" s="3">
        <v>41992</v>
      </c>
      <c r="J4883"/>
      <c r="L4883"/>
      <c r="M4883"/>
      <c r="N4883" s="20"/>
      <c r="O4883"/>
      <c r="P4883" s="20"/>
      <c r="Q4883" s="20"/>
      <c r="R4883" s="20"/>
      <c r="S4883" s="20"/>
      <c r="T4883" s="20"/>
    </row>
    <row r="4884" spans="1:20" x14ac:dyDescent="0.25">
      <c r="A4884" s="3">
        <v>41992</v>
      </c>
      <c r="B4884" s="36">
        <v>468</v>
      </c>
      <c r="C4884" t="s">
        <v>758</v>
      </c>
      <c r="D4884">
        <v>8.5</v>
      </c>
      <c r="E4884" s="18">
        <v>450</v>
      </c>
      <c r="F4884" t="s">
        <v>889</v>
      </c>
      <c r="G4884" t="s">
        <v>759</v>
      </c>
      <c r="H4884" s="18">
        <v>450</v>
      </c>
      <c r="I4884" s="3">
        <v>41992</v>
      </c>
      <c r="J4884"/>
      <c r="L4884"/>
      <c r="M4884"/>
      <c r="N4884" s="20"/>
      <c r="O4884"/>
      <c r="P4884" s="20"/>
      <c r="Q4884" s="20"/>
      <c r="R4884" s="20"/>
      <c r="S4884" s="20"/>
      <c r="T4884" s="20"/>
    </row>
    <row r="4885" spans="1:20" x14ac:dyDescent="0.25">
      <c r="A4885" s="3">
        <v>41992</v>
      </c>
      <c r="B4885" s="36">
        <v>468</v>
      </c>
      <c r="C4885" t="s">
        <v>402</v>
      </c>
      <c r="D4885">
        <v>3.75</v>
      </c>
      <c r="E4885" s="18">
        <v>450</v>
      </c>
      <c r="F4885" t="s">
        <v>889</v>
      </c>
      <c r="G4885" t="s">
        <v>403</v>
      </c>
      <c r="H4885" s="18">
        <v>450</v>
      </c>
      <c r="I4885" s="3">
        <v>41992</v>
      </c>
      <c r="J4885"/>
      <c r="L4885"/>
      <c r="M4885"/>
      <c r="N4885" s="20"/>
      <c r="O4885"/>
      <c r="P4885" s="20"/>
      <c r="Q4885" s="20"/>
      <c r="R4885" s="20"/>
      <c r="S4885" s="20"/>
      <c r="T4885" s="20"/>
    </row>
    <row r="4886" spans="1:20" x14ac:dyDescent="0.25">
      <c r="A4886" s="3">
        <v>41992</v>
      </c>
      <c r="B4886" s="36">
        <v>468</v>
      </c>
      <c r="C4886" t="s">
        <v>443</v>
      </c>
      <c r="D4886">
        <v>7.5</v>
      </c>
      <c r="E4886" s="18">
        <v>450</v>
      </c>
      <c r="F4886" t="s">
        <v>889</v>
      </c>
      <c r="G4886" t="s">
        <v>444</v>
      </c>
      <c r="H4886" s="18">
        <v>450</v>
      </c>
      <c r="I4886" s="3">
        <v>41992</v>
      </c>
      <c r="J4886"/>
      <c r="L4886"/>
      <c r="M4886"/>
      <c r="N4886" s="20"/>
      <c r="O4886"/>
      <c r="P4886" s="20"/>
      <c r="Q4886" s="20"/>
      <c r="R4886" s="20"/>
      <c r="S4886" s="20"/>
      <c r="T4886" s="20"/>
    </row>
    <row r="4887" spans="1:20" x14ac:dyDescent="0.25">
      <c r="A4887" s="3">
        <v>41992</v>
      </c>
      <c r="B4887" s="36">
        <v>468</v>
      </c>
      <c r="C4887" t="s">
        <v>776</v>
      </c>
      <c r="D4887">
        <v>8.25</v>
      </c>
      <c r="E4887" s="18">
        <v>450</v>
      </c>
      <c r="F4887" t="s">
        <v>889</v>
      </c>
      <c r="G4887" t="s">
        <v>777</v>
      </c>
      <c r="H4887" s="18">
        <v>450</v>
      </c>
      <c r="I4887" s="3">
        <v>41992</v>
      </c>
      <c r="J4887"/>
      <c r="L4887"/>
      <c r="M4887"/>
      <c r="N4887" s="20"/>
      <c r="O4887"/>
      <c r="P4887" s="20"/>
      <c r="Q4887" s="20"/>
      <c r="R4887" s="20"/>
      <c r="S4887" s="20"/>
      <c r="T4887" s="20"/>
    </row>
    <row r="4888" spans="1:20" x14ac:dyDescent="0.25">
      <c r="A4888" s="3">
        <v>41992</v>
      </c>
      <c r="B4888" s="36">
        <v>468</v>
      </c>
      <c r="C4888" t="s">
        <v>492</v>
      </c>
      <c r="D4888">
        <v>5.25</v>
      </c>
      <c r="E4888" s="18">
        <v>450</v>
      </c>
      <c r="F4888" t="s">
        <v>889</v>
      </c>
      <c r="G4888" t="s">
        <v>493</v>
      </c>
      <c r="H4888" s="18">
        <v>450</v>
      </c>
      <c r="I4888" s="3">
        <v>41992</v>
      </c>
      <c r="J4888"/>
      <c r="L4888"/>
      <c r="M4888"/>
      <c r="N4888" s="20"/>
      <c r="O4888"/>
      <c r="P4888" s="20"/>
      <c r="Q4888" s="20"/>
      <c r="R4888" s="20"/>
      <c r="S4888" s="20"/>
      <c r="T4888" s="20"/>
    </row>
    <row r="4889" spans="1:20" x14ac:dyDescent="0.25">
      <c r="A4889" s="3">
        <v>41999</v>
      </c>
      <c r="B4889" s="36">
        <v>468</v>
      </c>
      <c r="C4889" t="s">
        <v>5184</v>
      </c>
      <c r="D4889">
        <v>5.61</v>
      </c>
      <c r="E4889" s="18">
        <v>97</v>
      </c>
      <c r="F4889" t="s">
        <v>889</v>
      </c>
      <c r="G4889" t="s">
        <v>5185</v>
      </c>
      <c r="H4889" s="18">
        <v>97</v>
      </c>
      <c r="I4889" s="3">
        <v>41999</v>
      </c>
      <c r="J4889"/>
      <c r="L4889"/>
      <c r="M4889"/>
      <c r="N4889" s="20"/>
      <c r="O4889" t="s">
        <v>959</v>
      </c>
      <c r="P4889" s="20"/>
      <c r="Q4889" s="20"/>
      <c r="R4889" s="20"/>
      <c r="S4889" s="20"/>
      <c r="T4889" s="20"/>
    </row>
    <row r="4890" spans="1:20" x14ac:dyDescent="0.25">
      <c r="A4890" s="3">
        <v>42013</v>
      </c>
      <c r="B4890" s="36">
        <v>468</v>
      </c>
      <c r="C4890" t="s">
        <v>5184</v>
      </c>
      <c r="D4890">
        <v>10.25</v>
      </c>
      <c r="E4890" s="18">
        <v>1440.5</v>
      </c>
      <c r="F4890" t="s">
        <v>889</v>
      </c>
      <c r="G4890" t="s">
        <v>5185</v>
      </c>
      <c r="H4890" s="18">
        <v>1440.5</v>
      </c>
      <c r="I4890" s="3">
        <v>42013</v>
      </c>
      <c r="J4890"/>
      <c r="L4890"/>
      <c r="M4890"/>
      <c r="N4890" s="20"/>
      <c r="O4890"/>
      <c r="P4890" s="20"/>
      <c r="Q4890" s="20"/>
      <c r="R4890" s="20"/>
      <c r="S4890" s="20"/>
      <c r="T4890" s="20"/>
    </row>
    <row r="4891" spans="1:20" x14ac:dyDescent="0.25">
      <c r="A4891" s="3">
        <v>42013</v>
      </c>
      <c r="B4891" s="36">
        <v>468</v>
      </c>
      <c r="C4891" t="s">
        <v>752</v>
      </c>
      <c r="D4891">
        <v>6.75</v>
      </c>
      <c r="E4891" s="18">
        <v>337.5</v>
      </c>
      <c r="F4891" t="s">
        <v>889</v>
      </c>
      <c r="G4891" t="s">
        <v>753</v>
      </c>
      <c r="H4891" s="18">
        <v>337.5</v>
      </c>
      <c r="I4891" s="3">
        <v>42013</v>
      </c>
      <c r="J4891"/>
      <c r="L4891"/>
      <c r="M4891"/>
      <c r="N4891" s="20"/>
      <c r="O4891"/>
      <c r="P4891" s="20"/>
      <c r="Q4891" s="20"/>
      <c r="R4891" s="20"/>
      <c r="S4891" s="20"/>
      <c r="T4891" s="20"/>
    </row>
    <row r="4892" spans="1:20" x14ac:dyDescent="0.25">
      <c r="A4892" s="3">
        <v>42013</v>
      </c>
      <c r="B4892" s="36">
        <v>468</v>
      </c>
      <c r="C4892" t="s">
        <v>676</v>
      </c>
      <c r="D4892">
        <v>5</v>
      </c>
      <c r="E4892" s="18">
        <v>250</v>
      </c>
      <c r="F4892" t="s">
        <v>889</v>
      </c>
      <c r="G4892" t="s">
        <v>677</v>
      </c>
      <c r="H4892" s="18">
        <v>250</v>
      </c>
      <c r="I4892" s="3">
        <v>42013</v>
      </c>
      <c r="J4892"/>
      <c r="L4892"/>
      <c r="M4892"/>
      <c r="N4892" s="20"/>
      <c r="O4892"/>
      <c r="P4892" s="20"/>
      <c r="Q4892" s="20"/>
      <c r="R4892" s="20"/>
      <c r="S4892" s="20"/>
      <c r="T4892" s="20"/>
    </row>
    <row r="4893" spans="1:20" x14ac:dyDescent="0.25">
      <c r="A4893" s="3">
        <v>42013</v>
      </c>
      <c r="B4893" s="36">
        <v>468</v>
      </c>
      <c r="C4893" t="s">
        <v>758</v>
      </c>
      <c r="D4893">
        <v>8.5</v>
      </c>
      <c r="E4893" s="18">
        <v>425</v>
      </c>
      <c r="F4893" t="s">
        <v>889</v>
      </c>
      <c r="G4893" t="s">
        <v>759</v>
      </c>
      <c r="H4893" s="18">
        <v>425</v>
      </c>
      <c r="I4893" s="3">
        <v>42013</v>
      </c>
      <c r="J4893"/>
      <c r="L4893"/>
      <c r="M4893"/>
      <c r="N4893" s="20"/>
      <c r="O4893"/>
      <c r="P4893" s="20"/>
      <c r="Q4893" s="20"/>
      <c r="R4893" s="20"/>
      <c r="S4893" s="20"/>
      <c r="T4893" s="20"/>
    </row>
    <row r="4894" spans="1:20" x14ac:dyDescent="0.25">
      <c r="A4894" s="3">
        <v>42013</v>
      </c>
      <c r="B4894" s="36">
        <v>468</v>
      </c>
      <c r="C4894" t="s">
        <v>502</v>
      </c>
      <c r="D4894">
        <v>4</v>
      </c>
      <c r="E4894" s="18">
        <v>450</v>
      </c>
      <c r="F4894" t="s">
        <v>889</v>
      </c>
      <c r="G4894" t="s">
        <v>503</v>
      </c>
      <c r="H4894" s="18">
        <v>450</v>
      </c>
      <c r="I4894" s="3">
        <v>42013</v>
      </c>
      <c r="J4894"/>
      <c r="L4894"/>
      <c r="M4894"/>
      <c r="N4894" s="20"/>
      <c r="O4894"/>
      <c r="P4894" s="20"/>
      <c r="Q4894" s="20"/>
      <c r="R4894" s="20"/>
      <c r="S4894" s="20"/>
      <c r="T4894" s="20"/>
    </row>
    <row r="4895" spans="1:20" x14ac:dyDescent="0.25">
      <c r="A4895" s="3">
        <v>42013</v>
      </c>
      <c r="B4895" s="36">
        <v>468</v>
      </c>
      <c r="C4895" t="s">
        <v>5196</v>
      </c>
      <c r="E4895" s="18">
        <v>1500</v>
      </c>
      <c r="F4895" t="s">
        <v>891</v>
      </c>
      <c r="H4895" s="18" t="s">
        <v>442</v>
      </c>
      <c r="I4895" s="3" t="s">
        <v>442</v>
      </c>
      <c r="J4895"/>
      <c r="L4895"/>
      <c r="M4895"/>
      <c r="N4895" s="20"/>
      <c r="O4895"/>
      <c r="P4895" s="20" t="s">
        <v>401</v>
      </c>
      <c r="Q4895" s="20"/>
      <c r="R4895" s="20"/>
      <c r="S4895" s="20"/>
      <c r="T4895" s="20"/>
    </row>
    <row r="4896" spans="1:20" x14ac:dyDescent="0.25">
      <c r="A4896" s="3">
        <v>42041</v>
      </c>
      <c r="B4896" s="36">
        <v>468</v>
      </c>
      <c r="C4896" t="s">
        <v>676</v>
      </c>
      <c r="E4896" s="18">
        <v>250</v>
      </c>
      <c r="F4896" s="18" t="s">
        <v>889</v>
      </c>
      <c r="G4896" t="s">
        <v>677</v>
      </c>
      <c r="H4896" s="18"/>
      <c r="J4896"/>
      <c r="L4896"/>
      <c r="M4896"/>
      <c r="N4896" s="20"/>
      <c r="O4896"/>
      <c r="P4896" s="20"/>
      <c r="Q4896" s="20"/>
      <c r="R4896" s="20"/>
      <c r="S4896" s="20"/>
      <c r="T4896" s="20"/>
    </row>
    <row r="4897" spans="1:21" x14ac:dyDescent="0.25">
      <c r="A4897" s="3">
        <v>41873</v>
      </c>
      <c r="B4897" s="36">
        <v>472</v>
      </c>
      <c r="C4897" t="s">
        <v>5197</v>
      </c>
      <c r="E4897" s="18">
        <v>205</v>
      </c>
      <c r="F4897" t="s">
        <v>889</v>
      </c>
      <c r="G4897" t="s">
        <v>442</v>
      </c>
      <c r="H4897" s="18" t="s">
        <v>442</v>
      </c>
      <c r="I4897" s="3" t="s">
        <v>442</v>
      </c>
      <c r="J4897"/>
      <c r="L4897"/>
      <c r="M4897"/>
      <c r="N4897" s="20"/>
      <c r="O4897"/>
      <c r="P4897" s="20"/>
      <c r="Q4897" s="20"/>
      <c r="R4897" s="20"/>
      <c r="S4897" s="20"/>
      <c r="T4897" s="20" t="s">
        <v>401</v>
      </c>
    </row>
    <row r="4898" spans="1:21" x14ac:dyDescent="0.25">
      <c r="A4898" s="3" t="s">
        <v>4535</v>
      </c>
      <c r="B4898" s="36">
        <v>472</v>
      </c>
      <c r="C4898" t="s">
        <v>4536</v>
      </c>
      <c r="E4898" s="18">
        <v>500</v>
      </c>
      <c r="G4898" t="s">
        <v>442</v>
      </c>
      <c r="H4898" s="18" t="s">
        <v>442</v>
      </c>
      <c r="I4898" s="3" t="s">
        <v>442</v>
      </c>
      <c r="J4898"/>
      <c r="L4898"/>
      <c r="M4898"/>
      <c r="N4898" s="20"/>
      <c r="O4898"/>
      <c r="P4898" s="20"/>
      <c r="Q4898" s="20"/>
      <c r="R4898" s="20"/>
      <c r="S4898" s="20"/>
      <c r="T4898" s="20" t="s">
        <v>401</v>
      </c>
    </row>
    <row r="4899" spans="1:21" x14ac:dyDescent="0.25">
      <c r="A4899" s="3" t="s">
        <v>4196</v>
      </c>
      <c r="B4899" s="36">
        <v>472</v>
      </c>
      <c r="C4899" t="s">
        <v>4197</v>
      </c>
      <c r="E4899" s="18">
        <v>500</v>
      </c>
      <c r="G4899" t="s">
        <v>442</v>
      </c>
      <c r="H4899" s="18" t="s">
        <v>442</v>
      </c>
      <c r="I4899" s="3" t="s">
        <v>442</v>
      </c>
      <c r="J4899"/>
      <c r="L4899"/>
      <c r="M4899"/>
      <c r="N4899" s="20"/>
      <c r="O4899"/>
      <c r="P4899" s="20"/>
      <c r="Q4899" s="20"/>
      <c r="R4899" s="20"/>
      <c r="S4899" s="20"/>
      <c r="T4899" s="20" t="s">
        <v>401</v>
      </c>
    </row>
    <row r="4900" spans="1:21" x14ac:dyDescent="0.25">
      <c r="A4900" s="3" t="s">
        <v>4198</v>
      </c>
      <c r="B4900" s="36">
        <v>472</v>
      </c>
      <c r="C4900" t="s">
        <v>4199</v>
      </c>
      <c r="E4900" s="18">
        <v>500</v>
      </c>
      <c r="G4900" t="s">
        <v>442</v>
      </c>
      <c r="H4900" s="18" t="s">
        <v>442</v>
      </c>
      <c r="I4900" s="3" t="s">
        <v>442</v>
      </c>
      <c r="J4900"/>
      <c r="L4900"/>
      <c r="M4900"/>
      <c r="N4900" s="20"/>
      <c r="O4900"/>
      <c r="P4900" s="20"/>
      <c r="Q4900" s="20"/>
      <c r="R4900" s="20"/>
      <c r="S4900" s="20"/>
      <c r="T4900" s="20" t="s">
        <v>401</v>
      </c>
    </row>
    <row r="4901" spans="1:21" x14ac:dyDescent="0.25">
      <c r="A4901" s="3" t="s">
        <v>4200</v>
      </c>
      <c r="B4901" s="36">
        <v>472</v>
      </c>
      <c r="C4901" t="s">
        <v>4201</v>
      </c>
      <c r="E4901" s="18">
        <v>500</v>
      </c>
      <c r="G4901" t="s">
        <v>442</v>
      </c>
      <c r="H4901" s="18" t="s">
        <v>442</v>
      </c>
      <c r="I4901" s="3" t="s">
        <v>442</v>
      </c>
      <c r="J4901"/>
      <c r="L4901"/>
      <c r="M4901"/>
      <c r="N4901" s="20"/>
      <c r="O4901"/>
      <c r="P4901" s="20"/>
      <c r="Q4901" s="20"/>
      <c r="R4901" s="20"/>
      <c r="S4901" s="20"/>
      <c r="T4901" s="20" t="s">
        <v>401</v>
      </c>
    </row>
    <row r="4902" spans="1:21" x14ac:dyDescent="0.25">
      <c r="A4902" s="3" t="s">
        <v>4202</v>
      </c>
      <c r="B4902" s="36">
        <v>472</v>
      </c>
      <c r="C4902" t="s">
        <v>4203</v>
      </c>
      <c r="E4902" s="18">
        <v>500</v>
      </c>
      <c r="G4902" t="s">
        <v>442</v>
      </c>
      <c r="H4902" s="18" t="s">
        <v>442</v>
      </c>
      <c r="I4902" s="3" t="s">
        <v>442</v>
      </c>
      <c r="J4902"/>
      <c r="L4902"/>
      <c r="M4902"/>
      <c r="N4902" s="20"/>
      <c r="O4902"/>
      <c r="P4902" s="20"/>
      <c r="Q4902" s="20"/>
      <c r="R4902" s="20"/>
      <c r="S4902" s="20"/>
      <c r="T4902" s="20" t="s">
        <v>401</v>
      </c>
    </row>
    <row r="4903" spans="1:21" x14ac:dyDescent="0.25">
      <c r="A4903" s="3">
        <v>41907</v>
      </c>
      <c r="B4903" s="36">
        <v>472</v>
      </c>
      <c r="C4903" t="s">
        <v>5198</v>
      </c>
      <c r="D4903">
        <v>6.12</v>
      </c>
      <c r="E4903" s="18">
        <v>612</v>
      </c>
      <c r="G4903" t="s">
        <v>5199</v>
      </c>
      <c r="H4903" s="18">
        <v>612</v>
      </c>
      <c r="I4903" s="3">
        <v>41907</v>
      </c>
      <c r="J4903"/>
      <c r="L4903"/>
      <c r="M4903"/>
      <c r="N4903" s="20"/>
      <c r="O4903"/>
      <c r="P4903" s="20"/>
      <c r="Q4903" s="20"/>
      <c r="R4903" s="20"/>
      <c r="S4903" s="20"/>
      <c r="T4903" s="20"/>
    </row>
    <row r="4904" spans="1:21" x14ac:dyDescent="0.25">
      <c r="A4904" s="3">
        <v>41907</v>
      </c>
      <c r="B4904" s="36">
        <v>472</v>
      </c>
      <c r="C4904" t="s">
        <v>5200</v>
      </c>
      <c r="D4904">
        <v>4.8449999999999998</v>
      </c>
      <c r="E4904" s="18">
        <v>484.5</v>
      </c>
      <c r="G4904" t="s">
        <v>5201</v>
      </c>
      <c r="H4904" s="18">
        <v>484.5</v>
      </c>
      <c r="I4904" s="3">
        <v>41907</v>
      </c>
      <c r="J4904"/>
      <c r="L4904"/>
      <c r="M4904"/>
      <c r="N4904" s="20"/>
      <c r="O4904"/>
      <c r="P4904" s="20"/>
      <c r="Q4904" s="20"/>
      <c r="R4904" s="20"/>
      <c r="S4904" s="20"/>
      <c r="T4904" s="20"/>
    </row>
    <row r="4905" spans="1:21" x14ac:dyDescent="0.25">
      <c r="A4905" s="3" t="s">
        <v>4204</v>
      </c>
      <c r="B4905" s="36">
        <v>472</v>
      </c>
      <c r="C4905" t="s">
        <v>4205</v>
      </c>
      <c r="E4905" s="18">
        <v>500</v>
      </c>
      <c r="G4905" t="s">
        <v>442</v>
      </c>
      <c r="H4905" s="18" t="s">
        <v>442</v>
      </c>
      <c r="I4905" s="3" t="s">
        <v>442</v>
      </c>
      <c r="J4905"/>
      <c r="L4905"/>
      <c r="M4905"/>
      <c r="N4905" s="20"/>
      <c r="O4905"/>
      <c r="P4905" s="20"/>
      <c r="Q4905" s="20"/>
      <c r="R4905" s="20"/>
      <c r="S4905" s="20"/>
      <c r="T4905" s="20" t="s">
        <v>401</v>
      </c>
    </row>
    <row r="4906" spans="1:21" x14ac:dyDescent="0.25">
      <c r="A4906" s="3" t="s">
        <v>4206</v>
      </c>
      <c r="B4906" s="36">
        <v>472</v>
      </c>
      <c r="C4906" t="s">
        <v>4207</v>
      </c>
      <c r="E4906" s="18">
        <v>500</v>
      </c>
      <c r="G4906" t="s">
        <v>442</v>
      </c>
      <c r="H4906" s="18" t="s">
        <v>442</v>
      </c>
      <c r="I4906" s="3" t="s">
        <v>442</v>
      </c>
      <c r="J4906"/>
      <c r="L4906"/>
      <c r="M4906"/>
      <c r="N4906" s="20"/>
      <c r="O4906"/>
      <c r="P4906" s="20"/>
      <c r="Q4906" s="20"/>
      <c r="R4906" s="20"/>
      <c r="S4906" s="20"/>
      <c r="T4906" s="20" t="s">
        <v>401</v>
      </c>
    </row>
    <row r="4907" spans="1:21" x14ac:dyDescent="0.25">
      <c r="A4907" s="3" t="s">
        <v>4208</v>
      </c>
      <c r="B4907" s="36">
        <v>472</v>
      </c>
      <c r="C4907" t="s">
        <v>4209</v>
      </c>
      <c r="E4907" s="18">
        <v>500</v>
      </c>
      <c r="G4907" t="s">
        <v>442</v>
      </c>
      <c r="H4907" s="18" t="s">
        <v>442</v>
      </c>
      <c r="I4907" s="3" t="s">
        <v>442</v>
      </c>
      <c r="J4907"/>
      <c r="L4907"/>
      <c r="M4907"/>
      <c r="N4907" s="20"/>
      <c r="O4907"/>
      <c r="P4907" s="20"/>
      <c r="Q4907" s="20"/>
      <c r="R4907" s="20"/>
      <c r="S4907" s="20"/>
      <c r="T4907" s="20" t="s">
        <v>401</v>
      </c>
    </row>
    <row r="4908" spans="1:21" x14ac:dyDescent="0.25">
      <c r="A4908" s="3" t="s">
        <v>4210</v>
      </c>
      <c r="B4908" s="36">
        <v>472</v>
      </c>
      <c r="C4908" t="s">
        <v>4211</v>
      </c>
      <c r="E4908" s="18">
        <v>500</v>
      </c>
      <c r="G4908" t="s">
        <v>442</v>
      </c>
      <c r="H4908" s="18" t="s">
        <v>442</v>
      </c>
      <c r="I4908" s="3" t="s">
        <v>442</v>
      </c>
      <c r="J4908"/>
      <c r="L4908"/>
      <c r="M4908"/>
      <c r="N4908" s="20"/>
      <c r="O4908"/>
      <c r="P4908" s="20"/>
      <c r="Q4908" s="20"/>
      <c r="R4908" s="20"/>
      <c r="S4908" s="20"/>
      <c r="T4908" s="20" t="s">
        <v>401</v>
      </c>
    </row>
    <row r="4909" spans="1:21" x14ac:dyDescent="0.25">
      <c r="A4909" s="3" t="s">
        <v>4212</v>
      </c>
      <c r="B4909" s="36">
        <v>472</v>
      </c>
      <c r="C4909" t="s">
        <v>4213</v>
      </c>
      <c r="E4909" s="18">
        <v>500</v>
      </c>
      <c r="G4909" t="s">
        <v>442</v>
      </c>
      <c r="H4909" s="18" t="s">
        <v>442</v>
      </c>
      <c r="I4909" s="3" t="s">
        <v>442</v>
      </c>
      <c r="J4909"/>
      <c r="L4909"/>
      <c r="M4909"/>
      <c r="N4909" s="20"/>
      <c r="O4909"/>
      <c r="P4909" s="20"/>
      <c r="Q4909" s="20"/>
      <c r="R4909" s="20"/>
      <c r="S4909" s="20"/>
      <c r="T4909" s="20" t="s">
        <v>401</v>
      </c>
    </row>
    <row r="4910" spans="1:21" x14ac:dyDescent="0.25">
      <c r="A4910" s="3" t="s">
        <v>4214</v>
      </c>
      <c r="B4910" s="36">
        <v>472</v>
      </c>
      <c r="C4910" t="s">
        <v>4215</v>
      </c>
      <c r="E4910" s="18">
        <v>500</v>
      </c>
      <c r="G4910" t="s">
        <v>442</v>
      </c>
      <c r="H4910" s="18" t="s">
        <v>442</v>
      </c>
      <c r="I4910" s="3" t="s">
        <v>442</v>
      </c>
      <c r="J4910"/>
      <c r="L4910"/>
      <c r="M4910"/>
      <c r="N4910" s="20"/>
      <c r="O4910"/>
      <c r="P4910" s="20"/>
      <c r="Q4910" s="20"/>
      <c r="R4910" s="20"/>
      <c r="S4910" s="20"/>
      <c r="T4910" s="20" t="s">
        <v>401</v>
      </c>
    </row>
    <row r="4911" spans="1:21" x14ac:dyDescent="0.25">
      <c r="B4911">
        <v>472</v>
      </c>
      <c r="C4911" t="s">
        <v>4536</v>
      </c>
      <c r="E4911" s="18">
        <v>-500</v>
      </c>
      <c r="G4911" t="s">
        <v>442</v>
      </c>
      <c r="I4911"/>
      <c r="J4911"/>
      <c r="L4911"/>
      <c r="M4911"/>
      <c r="O4911"/>
      <c r="P4911" s="20"/>
      <c r="Q4911" s="20"/>
      <c r="R4911" s="20"/>
      <c r="S4911" s="20"/>
      <c r="T4911" s="20"/>
      <c r="U4911" t="s">
        <v>401</v>
      </c>
    </row>
    <row r="4912" spans="1:21" x14ac:dyDescent="0.25">
      <c r="B4912">
        <v>472</v>
      </c>
      <c r="C4912" t="s">
        <v>4197</v>
      </c>
      <c r="E4912" s="18">
        <v>-500</v>
      </c>
      <c r="G4912" t="s">
        <v>442</v>
      </c>
      <c r="I4912"/>
      <c r="J4912"/>
      <c r="L4912"/>
      <c r="M4912"/>
      <c r="O4912"/>
      <c r="P4912" s="20"/>
      <c r="Q4912" s="20"/>
      <c r="R4912" s="20"/>
      <c r="S4912" s="20"/>
      <c r="T4912" s="20"/>
      <c r="U4912" t="s">
        <v>401</v>
      </c>
    </row>
    <row r="4913" spans="1:21" x14ac:dyDescent="0.25">
      <c r="B4913">
        <v>472</v>
      </c>
      <c r="C4913" t="s">
        <v>4199</v>
      </c>
      <c r="E4913" s="18">
        <v>-500</v>
      </c>
      <c r="G4913" t="s">
        <v>442</v>
      </c>
      <c r="I4913"/>
      <c r="J4913"/>
      <c r="L4913"/>
      <c r="M4913"/>
      <c r="O4913"/>
      <c r="P4913" s="20"/>
      <c r="Q4913" s="20"/>
      <c r="R4913" s="20"/>
      <c r="S4913" s="20"/>
      <c r="T4913" s="20"/>
      <c r="U4913" t="s">
        <v>401</v>
      </c>
    </row>
    <row r="4914" spans="1:21" x14ac:dyDescent="0.25">
      <c r="B4914">
        <v>472</v>
      </c>
      <c r="C4914" t="s">
        <v>4201</v>
      </c>
      <c r="E4914" s="18">
        <v>-500</v>
      </c>
      <c r="G4914" t="s">
        <v>442</v>
      </c>
      <c r="I4914"/>
      <c r="J4914"/>
      <c r="L4914"/>
      <c r="M4914"/>
      <c r="O4914"/>
      <c r="P4914" s="20"/>
      <c r="Q4914" s="20"/>
      <c r="R4914" s="20"/>
      <c r="S4914" s="20"/>
      <c r="T4914" s="20"/>
      <c r="U4914" t="s">
        <v>401</v>
      </c>
    </row>
    <row r="4915" spans="1:21" x14ac:dyDescent="0.25">
      <c r="B4915">
        <v>472</v>
      </c>
      <c r="C4915" t="s">
        <v>4203</v>
      </c>
      <c r="E4915" s="18">
        <v>-500</v>
      </c>
      <c r="G4915" t="s">
        <v>442</v>
      </c>
      <c r="I4915"/>
      <c r="J4915"/>
      <c r="L4915"/>
      <c r="M4915"/>
      <c r="O4915"/>
      <c r="P4915" s="20"/>
      <c r="Q4915" s="20"/>
      <c r="R4915" s="20"/>
      <c r="S4915" s="20"/>
      <c r="T4915" s="20"/>
      <c r="U4915" t="s">
        <v>401</v>
      </c>
    </row>
    <row r="4916" spans="1:21" x14ac:dyDescent="0.25">
      <c r="B4916">
        <v>472</v>
      </c>
      <c r="C4916" t="s">
        <v>4205</v>
      </c>
      <c r="E4916" s="18">
        <v>-500</v>
      </c>
      <c r="G4916" t="s">
        <v>442</v>
      </c>
      <c r="I4916"/>
      <c r="J4916"/>
      <c r="L4916"/>
      <c r="M4916"/>
      <c r="O4916"/>
      <c r="P4916" s="20"/>
      <c r="Q4916" s="20"/>
      <c r="R4916" s="20"/>
      <c r="S4916" s="20"/>
      <c r="T4916" s="20"/>
      <c r="U4916" t="s">
        <v>401</v>
      </c>
    </row>
    <row r="4917" spans="1:21" x14ac:dyDescent="0.25">
      <c r="B4917">
        <v>472</v>
      </c>
      <c r="C4917" t="s">
        <v>4207</v>
      </c>
      <c r="E4917" s="18">
        <v>-500</v>
      </c>
      <c r="G4917" t="s">
        <v>442</v>
      </c>
      <c r="I4917"/>
      <c r="J4917"/>
      <c r="L4917"/>
      <c r="M4917"/>
      <c r="O4917"/>
      <c r="P4917" s="20"/>
      <c r="Q4917" s="20"/>
      <c r="R4917" s="20"/>
      <c r="S4917" s="20"/>
      <c r="T4917" s="20"/>
      <c r="U4917" t="s">
        <v>401</v>
      </c>
    </row>
    <row r="4918" spans="1:21" x14ac:dyDescent="0.25">
      <c r="B4918">
        <v>472</v>
      </c>
      <c r="C4918" t="s">
        <v>4209</v>
      </c>
      <c r="E4918" s="18">
        <v>-500</v>
      </c>
      <c r="G4918" t="s">
        <v>442</v>
      </c>
      <c r="I4918"/>
      <c r="J4918"/>
      <c r="L4918"/>
      <c r="M4918"/>
      <c r="O4918"/>
      <c r="P4918" s="20"/>
      <c r="Q4918" s="20"/>
      <c r="R4918" s="20"/>
      <c r="S4918" s="20"/>
      <c r="T4918" s="20"/>
      <c r="U4918" t="s">
        <v>401</v>
      </c>
    </row>
    <row r="4919" spans="1:21" x14ac:dyDescent="0.25">
      <c r="B4919">
        <v>472</v>
      </c>
      <c r="C4919" t="s">
        <v>4211</v>
      </c>
      <c r="E4919" s="18">
        <v>-500</v>
      </c>
      <c r="G4919" t="s">
        <v>442</v>
      </c>
      <c r="I4919"/>
      <c r="J4919"/>
      <c r="L4919"/>
      <c r="M4919"/>
      <c r="O4919"/>
      <c r="P4919" s="20"/>
      <c r="Q4919" s="20"/>
      <c r="R4919" s="20"/>
      <c r="S4919" s="20"/>
      <c r="T4919" s="20"/>
      <c r="U4919" t="s">
        <v>401</v>
      </c>
    </row>
    <row r="4920" spans="1:21" x14ac:dyDescent="0.25">
      <c r="B4920">
        <v>472</v>
      </c>
      <c r="C4920" t="s">
        <v>4213</v>
      </c>
      <c r="E4920" s="18">
        <v>-500</v>
      </c>
      <c r="G4920" t="s">
        <v>442</v>
      </c>
      <c r="I4920"/>
      <c r="J4920"/>
      <c r="L4920"/>
      <c r="M4920"/>
      <c r="O4920"/>
      <c r="P4920" s="20"/>
      <c r="Q4920" s="20"/>
      <c r="R4920" s="20"/>
      <c r="S4920" s="20"/>
      <c r="T4920" s="20"/>
      <c r="U4920" t="s">
        <v>401</v>
      </c>
    </row>
    <row r="4921" spans="1:21" x14ac:dyDescent="0.25">
      <c r="B4921">
        <v>472</v>
      </c>
      <c r="C4921" t="s">
        <v>4215</v>
      </c>
      <c r="E4921" s="18">
        <v>-500</v>
      </c>
      <c r="G4921" t="s">
        <v>442</v>
      </c>
      <c r="I4921"/>
      <c r="J4921"/>
      <c r="L4921"/>
      <c r="M4921"/>
      <c r="O4921"/>
      <c r="P4921" s="20"/>
      <c r="Q4921" s="20"/>
      <c r="R4921" s="20"/>
      <c r="S4921" s="20"/>
      <c r="T4921" s="20"/>
      <c r="U4921" t="s">
        <v>401</v>
      </c>
    </row>
    <row r="4922" spans="1:21" x14ac:dyDescent="0.25">
      <c r="B4922">
        <v>472</v>
      </c>
      <c r="C4922" t="s">
        <v>5198</v>
      </c>
      <c r="D4922">
        <v>6.12</v>
      </c>
      <c r="E4922" s="18">
        <v>-612</v>
      </c>
      <c r="F4922" t="s">
        <v>889</v>
      </c>
      <c r="G4922" t="s">
        <v>5199</v>
      </c>
      <c r="I4922"/>
      <c r="J4922"/>
      <c r="L4922"/>
      <c r="M4922"/>
      <c r="O4922"/>
      <c r="P4922" s="20"/>
      <c r="Q4922" s="20"/>
      <c r="R4922" s="20"/>
      <c r="S4922" s="20"/>
      <c r="T4922" s="20"/>
      <c r="U4922" t="s">
        <v>401</v>
      </c>
    </row>
    <row r="4923" spans="1:21" x14ac:dyDescent="0.25">
      <c r="B4923">
        <v>472</v>
      </c>
      <c r="C4923" t="s">
        <v>5202</v>
      </c>
      <c r="D4923">
        <v>4.335</v>
      </c>
      <c r="E4923" s="18">
        <v>867</v>
      </c>
      <c r="F4923" t="s">
        <v>889</v>
      </c>
      <c r="G4923" t="s">
        <v>5203</v>
      </c>
      <c r="I4923"/>
      <c r="J4923"/>
      <c r="L4923"/>
      <c r="M4923"/>
      <c r="O4923"/>
      <c r="P4923" s="20"/>
      <c r="Q4923" s="20"/>
      <c r="R4923" s="20"/>
      <c r="S4923" s="20"/>
      <c r="T4923" s="20"/>
      <c r="U4923" t="s">
        <v>401</v>
      </c>
    </row>
    <row r="4924" spans="1:21" x14ac:dyDescent="0.25">
      <c r="B4924">
        <v>472</v>
      </c>
      <c r="C4924" t="s">
        <v>5200</v>
      </c>
      <c r="D4924">
        <v>4.8449999999999998</v>
      </c>
      <c r="E4924" s="18">
        <v>161.5</v>
      </c>
      <c r="F4924" t="s">
        <v>889</v>
      </c>
      <c r="G4924" t="s">
        <v>5201</v>
      </c>
      <c r="I4924"/>
      <c r="J4924"/>
      <c r="L4924"/>
      <c r="M4924"/>
      <c r="O4924"/>
      <c r="P4924" s="20"/>
      <c r="Q4924" s="20"/>
      <c r="R4924" s="20"/>
      <c r="S4924" s="20"/>
      <c r="T4924" s="20"/>
      <c r="U4924" t="s">
        <v>401</v>
      </c>
    </row>
    <row r="4925" spans="1:21" x14ac:dyDescent="0.25">
      <c r="B4925">
        <v>472</v>
      </c>
      <c r="C4925" t="s">
        <v>5200</v>
      </c>
      <c r="D4925">
        <v>4.8449999999999998</v>
      </c>
      <c r="E4925" s="18">
        <v>161.5</v>
      </c>
      <c r="F4925" t="s">
        <v>889</v>
      </c>
      <c r="G4925" t="s">
        <v>5201</v>
      </c>
      <c r="I4925"/>
      <c r="J4925"/>
      <c r="L4925"/>
      <c r="M4925"/>
      <c r="O4925"/>
      <c r="P4925" s="20"/>
      <c r="Q4925" s="20"/>
      <c r="R4925" s="20"/>
      <c r="S4925" s="20"/>
      <c r="T4925" s="20"/>
      <c r="U4925" t="s">
        <v>401</v>
      </c>
    </row>
    <row r="4926" spans="1:21" x14ac:dyDescent="0.25">
      <c r="A4926" s="3">
        <v>41894</v>
      </c>
      <c r="B4926" s="36">
        <v>473</v>
      </c>
      <c r="C4926" t="s">
        <v>5204</v>
      </c>
      <c r="D4926">
        <v>16.5</v>
      </c>
      <c r="E4926" s="18">
        <v>1650</v>
      </c>
      <c r="F4926" t="s">
        <v>889</v>
      </c>
      <c r="G4926" t="s">
        <v>5205</v>
      </c>
      <c r="H4926" s="18">
        <v>1650</v>
      </c>
      <c r="I4926" s="3">
        <v>41894</v>
      </c>
      <c r="J4926"/>
      <c r="L4926"/>
      <c r="M4926"/>
      <c r="N4926" s="20"/>
      <c r="O4926"/>
      <c r="P4926" s="20"/>
      <c r="Q4926" s="20"/>
      <c r="R4926" s="20"/>
      <c r="S4926" s="20"/>
      <c r="T4926" s="20"/>
    </row>
    <row r="4927" spans="1:21" x14ac:dyDescent="0.25">
      <c r="B4927">
        <v>473</v>
      </c>
      <c r="C4927" t="s">
        <v>5204</v>
      </c>
      <c r="D4927">
        <v>16.5</v>
      </c>
      <c r="E4927" s="18">
        <v>-1650</v>
      </c>
      <c r="F4927" t="s">
        <v>889</v>
      </c>
      <c r="G4927" t="s">
        <v>5205</v>
      </c>
      <c r="I4927"/>
      <c r="J4927"/>
      <c r="L4927"/>
      <c r="M4927"/>
      <c r="O4927"/>
      <c r="P4927" s="20"/>
      <c r="Q4927" s="20"/>
      <c r="R4927" s="20"/>
      <c r="S4927" s="20"/>
      <c r="T4927" s="20"/>
      <c r="U4927" t="s">
        <v>401</v>
      </c>
    </row>
    <row r="4928" spans="1:21" x14ac:dyDescent="0.25">
      <c r="B4928">
        <v>473</v>
      </c>
      <c r="C4928" t="s">
        <v>5206</v>
      </c>
      <c r="D4928">
        <v>11.5</v>
      </c>
      <c r="E4928" s="18">
        <v>-1150</v>
      </c>
      <c r="F4928" t="s">
        <v>889</v>
      </c>
      <c r="G4928" t="s">
        <v>5207</v>
      </c>
      <c r="I4928"/>
      <c r="J4928"/>
      <c r="L4928"/>
      <c r="M4928"/>
      <c r="O4928"/>
      <c r="P4928" s="20"/>
      <c r="Q4928" s="20"/>
      <c r="R4928" s="20"/>
      <c r="S4928" s="20"/>
      <c r="T4928" s="20"/>
      <c r="U4928" t="s">
        <v>401</v>
      </c>
    </row>
    <row r="4929" spans="1:21" x14ac:dyDescent="0.25">
      <c r="B4929">
        <v>473</v>
      </c>
      <c r="C4929" t="s">
        <v>5208</v>
      </c>
      <c r="D4929">
        <v>12.75</v>
      </c>
      <c r="E4929" s="18">
        <v>1150</v>
      </c>
      <c r="F4929" t="s">
        <v>889</v>
      </c>
      <c r="G4929" t="s">
        <v>5207</v>
      </c>
      <c r="I4929"/>
      <c r="J4929"/>
      <c r="L4929"/>
      <c r="M4929"/>
      <c r="O4929"/>
      <c r="P4929" s="20"/>
      <c r="Q4929" s="20"/>
      <c r="R4929" s="20"/>
      <c r="S4929" s="20"/>
      <c r="T4929" s="20"/>
      <c r="U4929" t="s">
        <v>401</v>
      </c>
    </row>
    <row r="4930" spans="1:21" x14ac:dyDescent="0.25">
      <c r="B4930">
        <v>473</v>
      </c>
      <c r="C4930" t="s">
        <v>960</v>
      </c>
      <c r="E4930" s="18">
        <v>93.75</v>
      </c>
      <c r="G4930" t="s">
        <v>442</v>
      </c>
      <c r="I4930"/>
      <c r="J4930"/>
      <c r="L4930"/>
      <c r="M4930"/>
      <c r="O4930"/>
      <c r="P4930" s="20"/>
      <c r="Q4930" s="20"/>
      <c r="R4930" s="20"/>
      <c r="S4930" s="20"/>
      <c r="T4930" s="20"/>
      <c r="U4930" t="s">
        <v>401</v>
      </c>
    </row>
    <row r="4931" spans="1:21" x14ac:dyDescent="0.25">
      <c r="A4931" s="3">
        <v>41926</v>
      </c>
      <c r="B4931" s="36">
        <v>474</v>
      </c>
      <c r="C4931" t="s">
        <v>5209</v>
      </c>
      <c r="D4931">
        <v>11.75</v>
      </c>
      <c r="E4931" s="18">
        <v>1175</v>
      </c>
      <c r="F4931" t="s">
        <v>889</v>
      </c>
      <c r="G4931" t="s">
        <v>5210</v>
      </c>
      <c r="H4931" s="18">
        <v>1175</v>
      </c>
      <c r="I4931" s="3">
        <v>41926</v>
      </c>
      <c r="J4931"/>
      <c r="L4931"/>
      <c r="M4931"/>
      <c r="N4931" s="20"/>
      <c r="O4931"/>
      <c r="P4931" s="20"/>
      <c r="Q4931" s="20"/>
      <c r="R4931" s="20"/>
      <c r="S4931" s="20"/>
      <c r="T4931" s="20"/>
    </row>
    <row r="4932" spans="1:21" x14ac:dyDescent="0.25">
      <c r="A4932" s="3">
        <v>41929</v>
      </c>
      <c r="B4932" s="36">
        <v>474</v>
      </c>
      <c r="C4932" t="s">
        <v>5211</v>
      </c>
      <c r="E4932" s="18">
        <v>473.2</v>
      </c>
      <c r="F4932" t="s">
        <v>891</v>
      </c>
      <c r="H4932" s="18" t="s">
        <v>442</v>
      </c>
      <c r="I4932" s="3" t="s">
        <v>442</v>
      </c>
      <c r="J4932"/>
      <c r="L4932"/>
      <c r="M4932"/>
      <c r="N4932" s="20"/>
      <c r="O4932"/>
      <c r="P4932" s="20" t="s">
        <v>401</v>
      </c>
      <c r="Q4932" s="20"/>
      <c r="R4932" s="20"/>
      <c r="S4932" s="20"/>
      <c r="T4932" s="20"/>
    </row>
    <row r="4933" spans="1:21" x14ac:dyDescent="0.25">
      <c r="A4933" s="3">
        <v>41943</v>
      </c>
      <c r="B4933" s="36">
        <v>474</v>
      </c>
      <c r="C4933" t="s">
        <v>3490</v>
      </c>
      <c r="E4933" s="18">
        <v>300</v>
      </c>
      <c r="F4933" t="s">
        <v>889</v>
      </c>
      <c r="G4933" t="s">
        <v>442</v>
      </c>
      <c r="H4933" s="18" t="s">
        <v>442</v>
      </c>
      <c r="I4933" s="3" t="s">
        <v>442</v>
      </c>
      <c r="J4933"/>
      <c r="L4933"/>
      <c r="M4933"/>
      <c r="N4933" s="20"/>
      <c r="O4933"/>
      <c r="P4933" s="20"/>
      <c r="Q4933" s="20"/>
      <c r="R4933" s="20"/>
      <c r="S4933" s="20"/>
      <c r="T4933" s="20" t="s">
        <v>401</v>
      </c>
    </row>
    <row r="4934" spans="1:21" x14ac:dyDescent="0.25">
      <c r="A4934" s="3">
        <v>41943</v>
      </c>
      <c r="B4934" s="36">
        <v>474</v>
      </c>
      <c r="C4934" t="s">
        <v>5212</v>
      </c>
      <c r="D4934">
        <v>5.8650000000000002</v>
      </c>
      <c r="E4934" s="18">
        <v>586.5</v>
      </c>
      <c r="F4934" t="s">
        <v>889</v>
      </c>
      <c r="G4934" t="s">
        <v>5213</v>
      </c>
      <c r="H4934" s="18">
        <v>586.5</v>
      </c>
      <c r="I4934" s="3">
        <v>41943</v>
      </c>
      <c r="J4934"/>
      <c r="L4934"/>
      <c r="M4934"/>
      <c r="N4934" s="20"/>
      <c r="O4934"/>
      <c r="P4934" s="20"/>
      <c r="Q4934" s="20"/>
      <c r="R4934" s="20"/>
      <c r="S4934" s="20"/>
      <c r="T4934" s="20"/>
    </row>
    <row r="4935" spans="1:21" x14ac:dyDescent="0.25">
      <c r="A4935" s="3">
        <v>41943</v>
      </c>
      <c r="B4935" s="36">
        <v>474</v>
      </c>
      <c r="C4935" t="s">
        <v>5214</v>
      </c>
      <c r="E4935" s="18">
        <v>47.9</v>
      </c>
      <c r="F4935" t="s">
        <v>891</v>
      </c>
      <c r="H4935" s="18" t="s">
        <v>442</v>
      </c>
      <c r="I4935" s="3" t="s">
        <v>442</v>
      </c>
      <c r="J4935"/>
      <c r="L4935"/>
      <c r="M4935"/>
      <c r="N4935" s="20"/>
      <c r="O4935"/>
      <c r="P4935" s="20" t="s">
        <v>401</v>
      </c>
      <c r="Q4935" s="20"/>
      <c r="R4935" s="20"/>
      <c r="S4935" s="20"/>
      <c r="T4935" s="20"/>
    </row>
    <row r="4936" spans="1:21" x14ac:dyDescent="0.25">
      <c r="A4936" s="3">
        <v>41957</v>
      </c>
      <c r="B4936" s="36">
        <v>474</v>
      </c>
      <c r="C4936" t="s">
        <v>5215</v>
      </c>
      <c r="D4936">
        <v>3.06</v>
      </c>
      <c r="E4936" s="18">
        <v>306</v>
      </c>
      <c r="F4936" t="s">
        <v>889</v>
      </c>
      <c r="G4936" t="s">
        <v>5216</v>
      </c>
      <c r="H4936" s="18">
        <v>306</v>
      </c>
      <c r="I4936" s="3">
        <v>41957</v>
      </c>
      <c r="J4936"/>
      <c r="L4936"/>
      <c r="M4936"/>
      <c r="N4936" s="20"/>
      <c r="O4936"/>
      <c r="P4936" s="20"/>
      <c r="Q4936" s="20"/>
      <c r="R4936" s="20"/>
      <c r="S4936" s="20"/>
      <c r="T4936" s="20"/>
    </row>
    <row r="4937" spans="1:21" x14ac:dyDescent="0.25">
      <c r="B4937">
        <v>474</v>
      </c>
      <c r="C4937" t="s">
        <v>5212</v>
      </c>
      <c r="D4937">
        <v>5.8650000000000002</v>
      </c>
      <c r="E4937" s="18">
        <v>-586.5</v>
      </c>
      <c r="F4937" t="s">
        <v>889</v>
      </c>
      <c r="G4937" t="s">
        <v>5213</v>
      </c>
      <c r="I4937"/>
      <c r="J4937"/>
      <c r="L4937"/>
      <c r="M4937"/>
      <c r="O4937"/>
      <c r="P4937" s="20"/>
      <c r="Q4937" s="20"/>
      <c r="R4937" s="20"/>
      <c r="S4937" s="20"/>
      <c r="T4937" s="20"/>
      <c r="U4937" t="s">
        <v>401</v>
      </c>
    </row>
    <row r="4938" spans="1:21" x14ac:dyDescent="0.25">
      <c r="A4938" s="3">
        <v>41943</v>
      </c>
      <c r="B4938" s="36">
        <v>475</v>
      </c>
      <c r="C4938" t="s">
        <v>5217</v>
      </c>
      <c r="D4938">
        <v>9.25</v>
      </c>
      <c r="E4938" s="18">
        <v>925</v>
      </c>
      <c r="F4938" t="s">
        <v>889</v>
      </c>
      <c r="G4938" t="s">
        <v>5218</v>
      </c>
      <c r="H4938" s="18">
        <v>925</v>
      </c>
      <c r="I4938" s="3">
        <v>41943</v>
      </c>
      <c r="J4938"/>
      <c r="L4938"/>
      <c r="M4938"/>
      <c r="N4938" s="20"/>
      <c r="O4938"/>
      <c r="P4938" s="20"/>
      <c r="Q4938" s="20"/>
      <c r="R4938" s="20"/>
      <c r="S4938" s="20"/>
      <c r="T4938" s="20"/>
    </row>
    <row r="4939" spans="1:21" x14ac:dyDescent="0.25">
      <c r="A4939" s="3">
        <v>41978</v>
      </c>
      <c r="B4939" s="36">
        <v>475</v>
      </c>
      <c r="C4939" t="s">
        <v>5219</v>
      </c>
      <c r="D4939">
        <v>8</v>
      </c>
      <c r="E4939" s="18">
        <v>800</v>
      </c>
      <c r="F4939" t="s">
        <v>889</v>
      </c>
      <c r="G4939" t="s">
        <v>5220</v>
      </c>
      <c r="H4939" s="18">
        <v>800</v>
      </c>
      <c r="I4939" s="3">
        <v>41978</v>
      </c>
      <c r="J4939"/>
      <c r="L4939"/>
      <c r="M4939"/>
      <c r="N4939" s="20"/>
      <c r="O4939"/>
      <c r="P4939" s="20"/>
      <c r="Q4939" s="20"/>
      <c r="R4939" s="20"/>
      <c r="S4939" s="20"/>
      <c r="T4939" s="20"/>
    </row>
    <row r="4940" spans="1:21" x14ac:dyDescent="0.25">
      <c r="A4940" s="3">
        <v>41978</v>
      </c>
      <c r="B4940" s="36">
        <v>475</v>
      </c>
      <c r="C4940" t="s">
        <v>5221</v>
      </c>
      <c r="D4940">
        <v>9</v>
      </c>
      <c r="E4940" s="18">
        <v>900</v>
      </c>
      <c r="F4940" t="s">
        <v>889</v>
      </c>
      <c r="G4940" t="s">
        <v>5222</v>
      </c>
      <c r="H4940" s="18">
        <v>900</v>
      </c>
      <c r="I4940" s="3">
        <v>41978</v>
      </c>
      <c r="J4940"/>
      <c r="L4940"/>
      <c r="M4940"/>
      <c r="N4940" s="20"/>
      <c r="O4940"/>
      <c r="P4940" s="20"/>
      <c r="Q4940" s="20"/>
      <c r="R4940" s="20"/>
      <c r="S4940" s="20"/>
      <c r="T4940" s="20"/>
    </row>
    <row r="4941" spans="1:21" x14ac:dyDescent="0.25">
      <c r="A4941" s="3">
        <v>41978</v>
      </c>
      <c r="B4941" s="36">
        <v>475</v>
      </c>
      <c r="C4941" t="s">
        <v>5217</v>
      </c>
      <c r="D4941">
        <v>9.25</v>
      </c>
      <c r="E4941" s="18">
        <v>-925</v>
      </c>
      <c r="F4941" t="s">
        <v>889</v>
      </c>
      <c r="G4941" t="s">
        <v>5218</v>
      </c>
      <c r="H4941" s="18" t="s">
        <v>442</v>
      </c>
      <c r="I4941" s="3" t="s">
        <v>442</v>
      </c>
      <c r="J4941"/>
      <c r="L4941"/>
      <c r="M4941"/>
      <c r="N4941" s="20"/>
      <c r="O4941"/>
      <c r="P4941" s="20"/>
      <c r="Q4941" s="20"/>
      <c r="R4941" s="20"/>
      <c r="S4941" s="20"/>
      <c r="T4941" s="20"/>
    </row>
    <row r="4942" spans="1:21" x14ac:dyDescent="0.25">
      <c r="A4942" s="3">
        <v>41985</v>
      </c>
      <c r="B4942" s="36">
        <v>475</v>
      </c>
      <c r="C4942" t="s">
        <v>5223</v>
      </c>
      <c r="D4942">
        <v>13.5</v>
      </c>
      <c r="E4942" s="18">
        <v>1350</v>
      </c>
      <c r="F4942" t="s">
        <v>889</v>
      </c>
      <c r="G4942" t="s">
        <v>5224</v>
      </c>
      <c r="H4942" s="18">
        <v>1350</v>
      </c>
      <c r="I4942" s="3">
        <v>41985</v>
      </c>
      <c r="J4942"/>
      <c r="L4942"/>
      <c r="M4942"/>
      <c r="N4942" s="20"/>
      <c r="O4942"/>
      <c r="P4942" s="20"/>
      <c r="Q4942" s="20"/>
      <c r="R4942" s="20"/>
      <c r="S4942" s="20"/>
      <c r="T4942" s="20"/>
    </row>
    <row r="4943" spans="1:21" x14ac:dyDescent="0.25">
      <c r="A4943" s="3">
        <v>41985</v>
      </c>
      <c r="B4943" s="36">
        <v>475</v>
      </c>
      <c r="C4943" t="s">
        <v>5225</v>
      </c>
      <c r="D4943">
        <v>11</v>
      </c>
      <c r="E4943" s="18">
        <v>1100</v>
      </c>
      <c r="F4943" t="s">
        <v>889</v>
      </c>
      <c r="G4943" t="s">
        <v>5226</v>
      </c>
      <c r="H4943" s="18">
        <v>1100</v>
      </c>
      <c r="I4943" s="3">
        <v>41985</v>
      </c>
      <c r="J4943"/>
      <c r="L4943"/>
      <c r="M4943"/>
      <c r="N4943" s="20"/>
      <c r="O4943"/>
      <c r="P4943" s="20"/>
      <c r="Q4943" s="20"/>
      <c r="R4943" s="20"/>
      <c r="S4943" s="20"/>
      <c r="T4943" s="20"/>
    </row>
    <row r="4944" spans="1:21" x14ac:dyDescent="0.25">
      <c r="A4944" s="3">
        <v>41992</v>
      </c>
      <c r="B4944" s="36">
        <v>475</v>
      </c>
      <c r="C4944" t="s">
        <v>756</v>
      </c>
      <c r="D4944">
        <v>7</v>
      </c>
      <c r="E4944" s="18">
        <v>350</v>
      </c>
      <c r="F4944" t="s">
        <v>889</v>
      </c>
      <c r="G4944" t="s">
        <v>757</v>
      </c>
      <c r="H4944" s="18">
        <v>350</v>
      </c>
      <c r="I4944" s="3">
        <v>41992</v>
      </c>
      <c r="J4944"/>
      <c r="L4944"/>
      <c r="M4944"/>
      <c r="N4944" s="20"/>
      <c r="O4944"/>
      <c r="P4944" s="20"/>
      <c r="Q4944" s="20"/>
      <c r="R4944" s="20"/>
      <c r="S4944" s="20"/>
      <c r="T4944" s="20"/>
    </row>
    <row r="4945" spans="1:21" x14ac:dyDescent="0.25">
      <c r="A4945" s="3">
        <v>41992</v>
      </c>
      <c r="B4945" s="36">
        <v>475</v>
      </c>
      <c r="C4945" t="s">
        <v>563</v>
      </c>
      <c r="D4945">
        <v>11.5</v>
      </c>
      <c r="E4945" s="18">
        <v>350</v>
      </c>
      <c r="F4945" t="s">
        <v>889</v>
      </c>
      <c r="G4945" t="s">
        <v>564</v>
      </c>
      <c r="H4945" s="18">
        <v>350</v>
      </c>
      <c r="I4945" s="3">
        <v>41992</v>
      </c>
      <c r="J4945"/>
      <c r="L4945"/>
      <c r="M4945"/>
      <c r="N4945" s="20"/>
      <c r="O4945"/>
      <c r="P4945" s="20"/>
      <c r="Q4945" s="20"/>
      <c r="R4945" s="20"/>
      <c r="S4945" s="20"/>
      <c r="T4945" s="20"/>
    </row>
    <row r="4946" spans="1:21" x14ac:dyDescent="0.25">
      <c r="A4946" s="3">
        <v>41992</v>
      </c>
      <c r="B4946" s="36">
        <v>475</v>
      </c>
      <c r="C4946" t="s">
        <v>772</v>
      </c>
      <c r="D4946">
        <v>7.25</v>
      </c>
      <c r="E4946" s="18">
        <v>350</v>
      </c>
      <c r="F4946" t="s">
        <v>889</v>
      </c>
      <c r="G4946" t="s">
        <v>773</v>
      </c>
      <c r="H4946" s="18">
        <v>350</v>
      </c>
      <c r="I4946" s="3">
        <v>41992</v>
      </c>
      <c r="J4946"/>
      <c r="L4946"/>
      <c r="M4946"/>
      <c r="N4946" s="20"/>
      <c r="O4946"/>
      <c r="P4946" s="20"/>
      <c r="Q4946" s="20"/>
      <c r="R4946" s="20"/>
      <c r="S4946" s="20"/>
      <c r="T4946" s="20"/>
    </row>
    <row r="4947" spans="1:21" x14ac:dyDescent="0.25">
      <c r="A4947" s="3">
        <v>41992</v>
      </c>
      <c r="B4947" s="36">
        <v>475</v>
      </c>
      <c r="C4947" t="s">
        <v>750</v>
      </c>
      <c r="D4947">
        <v>4</v>
      </c>
      <c r="E4947" s="18">
        <v>350</v>
      </c>
      <c r="F4947" t="s">
        <v>889</v>
      </c>
      <c r="G4947" t="s">
        <v>751</v>
      </c>
      <c r="H4947" s="18">
        <v>350</v>
      </c>
      <c r="I4947" s="3">
        <v>41992</v>
      </c>
      <c r="J4947"/>
      <c r="L4947"/>
      <c r="M4947"/>
      <c r="N4947" s="20"/>
      <c r="O4947"/>
      <c r="P4947" s="20"/>
      <c r="Q4947" s="20"/>
      <c r="R4947" s="20"/>
      <c r="S4947" s="20"/>
      <c r="T4947" s="20"/>
    </row>
    <row r="4948" spans="1:21" x14ac:dyDescent="0.25">
      <c r="A4948" s="3">
        <v>42013</v>
      </c>
      <c r="B4948" s="36">
        <v>475</v>
      </c>
      <c r="C4948" t="s">
        <v>756</v>
      </c>
      <c r="D4948">
        <v>7</v>
      </c>
      <c r="E4948" s="18">
        <v>350</v>
      </c>
      <c r="F4948" t="s">
        <v>889</v>
      </c>
      <c r="G4948" t="s">
        <v>757</v>
      </c>
      <c r="H4948" s="18">
        <v>350</v>
      </c>
      <c r="I4948" s="3">
        <v>42013</v>
      </c>
      <c r="J4948"/>
      <c r="L4948"/>
      <c r="M4948"/>
      <c r="N4948" s="20"/>
      <c r="O4948"/>
      <c r="P4948" s="20"/>
      <c r="Q4948" s="20"/>
      <c r="R4948" s="20"/>
      <c r="S4948" s="20"/>
      <c r="T4948" s="20"/>
    </row>
    <row r="4949" spans="1:21" x14ac:dyDescent="0.25">
      <c r="A4949" s="3">
        <v>42013</v>
      </c>
      <c r="B4949" s="36">
        <v>475</v>
      </c>
      <c r="C4949" t="s">
        <v>720</v>
      </c>
      <c r="D4949">
        <v>12.25</v>
      </c>
      <c r="E4949" s="18">
        <v>862.5</v>
      </c>
      <c r="F4949" t="s">
        <v>889</v>
      </c>
      <c r="G4949" t="s">
        <v>721</v>
      </c>
      <c r="H4949" s="18">
        <v>862.5</v>
      </c>
      <c r="I4949" s="3">
        <v>42013</v>
      </c>
      <c r="J4949"/>
      <c r="L4949"/>
      <c r="M4949"/>
      <c r="N4949" s="20"/>
      <c r="O4949"/>
      <c r="P4949" s="20"/>
      <c r="Q4949" s="20"/>
      <c r="R4949" s="20"/>
      <c r="S4949" s="20"/>
      <c r="T4949" s="20"/>
    </row>
    <row r="4950" spans="1:21" x14ac:dyDescent="0.25">
      <c r="A4950" s="3">
        <v>42013</v>
      </c>
      <c r="B4950" s="36">
        <v>475</v>
      </c>
      <c r="C4950" t="s">
        <v>750</v>
      </c>
      <c r="D4950">
        <v>4</v>
      </c>
      <c r="E4950" s="18">
        <v>200</v>
      </c>
      <c r="F4950" t="s">
        <v>889</v>
      </c>
      <c r="G4950" t="s">
        <v>751</v>
      </c>
      <c r="H4950" s="18">
        <v>200</v>
      </c>
      <c r="I4950" s="3">
        <v>42013</v>
      </c>
      <c r="J4950"/>
      <c r="L4950"/>
      <c r="M4950"/>
      <c r="N4950" s="20"/>
      <c r="O4950"/>
      <c r="P4950" s="20"/>
      <c r="Q4950" s="20"/>
      <c r="R4950" s="20"/>
      <c r="S4950" s="20"/>
      <c r="T4950" s="20"/>
    </row>
    <row r="4951" spans="1:21" x14ac:dyDescent="0.25">
      <c r="A4951" s="3">
        <v>42041</v>
      </c>
      <c r="B4951">
        <v>475</v>
      </c>
      <c r="C4951" t="s">
        <v>563</v>
      </c>
      <c r="D4951">
        <v>11.5</v>
      </c>
      <c r="E4951" s="18">
        <v>575</v>
      </c>
      <c r="F4951" t="s">
        <v>889</v>
      </c>
      <c r="G4951" t="s">
        <v>564</v>
      </c>
      <c r="I4951"/>
      <c r="J4951"/>
      <c r="L4951"/>
      <c r="M4951"/>
      <c r="O4951"/>
      <c r="P4951" s="20"/>
      <c r="Q4951" s="20"/>
      <c r="R4951" s="20"/>
      <c r="S4951" s="20"/>
      <c r="T4951" s="20"/>
    </row>
    <row r="4952" spans="1:21" x14ac:dyDescent="0.25">
      <c r="B4952">
        <v>475</v>
      </c>
      <c r="C4952" t="s">
        <v>5219</v>
      </c>
      <c r="D4952">
        <v>8</v>
      </c>
      <c r="E4952" s="18">
        <v>-800</v>
      </c>
      <c r="F4952" t="s">
        <v>889</v>
      </c>
      <c r="G4952" t="s">
        <v>5220</v>
      </c>
      <c r="I4952"/>
      <c r="J4952"/>
      <c r="L4952"/>
      <c r="M4952"/>
      <c r="O4952"/>
      <c r="P4952" s="20"/>
      <c r="Q4952" s="20"/>
      <c r="R4952" s="20"/>
      <c r="S4952" s="20"/>
      <c r="T4952" s="20"/>
      <c r="U4952" t="s">
        <v>401</v>
      </c>
    </row>
    <row r="4953" spans="1:21" x14ac:dyDescent="0.25">
      <c r="B4953">
        <v>475</v>
      </c>
      <c r="C4953" t="s">
        <v>5221</v>
      </c>
      <c r="D4953">
        <v>9</v>
      </c>
      <c r="E4953" s="18">
        <v>-900</v>
      </c>
      <c r="F4953" t="s">
        <v>889</v>
      </c>
      <c r="G4953" t="s">
        <v>5222</v>
      </c>
      <c r="I4953"/>
      <c r="J4953"/>
      <c r="L4953"/>
      <c r="M4953"/>
      <c r="O4953"/>
      <c r="P4953" s="20"/>
      <c r="Q4953" s="20"/>
      <c r="R4953" s="20"/>
      <c r="S4953" s="20"/>
      <c r="T4953" s="20"/>
      <c r="U4953" t="s">
        <v>401</v>
      </c>
    </row>
    <row r="4954" spans="1:21" x14ac:dyDescent="0.25">
      <c r="A4954" s="3">
        <v>41907</v>
      </c>
      <c r="B4954" s="36">
        <v>477</v>
      </c>
      <c r="C4954" t="s">
        <v>4973</v>
      </c>
      <c r="E4954" s="18">
        <v>1500</v>
      </c>
      <c r="G4954" t="s">
        <v>442</v>
      </c>
      <c r="H4954" s="18" t="s">
        <v>442</v>
      </c>
      <c r="I4954" s="3" t="s">
        <v>442</v>
      </c>
      <c r="J4954"/>
      <c r="L4954"/>
      <c r="M4954"/>
      <c r="N4954" s="20"/>
      <c r="O4954"/>
      <c r="P4954" s="20"/>
      <c r="Q4954" s="20"/>
      <c r="R4954" s="20"/>
      <c r="S4954" s="20"/>
      <c r="T4954" s="20" t="s">
        <v>401</v>
      </c>
    </row>
    <row r="4955" spans="1:21" x14ac:dyDescent="0.25">
      <c r="A4955" s="3">
        <v>41943</v>
      </c>
      <c r="B4955" s="36">
        <v>477</v>
      </c>
      <c r="C4955" t="s">
        <v>5227</v>
      </c>
      <c r="E4955" s="18">
        <v>2000</v>
      </c>
      <c r="F4955" t="s">
        <v>889</v>
      </c>
      <c r="G4955" t="s">
        <v>442</v>
      </c>
      <c r="H4955" s="18" t="s">
        <v>442</v>
      </c>
      <c r="I4955" s="3" t="s">
        <v>442</v>
      </c>
      <c r="J4955"/>
      <c r="L4955"/>
      <c r="M4955"/>
      <c r="N4955" s="20"/>
      <c r="O4955"/>
      <c r="P4955" s="20"/>
      <c r="Q4955" s="20"/>
      <c r="R4955" s="20"/>
      <c r="S4955" s="20"/>
      <c r="T4955" s="20" t="s">
        <v>401</v>
      </c>
    </row>
    <row r="4956" spans="1:21" x14ac:dyDescent="0.25">
      <c r="B4956">
        <v>477</v>
      </c>
      <c r="C4956" t="s">
        <v>5227</v>
      </c>
      <c r="E4956" s="18">
        <v>-2000</v>
      </c>
      <c r="F4956" t="s">
        <v>889</v>
      </c>
      <c r="G4956" t="s">
        <v>442</v>
      </c>
      <c r="I4956"/>
      <c r="J4956"/>
      <c r="L4956"/>
      <c r="M4956"/>
      <c r="O4956"/>
      <c r="P4956" s="20"/>
      <c r="Q4956" s="20"/>
      <c r="R4956" s="20"/>
      <c r="S4956" s="20"/>
      <c r="T4956" s="20"/>
      <c r="U4956" t="s">
        <v>401</v>
      </c>
    </row>
    <row r="4957" spans="1:21" x14ac:dyDescent="0.25">
      <c r="B4957">
        <v>477</v>
      </c>
      <c r="C4957" t="s">
        <v>4973</v>
      </c>
      <c r="E4957" s="18">
        <v>-1500</v>
      </c>
      <c r="G4957" t="s">
        <v>442</v>
      </c>
      <c r="I4957"/>
      <c r="J4957"/>
      <c r="L4957"/>
      <c r="M4957"/>
      <c r="O4957"/>
      <c r="P4957" s="20"/>
      <c r="Q4957" s="20"/>
      <c r="R4957" s="20"/>
      <c r="S4957" s="20"/>
      <c r="T4957" s="20"/>
      <c r="U4957" t="s">
        <v>401</v>
      </c>
    </row>
    <row r="4958" spans="1:21" x14ac:dyDescent="0.25">
      <c r="A4958" s="3">
        <v>41873</v>
      </c>
      <c r="B4958" s="36">
        <v>480</v>
      </c>
      <c r="C4958" t="s">
        <v>5228</v>
      </c>
      <c r="E4958" s="18">
        <v>1500</v>
      </c>
      <c r="F4958" t="s">
        <v>889</v>
      </c>
      <c r="G4958" t="s">
        <v>442</v>
      </c>
      <c r="H4958" s="18" t="s">
        <v>442</v>
      </c>
      <c r="I4958" s="3" t="s">
        <v>442</v>
      </c>
      <c r="J4958"/>
      <c r="L4958"/>
      <c r="M4958"/>
      <c r="N4958" s="20"/>
      <c r="O4958"/>
      <c r="P4958" s="20"/>
      <c r="Q4958" s="20"/>
      <c r="R4958" s="20"/>
      <c r="S4958" s="20"/>
      <c r="T4958" s="20" t="s">
        <v>401</v>
      </c>
    </row>
    <row r="4959" spans="1:21" x14ac:dyDescent="0.25">
      <c r="A4959" s="3">
        <v>41891</v>
      </c>
      <c r="B4959" s="36">
        <v>480</v>
      </c>
      <c r="C4959" t="s">
        <v>5229</v>
      </c>
      <c r="E4959" s="18">
        <v>2000</v>
      </c>
      <c r="G4959" t="s">
        <v>442</v>
      </c>
      <c r="H4959" s="18" t="s">
        <v>442</v>
      </c>
      <c r="I4959" s="3" t="s">
        <v>442</v>
      </c>
      <c r="J4959"/>
      <c r="L4959"/>
      <c r="M4959"/>
      <c r="N4959" s="20"/>
      <c r="O4959"/>
      <c r="P4959" s="20"/>
      <c r="Q4959" s="20"/>
      <c r="R4959" s="20"/>
      <c r="S4959" s="20"/>
      <c r="T4959" s="20" t="s">
        <v>401</v>
      </c>
    </row>
    <row r="4960" spans="1:21" x14ac:dyDescent="0.25">
      <c r="B4960">
        <v>480</v>
      </c>
      <c r="C4960" t="s">
        <v>5228</v>
      </c>
      <c r="E4960" s="18">
        <v>-1500</v>
      </c>
      <c r="F4960" t="s">
        <v>889</v>
      </c>
      <c r="G4960" t="s">
        <v>442</v>
      </c>
      <c r="I4960"/>
      <c r="J4960"/>
      <c r="L4960"/>
      <c r="M4960"/>
      <c r="O4960"/>
      <c r="P4960" s="20"/>
      <c r="Q4960" s="20"/>
      <c r="R4960" s="20"/>
      <c r="S4960" s="20"/>
      <c r="T4960" s="20"/>
      <c r="U4960" t="s">
        <v>401</v>
      </c>
    </row>
    <row r="4961" spans="2:21" x14ac:dyDescent="0.25">
      <c r="B4961">
        <v>480</v>
      </c>
      <c r="C4961" t="s">
        <v>5229</v>
      </c>
      <c r="E4961" s="18">
        <v>-2000</v>
      </c>
      <c r="F4961" t="s">
        <v>889</v>
      </c>
      <c r="G4961" t="s">
        <v>442</v>
      </c>
      <c r="I4961"/>
      <c r="J4961"/>
      <c r="L4961"/>
      <c r="M4961"/>
      <c r="O4961"/>
      <c r="P4961" s="20"/>
      <c r="Q4961" s="20"/>
      <c r="R4961" s="20"/>
      <c r="S4961" s="20"/>
      <c r="T4961" s="20"/>
      <c r="U4961" t="s">
        <v>401</v>
      </c>
    </row>
    <row r="4962" spans="2:21" x14ac:dyDescent="0.25">
      <c r="B4962">
        <v>480</v>
      </c>
      <c r="C4962" t="s">
        <v>4690</v>
      </c>
      <c r="E4962" s="18">
        <v>-992.52110219999997</v>
      </c>
      <c r="F4962" t="s">
        <v>889</v>
      </c>
      <c r="G4962" t="s">
        <v>442</v>
      </c>
      <c r="I4962"/>
      <c r="J4962"/>
      <c r="L4962"/>
      <c r="M4962"/>
      <c r="O4962"/>
      <c r="P4962" s="20"/>
      <c r="Q4962" s="20"/>
      <c r="R4962" s="20"/>
      <c r="S4962" s="20"/>
      <c r="T4962" s="20"/>
      <c r="U4962" t="s">
        <v>401</v>
      </c>
    </row>
    <row r="4963" spans="2:21" x14ac:dyDescent="0.25">
      <c r="B4963">
        <v>480</v>
      </c>
      <c r="C4963" t="s">
        <v>1509</v>
      </c>
      <c r="E4963" s="18">
        <v>-290.22686019999998</v>
      </c>
      <c r="F4963" t="s">
        <v>891</v>
      </c>
      <c r="G4963" t="s">
        <v>442</v>
      </c>
      <c r="I4963"/>
      <c r="J4963"/>
      <c r="L4963"/>
      <c r="M4963"/>
      <c r="O4963"/>
      <c r="P4963" s="20"/>
      <c r="Q4963" s="20"/>
      <c r="R4963" s="20"/>
      <c r="S4963" s="20"/>
      <c r="T4963" s="20"/>
      <c r="U4963" t="s">
        <v>401</v>
      </c>
    </row>
    <row r="4964" spans="2:21" x14ac:dyDescent="0.25">
      <c r="B4964">
        <v>480</v>
      </c>
      <c r="C4964" t="s">
        <v>3076</v>
      </c>
      <c r="E4964" s="18">
        <v>-293</v>
      </c>
      <c r="G4964" t="s">
        <v>442</v>
      </c>
      <c r="I4964"/>
      <c r="J4964"/>
      <c r="L4964"/>
      <c r="M4964"/>
      <c r="O4964"/>
      <c r="P4964" s="20"/>
      <c r="Q4964" s="20"/>
      <c r="R4964" s="20"/>
      <c r="S4964" s="20"/>
      <c r="T4964" s="20"/>
      <c r="U4964" t="s">
        <v>401</v>
      </c>
    </row>
    <row r="4965" spans="2:21" x14ac:dyDescent="0.25">
      <c r="B4965">
        <v>480</v>
      </c>
      <c r="C4965" t="s">
        <v>4691</v>
      </c>
      <c r="E4965" s="18">
        <v>-247.4</v>
      </c>
      <c r="I4965"/>
      <c r="J4965"/>
      <c r="L4965"/>
      <c r="M4965"/>
      <c r="O4965"/>
      <c r="P4965" s="20"/>
      <c r="Q4965" s="20"/>
      <c r="R4965" s="20"/>
      <c r="S4965" s="20"/>
      <c r="T4965" s="20"/>
      <c r="U4965" t="s">
        <v>401</v>
      </c>
    </row>
    <row r="4966" spans="2:21" x14ac:dyDescent="0.25">
      <c r="B4966">
        <v>480</v>
      </c>
      <c r="C4966" t="s">
        <v>2573</v>
      </c>
      <c r="E4966" s="18">
        <v>-293</v>
      </c>
      <c r="F4966" t="s">
        <v>891</v>
      </c>
      <c r="G4966" t="s">
        <v>442</v>
      </c>
      <c r="I4966"/>
      <c r="J4966"/>
      <c r="L4966"/>
      <c r="M4966"/>
      <c r="O4966"/>
      <c r="P4966" s="20"/>
      <c r="Q4966" s="20"/>
      <c r="R4966" s="20"/>
      <c r="S4966" s="20"/>
      <c r="T4966" s="20"/>
      <c r="U4966" t="s">
        <v>401</v>
      </c>
    </row>
    <row r="4967" spans="2:21" x14ac:dyDescent="0.25">
      <c r="B4967">
        <v>480</v>
      </c>
      <c r="C4967" t="s">
        <v>1299</v>
      </c>
      <c r="E4967" s="18">
        <v>-293</v>
      </c>
      <c r="F4967" t="s">
        <v>891</v>
      </c>
      <c r="G4967" t="s">
        <v>442</v>
      </c>
      <c r="I4967"/>
      <c r="J4967"/>
      <c r="L4967"/>
      <c r="M4967"/>
      <c r="O4967"/>
      <c r="P4967" s="20"/>
      <c r="Q4967" s="20"/>
      <c r="R4967" s="20"/>
      <c r="S4967" s="20"/>
      <c r="T4967" s="20"/>
      <c r="U4967" t="s">
        <v>401</v>
      </c>
    </row>
    <row r="4968" spans="2:21" x14ac:dyDescent="0.25">
      <c r="B4968">
        <v>480</v>
      </c>
      <c r="C4968" t="s">
        <v>1304</v>
      </c>
      <c r="E4968" s="18">
        <v>-293</v>
      </c>
      <c r="F4968" t="s">
        <v>891</v>
      </c>
      <c r="G4968" t="s">
        <v>442</v>
      </c>
      <c r="I4968"/>
      <c r="J4968"/>
      <c r="L4968"/>
      <c r="M4968"/>
      <c r="O4968"/>
      <c r="P4968" s="20"/>
      <c r="Q4968" s="20"/>
      <c r="R4968" s="20"/>
      <c r="S4968" s="20"/>
      <c r="T4968" s="20"/>
      <c r="U4968" t="s">
        <v>401</v>
      </c>
    </row>
    <row r="4969" spans="2:21" x14ac:dyDescent="0.25">
      <c r="B4969">
        <v>480</v>
      </c>
      <c r="C4969" t="s">
        <v>1312</v>
      </c>
      <c r="E4969" s="18">
        <v>-293</v>
      </c>
      <c r="F4969" t="s">
        <v>891</v>
      </c>
      <c r="G4969" t="s">
        <v>442</v>
      </c>
      <c r="I4969"/>
      <c r="J4969"/>
      <c r="L4969"/>
      <c r="M4969"/>
      <c r="O4969"/>
      <c r="P4969" s="20"/>
      <c r="Q4969" s="20"/>
      <c r="R4969" s="20"/>
      <c r="S4969" s="20"/>
      <c r="T4969" s="20"/>
      <c r="U4969" t="s">
        <v>401</v>
      </c>
    </row>
    <row r="4970" spans="2:21" x14ac:dyDescent="0.25">
      <c r="B4970">
        <v>480</v>
      </c>
      <c r="C4970" t="s">
        <v>1282</v>
      </c>
      <c r="E4970" s="18">
        <v>-293</v>
      </c>
      <c r="F4970" t="s">
        <v>891</v>
      </c>
      <c r="G4970" t="s">
        <v>442</v>
      </c>
      <c r="I4970"/>
      <c r="J4970"/>
      <c r="L4970"/>
      <c r="M4970"/>
      <c r="O4970"/>
      <c r="P4970" s="20"/>
      <c r="Q4970" s="20"/>
      <c r="R4970" s="20"/>
      <c r="S4970" s="20"/>
      <c r="T4970" s="20"/>
      <c r="U4970" t="s">
        <v>401</v>
      </c>
    </row>
    <row r="4971" spans="2:21" x14ac:dyDescent="0.25">
      <c r="B4971">
        <v>480</v>
      </c>
      <c r="C4971" t="s">
        <v>1292</v>
      </c>
      <c r="E4971" s="18">
        <v>-293</v>
      </c>
      <c r="F4971" t="s">
        <v>891</v>
      </c>
      <c r="G4971" t="s">
        <v>442</v>
      </c>
      <c r="I4971"/>
      <c r="J4971"/>
      <c r="L4971"/>
      <c r="M4971"/>
      <c r="O4971"/>
      <c r="P4971" s="20"/>
      <c r="Q4971" s="20"/>
      <c r="R4971" s="20"/>
      <c r="S4971" s="20"/>
      <c r="T4971" s="20"/>
      <c r="U4971" t="s">
        <v>401</v>
      </c>
    </row>
    <row r="4972" spans="2:21" x14ac:dyDescent="0.25">
      <c r="B4972">
        <v>480</v>
      </c>
      <c r="C4972" t="s">
        <v>1300</v>
      </c>
      <c r="E4972" s="18">
        <v>-293</v>
      </c>
      <c r="F4972" t="s">
        <v>891</v>
      </c>
      <c r="G4972" t="s">
        <v>442</v>
      </c>
      <c r="I4972"/>
      <c r="J4972"/>
      <c r="L4972"/>
      <c r="M4972"/>
      <c r="O4972"/>
      <c r="P4972" s="20"/>
      <c r="Q4972" s="20"/>
      <c r="R4972" s="20"/>
      <c r="S4972" s="20"/>
      <c r="T4972" s="20"/>
      <c r="U4972" t="s">
        <v>401</v>
      </c>
    </row>
    <row r="4973" spans="2:21" x14ac:dyDescent="0.25">
      <c r="B4973">
        <v>480</v>
      </c>
      <c r="C4973" t="s">
        <v>1110</v>
      </c>
      <c r="E4973" s="18">
        <v>-297.07183329999998</v>
      </c>
      <c r="F4973" t="s">
        <v>891</v>
      </c>
      <c r="G4973" t="s">
        <v>442</v>
      </c>
      <c r="I4973"/>
      <c r="J4973"/>
      <c r="L4973"/>
      <c r="M4973"/>
      <c r="O4973"/>
      <c r="P4973" s="20"/>
      <c r="Q4973" s="20"/>
      <c r="R4973" s="20"/>
      <c r="S4973" s="20"/>
      <c r="T4973" s="20"/>
      <c r="U4973" t="s">
        <v>401</v>
      </c>
    </row>
    <row r="4974" spans="2:21" x14ac:dyDescent="0.25">
      <c r="B4974">
        <v>480</v>
      </c>
      <c r="C4974" t="s">
        <v>1117</v>
      </c>
      <c r="E4974" s="18">
        <v>-297.07183329999998</v>
      </c>
      <c r="F4974" t="s">
        <v>891</v>
      </c>
      <c r="G4974" t="s">
        <v>442</v>
      </c>
      <c r="I4974"/>
      <c r="J4974"/>
      <c r="L4974"/>
      <c r="M4974"/>
      <c r="O4974"/>
      <c r="P4974" s="20"/>
      <c r="Q4974" s="20"/>
      <c r="R4974" s="20"/>
      <c r="S4974" s="20"/>
      <c r="T4974" s="20"/>
      <c r="U4974" t="s">
        <v>401</v>
      </c>
    </row>
    <row r="4975" spans="2:21" x14ac:dyDescent="0.25">
      <c r="B4975">
        <v>480</v>
      </c>
      <c r="C4975" t="s">
        <v>1111</v>
      </c>
      <c r="E4975" s="18">
        <v>-297.07183329999998</v>
      </c>
      <c r="F4975" t="s">
        <v>891</v>
      </c>
      <c r="G4975" t="s">
        <v>442</v>
      </c>
      <c r="I4975"/>
      <c r="J4975"/>
      <c r="L4975"/>
      <c r="M4975"/>
      <c r="O4975"/>
      <c r="P4975" s="20"/>
      <c r="Q4975" s="20"/>
      <c r="R4975" s="20"/>
      <c r="S4975" s="20"/>
      <c r="T4975" s="20"/>
      <c r="U4975" t="s">
        <v>401</v>
      </c>
    </row>
    <row r="4976" spans="2:21" x14ac:dyDescent="0.25">
      <c r="B4976">
        <v>480</v>
      </c>
      <c r="C4976" t="s">
        <v>1283</v>
      </c>
      <c r="E4976" s="18">
        <v>-293</v>
      </c>
      <c r="F4976" t="s">
        <v>891</v>
      </c>
      <c r="G4976" t="s">
        <v>442</v>
      </c>
      <c r="I4976"/>
      <c r="J4976"/>
      <c r="L4976"/>
      <c r="M4976"/>
      <c r="O4976"/>
      <c r="P4976" s="20"/>
      <c r="Q4976" s="20"/>
      <c r="R4976" s="20"/>
      <c r="S4976" s="20"/>
      <c r="T4976" s="20"/>
      <c r="U4976" t="s">
        <v>401</v>
      </c>
    </row>
    <row r="4977" spans="1:21" x14ac:dyDescent="0.25">
      <c r="A4977" s="3">
        <v>41887</v>
      </c>
      <c r="B4977" s="36">
        <v>487</v>
      </c>
      <c r="C4977" t="s">
        <v>5230</v>
      </c>
      <c r="D4977">
        <v>7.5</v>
      </c>
      <c r="E4977" s="18">
        <v>750</v>
      </c>
      <c r="F4977" t="s">
        <v>889</v>
      </c>
      <c r="G4977" t="s">
        <v>5231</v>
      </c>
      <c r="H4977" s="18">
        <v>750</v>
      </c>
      <c r="I4977" s="3">
        <v>41887</v>
      </c>
      <c r="J4977"/>
      <c r="L4977"/>
      <c r="M4977"/>
      <c r="O4977"/>
      <c r="P4977" s="20"/>
      <c r="Q4977" s="20"/>
      <c r="R4977" s="20"/>
      <c r="S4977" s="20"/>
      <c r="T4977" s="20"/>
    </row>
    <row r="4978" spans="1:21" x14ac:dyDescent="0.25">
      <c r="A4978" s="3">
        <v>41887</v>
      </c>
      <c r="B4978" s="36">
        <v>487</v>
      </c>
      <c r="C4978" t="s">
        <v>5232</v>
      </c>
      <c r="D4978">
        <v>3.8250000000000002</v>
      </c>
      <c r="E4978" s="18">
        <v>382.5</v>
      </c>
      <c r="F4978" t="s">
        <v>889</v>
      </c>
      <c r="G4978" t="s">
        <v>5233</v>
      </c>
      <c r="H4978" s="18">
        <v>382.5</v>
      </c>
      <c r="I4978" s="3">
        <v>41887</v>
      </c>
      <c r="J4978">
        <v>382.5</v>
      </c>
      <c r="L4978"/>
      <c r="M4978"/>
      <c r="O4978"/>
      <c r="P4978" s="20"/>
      <c r="Q4978" s="20"/>
      <c r="R4978" s="20"/>
      <c r="S4978" s="20"/>
      <c r="T4978" s="20"/>
    </row>
    <row r="4979" spans="1:21" x14ac:dyDescent="0.25">
      <c r="A4979" s="3">
        <v>41901</v>
      </c>
      <c r="B4979" s="36">
        <v>487</v>
      </c>
      <c r="C4979" t="s">
        <v>5234</v>
      </c>
      <c r="D4979">
        <v>4.59</v>
      </c>
      <c r="E4979" s="18">
        <v>459</v>
      </c>
      <c r="F4979" t="s">
        <v>889</v>
      </c>
      <c r="G4979" t="s">
        <v>5235</v>
      </c>
      <c r="H4979" s="18">
        <v>459</v>
      </c>
      <c r="I4979" s="3">
        <v>41901</v>
      </c>
      <c r="J4979"/>
      <c r="L4979"/>
      <c r="M4979"/>
      <c r="N4979" s="20"/>
      <c r="O4979"/>
      <c r="P4979" s="20"/>
      <c r="Q4979" s="20"/>
      <c r="R4979" s="20"/>
      <c r="S4979" s="20"/>
      <c r="T4979" s="20"/>
    </row>
    <row r="4980" spans="1:21" x14ac:dyDescent="0.25">
      <c r="A4980" s="3">
        <v>41907</v>
      </c>
      <c r="B4980" s="36">
        <v>487</v>
      </c>
      <c r="C4980" t="s">
        <v>5236</v>
      </c>
      <c r="D4980">
        <v>10.78</v>
      </c>
      <c r="E4980" s="18">
        <v>1078</v>
      </c>
      <c r="F4980" t="s">
        <v>889</v>
      </c>
      <c r="G4980" t="s">
        <v>5237</v>
      </c>
      <c r="H4980" s="18">
        <v>1078</v>
      </c>
      <c r="I4980" s="3">
        <v>41907</v>
      </c>
      <c r="J4980"/>
      <c r="L4980"/>
      <c r="M4980"/>
      <c r="N4980" s="20"/>
      <c r="O4980"/>
      <c r="P4980" s="20"/>
      <c r="Q4980" s="20"/>
      <c r="R4980" s="20"/>
      <c r="S4980" s="20"/>
      <c r="T4980" s="20"/>
    </row>
    <row r="4981" spans="1:21" x14ac:dyDescent="0.25">
      <c r="A4981" s="3">
        <v>41915</v>
      </c>
      <c r="B4981" s="36">
        <v>487</v>
      </c>
      <c r="C4981" t="s">
        <v>5238</v>
      </c>
      <c r="D4981">
        <v>10.965</v>
      </c>
      <c r="E4981" s="18">
        <v>1096.5</v>
      </c>
      <c r="F4981" t="s">
        <v>889</v>
      </c>
      <c r="G4981" t="s">
        <v>5239</v>
      </c>
      <c r="H4981" s="18">
        <v>1096.5</v>
      </c>
      <c r="I4981" s="3">
        <v>41915</v>
      </c>
      <c r="J4981"/>
      <c r="L4981"/>
      <c r="M4981"/>
      <c r="N4981" s="20"/>
      <c r="O4981"/>
      <c r="P4981" s="20"/>
      <c r="Q4981" s="20"/>
      <c r="R4981" s="20"/>
      <c r="S4981" s="20"/>
      <c r="T4981" s="20"/>
    </row>
    <row r="4982" spans="1:21" x14ac:dyDescent="0.25">
      <c r="B4982">
        <v>487</v>
      </c>
      <c r="C4982" t="s">
        <v>5240</v>
      </c>
      <c r="D4982">
        <v>7.5</v>
      </c>
      <c r="E4982" s="18">
        <v>750</v>
      </c>
      <c r="F4982" t="s">
        <v>889</v>
      </c>
      <c r="G4982" t="s">
        <v>5231</v>
      </c>
      <c r="I4982"/>
      <c r="J4982"/>
      <c r="L4982"/>
      <c r="M4982"/>
      <c r="O4982"/>
      <c r="P4982" s="20"/>
      <c r="Q4982" s="20"/>
      <c r="R4982" s="20"/>
      <c r="S4982" s="20"/>
      <c r="T4982" s="20"/>
      <c r="U4982" t="s">
        <v>401</v>
      </c>
    </row>
    <row r="4983" spans="1:21" x14ac:dyDescent="0.25">
      <c r="B4983">
        <v>487</v>
      </c>
      <c r="C4983" t="s">
        <v>5238</v>
      </c>
      <c r="D4983">
        <v>10.965</v>
      </c>
      <c r="E4983" s="18">
        <v>-1096.5</v>
      </c>
      <c r="F4983" t="s">
        <v>889</v>
      </c>
      <c r="G4983" t="s">
        <v>5239</v>
      </c>
      <c r="I4983"/>
      <c r="J4983"/>
      <c r="L4983"/>
      <c r="M4983"/>
      <c r="O4983"/>
      <c r="P4983" s="20"/>
      <c r="Q4983" s="20"/>
      <c r="R4983" s="20"/>
      <c r="S4983" s="20"/>
      <c r="T4983" s="20"/>
      <c r="U4983" t="s">
        <v>401</v>
      </c>
    </row>
    <row r="4984" spans="1:21" x14ac:dyDescent="0.25">
      <c r="B4984">
        <v>487</v>
      </c>
      <c r="C4984" t="s">
        <v>5234</v>
      </c>
      <c r="D4984">
        <v>4.59</v>
      </c>
      <c r="E4984" s="18">
        <v>-459</v>
      </c>
      <c r="F4984" t="s">
        <v>889</v>
      </c>
      <c r="G4984" t="s">
        <v>5235</v>
      </c>
      <c r="I4984"/>
      <c r="J4984"/>
      <c r="L4984"/>
      <c r="M4984"/>
      <c r="O4984"/>
      <c r="P4984" s="20"/>
      <c r="Q4984" s="20"/>
      <c r="R4984" s="20"/>
      <c r="S4984" s="20"/>
      <c r="T4984" s="20"/>
      <c r="U4984" t="s">
        <v>401</v>
      </c>
    </row>
    <row r="4985" spans="1:21" x14ac:dyDescent="0.25">
      <c r="B4985">
        <v>487</v>
      </c>
      <c r="C4985" t="s">
        <v>5232</v>
      </c>
      <c r="D4985">
        <v>3.8250000000000002</v>
      </c>
      <c r="E4985" s="18">
        <v>382.5</v>
      </c>
      <c r="F4985" t="s">
        <v>889</v>
      </c>
      <c r="G4985" t="s">
        <v>5233</v>
      </c>
      <c r="I4985"/>
      <c r="J4985"/>
      <c r="L4985"/>
      <c r="M4985"/>
      <c r="O4985"/>
      <c r="P4985" s="20"/>
      <c r="Q4985" s="20"/>
      <c r="R4985" s="20"/>
      <c r="S4985" s="20"/>
      <c r="T4985" s="20"/>
      <c r="U4985" t="s">
        <v>401</v>
      </c>
    </row>
    <row r="4986" spans="1:21" x14ac:dyDescent="0.25">
      <c r="A4986" s="3">
        <v>41897</v>
      </c>
      <c r="B4986" s="36">
        <v>488</v>
      </c>
      <c r="C4986" t="s">
        <v>5241</v>
      </c>
      <c r="D4986">
        <v>6.5</v>
      </c>
      <c r="E4986" s="18">
        <v>650</v>
      </c>
      <c r="F4986" t="s">
        <v>889</v>
      </c>
      <c r="G4986" t="s">
        <v>5242</v>
      </c>
      <c r="H4986" s="18">
        <v>650</v>
      </c>
      <c r="I4986" s="3">
        <v>41897</v>
      </c>
      <c r="J4986"/>
      <c r="L4986"/>
      <c r="M4986"/>
      <c r="N4986" s="20"/>
      <c r="O4986"/>
      <c r="P4986" s="20"/>
      <c r="Q4986" s="20"/>
      <c r="R4986" s="20"/>
      <c r="S4986" s="20"/>
      <c r="T4986" s="20"/>
    </row>
    <row r="4987" spans="1:21" x14ac:dyDescent="0.25">
      <c r="B4987">
        <v>488</v>
      </c>
      <c r="C4987" t="s">
        <v>5241</v>
      </c>
      <c r="D4987">
        <v>6.5</v>
      </c>
      <c r="E4987" s="18">
        <v>-650</v>
      </c>
      <c r="F4987" t="s">
        <v>889</v>
      </c>
      <c r="G4987" t="s">
        <v>5242</v>
      </c>
      <c r="I4987"/>
      <c r="J4987"/>
      <c r="L4987"/>
      <c r="M4987"/>
      <c r="O4987"/>
      <c r="P4987" s="20"/>
      <c r="Q4987" s="20"/>
      <c r="R4987" s="20"/>
      <c r="S4987" s="20"/>
      <c r="T4987" s="20"/>
      <c r="U4987" t="s">
        <v>401</v>
      </c>
    </row>
    <row r="4988" spans="1:21" x14ac:dyDescent="0.25">
      <c r="A4988" s="3">
        <v>41932</v>
      </c>
      <c r="B4988" s="36">
        <v>489</v>
      </c>
      <c r="C4988" t="s">
        <v>5243</v>
      </c>
      <c r="D4988">
        <v>9.5</v>
      </c>
      <c r="E4988" s="18">
        <v>918</v>
      </c>
      <c r="F4988" t="s">
        <v>889</v>
      </c>
      <c r="G4988" t="s">
        <v>5244</v>
      </c>
      <c r="H4988" s="18">
        <v>918</v>
      </c>
      <c r="I4988" s="3">
        <v>41932</v>
      </c>
      <c r="J4988"/>
      <c r="L4988"/>
      <c r="M4988"/>
      <c r="N4988" s="20"/>
      <c r="O4988"/>
      <c r="P4988" s="20"/>
      <c r="Q4988" s="20"/>
      <c r="R4988" s="20"/>
      <c r="S4988" s="20"/>
      <c r="T4988" s="20"/>
    </row>
    <row r="4989" spans="1:21" x14ac:dyDescent="0.25">
      <c r="A4989" s="3">
        <v>41936</v>
      </c>
      <c r="B4989" s="36">
        <v>489</v>
      </c>
      <c r="C4989" t="s">
        <v>5245</v>
      </c>
      <c r="D4989">
        <v>4.25</v>
      </c>
      <c r="E4989" s="18">
        <v>425</v>
      </c>
      <c r="F4989" t="s">
        <v>889</v>
      </c>
      <c r="G4989" t="s">
        <v>5246</v>
      </c>
      <c r="H4989" s="18">
        <v>425</v>
      </c>
      <c r="I4989" s="3">
        <v>41936</v>
      </c>
      <c r="J4989"/>
      <c r="L4989"/>
      <c r="M4989"/>
      <c r="N4989" s="20"/>
      <c r="O4989"/>
      <c r="P4989" s="20"/>
      <c r="Q4989" s="20"/>
      <c r="R4989" s="20"/>
      <c r="S4989" s="20"/>
      <c r="T4989" s="20"/>
    </row>
    <row r="4990" spans="1:21" x14ac:dyDescent="0.25">
      <c r="B4990">
        <v>489</v>
      </c>
      <c r="C4990" t="s">
        <v>5245</v>
      </c>
      <c r="D4990">
        <v>4.25</v>
      </c>
      <c r="E4990" s="18">
        <v>-425</v>
      </c>
      <c r="F4990" t="s">
        <v>889</v>
      </c>
      <c r="G4990" t="s">
        <v>5246</v>
      </c>
      <c r="I4990"/>
      <c r="J4990"/>
      <c r="L4990"/>
      <c r="M4990"/>
      <c r="O4990"/>
      <c r="P4990" s="20"/>
      <c r="Q4990" s="20"/>
      <c r="R4990" s="20"/>
      <c r="S4990" s="20"/>
      <c r="T4990" s="20"/>
      <c r="U4990" t="s">
        <v>401</v>
      </c>
    </row>
    <row r="4991" spans="1:21" x14ac:dyDescent="0.25">
      <c r="B4991">
        <v>489</v>
      </c>
      <c r="C4991" t="s">
        <v>5243</v>
      </c>
      <c r="D4991">
        <v>9.18</v>
      </c>
      <c r="E4991" s="18">
        <v>-918</v>
      </c>
      <c r="F4991" t="s">
        <v>889</v>
      </c>
      <c r="G4991" t="s">
        <v>5244</v>
      </c>
      <c r="I4991"/>
      <c r="J4991"/>
      <c r="L4991"/>
      <c r="M4991"/>
      <c r="O4991"/>
      <c r="P4991" s="20"/>
      <c r="Q4991" s="20"/>
      <c r="R4991" s="20"/>
      <c r="S4991" s="20"/>
      <c r="T4991" s="20"/>
      <c r="U4991" t="s">
        <v>401</v>
      </c>
    </row>
    <row r="4992" spans="1:21" x14ac:dyDescent="0.25">
      <c r="A4992" s="3">
        <v>41957</v>
      </c>
      <c r="B4992" s="36">
        <v>493</v>
      </c>
      <c r="C4992" t="s">
        <v>5247</v>
      </c>
      <c r="D4992">
        <v>5.5</v>
      </c>
      <c r="E4992" s="18">
        <v>525</v>
      </c>
      <c r="F4992" t="s">
        <v>889</v>
      </c>
      <c r="G4992" t="s">
        <v>5248</v>
      </c>
      <c r="H4992" s="18">
        <v>525</v>
      </c>
      <c r="I4992" s="3">
        <v>41957</v>
      </c>
      <c r="J4992"/>
      <c r="L4992"/>
      <c r="M4992"/>
      <c r="N4992" s="20"/>
      <c r="O4992"/>
      <c r="P4992" s="20"/>
      <c r="Q4992" s="20"/>
      <c r="R4992" s="20"/>
      <c r="S4992" s="20"/>
      <c r="T4992" s="20"/>
    </row>
    <row r="4993" spans="1:21" x14ac:dyDescent="0.25">
      <c r="A4993" s="37">
        <v>41894</v>
      </c>
      <c r="B4993" s="36">
        <v>498</v>
      </c>
      <c r="C4993" s="38" t="s">
        <v>5249</v>
      </c>
      <c r="D4993" s="38">
        <v>4</v>
      </c>
      <c r="E4993" s="39">
        <v>400</v>
      </c>
      <c r="F4993" s="38" t="s">
        <v>889</v>
      </c>
      <c r="G4993" t="s">
        <v>5250</v>
      </c>
      <c r="H4993" s="18">
        <v>400</v>
      </c>
      <c r="I4993" s="3">
        <v>41894</v>
      </c>
      <c r="J4993"/>
      <c r="L4993"/>
      <c r="M4993"/>
      <c r="N4993" s="40"/>
      <c r="O4993" s="38"/>
      <c r="P4993" s="20"/>
      <c r="Q4993" s="20"/>
      <c r="R4993" s="20"/>
      <c r="S4993" s="20"/>
      <c r="T4993" s="20"/>
    </row>
    <row r="4994" spans="1:21" x14ac:dyDescent="0.25">
      <c r="A4994" s="3">
        <v>42019</v>
      </c>
      <c r="B4994" s="36">
        <v>498</v>
      </c>
      <c r="C4994" t="s">
        <v>5251</v>
      </c>
      <c r="D4994" s="55">
        <v>4</v>
      </c>
      <c r="E4994" s="18">
        <v>400</v>
      </c>
      <c r="F4994" t="s">
        <v>889</v>
      </c>
      <c r="G4994" t="s">
        <v>5250</v>
      </c>
      <c r="H4994" s="18">
        <v>400</v>
      </c>
      <c r="I4994" s="3">
        <v>42019</v>
      </c>
      <c r="J4994"/>
      <c r="L4994"/>
      <c r="M4994"/>
      <c r="N4994" s="20"/>
      <c r="O4994"/>
      <c r="P4994" s="20"/>
      <c r="Q4994" s="20"/>
      <c r="R4994" s="20"/>
      <c r="S4994" s="20"/>
      <c r="T4994" s="20"/>
    </row>
    <row r="4995" spans="1:21" x14ac:dyDescent="0.25">
      <c r="A4995" s="3">
        <v>41929</v>
      </c>
      <c r="B4995" s="36">
        <v>499</v>
      </c>
      <c r="C4995" t="s">
        <v>5252</v>
      </c>
      <c r="D4995">
        <v>6.38</v>
      </c>
      <c r="E4995" s="18">
        <v>561</v>
      </c>
      <c r="F4995" t="s">
        <v>889</v>
      </c>
      <c r="G4995" t="s">
        <v>5253</v>
      </c>
      <c r="H4995" s="18">
        <v>561</v>
      </c>
      <c r="I4995" s="3">
        <v>41929</v>
      </c>
      <c r="J4995"/>
      <c r="L4995"/>
      <c r="M4995"/>
      <c r="N4995" s="20"/>
      <c r="O4995"/>
      <c r="P4995" s="20"/>
      <c r="Q4995" s="20"/>
      <c r="R4995" s="20"/>
      <c r="S4995" s="20"/>
      <c r="T4995" s="20"/>
    </row>
    <row r="4996" spans="1:21" x14ac:dyDescent="0.25">
      <c r="A4996" s="3">
        <v>41964</v>
      </c>
      <c r="B4996" s="36">
        <v>499</v>
      </c>
      <c r="C4996" t="s">
        <v>5254</v>
      </c>
      <c r="D4996">
        <v>5.61</v>
      </c>
      <c r="E4996" s="18">
        <v>561</v>
      </c>
      <c r="F4996" t="s">
        <v>889</v>
      </c>
      <c r="G4996" t="s">
        <v>5255</v>
      </c>
      <c r="H4996" s="18">
        <v>561</v>
      </c>
      <c r="I4996" s="3">
        <v>41964</v>
      </c>
      <c r="J4996"/>
      <c r="L4996"/>
      <c r="M4996"/>
      <c r="N4996" s="20"/>
      <c r="O4996"/>
      <c r="P4996" s="20"/>
      <c r="Q4996" s="20"/>
      <c r="R4996" s="20"/>
      <c r="S4996" s="20"/>
      <c r="T4996" s="20"/>
    </row>
    <row r="4997" spans="1:21" x14ac:dyDescent="0.25">
      <c r="A4997" s="3">
        <v>42013</v>
      </c>
      <c r="B4997" s="36">
        <v>499</v>
      </c>
      <c r="C4997" t="s">
        <v>806</v>
      </c>
      <c r="D4997">
        <v>3.25</v>
      </c>
      <c r="E4997" s="18">
        <v>415.75</v>
      </c>
      <c r="F4997" t="s">
        <v>889</v>
      </c>
      <c r="G4997" t="s">
        <v>807</v>
      </c>
      <c r="H4997" s="18">
        <v>415.75</v>
      </c>
      <c r="I4997" s="3">
        <v>42013</v>
      </c>
      <c r="J4997"/>
      <c r="L4997"/>
      <c r="M4997"/>
      <c r="N4997" s="20"/>
      <c r="O4997"/>
      <c r="P4997" s="20"/>
      <c r="Q4997" s="20"/>
      <c r="R4997" s="20"/>
      <c r="S4997" s="20"/>
      <c r="T4997" s="20"/>
    </row>
    <row r="4998" spans="1:21" x14ac:dyDescent="0.25">
      <c r="B4998">
        <v>499</v>
      </c>
      <c r="C4998" t="s">
        <v>5252</v>
      </c>
      <c r="D4998">
        <v>5.61</v>
      </c>
      <c r="E4998" s="18">
        <v>-561</v>
      </c>
      <c r="F4998" t="s">
        <v>889</v>
      </c>
      <c r="G4998" t="s">
        <v>5253</v>
      </c>
      <c r="I4998"/>
      <c r="J4998"/>
      <c r="L4998"/>
      <c r="M4998"/>
      <c r="O4998"/>
      <c r="P4998" s="20"/>
      <c r="Q4998" s="20"/>
      <c r="R4998" s="20"/>
      <c r="S4998" s="20"/>
      <c r="T4998" s="20"/>
      <c r="U4998" t="s">
        <v>401</v>
      </c>
    </row>
    <row r="4999" spans="1:21" x14ac:dyDescent="0.25">
      <c r="B4999">
        <v>499</v>
      </c>
      <c r="C4999" t="s">
        <v>1314</v>
      </c>
      <c r="E4999" s="18">
        <v>-50</v>
      </c>
      <c r="G4999" t="s">
        <v>442</v>
      </c>
      <c r="I4999"/>
      <c r="J4999"/>
      <c r="L4999"/>
      <c r="M4999"/>
      <c r="O4999"/>
      <c r="P4999" s="20"/>
      <c r="Q4999" s="20"/>
      <c r="R4999" s="20"/>
      <c r="S4999" s="20"/>
      <c r="T4999" s="20"/>
      <c r="U4999" t="s">
        <v>401</v>
      </c>
    </row>
    <row r="5000" spans="1:21" x14ac:dyDescent="0.25">
      <c r="A5000" s="3">
        <v>41932</v>
      </c>
      <c r="B5000" s="36">
        <v>512</v>
      </c>
      <c r="C5000" t="s">
        <v>5256</v>
      </c>
      <c r="D5000">
        <v>8.75</v>
      </c>
      <c r="E5000" s="18">
        <v>739.5</v>
      </c>
      <c r="F5000" t="s">
        <v>889</v>
      </c>
      <c r="G5000" t="s">
        <v>5257</v>
      </c>
      <c r="H5000" s="18">
        <v>739.5</v>
      </c>
      <c r="I5000" s="3">
        <v>41932</v>
      </c>
      <c r="J5000"/>
      <c r="L5000"/>
      <c r="M5000"/>
      <c r="N5000" s="20"/>
      <c r="O5000"/>
      <c r="P5000" s="20"/>
      <c r="Q5000" s="20"/>
      <c r="R5000" s="20"/>
      <c r="S5000" s="20"/>
      <c r="T5000" s="20"/>
    </row>
    <row r="5001" spans="1:21" x14ac:dyDescent="0.25">
      <c r="A5001" s="3">
        <v>42004</v>
      </c>
      <c r="B5001" s="36">
        <v>512</v>
      </c>
      <c r="C5001" t="s">
        <v>5256</v>
      </c>
      <c r="D5001">
        <v>7.3949999999999996</v>
      </c>
      <c r="E5001" s="18">
        <v>246.5</v>
      </c>
      <c r="F5001" t="s">
        <v>889</v>
      </c>
      <c r="G5001" t="s">
        <v>5257</v>
      </c>
      <c r="H5001" s="18">
        <v>246.5</v>
      </c>
      <c r="I5001" s="3">
        <v>42004</v>
      </c>
      <c r="J5001"/>
      <c r="L5001"/>
      <c r="M5001"/>
      <c r="N5001" s="20"/>
      <c r="O5001"/>
      <c r="P5001" s="20"/>
      <c r="Q5001" s="20"/>
      <c r="R5001" s="20"/>
      <c r="S5001" s="20"/>
      <c r="T5001" s="20"/>
    </row>
    <row r="5002" spans="1:21" x14ac:dyDescent="0.25">
      <c r="A5002" s="3">
        <v>42041</v>
      </c>
      <c r="B5002">
        <v>512</v>
      </c>
      <c r="C5002" t="s">
        <v>5256</v>
      </c>
      <c r="E5002" s="18">
        <v>246.5</v>
      </c>
      <c r="F5002" t="s">
        <v>889</v>
      </c>
      <c r="G5002" t="s">
        <v>5257</v>
      </c>
      <c r="I5002"/>
      <c r="J5002"/>
      <c r="L5002"/>
      <c r="M5002"/>
      <c r="O5002"/>
      <c r="P5002" s="20"/>
      <c r="Q5002" s="20"/>
      <c r="R5002" s="20"/>
      <c r="S5002" s="20"/>
      <c r="T5002" s="20"/>
    </row>
    <row r="5003" spans="1:21" x14ac:dyDescent="0.25">
      <c r="A5003" s="3">
        <v>41894</v>
      </c>
      <c r="B5003" s="36">
        <v>530</v>
      </c>
      <c r="C5003" t="s">
        <v>5258</v>
      </c>
      <c r="D5003">
        <v>14.25</v>
      </c>
      <c r="E5003" s="18">
        <v>1425</v>
      </c>
      <c r="F5003" t="s">
        <v>889</v>
      </c>
      <c r="G5003" t="s">
        <v>5259</v>
      </c>
      <c r="H5003" s="18">
        <v>1425</v>
      </c>
      <c r="I5003" s="3">
        <v>41894</v>
      </c>
      <c r="J5003"/>
      <c r="L5003"/>
      <c r="M5003"/>
      <c r="N5003" s="20"/>
      <c r="O5003"/>
      <c r="P5003" s="20"/>
      <c r="Q5003" s="20"/>
      <c r="R5003" s="20"/>
      <c r="S5003" s="20"/>
      <c r="T5003" s="20"/>
    </row>
    <row r="5004" spans="1:21" x14ac:dyDescent="0.25">
      <c r="A5004" s="3">
        <v>41894</v>
      </c>
      <c r="B5004" s="36">
        <v>530</v>
      </c>
      <c r="C5004" t="s">
        <v>5260</v>
      </c>
      <c r="D5004">
        <v>3.5</v>
      </c>
      <c r="E5004" s="18">
        <v>350</v>
      </c>
      <c r="F5004" t="s">
        <v>889</v>
      </c>
      <c r="G5004" t="s">
        <v>5261</v>
      </c>
      <c r="H5004" s="18">
        <v>350</v>
      </c>
      <c r="I5004" s="3">
        <v>41894</v>
      </c>
      <c r="J5004"/>
      <c r="L5004"/>
      <c r="M5004"/>
      <c r="N5004" s="20"/>
      <c r="O5004"/>
      <c r="P5004" s="20"/>
      <c r="Q5004" s="20"/>
      <c r="R5004" s="20"/>
      <c r="S5004" s="20"/>
      <c r="T5004" s="20"/>
    </row>
    <row r="5005" spans="1:21" x14ac:dyDescent="0.25">
      <c r="A5005" s="3">
        <v>41894</v>
      </c>
      <c r="B5005" s="36">
        <v>530</v>
      </c>
      <c r="C5005" t="s">
        <v>5262</v>
      </c>
      <c r="D5005">
        <v>4.25</v>
      </c>
      <c r="E5005" s="18">
        <v>425</v>
      </c>
      <c r="F5005" t="s">
        <v>889</v>
      </c>
      <c r="G5005" t="s">
        <v>5263</v>
      </c>
      <c r="H5005" s="18">
        <v>425</v>
      </c>
      <c r="I5005" s="3">
        <v>41894</v>
      </c>
      <c r="J5005"/>
      <c r="L5005"/>
      <c r="M5005"/>
      <c r="N5005" s="20"/>
      <c r="O5005"/>
      <c r="P5005" s="20"/>
      <c r="Q5005" s="20"/>
      <c r="R5005" s="20"/>
      <c r="S5005" s="20"/>
      <c r="T5005" s="20"/>
    </row>
    <row r="5006" spans="1:21" x14ac:dyDescent="0.25">
      <c r="A5006" s="3">
        <v>41894</v>
      </c>
      <c r="B5006" s="36">
        <v>530</v>
      </c>
      <c r="C5006" t="s">
        <v>5264</v>
      </c>
      <c r="D5006">
        <v>7.5</v>
      </c>
      <c r="E5006" s="18">
        <v>750</v>
      </c>
      <c r="F5006" t="s">
        <v>889</v>
      </c>
      <c r="G5006" t="s">
        <v>5265</v>
      </c>
      <c r="H5006" s="18">
        <v>750</v>
      </c>
      <c r="I5006" s="3">
        <v>41894</v>
      </c>
      <c r="J5006"/>
      <c r="L5006"/>
      <c r="M5006"/>
      <c r="N5006" s="20"/>
      <c r="O5006"/>
      <c r="P5006" s="20"/>
      <c r="Q5006" s="20"/>
      <c r="R5006" s="20"/>
      <c r="S5006" s="20"/>
      <c r="T5006" s="20"/>
    </row>
    <row r="5007" spans="1:21" x14ac:dyDescent="0.25">
      <c r="A5007" s="3">
        <v>41918</v>
      </c>
      <c r="B5007" s="36">
        <v>530</v>
      </c>
      <c r="C5007" t="s">
        <v>5266</v>
      </c>
      <c r="D5007">
        <v>3</v>
      </c>
      <c r="E5007" s="18">
        <v>300</v>
      </c>
      <c r="F5007" t="s">
        <v>889</v>
      </c>
      <c r="G5007" t="s">
        <v>5267</v>
      </c>
      <c r="H5007" s="18">
        <v>300</v>
      </c>
      <c r="I5007" s="3">
        <v>41918</v>
      </c>
      <c r="J5007"/>
      <c r="L5007"/>
      <c r="M5007"/>
      <c r="N5007" s="20"/>
      <c r="O5007"/>
      <c r="P5007" s="20"/>
      <c r="Q5007" s="20"/>
      <c r="R5007" s="20"/>
      <c r="S5007" s="20"/>
      <c r="T5007" s="20"/>
    </row>
    <row r="5008" spans="1:21" x14ac:dyDescent="0.25">
      <c r="A5008" s="3">
        <v>41918</v>
      </c>
      <c r="B5008" s="36">
        <v>530</v>
      </c>
      <c r="C5008" t="s">
        <v>5268</v>
      </c>
      <c r="D5008">
        <v>4.75</v>
      </c>
      <c r="E5008" s="18">
        <v>475</v>
      </c>
      <c r="F5008" t="s">
        <v>889</v>
      </c>
      <c r="G5008" t="s">
        <v>5269</v>
      </c>
      <c r="H5008" s="18">
        <v>475</v>
      </c>
      <c r="I5008" s="3">
        <v>41918</v>
      </c>
      <c r="J5008"/>
      <c r="L5008"/>
      <c r="M5008"/>
      <c r="N5008" s="20"/>
      <c r="O5008"/>
      <c r="P5008" s="20"/>
      <c r="Q5008" s="20"/>
      <c r="R5008" s="20"/>
      <c r="S5008" s="20"/>
      <c r="T5008" s="20"/>
    </row>
    <row r="5009" spans="1:20" x14ac:dyDescent="0.25">
      <c r="A5009" s="3">
        <v>41918</v>
      </c>
      <c r="B5009" s="36">
        <v>530</v>
      </c>
      <c r="C5009" t="s">
        <v>5262</v>
      </c>
      <c r="D5009">
        <v>4.25</v>
      </c>
      <c r="E5009" s="18">
        <v>-425</v>
      </c>
      <c r="F5009" t="s">
        <v>889</v>
      </c>
      <c r="G5009" t="s">
        <v>5263</v>
      </c>
      <c r="H5009" s="18" t="s">
        <v>442</v>
      </c>
      <c r="I5009" s="3" t="s">
        <v>442</v>
      </c>
      <c r="J5009"/>
      <c r="L5009"/>
      <c r="M5009"/>
      <c r="N5009" s="20"/>
      <c r="O5009"/>
      <c r="P5009" s="20"/>
      <c r="Q5009" s="20"/>
      <c r="R5009" s="20"/>
      <c r="S5009" s="20"/>
      <c r="T5009" s="20"/>
    </row>
    <row r="5010" spans="1:20" x14ac:dyDescent="0.25">
      <c r="A5010" s="3">
        <v>41950</v>
      </c>
      <c r="B5010" s="36">
        <v>530</v>
      </c>
      <c r="C5010" t="s">
        <v>5270</v>
      </c>
      <c r="D5010">
        <v>3.75</v>
      </c>
      <c r="E5010" s="18">
        <v>375</v>
      </c>
      <c r="F5010" t="s">
        <v>889</v>
      </c>
      <c r="G5010" t="s">
        <v>5271</v>
      </c>
      <c r="H5010" s="18">
        <v>375</v>
      </c>
      <c r="I5010" s="3">
        <v>41950</v>
      </c>
      <c r="J5010"/>
      <c r="L5010"/>
      <c r="M5010"/>
      <c r="N5010" s="20"/>
      <c r="O5010"/>
      <c r="P5010" s="20"/>
      <c r="Q5010" s="20"/>
      <c r="R5010" s="20"/>
      <c r="S5010" s="20"/>
      <c r="T5010" s="20"/>
    </row>
    <row r="5011" spans="1:20" x14ac:dyDescent="0.25">
      <c r="A5011" s="3">
        <v>41950</v>
      </c>
      <c r="B5011" s="36">
        <v>530</v>
      </c>
      <c r="C5011" t="s">
        <v>5258</v>
      </c>
      <c r="D5011">
        <v>14.25</v>
      </c>
      <c r="E5011" s="18">
        <v>-1425</v>
      </c>
      <c r="F5011" t="s">
        <v>889</v>
      </c>
      <c r="G5011" t="s">
        <v>5259</v>
      </c>
      <c r="H5011" s="18" t="s">
        <v>442</v>
      </c>
      <c r="I5011" s="3" t="s">
        <v>442</v>
      </c>
      <c r="J5011"/>
      <c r="L5011"/>
      <c r="M5011"/>
      <c r="N5011" s="20"/>
      <c r="O5011"/>
      <c r="P5011" s="20"/>
      <c r="Q5011" s="20"/>
      <c r="R5011" s="20"/>
      <c r="S5011" s="20"/>
      <c r="T5011" s="20"/>
    </row>
    <row r="5012" spans="1:20" x14ac:dyDescent="0.25">
      <c r="A5012" s="3">
        <v>41950</v>
      </c>
      <c r="B5012" s="36">
        <v>530</v>
      </c>
      <c r="C5012" t="s">
        <v>5272</v>
      </c>
      <c r="D5012">
        <v>5.25</v>
      </c>
      <c r="E5012" s="18">
        <v>375</v>
      </c>
      <c r="F5012" t="s">
        <v>889</v>
      </c>
      <c r="G5012" t="s">
        <v>5273</v>
      </c>
      <c r="H5012" s="18">
        <v>375</v>
      </c>
      <c r="I5012" s="3">
        <v>41950</v>
      </c>
      <c r="J5012"/>
      <c r="L5012"/>
      <c r="M5012"/>
      <c r="N5012" s="20"/>
      <c r="O5012"/>
      <c r="P5012" s="20"/>
      <c r="Q5012" s="20"/>
      <c r="R5012" s="20"/>
      <c r="S5012" s="20"/>
      <c r="T5012" s="20"/>
    </row>
    <row r="5013" spans="1:20" x14ac:dyDescent="0.25">
      <c r="A5013" s="3">
        <v>41950</v>
      </c>
      <c r="B5013" s="36">
        <v>530</v>
      </c>
      <c r="C5013" t="s">
        <v>5274</v>
      </c>
      <c r="D5013">
        <v>8.75</v>
      </c>
      <c r="E5013" s="18">
        <v>875</v>
      </c>
      <c r="F5013" t="s">
        <v>889</v>
      </c>
      <c r="G5013" t="s">
        <v>5275</v>
      </c>
      <c r="H5013" s="18">
        <v>875</v>
      </c>
      <c r="I5013" s="3">
        <v>41950</v>
      </c>
      <c r="J5013"/>
      <c r="L5013"/>
      <c r="M5013"/>
      <c r="N5013" s="20"/>
      <c r="O5013"/>
      <c r="P5013" s="20"/>
      <c r="Q5013" s="20"/>
      <c r="R5013" s="20"/>
      <c r="S5013" s="20"/>
      <c r="T5013" s="20"/>
    </row>
    <row r="5014" spans="1:20" x14ac:dyDescent="0.25">
      <c r="A5014" s="3">
        <v>41950</v>
      </c>
      <c r="B5014" s="36">
        <v>530</v>
      </c>
      <c r="C5014" t="s">
        <v>5276</v>
      </c>
      <c r="D5014">
        <v>4.75</v>
      </c>
      <c r="E5014" s="18">
        <v>475</v>
      </c>
      <c r="F5014" t="s">
        <v>889</v>
      </c>
      <c r="G5014" t="s">
        <v>5277</v>
      </c>
      <c r="H5014" s="18">
        <v>475</v>
      </c>
      <c r="I5014" s="3">
        <v>41950</v>
      </c>
      <c r="J5014"/>
      <c r="L5014"/>
      <c r="M5014"/>
      <c r="N5014" s="20"/>
      <c r="O5014"/>
      <c r="P5014" s="20"/>
      <c r="Q5014" s="20"/>
      <c r="R5014" s="20"/>
      <c r="S5014" s="20"/>
      <c r="T5014" s="20"/>
    </row>
    <row r="5015" spans="1:20" x14ac:dyDescent="0.25">
      <c r="A5015" s="3">
        <v>41957</v>
      </c>
      <c r="B5015" s="36">
        <v>530</v>
      </c>
      <c r="C5015" t="s">
        <v>5278</v>
      </c>
      <c r="D5015">
        <v>10.5</v>
      </c>
      <c r="E5015" s="18">
        <v>1050</v>
      </c>
      <c r="F5015" t="s">
        <v>889</v>
      </c>
      <c r="G5015" t="s">
        <v>5279</v>
      </c>
      <c r="H5015" s="18">
        <v>1050</v>
      </c>
      <c r="I5015" s="3">
        <v>41957</v>
      </c>
      <c r="J5015"/>
      <c r="L5015"/>
      <c r="M5015"/>
      <c r="N5015" s="20"/>
      <c r="O5015"/>
      <c r="P5015" s="20"/>
      <c r="Q5015" s="20"/>
      <c r="R5015" s="20"/>
      <c r="S5015" s="20"/>
      <c r="T5015" s="20"/>
    </row>
    <row r="5016" spans="1:20" x14ac:dyDescent="0.25">
      <c r="A5016" s="3">
        <v>41964</v>
      </c>
      <c r="B5016" s="36">
        <v>530</v>
      </c>
      <c r="C5016" t="s">
        <v>5280</v>
      </c>
      <c r="D5016">
        <v>3</v>
      </c>
      <c r="E5016" s="18">
        <v>300</v>
      </c>
      <c r="F5016" t="s">
        <v>889</v>
      </c>
      <c r="G5016" t="s">
        <v>5281</v>
      </c>
      <c r="H5016" s="18">
        <v>300</v>
      </c>
      <c r="I5016" s="3">
        <v>41964</v>
      </c>
      <c r="J5016"/>
      <c r="L5016"/>
      <c r="M5016"/>
      <c r="N5016" s="20"/>
      <c r="O5016"/>
      <c r="P5016" s="20"/>
      <c r="Q5016" s="20"/>
      <c r="R5016" s="20"/>
      <c r="S5016" s="20"/>
      <c r="T5016" s="20"/>
    </row>
    <row r="5017" spans="1:20" x14ac:dyDescent="0.25">
      <c r="A5017" s="3">
        <v>41964</v>
      </c>
      <c r="B5017" s="36">
        <v>530</v>
      </c>
      <c r="C5017" t="s">
        <v>5282</v>
      </c>
      <c r="D5017">
        <v>7</v>
      </c>
      <c r="E5017" s="18">
        <v>700</v>
      </c>
      <c r="F5017" t="s">
        <v>889</v>
      </c>
      <c r="G5017" t="s">
        <v>5283</v>
      </c>
      <c r="H5017" s="18">
        <v>700</v>
      </c>
      <c r="I5017" s="3">
        <v>41964</v>
      </c>
      <c r="J5017"/>
      <c r="L5017"/>
      <c r="M5017"/>
      <c r="N5017" s="20"/>
      <c r="O5017"/>
      <c r="P5017" s="20"/>
      <c r="Q5017" s="20"/>
      <c r="R5017" s="20"/>
      <c r="S5017" s="20"/>
      <c r="T5017" s="20"/>
    </row>
    <row r="5018" spans="1:20" x14ac:dyDescent="0.25">
      <c r="A5018" s="3">
        <v>41964</v>
      </c>
      <c r="B5018" s="36">
        <v>530</v>
      </c>
      <c r="C5018" t="s">
        <v>5284</v>
      </c>
      <c r="D5018">
        <v>7.5</v>
      </c>
      <c r="E5018" s="18">
        <v>750</v>
      </c>
      <c r="F5018" t="s">
        <v>889</v>
      </c>
      <c r="G5018" t="s">
        <v>5285</v>
      </c>
      <c r="H5018" s="18">
        <v>750</v>
      </c>
      <c r="I5018" s="3">
        <v>41964</v>
      </c>
      <c r="J5018"/>
      <c r="L5018"/>
      <c r="M5018"/>
      <c r="N5018" s="20"/>
      <c r="O5018"/>
      <c r="P5018" s="20"/>
      <c r="Q5018" s="20"/>
      <c r="R5018" s="20"/>
      <c r="S5018" s="20"/>
      <c r="T5018" s="20"/>
    </row>
    <row r="5019" spans="1:20" x14ac:dyDescent="0.25">
      <c r="A5019" s="3">
        <v>41971</v>
      </c>
      <c r="B5019" s="36">
        <v>530</v>
      </c>
      <c r="C5019" t="s">
        <v>5286</v>
      </c>
      <c r="D5019">
        <v>1.75</v>
      </c>
      <c r="E5019" s="18">
        <v>175</v>
      </c>
      <c r="F5019" t="s">
        <v>889</v>
      </c>
      <c r="G5019" t="s">
        <v>5287</v>
      </c>
      <c r="H5019" s="18">
        <v>175</v>
      </c>
      <c r="I5019" s="3">
        <v>41971</v>
      </c>
      <c r="J5019"/>
      <c r="L5019"/>
      <c r="M5019"/>
      <c r="N5019" s="20"/>
      <c r="O5019"/>
      <c r="P5019" s="20"/>
      <c r="Q5019" s="20"/>
      <c r="R5019" s="20"/>
      <c r="S5019" s="20"/>
      <c r="T5019" s="20"/>
    </row>
    <row r="5020" spans="1:20" x14ac:dyDescent="0.25">
      <c r="A5020" s="3">
        <v>41971</v>
      </c>
      <c r="B5020" s="36">
        <v>530</v>
      </c>
      <c r="C5020" t="s">
        <v>5288</v>
      </c>
      <c r="D5020">
        <v>5.25</v>
      </c>
      <c r="E5020" s="18">
        <v>525</v>
      </c>
      <c r="F5020" t="s">
        <v>889</v>
      </c>
      <c r="G5020" t="s">
        <v>5289</v>
      </c>
      <c r="H5020" s="18">
        <v>525</v>
      </c>
      <c r="I5020" s="3">
        <v>41971</v>
      </c>
      <c r="J5020"/>
      <c r="L5020"/>
      <c r="M5020"/>
      <c r="N5020" s="20"/>
      <c r="O5020"/>
      <c r="P5020" s="20"/>
      <c r="Q5020" s="20"/>
      <c r="R5020" s="20"/>
      <c r="S5020" s="20"/>
      <c r="T5020" s="20"/>
    </row>
    <row r="5021" spans="1:20" x14ac:dyDescent="0.25">
      <c r="A5021" s="3">
        <v>41992</v>
      </c>
      <c r="B5021" s="36">
        <v>530</v>
      </c>
      <c r="C5021" t="s">
        <v>5290</v>
      </c>
      <c r="E5021" s="18">
        <v>1000</v>
      </c>
      <c r="F5021" t="s">
        <v>889</v>
      </c>
      <c r="G5021" t="s">
        <v>442</v>
      </c>
      <c r="H5021" s="18" t="s">
        <v>442</v>
      </c>
      <c r="I5021" s="3" t="s">
        <v>442</v>
      </c>
      <c r="J5021"/>
      <c r="L5021"/>
      <c r="M5021"/>
      <c r="N5021" s="20"/>
      <c r="O5021"/>
      <c r="P5021" s="20"/>
      <c r="Q5021" s="20"/>
      <c r="R5021" s="20"/>
      <c r="S5021" s="20"/>
      <c r="T5021" s="20" t="s">
        <v>401</v>
      </c>
    </row>
    <row r="5022" spans="1:20" x14ac:dyDescent="0.25">
      <c r="A5022" s="3">
        <v>41999</v>
      </c>
      <c r="B5022" s="36">
        <v>530</v>
      </c>
      <c r="C5022" t="s">
        <v>5290</v>
      </c>
      <c r="E5022" s="18">
        <v>-1000</v>
      </c>
      <c r="F5022" t="s">
        <v>889</v>
      </c>
      <c r="G5022" t="s">
        <v>442</v>
      </c>
      <c r="H5022" s="18" t="s">
        <v>442</v>
      </c>
      <c r="I5022" s="3" t="s">
        <v>442</v>
      </c>
      <c r="J5022"/>
      <c r="L5022"/>
      <c r="M5022"/>
      <c r="N5022" s="20"/>
      <c r="O5022"/>
      <c r="P5022" s="20"/>
      <c r="Q5022" s="20"/>
      <c r="R5022" s="20"/>
      <c r="S5022" s="20"/>
      <c r="T5022" s="20" t="s">
        <v>401</v>
      </c>
    </row>
    <row r="5023" spans="1:20" x14ac:dyDescent="0.25">
      <c r="A5023" s="3">
        <v>41999</v>
      </c>
      <c r="B5023" s="36">
        <v>530</v>
      </c>
      <c r="C5023" t="s">
        <v>5272</v>
      </c>
      <c r="D5023">
        <v>7</v>
      </c>
      <c r="E5023" s="18">
        <v>1025</v>
      </c>
      <c r="F5023" t="s">
        <v>889</v>
      </c>
      <c r="G5023" t="s">
        <v>5273</v>
      </c>
      <c r="H5023" s="18">
        <v>1025</v>
      </c>
      <c r="I5023" s="3">
        <v>41999</v>
      </c>
      <c r="J5023"/>
      <c r="L5023"/>
      <c r="M5023"/>
      <c r="N5023" s="20"/>
      <c r="O5023" t="s">
        <v>959</v>
      </c>
      <c r="P5023" s="20"/>
      <c r="Q5023" s="20"/>
      <c r="R5023" s="20"/>
      <c r="S5023" s="20"/>
      <c r="T5023" s="20"/>
    </row>
    <row r="5024" spans="1:20" x14ac:dyDescent="0.25">
      <c r="A5024" s="3">
        <v>41999</v>
      </c>
      <c r="B5024" s="36">
        <v>530</v>
      </c>
      <c r="C5024" t="s">
        <v>5266</v>
      </c>
      <c r="D5024">
        <v>6.8849999999999998</v>
      </c>
      <c r="E5024" s="18">
        <v>1077</v>
      </c>
      <c r="F5024" t="s">
        <v>889</v>
      </c>
      <c r="G5024" t="s">
        <v>5267</v>
      </c>
      <c r="H5024" s="18">
        <v>1077</v>
      </c>
      <c r="I5024" s="3">
        <v>41999</v>
      </c>
      <c r="J5024"/>
      <c r="L5024"/>
      <c r="M5024"/>
      <c r="N5024" s="20"/>
      <c r="O5024" t="s">
        <v>959</v>
      </c>
      <c r="P5024" s="20"/>
      <c r="Q5024" s="20"/>
      <c r="R5024" s="20"/>
      <c r="S5024" s="20"/>
      <c r="T5024" s="20"/>
    </row>
    <row r="5025" spans="1:21" x14ac:dyDescent="0.25">
      <c r="A5025" s="3">
        <v>41999</v>
      </c>
      <c r="B5025" s="36">
        <v>530</v>
      </c>
      <c r="C5025" t="s">
        <v>5260</v>
      </c>
      <c r="D5025">
        <v>5.5</v>
      </c>
      <c r="E5025" s="18">
        <v>750</v>
      </c>
      <c r="F5025" t="s">
        <v>889</v>
      </c>
      <c r="G5025" t="s">
        <v>5261</v>
      </c>
      <c r="H5025" s="18">
        <v>750</v>
      </c>
      <c r="I5025" s="3">
        <v>41999</v>
      </c>
      <c r="J5025"/>
      <c r="L5025"/>
      <c r="M5025"/>
      <c r="N5025" s="20"/>
      <c r="O5025" t="s">
        <v>959</v>
      </c>
      <c r="P5025" s="20"/>
      <c r="Q5025" s="20"/>
      <c r="R5025" s="20"/>
      <c r="S5025" s="20"/>
      <c r="T5025" s="20"/>
    </row>
    <row r="5026" spans="1:21" x14ac:dyDescent="0.25">
      <c r="A5026" s="3">
        <v>41999</v>
      </c>
      <c r="B5026" s="36">
        <v>530</v>
      </c>
      <c r="C5026" t="s">
        <v>5284</v>
      </c>
      <c r="D5026">
        <v>7.25</v>
      </c>
      <c r="E5026" s="18">
        <v>700</v>
      </c>
      <c r="F5026" t="s">
        <v>889</v>
      </c>
      <c r="G5026" t="s">
        <v>5285</v>
      </c>
      <c r="H5026" s="18">
        <v>700</v>
      </c>
      <c r="I5026" s="3">
        <v>41999</v>
      </c>
      <c r="J5026"/>
      <c r="L5026"/>
      <c r="M5026"/>
      <c r="N5026" s="20"/>
      <c r="O5026" t="s">
        <v>959</v>
      </c>
      <c r="P5026" s="20"/>
      <c r="Q5026" s="20"/>
      <c r="R5026" s="20"/>
      <c r="S5026" s="20"/>
      <c r="T5026" s="20"/>
    </row>
    <row r="5027" spans="1:21" x14ac:dyDescent="0.25">
      <c r="A5027" s="3">
        <v>42027</v>
      </c>
      <c r="B5027" s="36">
        <v>530</v>
      </c>
      <c r="C5027" t="s">
        <v>406</v>
      </c>
      <c r="D5027" s="55">
        <v>2.5</v>
      </c>
      <c r="E5027" s="18">
        <v>125</v>
      </c>
      <c r="F5027" t="s">
        <v>889</v>
      </c>
      <c r="G5027" t="s">
        <v>407</v>
      </c>
      <c r="H5027" s="18">
        <v>125</v>
      </c>
      <c r="I5027" s="3">
        <v>42027</v>
      </c>
      <c r="J5027"/>
      <c r="L5027"/>
      <c r="M5027"/>
      <c r="N5027" s="20"/>
      <c r="O5027"/>
      <c r="P5027" s="20"/>
      <c r="Q5027" s="20"/>
      <c r="R5027" s="20"/>
      <c r="S5027" s="20"/>
      <c r="T5027" s="20"/>
    </row>
    <row r="5028" spans="1:21" x14ac:dyDescent="0.25">
      <c r="A5028" s="3">
        <v>42041</v>
      </c>
      <c r="B5028">
        <v>530</v>
      </c>
      <c r="C5028" t="s">
        <v>5272</v>
      </c>
      <c r="D5028">
        <v>3.75</v>
      </c>
      <c r="E5028" s="18">
        <v>-650</v>
      </c>
      <c r="F5028" t="s">
        <v>889</v>
      </c>
      <c r="G5028" t="s">
        <v>5273</v>
      </c>
      <c r="I5028"/>
      <c r="J5028"/>
      <c r="L5028"/>
      <c r="M5028"/>
      <c r="O5028"/>
      <c r="P5028" s="20"/>
      <c r="Q5028" s="20"/>
      <c r="R5028" s="20"/>
      <c r="S5028" s="20"/>
      <c r="T5028" s="20"/>
    </row>
    <row r="5029" spans="1:21" x14ac:dyDescent="0.25">
      <c r="A5029" s="3">
        <v>42041</v>
      </c>
      <c r="B5029">
        <v>530</v>
      </c>
      <c r="C5029" t="s">
        <v>5266</v>
      </c>
      <c r="D5029">
        <v>3</v>
      </c>
      <c r="E5029" s="18">
        <v>-777</v>
      </c>
      <c r="F5029" t="s">
        <v>889</v>
      </c>
      <c r="G5029" t="s">
        <v>5267</v>
      </c>
      <c r="I5029"/>
      <c r="J5029"/>
      <c r="L5029"/>
      <c r="M5029"/>
      <c r="O5029"/>
      <c r="P5029" s="20"/>
      <c r="Q5029" s="20"/>
      <c r="R5029" s="20"/>
      <c r="S5029" s="20"/>
      <c r="T5029" s="20"/>
    </row>
    <row r="5030" spans="1:21" x14ac:dyDescent="0.25">
      <c r="A5030" s="3">
        <v>42041</v>
      </c>
      <c r="B5030">
        <v>530</v>
      </c>
      <c r="C5030" t="s">
        <v>5260</v>
      </c>
      <c r="D5030">
        <v>3.5</v>
      </c>
      <c r="E5030" s="18">
        <v>-400</v>
      </c>
      <c r="F5030" t="s">
        <v>889</v>
      </c>
      <c r="G5030" t="s">
        <v>5261</v>
      </c>
      <c r="I5030"/>
      <c r="J5030"/>
      <c r="L5030"/>
      <c r="M5030"/>
      <c r="O5030"/>
      <c r="P5030" s="20"/>
      <c r="Q5030" s="20"/>
      <c r="R5030" s="20"/>
      <c r="S5030" s="20"/>
      <c r="T5030" s="20"/>
    </row>
    <row r="5031" spans="1:21" x14ac:dyDescent="0.25">
      <c r="A5031" s="3">
        <v>42041</v>
      </c>
      <c r="B5031">
        <v>530</v>
      </c>
      <c r="C5031" t="s">
        <v>5274</v>
      </c>
      <c r="E5031" s="18">
        <v>291.66666666666669</v>
      </c>
      <c r="F5031" t="s">
        <v>889</v>
      </c>
      <c r="G5031" t="s">
        <v>5275</v>
      </c>
      <c r="I5031"/>
      <c r="J5031"/>
      <c r="L5031"/>
      <c r="M5031"/>
      <c r="O5031"/>
      <c r="P5031" s="20"/>
      <c r="Q5031" s="20"/>
      <c r="R5031" s="20"/>
      <c r="S5031" s="20"/>
      <c r="T5031" s="20"/>
    </row>
    <row r="5032" spans="1:21" x14ac:dyDescent="0.25">
      <c r="A5032" s="3">
        <v>42041</v>
      </c>
      <c r="B5032">
        <v>530</v>
      </c>
      <c r="C5032" t="s">
        <v>5274</v>
      </c>
      <c r="D5032">
        <v>8.75</v>
      </c>
      <c r="E5032" s="18">
        <v>291.66666666666669</v>
      </c>
      <c r="F5032" t="s">
        <v>889</v>
      </c>
      <c r="G5032" t="s">
        <v>5275</v>
      </c>
      <c r="I5032"/>
      <c r="J5032"/>
      <c r="L5032"/>
      <c r="M5032"/>
      <c r="O5032"/>
      <c r="P5032" s="20"/>
      <c r="Q5032" s="20"/>
      <c r="R5032" s="20"/>
      <c r="S5032" s="20"/>
      <c r="T5032" s="20"/>
    </row>
    <row r="5033" spans="1:21" x14ac:dyDescent="0.25">
      <c r="A5033" s="3">
        <v>42041</v>
      </c>
      <c r="B5033">
        <v>530</v>
      </c>
      <c r="C5033" t="s">
        <v>5268</v>
      </c>
      <c r="E5033" s="18">
        <v>158.33333333333334</v>
      </c>
      <c r="F5033" t="s">
        <v>889</v>
      </c>
      <c r="G5033" t="s">
        <v>5269</v>
      </c>
      <c r="I5033"/>
      <c r="J5033"/>
      <c r="L5033"/>
      <c r="M5033"/>
      <c r="O5033"/>
      <c r="P5033" s="20"/>
      <c r="Q5033" s="20"/>
      <c r="R5033" s="20"/>
      <c r="S5033" s="20"/>
      <c r="T5033" s="20"/>
    </row>
    <row r="5034" spans="1:21" x14ac:dyDescent="0.25">
      <c r="A5034" s="3">
        <v>42041</v>
      </c>
      <c r="B5034">
        <v>530</v>
      </c>
      <c r="C5034" t="s">
        <v>5268</v>
      </c>
      <c r="D5034">
        <v>4.75</v>
      </c>
      <c r="E5034" s="18">
        <v>158.33333333333334</v>
      </c>
      <c r="F5034" t="s">
        <v>889</v>
      </c>
      <c r="G5034" t="s">
        <v>5269</v>
      </c>
      <c r="I5034"/>
      <c r="J5034"/>
      <c r="L5034"/>
      <c r="M5034"/>
      <c r="O5034"/>
      <c r="P5034" s="20"/>
      <c r="Q5034" s="20"/>
      <c r="R5034" s="20"/>
      <c r="S5034" s="20"/>
      <c r="T5034" s="20"/>
    </row>
    <row r="5035" spans="1:21" x14ac:dyDescent="0.25">
      <c r="A5035" s="3">
        <v>42041</v>
      </c>
      <c r="B5035">
        <v>530</v>
      </c>
      <c r="C5035" t="s">
        <v>5291</v>
      </c>
      <c r="D5035">
        <v>7</v>
      </c>
      <c r="E5035" s="18">
        <v>700</v>
      </c>
      <c r="F5035" t="s">
        <v>889</v>
      </c>
      <c r="G5035" t="s">
        <v>5283</v>
      </c>
      <c r="I5035"/>
      <c r="J5035"/>
      <c r="L5035"/>
      <c r="M5035"/>
      <c r="O5035"/>
      <c r="P5035" s="20"/>
      <c r="Q5035" s="20"/>
      <c r="R5035" s="20"/>
      <c r="S5035" s="20"/>
      <c r="T5035" s="20"/>
    </row>
    <row r="5036" spans="1:21" x14ac:dyDescent="0.25">
      <c r="A5036" s="3">
        <v>42041</v>
      </c>
      <c r="B5036">
        <v>530</v>
      </c>
      <c r="C5036" t="s">
        <v>5264</v>
      </c>
      <c r="E5036" s="18">
        <v>250</v>
      </c>
      <c r="F5036" t="s">
        <v>889</v>
      </c>
      <c r="G5036" t="s">
        <v>5265</v>
      </c>
      <c r="I5036"/>
      <c r="J5036"/>
      <c r="L5036"/>
      <c r="M5036"/>
      <c r="O5036"/>
      <c r="P5036" s="20"/>
      <c r="Q5036" s="20"/>
      <c r="R5036" s="20"/>
      <c r="S5036" s="20"/>
      <c r="T5036" s="20"/>
    </row>
    <row r="5037" spans="1:21" x14ac:dyDescent="0.25">
      <c r="A5037" s="3">
        <v>42041</v>
      </c>
      <c r="B5037">
        <v>530</v>
      </c>
      <c r="C5037" t="s">
        <v>5264</v>
      </c>
      <c r="D5037">
        <v>7.5</v>
      </c>
      <c r="E5037" s="18">
        <v>250</v>
      </c>
      <c r="F5037" t="s">
        <v>889</v>
      </c>
      <c r="G5037" t="s">
        <v>5265</v>
      </c>
      <c r="I5037"/>
      <c r="J5037"/>
      <c r="L5037"/>
      <c r="M5037"/>
      <c r="O5037"/>
      <c r="P5037" s="20"/>
      <c r="Q5037" s="20"/>
      <c r="R5037" s="20"/>
      <c r="S5037" s="20"/>
      <c r="T5037" s="20"/>
    </row>
    <row r="5038" spans="1:21" x14ac:dyDescent="0.25">
      <c r="A5038" s="3">
        <v>42041</v>
      </c>
      <c r="B5038">
        <v>530</v>
      </c>
      <c r="C5038" t="s">
        <v>5284</v>
      </c>
      <c r="D5038">
        <v>7.5</v>
      </c>
      <c r="E5038" s="18">
        <v>50</v>
      </c>
      <c r="F5038" t="s">
        <v>889</v>
      </c>
      <c r="G5038" t="s">
        <v>5285</v>
      </c>
      <c r="I5038"/>
      <c r="J5038"/>
      <c r="L5038"/>
      <c r="M5038"/>
      <c r="O5038"/>
      <c r="P5038" s="20"/>
      <c r="Q5038" s="20"/>
      <c r="R5038" s="20"/>
      <c r="S5038" s="20"/>
      <c r="T5038" s="20"/>
    </row>
    <row r="5039" spans="1:21" x14ac:dyDescent="0.25">
      <c r="B5039">
        <v>530</v>
      </c>
      <c r="C5039" t="s">
        <v>5268</v>
      </c>
      <c r="D5039">
        <v>4.75</v>
      </c>
      <c r="E5039" s="18">
        <v>158.33333333333334</v>
      </c>
      <c r="F5039" t="s">
        <v>889</v>
      </c>
      <c r="G5039" t="s">
        <v>5269</v>
      </c>
      <c r="I5039"/>
      <c r="J5039"/>
      <c r="L5039"/>
      <c r="M5039"/>
      <c r="O5039"/>
      <c r="P5039" s="20"/>
      <c r="Q5039" s="20"/>
      <c r="R5039" s="20"/>
      <c r="S5039" s="20"/>
      <c r="T5039" s="20"/>
      <c r="U5039" t="s">
        <v>401</v>
      </c>
    </row>
    <row r="5040" spans="1:21" x14ac:dyDescent="0.25">
      <c r="B5040">
        <v>530</v>
      </c>
      <c r="C5040" t="s">
        <v>5280</v>
      </c>
      <c r="D5040">
        <v>3</v>
      </c>
      <c r="E5040" s="18">
        <v>-300</v>
      </c>
      <c r="F5040" t="s">
        <v>889</v>
      </c>
      <c r="G5040" t="s">
        <v>5281</v>
      </c>
      <c r="I5040"/>
      <c r="J5040"/>
      <c r="L5040"/>
      <c r="M5040"/>
      <c r="O5040"/>
      <c r="P5040" s="20"/>
      <c r="Q5040" s="20"/>
      <c r="R5040" s="20"/>
      <c r="S5040" s="20"/>
      <c r="T5040" s="20"/>
      <c r="U5040" t="s">
        <v>401</v>
      </c>
    </row>
    <row r="5041" spans="1:21" x14ac:dyDescent="0.25">
      <c r="B5041">
        <v>530</v>
      </c>
      <c r="C5041" t="s">
        <v>5264</v>
      </c>
      <c r="D5041">
        <v>7.5</v>
      </c>
      <c r="E5041" s="18">
        <v>250</v>
      </c>
      <c r="F5041" t="s">
        <v>889</v>
      </c>
      <c r="G5041" t="s">
        <v>5265</v>
      </c>
      <c r="I5041"/>
      <c r="J5041"/>
      <c r="L5041"/>
      <c r="M5041"/>
      <c r="O5041"/>
      <c r="P5041" s="20"/>
      <c r="Q5041" s="20"/>
      <c r="R5041" s="20"/>
      <c r="S5041" s="20"/>
      <c r="T5041" s="20"/>
      <c r="U5041" t="s">
        <v>401</v>
      </c>
    </row>
    <row r="5042" spans="1:21" x14ac:dyDescent="0.25">
      <c r="A5042" s="3">
        <v>41894</v>
      </c>
      <c r="B5042" s="36">
        <v>534</v>
      </c>
      <c r="C5042" t="s">
        <v>5292</v>
      </c>
      <c r="D5042">
        <v>13.25</v>
      </c>
      <c r="E5042" s="18">
        <v>1325</v>
      </c>
      <c r="F5042" t="s">
        <v>889</v>
      </c>
      <c r="G5042" t="s">
        <v>5293</v>
      </c>
      <c r="H5042" s="18">
        <v>1325</v>
      </c>
      <c r="I5042" s="3">
        <v>41894</v>
      </c>
      <c r="J5042"/>
      <c r="L5042"/>
      <c r="M5042"/>
      <c r="N5042" s="20"/>
      <c r="O5042"/>
      <c r="P5042" s="20"/>
      <c r="Q5042" s="20"/>
      <c r="R5042" s="20"/>
      <c r="S5042" s="20"/>
      <c r="T5042" s="20"/>
    </row>
    <row r="5043" spans="1:21" x14ac:dyDescent="0.25">
      <c r="A5043" s="3">
        <v>41943</v>
      </c>
      <c r="B5043" s="36">
        <v>534</v>
      </c>
      <c r="C5043" t="s">
        <v>5294</v>
      </c>
      <c r="D5043">
        <v>3.5</v>
      </c>
      <c r="E5043" s="18">
        <v>350</v>
      </c>
      <c r="F5043" t="s">
        <v>889</v>
      </c>
      <c r="G5043" t="s">
        <v>5295</v>
      </c>
      <c r="H5043" s="18">
        <v>350</v>
      </c>
      <c r="I5043" s="3">
        <v>41943</v>
      </c>
      <c r="J5043"/>
      <c r="L5043"/>
      <c r="M5043"/>
      <c r="N5043" s="20"/>
      <c r="O5043" t="s">
        <v>5296</v>
      </c>
      <c r="P5043" s="20"/>
      <c r="Q5043" s="20"/>
      <c r="R5043" s="20"/>
      <c r="S5043" s="20"/>
      <c r="T5043" s="20"/>
    </row>
    <row r="5044" spans="1:21" x14ac:dyDescent="0.25">
      <c r="B5044">
        <v>534</v>
      </c>
      <c r="C5044" t="s">
        <v>5294</v>
      </c>
      <c r="D5044">
        <v>3.5</v>
      </c>
      <c r="E5044" s="18">
        <v>-350</v>
      </c>
      <c r="F5044" t="s">
        <v>889</v>
      </c>
      <c r="G5044" t="s">
        <v>5295</v>
      </c>
      <c r="I5044"/>
      <c r="J5044"/>
      <c r="L5044"/>
      <c r="M5044"/>
      <c r="O5044"/>
      <c r="P5044" s="20"/>
      <c r="Q5044" s="20"/>
      <c r="R5044" s="20"/>
      <c r="S5044" s="20"/>
      <c r="T5044" s="20"/>
      <c r="U5044" t="s">
        <v>401</v>
      </c>
    </row>
    <row r="5045" spans="1:21" x14ac:dyDescent="0.25">
      <c r="B5045">
        <v>534</v>
      </c>
      <c r="C5045" t="s">
        <v>5292</v>
      </c>
      <c r="D5045">
        <v>13.25</v>
      </c>
      <c r="E5045" s="18">
        <v>-1325</v>
      </c>
      <c r="F5045" t="s">
        <v>889</v>
      </c>
      <c r="G5045" t="s">
        <v>5293</v>
      </c>
      <c r="I5045"/>
      <c r="J5045"/>
      <c r="L5045"/>
      <c r="M5045"/>
      <c r="O5045"/>
      <c r="P5045" s="20"/>
      <c r="Q5045" s="20"/>
      <c r="R5045" s="20"/>
      <c r="S5045" s="20"/>
      <c r="T5045" s="20"/>
      <c r="U5045" t="s">
        <v>401</v>
      </c>
    </row>
    <row r="5046" spans="1:21" x14ac:dyDescent="0.25">
      <c r="A5046" s="3">
        <v>41894</v>
      </c>
      <c r="B5046" s="36">
        <v>539</v>
      </c>
      <c r="C5046" t="s">
        <v>5297</v>
      </c>
      <c r="D5046">
        <v>7.25</v>
      </c>
      <c r="E5046" s="18">
        <v>725</v>
      </c>
      <c r="F5046" t="s">
        <v>889</v>
      </c>
      <c r="G5046" t="s">
        <v>5298</v>
      </c>
      <c r="H5046" s="18">
        <v>725</v>
      </c>
      <c r="I5046" s="3">
        <v>41894</v>
      </c>
      <c r="J5046"/>
      <c r="L5046"/>
      <c r="M5046"/>
      <c r="N5046" s="20"/>
      <c r="O5046"/>
      <c r="P5046" s="20"/>
      <c r="Q5046" s="20"/>
      <c r="R5046" s="20"/>
      <c r="S5046" s="20"/>
      <c r="T5046" s="20"/>
    </row>
    <row r="5047" spans="1:21" x14ac:dyDescent="0.25">
      <c r="A5047" s="3">
        <v>41894</v>
      </c>
      <c r="B5047" s="36">
        <v>539</v>
      </c>
      <c r="C5047" t="s">
        <v>5299</v>
      </c>
      <c r="D5047">
        <v>9.75</v>
      </c>
      <c r="E5047" s="18">
        <v>975</v>
      </c>
      <c r="F5047" t="s">
        <v>889</v>
      </c>
      <c r="G5047" t="s">
        <v>5300</v>
      </c>
      <c r="H5047" s="18">
        <v>975</v>
      </c>
      <c r="I5047" s="3">
        <v>41894</v>
      </c>
      <c r="J5047"/>
      <c r="L5047"/>
      <c r="M5047"/>
      <c r="N5047" s="20"/>
      <c r="O5047"/>
      <c r="P5047" s="20"/>
      <c r="Q5047" s="20"/>
      <c r="R5047" s="20"/>
      <c r="S5047" s="20"/>
      <c r="T5047" s="20"/>
    </row>
    <row r="5048" spans="1:21" x14ac:dyDescent="0.25">
      <c r="A5048" s="3">
        <v>41894</v>
      </c>
      <c r="B5048" s="36">
        <v>539</v>
      </c>
      <c r="C5048" t="s">
        <v>1111</v>
      </c>
      <c r="E5048" s="18">
        <v>-128.78</v>
      </c>
      <c r="F5048" t="s">
        <v>891</v>
      </c>
      <c r="G5048" t="s">
        <v>442</v>
      </c>
      <c r="H5048" s="18" t="s">
        <v>442</v>
      </c>
      <c r="I5048" s="3" t="s">
        <v>442</v>
      </c>
      <c r="J5048"/>
      <c r="L5048"/>
      <c r="M5048"/>
      <c r="N5048" s="20"/>
      <c r="O5048"/>
      <c r="P5048" s="20"/>
      <c r="Q5048" s="20" t="s">
        <v>401</v>
      </c>
      <c r="R5048" s="20"/>
      <c r="S5048" s="20"/>
      <c r="T5048" s="20"/>
    </row>
    <row r="5049" spans="1:21" x14ac:dyDescent="0.25">
      <c r="A5049" s="3">
        <v>41907</v>
      </c>
      <c r="B5049" s="36">
        <v>539</v>
      </c>
      <c r="C5049" t="s">
        <v>5301</v>
      </c>
      <c r="D5049">
        <v>8.25</v>
      </c>
      <c r="E5049" s="18">
        <v>825</v>
      </c>
      <c r="F5049" t="s">
        <v>889</v>
      </c>
      <c r="G5049" t="s">
        <v>5302</v>
      </c>
      <c r="H5049" s="18">
        <v>825</v>
      </c>
      <c r="I5049" s="3">
        <v>41907</v>
      </c>
      <c r="J5049"/>
      <c r="L5049"/>
      <c r="M5049"/>
      <c r="N5049" s="20"/>
      <c r="O5049"/>
      <c r="P5049" s="20"/>
      <c r="Q5049" s="20"/>
      <c r="R5049" s="20"/>
      <c r="S5049" s="20"/>
      <c r="T5049" s="20"/>
    </row>
    <row r="5050" spans="1:21" x14ac:dyDescent="0.25">
      <c r="A5050" s="3">
        <v>41907</v>
      </c>
      <c r="B5050" s="36">
        <v>539</v>
      </c>
      <c r="C5050" t="s">
        <v>5303</v>
      </c>
      <c r="D5050">
        <v>11.5</v>
      </c>
      <c r="E5050" s="18">
        <v>1150</v>
      </c>
      <c r="F5050" t="s">
        <v>889</v>
      </c>
      <c r="G5050" t="s">
        <v>5304</v>
      </c>
      <c r="H5050" s="18">
        <v>1150</v>
      </c>
      <c r="I5050" s="3">
        <v>41907</v>
      </c>
      <c r="J5050"/>
      <c r="L5050"/>
      <c r="M5050"/>
      <c r="N5050" s="20"/>
      <c r="O5050"/>
      <c r="P5050" s="20"/>
      <c r="Q5050" s="20"/>
      <c r="R5050" s="20"/>
      <c r="S5050" s="20"/>
      <c r="T5050" s="20"/>
    </row>
    <row r="5051" spans="1:21" x14ac:dyDescent="0.25">
      <c r="A5051" s="3">
        <v>41907</v>
      </c>
      <c r="B5051" s="36">
        <v>539</v>
      </c>
      <c r="C5051" t="s">
        <v>1110</v>
      </c>
      <c r="E5051" s="18">
        <v>-128.78</v>
      </c>
      <c r="F5051" t="s">
        <v>891</v>
      </c>
      <c r="G5051" t="s">
        <v>442</v>
      </c>
      <c r="H5051" s="18" t="s">
        <v>442</v>
      </c>
      <c r="I5051" s="3" t="s">
        <v>442</v>
      </c>
      <c r="J5051"/>
      <c r="L5051"/>
      <c r="M5051"/>
      <c r="N5051" s="20"/>
      <c r="O5051"/>
      <c r="P5051" s="20"/>
      <c r="Q5051" s="20" t="s">
        <v>401</v>
      </c>
      <c r="R5051" s="20"/>
      <c r="S5051" s="20"/>
      <c r="T5051" s="20"/>
    </row>
    <row r="5052" spans="1:21" x14ac:dyDescent="0.25">
      <c r="A5052" s="3">
        <v>41929</v>
      </c>
      <c r="B5052" s="36">
        <v>539</v>
      </c>
      <c r="C5052" t="s">
        <v>5305</v>
      </c>
      <c r="D5052">
        <v>7.5</v>
      </c>
      <c r="E5052" s="18">
        <v>700</v>
      </c>
      <c r="F5052" t="s">
        <v>889</v>
      </c>
      <c r="G5052" t="s">
        <v>5306</v>
      </c>
      <c r="H5052" s="18">
        <v>700</v>
      </c>
      <c r="I5052" s="3">
        <v>41929</v>
      </c>
      <c r="J5052"/>
      <c r="L5052"/>
      <c r="M5052"/>
      <c r="N5052" s="20"/>
      <c r="O5052"/>
      <c r="P5052" s="20"/>
      <c r="Q5052" s="20"/>
      <c r="R5052" s="20"/>
      <c r="S5052" s="20"/>
      <c r="T5052" s="20"/>
    </row>
    <row r="5053" spans="1:21" x14ac:dyDescent="0.25">
      <c r="A5053" s="3">
        <v>41929</v>
      </c>
      <c r="B5053" s="36">
        <v>539</v>
      </c>
      <c r="C5053" t="s">
        <v>5307</v>
      </c>
      <c r="D5053">
        <v>7</v>
      </c>
      <c r="E5053" s="18">
        <v>700</v>
      </c>
      <c r="F5053" t="s">
        <v>889</v>
      </c>
      <c r="G5053" t="s">
        <v>5308</v>
      </c>
      <c r="H5053" s="18">
        <v>700</v>
      </c>
      <c r="I5053" s="3">
        <v>41929</v>
      </c>
      <c r="J5053"/>
      <c r="L5053"/>
      <c r="M5053"/>
      <c r="N5053" s="20"/>
      <c r="O5053"/>
      <c r="P5053" s="20"/>
      <c r="Q5053" s="20"/>
      <c r="R5053" s="20"/>
      <c r="S5053" s="20"/>
      <c r="T5053" s="20"/>
    </row>
    <row r="5054" spans="1:21" x14ac:dyDescent="0.25">
      <c r="A5054" s="3">
        <v>41929</v>
      </c>
      <c r="B5054" s="36">
        <v>539</v>
      </c>
      <c r="C5054" t="s">
        <v>5303</v>
      </c>
      <c r="D5054">
        <v>11.5</v>
      </c>
      <c r="E5054" s="18">
        <v>-1150</v>
      </c>
      <c r="F5054" t="s">
        <v>889</v>
      </c>
      <c r="G5054" t="s">
        <v>5304</v>
      </c>
      <c r="H5054" s="18" t="s">
        <v>442</v>
      </c>
      <c r="I5054" s="3" t="s">
        <v>442</v>
      </c>
      <c r="J5054"/>
      <c r="L5054"/>
      <c r="M5054"/>
      <c r="N5054" s="20"/>
      <c r="O5054"/>
      <c r="P5054" s="20"/>
      <c r="Q5054" s="20"/>
      <c r="R5054" s="20"/>
      <c r="S5054" s="20"/>
      <c r="T5054" s="20"/>
    </row>
    <row r="5055" spans="1:21" x14ac:dyDescent="0.25">
      <c r="A5055" s="3">
        <v>41929</v>
      </c>
      <c r="B5055" s="36">
        <v>539</v>
      </c>
      <c r="C5055" t="s">
        <v>5309</v>
      </c>
      <c r="D5055">
        <v>10.5</v>
      </c>
      <c r="E5055" s="18">
        <v>1050</v>
      </c>
      <c r="F5055" t="s">
        <v>889</v>
      </c>
      <c r="G5055" t="s">
        <v>5310</v>
      </c>
      <c r="H5055" s="18">
        <v>1050</v>
      </c>
      <c r="I5055" s="3">
        <v>41929</v>
      </c>
      <c r="J5055"/>
      <c r="L5055"/>
      <c r="M5055"/>
      <c r="N5055" s="20"/>
      <c r="O5055"/>
      <c r="P5055" s="20"/>
      <c r="Q5055" s="20"/>
      <c r="R5055" s="20"/>
      <c r="S5055" s="20"/>
      <c r="T5055" s="20"/>
    </row>
    <row r="5056" spans="1:21" x14ac:dyDescent="0.25">
      <c r="A5056" s="3">
        <v>41929</v>
      </c>
      <c r="B5056" s="36">
        <v>539</v>
      </c>
      <c r="C5056" t="s">
        <v>5311</v>
      </c>
      <c r="E5056" s="18">
        <v>-200</v>
      </c>
      <c r="F5056" t="s">
        <v>889</v>
      </c>
      <c r="H5056" s="18" t="s">
        <v>442</v>
      </c>
      <c r="I5056" s="3" t="s">
        <v>442</v>
      </c>
      <c r="J5056"/>
      <c r="L5056"/>
      <c r="M5056"/>
      <c r="N5056" s="20"/>
      <c r="O5056"/>
      <c r="P5056" s="20"/>
      <c r="Q5056" s="20" t="s">
        <v>401</v>
      </c>
      <c r="R5056" s="20"/>
      <c r="S5056" s="20"/>
      <c r="T5056" s="20"/>
    </row>
    <row r="5057" spans="1:20" x14ac:dyDescent="0.25">
      <c r="A5057" s="3">
        <v>41929</v>
      </c>
      <c r="B5057" s="36">
        <v>539</v>
      </c>
      <c r="C5057" t="s">
        <v>1509</v>
      </c>
      <c r="E5057" s="18">
        <v>-198.97</v>
      </c>
      <c r="F5057" t="s">
        <v>891</v>
      </c>
      <c r="G5057" t="s">
        <v>442</v>
      </c>
      <c r="H5057" s="18" t="s">
        <v>442</v>
      </c>
      <c r="I5057" s="3" t="s">
        <v>442</v>
      </c>
      <c r="J5057"/>
      <c r="L5057"/>
      <c r="M5057"/>
      <c r="N5057" s="20"/>
      <c r="O5057"/>
      <c r="P5057" s="20"/>
      <c r="Q5057" s="20" t="s">
        <v>401</v>
      </c>
      <c r="R5057" s="20"/>
      <c r="S5057" s="20"/>
      <c r="T5057" s="20"/>
    </row>
    <row r="5058" spans="1:20" x14ac:dyDescent="0.25">
      <c r="A5058" s="3">
        <v>41929</v>
      </c>
      <c r="B5058" s="36">
        <v>539</v>
      </c>
      <c r="C5058" t="s">
        <v>1282</v>
      </c>
      <c r="E5058" s="18">
        <v>-200.87</v>
      </c>
      <c r="F5058" t="s">
        <v>891</v>
      </c>
      <c r="G5058" t="s">
        <v>442</v>
      </c>
      <c r="H5058" s="18" t="s">
        <v>442</v>
      </c>
      <c r="I5058" s="3" t="s">
        <v>442</v>
      </c>
      <c r="J5058"/>
      <c r="L5058"/>
      <c r="M5058"/>
      <c r="N5058" s="20"/>
      <c r="O5058"/>
      <c r="P5058" s="20"/>
      <c r="Q5058" s="20" t="s">
        <v>401</v>
      </c>
      <c r="R5058" s="20"/>
      <c r="S5058" s="20"/>
      <c r="T5058" s="20"/>
    </row>
    <row r="5059" spans="1:20" x14ac:dyDescent="0.25">
      <c r="A5059" s="3">
        <v>41929</v>
      </c>
      <c r="B5059" s="36">
        <v>539</v>
      </c>
      <c r="C5059" t="s">
        <v>1117</v>
      </c>
      <c r="E5059" s="18">
        <v>-203.66</v>
      </c>
      <c r="F5059" t="s">
        <v>891</v>
      </c>
      <c r="G5059" t="s">
        <v>442</v>
      </c>
      <c r="H5059" s="18" t="s">
        <v>442</v>
      </c>
      <c r="I5059" s="3" t="s">
        <v>442</v>
      </c>
      <c r="J5059"/>
      <c r="L5059"/>
      <c r="M5059"/>
      <c r="N5059" s="20"/>
      <c r="O5059"/>
      <c r="P5059" s="20"/>
      <c r="Q5059" s="20" t="s">
        <v>401</v>
      </c>
      <c r="R5059" s="20"/>
      <c r="S5059" s="20"/>
      <c r="T5059" s="20"/>
    </row>
    <row r="5060" spans="1:20" x14ac:dyDescent="0.25">
      <c r="A5060" s="3">
        <v>41929</v>
      </c>
      <c r="B5060" s="36">
        <v>539</v>
      </c>
      <c r="C5060" t="s">
        <v>1283</v>
      </c>
      <c r="E5060" s="18">
        <v>-200.87</v>
      </c>
      <c r="F5060" t="s">
        <v>891</v>
      </c>
      <c r="G5060" t="s">
        <v>442</v>
      </c>
      <c r="H5060" s="18" t="s">
        <v>442</v>
      </c>
      <c r="I5060" s="3" t="s">
        <v>442</v>
      </c>
      <c r="J5060"/>
      <c r="L5060"/>
      <c r="M5060"/>
      <c r="N5060" s="20"/>
      <c r="O5060"/>
      <c r="P5060" s="20"/>
      <c r="Q5060" s="20" t="s">
        <v>401</v>
      </c>
      <c r="R5060" s="20"/>
      <c r="S5060" s="20"/>
      <c r="T5060" s="20"/>
    </row>
    <row r="5061" spans="1:20" x14ac:dyDescent="0.25">
      <c r="A5061" s="3">
        <v>41936</v>
      </c>
      <c r="B5061" s="36">
        <v>539</v>
      </c>
      <c r="C5061" t="s">
        <v>1292</v>
      </c>
      <c r="E5061" s="18">
        <v>-200.87</v>
      </c>
      <c r="F5061" t="s">
        <v>891</v>
      </c>
      <c r="G5061" t="s">
        <v>442</v>
      </c>
      <c r="H5061" s="18" t="s">
        <v>442</v>
      </c>
      <c r="I5061" s="3" t="s">
        <v>442</v>
      </c>
      <c r="J5061"/>
      <c r="L5061"/>
      <c r="M5061"/>
      <c r="N5061" s="20"/>
      <c r="O5061"/>
      <c r="P5061" s="20"/>
      <c r="Q5061" s="20" t="s">
        <v>401</v>
      </c>
      <c r="R5061" s="20"/>
      <c r="S5061" s="20"/>
      <c r="T5061" s="20"/>
    </row>
    <row r="5062" spans="1:20" x14ac:dyDescent="0.25">
      <c r="A5062" s="3">
        <v>41943</v>
      </c>
      <c r="B5062" s="36">
        <v>539</v>
      </c>
      <c r="C5062" t="s">
        <v>5312</v>
      </c>
      <c r="D5062">
        <v>9</v>
      </c>
      <c r="E5062" s="18">
        <v>900</v>
      </c>
      <c r="F5062" t="s">
        <v>889</v>
      </c>
      <c r="G5062" t="s">
        <v>5313</v>
      </c>
      <c r="H5062" s="18">
        <v>900</v>
      </c>
      <c r="I5062" s="3">
        <v>41943</v>
      </c>
      <c r="J5062"/>
      <c r="L5062"/>
      <c r="M5062"/>
      <c r="N5062" s="20"/>
      <c r="O5062"/>
      <c r="P5062" s="20"/>
      <c r="Q5062" s="20"/>
      <c r="R5062" s="20"/>
      <c r="S5062" s="20"/>
      <c r="T5062" s="20"/>
    </row>
    <row r="5063" spans="1:20" x14ac:dyDescent="0.25">
      <c r="A5063" s="3">
        <v>41943</v>
      </c>
      <c r="B5063" s="36">
        <v>539</v>
      </c>
      <c r="C5063" t="s">
        <v>1300</v>
      </c>
      <c r="E5063" s="18">
        <v>-200.87</v>
      </c>
      <c r="F5063" t="s">
        <v>891</v>
      </c>
      <c r="G5063" t="s">
        <v>442</v>
      </c>
      <c r="H5063" s="18" t="s">
        <v>442</v>
      </c>
      <c r="I5063" s="3" t="s">
        <v>442</v>
      </c>
      <c r="J5063"/>
      <c r="L5063"/>
      <c r="M5063"/>
      <c r="N5063" s="20"/>
      <c r="O5063"/>
      <c r="P5063" s="20"/>
      <c r="Q5063" s="20" t="s">
        <v>401</v>
      </c>
      <c r="R5063" s="20"/>
      <c r="S5063" s="20"/>
      <c r="T5063" s="20"/>
    </row>
    <row r="5064" spans="1:20" x14ac:dyDescent="0.25">
      <c r="A5064" s="3">
        <v>41950</v>
      </c>
      <c r="B5064" s="36">
        <v>539</v>
      </c>
      <c r="C5064" t="s">
        <v>5314</v>
      </c>
      <c r="D5064">
        <v>6.5</v>
      </c>
      <c r="E5064" s="18">
        <v>650</v>
      </c>
      <c r="F5064" t="s">
        <v>889</v>
      </c>
      <c r="G5064" t="s">
        <v>5315</v>
      </c>
      <c r="H5064" s="18">
        <v>650</v>
      </c>
      <c r="I5064" s="3">
        <v>41950</v>
      </c>
      <c r="J5064"/>
      <c r="L5064"/>
      <c r="M5064"/>
      <c r="N5064" s="20"/>
      <c r="O5064"/>
      <c r="P5064" s="20"/>
      <c r="Q5064" s="20"/>
      <c r="R5064" s="20"/>
      <c r="S5064" s="20"/>
      <c r="T5064" s="20"/>
    </row>
    <row r="5065" spans="1:20" x14ac:dyDescent="0.25">
      <c r="A5065" s="3">
        <v>41950</v>
      </c>
      <c r="B5065" s="36">
        <v>539</v>
      </c>
      <c r="C5065" t="s">
        <v>5316</v>
      </c>
      <c r="D5065">
        <v>11.75</v>
      </c>
      <c r="E5065" s="18">
        <v>1175</v>
      </c>
      <c r="F5065" t="s">
        <v>889</v>
      </c>
      <c r="G5065" t="s">
        <v>5317</v>
      </c>
      <c r="H5065" s="18">
        <v>1175</v>
      </c>
      <c r="I5065" s="3">
        <v>41950</v>
      </c>
      <c r="J5065"/>
      <c r="L5065"/>
      <c r="M5065"/>
      <c r="N5065" s="20"/>
      <c r="O5065"/>
      <c r="P5065" s="20"/>
      <c r="Q5065" s="20"/>
      <c r="R5065" s="20"/>
      <c r="S5065" s="20"/>
      <c r="T5065" s="20"/>
    </row>
    <row r="5066" spans="1:20" x14ac:dyDescent="0.25">
      <c r="A5066" s="3">
        <v>41950</v>
      </c>
      <c r="B5066" s="36">
        <v>539</v>
      </c>
      <c r="C5066" t="s">
        <v>1299</v>
      </c>
      <c r="E5066" s="18">
        <v>-200.87</v>
      </c>
      <c r="F5066" t="s">
        <v>891</v>
      </c>
      <c r="G5066" t="s">
        <v>442</v>
      </c>
      <c r="H5066" s="18" t="s">
        <v>442</v>
      </c>
      <c r="I5066" s="3" t="s">
        <v>442</v>
      </c>
      <c r="J5066"/>
      <c r="L5066"/>
      <c r="M5066"/>
      <c r="N5066" s="20"/>
      <c r="O5066"/>
      <c r="P5066" s="20"/>
      <c r="Q5066" s="20" t="s">
        <v>401</v>
      </c>
      <c r="R5066" s="20"/>
      <c r="S5066" s="20"/>
      <c r="T5066" s="20"/>
    </row>
    <row r="5067" spans="1:20" x14ac:dyDescent="0.25">
      <c r="A5067" s="3">
        <v>42010</v>
      </c>
      <c r="B5067" s="36">
        <v>539</v>
      </c>
      <c r="C5067" t="s">
        <v>5301</v>
      </c>
      <c r="D5067">
        <v>8.25</v>
      </c>
      <c r="E5067" s="18">
        <v>275</v>
      </c>
      <c r="F5067" t="s">
        <v>889</v>
      </c>
      <c r="G5067" t="s">
        <v>5302</v>
      </c>
      <c r="H5067" s="18">
        <v>275</v>
      </c>
      <c r="I5067" s="3">
        <v>42010</v>
      </c>
      <c r="J5067"/>
      <c r="L5067"/>
      <c r="M5067"/>
      <c r="N5067" s="20"/>
      <c r="O5067"/>
      <c r="P5067" s="20"/>
      <c r="Q5067" s="20"/>
      <c r="R5067" s="20"/>
      <c r="S5067" s="20"/>
      <c r="T5067" s="20"/>
    </row>
    <row r="5068" spans="1:20" x14ac:dyDescent="0.25">
      <c r="A5068" s="3">
        <v>42010</v>
      </c>
      <c r="B5068" s="36">
        <v>539</v>
      </c>
      <c r="C5068" t="s">
        <v>5297</v>
      </c>
      <c r="D5068">
        <v>7.25</v>
      </c>
      <c r="E5068" s="18">
        <v>725</v>
      </c>
      <c r="F5068" t="s">
        <v>889</v>
      </c>
      <c r="G5068" t="s">
        <v>5298</v>
      </c>
      <c r="H5068" s="18">
        <v>725</v>
      </c>
      <c r="I5068" s="3">
        <v>42010</v>
      </c>
      <c r="J5068"/>
      <c r="L5068"/>
      <c r="M5068"/>
      <c r="N5068" s="20"/>
      <c r="O5068" t="s">
        <v>1140</v>
      </c>
      <c r="P5068" s="20"/>
      <c r="Q5068" s="20"/>
      <c r="R5068" s="20"/>
      <c r="S5068" s="20"/>
      <c r="T5068" s="20"/>
    </row>
    <row r="5069" spans="1:20" x14ac:dyDescent="0.25">
      <c r="A5069" s="3">
        <v>42010</v>
      </c>
      <c r="B5069" s="36">
        <v>539</v>
      </c>
      <c r="C5069" t="s">
        <v>5312</v>
      </c>
      <c r="D5069">
        <v>9</v>
      </c>
      <c r="E5069" s="18">
        <v>300</v>
      </c>
      <c r="F5069" t="s">
        <v>889</v>
      </c>
      <c r="G5069" t="s">
        <v>5313</v>
      </c>
      <c r="H5069" s="18">
        <v>300</v>
      </c>
      <c r="I5069" s="3">
        <v>42010</v>
      </c>
      <c r="J5069"/>
      <c r="L5069"/>
      <c r="M5069"/>
      <c r="N5069" s="20"/>
      <c r="O5069"/>
      <c r="P5069" s="20"/>
      <c r="Q5069" s="20"/>
      <c r="R5069" s="20"/>
      <c r="S5069" s="20"/>
      <c r="T5069" s="20"/>
    </row>
    <row r="5070" spans="1:20" x14ac:dyDescent="0.25">
      <c r="A5070" s="3">
        <v>42010</v>
      </c>
      <c r="B5070" s="36">
        <v>539</v>
      </c>
      <c r="C5070" t="s">
        <v>5316</v>
      </c>
      <c r="D5070">
        <v>11.75</v>
      </c>
      <c r="E5070" s="18">
        <v>391.66666666666669</v>
      </c>
      <c r="F5070" t="s">
        <v>889</v>
      </c>
      <c r="G5070" t="s">
        <v>5317</v>
      </c>
      <c r="H5070" s="18">
        <v>391.66666666666669</v>
      </c>
      <c r="I5070" s="3">
        <v>42010</v>
      </c>
      <c r="J5070"/>
      <c r="L5070"/>
      <c r="M5070"/>
      <c r="N5070" s="20"/>
      <c r="O5070"/>
      <c r="P5070" s="20"/>
      <c r="Q5070" s="20"/>
      <c r="R5070" s="20"/>
      <c r="S5070" s="20"/>
      <c r="T5070" s="20"/>
    </row>
    <row r="5071" spans="1:20" x14ac:dyDescent="0.25">
      <c r="A5071" s="3">
        <v>42010</v>
      </c>
      <c r="B5071" s="36">
        <v>539</v>
      </c>
      <c r="C5071" t="s">
        <v>5318</v>
      </c>
      <c r="E5071" s="18">
        <v>-160</v>
      </c>
      <c r="H5071" s="18" t="s">
        <v>442</v>
      </c>
      <c r="I5071" s="3" t="s">
        <v>442</v>
      </c>
      <c r="J5071"/>
      <c r="L5071"/>
      <c r="M5071"/>
      <c r="N5071" s="20"/>
      <c r="O5071"/>
      <c r="P5071" s="20"/>
      <c r="Q5071" s="20" t="s">
        <v>401</v>
      </c>
      <c r="R5071" s="20"/>
      <c r="S5071" s="20"/>
      <c r="T5071" s="20"/>
    </row>
    <row r="5072" spans="1:20" x14ac:dyDescent="0.25">
      <c r="A5072" s="3">
        <v>42010</v>
      </c>
      <c r="B5072" s="36">
        <v>539</v>
      </c>
      <c r="C5072" t="s">
        <v>2573</v>
      </c>
      <c r="E5072" s="18">
        <v>-200.87</v>
      </c>
      <c r="F5072" t="s">
        <v>891</v>
      </c>
      <c r="G5072" t="s">
        <v>442</v>
      </c>
      <c r="H5072" s="18" t="s">
        <v>442</v>
      </c>
      <c r="I5072" s="3" t="s">
        <v>442</v>
      </c>
      <c r="J5072"/>
      <c r="L5072"/>
      <c r="M5072"/>
      <c r="N5072" s="20"/>
      <c r="O5072"/>
      <c r="P5072" s="20"/>
      <c r="Q5072" s="20" t="s">
        <v>401</v>
      </c>
      <c r="R5072" s="20"/>
      <c r="S5072" s="20"/>
      <c r="T5072" s="20"/>
    </row>
    <row r="5073" spans="1:21" x14ac:dyDescent="0.25">
      <c r="A5073" s="3">
        <v>42010</v>
      </c>
      <c r="B5073" s="36">
        <v>539</v>
      </c>
      <c r="C5073" t="s">
        <v>1304</v>
      </c>
      <c r="E5073" s="18">
        <v>-200.87</v>
      </c>
      <c r="F5073" t="s">
        <v>891</v>
      </c>
      <c r="G5073" t="s">
        <v>442</v>
      </c>
      <c r="H5073" s="18" t="s">
        <v>442</v>
      </c>
      <c r="I5073" s="3" t="s">
        <v>442</v>
      </c>
      <c r="J5073"/>
      <c r="L5073"/>
      <c r="M5073"/>
      <c r="N5073" s="20"/>
      <c r="O5073"/>
      <c r="P5073" s="20"/>
      <c r="Q5073" s="20" t="s">
        <v>401</v>
      </c>
      <c r="R5073" s="20"/>
      <c r="S5073" s="20"/>
      <c r="T5073" s="20"/>
    </row>
    <row r="5074" spans="1:21" x14ac:dyDescent="0.25">
      <c r="A5074" s="3">
        <v>42010</v>
      </c>
      <c r="B5074" s="36">
        <v>539</v>
      </c>
      <c r="C5074" t="s">
        <v>1312</v>
      </c>
      <c r="E5074" s="18">
        <v>-200.87</v>
      </c>
      <c r="F5074" t="s">
        <v>891</v>
      </c>
      <c r="G5074" t="s">
        <v>442</v>
      </c>
      <c r="H5074" s="18" t="s">
        <v>442</v>
      </c>
      <c r="I5074" s="3" t="s">
        <v>442</v>
      </c>
      <c r="J5074"/>
      <c r="L5074"/>
      <c r="M5074"/>
      <c r="N5074" s="20"/>
      <c r="O5074"/>
      <c r="P5074" s="20"/>
      <c r="Q5074" s="20" t="s">
        <v>401</v>
      </c>
      <c r="R5074" s="20"/>
      <c r="S5074" s="20"/>
      <c r="T5074" s="20"/>
    </row>
    <row r="5075" spans="1:21" x14ac:dyDescent="0.25">
      <c r="A5075" s="3">
        <v>42010</v>
      </c>
      <c r="B5075" s="36">
        <v>539</v>
      </c>
      <c r="C5075" t="s">
        <v>4588</v>
      </c>
      <c r="E5075" s="18">
        <v>-200.87</v>
      </c>
      <c r="F5075" t="s">
        <v>891</v>
      </c>
      <c r="G5075" t="s">
        <v>442</v>
      </c>
      <c r="H5075" s="18" t="s">
        <v>442</v>
      </c>
      <c r="I5075" s="3" t="s">
        <v>442</v>
      </c>
      <c r="J5075"/>
      <c r="L5075"/>
      <c r="M5075"/>
      <c r="N5075" s="20"/>
      <c r="O5075"/>
      <c r="P5075" s="20"/>
      <c r="Q5075" s="20" t="s">
        <v>401</v>
      </c>
      <c r="R5075" s="20"/>
      <c r="S5075" s="20"/>
      <c r="T5075" s="20"/>
    </row>
    <row r="5076" spans="1:21" x14ac:dyDescent="0.25">
      <c r="A5076" s="3">
        <v>42041</v>
      </c>
      <c r="B5076">
        <v>539</v>
      </c>
      <c r="C5076" t="s">
        <v>5301</v>
      </c>
      <c r="E5076" s="18">
        <v>275</v>
      </c>
      <c r="F5076" t="s">
        <v>889</v>
      </c>
      <c r="G5076" t="s">
        <v>5302</v>
      </c>
      <c r="I5076"/>
      <c r="J5076"/>
      <c r="L5076"/>
      <c r="M5076"/>
      <c r="O5076"/>
      <c r="P5076" s="20"/>
      <c r="Q5076" s="20"/>
      <c r="R5076" s="20"/>
      <c r="S5076" s="20"/>
      <c r="T5076" s="20"/>
    </row>
    <row r="5077" spans="1:21" x14ac:dyDescent="0.25">
      <c r="A5077" s="3">
        <v>42041</v>
      </c>
      <c r="B5077">
        <v>539</v>
      </c>
      <c r="C5077" t="s">
        <v>5312</v>
      </c>
      <c r="E5077" s="18">
        <v>300</v>
      </c>
      <c r="F5077" t="s">
        <v>889</v>
      </c>
      <c r="G5077" t="s">
        <v>5313</v>
      </c>
      <c r="I5077"/>
      <c r="J5077"/>
      <c r="L5077"/>
      <c r="M5077"/>
      <c r="O5077"/>
      <c r="P5077" s="20"/>
      <c r="Q5077" s="20"/>
      <c r="R5077" s="20"/>
      <c r="S5077" s="20"/>
      <c r="T5077" s="20"/>
    </row>
    <row r="5078" spans="1:21" x14ac:dyDescent="0.25">
      <c r="A5078" s="3">
        <v>42041</v>
      </c>
      <c r="B5078">
        <v>539</v>
      </c>
      <c r="C5078" t="s">
        <v>5316</v>
      </c>
      <c r="E5078" s="18">
        <v>391.66666666666669</v>
      </c>
      <c r="F5078" t="s">
        <v>889</v>
      </c>
      <c r="G5078" t="s">
        <v>5317</v>
      </c>
      <c r="I5078"/>
      <c r="J5078"/>
      <c r="L5078"/>
      <c r="M5078"/>
      <c r="O5078"/>
      <c r="P5078" s="20"/>
      <c r="Q5078" s="20"/>
      <c r="R5078" s="20"/>
      <c r="S5078" s="20"/>
      <c r="T5078" s="20"/>
    </row>
    <row r="5079" spans="1:21" x14ac:dyDescent="0.25">
      <c r="A5079" s="3">
        <v>41894</v>
      </c>
      <c r="B5079" s="36">
        <v>541</v>
      </c>
      <c r="C5079" t="s">
        <v>5319</v>
      </c>
      <c r="D5079">
        <v>4.25</v>
      </c>
      <c r="E5079" s="18">
        <v>425</v>
      </c>
      <c r="F5079" t="s">
        <v>889</v>
      </c>
      <c r="G5079" t="s">
        <v>5320</v>
      </c>
      <c r="H5079" s="18">
        <v>425</v>
      </c>
      <c r="I5079" s="3">
        <v>41894</v>
      </c>
      <c r="J5079"/>
      <c r="L5079"/>
      <c r="M5079"/>
      <c r="N5079" s="20"/>
      <c r="O5079"/>
      <c r="P5079" s="20"/>
      <c r="Q5079" s="20"/>
      <c r="R5079" s="20"/>
      <c r="S5079" s="20"/>
      <c r="T5079" s="20"/>
    </row>
    <row r="5080" spans="1:21" x14ac:dyDescent="0.25">
      <c r="A5080" s="3">
        <v>41894</v>
      </c>
      <c r="B5080" s="36">
        <v>541</v>
      </c>
      <c r="C5080" t="s">
        <v>1111</v>
      </c>
      <c r="E5080" s="18">
        <v>-64.39</v>
      </c>
      <c r="F5080" t="s">
        <v>891</v>
      </c>
      <c r="G5080" t="s">
        <v>442</v>
      </c>
      <c r="H5080" s="18" t="s">
        <v>442</v>
      </c>
      <c r="I5080" s="3" t="s">
        <v>442</v>
      </c>
      <c r="J5080"/>
      <c r="L5080"/>
      <c r="M5080"/>
      <c r="N5080" s="20"/>
      <c r="O5080"/>
      <c r="P5080" s="20"/>
      <c r="Q5080" s="20" t="s">
        <v>401</v>
      </c>
      <c r="R5080" s="20"/>
      <c r="S5080" s="20"/>
      <c r="T5080" s="20"/>
    </row>
    <row r="5081" spans="1:21" x14ac:dyDescent="0.25">
      <c r="B5081">
        <v>541</v>
      </c>
      <c r="C5081" t="s">
        <v>5319</v>
      </c>
      <c r="D5081">
        <v>4.25</v>
      </c>
      <c r="E5081" s="18">
        <v>-425</v>
      </c>
      <c r="F5081" t="s">
        <v>889</v>
      </c>
      <c r="G5081" t="s">
        <v>5320</v>
      </c>
      <c r="I5081"/>
      <c r="J5081"/>
      <c r="L5081"/>
      <c r="M5081"/>
      <c r="O5081"/>
      <c r="P5081" s="20"/>
      <c r="Q5081" s="20"/>
      <c r="R5081" s="20"/>
      <c r="S5081" s="20"/>
      <c r="T5081" s="20"/>
      <c r="U5081" t="s">
        <v>401</v>
      </c>
    </row>
    <row r="5082" spans="1:21" x14ac:dyDescent="0.25">
      <c r="B5082">
        <v>541</v>
      </c>
      <c r="C5082" t="s">
        <v>1110</v>
      </c>
      <c r="E5082" s="18">
        <v>-64.39</v>
      </c>
      <c r="F5082" t="s">
        <v>891</v>
      </c>
      <c r="G5082" t="s">
        <v>442</v>
      </c>
      <c r="I5082"/>
      <c r="J5082"/>
      <c r="L5082"/>
      <c r="M5082"/>
      <c r="O5082"/>
      <c r="P5082" s="20"/>
      <c r="Q5082" s="20"/>
      <c r="R5082" s="20"/>
      <c r="S5082" s="20"/>
      <c r="T5082" s="20"/>
      <c r="U5082" t="s">
        <v>401</v>
      </c>
    </row>
    <row r="5083" spans="1:21" x14ac:dyDescent="0.25">
      <c r="A5083" s="3">
        <v>42016</v>
      </c>
      <c r="B5083" s="36">
        <v>546</v>
      </c>
      <c r="C5083" t="s">
        <v>5321</v>
      </c>
      <c r="D5083">
        <v>3.57</v>
      </c>
      <c r="E5083" s="18">
        <v>357</v>
      </c>
      <c r="F5083" t="s">
        <v>889</v>
      </c>
      <c r="G5083" t="s">
        <v>5322</v>
      </c>
      <c r="H5083" s="18">
        <v>357</v>
      </c>
      <c r="I5083" s="3">
        <v>42016</v>
      </c>
      <c r="J5083"/>
      <c r="L5083"/>
      <c r="M5083"/>
      <c r="N5083" s="20"/>
      <c r="O5083"/>
      <c r="P5083" s="20"/>
      <c r="Q5083" s="20"/>
      <c r="R5083" s="20"/>
      <c r="S5083" s="20"/>
      <c r="T5083" s="20"/>
    </row>
    <row r="5084" spans="1:21" x14ac:dyDescent="0.25">
      <c r="A5084" s="3">
        <v>42016</v>
      </c>
      <c r="B5084" s="36">
        <v>546</v>
      </c>
      <c r="C5084" t="s">
        <v>5323</v>
      </c>
      <c r="D5084">
        <v>7.25</v>
      </c>
      <c r="E5084" s="18">
        <v>725</v>
      </c>
      <c r="F5084" t="s">
        <v>889</v>
      </c>
      <c r="G5084" t="s">
        <v>5324</v>
      </c>
      <c r="H5084" s="18">
        <v>725</v>
      </c>
      <c r="I5084" s="3">
        <v>42016</v>
      </c>
      <c r="J5084"/>
      <c r="L5084"/>
      <c r="M5084"/>
      <c r="N5084" s="20"/>
      <c r="O5084"/>
      <c r="P5084" s="20"/>
      <c r="Q5084" s="20"/>
      <c r="R5084" s="20"/>
      <c r="S5084" s="20"/>
      <c r="T5084" s="20"/>
    </row>
    <row r="5085" spans="1:21" x14ac:dyDescent="0.25">
      <c r="A5085" s="3">
        <v>42016</v>
      </c>
      <c r="B5085" s="36">
        <v>546</v>
      </c>
      <c r="C5085" t="s">
        <v>760</v>
      </c>
      <c r="D5085">
        <v>8.9250000000000007</v>
      </c>
      <c r="E5085" s="18">
        <v>250</v>
      </c>
      <c r="F5085" t="s">
        <v>889</v>
      </c>
      <c r="G5085" t="s">
        <v>761</v>
      </c>
      <c r="H5085" s="18">
        <v>250</v>
      </c>
      <c r="I5085" s="3">
        <v>42016</v>
      </c>
      <c r="J5085"/>
      <c r="L5085"/>
      <c r="M5085"/>
      <c r="N5085" s="20"/>
      <c r="O5085"/>
      <c r="P5085" s="20"/>
      <c r="Q5085" s="20"/>
      <c r="R5085" s="20"/>
      <c r="S5085" s="20"/>
      <c r="T5085" s="20"/>
    </row>
    <row r="5086" spans="1:21" x14ac:dyDescent="0.25">
      <c r="A5086" s="3">
        <v>42016</v>
      </c>
      <c r="B5086" s="36">
        <v>546</v>
      </c>
      <c r="C5086" t="s">
        <v>760</v>
      </c>
      <c r="D5086">
        <v>8.9250000000000007</v>
      </c>
      <c r="E5086" s="18">
        <v>446.25000000000006</v>
      </c>
      <c r="F5086" t="s">
        <v>889</v>
      </c>
      <c r="G5086" t="s">
        <v>761</v>
      </c>
      <c r="H5086" s="18">
        <v>446.25000000000006</v>
      </c>
      <c r="I5086" s="3">
        <v>42016</v>
      </c>
      <c r="J5086"/>
      <c r="L5086"/>
      <c r="M5086"/>
      <c r="N5086" s="20"/>
      <c r="O5086"/>
      <c r="P5086" s="20"/>
      <c r="Q5086" s="20"/>
      <c r="R5086" s="20"/>
      <c r="S5086" s="20"/>
      <c r="T5086" s="20"/>
    </row>
    <row r="5087" spans="1:21" x14ac:dyDescent="0.25">
      <c r="B5087">
        <v>547</v>
      </c>
      <c r="C5087" t="s">
        <v>5325</v>
      </c>
      <c r="D5087">
        <v>8.25</v>
      </c>
      <c r="E5087" s="18">
        <v>825</v>
      </c>
      <c r="F5087" t="s">
        <v>889</v>
      </c>
      <c r="G5087" t="s">
        <v>5326</v>
      </c>
      <c r="I5087"/>
      <c r="J5087"/>
      <c r="L5087"/>
      <c r="M5087"/>
      <c r="O5087"/>
      <c r="P5087" s="20"/>
      <c r="Q5087" s="20"/>
      <c r="R5087" s="20"/>
      <c r="S5087" s="20"/>
      <c r="T5087" s="20"/>
      <c r="U5087" t="s">
        <v>401</v>
      </c>
    </row>
    <row r="5088" spans="1:21" x14ac:dyDescent="0.25">
      <c r="B5088">
        <v>547</v>
      </c>
      <c r="C5088" t="s">
        <v>5325</v>
      </c>
      <c r="D5088">
        <v>8.25</v>
      </c>
      <c r="E5088" s="18">
        <v>1650</v>
      </c>
      <c r="G5088" t="s">
        <v>5326</v>
      </c>
      <c r="I5088"/>
      <c r="J5088"/>
      <c r="L5088"/>
      <c r="M5088"/>
      <c r="O5088"/>
      <c r="P5088" s="20"/>
      <c r="Q5088" s="20"/>
      <c r="R5088" s="20"/>
      <c r="S5088" s="20"/>
      <c r="T5088" s="20"/>
      <c r="U5088" t="s">
        <v>401</v>
      </c>
    </row>
    <row r="5089" spans="1:21" x14ac:dyDescent="0.25">
      <c r="B5089">
        <v>547</v>
      </c>
      <c r="C5089" t="s">
        <v>5327</v>
      </c>
      <c r="D5089">
        <v>10.5</v>
      </c>
      <c r="E5089" s="18">
        <v>2100</v>
      </c>
      <c r="G5089" t="s">
        <v>5328</v>
      </c>
      <c r="I5089"/>
      <c r="J5089"/>
      <c r="L5089"/>
      <c r="M5089"/>
      <c r="O5089"/>
      <c r="P5089" s="20"/>
      <c r="Q5089" s="20"/>
      <c r="R5089" s="20"/>
      <c r="S5089" s="20"/>
      <c r="T5089" s="20"/>
      <c r="U5089" t="s">
        <v>401</v>
      </c>
    </row>
    <row r="5090" spans="1:21" x14ac:dyDescent="0.25">
      <c r="B5090">
        <v>547</v>
      </c>
      <c r="C5090" t="s">
        <v>5327</v>
      </c>
      <c r="D5090">
        <v>10.5</v>
      </c>
      <c r="E5090" s="18">
        <v>1050</v>
      </c>
      <c r="F5090" t="s">
        <v>889</v>
      </c>
      <c r="G5090" t="s">
        <v>5328</v>
      </c>
      <c r="I5090"/>
      <c r="J5090"/>
      <c r="L5090"/>
      <c r="M5090"/>
      <c r="O5090"/>
      <c r="P5090" s="20"/>
      <c r="Q5090" s="20"/>
      <c r="R5090" s="20"/>
      <c r="S5090" s="20"/>
      <c r="T5090" s="20"/>
      <c r="U5090" t="s">
        <v>401</v>
      </c>
    </row>
    <row r="5091" spans="1:21" x14ac:dyDescent="0.25">
      <c r="A5091" s="3">
        <v>41901</v>
      </c>
      <c r="B5091" s="36">
        <v>548</v>
      </c>
      <c r="C5091" t="s">
        <v>1242</v>
      </c>
      <c r="E5091" s="18">
        <v>250</v>
      </c>
      <c r="F5091" t="s">
        <v>889</v>
      </c>
      <c r="G5091" t="s">
        <v>442</v>
      </c>
      <c r="H5091" s="18" t="s">
        <v>442</v>
      </c>
      <c r="I5091" s="3" t="s">
        <v>442</v>
      </c>
      <c r="J5091"/>
      <c r="L5091"/>
      <c r="M5091"/>
      <c r="N5091" s="20"/>
      <c r="O5091"/>
      <c r="P5091" s="20"/>
      <c r="Q5091" s="20"/>
      <c r="R5091" s="20"/>
      <c r="S5091" s="20" t="s">
        <v>401</v>
      </c>
      <c r="T5091" s="20"/>
    </row>
    <row r="5092" spans="1:21" x14ac:dyDescent="0.25">
      <c r="A5092" s="3">
        <v>41901</v>
      </c>
      <c r="B5092" s="36">
        <v>548</v>
      </c>
      <c r="C5092" t="s">
        <v>5329</v>
      </c>
      <c r="E5092" s="18">
        <v>500</v>
      </c>
      <c r="F5092" t="s">
        <v>889</v>
      </c>
      <c r="G5092" t="s">
        <v>442</v>
      </c>
      <c r="H5092" s="18" t="s">
        <v>442</v>
      </c>
      <c r="I5092" s="3" t="s">
        <v>442</v>
      </c>
      <c r="J5092"/>
      <c r="L5092"/>
      <c r="M5092"/>
      <c r="N5092" s="20"/>
      <c r="O5092"/>
      <c r="P5092" s="20"/>
      <c r="Q5092" s="20"/>
      <c r="R5092" s="20"/>
      <c r="S5092" s="20"/>
      <c r="T5092" s="20" t="s">
        <v>401</v>
      </c>
    </row>
    <row r="5093" spans="1:21" x14ac:dyDescent="0.25">
      <c r="B5093">
        <v>548</v>
      </c>
      <c r="C5093" t="s">
        <v>5329</v>
      </c>
      <c r="E5093" s="18">
        <v>-500</v>
      </c>
      <c r="F5093" t="s">
        <v>889</v>
      </c>
      <c r="G5093" t="s">
        <v>442</v>
      </c>
      <c r="I5093"/>
      <c r="J5093"/>
      <c r="L5093"/>
      <c r="M5093"/>
      <c r="O5093"/>
      <c r="P5093" s="20"/>
      <c r="Q5093" s="20"/>
      <c r="R5093" s="20"/>
      <c r="S5093" s="20"/>
      <c r="T5093" s="20"/>
      <c r="U5093" t="s">
        <v>401</v>
      </c>
    </row>
    <row r="5094" spans="1:21" x14ac:dyDescent="0.25">
      <c r="A5094" s="3">
        <v>41894</v>
      </c>
      <c r="B5094" s="36">
        <v>549</v>
      </c>
      <c r="C5094" t="s">
        <v>5330</v>
      </c>
      <c r="D5094">
        <v>9</v>
      </c>
      <c r="E5094" s="18">
        <v>900</v>
      </c>
      <c r="F5094" t="s">
        <v>889</v>
      </c>
      <c r="G5094" t="s">
        <v>5331</v>
      </c>
      <c r="H5094" s="18">
        <v>900</v>
      </c>
      <c r="I5094" s="3">
        <v>41894</v>
      </c>
      <c r="J5094"/>
      <c r="L5094"/>
      <c r="M5094"/>
      <c r="N5094" s="20"/>
      <c r="O5094"/>
      <c r="P5094" s="20"/>
      <c r="Q5094" s="20"/>
      <c r="R5094" s="20"/>
      <c r="S5094" s="20"/>
      <c r="T5094" s="20"/>
    </row>
    <row r="5095" spans="1:21" x14ac:dyDescent="0.25">
      <c r="A5095" s="3">
        <v>41894</v>
      </c>
      <c r="B5095" s="36">
        <v>549</v>
      </c>
      <c r="C5095" t="s">
        <v>5332</v>
      </c>
      <c r="D5095">
        <v>14.75</v>
      </c>
      <c r="E5095" s="18">
        <v>1475</v>
      </c>
      <c r="F5095" t="s">
        <v>889</v>
      </c>
      <c r="G5095" t="s">
        <v>5333</v>
      </c>
      <c r="H5095" s="18">
        <v>1475</v>
      </c>
      <c r="I5095" s="3">
        <v>41894</v>
      </c>
      <c r="J5095"/>
      <c r="L5095"/>
      <c r="M5095"/>
      <c r="N5095" s="20"/>
      <c r="O5095"/>
      <c r="P5095" s="20"/>
      <c r="Q5095" s="20"/>
      <c r="R5095" s="20"/>
      <c r="S5095" s="20"/>
      <c r="T5095" s="20"/>
    </row>
    <row r="5096" spans="1:21" x14ac:dyDescent="0.25">
      <c r="A5096" s="3">
        <v>41894</v>
      </c>
      <c r="B5096" s="36">
        <v>549</v>
      </c>
      <c r="C5096" t="s">
        <v>5334</v>
      </c>
      <c r="D5096">
        <v>6.75</v>
      </c>
      <c r="E5096" s="18">
        <v>675</v>
      </c>
      <c r="F5096" t="s">
        <v>889</v>
      </c>
      <c r="G5096" t="s">
        <v>5335</v>
      </c>
      <c r="H5096" s="18">
        <v>675</v>
      </c>
      <c r="I5096" s="3">
        <v>41894</v>
      </c>
      <c r="J5096"/>
      <c r="L5096"/>
      <c r="M5096"/>
      <c r="N5096" s="20"/>
      <c r="O5096"/>
      <c r="P5096" s="20"/>
      <c r="Q5096" s="20"/>
      <c r="R5096" s="20"/>
      <c r="S5096" s="20"/>
      <c r="T5096" s="20"/>
    </row>
    <row r="5097" spans="1:21" x14ac:dyDescent="0.25">
      <c r="A5097" s="3">
        <v>41907</v>
      </c>
      <c r="B5097" s="36">
        <v>549</v>
      </c>
      <c r="C5097" t="s">
        <v>5336</v>
      </c>
      <c r="D5097">
        <v>3.75</v>
      </c>
      <c r="E5097" s="18">
        <v>375</v>
      </c>
      <c r="F5097" t="s">
        <v>889</v>
      </c>
      <c r="G5097" t="s">
        <v>5337</v>
      </c>
      <c r="H5097" s="18">
        <v>375</v>
      </c>
      <c r="I5097" s="3">
        <v>41907</v>
      </c>
      <c r="J5097"/>
      <c r="L5097"/>
      <c r="M5097"/>
      <c r="N5097" s="20"/>
      <c r="O5097"/>
      <c r="P5097" s="20"/>
      <c r="Q5097" s="20"/>
      <c r="R5097" s="20"/>
      <c r="S5097" s="20"/>
      <c r="T5097" s="20"/>
    </row>
    <row r="5098" spans="1:21" x14ac:dyDescent="0.25">
      <c r="A5098" s="3">
        <v>41922</v>
      </c>
      <c r="B5098" s="36">
        <v>549</v>
      </c>
      <c r="C5098" t="s">
        <v>5338</v>
      </c>
      <c r="D5098">
        <v>9.5</v>
      </c>
      <c r="E5098" s="18">
        <v>950</v>
      </c>
      <c r="F5098" t="s">
        <v>889</v>
      </c>
      <c r="G5098" t="s">
        <v>5339</v>
      </c>
      <c r="H5098" s="18">
        <v>950</v>
      </c>
      <c r="I5098" s="3">
        <v>41922</v>
      </c>
      <c r="J5098"/>
      <c r="L5098"/>
      <c r="M5098"/>
      <c r="N5098" s="20"/>
      <c r="O5098"/>
      <c r="P5098" s="20"/>
      <c r="Q5098" s="20"/>
      <c r="R5098" s="20"/>
      <c r="S5098" s="20"/>
      <c r="T5098" s="20"/>
    </row>
    <row r="5099" spans="1:21" x14ac:dyDescent="0.25">
      <c r="A5099" s="3">
        <v>41922</v>
      </c>
      <c r="B5099" s="36">
        <v>549</v>
      </c>
      <c r="C5099" t="s">
        <v>5340</v>
      </c>
      <c r="D5099">
        <v>5</v>
      </c>
      <c r="E5099" s="18">
        <v>500</v>
      </c>
      <c r="F5099" t="s">
        <v>889</v>
      </c>
      <c r="G5099" t="s">
        <v>5341</v>
      </c>
      <c r="H5099" s="18">
        <v>500</v>
      </c>
      <c r="I5099" s="3">
        <v>41922</v>
      </c>
      <c r="J5099"/>
      <c r="L5099"/>
      <c r="M5099"/>
      <c r="N5099" s="20"/>
      <c r="O5099"/>
      <c r="P5099" s="20"/>
      <c r="Q5099" s="20"/>
      <c r="R5099" s="20"/>
      <c r="S5099" s="20"/>
      <c r="T5099" s="20"/>
    </row>
    <row r="5100" spans="1:21" x14ac:dyDescent="0.25">
      <c r="A5100" s="3">
        <v>41943</v>
      </c>
      <c r="B5100" s="36">
        <v>549</v>
      </c>
      <c r="C5100" t="s">
        <v>5342</v>
      </c>
      <c r="D5100">
        <v>2.5499999999999998</v>
      </c>
      <c r="E5100" s="18">
        <v>254.99999999999997</v>
      </c>
      <c r="F5100" t="s">
        <v>889</v>
      </c>
      <c r="G5100" t="s">
        <v>5343</v>
      </c>
      <c r="H5100" s="18">
        <v>254.99999999999997</v>
      </c>
      <c r="I5100" s="3">
        <v>41943</v>
      </c>
      <c r="J5100"/>
      <c r="L5100"/>
      <c r="M5100"/>
      <c r="N5100" s="20"/>
      <c r="O5100"/>
      <c r="P5100" s="20"/>
      <c r="Q5100" s="20"/>
      <c r="R5100" s="20"/>
      <c r="S5100" s="20"/>
      <c r="T5100" s="20"/>
    </row>
    <row r="5101" spans="1:21" x14ac:dyDescent="0.25">
      <c r="A5101" s="3">
        <v>41943</v>
      </c>
      <c r="B5101" s="36">
        <v>549</v>
      </c>
      <c r="C5101" t="s">
        <v>5344</v>
      </c>
      <c r="D5101">
        <v>6.375</v>
      </c>
      <c r="E5101" s="18">
        <v>637.5</v>
      </c>
      <c r="F5101" t="s">
        <v>889</v>
      </c>
      <c r="G5101" t="s">
        <v>5345</v>
      </c>
      <c r="H5101" s="18">
        <v>637.5</v>
      </c>
      <c r="I5101" s="3">
        <v>41943</v>
      </c>
      <c r="J5101"/>
      <c r="L5101"/>
      <c r="M5101"/>
      <c r="N5101" s="20"/>
      <c r="O5101"/>
      <c r="P5101" s="20"/>
      <c r="Q5101" s="20"/>
      <c r="R5101" s="20"/>
      <c r="S5101" s="20"/>
      <c r="T5101" s="20"/>
    </row>
    <row r="5102" spans="1:21" x14ac:dyDescent="0.25">
      <c r="A5102" s="3">
        <v>41950</v>
      </c>
      <c r="B5102" s="36">
        <v>549</v>
      </c>
      <c r="C5102" t="s">
        <v>5346</v>
      </c>
      <c r="D5102">
        <v>6.375</v>
      </c>
      <c r="E5102" s="18">
        <v>637.5</v>
      </c>
      <c r="F5102" t="s">
        <v>889</v>
      </c>
      <c r="G5102" t="s">
        <v>5347</v>
      </c>
      <c r="H5102" s="18">
        <v>637.5</v>
      </c>
      <c r="I5102" s="3">
        <v>41950</v>
      </c>
      <c r="J5102"/>
      <c r="L5102"/>
      <c r="M5102"/>
      <c r="N5102" s="20"/>
      <c r="O5102"/>
      <c r="P5102" s="20"/>
      <c r="Q5102" s="20"/>
      <c r="R5102" s="20"/>
      <c r="S5102" s="20"/>
      <c r="T5102" s="20"/>
    </row>
    <row r="5103" spans="1:21" x14ac:dyDescent="0.25">
      <c r="A5103" s="3">
        <v>41950</v>
      </c>
      <c r="B5103" s="36">
        <v>549</v>
      </c>
      <c r="C5103" t="s">
        <v>5348</v>
      </c>
      <c r="D5103">
        <v>2.8050000000000002</v>
      </c>
      <c r="E5103" s="18">
        <v>280.5</v>
      </c>
      <c r="F5103" t="s">
        <v>889</v>
      </c>
      <c r="G5103" t="s">
        <v>5349</v>
      </c>
      <c r="H5103" s="18">
        <v>280.5</v>
      </c>
      <c r="I5103" s="3">
        <v>41950</v>
      </c>
      <c r="J5103"/>
      <c r="L5103"/>
      <c r="M5103"/>
      <c r="N5103" s="20"/>
      <c r="O5103"/>
      <c r="P5103" s="20"/>
      <c r="Q5103" s="20"/>
      <c r="R5103" s="20"/>
      <c r="S5103" s="20"/>
      <c r="T5103" s="20"/>
    </row>
    <row r="5104" spans="1:21" x14ac:dyDescent="0.25">
      <c r="B5104">
        <v>549</v>
      </c>
      <c r="C5104" t="s">
        <v>5330</v>
      </c>
      <c r="D5104">
        <v>9</v>
      </c>
      <c r="E5104" s="18">
        <v>-900</v>
      </c>
      <c r="F5104" t="s">
        <v>889</v>
      </c>
      <c r="G5104" t="s">
        <v>5331</v>
      </c>
      <c r="I5104"/>
      <c r="J5104"/>
      <c r="L5104"/>
      <c r="M5104"/>
      <c r="O5104"/>
      <c r="P5104" s="20"/>
      <c r="Q5104" s="20"/>
      <c r="R5104" s="20"/>
      <c r="S5104" s="20"/>
      <c r="T5104" s="20"/>
      <c r="U5104" t="s">
        <v>401</v>
      </c>
    </row>
    <row r="5105" spans="1:21" x14ac:dyDescent="0.25">
      <c r="B5105">
        <v>549</v>
      </c>
      <c r="C5105" t="s">
        <v>5346</v>
      </c>
      <c r="D5105">
        <v>6.375</v>
      </c>
      <c r="E5105" s="18">
        <v>-637.5</v>
      </c>
      <c r="F5105" t="s">
        <v>889</v>
      </c>
      <c r="G5105" t="s">
        <v>5347</v>
      </c>
      <c r="I5105"/>
      <c r="J5105"/>
      <c r="L5105"/>
      <c r="M5105"/>
      <c r="O5105"/>
      <c r="P5105" s="20"/>
      <c r="Q5105" s="20"/>
      <c r="R5105" s="20"/>
      <c r="S5105" s="20"/>
      <c r="T5105" s="20"/>
      <c r="U5105" t="s">
        <v>401</v>
      </c>
    </row>
    <row r="5106" spans="1:21" x14ac:dyDescent="0.25">
      <c r="B5106">
        <v>549</v>
      </c>
      <c r="C5106" t="s">
        <v>5342</v>
      </c>
      <c r="D5106">
        <v>2.5499999999999998</v>
      </c>
      <c r="E5106" s="18">
        <v>-255</v>
      </c>
      <c r="F5106" t="s">
        <v>889</v>
      </c>
      <c r="G5106" t="s">
        <v>5343</v>
      </c>
      <c r="I5106"/>
      <c r="J5106"/>
      <c r="L5106"/>
      <c r="M5106"/>
      <c r="O5106"/>
      <c r="P5106" s="20"/>
      <c r="Q5106" s="20"/>
      <c r="R5106" s="20"/>
      <c r="S5106" s="20"/>
      <c r="T5106" s="20"/>
      <c r="U5106" t="s">
        <v>401</v>
      </c>
    </row>
    <row r="5107" spans="1:21" x14ac:dyDescent="0.25">
      <c r="B5107">
        <v>549</v>
      </c>
      <c r="C5107" t="s">
        <v>5350</v>
      </c>
      <c r="D5107">
        <v>6.75</v>
      </c>
      <c r="E5107" s="18">
        <v>675</v>
      </c>
      <c r="F5107" t="s">
        <v>889</v>
      </c>
      <c r="G5107" t="s">
        <v>5335</v>
      </c>
      <c r="I5107"/>
      <c r="J5107"/>
      <c r="L5107"/>
      <c r="M5107"/>
      <c r="O5107"/>
      <c r="P5107" s="20"/>
      <c r="Q5107" s="20"/>
      <c r="R5107" s="20"/>
      <c r="S5107" s="20"/>
      <c r="T5107" s="20"/>
      <c r="U5107" t="s">
        <v>401</v>
      </c>
    </row>
    <row r="5108" spans="1:21" x14ac:dyDescent="0.25">
      <c r="B5108">
        <v>549</v>
      </c>
      <c r="C5108" t="s">
        <v>5340</v>
      </c>
      <c r="D5108">
        <v>5</v>
      </c>
      <c r="E5108" s="18">
        <v>166.66666666666666</v>
      </c>
      <c r="F5108" t="s">
        <v>889</v>
      </c>
      <c r="G5108" t="s">
        <v>5341</v>
      </c>
      <c r="I5108"/>
      <c r="J5108"/>
      <c r="L5108"/>
      <c r="M5108"/>
      <c r="O5108"/>
      <c r="P5108" s="20"/>
      <c r="Q5108" s="20"/>
      <c r="R5108" s="20"/>
      <c r="S5108" s="20"/>
      <c r="T5108" s="20"/>
      <c r="U5108" t="s">
        <v>401</v>
      </c>
    </row>
    <row r="5109" spans="1:21" x14ac:dyDescent="0.25">
      <c r="B5109">
        <v>549</v>
      </c>
      <c r="C5109" t="s">
        <v>5340</v>
      </c>
      <c r="D5109">
        <v>5</v>
      </c>
      <c r="E5109" s="18">
        <v>166.66666666666666</v>
      </c>
      <c r="F5109" t="s">
        <v>889</v>
      </c>
      <c r="G5109" t="s">
        <v>5341</v>
      </c>
      <c r="I5109"/>
      <c r="J5109"/>
      <c r="L5109"/>
      <c r="M5109"/>
      <c r="O5109"/>
      <c r="P5109" s="20"/>
      <c r="Q5109" s="20"/>
      <c r="R5109" s="20"/>
      <c r="S5109" s="20"/>
      <c r="T5109" s="20"/>
      <c r="U5109" t="s">
        <v>401</v>
      </c>
    </row>
    <row r="5110" spans="1:21" x14ac:dyDescent="0.25">
      <c r="A5110" s="73">
        <v>41894</v>
      </c>
      <c r="B5110" s="36">
        <v>550</v>
      </c>
      <c r="C5110" s="74" t="s">
        <v>5351</v>
      </c>
      <c r="D5110" s="74">
        <v>5.5</v>
      </c>
      <c r="E5110" s="75">
        <v>550</v>
      </c>
      <c r="F5110" s="74" t="s">
        <v>889</v>
      </c>
      <c r="G5110" t="s">
        <v>5352</v>
      </c>
      <c r="H5110" s="18">
        <v>550</v>
      </c>
      <c r="I5110" s="3">
        <v>41894</v>
      </c>
      <c r="J5110"/>
      <c r="L5110"/>
      <c r="M5110"/>
      <c r="N5110" s="74"/>
      <c r="O5110" s="74"/>
      <c r="P5110" s="20"/>
      <c r="Q5110" s="20"/>
      <c r="R5110" s="20"/>
      <c r="S5110" s="20"/>
      <c r="T5110" s="20"/>
    </row>
    <row r="5111" spans="1:21" x14ac:dyDescent="0.25">
      <c r="A5111" s="73">
        <v>41894</v>
      </c>
      <c r="B5111" s="36">
        <v>550</v>
      </c>
      <c r="C5111" s="74" t="s">
        <v>5353</v>
      </c>
      <c r="D5111" s="74">
        <v>6.5</v>
      </c>
      <c r="E5111" s="75">
        <v>650</v>
      </c>
      <c r="F5111" s="74" t="s">
        <v>889</v>
      </c>
      <c r="G5111" t="s">
        <v>5354</v>
      </c>
      <c r="H5111" s="18">
        <v>650</v>
      </c>
      <c r="I5111" s="3">
        <v>41894</v>
      </c>
      <c r="J5111"/>
      <c r="L5111"/>
      <c r="M5111"/>
      <c r="N5111" s="74"/>
      <c r="O5111" s="74"/>
      <c r="P5111" s="20"/>
      <c r="Q5111" s="20"/>
      <c r="R5111" s="20"/>
      <c r="S5111" s="20"/>
      <c r="T5111" s="20"/>
    </row>
    <row r="5112" spans="1:21" x14ac:dyDescent="0.25">
      <c r="A5112" s="73">
        <v>41894</v>
      </c>
      <c r="B5112" s="36">
        <v>550</v>
      </c>
      <c r="C5112" s="74" t="s">
        <v>5355</v>
      </c>
      <c r="D5112" s="74">
        <v>4</v>
      </c>
      <c r="E5112" s="75">
        <v>400</v>
      </c>
      <c r="F5112" s="74" t="s">
        <v>889</v>
      </c>
      <c r="G5112" t="s">
        <v>5356</v>
      </c>
      <c r="H5112" s="18">
        <v>400</v>
      </c>
      <c r="I5112" s="3">
        <v>41894</v>
      </c>
      <c r="J5112"/>
      <c r="L5112"/>
      <c r="M5112"/>
      <c r="N5112" s="74"/>
      <c r="O5112" s="74"/>
      <c r="P5112" s="20"/>
      <c r="Q5112" s="20"/>
      <c r="R5112" s="20"/>
      <c r="S5112" s="20"/>
      <c r="T5112" s="20"/>
    </row>
    <row r="5113" spans="1:21" x14ac:dyDescent="0.25">
      <c r="A5113" s="73">
        <v>41901</v>
      </c>
      <c r="B5113" s="36">
        <v>550</v>
      </c>
      <c r="C5113" s="74" t="s">
        <v>5357</v>
      </c>
      <c r="D5113" s="74">
        <v>4.59</v>
      </c>
      <c r="E5113" s="75">
        <v>459</v>
      </c>
      <c r="F5113" s="74" t="s">
        <v>889</v>
      </c>
      <c r="G5113" t="s">
        <v>5358</v>
      </c>
      <c r="H5113" s="18">
        <v>459</v>
      </c>
      <c r="I5113" s="3">
        <v>41901</v>
      </c>
      <c r="J5113"/>
      <c r="L5113"/>
      <c r="M5113"/>
      <c r="N5113" s="74"/>
      <c r="O5113" s="74"/>
      <c r="P5113" s="20"/>
      <c r="Q5113" s="20"/>
      <c r="R5113" s="20"/>
      <c r="S5113" s="20"/>
      <c r="T5113" s="20"/>
    </row>
    <row r="5114" spans="1:21" x14ac:dyDescent="0.25">
      <c r="A5114" s="73">
        <v>41901</v>
      </c>
      <c r="B5114" s="36">
        <v>550</v>
      </c>
      <c r="C5114" s="74" t="s">
        <v>5359</v>
      </c>
      <c r="D5114" s="74">
        <v>8</v>
      </c>
      <c r="E5114" s="75">
        <v>800</v>
      </c>
      <c r="F5114" s="74" t="s">
        <v>889</v>
      </c>
      <c r="G5114" t="s">
        <v>5360</v>
      </c>
      <c r="H5114" s="18">
        <v>800</v>
      </c>
      <c r="I5114" s="3">
        <v>41901</v>
      </c>
      <c r="J5114"/>
      <c r="L5114"/>
      <c r="M5114"/>
      <c r="N5114" s="74"/>
      <c r="O5114" s="74"/>
      <c r="P5114" s="20"/>
      <c r="Q5114" s="20"/>
      <c r="R5114" s="20"/>
      <c r="S5114" s="20"/>
      <c r="T5114" s="20"/>
    </row>
    <row r="5115" spans="1:21" x14ac:dyDescent="0.25">
      <c r="A5115" s="73">
        <v>41918</v>
      </c>
      <c r="B5115" s="36">
        <v>550</v>
      </c>
      <c r="C5115" s="74" t="s">
        <v>5361</v>
      </c>
      <c r="D5115" s="74">
        <v>5</v>
      </c>
      <c r="E5115" s="75">
        <v>500</v>
      </c>
      <c r="F5115" s="74" t="s">
        <v>889</v>
      </c>
      <c r="G5115" t="s">
        <v>5362</v>
      </c>
      <c r="H5115" s="18">
        <v>500</v>
      </c>
      <c r="I5115" s="3">
        <v>41918</v>
      </c>
      <c r="J5115"/>
      <c r="L5115"/>
      <c r="M5115"/>
      <c r="N5115" s="74"/>
      <c r="O5115" s="74"/>
      <c r="P5115" s="20"/>
      <c r="Q5115" s="20"/>
      <c r="R5115" s="20"/>
      <c r="S5115" s="20"/>
      <c r="T5115" s="20"/>
    </row>
    <row r="5116" spans="1:21" x14ac:dyDescent="0.25">
      <c r="A5116" s="73">
        <v>41918</v>
      </c>
      <c r="B5116" s="36">
        <v>550</v>
      </c>
      <c r="C5116" s="74" t="s">
        <v>5363</v>
      </c>
      <c r="D5116" s="74">
        <v>3.5</v>
      </c>
      <c r="E5116" s="75">
        <v>350</v>
      </c>
      <c r="F5116" s="74" t="s">
        <v>889</v>
      </c>
      <c r="G5116" t="s">
        <v>5364</v>
      </c>
      <c r="H5116" s="18">
        <v>350</v>
      </c>
      <c r="I5116" s="3">
        <v>41918</v>
      </c>
      <c r="J5116"/>
      <c r="L5116"/>
      <c r="M5116"/>
      <c r="N5116" s="74"/>
      <c r="O5116" s="74"/>
      <c r="P5116" s="20"/>
      <c r="Q5116" s="20"/>
      <c r="R5116" s="20"/>
      <c r="S5116" s="20"/>
      <c r="T5116" s="20"/>
    </row>
    <row r="5117" spans="1:21" x14ac:dyDescent="0.25">
      <c r="A5117" s="73">
        <v>41922</v>
      </c>
      <c r="B5117" s="36">
        <v>550</v>
      </c>
      <c r="C5117" s="74" t="s">
        <v>5365</v>
      </c>
      <c r="D5117" s="74">
        <v>4.25</v>
      </c>
      <c r="E5117" s="75">
        <v>425</v>
      </c>
      <c r="F5117" s="74" t="s">
        <v>889</v>
      </c>
      <c r="G5117" t="s">
        <v>5366</v>
      </c>
      <c r="H5117" s="18">
        <v>425</v>
      </c>
      <c r="I5117" s="3">
        <v>41922</v>
      </c>
      <c r="J5117"/>
      <c r="L5117"/>
      <c r="M5117"/>
      <c r="N5117" s="74"/>
      <c r="O5117" s="74"/>
      <c r="P5117" s="20"/>
      <c r="Q5117" s="20"/>
      <c r="R5117" s="20"/>
      <c r="S5117" s="20"/>
      <c r="T5117" s="20"/>
    </row>
    <row r="5118" spans="1:21" x14ac:dyDescent="0.25">
      <c r="A5118" s="73">
        <v>41922</v>
      </c>
      <c r="B5118" s="36">
        <v>550</v>
      </c>
      <c r="C5118" s="74" t="s">
        <v>5367</v>
      </c>
      <c r="D5118" s="74">
        <v>4.5</v>
      </c>
      <c r="E5118" s="75">
        <v>450</v>
      </c>
      <c r="F5118" s="74" t="s">
        <v>889</v>
      </c>
      <c r="G5118" t="s">
        <v>5368</v>
      </c>
      <c r="H5118" s="18">
        <v>450</v>
      </c>
      <c r="I5118" s="3">
        <v>41922</v>
      </c>
      <c r="J5118"/>
      <c r="L5118"/>
      <c r="M5118"/>
      <c r="N5118" s="74"/>
      <c r="O5118" s="74"/>
      <c r="P5118" s="20"/>
      <c r="Q5118" s="20"/>
      <c r="R5118" s="20"/>
      <c r="S5118" s="20"/>
      <c r="T5118" s="20"/>
    </row>
    <row r="5119" spans="1:21" x14ac:dyDescent="0.25">
      <c r="B5119">
        <v>550</v>
      </c>
      <c r="C5119" t="s">
        <v>5351</v>
      </c>
      <c r="D5119">
        <v>6</v>
      </c>
      <c r="E5119" s="18">
        <v>-550</v>
      </c>
      <c r="F5119" t="s">
        <v>889</v>
      </c>
      <c r="G5119" t="s">
        <v>5352</v>
      </c>
      <c r="I5119"/>
      <c r="J5119"/>
      <c r="L5119"/>
      <c r="M5119"/>
      <c r="O5119"/>
      <c r="P5119" s="20"/>
      <c r="Q5119" s="20"/>
      <c r="R5119" s="20"/>
      <c r="S5119" s="20"/>
      <c r="T5119" s="20"/>
      <c r="U5119" t="s">
        <v>401</v>
      </c>
    </row>
    <row r="5120" spans="1:21" x14ac:dyDescent="0.25">
      <c r="B5120">
        <v>550</v>
      </c>
      <c r="C5120" t="s">
        <v>5353</v>
      </c>
      <c r="E5120" s="18">
        <v>650</v>
      </c>
      <c r="F5120" t="s">
        <v>889</v>
      </c>
      <c r="G5120" t="s">
        <v>5354</v>
      </c>
      <c r="I5120"/>
      <c r="J5120"/>
      <c r="L5120"/>
      <c r="M5120"/>
      <c r="O5120"/>
      <c r="P5120" s="20"/>
      <c r="Q5120" s="20"/>
      <c r="R5120" s="20"/>
      <c r="S5120" s="20"/>
      <c r="T5120" s="20"/>
      <c r="U5120" t="s">
        <v>401</v>
      </c>
    </row>
    <row r="5121" spans="1:21" x14ac:dyDescent="0.25">
      <c r="B5121">
        <v>550</v>
      </c>
      <c r="C5121" t="s">
        <v>5355</v>
      </c>
      <c r="D5121">
        <v>4</v>
      </c>
      <c r="E5121" s="18">
        <v>-400</v>
      </c>
      <c r="F5121" t="s">
        <v>889</v>
      </c>
      <c r="G5121" t="s">
        <v>5356</v>
      </c>
      <c r="I5121"/>
      <c r="J5121"/>
      <c r="L5121"/>
      <c r="M5121"/>
      <c r="O5121"/>
      <c r="P5121" s="20"/>
      <c r="Q5121" s="20"/>
      <c r="R5121" s="20"/>
      <c r="S5121" s="20"/>
      <c r="T5121" s="20"/>
      <c r="U5121" t="s">
        <v>401</v>
      </c>
    </row>
    <row r="5122" spans="1:21" x14ac:dyDescent="0.25">
      <c r="B5122">
        <v>550</v>
      </c>
      <c r="C5122" t="s">
        <v>5363</v>
      </c>
      <c r="D5122">
        <v>3.5</v>
      </c>
      <c r="E5122" s="18">
        <v>-350</v>
      </c>
      <c r="F5122" t="s">
        <v>889</v>
      </c>
      <c r="G5122" t="s">
        <v>5364</v>
      </c>
      <c r="I5122"/>
      <c r="J5122"/>
      <c r="L5122"/>
      <c r="M5122"/>
      <c r="O5122"/>
      <c r="P5122" s="20"/>
      <c r="Q5122" s="20"/>
      <c r="R5122" s="20"/>
      <c r="S5122" s="20"/>
      <c r="T5122" s="20"/>
      <c r="U5122" t="s">
        <v>401</v>
      </c>
    </row>
    <row r="5123" spans="1:21" x14ac:dyDescent="0.25">
      <c r="A5123" s="3">
        <v>41894</v>
      </c>
      <c r="B5123" s="36">
        <v>551</v>
      </c>
      <c r="C5123" t="s">
        <v>5369</v>
      </c>
      <c r="D5123">
        <v>7.75</v>
      </c>
      <c r="E5123" s="18">
        <v>775</v>
      </c>
      <c r="F5123" t="s">
        <v>889</v>
      </c>
      <c r="G5123" t="s">
        <v>5370</v>
      </c>
      <c r="H5123" s="18">
        <v>775</v>
      </c>
      <c r="I5123" s="3">
        <v>41894</v>
      </c>
      <c r="J5123"/>
      <c r="L5123"/>
      <c r="M5123"/>
      <c r="N5123" s="20"/>
      <c r="O5123"/>
      <c r="P5123" s="20"/>
      <c r="Q5123" s="20"/>
      <c r="R5123" s="20"/>
      <c r="S5123" s="20"/>
      <c r="T5123" s="20"/>
    </row>
    <row r="5124" spans="1:21" x14ac:dyDescent="0.25">
      <c r="A5124" s="3">
        <v>41894</v>
      </c>
      <c r="B5124" s="36">
        <v>551</v>
      </c>
      <c r="C5124" t="s">
        <v>5371</v>
      </c>
      <c r="D5124">
        <v>6</v>
      </c>
      <c r="E5124" s="18">
        <v>600</v>
      </c>
      <c r="F5124" t="s">
        <v>889</v>
      </c>
      <c r="G5124" t="s">
        <v>5372</v>
      </c>
      <c r="H5124" s="18">
        <v>600</v>
      </c>
      <c r="I5124" s="3">
        <v>41894</v>
      </c>
      <c r="J5124"/>
      <c r="L5124"/>
      <c r="M5124"/>
      <c r="N5124" s="20"/>
      <c r="O5124"/>
      <c r="P5124" s="20"/>
      <c r="Q5124" s="20"/>
      <c r="R5124" s="20"/>
      <c r="S5124" s="20"/>
      <c r="T5124" s="20"/>
    </row>
    <row r="5125" spans="1:21" x14ac:dyDescent="0.25">
      <c r="A5125" s="3">
        <v>41907</v>
      </c>
      <c r="B5125" s="36">
        <v>551</v>
      </c>
      <c r="C5125" t="s">
        <v>5373</v>
      </c>
      <c r="D5125">
        <v>5</v>
      </c>
      <c r="E5125" s="18">
        <v>500</v>
      </c>
      <c r="F5125" t="s">
        <v>889</v>
      </c>
      <c r="G5125" t="s">
        <v>5374</v>
      </c>
      <c r="H5125" s="18">
        <v>500</v>
      </c>
      <c r="I5125" s="3">
        <v>41907</v>
      </c>
      <c r="J5125"/>
      <c r="L5125"/>
      <c r="M5125"/>
      <c r="N5125" s="20"/>
      <c r="O5125"/>
      <c r="P5125" s="20"/>
      <c r="Q5125" s="20"/>
      <c r="R5125" s="20"/>
      <c r="S5125" s="20"/>
      <c r="T5125" s="20"/>
    </row>
    <row r="5126" spans="1:21" x14ac:dyDescent="0.25">
      <c r="A5126" s="3">
        <v>41918</v>
      </c>
      <c r="B5126" s="36">
        <v>551</v>
      </c>
      <c r="C5126" t="s">
        <v>5375</v>
      </c>
      <c r="D5126">
        <v>19.75</v>
      </c>
      <c r="E5126" s="18">
        <v>1975</v>
      </c>
      <c r="F5126" t="s">
        <v>889</v>
      </c>
      <c r="G5126" t="s">
        <v>5376</v>
      </c>
      <c r="H5126" s="18">
        <v>1975</v>
      </c>
      <c r="I5126" s="3">
        <v>41918</v>
      </c>
      <c r="J5126"/>
      <c r="L5126"/>
      <c r="M5126"/>
      <c r="N5126" s="20"/>
      <c r="O5126"/>
      <c r="P5126" s="20"/>
      <c r="Q5126" s="20"/>
      <c r="R5126" s="20"/>
      <c r="S5126" s="20"/>
      <c r="T5126" s="20"/>
    </row>
    <row r="5127" spans="1:21" x14ac:dyDescent="0.25">
      <c r="A5127" s="3">
        <v>41936</v>
      </c>
      <c r="B5127" s="36">
        <v>551</v>
      </c>
      <c r="C5127" t="s">
        <v>5377</v>
      </c>
      <c r="D5127">
        <v>8.25</v>
      </c>
      <c r="E5127" s="18">
        <v>800</v>
      </c>
      <c r="F5127" t="s">
        <v>889</v>
      </c>
      <c r="G5127" t="s">
        <v>5378</v>
      </c>
      <c r="H5127" s="18">
        <v>800</v>
      </c>
      <c r="I5127" s="3">
        <v>41936</v>
      </c>
      <c r="J5127"/>
      <c r="L5127"/>
      <c r="M5127"/>
      <c r="N5127" s="20"/>
      <c r="O5127"/>
      <c r="P5127" s="20"/>
      <c r="Q5127" s="20"/>
      <c r="R5127" s="20"/>
      <c r="S5127" s="20"/>
      <c r="T5127" s="20"/>
    </row>
    <row r="5128" spans="1:21" x14ac:dyDescent="0.25">
      <c r="A5128" s="3">
        <v>41943</v>
      </c>
      <c r="B5128" s="36">
        <v>551</v>
      </c>
      <c r="C5128" t="s">
        <v>5379</v>
      </c>
      <c r="D5128">
        <v>9</v>
      </c>
      <c r="E5128" s="18">
        <v>900</v>
      </c>
      <c r="F5128" t="s">
        <v>889</v>
      </c>
      <c r="G5128" t="s">
        <v>5380</v>
      </c>
      <c r="H5128" s="18">
        <v>900</v>
      </c>
      <c r="I5128" s="3">
        <v>41943</v>
      </c>
      <c r="J5128"/>
      <c r="L5128"/>
      <c r="M5128"/>
      <c r="N5128" s="20"/>
      <c r="O5128"/>
      <c r="P5128" s="20"/>
      <c r="Q5128" s="20"/>
      <c r="R5128" s="20"/>
      <c r="S5128" s="20"/>
      <c r="T5128" s="20"/>
    </row>
    <row r="5129" spans="1:21" x14ac:dyDescent="0.25">
      <c r="A5129" s="3">
        <v>41967</v>
      </c>
      <c r="B5129" s="36">
        <v>551</v>
      </c>
      <c r="C5129" t="s">
        <v>5379</v>
      </c>
      <c r="D5129">
        <v>9</v>
      </c>
      <c r="E5129" s="18">
        <v>-900</v>
      </c>
      <c r="F5129" t="s">
        <v>889</v>
      </c>
      <c r="G5129" t="s">
        <v>5380</v>
      </c>
      <c r="H5129" s="18" t="s">
        <v>442</v>
      </c>
      <c r="I5129" s="3" t="s">
        <v>442</v>
      </c>
      <c r="J5129"/>
      <c r="L5129"/>
      <c r="M5129"/>
      <c r="N5129" s="20"/>
      <c r="O5129"/>
      <c r="P5129" s="20"/>
      <c r="Q5129" s="20"/>
      <c r="R5129" s="20"/>
      <c r="S5129" s="20"/>
      <c r="T5129" s="20"/>
    </row>
    <row r="5130" spans="1:21" x14ac:dyDescent="0.25">
      <c r="A5130" s="3">
        <v>41967</v>
      </c>
      <c r="B5130" s="36">
        <v>551</v>
      </c>
      <c r="C5130" t="s">
        <v>5381</v>
      </c>
      <c r="D5130">
        <v>13</v>
      </c>
      <c r="E5130" s="18">
        <v>1300</v>
      </c>
      <c r="F5130" t="s">
        <v>889</v>
      </c>
      <c r="G5130" t="s">
        <v>5382</v>
      </c>
      <c r="H5130" s="18">
        <v>1300</v>
      </c>
      <c r="I5130" s="3">
        <v>41967</v>
      </c>
      <c r="J5130"/>
      <c r="L5130"/>
      <c r="M5130"/>
      <c r="N5130" s="20"/>
      <c r="O5130"/>
      <c r="P5130" s="20"/>
      <c r="Q5130" s="20"/>
      <c r="R5130" s="20"/>
      <c r="S5130" s="20"/>
      <c r="T5130" s="20"/>
    </row>
    <row r="5131" spans="1:21" x14ac:dyDescent="0.25">
      <c r="A5131" s="3">
        <v>41985</v>
      </c>
      <c r="B5131" s="36">
        <v>551</v>
      </c>
      <c r="C5131" t="s">
        <v>5369</v>
      </c>
      <c r="D5131">
        <v>7.75</v>
      </c>
      <c r="E5131" s="18">
        <v>775</v>
      </c>
      <c r="F5131" t="s">
        <v>889</v>
      </c>
      <c r="G5131" t="s">
        <v>5370</v>
      </c>
      <c r="H5131" s="18">
        <v>775</v>
      </c>
      <c r="I5131" s="3">
        <v>41985</v>
      </c>
      <c r="J5131"/>
      <c r="L5131"/>
      <c r="M5131"/>
      <c r="N5131" s="20"/>
      <c r="O5131" t="s">
        <v>959</v>
      </c>
      <c r="P5131" s="20"/>
      <c r="Q5131" s="20"/>
      <c r="R5131" s="20"/>
      <c r="S5131" s="20"/>
      <c r="T5131" s="20"/>
    </row>
    <row r="5132" spans="1:21" x14ac:dyDescent="0.25">
      <c r="A5132" s="46">
        <v>41985</v>
      </c>
      <c r="B5132" s="36">
        <v>551</v>
      </c>
      <c r="C5132" s="47" t="s">
        <v>1313</v>
      </c>
      <c r="D5132" s="47"/>
      <c r="E5132" s="48">
        <v>-474.7</v>
      </c>
      <c r="F5132" s="47"/>
      <c r="G5132" s="20"/>
      <c r="H5132" s="18" t="s">
        <v>442</v>
      </c>
      <c r="I5132" s="3" t="s">
        <v>442</v>
      </c>
      <c r="J5132" s="20"/>
      <c r="K5132" s="20"/>
      <c r="L5132" s="20"/>
      <c r="M5132" s="20"/>
      <c r="N5132" s="20"/>
      <c r="O5132" s="47" t="s">
        <v>5383</v>
      </c>
      <c r="P5132" s="20"/>
      <c r="Q5132" s="20"/>
      <c r="R5132" s="20"/>
      <c r="S5132" s="20" t="s">
        <v>401</v>
      </c>
      <c r="T5132" s="20"/>
    </row>
    <row r="5133" spans="1:21" x14ac:dyDescent="0.25">
      <c r="A5133" s="3">
        <v>41999</v>
      </c>
      <c r="B5133" s="36">
        <v>551</v>
      </c>
      <c r="C5133" t="s">
        <v>628</v>
      </c>
      <c r="D5133">
        <v>5.75</v>
      </c>
      <c r="E5133" s="18">
        <v>250</v>
      </c>
      <c r="F5133" t="s">
        <v>889</v>
      </c>
      <c r="G5133" t="s">
        <v>629</v>
      </c>
      <c r="H5133" s="18">
        <v>250</v>
      </c>
      <c r="I5133" s="3">
        <v>41999</v>
      </c>
      <c r="J5133"/>
      <c r="L5133"/>
      <c r="M5133"/>
      <c r="N5133" s="20"/>
      <c r="O5133"/>
      <c r="P5133" s="20"/>
      <c r="Q5133" s="20"/>
      <c r="R5133" s="20"/>
      <c r="S5133" s="20"/>
      <c r="T5133" s="20"/>
    </row>
    <row r="5134" spans="1:21" x14ac:dyDescent="0.25">
      <c r="A5134" s="3">
        <v>41999</v>
      </c>
      <c r="B5134" s="36">
        <v>551</v>
      </c>
      <c r="C5134" t="s">
        <v>5373</v>
      </c>
      <c r="D5134">
        <v>6.375</v>
      </c>
      <c r="E5134" s="18">
        <v>775</v>
      </c>
      <c r="F5134" t="s">
        <v>889</v>
      </c>
      <c r="G5134" t="s">
        <v>5374</v>
      </c>
      <c r="H5134" s="18">
        <v>775</v>
      </c>
      <c r="I5134" s="3">
        <v>41999</v>
      </c>
      <c r="J5134"/>
      <c r="L5134"/>
      <c r="M5134"/>
      <c r="N5134" s="20"/>
      <c r="O5134" t="s">
        <v>959</v>
      </c>
      <c r="P5134" s="20"/>
      <c r="Q5134" s="20"/>
      <c r="R5134" s="20"/>
      <c r="S5134" s="20"/>
      <c r="T5134" s="20"/>
    </row>
    <row r="5135" spans="1:21" x14ac:dyDescent="0.25">
      <c r="A5135" s="3">
        <v>42013</v>
      </c>
      <c r="B5135" s="36">
        <v>551</v>
      </c>
      <c r="C5135" t="s">
        <v>628</v>
      </c>
      <c r="D5135">
        <v>5.75</v>
      </c>
      <c r="E5135" s="18">
        <v>287.5</v>
      </c>
      <c r="F5135" t="s">
        <v>889</v>
      </c>
      <c r="G5135" t="s">
        <v>629</v>
      </c>
      <c r="H5135" s="18">
        <v>287.5</v>
      </c>
      <c r="I5135" s="3">
        <v>42013</v>
      </c>
      <c r="J5135"/>
      <c r="L5135"/>
      <c r="M5135"/>
      <c r="N5135" s="20"/>
      <c r="O5135"/>
      <c r="P5135" s="20"/>
      <c r="Q5135" s="20"/>
      <c r="R5135" s="20"/>
      <c r="S5135" s="20"/>
      <c r="T5135" s="20"/>
    </row>
    <row r="5136" spans="1:21" x14ac:dyDescent="0.25">
      <c r="A5136" s="3">
        <v>42034</v>
      </c>
      <c r="B5136">
        <v>551</v>
      </c>
      <c r="C5136" t="s">
        <v>628</v>
      </c>
      <c r="D5136" s="19">
        <v>5.75</v>
      </c>
      <c r="E5136" s="18">
        <v>1072.5</v>
      </c>
      <c r="F5136" s="23" t="s">
        <v>889</v>
      </c>
      <c r="G5136" t="s">
        <v>629</v>
      </c>
      <c r="H5136" s="18"/>
      <c r="J5136"/>
      <c r="L5136"/>
      <c r="M5136"/>
      <c r="N5136" s="20"/>
      <c r="O5136"/>
      <c r="P5136" s="20"/>
      <c r="Q5136" s="20"/>
      <c r="R5136" s="20"/>
      <c r="S5136" s="20"/>
      <c r="T5136" s="20"/>
    </row>
    <row r="5137" spans="1:21" x14ac:dyDescent="0.25">
      <c r="B5137">
        <v>551</v>
      </c>
      <c r="C5137" t="s">
        <v>5375</v>
      </c>
      <c r="D5137">
        <v>19.75</v>
      </c>
      <c r="E5137" s="18">
        <v>-1975</v>
      </c>
      <c r="F5137" t="s">
        <v>889</v>
      </c>
      <c r="G5137" t="s">
        <v>5376</v>
      </c>
      <c r="I5137"/>
      <c r="J5137"/>
      <c r="L5137"/>
      <c r="M5137"/>
      <c r="O5137"/>
      <c r="P5137" s="20"/>
      <c r="Q5137" s="20"/>
      <c r="R5137" s="20"/>
      <c r="S5137" s="20"/>
      <c r="T5137" s="20"/>
      <c r="U5137" t="s">
        <v>401</v>
      </c>
    </row>
    <row r="5138" spans="1:21" x14ac:dyDescent="0.25">
      <c r="B5138">
        <v>551</v>
      </c>
      <c r="C5138" t="s">
        <v>5371</v>
      </c>
      <c r="D5138">
        <v>6</v>
      </c>
      <c r="E5138" s="18">
        <v>-600</v>
      </c>
      <c r="F5138" t="s">
        <v>889</v>
      </c>
      <c r="G5138" t="s">
        <v>5372</v>
      </c>
      <c r="I5138"/>
      <c r="J5138"/>
      <c r="L5138"/>
      <c r="M5138"/>
      <c r="O5138"/>
      <c r="P5138" s="20"/>
      <c r="Q5138" s="20"/>
      <c r="R5138" s="20"/>
      <c r="S5138" s="20"/>
      <c r="T5138" s="20"/>
      <c r="U5138" t="s">
        <v>401</v>
      </c>
    </row>
    <row r="5139" spans="1:21" x14ac:dyDescent="0.25">
      <c r="B5139">
        <v>551</v>
      </c>
      <c r="C5139" t="s">
        <v>5373</v>
      </c>
      <c r="D5139">
        <v>5</v>
      </c>
      <c r="E5139" s="18">
        <v>-275</v>
      </c>
      <c r="F5139" t="s">
        <v>889</v>
      </c>
      <c r="G5139" t="s">
        <v>5374</v>
      </c>
      <c r="I5139"/>
      <c r="J5139"/>
      <c r="L5139"/>
      <c r="M5139"/>
      <c r="O5139"/>
      <c r="P5139" s="20"/>
      <c r="Q5139" s="20"/>
      <c r="R5139" s="20"/>
      <c r="S5139" s="20"/>
      <c r="T5139" s="20"/>
      <c r="U5139" t="s">
        <v>401</v>
      </c>
    </row>
    <row r="5140" spans="1:21" x14ac:dyDescent="0.25">
      <c r="B5140">
        <v>551</v>
      </c>
      <c r="C5140" t="s">
        <v>5384</v>
      </c>
      <c r="D5140">
        <v>8</v>
      </c>
      <c r="E5140" s="18">
        <v>-800</v>
      </c>
      <c r="F5140" t="s">
        <v>889</v>
      </c>
      <c r="G5140" t="s">
        <v>5378</v>
      </c>
      <c r="I5140"/>
      <c r="J5140"/>
      <c r="L5140"/>
      <c r="M5140"/>
      <c r="O5140"/>
      <c r="P5140" s="20"/>
      <c r="Q5140" s="20"/>
      <c r="R5140" s="20"/>
      <c r="S5140" s="20"/>
      <c r="T5140" s="20"/>
      <c r="U5140" t="s">
        <v>401</v>
      </c>
    </row>
    <row r="5141" spans="1:21" x14ac:dyDescent="0.25">
      <c r="A5141" s="3">
        <v>41894</v>
      </c>
      <c r="B5141" s="36">
        <v>553</v>
      </c>
      <c r="C5141" t="s">
        <v>5385</v>
      </c>
      <c r="D5141">
        <v>6.5</v>
      </c>
      <c r="E5141" s="18">
        <v>650</v>
      </c>
      <c r="F5141" t="s">
        <v>889</v>
      </c>
      <c r="G5141" t="s">
        <v>5386</v>
      </c>
      <c r="H5141" s="18">
        <v>650</v>
      </c>
      <c r="I5141" s="3">
        <v>41894</v>
      </c>
      <c r="J5141"/>
      <c r="L5141"/>
      <c r="M5141"/>
      <c r="N5141" s="20"/>
      <c r="O5141"/>
      <c r="P5141" s="20"/>
      <c r="Q5141" s="20"/>
      <c r="R5141" s="20"/>
      <c r="S5141" s="20"/>
      <c r="T5141" s="20"/>
    </row>
    <row r="5142" spans="1:21" x14ac:dyDescent="0.25">
      <c r="A5142" s="3">
        <v>41950</v>
      </c>
      <c r="B5142" s="36">
        <v>553</v>
      </c>
      <c r="C5142" t="s">
        <v>5387</v>
      </c>
      <c r="D5142">
        <v>16</v>
      </c>
      <c r="E5142" s="18">
        <v>1600</v>
      </c>
      <c r="F5142" t="s">
        <v>889</v>
      </c>
      <c r="G5142" t="s">
        <v>5388</v>
      </c>
      <c r="H5142" s="18">
        <v>1600</v>
      </c>
      <c r="I5142" s="3">
        <v>41950</v>
      </c>
      <c r="J5142"/>
      <c r="L5142"/>
      <c r="M5142"/>
      <c r="N5142" s="20"/>
      <c r="O5142"/>
      <c r="P5142" s="20"/>
      <c r="Q5142" s="20"/>
      <c r="R5142" s="20"/>
      <c r="S5142" s="20"/>
      <c r="T5142" s="20"/>
    </row>
    <row r="5143" spans="1:21" x14ac:dyDescent="0.25">
      <c r="A5143" s="3">
        <v>41950</v>
      </c>
      <c r="B5143" s="36">
        <v>553</v>
      </c>
      <c r="C5143" t="s">
        <v>5385</v>
      </c>
      <c r="E5143" s="18">
        <v>-650</v>
      </c>
      <c r="F5143" t="s">
        <v>889</v>
      </c>
      <c r="G5143" t="s">
        <v>5386</v>
      </c>
      <c r="H5143" s="18" t="s">
        <v>442</v>
      </c>
      <c r="I5143" s="3" t="s">
        <v>442</v>
      </c>
      <c r="J5143"/>
      <c r="L5143"/>
      <c r="M5143"/>
      <c r="N5143" s="20"/>
      <c r="O5143"/>
      <c r="P5143" s="20"/>
      <c r="Q5143" s="20"/>
      <c r="R5143" s="20"/>
      <c r="S5143" s="20"/>
      <c r="T5143" s="20"/>
    </row>
    <row r="5144" spans="1:21" x14ac:dyDescent="0.25">
      <c r="B5144">
        <v>567</v>
      </c>
      <c r="C5144" t="s">
        <v>3870</v>
      </c>
      <c r="E5144" s="18">
        <v>-50</v>
      </c>
      <c r="I5144"/>
      <c r="J5144"/>
      <c r="L5144"/>
      <c r="M5144"/>
      <c r="O5144"/>
      <c r="P5144" s="20"/>
      <c r="Q5144" s="20"/>
      <c r="R5144" s="20"/>
      <c r="S5144" s="20"/>
      <c r="T5144" s="20"/>
      <c r="U5144" t="s">
        <v>401</v>
      </c>
    </row>
    <row r="5145" spans="1:21" x14ac:dyDescent="0.25">
      <c r="A5145" s="3">
        <v>41907</v>
      </c>
      <c r="B5145" s="36">
        <v>569</v>
      </c>
      <c r="C5145" t="s">
        <v>5389</v>
      </c>
      <c r="D5145">
        <v>9</v>
      </c>
      <c r="E5145" s="18">
        <v>900</v>
      </c>
      <c r="F5145" t="s">
        <v>889</v>
      </c>
      <c r="G5145" t="s">
        <v>5390</v>
      </c>
      <c r="H5145" s="18">
        <v>900</v>
      </c>
      <c r="I5145" s="3">
        <v>41907</v>
      </c>
      <c r="J5145"/>
      <c r="L5145"/>
      <c r="M5145"/>
      <c r="N5145" s="20"/>
      <c r="O5145"/>
      <c r="P5145" s="20"/>
      <c r="Q5145" s="20"/>
      <c r="R5145" s="20"/>
      <c r="S5145" s="20"/>
      <c r="T5145" s="20"/>
    </row>
    <row r="5146" spans="1:21" x14ac:dyDescent="0.25">
      <c r="A5146" s="3">
        <v>41918</v>
      </c>
      <c r="B5146" s="36">
        <v>569</v>
      </c>
      <c r="C5146" t="s">
        <v>5391</v>
      </c>
      <c r="D5146">
        <v>9.75</v>
      </c>
      <c r="E5146" s="18">
        <v>975</v>
      </c>
      <c r="F5146" t="s">
        <v>889</v>
      </c>
      <c r="G5146" t="s">
        <v>5392</v>
      </c>
      <c r="H5146" s="18">
        <v>975</v>
      </c>
      <c r="I5146" s="3">
        <v>41918</v>
      </c>
      <c r="J5146"/>
      <c r="L5146"/>
      <c r="M5146"/>
      <c r="N5146" s="20"/>
      <c r="O5146"/>
      <c r="P5146" s="20"/>
      <c r="Q5146" s="20"/>
      <c r="R5146" s="20"/>
      <c r="S5146" s="20"/>
      <c r="T5146" s="20"/>
    </row>
    <row r="5147" spans="1:21" x14ac:dyDescent="0.25">
      <c r="B5147">
        <v>569</v>
      </c>
      <c r="C5147" t="s">
        <v>5389</v>
      </c>
      <c r="D5147">
        <v>9</v>
      </c>
      <c r="E5147" s="18">
        <v>-900</v>
      </c>
      <c r="F5147" t="s">
        <v>889</v>
      </c>
      <c r="G5147" t="s">
        <v>5390</v>
      </c>
      <c r="I5147"/>
      <c r="J5147"/>
      <c r="L5147"/>
      <c r="M5147"/>
      <c r="O5147"/>
      <c r="P5147" s="20"/>
      <c r="Q5147" s="20"/>
      <c r="R5147" s="20"/>
      <c r="S5147" s="20"/>
      <c r="T5147" s="20"/>
      <c r="U5147" t="s">
        <v>401</v>
      </c>
    </row>
    <row r="5148" spans="1:21" x14ac:dyDescent="0.25">
      <c r="A5148" s="3">
        <v>41873</v>
      </c>
      <c r="B5148" s="36">
        <v>574</v>
      </c>
      <c r="C5148" t="s">
        <v>5197</v>
      </c>
      <c r="E5148" s="18">
        <v>50</v>
      </c>
      <c r="F5148" t="s">
        <v>889</v>
      </c>
      <c r="G5148" t="s">
        <v>442</v>
      </c>
      <c r="H5148" s="18" t="s">
        <v>442</v>
      </c>
      <c r="I5148" s="3" t="s">
        <v>442</v>
      </c>
      <c r="J5148"/>
      <c r="L5148"/>
      <c r="M5148"/>
      <c r="N5148" s="20"/>
      <c r="O5148"/>
      <c r="P5148" s="20"/>
      <c r="Q5148" s="20"/>
      <c r="R5148" s="20"/>
      <c r="S5148" s="20"/>
      <c r="T5148" s="20" t="s">
        <v>401</v>
      </c>
    </row>
    <row r="5149" spans="1:21" x14ac:dyDescent="0.25">
      <c r="A5149" s="3" t="s">
        <v>4200</v>
      </c>
      <c r="B5149" s="36">
        <v>574</v>
      </c>
      <c r="C5149" t="s">
        <v>4201</v>
      </c>
      <c r="E5149" s="18">
        <v>500</v>
      </c>
      <c r="G5149" t="s">
        <v>442</v>
      </c>
      <c r="H5149" s="18" t="s">
        <v>442</v>
      </c>
      <c r="I5149" s="3" t="s">
        <v>442</v>
      </c>
      <c r="J5149"/>
      <c r="L5149"/>
      <c r="M5149"/>
      <c r="N5149" s="20"/>
      <c r="O5149"/>
      <c r="P5149" s="20"/>
      <c r="Q5149" s="20"/>
      <c r="R5149" s="20"/>
      <c r="S5149" s="20"/>
      <c r="T5149" s="20" t="s">
        <v>401</v>
      </c>
    </row>
    <row r="5150" spans="1:21" x14ac:dyDescent="0.25">
      <c r="A5150" s="3" t="s">
        <v>4200</v>
      </c>
      <c r="B5150" s="36">
        <v>574</v>
      </c>
      <c r="C5150" t="s">
        <v>4201</v>
      </c>
      <c r="E5150" s="18">
        <v>-500</v>
      </c>
      <c r="G5150" t="s">
        <v>442</v>
      </c>
      <c r="H5150" s="18" t="s">
        <v>442</v>
      </c>
      <c r="I5150" s="3" t="s">
        <v>442</v>
      </c>
      <c r="J5150"/>
      <c r="L5150"/>
      <c r="M5150"/>
      <c r="N5150" s="20"/>
      <c r="O5150"/>
      <c r="P5150" s="20"/>
      <c r="Q5150" s="20"/>
      <c r="R5150" s="20"/>
      <c r="S5150" s="20"/>
      <c r="T5150" s="20" t="s">
        <v>401</v>
      </c>
    </row>
    <row r="5151" spans="1:21" x14ac:dyDescent="0.25">
      <c r="A5151" s="3" t="s">
        <v>4202</v>
      </c>
      <c r="B5151" s="36">
        <v>574</v>
      </c>
      <c r="C5151" t="s">
        <v>4203</v>
      </c>
      <c r="E5151" s="18">
        <v>500</v>
      </c>
      <c r="G5151" t="s">
        <v>442</v>
      </c>
      <c r="H5151" s="18" t="s">
        <v>442</v>
      </c>
      <c r="I5151" s="3" t="s">
        <v>442</v>
      </c>
      <c r="J5151"/>
      <c r="L5151"/>
      <c r="M5151"/>
      <c r="N5151" s="20"/>
      <c r="O5151"/>
      <c r="P5151" s="20"/>
      <c r="Q5151" s="20"/>
      <c r="R5151" s="20"/>
      <c r="S5151" s="20"/>
      <c r="T5151" s="20" t="s">
        <v>401</v>
      </c>
    </row>
    <row r="5152" spans="1:21" x14ac:dyDescent="0.25">
      <c r="A5152" s="3" t="s">
        <v>4202</v>
      </c>
      <c r="B5152" s="36">
        <v>574</v>
      </c>
      <c r="C5152" t="s">
        <v>4203</v>
      </c>
      <c r="E5152" s="18">
        <v>-500</v>
      </c>
      <c r="G5152" t="s">
        <v>442</v>
      </c>
      <c r="H5152" s="18" t="s">
        <v>442</v>
      </c>
      <c r="I5152" s="3" t="s">
        <v>442</v>
      </c>
      <c r="J5152"/>
      <c r="L5152"/>
      <c r="M5152"/>
      <c r="N5152" s="20"/>
      <c r="O5152"/>
      <c r="P5152" s="20"/>
      <c r="Q5152" s="20"/>
      <c r="R5152" s="20"/>
      <c r="S5152" s="20"/>
      <c r="T5152" s="20" t="s">
        <v>401</v>
      </c>
    </row>
    <row r="5153" spans="1:20" x14ac:dyDescent="0.25">
      <c r="A5153" s="3" t="s">
        <v>5393</v>
      </c>
      <c r="B5153" s="36">
        <v>574</v>
      </c>
      <c r="C5153" t="s">
        <v>5394</v>
      </c>
      <c r="E5153" s="18">
        <v>500</v>
      </c>
      <c r="G5153" t="s">
        <v>442</v>
      </c>
      <c r="H5153" s="18" t="s">
        <v>442</v>
      </c>
      <c r="I5153" s="3" t="s">
        <v>442</v>
      </c>
      <c r="J5153"/>
      <c r="L5153"/>
      <c r="M5153"/>
      <c r="N5153" s="20"/>
      <c r="O5153"/>
      <c r="P5153" s="20"/>
      <c r="Q5153" s="20"/>
      <c r="R5153" s="20"/>
      <c r="S5153" s="20"/>
      <c r="T5153" s="20" t="s">
        <v>401</v>
      </c>
    </row>
    <row r="5154" spans="1:20" x14ac:dyDescent="0.25">
      <c r="A5154" s="3" t="s">
        <v>5393</v>
      </c>
      <c r="B5154" s="36">
        <v>574</v>
      </c>
      <c r="C5154" t="s">
        <v>5394</v>
      </c>
      <c r="E5154" s="18">
        <v>-500</v>
      </c>
      <c r="G5154" t="s">
        <v>442</v>
      </c>
      <c r="H5154" s="18" t="s">
        <v>442</v>
      </c>
      <c r="I5154" s="3" t="s">
        <v>442</v>
      </c>
      <c r="J5154"/>
      <c r="L5154"/>
      <c r="M5154"/>
      <c r="N5154" s="20"/>
      <c r="O5154"/>
      <c r="P5154" s="20"/>
      <c r="Q5154" s="20"/>
      <c r="R5154" s="20"/>
      <c r="S5154" s="20"/>
      <c r="T5154" s="20" t="s">
        <v>401</v>
      </c>
    </row>
    <row r="5155" spans="1:20" x14ac:dyDescent="0.25">
      <c r="A5155" s="3" t="s">
        <v>4206</v>
      </c>
      <c r="B5155" s="36">
        <v>574</v>
      </c>
      <c r="C5155" t="s">
        <v>4207</v>
      </c>
      <c r="E5155" s="18">
        <v>500</v>
      </c>
      <c r="G5155" t="s">
        <v>442</v>
      </c>
      <c r="H5155" s="18" t="s">
        <v>442</v>
      </c>
      <c r="I5155" s="3" t="s">
        <v>442</v>
      </c>
      <c r="J5155"/>
      <c r="L5155"/>
      <c r="M5155"/>
      <c r="N5155" s="20"/>
      <c r="O5155"/>
      <c r="P5155" s="20"/>
      <c r="Q5155" s="20"/>
      <c r="R5155" s="20"/>
      <c r="S5155" s="20"/>
      <c r="T5155" s="20" t="s">
        <v>401</v>
      </c>
    </row>
    <row r="5156" spans="1:20" x14ac:dyDescent="0.25">
      <c r="A5156" s="3" t="s">
        <v>4206</v>
      </c>
      <c r="B5156" s="36">
        <v>574</v>
      </c>
      <c r="C5156" t="s">
        <v>4207</v>
      </c>
      <c r="E5156" s="18">
        <v>-500</v>
      </c>
      <c r="G5156" t="s">
        <v>442</v>
      </c>
      <c r="H5156" s="18" t="s">
        <v>442</v>
      </c>
      <c r="I5156" s="3" t="s">
        <v>442</v>
      </c>
      <c r="J5156"/>
      <c r="L5156"/>
      <c r="M5156"/>
      <c r="N5156" s="20"/>
      <c r="O5156"/>
      <c r="P5156" s="20"/>
      <c r="Q5156" s="20"/>
      <c r="R5156" s="20"/>
      <c r="S5156" s="20"/>
      <c r="T5156" s="20" t="s">
        <v>401</v>
      </c>
    </row>
    <row r="5157" spans="1:20" x14ac:dyDescent="0.25">
      <c r="A5157" s="37">
        <v>41894</v>
      </c>
      <c r="B5157" s="36">
        <v>576</v>
      </c>
      <c r="C5157" s="38" t="s">
        <v>3252</v>
      </c>
      <c r="D5157" s="38"/>
      <c r="E5157" s="39">
        <v>1000</v>
      </c>
      <c r="F5157" s="38" t="s">
        <v>889</v>
      </c>
      <c r="G5157" t="s">
        <v>442</v>
      </c>
      <c r="H5157" s="18" t="s">
        <v>442</v>
      </c>
      <c r="I5157" s="3" t="s">
        <v>442</v>
      </c>
      <c r="J5157"/>
      <c r="L5157"/>
      <c r="M5157"/>
      <c r="N5157" s="40"/>
      <c r="O5157" s="38"/>
      <c r="P5157" s="20"/>
      <c r="Q5157" s="20"/>
      <c r="R5157" s="20"/>
      <c r="S5157" s="20"/>
      <c r="T5157" s="20" t="s">
        <v>401</v>
      </c>
    </row>
    <row r="5158" spans="1:20" x14ac:dyDescent="0.25">
      <c r="A5158" s="3">
        <v>41929</v>
      </c>
      <c r="B5158" s="36">
        <v>576</v>
      </c>
      <c r="C5158" t="s">
        <v>5395</v>
      </c>
      <c r="E5158" s="18">
        <v>1000</v>
      </c>
      <c r="F5158" t="s">
        <v>889</v>
      </c>
      <c r="G5158" t="s">
        <v>442</v>
      </c>
      <c r="H5158" s="18" t="s">
        <v>442</v>
      </c>
      <c r="I5158" s="3" t="s">
        <v>442</v>
      </c>
      <c r="J5158"/>
      <c r="L5158"/>
      <c r="M5158"/>
      <c r="N5158" s="20"/>
      <c r="O5158"/>
      <c r="P5158" s="20"/>
      <c r="Q5158" s="20"/>
      <c r="R5158" s="20"/>
      <c r="S5158" s="20"/>
      <c r="T5158" s="20" t="s">
        <v>401</v>
      </c>
    </row>
    <row r="5159" spans="1:20" x14ac:dyDescent="0.25">
      <c r="A5159" s="3">
        <v>41936</v>
      </c>
      <c r="B5159" s="36">
        <v>576</v>
      </c>
      <c r="C5159" t="s">
        <v>5396</v>
      </c>
      <c r="D5159">
        <v>5.75</v>
      </c>
      <c r="E5159" s="18">
        <v>535.5</v>
      </c>
      <c r="F5159" t="s">
        <v>889</v>
      </c>
      <c r="G5159" t="s">
        <v>5397</v>
      </c>
      <c r="H5159" s="18">
        <v>535.5</v>
      </c>
      <c r="I5159" s="3">
        <v>41936</v>
      </c>
      <c r="J5159"/>
      <c r="L5159"/>
      <c r="M5159"/>
      <c r="N5159" s="20"/>
      <c r="O5159"/>
      <c r="P5159" s="20"/>
      <c r="Q5159" s="20"/>
      <c r="R5159" s="20"/>
      <c r="S5159" s="20"/>
      <c r="T5159" s="20"/>
    </row>
    <row r="5160" spans="1:20" x14ac:dyDescent="0.25">
      <c r="A5160" s="3">
        <v>41936</v>
      </c>
      <c r="B5160" s="36">
        <v>576</v>
      </c>
      <c r="C5160" t="s">
        <v>5395</v>
      </c>
      <c r="E5160" s="18">
        <v>-1000</v>
      </c>
      <c r="F5160" t="s">
        <v>889</v>
      </c>
      <c r="G5160" t="s">
        <v>442</v>
      </c>
      <c r="H5160" s="18" t="s">
        <v>442</v>
      </c>
      <c r="I5160" s="3" t="s">
        <v>442</v>
      </c>
      <c r="J5160"/>
      <c r="L5160"/>
      <c r="M5160"/>
      <c r="N5160" s="20"/>
      <c r="O5160"/>
      <c r="P5160" s="20"/>
      <c r="Q5160" s="20"/>
      <c r="R5160" s="20"/>
      <c r="S5160" s="20"/>
      <c r="T5160" s="20" t="s">
        <v>401</v>
      </c>
    </row>
    <row r="5161" spans="1:20" x14ac:dyDescent="0.25">
      <c r="A5161" s="3">
        <v>41936</v>
      </c>
      <c r="B5161" s="36">
        <v>576</v>
      </c>
      <c r="C5161" t="s">
        <v>5398</v>
      </c>
      <c r="D5161">
        <v>7.4</v>
      </c>
      <c r="E5161" s="18">
        <v>739.5</v>
      </c>
      <c r="F5161" t="s">
        <v>889</v>
      </c>
      <c r="G5161" t="s">
        <v>5399</v>
      </c>
      <c r="H5161" s="18">
        <v>739.5</v>
      </c>
      <c r="I5161" s="3">
        <v>41936</v>
      </c>
      <c r="J5161"/>
      <c r="L5161"/>
      <c r="M5161"/>
      <c r="N5161" s="20"/>
      <c r="O5161"/>
      <c r="P5161" s="20"/>
      <c r="Q5161" s="20"/>
      <c r="R5161" s="20"/>
      <c r="S5161" s="20"/>
      <c r="T5161" s="20"/>
    </row>
    <row r="5162" spans="1:20" x14ac:dyDescent="0.25">
      <c r="A5162" s="3">
        <v>41936</v>
      </c>
      <c r="B5162" s="36">
        <v>576</v>
      </c>
      <c r="C5162" t="s">
        <v>1117</v>
      </c>
      <c r="E5162" s="18">
        <v>-206.98611109999999</v>
      </c>
      <c r="F5162" t="s">
        <v>891</v>
      </c>
      <c r="G5162" t="s">
        <v>442</v>
      </c>
      <c r="H5162" s="18" t="s">
        <v>442</v>
      </c>
      <c r="I5162" s="3" t="s">
        <v>442</v>
      </c>
      <c r="J5162"/>
      <c r="L5162"/>
      <c r="M5162"/>
      <c r="N5162" s="20"/>
      <c r="O5162"/>
      <c r="P5162" s="20"/>
      <c r="Q5162" s="20" t="s">
        <v>401</v>
      </c>
      <c r="R5162" s="20"/>
      <c r="S5162" s="20"/>
      <c r="T5162" s="20"/>
    </row>
    <row r="5163" spans="1:20" x14ac:dyDescent="0.25">
      <c r="A5163" s="3">
        <v>41936</v>
      </c>
      <c r="B5163" s="36">
        <v>576</v>
      </c>
      <c r="C5163" t="s">
        <v>5036</v>
      </c>
      <c r="E5163" s="18">
        <v>-384.40277780000002</v>
      </c>
      <c r="F5163" t="s">
        <v>891</v>
      </c>
      <c r="G5163" t="s">
        <v>442</v>
      </c>
      <c r="H5163" s="18" t="s">
        <v>442</v>
      </c>
      <c r="I5163" s="3" t="s">
        <v>442</v>
      </c>
      <c r="J5163"/>
      <c r="L5163"/>
      <c r="M5163"/>
      <c r="N5163" s="20"/>
      <c r="O5163"/>
      <c r="P5163" s="20"/>
      <c r="Q5163" s="20" t="s">
        <v>401</v>
      </c>
      <c r="R5163" s="20"/>
      <c r="S5163" s="20"/>
      <c r="T5163" s="20"/>
    </row>
    <row r="5164" spans="1:20" x14ac:dyDescent="0.25">
      <c r="A5164" s="3">
        <v>41936</v>
      </c>
      <c r="B5164" s="36">
        <v>576</v>
      </c>
      <c r="C5164" t="s">
        <v>5037</v>
      </c>
      <c r="E5164" s="18">
        <v>384.40277780000002</v>
      </c>
      <c r="F5164" t="s">
        <v>891</v>
      </c>
      <c r="G5164" t="s">
        <v>442</v>
      </c>
      <c r="H5164" s="18" t="s">
        <v>442</v>
      </c>
      <c r="I5164" s="3" t="s">
        <v>442</v>
      </c>
      <c r="J5164"/>
      <c r="L5164"/>
      <c r="M5164"/>
      <c r="N5164" s="20"/>
      <c r="O5164" t="s">
        <v>5400</v>
      </c>
      <c r="P5164" s="20"/>
      <c r="Q5164" s="20" t="s">
        <v>401</v>
      </c>
      <c r="R5164" s="20"/>
      <c r="S5164" s="20"/>
      <c r="T5164" s="20"/>
    </row>
    <row r="5165" spans="1:20" x14ac:dyDescent="0.25">
      <c r="A5165" s="3">
        <v>41936</v>
      </c>
      <c r="B5165" s="36">
        <v>576</v>
      </c>
      <c r="C5165" t="s">
        <v>5401</v>
      </c>
      <c r="D5165">
        <v>27.25</v>
      </c>
      <c r="E5165" s="18">
        <v>2725</v>
      </c>
      <c r="F5165" t="s">
        <v>889</v>
      </c>
      <c r="G5165" t="s">
        <v>5402</v>
      </c>
      <c r="H5165" s="18">
        <v>2725</v>
      </c>
      <c r="I5165" s="3">
        <v>41936</v>
      </c>
      <c r="J5165"/>
      <c r="L5165"/>
      <c r="M5165"/>
      <c r="N5165" s="20"/>
      <c r="O5165"/>
      <c r="P5165" s="20"/>
      <c r="Q5165" s="20"/>
      <c r="R5165" s="20"/>
      <c r="S5165" s="20"/>
      <c r="T5165" s="20"/>
    </row>
    <row r="5166" spans="1:20" x14ac:dyDescent="0.25">
      <c r="A5166" s="3">
        <v>41943</v>
      </c>
      <c r="B5166" s="36">
        <v>576</v>
      </c>
      <c r="C5166" t="s">
        <v>5403</v>
      </c>
      <c r="D5166">
        <v>2.5499999999999998</v>
      </c>
      <c r="E5166" s="18">
        <v>254.99999999999997</v>
      </c>
      <c r="F5166" t="s">
        <v>889</v>
      </c>
      <c r="G5166" t="s">
        <v>5404</v>
      </c>
      <c r="H5166" s="18">
        <v>254.99999999999997</v>
      </c>
      <c r="I5166" s="3">
        <v>41943</v>
      </c>
      <c r="J5166"/>
      <c r="L5166"/>
      <c r="M5166"/>
      <c r="N5166" s="20"/>
      <c r="O5166"/>
      <c r="P5166" s="20"/>
      <c r="Q5166" s="20"/>
      <c r="R5166" s="20"/>
      <c r="S5166" s="20"/>
      <c r="T5166" s="20"/>
    </row>
    <row r="5167" spans="1:20" x14ac:dyDescent="0.25">
      <c r="A5167" s="3">
        <v>41943</v>
      </c>
      <c r="B5167" s="36">
        <v>576</v>
      </c>
      <c r="C5167" t="s">
        <v>5405</v>
      </c>
      <c r="D5167">
        <v>6.63</v>
      </c>
      <c r="E5167" s="18">
        <v>663</v>
      </c>
      <c r="F5167" t="s">
        <v>889</v>
      </c>
      <c r="G5167" t="s">
        <v>5406</v>
      </c>
      <c r="H5167" s="18">
        <v>663</v>
      </c>
      <c r="I5167" s="3">
        <v>41943</v>
      </c>
      <c r="J5167"/>
      <c r="L5167"/>
      <c r="M5167"/>
      <c r="N5167" s="20"/>
      <c r="O5167"/>
      <c r="P5167" s="20"/>
      <c r="Q5167" s="20"/>
      <c r="R5167" s="20"/>
      <c r="S5167" s="20"/>
      <c r="T5167" s="20"/>
    </row>
    <row r="5168" spans="1:20" x14ac:dyDescent="0.25">
      <c r="A5168" s="3">
        <v>41943</v>
      </c>
      <c r="B5168" s="36">
        <v>576</v>
      </c>
      <c r="C5168" t="s">
        <v>5407</v>
      </c>
      <c r="D5168">
        <v>6.8849999999999998</v>
      </c>
      <c r="E5168" s="18">
        <v>688.5</v>
      </c>
      <c r="F5168" t="s">
        <v>889</v>
      </c>
      <c r="G5168" t="s">
        <v>5408</v>
      </c>
      <c r="H5168" s="18">
        <v>688.5</v>
      </c>
      <c r="I5168" s="3">
        <v>41943</v>
      </c>
      <c r="J5168"/>
      <c r="L5168"/>
      <c r="M5168"/>
      <c r="N5168" s="20"/>
      <c r="O5168"/>
      <c r="P5168" s="20"/>
      <c r="Q5168" s="20"/>
      <c r="R5168" s="20"/>
      <c r="S5168" s="20"/>
      <c r="T5168" s="20"/>
    </row>
    <row r="5169" spans="1:21" x14ac:dyDescent="0.25">
      <c r="A5169" s="3">
        <v>41971</v>
      </c>
      <c r="B5169" s="36">
        <v>576</v>
      </c>
      <c r="C5169" t="s">
        <v>5409</v>
      </c>
      <c r="D5169">
        <v>5.61</v>
      </c>
      <c r="E5169" s="18">
        <v>561</v>
      </c>
      <c r="F5169" t="s">
        <v>889</v>
      </c>
      <c r="G5169" t="s">
        <v>5410</v>
      </c>
      <c r="H5169" s="18">
        <v>561</v>
      </c>
      <c r="I5169" s="3">
        <v>41971</v>
      </c>
      <c r="J5169"/>
      <c r="L5169"/>
      <c r="M5169"/>
      <c r="N5169" s="20"/>
      <c r="O5169"/>
      <c r="P5169" s="20"/>
      <c r="Q5169" s="20"/>
      <c r="R5169" s="20"/>
      <c r="S5169" s="20"/>
      <c r="T5169" s="20"/>
    </row>
    <row r="5170" spans="1:21" x14ac:dyDescent="0.25">
      <c r="A5170" s="3">
        <v>41971</v>
      </c>
      <c r="B5170" s="36">
        <v>576</v>
      </c>
      <c r="C5170" t="s">
        <v>963</v>
      </c>
      <c r="E5170" s="18">
        <v>251.20000000000002</v>
      </c>
      <c r="F5170" t="s">
        <v>889</v>
      </c>
      <c r="G5170" t="s">
        <v>442</v>
      </c>
      <c r="H5170" s="18" t="s">
        <v>442</v>
      </c>
      <c r="I5170" s="3" t="s">
        <v>442</v>
      </c>
      <c r="J5170"/>
      <c r="L5170"/>
      <c r="M5170"/>
      <c r="N5170" s="40" t="s">
        <v>401</v>
      </c>
      <c r="O5170"/>
      <c r="P5170" s="20"/>
      <c r="Q5170" s="20"/>
      <c r="R5170" s="20"/>
      <c r="S5170" s="20"/>
      <c r="T5170" s="20"/>
    </row>
    <row r="5171" spans="1:21" x14ac:dyDescent="0.25">
      <c r="A5171" s="3">
        <v>41971</v>
      </c>
      <c r="B5171" s="36">
        <v>576</v>
      </c>
      <c r="C5171" t="s">
        <v>1312</v>
      </c>
      <c r="E5171" s="18">
        <v>-204.15</v>
      </c>
      <c r="F5171" t="s">
        <v>891</v>
      </c>
      <c r="G5171" t="s">
        <v>442</v>
      </c>
      <c r="H5171" s="18" t="s">
        <v>442</v>
      </c>
      <c r="I5171" s="3" t="s">
        <v>442</v>
      </c>
      <c r="J5171"/>
      <c r="L5171"/>
      <c r="M5171"/>
      <c r="N5171" s="20"/>
      <c r="O5171"/>
      <c r="P5171" s="20"/>
      <c r="Q5171" s="20" t="s">
        <v>401</v>
      </c>
      <c r="R5171" s="20"/>
      <c r="S5171" s="20"/>
      <c r="T5171" s="20"/>
    </row>
    <row r="5172" spans="1:21" x14ac:dyDescent="0.25">
      <c r="A5172" s="3">
        <v>41971</v>
      </c>
      <c r="B5172" s="36">
        <v>576</v>
      </c>
      <c r="C5172" t="s">
        <v>5411</v>
      </c>
      <c r="D5172">
        <v>5.3550000000000004</v>
      </c>
      <c r="E5172" s="18">
        <v>535.5</v>
      </c>
      <c r="F5172" t="s">
        <v>889</v>
      </c>
      <c r="G5172" t="s">
        <v>5412</v>
      </c>
      <c r="H5172" s="18">
        <v>535.5</v>
      </c>
      <c r="I5172" s="3">
        <v>41971</v>
      </c>
      <c r="J5172"/>
      <c r="L5172"/>
      <c r="M5172"/>
      <c r="N5172" s="20"/>
      <c r="O5172"/>
      <c r="P5172" s="20"/>
      <c r="Q5172" s="20"/>
      <c r="R5172" s="20"/>
      <c r="S5172" s="20"/>
      <c r="T5172" s="20"/>
    </row>
    <row r="5173" spans="1:21" x14ac:dyDescent="0.25">
      <c r="A5173" s="3">
        <v>41978</v>
      </c>
      <c r="B5173" s="36">
        <v>576</v>
      </c>
      <c r="C5173" t="s">
        <v>2573</v>
      </c>
      <c r="E5173" s="18">
        <v>-204.15</v>
      </c>
      <c r="F5173" t="s">
        <v>891</v>
      </c>
      <c r="G5173" t="s">
        <v>442</v>
      </c>
      <c r="H5173" s="18" t="s">
        <v>442</v>
      </c>
      <c r="I5173" s="3" t="s">
        <v>442</v>
      </c>
      <c r="J5173"/>
      <c r="L5173"/>
      <c r="M5173"/>
      <c r="N5173" s="20"/>
      <c r="O5173"/>
      <c r="P5173" s="20"/>
      <c r="Q5173" s="20" t="s">
        <v>401</v>
      </c>
      <c r="R5173" s="20"/>
      <c r="S5173" s="20"/>
      <c r="T5173" s="20"/>
    </row>
    <row r="5174" spans="1:21" x14ac:dyDescent="0.25">
      <c r="A5174" s="3">
        <v>41992</v>
      </c>
      <c r="B5174" s="36">
        <v>576</v>
      </c>
      <c r="C5174" t="s">
        <v>770</v>
      </c>
      <c r="D5174">
        <v>8.25</v>
      </c>
      <c r="E5174" s="18">
        <v>250</v>
      </c>
      <c r="F5174" t="s">
        <v>889</v>
      </c>
      <c r="G5174" t="s">
        <v>771</v>
      </c>
      <c r="H5174" s="18">
        <v>250</v>
      </c>
      <c r="I5174" s="3">
        <v>41992</v>
      </c>
      <c r="J5174"/>
      <c r="L5174"/>
      <c r="M5174"/>
      <c r="N5174" s="20"/>
      <c r="O5174"/>
      <c r="P5174" s="20"/>
      <c r="Q5174" s="20"/>
      <c r="R5174" s="20"/>
      <c r="S5174" s="20"/>
      <c r="T5174" s="20"/>
    </row>
    <row r="5175" spans="1:21" x14ac:dyDescent="0.25">
      <c r="A5175" s="3">
        <v>41999</v>
      </c>
      <c r="B5175" s="36">
        <v>576</v>
      </c>
      <c r="C5175" t="s">
        <v>5413</v>
      </c>
      <c r="D5175">
        <v>4.335</v>
      </c>
      <c r="E5175" s="18">
        <v>433.5</v>
      </c>
      <c r="F5175" t="s">
        <v>889</v>
      </c>
      <c r="G5175" t="s">
        <v>5414</v>
      </c>
      <c r="H5175" s="18">
        <v>433.5</v>
      </c>
      <c r="I5175" s="3">
        <v>41999</v>
      </c>
      <c r="J5175"/>
      <c r="L5175"/>
      <c r="M5175"/>
      <c r="N5175" s="20"/>
      <c r="O5175"/>
      <c r="P5175" s="20"/>
      <c r="Q5175" s="20"/>
      <c r="R5175" s="20"/>
      <c r="S5175" s="20"/>
      <c r="T5175" s="20"/>
    </row>
    <row r="5176" spans="1:21" x14ac:dyDescent="0.25">
      <c r="A5176" s="3">
        <v>41999</v>
      </c>
      <c r="B5176" s="36">
        <v>576</v>
      </c>
      <c r="C5176" t="s">
        <v>3076</v>
      </c>
      <c r="E5176" s="18">
        <v>-204.15</v>
      </c>
      <c r="F5176" t="s">
        <v>889</v>
      </c>
      <c r="G5176" t="s">
        <v>442</v>
      </c>
      <c r="H5176" s="18" t="s">
        <v>442</v>
      </c>
      <c r="I5176" s="3" t="s">
        <v>442</v>
      </c>
      <c r="J5176"/>
      <c r="L5176"/>
      <c r="M5176"/>
      <c r="N5176" s="20"/>
      <c r="O5176"/>
      <c r="P5176" s="20"/>
      <c r="Q5176" s="20" t="s">
        <v>401</v>
      </c>
      <c r="R5176" s="20"/>
      <c r="S5176" s="20"/>
      <c r="T5176" s="20"/>
    </row>
    <row r="5177" spans="1:21" x14ac:dyDescent="0.25">
      <c r="A5177" s="3">
        <v>41999</v>
      </c>
      <c r="B5177" s="36">
        <v>576</v>
      </c>
      <c r="C5177" t="s">
        <v>5407</v>
      </c>
      <c r="D5177">
        <v>7.3949999999999996</v>
      </c>
      <c r="E5177" s="18">
        <v>790.5</v>
      </c>
      <c r="F5177" t="s">
        <v>889</v>
      </c>
      <c r="G5177" t="s">
        <v>5408</v>
      </c>
      <c r="H5177" s="18">
        <v>790.5</v>
      </c>
      <c r="I5177" s="3">
        <v>41999</v>
      </c>
      <c r="J5177"/>
      <c r="L5177"/>
      <c r="M5177"/>
      <c r="N5177" s="20"/>
      <c r="O5177" t="s">
        <v>959</v>
      </c>
      <c r="P5177" s="20"/>
      <c r="Q5177" s="20"/>
      <c r="R5177" s="20"/>
      <c r="S5177" s="20"/>
      <c r="T5177" s="20"/>
    </row>
    <row r="5178" spans="1:21" x14ac:dyDescent="0.25">
      <c r="A5178" s="3">
        <v>41999</v>
      </c>
      <c r="B5178" s="36">
        <v>576</v>
      </c>
      <c r="C5178" t="s">
        <v>5411</v>
      </c>
      <c r="D5178">
        <v>9.9450000000000003</v>
      </c>
      <c r="E5178" s="18">
        <v>1453.5</v>
      </c>
      <c r="F5178" t="s">
        <v>889</v>
      </c>
      <c r="G5178" t="s">
        <v>5412</v>
      </c>
      <c r="H5178" s="18">
        <v>1453.5</v>
      </c>
      <c r="I5178" s="3">
        <v>41999</v>
      </c>
      <c r="J5178"/>
      <c r="L5178"/>
      <c r="M5178"/>
      <c r="N5178" s="20"/>
      <c r="O5178" t="s">
        <v>959</v>
      </c>
      <c r="P5178" s="20"/>
      <c r="Q5178" s="20"/>
      <c r="R5178" s="20"/>
      <c r="S5178" s="20"/>
      <c r="T5178" s="20"/>
    </row>
    <row r="5179" spans="1:21" x14ac:dyDescent="0.25">
      <c r="B5179">
        <v>576</v>
      </c>
      <c r="C5179" t="s">
        <v>5415</v>
      </c>
      <c r="E5179" s="18">
        <v>-1000</v>
      </c>
      <c r="F5179" t="s">
        <v>889</v>
      </c>
      <c r="G5179" t="s">
        <v>442</v>
      </c>
      <c r="I5179"/>
      <c r="J5179"/>
      <c r="L5179"/>
      <c r="M5179"/>
      <c r="O5179"/>
      <c r="P5179" s="20"/>
      <c r="Q5179" s="20"/>
      <c r="R5179" s="20"/>
      <c r="S5179" s="20"/>
      <c r="T5179" s="20"/>
      <c r="U5179" t="s">
        <v>401</v>
      </c>
    </row>
    <row r="5180" spans="1:21" x14ac:dyDescent="0.25">
      <c r="B5180">
        <v>576</v>
      </c>
      <c r="C5180" t="s">
        <v>5416</v>
      </c>
      <c r="D5180">
        <v>4.335</v>
      </c>
      <c r="E5180" s="18">
        <v>433.5</v>
      </c>
      <c r="F5180" t="s">
        <v>889</v>
      </c>
      <c r="G5180" t="s">
        <v>5414</v>
      </c>
      <c r="I5180"/>
      <c r="J5180"/>
      <c r="L5180"/>
      <c r="M5180"/>
      <c r="O5180"/>
      <c r="P5180" s="20"/>
      <c r="Q5180" s="20"/>
      <c r="R5180" s="20"/>
      <c r="S5180" s="20"/>
      <c r="T5180" s="20"/>
      <c r="U5180" t="s">
        <v>401</v>
      </c>
    </row>
    <row r="5181" spans="1:21" x14ac:dyDescent="0.25">
      <c r="B5181">
        <v>576</v>
      </c>
      <c r="C5181" t="s">
        <v>969</v>
      </c>
      <c r="E5181" s="18">
        <v>-14.03</v>
      </c>
      <c r="I5181"/>
      <c r="J5181"/>
      <c r="L5181"/>
      <c r="M5181"/>
      <c r="O5181"/>
      <c r="P5181" s="20"/>
      <c r="Q5181" s="20"/>
      <c r="R5181" s="20"/>
      <c r="S5181" s="20"/>
      <c r="T5181" s="20"/>
      <c r="U5181" t="s">
        <v>401</v>
      </c>
    </row>
    <row r="5182" spans="1:21" x14ac:dyDescent="0.25">
      <c r="B5182">
        <v>576</v>
      </c>
      <c r="C5182" t="s">
        <v>974</v>
      </c>
      <c r="E5182" s="18">
        <v>7.6499999999999995</v>
      </c>
      <c r="I5182"/>
      <c r="J5182"/>
      <c r="L5182"/>
      <c r="M5182"/>
      <c r="O5182"/>
      <c r="P5182" s="20"/>
      <c r="Q5182" s="20"/>
      <c r="R5182" s="20"/>
      <c r="S5182" s="20"/>
      <c r="T5182" s="20"/>
      <c r="U5182" t="s">
        <v>401</v>
      </c>
    </row>
    <row r="5183" spans="1:21" x14ac:dyDescent="0.25">
      <c r="B5183">
        <v>576</v>
      </c>
      <c r="C5183" t="s">
        <v>5417</v>
      </c>
      <c r="E5183" s="18">
        <v>206.99</v>
      </c>
      <c r="F5183" t="s">
        <v>891</v>
      </c>
      <c r="G5183" t="s">
        <v>442</v>
      </c>
      <c r="I5183"/>
      <c r="J5183"/>
      <c r="L5183"/>
      <c r="M5183"/>
      <c r="O5183"/>
      <c r="P5183" s="20"/>
      <c r="Q5183" s="20"/>
      <c r="R5183" s="20"/>
      <c r="S5183" s="20"/>
      <c r="T5183" s="20"/>
      <c r="U5183" t="s">
        <v>401</v>
      </c>
    </row>
    <row r="5184" spans="1:21" x14ac:dyDescent="0.25">
      <c r="B5184">
        <v>576</v>
      </c>
      <c r="C5184" t="s">
        <v>4691</v>
      </c>
      <c r="E5184" s="18">
        <v>-304.93150684931504</v>
      </c>
      <c r="I5184"/>
      <c r="J5184"/>
      <c r="L5184"/>
      <c r="M5184"/>
      <c r="O5184"/>
      <c r="P5184" s="20"/>
      <c r="Q5184" s="20"/>
      <c r="R5184" s="20"/>
      <c r="S5184" s="20"/>
      <c r="T5184" s="20"/>
      <c r="U5184" t="s">
        <v>401</v>
      </c>
    </row>
    <row r="5185" spans="1:21" x14ac:dyDescent="0.25">
      <c r="B5185">
        <v>576</v>
      </c>
      <c r="C5185" t="s">
        <v>5407</v>
      </c>
      <c r="D5185">
        <v>6.8849999999999998</v>
      </c>
      <c r="E5185" s="18">
        <v>-102</v>
      </c>
      <c r="F5185" t="s">
        <v>889</v>
      </c>
      <c r="G5185" t="s">
        <v>5408</v>
      </c>
      <c r="I5185"/>
      <c r="J5185"/>
      <c r="L5185"/>
      <c r="M5185"/>
      <c r="O5185"/>
      <c r="P5185" s="20"/>
      <c r="Q5185" s="20"/>
      <c r="R5185" s="20"/>
      <c r="S5185" s="20"/>
      <c r="T5185" s="20"/>
      <c r="U5185" t="s">
        <v>401</v>
      </c>
    </row>
    <row r="5186" spans="1:21" x14ac:dyDescent="0.25">
      <c r="B5186">
        <v>576</v>
      </c>
      <c r="C5186" t="s">
        <v>5411</v>
      </c>
      <c r="D5186">
        <v>5.3550000000000004</v>
      </c>
      <c r="E5186" s="18">
        <v>-918</v>
      </c>
      <c r="F5186" t="s">
        <v>889</v>
      </c>
      <c r="G5186" t="s">
        <v>5412</v>
      </c>
      <c r="I5186"/>
      <c r="J5186"/>
      <c r="L5186"/>
      <c r="M5186"/>
      <c r="O5186"/>
      <c r="P5186" s="20"/>
      <c r="Q5186" s="20"/>
      <c r="R5186" s="20"/>
      <c r="S5186" s="20"/>
      <c r="T5186" s="20"/>
      <c r="U5186" t="s">
        <v>401</v>
      </c>
    </row>
    <row r="5187" spans="1:21" x14ac:dyDescent="0.25">
      <c r="B5187">
        <v>576</v>
      </c>
      <c r="C5187" t="s">
        <v>5418</v>
      </c>
      <c r="D5187">
        <v>7.3949999999999996</v>
      </c>
      <c r="E5187" s="18">
        <v>739.5</v>
      </c>
      <c r="F5187" t="s">
        <v>889</v>
      </c>
      <c r="G5187" t="s">
        <v>5399</v>
      </c>
      <c r="I5187"/>
      <c r="J5187"/>
      <c r="L5187"/>
      <c r="M5187"/>
      <c r="O5187"/>
      <c r="P5187" s="20"/>
      <c r="Q5187" s="20"/>
      <c r="R5187" s="20"/>
      <c r="S5187" s="20"/>
      <c r="T5187" s="20"/>
      <c r="U5187" t="s">
        <v>401</v>
      </c>
    </row>
    <row r="5188" spans="1:21" x14ac:dyDescent="0.25">
      <c r="B5188">
        <v>579</v>
      </c>
      <c r="C5188" t="s">
        <v>5197</v>
      </c>
      <c r="E5188" s="18">
        <v>105</v>
      </c>
      <c r="F5188" t="s">
        <v>889</v>
      </c>
      <c r="G5188" t="s">
        <v>442</v>
      </c>
      <c r="I5188"/>
      <c r="J5188"/>
      <c r="L5188"/>
      <c r="M5188"/>
      <c r="O5188"/>
      <c r="P5188" s="20"/>
      <c r="Q5188" s="20"/>
      <c r="R5188" s="20"/>
      <c r="S5188" s="20"/>
      <c r="T5188" s="20"/>
      <c r="U5188" t="s">
        <v>401</v>
      </c>
    </row>
    <row r="5189" spans="1:21" x14ac:dyDescent="0.25">
      <c r="A5189" s="46">
        <v>41873</v>
      </c>
      <c r="B5189" s="36">
        <v>580</v>
      </c>
      <c r="C5189" s="47" t="s">
        <v>5197</v>
      </c>
      <c r="D5189" s="47"/>
      <c r="E5189" s="48">
        <v>210</v>
      </c>
      <c r="F5189" s="47" t="s">
        <v>889</v>
      </c>
      <c r="G5189" s="20"/>
      <c r="H5189" s="18" t="s">
        <v>442</v>
      </c>
      <c r="I5189" s="3" t="s">
        <v>442</v>
      </c>
      <c r="J5189" s="20"/>
      <c r="K5189" s="20"/>
      <c r="L5189" s="20"/>
      <c r="M5189" s="20"/>
      <c r="N5189" s="20"/>
      <c r="O5189" s="47"/>
      <c r="P5189" s="20"/>
      <c r="Q5189" s="20"/>
      <c r="R5189" s="20"/>
      <c r="S5189" s="20"/>
      <c r="T5189" s="20" t="s">
        <v>401</v>
      </c>
    </row>
    <row r="5190" spans="1:21" x14ac:dyDescent="0.25">
      <c r="A5190" s="3">
        <v>41880</v>
      </c>
      <c r="B5190" s="36">
        <v>580</v>
      </c>
      <c r="C5190" t="s">
        <v>4536</v>
      </c>
      <c r="E5190" s="18">
        <v>500</v>
      </c>
      <c r="G5190" t="s">
        <v>442</v>
      </c>
      <c r="H5190" s="18" t="s">
        <v>442</v>
      </c>
      <c r="I5190" s="3" t="s">
        <v>442</v>
      </c>
      <c r="J5190"/>
      <c r="L5190"/>
      <c r="M5190"/>
      <c r="N5190" s="20"/>
      <c r="O5190"/>
      <c r="P5190" s="20"/>
      <c r="Q5190" s="20"/>
      <c r="R5190" s="20"/>
      <c r="S5190" s="20"/>
      <c r="T5190" s="20" t="s">
        <v>401</v>
      </c>
    </row>
    <row r="5191" spans="1:21" x14ac:dyDescent="0.25">
      <c r="A5191" s="3" t="s">
        <v>4196</v>
      </c>
      <c r="B5191" s="36">
        <v>580</v>
      </c>
      <c r="C5191" t="s">
        <v>5419</v>
      </c>
      <c r="E5191" s="18">
        <v>500</v>
      </c>
      <c r="G5191" t="s">
        <v>442</v>
      </c>
      <c r="H5191" s="18" t="s">
        <v>442</v>
      </c>
      <c r="I5191" s="3" t="s">
        <v>442</v>
      </c>
      <c r="J5191"/>
      <c r="L5191"/>
      <c r="M5191"/>
      <c r="N5191" s="20"/>
      <c r="O5191"/>
      <c r="P5191" s="20"/>
      <c r="Q5191" s="20"/>
      <c r="R5191" s="20"/>
      <c r="S5191" s="20"/>
      <c r="T5191" s="20" t="s">
        <v>401</v>
      </c>
    </row>
    <row r="5192" spans="1:21" x14ac:dyDescent="0.25">
      <c r="A5192" s="3" t="s">
        <v>4198</v>
      </c>
      <c r="B5192" s="36">
        <v>580</v>
      </c>
      <c r="C5192" t="s">
        <v>5420</v>
      </c>
      <c r="E5192" s="18">
        <v>500</v>
      </c>
      <c r="G5192" t="s">
        <v>442</v>
      </c>
      <c r="H5192" s="18" t="s">
        <v>442</v>
      </c>
      <c r="I5192" s="3" t="s">
        <v>442</v>
      </c>
      <c r="J5192"/>
      <c r="L5192"/>
      <c r="M5192"/>
      <c r="N5192" s="20"/>
      <c r="O5192"/>
      <c r="P5192" s="20"/>
      <c r="Q5192" s="20"/>
      <c r="R5192" s="20"/>
      <c r="S5192" s="20"/>
      <c r="T5192" s="20" t="s">
        <v>401</v>
      </c>
    </row>
    <row r="5193" spans="1:21" x14ac:dyDescent="0.25">
      <c r="A5193" s="3" t="s">
        <v>4200</v>
      </c>
      <c r="B5193" s="36">
        <v>580</v>
      </c>
      <c r="C5193" t="s">
        <v>5421</v>
      </c>
      <c r="E5193" s="18">
        <v>500</v>
      </c>
      <c r="G5193" t="s">
        <v>442</v>
      </c>
      <c r="H5193" s="18" t="s">
        <v>442</v>
      </c>
      <c r="I5193" s="3" t="s">
        <v>442</v>
      </c>
      <c r="J5193"/>
      <c r="L5193"/>
      <c r="M5193"/>
      <c r="N5193" s="20"/>
      <c r="O5193"/>
      <c r="P5193" s="20"/>
      <c r="Q5193" s="20"/>
      <c r="R5193" s="20"/>
      <c r="S5193" s="20"/>
      <c r="T5193" s="20" t="s">
        <v>401</v>
      </c>
    </row>
    <row r="5194" spans="1:21" x14ac:dyDescent="0.25">
      <c r="A5194" s="3" t="s">
        <v>4202</v>
      </c>
      <c r="B5194" s="36">
        <v>580</v>
      </c>
      <c r="C5194" t="s">
        <v>5422</v>
      </c>
      <c r="E5194" s="18">
        <v>500</v>
      </c>
      <c r="G5194" t="s">
        <v>442</v>
      </c>
      <c r="H5194" s="18" t="s">
        <v>442</v>
      </c>
      <c r="I5194" s="3" t="s">
        <v>442</v>
      </c>
      <c r="J5194"/>
      <c r="L5194"/>
      <c r="M5194"/>
      <c r="N5194" s="20"/>
      <c r="O5194"/>
      <c r="P5194" s="20"/>
      <c r="Q5194" s="20"/>
      <c r="R5194" s="20"/>
      <c r="S5194" s="20"/>
      <c r="T5194" s="20" t="s">
        <v>401</v>
      </c>
    </row>
    <row r="5195" spans="1:21" x14ac:dyDescent="0.25">
      <c r="A5195" s="3" t="s">
        <v>4204</v>
      </c>
      <c r="B5195" s="36">
        <v>580</v>
      </c>
      <c r="C5195" t="s">
        <v>5423</v>
      </c>
      <c r="E5195" s="18">
        <v>500</v>
      </c>
      <c r="G5195" t="s">
        <v>442</v>
      </c>
      <c r="H5195" s="18" t="s">
        <v>442</v>
      </c>
      <c r="I5195" s="3" t="s">
        <v>442</v>
      </c>
      <c r="J5195"/>
      <c r="L5195"/>
      <c r="M5195"/>
      <c r="N5195" s="20"/>
      <c r="O5195"/>
      <c r="P5195" s="20"/>
      <c r="Q5195" s="20"/>
      <c r="R5195" s="20"/>
      <c r="S5195" s="20"/>
      <c r="T5195" s="20" t="s">
        <v>401</v>
      </c>
    </row>
    <row r="5196" spans="1:21" x14ac:dyDescent="0.25">
      <c r="A5196" s="3" t="s">
        <v>4206</v>
      </c>
      <c r="B5196" s="36">
        <v>580</v>
      </c>
      <c r="C5196" t="s">
        <v>4207</v>
      </c>
      <c r="E5196" s="18">
        <v>500</v>
      </c>
      <c r="G5196" t="s">
        <v>442</v>
      </c>
      <c r="H5196" s="18" t="s">
        <v>442</v>
      </c>
      <c r="I5196" s="3" t="s">
        <v>442</v>
      </c>
      <c r="J5196"/>
      <c r="L5196"/>
      <c r="M5196"/>
      <c r="N5196" s="20"/>
      <c r="O5196"/>
      <c r="P5196" s="20"/>
      <c r="Q5196" s="20"/>
      <c r="R5196" s="20"/>
      <c r="S5196" s="20"/>
      <c r="T5196" s="20" t="s">
        <v>401</v>
      </c>
    </row>
    <row r="5197" spans="1:21" x14ac:dyDescent="0.25">
      <c r="A5197" s="3" t="s">
        <v>4208</v>
      </c>
      <c r="B5197" s="36">
        <v>580</v>
      </c>
      <c r="C5197" t="s">
        <v>4209</v>
      </c>
      <c r="E5197" s="18">
        <v>500</v>
      </c>
      <c r="G5197" t="s">
        <v>442</v>
      </c>
      <c r="H5197" s="18" t="s">
        <v>442</v>
      </c>
      <c r="I5197" s="3" t="s">
        <v>442</v>
      </c>
      <c r="J5197"/>
      <c r="L5197"/>
      <c r="M5197"/>
      <c r="N5197" s="20"/>
      <c r="O5197"/>
      <c r="P5197" s="20"/>
      <c r="Q5197" s="20"/>
      <c r="R5197" s="20"/>
      <c r="S5197" s="20"/>
      <c r="T5197" s="20" t="s">
        <v>401</v>
      </c>
    </row>
    <row r="5198" spans="1:21" x14ac:dyDescent="0.25">
      <c r="A5198" s="3" t="s">
        <v>4210</v>
      </c>
      <c r="B5198" s="36">
        <v>580</v>
      </c>
      <c r="C5198" t="s">
        <v>4211</v>
      </c>
      <c r="E5198" s="18">
        <v>500</v>
      </c>
      <c r="G5198" t="s">
        <v>442</v>
      </c>
      <c r="H5198" s="18" t="s">
        <v>442</v>
      </c>
      <c r="I5198" s="3" t="s">
        <v>442</v>
      </c>
      <c r="J5198"/>
      <c r="L5198"/>
      <c r="M5198"/>
      <c r="N5198" s="20"/>
      <c r="O5198"/>
      <c r="P5198" s="20"/>
      <c r="Q5198" s="20"/>
      <c r="R5198" s="20"/>
      <c r="S5198" s="20"/>
      <c r="T5198" s="20" t="s">
        <v>401</v>
      </c>
    </row>
    <row r="5199" spans="1:21" x14ac:dyDescent="0.25">
      <c r="A5199" s="3" t="s">
        <v>4212</v>
      </c>
      <c r="B5199" s="36">
        <v>580</v>
      </c>
      <c r="C5199" t="s">
        <v>4213</v>
      </c>
      <c r="E5199" s="18">
        <v>500</v>
      </c>
      <c r="G5199" t="s">
        <v>442</v>
      </c>
      <c r="H5199" s="18" t="s">
        <v>442</v>
      </c>
      <c r="I5199" s="3" t="s">
        <v>442</v>
      </c>
      <c r="J5199"/>
      <c r="L5199"/>
      <c r="M5199"/>
      <c r="N5199" s="20"/>
      <c r="O5199"/>
      <c r="P5199" s="20"/>
      <c r="Q5199" s="20"/>
      <c r="R5199" s="20"/>
      <c r="S5199" s="20"/>
      <c r="T5199" s="20" t="s">
        <v>401</v>
      </c>
    </row>
    <row r="5200" spans="1:21" x14ac:dyDescent="0.25">
      <c r="A5200" s="3" t="s">
        <v>4214</v>
      </c>
      <c r="B5200" s="36">
        <v>580</v>
      </c>
      <c r="C5200" t="s">
        <v>5424</v>
      </c>
      <c r="E5200" s="18">
        <v>500</v>
      </c>
      <c r="G5200" t="s">
        <v>442</v>
      </c>
      <c r="H5200" s="18" t="s">
        <v>442</v>
      </c>
      <c r="I5200" s="3" t="s">
        <v>442</v>
      </c>
      <c r="J5200"/>
      <c r="L5200"/>
      <c r="M5200"/>
      <c r="N5200" s="20"/>
      <c r="O5200"/>
      <c r="P5200" s="20"/>
      <c r="Q5200" s="20"/>
      <c r="R5200" s="20"/>
      <c r="S5200" s="20"/>
      <c r="T5200" s="20" t="s">
        <v>401</v>
      </c>
    </row>
    <row r="5201" spans="1:21" x14ac:dyDescent="0.25">
      <c r="A5201" s="3" t="s">
        <v>4216</v>
      </c>
      <c r="B5201" s="36">
        <v>580</v>
      </c>
      <c r="C5201" t="s">
        <v>4217</v>
      </c>
      <c r="E5201" s="18">
        <v>750</v>
      </c>
      <c r="G5201" t="s">
        <v>442</v>
      </c>
      <c r="H5201" s="18" t="s">
        <v>442</v>
      </c>
      <c r="I5201" s="3" t="s">
        <v>442</v>
      </c>
      <c r="J5201"/>
      <c r="L5201"/>
      <c r="M5201"/>
      <c r="N5201" s="20"/>
      <c r="O5201"/>
      <c r="P5201" s="20"/>
      <c r="Q5201" s="20"/>
      <c r="R5201" s="20"/>
      <c r="S5201" s="20"/>
      <c r="T5201" s="20" t="s">
        <v>401</v>
      </c>
    </row>
    <row r="5202" spans="1:21" x14ac:dyDescent="0.25">
      <c r="A5202" s="3" t="s">
        <v>5425</v>
      </c>
      <c r="B5202" s="36">
        <v>580</v>
      </c>
      <c r="C5202" t="s">
        <v>5426</v>
      </c>
      <c r="E5202" s="18">
        <v>750</v>
      </c>
      <c r="G5202" t="s">
        <v>442</v>
      </c>
      <c r="H5202" s="18" t="s">
        <v>442</v>
      </c>
      <c r="I5202" s="3" t="s">
        <v>442</v>
      </c>
      <c r="J5202"/>
      <c r="L5202"/>
      <c r="M5202"/>
      <c r="N5202" s="20"/>
      <c r="O5202"/>
      <c r="P5202" s="20"/>
      <c r="Q5202" s="20"/>
      <c r="R5202" s="20"/>
      <c r="S5202" s="20"/>
      <c r="T5202" s="20" t="s">
        <v>401</v>
      </c>
    </row>
    <row r="5203" spans="1:21" x14ac:dyDescent="0.25">
      <c r="A5203" s="3" t="s">
        <v>5425</v>
      </c>
      <c r="B5203" s="36">
        <v>580</v>
      </c>
      <c r="C5203" t="s">
        <v>5426</v>
      </c>
      <c r="E5203" s="18">
        <v>750</v>
      </c>
      <c r="G5203" t="s">
        <v>442</v>
      </c>
      <c r="H5203" s="18" t="s">
        <v>442</v>
      </c>
      <c r="I5203" s="3" t="s">
        <v>442</v>
      </c>
      <c r="J5203"/>
      <c r="L5203"/>
      <c r="M5203"/>
      <c r="N5203" s="20"/>
      <c r="O5203" t="s">
        <v>5427</v>
      </c>
      <c r="P5203" s="20"/>
      <c r="Q5203" s="20"/>
      <c r="R5203" s="20"/>
      <c r="S5203" s="20"/>
      <c r="T5203" s="20" t="s">
        <v>401</v>
      </c>
    </row>
    <row r="5204" spans="1:21" x14ac:dyDescent="0.25">
      <c r="A5204" s="3" t="s">
        <v>5428</v>
      </c>
      <c r="B5204" s="36">
        <v>580</v>
      </c>
      <c r="C5204" t="s">
        <v>5429</v>
      </c>
      <c r="E5204" s="18">
        <v>500</v>
      </c>
      <c r="G5204" t="s">
        <v>442</v>
      </c>
      <c r="H5204" s="18" t="s">
        <v>442</v>
      </c>
      <c r="I5204" s="3" t="s">
        <v>442</v>
      </c>
      <c r="J5204"/>
      <c r="L5204"/>
      <c r="M5204"/>
      <c r="N5204" s="20"/>
      <c r="O5204"/>
      <c r="P5204" s="20"/>
      <c r="Q5204" s="20"/>
      <c r="R5204" s="20"/>
      <c r="S5204" s="20"/>
      <c r="T5204" s="20" t="s">
        <v>401</v>
      </c>
    </row>
    <row r="5205" spans="1:21" x14ac:dyDescent="0.25">
      <c r="A5205" s="3" t="s">
        <v>5430</v>
      </c>
      <c r="B5205" s="36">
        <v>580</v>
      </c>
      <c r="C5205" t="s">
        <v>5431</v>
      </c>
      <c r="E5205" s="18">
        <v>750</v>
      </c>
      <c r="G5205" t="s">
        <v>442</v>
      </c>
      <c r="H5205" s="18" t="s">
        <v>442</v>
      </c>
      <c r="I5205" s="3" t="s">
        <v>442</v>
      </c>
      <c r="J5205"/>
      <c r="L5205"/>
      <c r="M5205"/>
      <c r="N5205" s="20"/>
      <c r="O5205"/>
      <c r="P5205" s="20"/>
      <c r="Q5205" s="20"/>
      <c r="R5205" s="20"/>
      <c r="S5205" s="20"/>
      <c r="T5205" s="20" t="s">
        <v>401</v>
      </c>
    </row>
    <row r="5206" spans="1:21" x14ac:dyDescent="0.25">
      <c r="A5206" s="3" t="s">
        <v>5432</v>
      </c>
      <c r="B5206" s="36">
        <v>580</v>
      </c>
      <c r="C5206" t="s">
        <v>5433</v>
      </c>
      <c r="E5206" s="18">
        <v>500</v>
      </c>
      <c r="G5206" t="s">
        <v>442</v>
      </c>
      <c r="H5206" s="18" t="s">
        <v>442</v>
      </c>
      <c r="I5206" s="3" t="s">
        <v>442</v>
      </c>
      <c r="J5206"/>
      <c r="L5206"/>
      <c r="M5206"/>
      <c r="N5206" s="20"/>
      <c r="O5206"/>
      <c r="P5206" s="20"/>
      <c r="Q5206" s="20"/>
      <c r="R5206" s="20"/>
      <c r="S5206" s="20"/>
      <c r="T5206" s="20" t="s">
        <v>401</v>
      </c>
    </row>
    <row r="5207" spans="1:21" x14ac:dyDescent="0.25">
      <c r="A5207" s="3" t="s">
        <v>5434</v>
      </c>
      <c r="B5207" s="36">
        <v>580</v>
      </c>
      <c r="C5207" t="s">
        <v>5435</v>
      </c>
      <c r="E5207" s="18">
        <v>500</v>
      </c>
      <c r="G5207" t="s">
        <v>442</v>
      </c>
      <c r="H5207" s="18" t="s">
        <v>442</v>
      </c>
      <c r="I5207" s="3" t="s">
        <v>442</v>
      </c>
      <c r="J5207"/>
      <c r="L5207"/>
      <c r="M5207"/>
      <c r="N5207" s="20"/>
      <c r="O5207"/>
      <c r="P5207" s="20"/>
      <c r="Q5207" s="20"/>
      <c r="R5207" s="20"/>
      <c r="S5207" s="20"/>
      <c r="T5207" s="20" t="s">
        <v>401</v>
      </c>
    </row>
    <row r="5208" spans="1:21" x14ac:dyDescent="0.25">
      <c r="A5208" s="3" t="s">
        <v>5436</v>
      </c>
      <c r="B5208" s="36">
        <v>580</v>
      </c>
      <c r="C5208" t="s">
        <v>5437</v>
      </c>
      <c r="E5208" s="18">
        <v>500</v>
      </c>
      <c r="G5208" t="s">
        <v>442</v>
      </c>
      <c r="H5208" s="18" t="s">
        <v>442</v>
      </c>
      <c r="I5208" s="3" t="s">
        <v>442</v>
      </c>
      <c r="J5208"/>
      <c r="L5208"/>
      <c r="M5208"/>
      <c r="N5208" s="20"/>
      <c r="O5208"/>
      <c r="P5208" s="20"/>
      <c r="Q5208" s="20"/>
      <c r="R5208" s="20"/>
      <c r="S5208" s="20"/>
      <c r="T5208" s="20" t="s">
        <v>401</v>
      </c>
    </row>
    <row r="5209" spans="1:21" x14ac:dyDescent="0.25">
      <c r="A5209" s="3">
        <v>42019</v>
      </c>
      <c r="B5209" s="36">
        <v>580</v>
      </c>
      <c r="C5209" t="s">
        <v>4547</v>
      </c>
      <c r="D5209" s="55"/>
      <c r="E5209" s="18">
        <v>500</v>
      </c>
      <c r="F5209" t="s">
        <v>889</v>
      </c>
      <c r="H5209" s="18" t="s">
        <v>442</v>
      </c>
      <c r="I5209" s="3" t="s">
        <v>442</v>
      </c>
      <c r="J5209"/>
      <c r="L5209"/>
      <c r="M5209"/>
      <c r="N5209" s="20"/>
      <c r="O5209"/>
      <c r="P5209" s="20"/>
      <c r="Q5209" s="20"/>
      <c r="R5209" s="20"/>
      <c r="S5209" s="20"/>
      <c r="T5209" s="20" t="s">
        <v>401</v>
      </c>
    </row>
    <row r="5210" spans="1:21" x14ac:dyDescent="0.25">
      <c r="A5210" s="3">
        <v>42027</v>
      </c>
      <c r="B5210" s="36">
        <v>580</v>
      </c>
      <c r="C5210" t="s">
        <v>4548</v>
      </c>
      <c r="D5210" s="55"/>
      <c r="E5210" s="18">
        <v>500</v>
      </c>
      <c r="F5210" t="s">
        <v>889</v>
      </c>
      <c r="H5210" s="18" t="s">
        <v>442</v>
      </c>
      <c r="I5210" s="3" t="s">
        <v>442</v>
      </c>
      <c r="J5210"/>
      <c r="L5210"/>
      <c r="M5210"/>
      <c r="N5210" s="20"/>
      <c r="O5210"/>
      <c r="P5210" s="20"/>
      <c r="Q5210" s="20"/>
      <c r="R5210" s="20"/>
      <c r="S5210" s="20"/>
      <c r="T5210" s="20" t="s">
        <v>401</v>
      </c>
    </row>
    <row r="5211" spans="1:21" x14ac:dyDescent="0.25">
      <c r="A5211" s="3">
        <v>42034</v>
      </c>
      <c r="B5211">
        <v>580</v>
      </c>
      <c r="C5211" t="s">
        <v>847</v>
      </c>
      <c r="D5211" s="19">
        <v>9.9450000000000003</v>
      </c>
      <c r="E5211" s="18">
        <v>-747.25</v>
      </c>
      <c r="F5211" t="s">
        <v>889</v>
      </c>
      <c r="G5211" t="s">
        <v>848</v>
      </c>
      <c r="H5211" s="18"/>
      <c r="J5211"/>
      <c r="L5211"/>
      <c r="M5211"/>
      <c r="N5211" s="20"/>
      <c r="O5211"/>
      <c r="P5211" s="20"/>
      <c r="Q5211" s="20"/>
      <c r="R5211" s="20"/>
      <c r="S5211" s="20"/>
      <c r="T5211" s="20"/>
    </row>
    <row r="5212" spans="1:21" x14ac:dyDescent="0.25">
      <c r="A5212" s="32">
        <v>42034</v>
      </c>
      <c r="B5212" s="56">
        <v>580</v>
      </c>
      <c r="C5212" t="s">
        <v>5438</v>
      </c>
      <c r="E5212" s="18">
        <v>860</v>
      </c>
      <c r="F5212" s="33" t="s">
        <v>891</v>
      </c>
      <c r="G5212" s="33"/>
      <c r="H5212" s="18"/>
      <c r="J5212"/>
      <c r="L5212"/>
      <c r="M5212"/>
      <c r="N5212" s="20"/>
      <c r="O5212"/>
      <c r="P5212" s="20" t="s">
        <v>401</v>
      </c>
      <c r="Q5212" s="20"/>
      <c r="R5212" s="20"/>
      <c r="S5212" s="20"/>
      <c r="T5212" s="20"/>
    </row>
    <row r="5213" spans="1:21" x14ac:dyDescent="0.25">
      <c r="A5213" s="32">
        <v>42034</v>
      </c>
      <c r="B5213" s="33">
        <v>580</v>
      </c>
      <c r="C5213" t="s">
        <v>5439</v>
      </c>
      <c r="D5213">
        <v>9.9450000000000003</v>
      </c>
      <c r="E5213" s="18">
        <v>621.5625</v>
      </c>
      <c r="F5213" s="33" t="s">
        <v>889</v>
      </c>
      <c r="G5213" t="s">
        <v>848</v>
      </c>
      <c r="H5213" s="18"/>
      <c r="J5213"/>
      <c r="L5213"/>
      <c r="M5213"/>
      <c r="N5213" s="20"/>
      <c r="O5213"/>
      <c r="P5213" s="20"/>
      <c r="Q5213" s="20"/>
      <c r="R5213" s="20"/>
      <c r="S5213" s="20"/>
      <c r="T5213" s="20"/>
    </row>
    <row r="5214" spans="1:21" x14ac:dyDescent="0.25">
      <c r="B5214">
        <v>580</v>
      </c>
      <c r="C5214" t="s">
        <v>4536</v>
      </c>
      <c r="E5214" s="18">
        <v>-500</v>
      </c>
      <c r="G5214" t="s">
        <v>442</v>
      </c>
      <c r="I5214"/>
      <c r="J5214"/>
      <c r="L5214"/>
      <c r="M5214"/>
      <c r="O5214"/>
      <c r="P5214" s="20"/>
      <c r="Q5214" s="20"/>
      <c r="R5214" s="20"/>
      <c r="S5214" s="20"/>
      <c r="T5214" s="20"/>
      <c r="U5214" t="s">
        <v>401</v>
      </c>
    </row>
    <row r="5215" spans="1:21" x14ac:dyDescent="0.25">
      <c r="B5215">
        <v>580</v>
      </c>
      <c r="C5215" t="s">
        <v>4207</v>
      </c>
      <c r="E5215" s="18">
        <v>-500</v>
      </c>
      <c r="G5215" t="s">
        <v>442</v>
      </c>
      <c r="I5215"/>
      <c r="J5215"/>
      <c r="L5215"/>
      <c r="M5215"/>
      <c r="O5215"/>
      <c r="P5215" s="20"/>
      <c r="Q5215" s="20"/>
      <c r="R5215" s="20"/>
      <c r="S5215" s="20"/>
      <c r="T5215" s="20"/>
      <c r="U5215" t="s">
        <v>401</v>
      </c>
    </row>
    <row r="5216" spans="1:21" x14ac:dyDescent="0.25">
      <c r="B5216">
        <v>580</v>
      </c>
      <c r="C5216" t="s">
        <v>4209</v>
      </c>
      <c r="E5216" s="18">
        <v>-500</v>
      </c>
      <c r="G5216" t="s">
        <v>442</v>
      </c>
      <c r="I5216"/>
      <c r="J5216"/>
      <c r="L5216"/>
      <c r="M5216"/>
      <c r="O5216"/>
      <c r="P5216" s="20"/>
      <c r="Q5216" s="20"/>
      <c r="R5216" s="20"/>
      <c r="S5216" s="20"/>
      <c r="T5216" s="20"/>
      <c r="U5216" t="s">
        <v>401</v>
      </c>
    </row>
    <row r="5217" spans="2:21" x14ac:dyDescent="0.25">
      <c r="B5217">
        <v>580</v>
      </c>
      <c r="C5217" t="s">
        <v>4211</v>
      </c>
      <c r="E5217" s="18">
        <v>-500</v>
      </c>
      <c r="G5217" t="s">
        <v>442</v>
      </c>
      <c r="I5217"/>
      <c r="J5217"/>
      <c r="L5217"/>
      <c r="M5217"/>
      <c r="O5217"/>
      <c r="P5217" s="20"/>
      <c r="Q5217" s="20"/>
      <c r="R5217" s="20"/>
      <c r="S5217" s="20"/>
      <c r="T5217" s="20"/>
      <c r="U5217" t="s">
        <v>401</v>
      </c>
    </row>
    <row r="5218" spans="2:21" x14ac:dyDescent="0.25">
      <c r="B5218">
        <v>580</v>
      </c>
      <c r="C5218" t="s">
        <v>4213</v>
      </c>
      <c r="E5218" s="18">
        <v>-500</v>
      </c>
      <c r="G5218" t="s">
        <v>442</v>
      </c>
      <c r="I5218"/>
      <c r="J5218"/>
      <c r="L5218"/>
      <c r="M5218"/>
      <c r="O5218"/>
      <c r="P5218" s="20"/>
      <c r="Q5218" s="20"/>
      <c r="R5218" s="20"/>
      <c r="S5218" s="20"/>
      <c r="T5218" s="20"/>
      <c r="U5218" t="s">
        <v>401</v>
      </c>
    </row>
    <row r="5219" spans="2:21" x14ac:dyDescent="0.25">
      <c r="B5219">
        <v>580</v>
      </c>
      <c r="C5219" t="s">
        <v>5423</v>
      </c>
      <c r="E5219" s="18">
        <v>-500</v>
      </c>
      <c r="G5219" t="s">
        <v>442</v>
      </c>
      <c r="I5219"/>
      <c r="J5219"/>
      <c r="L5219"/>
      <c r="M5219"/>
      <c r="O5219"/>
      <c r="P5219" s="20"/>
      <c r="Q5219" s="20"/>
      <c r="R5219" s="20"/>
      <c r="S5219" s="20"/>
      <c r="T5219" s="20"/>
      <c r="U5219" t="s">
        <v>401</v>
      </c>
    </row>
    <row r="5220" spans="2:21" x14ac:dyDescent="0.25">
      <c r="B5220">
        <v>580</v>
      </c>
      <c r="C5220" t="s">
        <v>4217</v>
      </c>
      <c r="E5220" s="18">
        <v>-750</v>
      </c>
      <c r="G5220" t="s">
        <v>442</v>
      </c>
      <c r="I5220"/>
      <c r="J5220"/>
      <c r="L5220"/>
      <c r="M5220"/>
      <c r="O5220"/>
      <c r="P5220" s="20"/>
      <c r="Q5220" s="20"/>
      <c r="R5220" s="20"/>
      <c r="S5220" s="20"/>
      <c r="T5220" s="20"/>
      <c r="U5220" t="s">
        <v>401</v>
      </c>
    </row>
    <row r="5221" spans="2:21" x14ac:dyDescent="0.25">
      <c r="B5221">
        <v>580</v>
      </c>
      <c r="C5221" t="s">
        <v>5426</v>
      </c>
      <c r="E5221" s="18">
        <v>-750</v>
      </c>
      <c r="G5221" t="s">
        <v>442</v>
      </c>
      <c r="I5221"/>
      <c r="J5221"/>
      <c r="L5221"/>
      <c r="M5221"/>
      <c r="O5221"/>
      <c r="P5221" s="20"/>
      <c r="Q5221" s="20"/>
      <c r="R5221" s="20"/>
      <c r="S5221" s="20"/>
      <c r="T5221" s="20"/>
      <c r="U5221" t="s">
        <v>401</v>
      </c>
    </row>
    <row r="5222" spans="2:21" x14ac:dyDescent="0.25">
      <c r="B5222">
        <v>580</v>
      </c>
      <c r="C5222" t="s">
        <v>5426</v>
      </c>
      <c r="E5222" s="18">
        <v>-750</v>
      </c>
      <c r="G5222" t="s">
        <v>442</v>
      </c>
      <c r="I5222"/>
      <c r="J5222"/>
      <c r="L5222"/>
      <c r="M5222"/>
      <c r="O5222"/>
      <c r="P5222" s="20"/>
      <c r="Q5222" s="20"/>
      <c r="R5222" s="20"/>
      <c r="S5222" s="20"/>
      <c r="T5222" s="20"/>
      <c r="U5222" t="s">
        <v>401</v>
      </c>
    </row>
    <row r="5223" spans="2:21" x14ac:dyDescent="0.25">
      <c r="B5223">
        <v>580</v>
      </c>
      <c r="C5223" t="s">
        <v>5424</v>
      </c>
      <c r="E5223" s="18">
        <v>-500</v>
      </c>
      <c r="G5223" t="s">
        <v>442</v>
      </c>
      <c r="I5223"/>
      <c r="J5223"/>
      <c r="L5223"/>
      <c r="M5223"/>
      <c r="O5223"/>
      <c r="P5223" s="20"/>
      <c r="Q5223" s="20"/>
      <c r="R5223" s="20"/>
      <c r="S5223" s="20"/>
      <c r="T5223" s="20"/>
      <c r="U5223" t="s">
        <v>401</v>
      </c>
    </row>
    <row r="5224" spans="2:21" x14ac:dyDescent="0.25">
      <c r="B5224">
        <v>580</v>
      </c>
      <c r="C5224" t="s">
        <v>5431</v>
      </c>
      <c r="E5224" s="18">
        <v>-750</v>
      </c>
      <c r="G5224" t="s">
        <v>442</v>
      </c>
      <c r="I5224"/>
      <c r="J5224"/>
      <c r="L5224"/>
      <c r="M5224"/>
      <c r="O5224"/>
      <c r="P5224" s="20"/>
      <c r="Q5224" s="20"/>
      <c r="R5224" s="20"/>
      <c r="S5224" s="20"/>
      <c r="T5224" s="20"/>
      <c r="U5224" t="s">
        <v>401</v>
      </c>
    </row>
    <row r="5225" spans="2:21" x14ac:dyDescent="0.25">
      <c r="B5225">
        <v>580</v>
      </c>
      <c r="C5225" t="s">
        <v>5433</v>
      </c>
      <c r="E5225" s="18">
        <v>-500</v>
      </c>
      <c r="G5225" t="s">
        <v>442</v>
      </c>
      <c r="I5225"/>
      <c r="J5225"/>
      <c r="L5225"/>
      <c r="M5225"/>
      <c r="O5225"/>
      <c r="P5225" s="20"/>
      <c r="Q5225" s="20"/>
      <c r="R5225" s="20"/>
      <c r="S5225" s="20"/>
      <c r="T5225" s="20"/>
      <c r="U5225" t="s">
        <v>401</v>
      </c>
    </row>
    <row r="5226" spans="2:21" x14ac:dyDescent="0.25">
      <c r="B5226">
        <v>580</v>
      </c>
      <c r="C5226" t="s">
        <v>5435</v>
      </c>
      <c r="E5226" s="18">
        <v>-500</v>
      </c>
      <c r="G5226" t="s">
        <v>442</v>
      </c>
      <c r="I5226"/>
      <c r="J5226"/>
      <c r="L5226"/>
      <c r="M5226"/>
      <c r="O5226"/>
      <c r="P5226" s="20"/>
      <c r="Q5226" s="20"/>
      <c r="R5226" s="20"/>
      <c r="S5226" s="20"/>
      <c r="T5226" s="20"/>
      <c r="U5226" t="s">
        <v>401</v>
      </c>
    </row>
    <row r="5227" spans="2:21" x14ac:dyDescent="0.25">
      <c r="B5227">
        <v>580</v>
      </c>
      <c r="C5227" t="s">
        <v>5437</v>
      </c>
      <c r="E5227" s="18">
        <v>-500</v>
      </c>
      <c r="G5227" t="s">
        <v>442</v>
      </c>
      <c r="I5227"/>
      <c r="J5227"/>
      <c r="L5227"/>
      <c r="M5227"/>
      <c r="O5227"/>
      <c r="P5227" s="20"/>
      <c r="Q5227" s="20"/>
      <c r="R5227" s="20"/>
      <c r="S5227" s="20"/>
      <c r="T5227" s="20"/>
      <c r="U5227" t="s">
        <v>401</v>
      </c>
    </row>
    <row r="5228" spans="2:21" x14ac:dyDescent="0.25">
      <c r="B5228">
        <v>580</v>
      </c>
      <c r="C5228" t="s">
        <v>5429</v>
      </c>
      <c r="E5228" s="18">
        <v>-500</v>
      </c>
      <c r="G5228" t="s">
        <v>442</v>
      </c>
      <c r="I5228"/>
      <c r="J5228"/>
      <c r="L5228"/>
      <c r="M5228"/>
      <c r="O5228"/>
      <c r="P5228" s="20"/>
      <c r="Q5228" s="20"/>
      <c r="R5228" s="20"/>
      <c r="S5228" s="20"/>
      <c r="T5228" s="20"/>
      <c r="U5228" t="s">
        <v>401</v>
      </c>
    </row>
    <row r="5229" spans="2:21" x14ac:dyDescent="0.25">
      <c r="B5229">
        <v>580</v>
      </c>
      <c r="C5229" t="s">
        <v>5420</v>
      </c>
      <c r="E5229" s="18">
        <v>-500</v>
      </c>
      <c r="G5229" t="s">
        <v>442</v>
      </c>
      <c r="I5229"/>
      <c r="J5229"/>
      <c r="L5229"/>
      <c r="M5229"/>
      <c r="O5229"/>
      <c r="P5229" s="20"/>
      <c r="Q5229" s="20"/>
      <c r="R5229" s="20"/>
      <c r="S5229" s="20"/>
      <c r="T5229" s="20"/>
      <c r="U5229" t="s">
        <v>401</v>
      </c>
    </row>
    <row r="5230" spans="2:21" x14ac:dyDescent="0.25">
      <c r="B5230">
        <v>580</v>
      </c>
      <c r="C5230" t="s">
        <v>5421</v>
      </c>
      <c r="E5230" s="18">
        <v>-500</v>
      </c>
      <c r="G5230" t="s">
        <v>442</v>
      </c>
      <c r="I5230"/>
      <c r="J5230"/>
      <c r="L5230"/>
      <c r="M5230"/>
      <c r="O5230"/>
      <c r="P5230" s="20"/>
      <c r="Q5230" s="20"/>
      <c r="R5230" s="20"/>
      <c r="S5230" s="20"/>
      <c r="T5230" s="20"/>
      <c r="U5230" t="s">
        <v>401</v>
      </c>
    </row>
    <row r="5231" spans="2:21" x14ac:dyDescent="0.25">
      <c r="B5231">
        <v>580</v>
      </c>
      <c r="C5231" t="s">
        <v>5422</v>
      </c>
      <c r="E5231" s="18">
        <v>-500</v>
      </c>
      <c r="G5231" t="s">
        <v>442</v>
      </c>
      <c r="I5231"/>
      <c r="J5231"/>
      <c r="L5231"/>
      <c r="M5231"/>
      <c r="O5231"/>
      <c r="P5231" s="20"/>
      <c r="Q5231" s="20"/>
      <c r="R5231" s="20"/>
      <c r="S5231" s="20"/>
      <c r="T5231" s="20"/>
      <c r="U5231" t="s">
        <v>401</v>
      </c>
    </row>
    <row r="5232" spans="2:21" x14ac:dyDescent="0.25">
      <c r="B5232">
        <v>580</v>
      </c>
      <c r="C5232" t="s">
        <v>5419</v>
      </c>
      <c r="E5232" s="18">
        <v>-500</v>
      </c>
      <c r="G5232" t="s">
        <v>442</v>
      </c>
      <c r="I5232"/>
      <c r="J5232"/>
      <c r="L5232"/>
      <c r="M5232"/>
      <c r="O5232"/>
      <c r="P5232" s="20"/>
      <c r="Q5232" s="20"/>
      <c r="R5232" s="20"/>
      <c r="S5232" s="20"/>
      <c r="T5232" s="20"/>
      <c r="U5232" t="s">
        <v>401</v>
      </c>
    </row>
    <row r="5233" spans="1:21" x14ac:dyDescent="0.25">
      <c r="B5233">
        <v>580</v>
      </c>
      <c r="C5233" t="s">
        <v>4547</v>
      </c>
      <c r="E5233" s="18">
        <v>-500</v>
      </c>
      <c r="F5233" t="s">
        <v>889</v>
      </c>
      <c r="I5233"/>
      <c r="J5233"/>
      <c r="L5233"/>
      <c r="M5233"/>
      <c r="O5233"/>
      <c r="P5233" s="20"/>
      <c r="Q5233" s="20"/>
      <c r="R5233" s="20"/>
      <c r="S5233" s="20"/>
      <c r="T5233" s="20"/>
      <c r="U5233" t="s">
        <v>401</v>
      </c>
    </row>
    <row r="5234" spans="1:21" x14ac:dyDescent="0.25">
      <c r="B5234">
        <v>580</v>
      </c>
      <c r="C5234" t="s">
        <v>4548</v>
      </c>
      <c r="E5234" s="18">
        <v>-500</v>
      </c>
      <c r="F5234" t="s">
        <v>889</v>
      </c>
      <c r="I5234"/>
      <c r="J5234"/>
      <c r="L5234"/>
      <c r="M5234"/>
      <c r="O5234"/>
      <c r="P5234" s="20"/>
      <c r="Q5234" s="20"/>
      <c r="R5234" s="20"/>
      <c r="S5234" s="20"/>
      <c r="T5234" s="20"/>
      <c r="U5234" t="s">
        <v>401</v>
      </c>
    </row>
    <row r="5235" spans="1:21" x14ac:dyDescent="0.25">
      <c r="A5235" s="37">
        <v>41894</v>
      </c>
      <c r="B5235" s="36">
        <v>581</v>
      </c>
      <c r="C5235" s="38" t="s">
        <v>5415</v>
      </c>
      <c r="D5235" s="38"/>
      <c r="E5235" s="39">
        <v>1000</v>
      </c>
      <c r="F5235" s="38" t="s">
        <v>889</v>
      </c>
      <c r="G5235" t="s">
        <v>442</v>
      </c>
      <c r="H5235" s="18" t="s">
        <v>442</v>
      </c>
      <c r="I5235" s="3" t="s">
        <v>442</v>
      </c>
      <c r="J5235"/>
      <c r="L5235"/>
      <c r="M5235"/>
      <c r="N5235" s="40"/>
      <c r="O5235" s="38"/>
      <c r="P5235" s="20"/>
      <c r="Q5235" s="20"/>
      <c r="R5235" s="20"/>
      <c r="S5235" s="20"/>
      <c r="T5235" s="20" t="s">
        <v>401</v>
      </c>
    </row>
    <row r="5236" spans="1:21" x14ac:dyDescent="0.25">
      <c r="B5236">
        <v>581</v>
      </c>
      <c r="C5236" t="s">
        <v>5415</v>
      </c>
      <c r="E5236" s="18">
        <v>-1000</v>
      </c>
      <c r="F5236" t="s">
        <v>889</v>
      </c>
      <c r="G5236" t="s">
        <v>442</v>
      </c>
      <c r="I5236"/>
      <c r="J5236"/>
      <c r="L5236"/>
      <c r="M5236"/>
      <c r="O5236"/>
      <c r="P5236" s="20"/>
      <c r="Q5236" s="20"/>
      <c r="R5236" s="20"/>
      <c r="S5236" s="20"/>
      <c r="T5236" s="20"/>
      <c r="U5236" t="s">
        <v>401</v>
      </c>
    </row>
    <row r="5237" spans="1:21" x14ac:dyDescent="0.25">
      <c r="A5237" s="3">
        <v>41904</v>
      </c>
      <c r="B5237" s="36">
        <v>582</v>
      </c>
      <c r="C5237" t="s">
        <v>4537</v>
      </c>
      <c r="E5237" s="18">
        <v>500</v>
      </c>
      <c r="F5237" t="s">
        <v>889</v>
      </c>
      <c r="G5237" t="s">
        <v>442</v>
      </c>
      <c r="H5237" s="18" t="s">
        <v>442</v>
      </c>
      <c r="I5237" s="3" t="s">
        <v>442</v>
      </c>
      <c r="J5237"/>
      <c r="L5237"/>
      <c r="M5237"/>
      <c r="N5237" s="20"/>
      <c r="O5237"/>
      <c r="P5237" s="20"/>
      <c r="Q5237" s="20"/>
      <c r="R5237" s="20"/>
      <c r="S5237" s="20"/>
      <c r="T5237" s="20" t="s">
        <v>401</v>
      </c>
    </row>
    <row r="5238" spans="1:21" x14ac:dyDescent="0.25">
      <c r="A5238" s="3">
        <v>41907</v>
      </c>
      <c r="B5238" s="36">
        <v>582</v>
      </c>
      <c r="C5238" t="s">
        <v>123</v>
      </c>
      <c r="D5238">
        <v>6.63</v>
      </c>
      <c r="E5238" s="18">
        <v>663</v>
      </c>
      <c r="F5238" t="s">
        <v>889</v>
      </c>
      <c r="G5238" t="s">
        <v>5440</v>
      </c>
      <c r="H5238" s="18">
        <v>663</v>
      </c>
      <c r="I5238" s="3">
        <v>41907</v>
      </c>
      <c r="J5238"/>
      <c r="L5238"/>
      <c r="M5238"/>
      <c r="N5238" s="20"/>
      <c r="O5238"/>
      <c r="P5238" s="20"/>
      <c r="Q5238" s="20"/>
      <c r="R5238" s="20"/>
      <c r="S5238" s="20"/>
      <c r="T5238" s="20"/>
    </row>
    <row r="5239" spans="1:21" x14ac:dyDescent="0.25">
      <c r="A5239" s="3">
        <v>41907</v>
      </c>
      <c r="B5239" s="36">
        <v>582</v>
      </c>
      <c r="C5239" t="s">
        <v>5441</v>
      </c>
      <c r="E5239" s="18">
        <v>500</v>
      </c>
      <c r="F5239" t="s">
        <v>889</v>
      </c>
      <c r="G5239" t="s">
        <v>442</v>
      </c>
      <c r="H5239" s="18" t="s">
        <v>442</v>
      </c>
      <c r="I5239" s="3" t="s">
        <v>442</v>
      </c>
      <c r="J5239"/>
      <c r="L5239"/>
      <c r="M5239"/>
      <c r="N5239" s="20"/>
      <c r="O5239"/>
      <c r="P5239" s="20"/>
      <c r="Q5239" s="20"/>
      <c r="R5239" s="20"/>
      <c r="S5239" s="20"/>
      <c r="T5239" s="20" t="s">
        <v>401</v>
      </c>
    </row>
    <row r="5240" spans="1:21" x14ac:dyDescent="0.25">
      <c r="A5240" s="3">
        <v>41907</v>
      </c>
      <c r="B5240" s="36">
        <v>582</v>
      </c>
      <c r="C5240" t="s">
        <v>5442</v>
      </c>
      <c r="D5240">
        <v>8.9250000000000007</v>
      </c>
      <c r="E5240" s="18">
        <v>892.50000000000011</v>
      </c>
      <c r="F5240" t="s">
        <v>889</v>
      </c>
      <c r="G5240" t="s">
        <v>5443</v>
      </c>
      <c r="H5240" s="18">
        <v>892.50000000000011</v>
      </c>
      <c r="I5240" s="3">
        <v>41907</v>
      </c>
      <c r="J5240"/>
      <c r="L5240"/>
      <c r="M5240"/>
      <c r="N5240" s="20"/>
      <c r="O5240"/>
      <c r="P5240" s="20"/>
      <c r="Q5240" s="20"/>
      <c r="R5240" s="20"/>
      <c r="S5240" s="20"/>
      <c r="T5240" s="20"/>
    </row>
    <row r="5241" spans="1:21" x14ac:dyDescent="0.25">
      <c r="A5241" s="3">
        <v>41918</v>
      </c>
      <c r="B5241" s="36">
        <v>582</v>
      </c>
      <c r="C5241" t="s">
        <v>5444</v>
      </c>
      <c r="E5241" s="18">
        <v>500</v>
      </c>
      <c r="F5241" t="s">
        <v>889</v>
      </c>
      <c r="G5241" t="s">
        <v>442</v>
      </c>
      <c r="H5241" s="18" t="s">
        <v>442</v>
      </c>
      <c r="I5241" s="3" t="s">
        <v>442</v>
      </c>
      <c r="J5241"/>
      <c r="L5241"/>
      <c r="M5241"/>
      <c r="N5241" s="20"/>
      <c r="O5241"/>
      <c r="P5241" s="20"/>
      <c r="Q5241" s="20"/>
      <c r="R5241" s="20"/>
      <c r="S5241" s="20"/>
      <c r="T5241" s="20" t="s">
        <v>401</v>
      </c>
    </row>
    <row r="5242" spans="1:21" x14ac:dyDescent="0.25">
      <c r="A5242" s="3">
        <v>41922</v>
      </c>
      <c r="B5242" s="36">
        <v>582</v>
      </c>
      <c r="C5242" t="s">
        <v>5445</v>
      </c>
      <c r="E5242" s="18">
        <v>500</v>
      </c>
      <c r="F5242" t="s">
        <v>889</v>
      </c>
      <c r="G5242" t="s">
        <v>442</v>
      </c>
      <c r="H5242" s="18" t="s">
        <v>442</v>
      </c>
      <c r="I5242" s="3" t="s">
        <v>442</v>
      </c>
      <c r="J5242"/>
      <c r="L5242"/>
      <c r="M5242"/>
      <c r="N5242" s="20"/>
      <c r="O5242"/>
      <c r="P5242" s="20"/>
      <c r="Q5242" s="20"/>
      <c r="R5242" s="20"/>
      <c r="S5242" s="20"/>
      <c r="T5242" s="20" t="s">
        <v>401</v>
      </c>
    </row>
    <row r="5243" spans="1:21" x14ac:dyDescent="0.25">
      <c r="A5243" s="3">
        <v>41929</v>
      </c>
      <c r="B5243" s="36">
        <v>582</v>
      </c>
      <c r="C5243" t="s">
        <v>5446</v>
      </c>
      <c r="E5243" s="18">
        <v>500</v>
      </c>
      <c r="F5243" t="s">
        <v>889</v>
      </c>
      <c r="G5243" t="s">
        <v>442</v>
      </c>
      <c r="H5243" s="18" t="s">
        <v>442</v>
      </c>
      <c r="I5243" s="3" t="s">
        <v>442</v>
      </c>
      <c r="J5243"/>
      <c r="L5243"/>
      <c r="M5243"/>
      <c r="N5243" s="20"/>
      <c r="O5243"/>
      <c r="P5243" s="20"/>
      <c r="Q5243" s="20"/>
      <c r="R5243" s="20"/>
      <c r="S5243" s="20"/>
      <c r="T5243" s="20" t="s">
        <v>401</v>
      </c>
    </row>
    <row r="5244" spans="1:21" x14ac:dyDescent="0.25">
      <c r="A5244" s="3">
        <v>41929</v>
      </c>
      <c r="B5244" s="36">
        <v>582</v>
      </c>
      <c r="C5244" t="s">
        <v>5447</v>
      </c>
      <c r="E5244" s="18">
        <v>146.93</v>
      </c>
      <c r="F5244" t="s">
        <v>891</v>
      </c>
      <c r="H5244" s="18" t="s">
        <v>442</v>
      </c>
      <c r="I5244" s="3" t="s">
        <v>442</v>
      </c>
      <c r="J5244"/>
      <c r="L5244"/>
      <c r="M5244"/>
      <c r="N5244" s="20"/>
      <c r="O5244"/>
      <c r="P5244" s="20" t="s">
        <v>401</v>
      </c>
      <c r="Q5244" s="20"/>
      <c r="R5244" s="20"/>
      <c r="S5244" s="20"/>
      <c r="T5244" s="20"/>
    </row>
    <row r="5245" spans="1:21" x14ac:dyDescent="0.25">
      <c r="A5245" s="3">
        <v>41936</v>
      </c>
      <c r="B5245" s="36">
        <v>582</v>
      </c>
      <c r="C5245" t="s">
        <v>5448</v>
      </c>
      <c r="E5245" s="18">
        <v>500</v>
      </c>
      <c r="F5245" t="s">
        <v>889</v>
      </c>
      <c r="G5245" t="s">
        <v>442</v>
      </c>
      <c r="H5245" s="18" t="s">
        <v>442</v>
      </c>
      <c r="I5245" s="3" t="s">
        <v>442</v>
      </c>
      <c r="J5245"/>
      <c r="L5245"/>
      <c r="M5245"/>
      <c r="N5245" s="20"/>
      <c r="O5245"/>
      <c r="P5245" s="20"/>
      <c r="Q5245" s="20"/>
      <c r="R5245" s="20"/>
      <c r="S5245" s="20"/>
      <c r="T5245" s="20" t="s">
        <v>401</v>
      </c>
    </row>
    <row r="5246" spans="1:21" x14ac:dyDescent="0.25">
      <c r="A5246" s="3">
        <v>41943</v>
      </c>
      <c r="B5246" s="36">
        <v>582</v>
      </c>
      <c r="C5246" t="s">
        <v>5449</v>
      </c>
      <c r="E5246" s="18">
        <v>500</v>
      </c>
      <c r="F5246" t="s">
        <v>889</v>
      </c>
      <c r="G5246" t="s">
        <v>442</v>
      </c>
      <c r="H5246" s="18" t="s">
        <v>442</v>
      </c>
      <c r="I5246" s="3" t="s">
        <v>442</v>
      </c>
      <c r="J5246"/>
      <c r="L5246"/>
      <c r="M5246"/>
      <c r="N5246" s="20"/>
      <c r="O5246"/>
      <c r="P5246" s="20"/>
      <c r="Q5246" s="20"/>
      <c r="R5246" s="20"/>
      <c r="S5246" s="20"/>
      <c r="T5246" s="20" t="s">
        <v>401</v>
      </c>
    </row>
    <row r="5247" spans="1:21" x14ac:dyDescent="0.25">
      <c r="A5247" s="3">
        <v>41950</v>
      </c>
      <c r="B5247" s="36">
        <v>582</v>
      </c>
      <c r="C5247" t="s">
        <v>5450</v>
      </c>
      <c r="E5247" s="18">
        <v>500</v>
      </c>
      <c r="F5247" t="s">
        <v>889</v>
      </c>
      <c r="G5247" t="s">
        <v>442</v>
      </c>
      <c r="H5247" s="18" t="s">
        <v>442</v>
      </c>
      <c r="I5247" s="3" t="s">
        <v>442</v>
      </c>
      <c r="J5247"/>
      <c r="L5247"/>
      <c r="M5247"/>
      <c r="N5247" s="20"/>
      <c r="O5247"/>
      <c r="P5247" s="20"/>
      <c r="Q5247" s="20"/>
      <c r="R5247" s="20"/>
      <c r="S5247" s="20"/>
      <c r="T5247" s="20" t="s">
        <v>401</v>
      </c>
    </row>
    <row r="5248" spans="1:21" x14ac:dyDescent="0.25">
      <c r="A5248" s="3">
        <v>41968</v>
      </c>
      <c r="B5248" s="36">
        <v>582</v>
      </c>
      <c r="C5248" t="s">
        <v>5451</v>
      </c>
      <c r="E5248" s="18">
        <v>500</v>
      </c>
      <c r="F5248" t="s">
        <v>889</v>
      </c>
      <c r="G5248" t="s">
        <v>442</v>
      </c>
      <c r="H5248" s="18" t="s">
        <v>442</v>
      </c>
      <c r="I5248" s="3" t="s">
        <v>442</v>
      </c>
      <c r="J5248"/>
      <c r="L5248"/>
      <c r="M5248"/>
      <c r="N5248" s="20"/>
      <c r="O5248"/>
      <c r="P5248" s="20"/>
      <c r="Q5248" s="20"/>
      <c r="R5248" s="20"/>
      <c r="S5248" s="20"/>
      <c r="T5248" s="20" t="s">
        <v>401</v>
      </c>
    </row>
    <row r="5249" spans="1:21" x14ac:dyDescent="0.25">
      <c r="A5249" s="3">
        <v>41985</v>
      </c>
      <c r="B5249" s="36">
        <v>582</v>
      </c>
      <c r="C5249" t="s">
        <v>5442</v>
      </c>
      <c r="D5249">
        <v>9.18</v>
      </c>
      <c r="E5249" s="18">
        <v>943.5</v>
      </c>
      <c r="F5249" t="s">
        <v>889</v>
      </c>
      <c r="G5249" t="s">
        <v>5443</v>
      </c>
      <c r="H5249" s="18">
        <v>943.5</v>
      </c>
      <c r="I5249" s="3">
        <v>41985</v>
      </c>
      <c r="J5249"/>
      <c r="L5249"/>
      <c r="M5249"/>
      <c r="N5249" s="20"/>
      <c r="O5249" t="s">
        <v>959</v>
      </c>
      <c r="P5249" s="20"/>
      <c r="Q5249" s="20"/>
      <c r="R5249" s="20"/>
      <c r="S5249" s="20"/>
      <c r="T5249" s="20"/>
    </row>
    <row r="5250" spans="1:21" x14ac:dyDescent="0.25">
      <c r="A5250" s="32">
        <v>42034</v>
      </c>
      <c r="B5250" s="56">
        <v>582</v>
      </c>
      <c r="C5250" s="32" t="s">
        <v>596</v>
      </c>
      <c r="D5250" s="33">
        <v>5.98</v>
      </c>
      <c r="E5250" s="35">
        <v>250</v>
      </c>
      <c r="F5250" s="33" t="s">
        <v>889</v>
      </c>
      <c r="G5250" t="s">
        <v>597</v>
      </c>
      <c r="H5250" s="18"/>
      <c r="J5250"/>
      <c r="L5250"/>
      <c r="M5250"/>
      <c r="N5250" s="20"/>
      <c r="O5250"/>
      <c r="P5250" s="20"/>
      <c r="Q5250" s="20"/>
      <c r="R5250" s="20"/>
      <c r="S5250" s="20"/>
      <c r="T5250" s="20"/>
    </row>
    <row r="5251" spans="1:21" x14ac:dyDescent="0.25">
      <c r="A5251" s="3">
        <v>42041</v>
      </c>
      <c r="B5251">
        <v>582</v>
      </c>
      <c r="C5251" t="s">
        <v>534</v>
      </c>
      <c r="D5251">
        <v>5.72</v>
      </c>
      <c r="E5251" s="18">
        <v>250</v>
      </c>
      <c r="F5251" t="s">
        <v>889</v>
      </c>
      <c r="G5251" t="s">
        <v>535</v>
      </c>
      <c r="I5251"/>
      <c r="J5251"/>
      <c r="L5251"/>
      <c r="M5251"/>
      <c r="O5251"/>
      <c r="P5251" s="20"/>
      <c r="Q5251" s="20"/>
      <c r="R5251" s="20"/>
      <c r="S5251" s="20"/>
      <c r="T5251" s="20"/>
    </row>
    <row r="5252" spans="1:21" x14ac:dyDescent="0.25">
      <c r="B5252">
        <v>582</v>
      </c>
      <c r="C5252" t="s">
        <v>123</v>
      </c>
      <c r="D5252">
        <v>6.63</v>
      </c>
      <c r="E5252" s="18">
        <v>221</v>
      </c>
      <c r="F5252" t="s">
        <v>889</v>
      </c>
      <c r="G5252" t="s">
        <v>5440</v>
      </c>
      <c r="I5252"/>
      <c r="J5252"/>
      <c r="L5252"/>
      <c r="M5252"/>
      <c r="O5252"/>
      <c r="P5252" s="20"/>
      <c r="Q5252" s="20"/>
      <c r="R5252" s="20"/>
      <c r="S5252" s="20"/>
      <c r="T5252" s="20"/>
      <c r="U5252" t="s">
        <v>401</v>
      </c>
    </row>
    <row r="5253" spans="1:21" x14ac:dyDescent="0.25">
      <c r="B5253">
        <v>582</v>
      </c>
      <c r="C5253" t="s">
        <v>5445</v>
      </c>
      <c r="E5253" s="18">
        <v>-500</v>
      </c>
      <c r="F5253" t="s">
        <v>889</v>
      </c>
      <c r="G5253" t="s">
        <v>442</v>
      </c>
      <c r="I5253"/>
      <c r="J5253"/>
      <c r="L5253"/>
      <c r="M5253"/>
      <c r="O5253"/>
      <c r="P5253" s="20"/>
      <c r="Q5253" s="20"/>
      <c r="R5253" s="20"/>
      <c r="S5253" s="20"/>
      <c r="T5253" s="20"/>
      <c r="U5253" t="s">
        <v>401</v>
      </c>
    </row>
    <row r="5254" spans="1:21" x14ac:dyDescent="0.25">
      <c r="B5254">
        <v>582</v>
      </c>
      <c r="C5254" t="s">
        <v>5446</v>
      </c>
      <c r="E5254" s="18">
        <v>-500</v>
      </c>
      <c r="F5254" t="s">
        <v>889</v>
      </c>
      <c r="G5254" t="s">
        <v>442</v>
      </c>
      <c r="I5254"/>
      <c r="J5254"/>
      <c r="L5254"/>
      <c r="M5254"/>
      <c r="O5254"/>
      <c r="P5254" s="20"/>
      <c r="Q5254" s="20"/>
      <c r="R5254" s="20"/>
      <c r="S5254" s="20"/>
      <c r="T5254" s="20"/>
      <c r="U5254" t="s">
        <v>401</v>
      </c>
    </row>
    <row r="5255" spans="1:21" x14ac:dyDescent="0.25">
      <c r="B5255">
        <v>582</v>
      </c>
      <c r="C5255" t="s">
        <v>5448</v>
      </c>
      <c r="E5255" s="18">
        <v>-500</v>
      </c>
      <c r="F5255" t="s">
        <v>889</v>
      </c>
      <c r="G5255" t="s">
        <v>442</v>
      </c>
      <c r="I5255"/>
      <c r="J5255"/>
      <c r="L5255"/>
      <c r="M5255"/>
      <c r="O5255"/>
      <c r="P5255" s="20"/>
      <c r="Q5255" s="20"/>
      <c r="R5255" s="20"/>
      <c r="S5255" s="20"/>
      <c r="T5255" s="20"/>
      <c r="U5255" t="s">
        <v>401</v>
      </c>
    </row>
    <row r="5256" spans="1:21" x14ac:dyDescent="0.25">
      <c r="B5256">
        <v>582</v>
      </c>
      <c r="C5256" t="s">
        <v>5449</v>
      </c>
      <c r="E5256" s="18">
        <v>-500</v>
      </c>
      <c r="F5256" t="s">
        <v>889</v>
      </c>
      <c r="G5256" t="s">
        <v>442</v>
      </c>
      <c r="I5256"/>
      <c r="J5256"/>
      <c r="L5256"/>
      <c r="M5256"/>
      <c r="O5256"/>
      <c r="P5256" s="20"/>
      <c r="Q5256" s="20"/>
      <c r="R5256" s="20"/>
      <c r="S5256" s="20"/>
      <c r="T5256" s="20"/>
      <c r="U5256" t="s">
        <v>401</v>
      </c>
    </row>
    <row r="5257" spans="1:21" x14ac:dyDescent="0.25">
      <c r="B5257">
        <v>582</v>
      </c>
      <c r="C5257" t="s">
        <v>5444</v>
      </c>
      <c r="E5257" s="18">
        <v>-500</v>
      </c>
      <c r="F5257" t="s">
        <v>889</v>
      </c>
      <c r="G5257" t="s">
        <v>442</v>
      </c>
      <c r="I5257"/>
      <c r="J5257"/>
      <c r="L5257"/>
      <c r="M5257"/>
      <c r="O5257"/>
      <c r="P5257" s="20"/>
      <c r="Q5257" s="20"/>
      <c r="R5257" s="20"/>
      <c r="S5257" s="20"/>
      <c r="T5257" s="20"/>
      <c r="U5257" t="s">
        <v>401</v>
      </c>
    </row>
    <row r="5258" spans="1:21" x14ac:dyDescent="0.25">
      <c r="B5258">
        <v>582</v>
      </c>
      <c r="C5258" t="s">
        <v>5451</v>
      </c>
      <c r="E5258" s="18">
        <v>-500</v>
      </c>
      <c r="F5258" t="s">
        <v>889</v>
      </c>
      <c r="G5258" t="s">
        <v>442</v>
      </c>
      <c r="I5258"/>
      <c r="J5258"/>
      <c r="L5258"/>
      <c r="M5258"/>
      <c r="O5258"/>
      <c r="P5258" s="20"/>
      <c r="Q5258" s="20"/>
      <c r="R5258" s="20"/>
      <c r="S5258" s="20"/>
      <c r="T5258" s="20"/>
      <c r="U5258" t="s">
        <v>401</v>
      </c>
    </row>
    <row r="5259" spans="1:21" x14ac:dyDescent="0.25">
      <c r="B5259">
        <v>582</v>
      </c>
      <c r="C5259" t="s">
        <v>5450</v>
      </c>
      <c r="E5259" s="18">
        <v>-500</v>
      </c>
      <c r="F5259" t="s">
        <v>889</v>
      </c>
      <c r="G5259" t="s">
        <v>442</v>
      </c>
      <c r="I5259"/>
      <c r="J5259"/>
      <c r="L5259"/>
      <c r="M5259"/>
      <c r="O5259"/>
      <c r="P5259" s="20"/>
      <c r="Q5259" s="20"/>
      <c r="R5259" s="20"/>
      <c r="S5259" s="20"/>
      <c r="T5259" s="20"/>
      <c r="U5259" t="s">
        <v>401</v>
      </c>
    </row>
    <row r="5260" spans="1:21" x14ac:dyDescent="0.25">
      <c r="B5260">
        <v>582</v>
      </c>
      <c r="C5260" t="s">
        <v>4537</v>
      </c>
      <c r="E5260" s="18">
        <v>-500</v>
      </c>
      <c r="F5260" t="s">
        <v>889</v>
      </c>
      <c r="G5260" t="s">
        <v>442</v>
      </c>
      <c r="I5260"/>
      <c r="J5260"/>
      <c r="L5260"/>
      <c r="M5260"/>
      <c r="O5260"/>
      <c r="P5260" s="20"/>
      <c r="Q5260" s="20"/>
      <c r="R5260" s="20"/>
      <c r="S5260" s="20"/>
      <c r="T5260" s="20"/>
      <c r="U5260" t="s">
        <v>401</v>
      </c>
    </row>
    <row r="5261" spans="1:21" x14ac:dyDescent="0.25">
      <c r="B5261">
        <v>582</v>
      </c>
      <c r="C5261" t="s">
        <v>5441</v>
      </c>
      <c r="E5261" s="18">
        <v>-500</v>
      </c>
      <c r="F5261" t="s">
        <v>889</v>
      </c>
      <c r="G5261" t="s">
        <v>442</v>
      </c>
      <c r="I5261"/>
      <c r="J5261"/>
      <c r="L5261"/>
      <c r="M5261"/>
      <c r="O5261"/>
      <c r="P5261" s="20"/>
      <c r="Q5261" s="20"/>
      <c r="R5261" s="20"/>
      <c r="S5261" s="20"/>
      <c r="T5261" s="20"/>
      <c r="U5261" t="s">
        <v>401</v>
      </c>
    </row>
    <row r="5262" spans="1:21" x14ac:dyDescent="0.25">
      <c r="A5262" s="3">
        <v>41915</v>
      </c>
      <c r="B5262" s="36">
        <v>583</v>
      </c>
      <c r="C5262" t="s">
        <v>4362</v>
      </c>
      <c r="E5262" s="18">
        <v>500</v>
      </c>
      <c r="F5262" t="s">
        <v>889</v>
      </c>
      <c r="G5262" t="s">
        <v>442</v>
      </c>
      <c r="H5262" s="18" t="s">
        <v>442</v>
      </c>
      <c r="I5262" s="3" t="s">
        <v>442</v>
      </c>
      <c r="J5262"/>
      <c r="L5262"/>
      <c r="M5262"/>
      <c r="N5262" s="20"/>
      <c r="O5262"/>
      <c r="P5262" s="20"/>
      <c r="Q5262" s="20"/>
      <c r="R5262" s="20"/>
      <c r="S5262" s="20"/>
      <c r="T5262" s="20" t="s">
        <v>401</v>
      </c>
    </row>
    <row r="5263" spans="1:21" x14ac:dyDescent="0.25">
      <c r="A5263" s="3">
        <v>41936</v>
      </c>
      <c r="B5263" s="36">
        <v>583</v>
      </c>
      <c r="C5263" t="s">
        <v>5452</v>
      </c>
      <c r="D5263">
        <v>7.75</v>
      </c>
      <c r="E5263" s="18">
        <v>841.49999999999989</v>
      </c>
      <c r="F5263" t="s">
        <v>889</v>
      </c>
      <c r="G5263" t="s">
        <v>5453</v>
      </c>
      <c r="H5263" s="18">
        <v>841.49999999999989</v>
      </c>
      <c r="I5263" s="3">
        <v>41936</v>
      </c>
      <c r="J5263"/>
      <c r="L5263"/>
      <c r="M5263"/>
      <c r="N5263" s="20"/>
      <c r="O5263"/>
      <c r="P5263" s="20"/>
      <c r="Q5263" s="20"/>
      <c r="R5263" s="20"/>
      <c r="S5263" s="20"/>
      <c r="T5263" s="20"/>
    </row>
    <row r="5264" spans="1:21" x14ac:dyDescent="0.25">
      <c r="A5264" s="3">
        <v>41936</v>
      </c>
      <c r="B5264" s="36">
        <v>583</v>
      </c>
      <c r="C5264" t="s">
        <v>5454</v>
      </c>
      <c r="D5264">
        <v>6.5</v>
      </c>
      <c r="E5264" s="18">
        <v>790.5</v>
      </c>
      <c r="F5264" t="s">
        <v>889</v>
      </c>
      <c r="G5264" t="s">
        <v>5455</v>
      </c>
      <c r="H5264" s="18">
        <v>790.5</v>
      </c>
      <c r="I5264" s="3">
        <v>41936</v>
      </c>
      <c r="J5264"/>
      <c r="L5264"/>
      <c r="M5264"/>
      <c r="N5264" s="20"/>
      <c r="O5264"/>
      <c r="P5264" s="20"/>
      <c r="Q5264" s="20"/>
      <c r="R5264" s="20"/>
      <c r="S5264" s="20"/>
      <c r="T5264" s="20"/>
    </row>
    <row r="5265" spans="1:21" x14ac:dyDescent="0.25">
      <c r="A5265" s="3">
        <v>41936</v>
      </c>
      <c r="B5265" s="36">
        <v>583</v>
      </c>
      <c r="C5265" t="s">
        <v>5456</v>
      </c>
      <c r="D5265">
        <v>6.5</v>
      </c>
      <c r="E5265" s="18">
        <v>943.5</v>
      </c>
      <c r="F5265" t="s">
        <v>889</v>
      </c>
      <c r="G5265" t="s">
        <v>5457</v>
      </c>
      <c r="H5265" s="18">
        <v>943.5</v>
      </c>
      <c r="I5265" s="3">
        <v>41936</v>
      </c>
      <c r="J5265"/>
      <c r="L5265"/>
      <c r="M5265"/>
      <c r="N5265" s="20"/>
      <c r="O5265"/>
      <c r="P5265" s="20"/>
      <c r="Q5265" s="20"/>
      <c r="R5265" s="20"/>
      <c r="S5265" s="20"/>
      <c r="T5265" s="20"/>
    </row>
    <row r="5266" spans="1:21" x14ac:dyDescent="0.25">
      <c r="A5266" s="3">
        <v>41950</v>
      </c>
      <c r="B5266" s="36">
        <v>583</v>
      </c>
      <c r="C5266" t="s">
        <v>5458</v>
      </c>
      <c r="D5266">
        <v>6.8849999999999998</v>
      </c>
      <c r="E5266" s="18">
        <v>688.5</v>
      </c>
      <c r="F5266" t="s">
        <v>889</v>
      </c>
      <c r="G5266" t="s">
        <v>5459</v>
      </c>
      <c r="H5266" s="18">
        <v>688.5</v>
      </c>
      <c r="I5266" s="3">
        <v>41950</v>
      </c>
      <c r="J5266"/>
      <c r="L5266"/>
      <c r="M5266"/>
      <c r="N5266" s="20"/>
      <c r="O5266"/>
      <c r="P5266" s="20"/>
      <c r="Q5266" s="20"/>
      <c r="R5266" s="20"/>
      <c r="S5266" s="20"/>
      <c r="T5266" s="20"/>
    </row>
    <row r="5267" spans="1:21" x14ac:dyDescent="0.25">
      <c r="A5267" s="3">
        <v>41957</v>
      </c>
      <c r="B5267" s="36">
        <v>583</v>
      </c>
      <c r="C5267" t="s">
        <v>3493</v>
      </c>
      <c r="E5267" s="18">
        <v>500</v>
      </c>
      <c r="F5267" t="s">
        <v>889</v>
      </c>
      <c r="G5267" t="s">
        <v>442</v>
      </c>
      <c r="H5267" s="18" t="s">
        <v>442</v>
      </c>
      <c r="I5267" s="3" t="s">
        <v>442</v>
      </c>
      <c r="J5267"/>
      <c r="L5267"/>
      <c r="M5267"/>
      <c r="N5267" s="20"/>
      <c r="O5267"/>
      <c r="P5267" s="20"/>
      <c r="Q5267" s="20"/>
      <c r="R5267" s="20"/>
      <c r="S5267" s="20"/>
      <c r="T5267" s="20" t="s">
        <v>401</v>
      </c>
    </row>
    <row r="5268" spans="1:21" x14ac:dyDescent="0.25">
      <c r="A5268" s="3">
        <v>41964</v>
      </c>
      <c r="B5268" s="36">
        <v>583</v>
      </c>
      <c r="C5268" t="s">
        <v>5460</v>
      </c>
      <c r="D5268">
        <v>6.12</v>
      </c>
      <c r="E5268" s="18">
        <v>612</v>
      </c>
      <c r="F5268" t="s">
        <v>889</v>
      </c>
      <c r="G5268" t="s">
        <v>5461</v>
      </c>
      <c r="H5268" s="18">
        <v>612</v>
      </c>
      <c r="I5268" s="3">
        <v>41964</v>
      </c>
      <c r="J5268"/>
      <c r="L5268"/>
      <c r="M5268"/>
      <c r="N5268" s="20"/>
      <c r="O5268"/>
      <c r="P5268" s="20"/>
      <c r="Q5268" s="20"/>
      <c r="R5268" s="20"/>
      <c r="S5268" s="20"/>
      <c r="T5268" s="20"/>
    </row>
    <row r="5269" spans="1:21" x14ac:dyDescent="0.25">
      <c r="A5269" s="3">
        <v>41964</v>
      </c>
      <c r="B5269" s="36">
        <v>583</v>
      </c>
      <c r="C5269" t="s">
        <v>4362</v>
      </c>
      <c r="E5269" s="18">
        <v>-500</v>
      </c>
      <c r="F5269" t="s">
        <v>889</v>
      </c>
      <c r="G5269" t="s">
        <v>442</v>
      </c>
      <c r="H5269" s="18" t="s">
        <v>442</v>
      </c>
      <c r="I5269" s="3" t="s">
        <v>442</v>
      </c>
      <c r="J5269"/>
      <c r="L5269"/>
      <c r="M5269"/>
      <c r="N5269" s="20"/>
      <c r="O5269"/>
      <c r="P5269" s="20"/>
      <c r="Q5269" s="20"/>
      <c r="R5269" s="20"/>
      <c r="S5269" s="20"/>
      <c r="T5269" s="20" t="s">
        <v>401</v>
      </c>
    </row>
    <row r="5270" spans="1:21" x14ac:dyDescent="0.25">
      <c r="A5270" s="3">
        <v>41971</v>
      </c>
      <c r="B5270" s="36">
        <v>583</v>
      </c>
      <c r="C5270" t="s">
        <v>5462</v>
      </c>
      <c r="D5270">
        <v>5.8650000000000002</v>
      </c>
      <c r="E5270" s="18">
        <v>586.5</v>
      </c>
      <c r="F5270" t="s">
        <v>889</v>
      </c>
      <c r="G5270" t="s">
        <v>5463</v>
      </c>
      <c r="H5270" s="18">
        <v>586.5</v>
      </c>
      <c r="I5270" s="3">
        <v>41971</v>
      </c>
      <c r="J5270"/>
      <c r="L5270"/>
      <c r="M5270"/>
      <c r="N5270" s="20"/>
      <c r="O5270"/>
      <c r="P5270" s="20"/>
      <c r="Q5270" s="20"/>
      <c r="R5270" s="20"/>
      <c r="S5270" s="20"/>
      <c r="T5270" s="20"/>
    </row>
    <row r="5271" spans="1:21" x14ac:dyDescent="0.25">
      <c r="A5271" s="57">
        <v>41985</v>
      </c>
      <c r="B5271" s="42">
        <v>583</v>
      </c>
      <c r="C5271" s="45" t="s">
        <v>5464</v>
      </c>
      <c r="D5271" s="45">
        <v>8.4149999999999991</v>
      </c>
      <c r="E5271" s="58">
        <v>841.49999999999989</v>
      </c>
      <c r="F5271" s="45" t="s">
        <v>889</v>
      </c>
      <c r="G5271" s="45" t="s">
        <v>5465</v>
      </c>
      <c r="H5271" s="18">
        <v>841.49999999999989</v>
      </c>
      <c r="I5271" s="3">
        <v>41985</v>
      </c>
      <c r="J5271" s="45"/>
      <c r="K5271" s="45"/>
      <c r="L5271" s="45"/>
      <c r="M5271" s="45"/>
      <c r="N5271" s="45"/>
      <c r="O5271" s="45"/>
      <c r="P5271" s="20"/>
      <c r="Q5271" s="20"/>
      <c r="R5271" s="20"/>
      <c r="S5271" s="20"/>
      <c r="T5271" s="20"/>
    </row>
    <row r="5272" spans="1:21" x14ac:dyDescent="0.25">
      <c r="A5272" s="3">
        <v>42004</v>
      </c>
      <c r="B5272" s="36">
        <v>583</v>
      </c>
      <c r="C5272" t="s">
        <v>5454</v>
      </c>
      <c r="D5272">
        <v>7.65</v>
      </c>
      <c r="E5272" s="18">
        <v>246.5</v>
      </c>
      <c r="F5272" t="s">
        <v>889</v>
      </c>
      <c r="G5272" t="s">
        <v>5455</v>
      </c>
      <c r="H5272" s="18">
        <v>246.5</v>
      </c>
      <c r="I5272" s="3">
        <v>42004</v>
      </c>
      <c r="J5272"/>
      <c r="L5272"/>
      <c r="M5272"/>
      <c r="N5272" s="20"/>
      <c r="O5272"/>
      <c r="P5272" s="20"/>
      <c r="Q5272" s="20"/>
      <c r="R5272" s="20"/>
      <c r="S5272" s="20"/>
      <c r="T5272" s="20"/>
    </row>
    <row r="5273" spans="1:21" x14ac:dyDescent="0.25">
      <c r="A5273" s="3">
        <v>42004</v>
      </c>
      <c r="B5273" s="36">
        <v>583</v>
      </c>
      <c r="C5273" t="s">
        <v>5458</v>
      </c>
      <c r="D5273">
        <v>6.8849999999999998</v>
      </c>
      <c r="E5273" s="18">
        <v>229.5</v>
      </c>
      <c r="F5273" t="s">
        <v>889</v>
      </c>
      <c r="G5273" t="s">
        <v>5459</v>
      </c>
      <c r="H5273" s="18">
        <v>229.5</v>
      </c>
      <c r="I5273" s="3">
        <v>42004</v>
      </c>
      <c r="J5273"/>
      <c r="L5273"/>
      <c r="M5273"/>
      <c r="N5273" s="20"/>
      <c r="O5273"/>
      <c r="P5273" s="20"/>
      <c r="Q5273" s="20"/>
      <c r="R5273" s="20"/>
      <c r="S5273" s="20"/>
      <c r="T5273" s="20"/>
    </row>
    <row r="5274" spans="1:21" x14ac:dyDescent="0.25">
      <c r="A5274" s="3">
        <v>42019</v>
      </c>
      <c r="B5274" s="36">
        <v>583</v>
      </c>
      <c r="C5274" t="s">
        <v>5466</v>
      </c>
      <c r="D5274" s="55">
        <v>8.4149999999999991</v>
      </c>
      <c r="E5274" s="18">
        <v>841.5</v>
      </c>
      <c r="F5274" t="s">
        <v>889</v>
      </c>
      <c r="G5274" t="s">
        <v>5453</v>
      </c>
      <c r="H5274" s="18">
        <v>841.5</v>
      </c>
      <c r="I5274" s="3">
        <v>42019</v>
      </c>
      <c r="J5274"/>
      <c r="L5274"/>
      <c r="M5274"/>
      <c r="N5274" s="20"/>
      <c r="O5274"/>
      <c r="P5274" s="20"/>
      <c r="Q5274" s="20"/>
      <c r="R5274" s="20"/>
      <c r="S5274" s="20"/>
      <c r="T5274" s="20"/>
    </row>
    <row r="5275" spans="1:21" x14ac:dyDescent="0.25">
      <c r="A5275" s="57">
        <v>42027</v>
      </c>
      <c r="B5275" s="42">
        <v>583</v>
      </c>
      <c r="C5275" s="45" t="s">
        <v>5467</v>
      </c>
      <c r="D5275" s="76">
        <v>7.3949999999999996</v>
      </c>
      <c r="E5275" s="58">
        <v>739.5</v>
      </c>
      <c r="F5275" s="45" t="s">
        <v>889</v>
      </c>
      <c r="G5275" s="45" t="s">
        <v>5468</v>
      </c>
      <c r="H5275" s="18">
        <v>739.5</v>
      </c>
      <c r="I5275" s="3">
        <v>42027</v>
      </c>
      <c r="J5275" s="45"/>
      <c r="K5275" s="45"/>
      <c r="L5275" s="45"/>
      <c r="M5275" s="45"/>
      <c r="N5275" s="45"/>
      <c r="O5275" s="45"/>
      <c r="P5275" s="20"/>
      <c r="Q5275" s="20"/>
      <c r="R5275" s="20"/>
      <c r="S5275" s="20"/>
      <c r="T5275" s="20"/>
    </row>
    <row r="5276" spans="1:21" x14ac:dyDescent="0.25">
      <c r="A5276" s="3">
        <v>42041</v>
      </c>
      <c r="B5276">
        <v>583</v>
      </c>
      <c r="C5276" t="s">
        <v>5454</v>
      </c>
      <c r="E5276" s="18">
        <v>246.5</v>
      </c>
      <c r="F5276" t="s">
        <v>889</v>
      </c>
      <c r="G5276" t="s">
        <v>5455</v>
      </c>
      <c r="I5276"/>
      <c r="J5276"/>
      <c r="L5276"/>
      <c r="M5276"/>
      <c r="O5276"/>
      <c r="P5276" s="20"/>
      <c r="Q5276" s="20"/>
      <c r="R5276" s="20"/>
      <c r="S5276" s="20"/>
      <c r="T5276" s="20"/>
    </row>
    <row r="5277" spans="1:21" x14ac:dyDescent="0.25">
      <c r="A5277" s="3">
        <v>42041</v>
      </c>
      <c r="B5277">
        <v>583</v>
      </c>
      <c r="C5277" t="s">
        <v>5458</v>
      </c>
      <c r="E5277" s="18">
        <v>229.5</v>
      </c>
      <c r="F5277" t="s">
        <v>889</v>
      </c>
      <c r="G5277" t="s">
        <v>5459</v>
      </c>
      <c r="I5277"/>
      <c r="J5277"/>
      <c r="L5277"/>
      <c r="M5277"/>
      <c r="O5277"/>
      <c r="P5277" s="20"/>
      <c r="Q5277" s="20"/>
      <c r="R5277" s="20"/>
      <c r="S5277" s="20"/>
      <c r="T5277" s="20"/>
    </row>
    <row r="5278" spans="1:21" x14ac:dyDescent="0.25">
      <c r="B5278">
        <v>583</v>
      </c>
      <c r="C5278" t="s">
        <v>3493</v>
      </c>
      <c r="E5278" s="18">
        <v>-500</v>
      </c>
      <c r="F5278" t="s">
        <v>889</v>
      </c>
      <c r="G5278" t="s">
        <v>442</v>
      </c>
      <c r="I5278"/>
      <c r="J5278"/>
      <c r="L5278"/>
      <c r="M5278"/>
      <c r="O5278"/>
      <c r="P5278" s="20"/>
      <c r="Q5278" s="20"/>
      <c r="R5278" s="20"/>
      <c r="S5278" s="20"/>
      <c r="T5278" s="20"/>
      <c r="U5278" t="s">
        <v>401</v>
      </c>
    </row>
    <row r="5279" spans="1:21" x14ac:dyDescent="0.25">
      <c r="B5279">
        <v>583</v>
      </c>
      <c r="C5279" t="s">
        <v>5462</v>
      </c>
      <c r="D5279">
        <v>5.8650000000000002</v>
      </c>
      <c r="E5279" s="18">
        <v>-586.5</v>
      </c>
      <c r="F5279" t="s">
        <v>889</v>
      </c>
      <c r="G5279" t="s">
        <v>5463</v>
      </c>
      <c r="I5279"/>
      <c r="J5279"/>
      <c r="L5279"/>
      <c r="M5279"/>
      <c r="O5279"/>
      <c r="P5279" s="20"/>
      <c r="Q5279" s="20"/>
      <c r="R5279" s="20"/>
      <c r="S5279" s="20"/>
      <c r="T5279" s="20"/>
      <c r="U5279" t="s">
        <v>401</v>
      </c>
    </row>
    <row r="5280" spans="1:21" x14ac:dyDescent="0.25">
      <c r="A5280" s="3">
        <v>41936</v>
      </c>
      <c r="B5280" s="36">
        <v>586</v>
      </c>
      <c r="C5280" t="s">
        <v>5469</v>
      </c>
      <c r="D5280">
        <v>9.75</v>
      </c>
      <c r="E5280" s="18">
        <v>975</v>
      </c>
      <c r="F5280" t="s">
        <v>889</v>
      </c>
      <c r="G5280" t="s">
        <v>5470</v>
      </c>
      <c r="H5280" s="18">
        <v>975</v>
      </c>
      <c r="I5280" s="3">
        <v>41936</v>
      </c>
      <c r="J5280"/>
      <c r="L5280"/>
      <c r="M5280"/>
      <c r="N5280" s="20"/>
      <c r="O5280"/>
      <c r="P5280" s="20"/>
      <c r="Q5280" s="20"/>
      <c r="R5280" s="20"/>
      <c r="S5280" s="20"/>
      <c r="T5280" s="20"/>
    </row>
    <row r="5281" spans="1:21" x14ac:dyDescent="0.25">
      <c r="A5281" s="3">
        <v>41950</v>
      </c>
      <c r="B5281" s="36">
        <v>586</v>
      </c>
      <c r="C5281" t="s">
        <v>5471</v>
      </c>
      <c r="D5281">
        <v>10.965</v>
      </c>
      <c r="E5281" s="18">
        <v>1096.5</v>
      </c>
      <c r="F5281" t="s">
        <v>889</v>
      </c>
      <c r="G5281" t="s">
        <v>5472</v>
      </c>
      <c r="H5281" s="18">
        <v>1096.5</v>
      </c>
      <c r="I5281" s="3">
        <v>41950</v>
      </c>
      <c r="J5281"/>
      <c r="L5281"/>
      <c r="M5281"/>
      <c r="N5281" s="20"/>
      <c r="O5281"/>
      <c r="P5281" s="20"/>
      <c r="Q5281" s="20"/>
      <c r="R5281" s="20"/>
      <c r="S5281" s="20"/>
      <c r="T5281" s="20"/>
    </row>
    <row r="5282" spans="1:21" x14ac:dyDescent="0.25">
      <c r="A5282" s="3">
        <v>41950</v>
      </c>
      <c r="B5282" s="36">
        <v>586</v>
      </c>
      <c r="C5282" t="s">
        <v>4574</v>
      </c>
      <c r="E5282" s="18">
        <v>-348.78472219999998</v>
      </c>
      <c r="F5282" s="18" t="s">
        <v>889</v>
      </c>
      <c r="G5282" s="64"/>
      <c r="H5282" s="18"/>
      <c r="J5282"/>
      <c r="L5282"/>
      <c r="M5282"/>
      <c r="N5282" s="20"/>
      <c r="O5282"/>
      <c r="P5282" s="20"/>
      <c r="Q5282" s="20" t="s">
        <v>401</v>
      </c>
      <c r="R5282" s="20"/>
      <c r="S5282" s="20"/>
      <c r="T5282" s="20"/>
    </row>
    <row r="5283" spans="1:21" x14ac:dyDescent="0.25">
      <c r="A5283" s="3">
        <v>41950</v>
      </c>
      <c r="B5283" s="36">
        <v>586</v>
      </c>
      <c r="C5283" t="s">
        <v>4432</v>
      </c>
      <c r="E5283" s="18">
        <v>348.78472219999998</v>
      </c>
      <c r="F5283" s="18" t="s">
        <v>889</v>
      </c>
      <c r="G5283" s="64"/>
      <c r="H5283" s="18"/>
      <c r="J5283"/>
      <c r="L5283"/>
      <c r="M5283"/>
      <c r="N5283" s="20"/>
      <c r="O5283"/>
      <c r="P5283" s="20"/>
      <c r="Q5283" s="20" t="s">
        <v>401</v>
      </c>
      <c r="R5283" s="20"/>
      <c r="S5283" s="20"/>
      <c r="T5283" s="20"/>
    </row>
    <row r="5284" spans="1:21" x14ac:dyDescent="0.25">
      <c r="A5284" s="3">
        <v>41950</v>
      </c>
      <c r="B5284" s="36">
        <v>586</v>
      </c>
      <c r="C5284" t="s">
        <v>1509</v>
      </c>
      <c r="E5284" s="18">
        <v>-95.409498209999995</v>
      </c>
      <c r="F5284" s="18" t="s">
        <v>889</v>
      </c>
      <c r="G5284" s="64"/>
      <c r="H5284" s="18"/>
      <c r="J5284"/>
      <c r="L5284"/>
      <c r="M5284"/>
      <c r="N5284" s="20"/>
      <c r="O5284"/>
      <c r="P5284" s="20"/>
      <c r="Q5284" s="20" t="s">
        <v>401</v>
      </c>
      <c r="R5284" s="20"/>
      <c r="S5284" s="20"/>
      <c r="T5284" s="20"/>
    </row>
    <row r="5285" spans="1:21" x14ac:dyDescent="0.25">
      <c r="A5285" s="3">
        <v>41950</v>
      </c>
      <c r="B5285" s="36">
        <v>586</v>
      </c>
      <c r="C5285" t="s">
        <v>1299</v>
      </c>
      <c r="E5285" s="18">
        <v>-115.59</v>
      </c>
      <c r="F5285" t="s">
        <v>891</v>
      </c>
      <c r="G5285" t="s">
        <v>442</v>
      </c>
      <c r="H5285" s="18" t="s">
        <v>442</v>
      </c>
      <c r="I5285" s="3" t="s">
        <v>442</v>
      </c>
      <c r="J5285"/>
      <c r="L5285"/>
      <c r="M5285"/>
      <c r="N5285" s="20"/>
      <c r="O5285"/>
      <c r="P5285" s="20"/>
      <c r="Q5285" s="20" t="s">
        <v>401</v>
      </c>
      <c r="R5285" s="20"/>
      <c r="S5285" s="20"/>
      <c r="T5285" s="20"/>
    </row>
    <row r="5286" spans="1:21" x14ac:dyDescent="0.25">
      <c r="A5286" s="3">
        <v>41950</v>
      </c>
      <c r="B5286" s="36">
        <v>586</v>
      </c>
      <c r="C5286" t="s">
        <v>1282</v>
      </c>
      <c r="E5286" s="18">
        <v>-96.32</v>
      </c>
      <c r="F5286" s="18" t="s">
        <v>889</v>
      </c>
      <c r="G5286" s="64"/>
      <c r="H5286" s="18"/>
      <c r="J5286"/>
      <c r="L5286"/>
      <c r="M5286"/>
      <c r="N5286" s="20"/>
      <c r="O5286"/>
      <c r="P5286" s="20"/>
      <c r="Q5286" s="20" t="s">
        <v>401</v>
      </c>
      <c r="R5286" s="20"/>
      <c r="S5286" s="20"/>
      <c r="T5286" s="20"/>
    </row>
    <row r="5287" spans="1:21" x14ac:dyDescent="0.25">
      <c r="A5287" s="3">
        <v>41950</v>
      </c>
      <c r="B5287" s="36">
        <v>586</v>
      </c>
      <c r="C5287" t="s">
        <v>5473</v>
      </c>
      <c r="E5287" s="18">
        <v>-96.32</v>
      </c>
      <c r="F5287" s="18" t="s">
        <v>889</v>
      </c>
      <c r="G5287" s="64"/>
      <c r="H5287" s="18"/>
      <c r="J5287"/>
      <c r="L5287"/>
      <c r="M5287"/>
      <c r="N5287" s="20"/>
      <c r="O5287"/>
      <c r="P5287" s="20"/>
      <c r="Q5287" s="20" t="s">
        <v>401</v>
      </c>
      <c r="R5287" s="20"/>
      <c r="S5287" s="20"/>
      <c r="T5287" s="20"/>
    </row>
    <row r="5288" spans="1:21" x14ac:dyDescent="0.25">
      <c r="A5288" s="3">
        <v>41950</v>
      </c>
      <c r="B5288" s="36">
        <v>586</v>
      </c>
      <c r="C5288" t="s">
        <v>1300</v>
      </c>
      <c r="E5288" s="18">
        <v>-115.59</v>
      </c>
      <c r="F5288" s="18" t="s">
        <v>889</v>
      </c>
      <c r="G5288" s="64"/>
      <c r="H5288" s="18"/>
      <c r="J5288"/>
      <c r="L5288"/>
      <c r="M5288"/>
      <c r="N5288" s="20"/>
      <c r="O5288"/>
      <c r="P5288" s="20"/>
      <c r="Q5288" s="20" t="s">
        <v>401</v>
      </c>
      <c r="R5288" s="20"/>
      <c r="S5288" s="20"/>
      <c r="T5288" s="20"/>
    </row>
    <row r="5289" spans="1:21" x14ac:dyDescent="0.25">
      <c r="A5289" s="3">
        <v>41950</v>
      </c>
      <c r="B5289" s="36">
        <v>586</v>
      </c>
      <c r="C5289" t="s">
        <v>4433</v>
      </c>
      <c r="E5289" s="18">
        <v>68.149641578571419</v>
      </c>
      <c r="F5289" s="18" t="s">
        <v>889</v>
      </c>
      <c r="G5289" s="64"/>
      <c r="H5289" s="18"/>
      <c r="J5289"/>
      <c r="L5289"/>
      <c r="M5289"/>
      <c r="N5289" s="20"/>
      <c r="O5289"/>
      <c r="P5289" s="20"/>
      <c r="Q5289" s="20" t="s">
        <v>401</v>
      </c>
      <c r="R5289" s="20"/>
      <c r="S5289" s="20"/>
      <c r="T5289" s="20"/>
    </row>
    <row r="5290" spans="1:21" x14ac:dyDescent="0.25">
      <c r="A5290" s="3">
        <v>41950</v>
      </c>
      <c r="B5290" s="36">
        <v>586</v>
      </c>
      <c r="C5290" t="s">
        <v>1117</v>
      </c>
      <c r="E5290" s="18">
        <v>-97.659722220000006</v>
      </c>
      <c r="F5290" s="18" t="s">
        <v>889</v>
      </c>
      <c r="G5290" s="64"/>
      <c r="H5290" s="18"/>
      <c r="J5290"/>
      <c r="L5290"/>
      <c r="M5290"/>
      <c r="N5290" s="20"/>
      <c r="O5290"/>
      <c r="P5290" s="20"/>
      <c r="Q5290" s="20" t="s">
        <v>401</v>
      </c>
      <c r="R5290" s="20"/>
      <c r="S5290" s="20"/>
      <c r="T5290" s="20"/>
    </row>
    <row r="5291" spans="1:21" x14ac:dyDescent="0.25">
      <c r="A5291" s="3">
        <v>41950</v>
      </c>
      <c r="B5291" s="36">
        <v>586</v>
      </c>
      <c r="C5291" t="s">
        <v>4434</v>
      </c>
      <c r="E5291" s="18">
        <v>97.659722220000006</v>
      </c>
      <c r="F5291" s="18" t="s">
        <v>889</v>
      </c>
      <c r="G5291" s="64"/>
      <c r="H5291" s="18"/>
      <c r="J5291"/>
      <c r="L5291"/>
      <c r="M5291"/>
      <c r="N5291" s="20"/>
      <c r="O5291"/>
      <c r="P5291" s="20"/>
      <c r="Q5291" s="20" t="s">
        <v>401</v>
      </c>
      <c r="R5291" s="20"/>
      <c r="S5291" s="20"/>
      <c r="T5291" s="20"/>
    </row>
    <row r="5292" spans="1:21" x14ac:dyDescent="0.25">
      <c r="A5292" s="3">
        <v>41950</v>
      </c>
      <c r="B5292" s="36">
        <v>586</v>
      </c>
      <c r="C5292" t="s">
        <v>1283</v>
      </c>
      <c r="E5292" s="18">
        <v>-82.56</v>
      </c>
      <c r="F5292" s="18" t="s">
        <v>889</v>
      </c>
      <c r="G5292" s="64"/>
      <c r="H5292" s="18"/>
      <c r="J5292"/>
      <c r="L5292"/>
      <c r="M5292"/>
      <c r="N5292" s="20"/>
      <c r="O5292"/>
      <c r="P5292" s="20"/>
      <c r="Q5292" s="20" t="s">
        <v>401</v>
      </c>
      <c r="R5292" s="20"/>
      <c r="S5292" s="20"/>
      <c r="T5292" s="20"/>
    </row>
    <row r="5293" spans="1:21" x14ac:dyDescent="0.25">
      <c r="A5293" s="3">
        <v>41957</v>
      </c>
      <c r="B5293" s="36">
        <v>586</v>
      </c>
      <c r="C5293" t="s">
        <v>5474</v>
      </c>
      <c r="D5293">
        <v>9.9450000000000003</v>
      </c>
      <c r="E5293" s="18">
        <v>994.5</v>
      </c>
      <c r="F5293" t="s">
        <v>889</v>
      </c>
      <c r="G5293" t="s">
        <v>5475</v>
      </c>
      <c r="H5293" s="18">
        <v>994.5</v>
      </c>
      <c r="I5293" s="3">
        <v>41957</v>
      </c>
      <c r="J5293"/>
      <c r="L5293"/>
      <c r="M5293"/>
      <c r="N5293" s="20"/>
      <c r="O5293"/>
      <c r="P5293" s="20"/>
      <c r="Q5293" s="20"/>
      <c r="R5293" s="20"/>
      <c r="S5293" s="20"/>
      <c r="T5293" s="20"/>
    </row>
    <row r="5294" spans="1:21" x14ac:dyDescent="0.25">
      <c r="A5294" s="3">
        <v>41957</v>
      </c>
      <c r="B5294" s="36">
        <v>586</v>
      </c>
      <c r="C5294" t="s">
        <v>1304</v>
      </c>
      <c r="E5294" s="18">
        <v>-96.32</v>
      </c>
      <c r="F5294" t="s">
        <v>891</v>
      </c>
      <c r="G5294" t="s">
        <v>442</v>
      </c>
      <c r="H5294" s="18" t="s">
        <v>442</v>
      </c>
      <c r="I5294" s="3" t="s">
        <v>442</v>
      </c>
      <c r="J5294"/>
      <c r="L5294"/>
      <c r="M5294"/>
      <c r="N5294" s="20"/>
      <c r="O5294"/>
      <c r="P5294" s="20"/>
      <c r="Q5294" s="20" t="s">
        <v>401</v>
      </c>
      <c r="R5294" s="20"/>
      <c r="S5294" s="20"/>
      <c r="T5294" s="20"/>
    </row>
    <row r="5295" spans="1:21" x14ac:dyDescent="0.25">
      <c r="B5295">
        <v>586</v>
      </c>
      <c r="C5295" t="s">
        <v>5476</v>
      </c>
      <c r="D5295">
        <v>10.965</v>
      </c>
      <c r="E5295" s="18">
        <v>1096.5</v>
      </c>
      <c r="F5295" t="s">
        <v>889</v>
      </c>
      <c r="G5295" t="s">
        <v>5472</v>
      </c>
      <c r="I5295"/>
      <c r="J5295"/>
      <c r="L5295"/>
      <c r="M5295"/>
      <c r="O5295"/>
      <c r="P5295" s="20"/>
      <c r="Q5295" s="20"/>
      <c r="R5295" s="20"/>
      <c r="S5295" s="20"/>
      <c r="T5295" s="20"/>
      <c r="U5295" t="s">
        <v>401</v>
      </c>
    </row>
    <row r="5296" spans="1:21" x14ac:dyDescent="0.25">
      <c r="B5296">
        <v>586</v>
      </c>
      <c r="C5296" t="s">
        <v>5474</v>
      </c>
      <c r="D5296">
        <v>9.9450000000000003</v>
      </c>
      <c r="E5296" s="18">
        <v>-994.5</v>
      </c>
      <c r="F5296" t="s">
        <v>889</v>
      </c>
      <c r="G5296" t="s">
        <v>5475</v>
      </c>
      <c r="I5296"/>
      <c r="J5296"/>
      <c r="L5296"/>
      <c r="M5296"/>
      <c r="O5296"/>
      <c r="P5296" s="20"/>
      <c r="Q5296" s="20"/>
      <c r="R5296" s="20"/>
      <c r="S5296" s="20"/>
      <c r="T5296" s="20"/>
      <c r="U5296" t="s">
        <v>401</v>
      </c>
    </row>
    <row r="5297" spans="1:21" x14ac:dyDescent="0.25">
      <c r="B5297">
        <v>586</v>
      </c>
      <c r="C5297" t="s">
        <v>2573</v>
      </c>
      <c r="E5297" s="18">
        <v>-96.32</v>
      </c>
      <c r="F5297" t="s">
        <v>891</v>
      </c>
      <c r="G5297" t="s">
        <v>442</v>
      </c>
      <c r="I5297"/>
      <c r="J5297"/>
      <c r="L5297"/>
      <c r="M5297"/>
      <c r="O5297"/>
      <c r="P5297" s="20"/>
      <c r="Q5297" s="20"/>
      <c r="R5297" s="20"/>
      <c r="S5297" s="20"/>
      <c r="T5297" s="20"/>
      <c r="U5297" t="s">
        <v>401</v>
      </c>
    </row>
    <row r="5298" spans="1:21" x14ac:dyDescent="0.25">
      <c r="A5298" s="3">
        <v>41907</v>
      </c>
      <c r="B5298" s="36">
        <v>590</v>
      </c>
      <c r="C5298" t="s">
        <v>4973</v>
      </c>
      <c r="E5298" s="18">
        <v>1000</v>
      </c>
      <c r="F5298" t="s">
        <v>889</v>
      </c>
      <c r="G5298" t="s">
        <v>442</v>
      </c>
      <c r="H5298" s="18" t="s">
        <v>442</v>
      </c>
      <c r="I5298" s="3" t="s">
        <v>442</v>
      </c>
      <c r="J5298"/>
      <c r="L5298"/>
      <c r="M5298"/>
      <c r="N5298" s="20"/>
      <c r="O5298"/>
      <c r="P5298" s="20"/>
      <c r="Q5298" s="20"/>
      <c r="R5298" s="20"/>
      <c r="S5298" s="20"/>
      <c r="T5298" s="20" t="s">
        <v>401</v>
      </c>
    </row>
    <row r="5299" spans="1:21" x14ac:dyDescent="0.25">
      <c r="A5299" s="3">
        <v>41922</v>
      </c>
      <c r="B5299" s="36">
        <v>590</v>
      </c>
      <c r="C5299" t="s">
        <v>4998</v>
      </c>
      <c r="E5299" s="18">
        <v>525</v>
      </c>
      <c r="G5299" t="s">
        <v>442</v>
      </c>
      <c r="H5299" s="18" t="s">
        <v>442</v>
      </c>
      <c r="I5299" s="3" t="s">
        <v>442</v>
      </c>
      <c r="J5299"/>
      <c r="L5299"/>
      <c r="M5299"/>
      <c r="N5299" s="20"/>
      <c r="O5299"/>
      <c r="P5299" s="20"/>
      <c r="Q5299" s="20"/>
      <c r="R5299" s="20"/>
      <c r="S5299" s="20"/>
      <c r="T5299" s="20" t="s">
        <v>401</v>
      </c>
    </row>
    <row r="5300" spans="1:21" x14ac:dyDescent="0.25">
      <c r="A5300" s="3">
        <v>41950</v>
      </c>
      <c r="B5300" s="36">
        <v>590</v>
      </c>
      <c r="C5300" t="s">
        <v>4998</v>
      </c>
      <c r="E5300" s="18">
        <v>-525</v>
      </c>
      <c r="F5300" t="s">
        <v>889</v>
      </c>
      <c r="G5300" t="s">
        <v>442</v>
      </c>
      <c r="H5300" s="18" t="s">
        <v>442</v>
      </c>
      <c r="I5300" s="3" t="s">
        <v>442</v>
      </c>
      <c r="J5300"/>
      <c r="L5300"/>
      <c r="M5300"/>
      <c r="N5300" s="20"/>
      <c r="O5300"/>
      <c r="P5300" s="20"/>
      <c r="Q5300" s="20"/>
      <c r="R5300" s="20"/>
      <c r="S5300" s="20"/>
      <c r="T5300" s="20" t="s">
        <v>401</v>
      </c>
    </row>
    <row r="5301" spans="1:21" x14ac:dyDescent="0.25">
      <c r="A5301" s="3">
        <v>41950</v>
      </c>
      <c r="B5301" s="36">
        <v>590</v>
      </c>
      <c r="C5301" t="s">
        <v>5477</v>
      </c>
      <c r="D5301">
        <v>4.59</v>
      </c>
      <c r="E5301" s="18">
        <v>459</v>
      </c>
      <c r="F5301" t="s">
        <v>889</v>
      </c>
      <c r="G5301" t="s">
        <v>5478</v>
      </c>
      <c r="H5301" s="18">
        <v>459</v>
      </c>
      <c r="I5301" s="3">
        <v>41950</v>
      </c>
      <c r="J5301"/>
      <c r="L5301"/>
      <c r="M5301"/>
      <c r="N5301" s="20"/>
      <c r="O5301"/>
      <c r="P5301" s="20"/>
      <c r="Q5301" s="20"/>
      <c r="R5301" s="20"/>
      <c r="S5301" s="20"/>
      <c r="T5301" s="20"/>
    </row>
    <row r="5302" spans="1:21" x14ac:dyDescent="0.25">
      <c r="A5302" s="3">
        <v>41950</v>
      </c>
      <c r="B5302" s="36">
        <v>590</v>
      </c>
      <c r="C5302" t="s">
        <v>5479</v>
      </c>
      <c r="D5302">
        <v>3.25</v>
      </c>
      <c r="E5302" s="18">
        <v>280.5</v>
      </c>
      <c r="F5302" t="s">
        <v>889</v>
      </c>
      <c r="G5302" t="s">
        <v>5480</v>
      </c>
      <c r="H5302" s="18">
        <v>280.5</v>
      </c>
      <c r="I5302" s="3">
        <v>41950</v>
      </c>
      <c r="J5302"/>
      <c r="L5302"/>
      <c r="M5302"/>
      <c r="N5302" s="20"/>
      <c r="O5302"/>
      <c r="P5302" s="20"/>
      <c r="Q5302" s="20"/>
      <c r="R5302" s="20"/>
      <c r="S5302" s="20"/>
      <c r="T5302" s="20"/>
    </row>
    <row r="5303" spans="1:21" x14ac:dyDescent="0.25">
      <c r="A5303" s="3">
        <v>41950</v>
      </c>
      <c r="B5303" s="36">
        <v>590</v>
      </c>
      <c r="C5303" t="s">
        <v>5481</v>
      </c>
      <c r="D5303">
        <v>3.3149999999999999</v>
      </c>
      <c r="E5303" s="18">
        <v>331.5</v>
      </c>
      <c r="F5303" t="s">
        <v>889</v>
      </c>
      <c r="G5303" t="s">
        <v>5482</v>
      </c>
      <c r="H5303" s="18">
        <v>331.5</v>
      </c>
      <c r="I5303" s="3">
        <v>41950</v>
      </c>
      <c r="J5303"/>
      <c r="L5303"/>
      <c r="M5303"/>
      <c r="N5303" s="20"/>
      <c r="O5303"/>
      <c r="P5303" s="20"/>
      <c r="Q5303" s="20"/>
      <c r="R5303" s="20"/>
      <c r="S5303" s="20"/>
      <c r="T5303" s="20"/>
    </row>
    <row r="5304" spans="1:21" x14ac:dyDescent="0.25">
      <c r="A5304" s="3">
        <v>41950</v>
      </c>
      <c r="B5304" s="36">
        <v>590</v>
      </c>
      <c r="C5304" t="s">
        <v>5483</v>
      </c>
      <c r="E5304" s="18">
        <v>-1000</v>
      </c>
      <c r="F5304" t="s">
        <v>889</v>
      </c>
      <c r="G5304" t="s">
        <v>442</v>
      </c>
      <c r="H5304" s="18" t="s">
        <v>442</v>
      </c>
      <c r="I5304" s="3" t="s">
        <v>442</v>
      </c>
      <c r="J5304"/>
      <c r="L5304"/>
      <c r="M5304"/>
      <c r="N5304" s="20"/>
      <c r="O5304"/>
      <c r="P5304" s="20"/>
      <c r="Q5304" s="20"/>
      <c r="R5304" s="20"/>
      <c r="S5304" s="20"/>
      <c r="T5304" s="20" t="s">
        <v>401</v>
      </c>
    </row>
    <row r="5305" spans="1:21" x14ac:dyDescent="0.25">
      <c r="A5305" s="3">
        <v>41950</v>
      </c>
      <c r="B5305" s="36">
        <v>590</v>
      </c>
      <c r="C5305" t="s">
        <v>1117</v>
      </c>
      <c r="E5305" s="18">
        <v>-206.98611109999999</v>
      </c>
      <c r="F5305" t="s">
        <v>889</v>
      </c>
      <c r="G5305" t="s">
        <v>442</v>
      </c>
      <c r="H5305" s="18" t="s">
        <v>442</v>
      </c>
      <c r="I5305" s="3" t="s">
        <v>442</v>
      </c>
      <c r="J5305"/>
      <c r="L5305"/>
      <c r="M5305"/>
      <c r="N5305" s="20"/>
      <c r="O5305"/>
      <c r="P5305" s="20"/>
      <c r="Q5305" s="20" t="s">
        <v>401</v>
      </c>
      <c r="R5305" s="20"/>
      <c r="S5305" s="20"/>
      <c r="T5305" s="20"/>
    </row>
    <row r="5306" spans="1:21" x14ac:dyDescent="0.25">
      <c r="A5306" s="3">
        <v>41950</v>
      </c>
      <c r="B5306" s="36">
        <v>590</v>
      </c>
      <c r="C5306" t="s">
        <v>5036</v>
      </c>
      <c r="E5306" s="18">
        <v>-384.40277780000002</v>
      </c>
      <c r="F5306" t="s">
        <v>889</v>
      </c>
      <c r="G5306" t="s">
        <v>442</v>
      </c>
      <c r="H5306" s="18" t="s">
        <v>442</v>
      </c>
      <c r="I5306" s="3" t="s">
        <v>442</v>
      </c>
      <c r="J5306"/>
      <c r="L5306"/>
      <c r="M5306"/>
      <c r="N5306" s="20"/>
      <c r="O5306"/>
      <c r="P5306" s="20"/>
      <c r="Q5306" s="20" t="s">
        <v>401</v>
      </c>
      <c r="R5306" s="20"/>
      <c r="S5306" s="20"/>
      <c r="T5306" s="20"/>
    </row>
    <row r="5307" spans="1:21" x14ac:dyDescent="0.25">
      <c r="A5307" s="3">
        <v>41950</v>
      </c>
      <c r="B5307" s="36">
        <v>590</v>
      </c>
      <c r="C5307" t="s">
        <v>5037</v>
      </c>
      <c r="E5307" s="18">
        <v>384.40277780000002</v>
      </c>
      <c r="F5307" t="s">
        <v>889</v>
      </c>
      <c r="G5307" t="s">
        <v>442</v>
      </c>
      <c r="H5307" s="18" t="s">
        <v>442</v>
      </c>
      <c r="I5307" s="3" t="s">
        <v>442</v>
      </c>
      <c r="J5307"/>
      <c r="L5307"/>
      <c r="M5307"/>
      <c r="N5307" s="20"/>
      <c r="O5307" t="s">
        <v>5400</v>
      </c>
      <c r="P5307" s="20"/>
      <c r="Q5307" s="20" t="s">
        <v>401</v>
      </c>
      <c r="R5307" s="20"/>
      <c r="S5307" s="20"/>
      <c r="T5307" s="20"/>
    </row>
    <row r="5308" spans="1:21" x14ac:dyDescent="0.25">
      <c r="A5308" s="3">
        <v>41950</v>
      </c>
      <c r="B5308" s="36">
        <v>590</v>
      </c>
      <c r="C5308" t="s">
        <v>5484</v>
      </c>
      <c r="D5308">
        <v>8.4149999999999991</v>
      </c>
      <c r="E5308" s="18">
        <v>841.49999999999989</v>
      </c>
      <c r="F5308" t="s">
        <v>889</v>
      </c>
      <c r="G5308" t="s">
        <v>5485</v>
      </c>
      <c r="H5308" s="18">
        <v>841.49999999999989</v>
      </c>
      <c r="I5308" s="3">
        <v>41950</v>
      </c>
      <c r="J5308"/>
      <c r="L5308"/>
      <c r="M5308"/>
      <c r="N5308" s="20"/>
      <c r="O5308"/>
      <c r="P5308" s="20"/>
      <c r="Q5308" s="20"/>
      <c r="R5308" s="20"/>
      <c r="S5308" s="20"/>
      <c r="T5308" s="20"/>
    </row>
    <row r="5309" spans="1:21" x14ac:dyDescent="0.25">
      <c r="B5309">
        <v>590</v>
      </c>
      <c r="C5309" t="s">
        <v>5477</v>
      </c>
      <c r="D5309">
        <v>4.59</v>
      </c>
      <c r="E5309" s="18">
        <v>153</v>
      </c>
      <c r="F5309" t="s">
        <v>889</v>
      </c>
      <c r="G5309" t="s">
        <v>5478</v>
      </c>
      <c r="I5309"/>
      <c r="J5309"/>
      <c r="L5309"/>
      <c r="M5309"/>
      <c r="O5309"/>
      <c r="P5309" s="20"/>
      <c r="Q5309" s="20"/>
      <c r="R5309" s="20"/>
      <c r="S5309" s="20"/>
      <c r="T5309" s="20"/>
      <c r="U5309" t="s">
        <v>401</v>
      </c>
    </row>
    <row r="5310" spans="1:21" x14ac:dyDescent="0.25">
      <c r="B5310">
        <v>590</v>
      </c>
      <c r="C5310" t="s">
        <v>5477</v>
      </c>
      <c r="E5310" s="18">
        <v>153</v>
      </c>
      <c r="G5310" t="s">
        <v>5478</v>
      </c>
      <c r="I5310"/>
      <c r="J5310"/>
      <c r="L5310"/>
      <c r="M5310"/>
      <c r="O5310"/>
      <c r="P5310" s="20"/>
      <c r="Q5310" s="20"/>
      <c r="R5310" s="20"/>
      <c r="S5310" s="20"/>
      <c r="T5310" s="20"/>
      <c r="U5310" t="s">
        <v>401</v>
      </c>
    </row>
    <row r="5311" spans="1:21" x14ac:dyDescent="0.25">
      <c r="B5311">
        <v>590</v>
      </c>
      <c r="C5311" t="s">
        <v>5479</v>
      </c>
      <c r="D5311">
        <v>2.8050000000000002</v>
      </c>
      <c r="E5311" s="18">
        <v>-280.5</v>
      </c>
      <c r="F5311" t="s">
        <v>889</v>
      </c>
      <c r="G5311" t="s">
        <v>5480</v>
      </c>
      <c r="I5311"/>
      <c r="J5311"/>
      <c r="L5311"/>
      <c r="M5311"/>
      <c r="O5311"/>
      <c r="P5311" s="20"/>
      <c r="Q5311" s="20"/>
      <c r="R5311" s="20"/>
      <c r="S5311" s="20"/>
      <c r="T5311" s="20"/>
      <c r="U5311" t="s">
        <v>401</v>
      </c>
    </row>
    <row r="5312" spans="1:21" x14ac:dyDescent="0.25">
      <c r="B5312">
        <v>590</v>
      </c>
      <c r="C5312" t="s">
        <v>5481</v>
      </c>
      <c r="D5312">
        <v>3.3149999999999999</v>
      </c>
      <c r="E5312" s="18">
        <v>-331.5</v>
      </c>
      <c r="F5312" t="s">
        <v>889</v>
      </c>
      <c r="G5312" t="s">
        <v>5482</v>
      </c>
      <c r="I5312"/>
      <c r="J5312"/>
      <c r="L5312"/>
      <c r="M5312"/>
      <c r="O5312"/>
      <c r="P5312" s="20"/>
      <c r="Q5312" s="20"/>
      <c r="R5312" s="20"/>
      <c r="S5312" s="20"/>
      <c r="T5312" s="20"/>
      <c r="U5312" t="s">
        <v>401</v>
      </c>
    </row>
    <row r="5313" spans="1:21" x14ac:dyDescent="0.25">
      <c r="B5313">
        <v>590</v>
      </c>
      <c r="C5313" t="s">
        <v>3076</v>
      </c>
      <c r="E5313" s="18">
        <v>-204.15</v>
      </c>
      <c r="G5313" t="s">
        <v>442</v>
      </c>
      <c r="I5313"/>
      <c r="J5313"/>
      <c r="L5313"/>
      <c r="M5313"/>
      <c r="O5313"/>
      <c r="P5313" s="20"/>
      <c r="Q5313" s="20"/>
      <c r="R5313" s="20"/>
      <c r="S5313" s="20"/>
      <c r="T5313" s="20"/>
      <c r="U5313" t="s">
        <v>401</v>
      </c>
    </row>
    <row r="5314" spans="1:21" x14ac:dyDescent="0.25">
      <c r="B5314">
        <v>590</v>
      </c>
      <c r="C5314" t="s">
        <v>2573</v>
      </c>
      <c r="E5314" s="18">
        <v>-204.15</v>
      </c>
      <c r="F5314" t="s">
        <v>891</v>
      </c>
      <c r="G5314" t="s">
        <v>442</v>
      </c>
      <c r="I5314"/>
      <c r="J5314"/>
      <c r="L5314"/>
      <c r="M5314"/>
      <c r="O5314"/>
      <c r="P5314" s="20"/>
      <c r="Q5314" s="20"/>
      <c r="R5314" s="20"/>
      <c r="S5314" s="20"/>
      <c r="T5314" s="20"/>
      <c r="U5314" t="s">
        <v>401</v>
      </c>
    </row>
    <row r="5315" spans="1:21" x14ac:dyDescent="0.25">
      <c r="B5315">
        <v>590</v>
      </c>
      <c r="C5315" t="s">
        <v>1312</v>
      </c>
      <c r="E5315" s="18">
        <v>-204.15</v>
      </c>
      <c r="F5315" t="s">
        <v>891</v>
      </c>
      <c r="G5315" t="s">
        <v>442</v>
      </c>
      <c r="I5315"/>
      <c r="J5315"/>
      <c r="L5315"/>
      <c r="M5315"/>
      <c r="O5315"/>
      <c r="P5315" s="20"/>
      <c r="Q5315" s="20"/>
      <c r="R5315" s="20"/>
      <c r="S5315" s="20"/>
      <c r="T5315" s="20"/>
      <c r="U5315" t="s">
        <v>401</v>
      </c>
    </row>
    <row r="5316" spans="1:21" x14ac:dyDescent="0.25">
      <c r="A5316" s="3">
        <v>41943</v>
      </c>
      <c r="B5316" s="36">
        <v>592</v>
      </c>
      <c r="C5316" t="s">
        <v>5486</v>
      </c>
      <c r="D5316">
        <v>4.08</v>
      </c>
      <c r="E5316" s="18">
        <v>408</v>
      </c>
      <c r="F5316" t="s">
        <v>889</v>
      </c>
      <c r="G5316" t="s">
        <v>5487</v>
      </c>
      <c r="H5316" s="18">
        <v>408</v>
      </c>
      <c r="I5316" s="3">
        <v>41943</v>
      </c>
      <c r="J5316"/>
      <c r="L5316"/>
      <c r="M5316"/>
      <c r="N5316" s="20"/>
      <c r="O5316"/>
      <c r="P5316" s="20"/>
      <c r="Q5316" s="20"/>
      <c r="R5316" s="20"/>
      <c r="S5316" s="20"/>
      <c r="T5316" s="20"/>
    </row>
    <row r="5317" spans="1:21" x14ac:dyDescent="0.25">
      <c r="A5317" s="3">
        <v>41999</v>
      </c>
      <c r="B5317" s="36">
        <v>592</v>
      </c>
      <c r="C5317" t="s">
        <v>5486</v>
      </c>
      <c r="D5317">
        <v>9.5</v>
      </c>
      <c r="E5317" s="18">
        <v>1492</v>
      </c>
      <c r="F5317" t="s">
        <v>889</v>
      </c>
      <c r="G5317" t="s">
        <v>5487</v>
      </c>
      <c r="H5317" s="18">
        <v>1492</v>
      </c>
      <c r="I5317" s="3">
        <v>41999</v>
      </c>
      <c r="J5317"/>
      <c r="L5317"/>
      <c r="M5317"/>
      <c r="N5317" s="20"/>
      <c r="O5317" t="s">
        <v>959</v>
      </c>
      <c r="P5317" s="20"/>
      <c r="Q5317" s="20"/>
      <c r="R5317" s="20"/>
      <c r="S5317" s="20"/>
      <c r="T5317" s="20"/>
    </row>
    <row r="5318" spans="1:21" x14ac:dyDescent="0.25">
      <c r="B5318">
        <v>592</v>
      </c>
      <c r="C5318" t="s">
        <v>5486</v>
      </c>
      <c r="D5318">
        <v>4.08</v>
      </c>
      <c r="E5318" s="18">
        <v>-1084</v>
      </c>
      <c r="F5318" t="s">
        <v>889</v>
      </c>
      <c r="G5318" t="s">
        <v>5487</v>
      </c>
      <c r="I5318"/>
      <c r="J5318"/>
      <c r="L5318"/>
      <c r="M5318"/>
      <c r="O5318"/>
      <c r="P5318" s="20"/>
      <c r="Q5318" s="20"/>
      <c r="R5318" s="20"/>
      <c r="S5318" s="20"/>
      <c r="T5318" s="20"/>
      <c r="U5318" t="s">
        <v>401</v>
      </c>
    </row>
    <row r="5319" spans="1:21" x14ac:dyDescent="0.25">
      <c r="A5319" s="3">
        <v>41918</v>
      </c>
      <c r="B5319" s="36">
        <v>593</v>
      </c>
      <c r="C5319" t="s">
        <v>5488</v>
      </c>
      <c r="D5319">
        <v>2.5</v>
      </c>
      <c r="E5319" s="18">
        <v>250</v>
      </c>
      <c r="F5319" t="s">
        <v>889</v>
      </c>
      <c r="G5319" t="s">
        <v>5489</v>
      </c>
      <c r="H5319" s="18">
        <v>250</v>
      </c>
      <c r="I5319" s="3">
        <v>41918</v>
      </c>
      <c r="J5319"/>
      <c r="L5319"/>
      <c r="M5319"/>
      <c r="N5319" s="20"/>
      <c r="O5319"/>
      <c r="P5319" s="20"/>
      <c r="Q5319" s="20"/>
      <c r="R5319" s="20"/>
      <c r="S5319" s="20"/>
      <c r="T5319" s="20"/>
    </row>
    <row r="5320" spans="1:21" x14ac:dyDescent="0.25">
      <c r="A5320" s="3">
        <v>41929</v>
      </c>
      <c r="B5320" s="36">
        <v>593</v>
      </c>
      <c r="C5320" t="s">
        <v>5488</v>
      </c>
      <c r="D5320">
        <v>2.5</v>
      </c>
      <c r="E5320" s="18">
        <v>-250</v>
      </c>
      <c r="F5320" t="s">
        <v>889</v>
      </c>
      <c r="G5320" t="s">
        <v>5489</v>
      </c>
      <c r="H5320" s="18" t="s">
        <v>442</v>
      </c>
      <c r="I5320" s="3" t="s">
        <v>442</v>
      </c>
      <c r="J5320"/>
      <c r="L5320"/>
      <c r="M5320"/>
      <c r="N5320" s="20"/>
      <c r="O5320"/>
      <c r="P5320" s="20"/>
      <c r="Q5320" s="20"/>
      <c r="R5320" s="20"/>
      <c r="S5320" s="20"/>
      <c r="T5320" s="20"/>
    </row>
    <row r="5321" spans="1:21" x14ac:dyDescent="0.25">
      <c r="A5321" s="3">
        <v>41929</v>
      </c>
      <c r="B5321" s="36">
        <v>593</v>
      </c>
      <c r="C5321" t="s">
        <v>304</v>
      </c>
      <c r="D5321">
        <v>6</v>
      </c>
      <c r="E5321" s="18">
        <v>408</v>
      </c>
      <c r="F5321" t="s">
        <v>889</v>
      </c>
      <c r="G5321" t="s">
        <v>5490</v>
      </c>
      <c r="H5321" s="18">
        <v>408</v>
      </c>
      <c r="I5321" s="3">
        <v>41929</v>
      </c>
      <c r="J5321"/>
      <c r="L5321"/>
      <c r="M5321"/>
      <c r="N5321" s="20"/>
      <c r="O5321"/>
      <c r="P5321" s="20"/>
      <c r="Q5321" s="20"/>
      <c r="R5321" s="20"/>
      <c r="S5321" s="20"/>
      <c r="T5321" s="20"/>
    </row>
    <row r="5322" spans="1:21" x14ac:dyDescent="0.25">
      <c r="A5322" s="57">
        <v>41936</v>
      </c>
      <c r="B5322" s="42">
        <v>593</v>
      </c>
      <c r="C5322" s="45" t="s">
        <v>5491</v>
      </c>
      <c r="D5322" s="45">
        <v>7.5</v>
      </c>
      <c r="E5322" s="58">
        <v>739.5</v>
      </c>
      <c r="F5322" s="45" t="s">
        <v>889</v>
      </c>
      <c r="G5322" s="45" t="s">
        <v>5468</v>
      </c>
      <c r="H5322" s="18">
        <v>739.5</v>
      </c>
      <c r="I5322" s="3">
        <v>41936</v>
      </c>
      <c r="J5322" s="45"/>
      <c r="K5322" s="45"/>
      <c r="L5322" s="45"/>
      <c r="M5322" s="45"/>
      <c r="N5322" s="45"/>
      <c r="O5322" s="45"/>
      <c r="P5322" s="20"/>
      <c r="Q5322" s="20"/>
      <c r="R5322" s="20"/>
      <c r="S5322" s="20"/>
      <c r="T5322" s="20"/>
    </row>
    <row r="5323" spans="1:21" x14ac:dyDescent="0.25">
      <c r="A5323" s="3">
        <v>41936</v>
      </c>
      <c r="B5323" s="36">
        <v>593</v>
      </c>
      <c r="C5323" t="s">
        <v>304</v>
      </c>
      <c r="D5323">
        <v>6</v>
      </c>
      <c r="E5323" s="18">
        <v>-408</v>
      </c>
      <c r="F5323" t="s">
        <v>889</v>
      </c>
      <c r="G5323" t="s">
        <v>5490</v>
      </c>
      <c r="H5323" s="18" t="s">
        <v>442</v>
      </c>
      <c r="I5323" s="3" t="s">
        <v>442</v>
      </c>
      <c r="J5323"/>
      <c r="L5323"/>
      <c r="M5323"/>
      <c r="N5323" s="20"/>
      <c r="O5323"/>
      <c r="P5323" s="20"/>
      <c r="Q5323" s="20"/>
      <c r="R5323" s="20"/>
      <c r="S5323" s="20"/>
      <c r="T5323" s="20"/>
    </row>
    <row r="5324" spans="1:21" x14ac:dyDescent="0.25">
      <c r="A5324" s="3">
        <v>41936</v>
      </c>
      <c r="B5324" s="36">
        <v>593</v>
      </c>
      <c r="C5324" t="s">
        <v>5492</v>
      </c>
      <c r="D5324">
        <v>6.25</v>
      </c>
      <c r="E5324" s="18">
        <v>892.50000000000011</v>
      </c>
      <c r="F5324" t="s">
        <v>889</v>
      </c>
      <c r="G5324" t="s">
        <v>5493</v>
      </c>
      <c r="H5324" s="18">
        <v>892.50000000000011</v>
      </c>
      <c r="I5324" s="3">
        <v>41936</v>
      </c>
      <c r="J5324"/>
      <c r="L5324"/>
      <c r="M5324"/>
      <c r="N5324" s="20"/>
      <c r="O5324"/>
      <c r="P5324" s="20"/>
      <c r="Q5324" s="20"/>
      <c r="R5324" s="20"/>
      <c r="S5324" s="20"/>
      <c r="T5324" s="20"/>
    </row>
    <row r="5325" spans="1:21" x14ac:dyDescent="0.25">
      <c r="A5325" s="3">
        <v>41950</v>
      </c>
      <c r="B5325" s="36">
        <v>593</v>
      </c>
      <c r="C5325" t="s">
        <v>5494</v>
      </c>
      <c r="D5325">
        <v>4.335</v>
      </c>
      <c r="E5325" s="18">
        <v>433.5</v>
      </c>
      <c r="F5325" t="s">
        <v>889</v>
      </c>
      <c r="G5325" t="s">
        <v>5495</v>
      </c>
      <c r="H5325" s="18">
        <v>433.5</v>
      </c>
      <c r="I5325" s="3">
        <v>41950</v>
      </c>
      <c r="J5325"/>
      <c r="L5325"/>
      <c r="M5325"/>
      <c r="N5325" s="20"/>
      <c r="O5325"/>
      <c r="P5325" s="20"/>
      <c r="Q5325" s="20"/>
      <c r="R5325" s="20"/>
      <c r="S5325" s="20"/>
      <c r="T5325" s="20"/>
    </row>
    <row r="5326" spans="1:21" x14ac:dyDescent="0.25">
      <c r="A5326" s="3">
        <v>41950</v>
      </c>
      <c r="B5326" s="36">
        <v>593</v>
      </c>
      <c r="C5326" t="s">
        <v>5496</v>
      </c>
      <c r="D5326">
        <v>7.14</v>
      </c>
      <c r="E5326" s="18">
        <v>714</v>
      </c>
      <c r="F5326" t="s">
        <v>889</v>
      </c>
      <c r="G5326" t="s">
        <v>5497</v>
      </c>
      <c r="H5326" s="18">
        <v>714</v>
      </c>
      <c r="I5326" s="3">
        <v>41950</v>
      </c>
      <c r="J5326"/>
      <c r="L5326"/>
      <c r="M5326"/>
      <c r="N5326" s="20"/>
      <c r="O5326"/>
      <c r="P5326" s="20"/>
      <c r="Q5326" s="20"/>
      <c r="R5326" s="20"/>
      <c r="S5326" s="20"/>
      <c r="T5326" s="20"/>
    </row>
    <row r="5327" spans="1:21" x14ac:dyDescent="0.25">
      <c r="A5327" s="3">
        <v>41957</v>
      </c>
      <c r="B5327" s="36">
        <v>593</v>
      </c>
      <c r="C5327" t="s">
        <v>5498</v>
      </c>
      <c r="D5327">
        <v>7.65</v>
      </c>
      <c r="E5327" s="18">
        <v>765</v>
      </c>
      <c r="F5327" t="s">
        <v>889</v>
      </c>
      <c r="G5327" t="s">
        <v>5499</v>
      </c>
      <c r="H5327" s="18">
        <v>765</v>
      </c>
      <c r="I5327" s="3">
        <v>41957</v>
      </c>
      <c r="J5327"/>
      <c r="L5327"/>
      <c r="M5327"/>
      <c r="N5327" s="20"/>
      <c r="O5327"/>
      <c r="P5327" s="20"/>
      <c r="Q5327" s="20"/>
      <c r="R5327" s="20"/>
      <c r="S5327" s="20"/>
      <c r="T5327" s="20"/>
    </row>
    <row r="5328" spans="1:21" x14ac:dyDescent="0.25">
      <c r="A5328" s="3">
        <v>41978</v>
      </c>
      <c r="B5328" s="36">
        <v>593</v>
      </c>
      <c r="C5328" t="s">
        <v>5500</v>
      </c>
      <c r="D5328">
        <v>8.16</v>
      </c>
      <c r="E5328" s="18">
        <v>816</v>
      </c>
      <c r="F5328" t="s">
        <v>889</v>
      </c>
      <c r="G5328" t="s">
        <v>5501</v>
      </c>
      <c r="H5328" s="18">
        <v>816</v>
      </c>
      <c r="I5328" s="3">
        <v>41978</v>
      </c>
      <c r="J5328"/>
      <c r="L5328"/>
      <c r="M5328"/>
      <c r="N5328" s="20"/>
      <c r="O5328"/>
      <c r="P5328" s="20"/>
      <c r="Q5328" s="20"/>
      <c r="R5328" s="20"/>
      <c r="S5328" s="20"/>
      <c r="T5328" s="20"/>
    </row>
    <row r="5329" spans="1:21" x14ac:dyDescent="0.25">
      <c r="A5329" s="3">
        <v>41978</v>
      </c>
      <c r="B5329" s="36">
        <v>593</v>
      </c>
      <c r="C5329" t="s">
        <v>5498</v>
      </c>
      <c r="D5329">
        <v>7.65</v>
      </c>
      <c r="E5329" s="18">
        <v>-765</v>
      </c>
      <c r="F5329" t="s">
        <v>889</v>
      </c>
      <c r="G5329" t="s">
        <v>5499</v>
      </c>
      <c r="H5329" s="18" t="s">
        <v>442</v>
      </c>
      <c r="I5329" s="3" t="s">
        <v>442</v>
      </c>
      <c r="J5329"/>
      <c r="L5329"/>
      <c r="M5329"/>
      <c r="N5329" s="20"/>
      <c r="O5329"/>
      <c r="P5329" s="20"/>
      <c r="Q5329" s="20"/>
      <c r="R5329" s="20"/>
      <c r="S5329" s="20"/>
      <c r="T5329" s="20"/>
    </row>
    <row r="5330" spans="1:21" x14ac:dyDescent="0.25">
      <c r="A5330" s="57">
        <v>41985</v>
      </c>
      <c r="B5330" s="42">
        <v>593</v>
      </c>
      <c r="C5330" s="45" t="s">
        <v>5502</v>
      </c>
      <c r="D5330" s="45">
        <v>8.4149999999999991</v>
      </c>
      <c r="E5330" s="58">
        <v>0</v>
      </c>
      <c r="F5330" s="45" t="s">
        <v>889</v>
      </c>
      <c r="G5330" s="45" t="s">
        <v>5465</v>
      </c>
      <c r="H5330" s="18">
        <v>0</v>
      </c>
      <c r="I5330" s="3">
        <v>41985</v>
      </c>
      <c r="J5330" s="45"/>
      <c r="K5330" s="45"/>
      <c r="L5330" s="45"/>
      <c r="M5330" s="45"/>
      <c r="N5330" s="45"/>
      <c r="O5330" s="45"/>
      <c r="P5330" s="20"/>
      <c r="Q5330" s="20"/>
      <c r="R5330" s="20"/>
      <c r="S5330" s="20"/>
      <c r="T5330" s="20"/>
    </row>
    <row r="5331" spans="1:21" x14ac:dyDescent="0.25">
      <c r="A5331" s="3">
        <v>42004</v>
      </c>
      <c r="B5331" s="36">
        <v>593</v>
      </c>
      <c r="C5331" t="s">
        <v>5496</v>
      </c>
      <c r="D5331">
        <v>7.14</v>
      </c>
      <c r="E5331" s="18">
        <v>238</v>
      </c>
      <c r="F5331" t="s">
        <v>889</v>
      </c>
      <c r="G5331" t="s">
        <v>5497</v>
      </c>
      <c r="H5331" s="18">
        <v>238</v>
      </c>
      <c r="I5331" s="3">
        <v>42004</v>
      </c>
      <c r="J5331"/>
      <c r="L5331"/>
      <c r="M5331"/>
      <c r="N5331" s="20"/>
      <c r="O5331"/>
      <c r="P5331" s="20"/>
      <c r="Q5331" s="20"/>
      <c r="R5331" s="20"/>
      <c r="S5331" s="20"/>
      <c r="T5331" s="20"/>
    </row>
    <row r="5332" spans="1:21" x14ac:dyDescent="0.25">
      <c r="A5332" s="3">
        <v>42027</v>
      </c>
      <c r="B5332" s="36">
        <v>593</v>
      </c>
      <c r="C5332" t="s">
        <v>5503</v>
      </c>
      <c r="D5332" s="55">
        <v>8.16</v>
      </c>
      <c r="E5332" s="18">
        <v>816</v>
      </c>
      <c r="F5332" t="s">
        <v>889</v>
      </c>
      <c r="G5332" t="s">
        <v>5501</v>
      </c>
      <c r="H5332" s="18">
        <v>816</v>
      </c>
      <c r="I5332" s="3">
        <v>42027</v>
      </c>
      <c r="J5332"/>
      <c r="L5332"/>
      <c r="M5332"/>
      <c r="N5332" s="20"/>
      <c r="O5332"/>
      <c r="P5332" s="20"/>
      <c r="Q5332" s="20"/>
      <c r="R5332" s="20"/>
      <c r="S5332" s="20"/>
      <c r="T5332" s="20"/>
    </row>
    <row r="5333" spans="1:21" x14ac:dyDescent="0.25">
      <c r="A5333" s="3">
        <v>42027</v>
      </c>
      <c r="B5333" s="36">
        <v>593</v>
      </c>
      <c r="C5333" t="s">
        <v>579</v>
      </c>
      <c r="D5333" s="55">
        <v>3.8250000000000002</v>
      </c>
      <c r="E5333" s="18">
        <v>191.25</v>
      </c>
      <c r="F5333" t="s">
        <v>889</v>
      </c>
      <c r="G5333" t="s">
        <v>580</v>
      </c>
      <c r="H5333" s="18">
        <v>191.25</v>
      </c>
      <c r="I5333" s="3">
        <v>42027</v>
      </c>
      <c r="J5333"/>
      <c r="L5333"/>
      <c r="M5333"/>
      <c r="N5333" s="20"/>
      <c r="O5333"/>
      <c r="P5333" s="20"/>
      <c r="Q5333" s="20"/>
      <c r="R5333" s="20"/>
      <c r="S5333" s="20"/>
      <c r="T5333" s="20"/>
    </row>
    <row r="5334" spans="1:21" x14ac:dyDescent="0.25">
      <c r="A5334" s="3">
        <v>42034</v>
      </c>
      <c r="B5334">
        <v>593</v>
      </c>
      <c r="C5334" t="s">
        <v>579</v>
      </c>
      <c r="D5334" s="19">
        <v>3.8250000000000002</v>
      </c>
      <c r="E5334" s="18">
        <v>250</v>
      </c>
      <c r="F5334" s="23" t="s">
        <v>889</v>
      </c>
      <c r="G5334" t="s">
        <v>580</v>
      </c>
      <c r="H5334" s="18"/>
      <c r="J5334"/>
      <c r="L5334"/>
      <c r="M5334"/>
      <c r="N5334" s="20"/>
      <c r="O5334"/>
      <c r="P5334" s="20"/>
      <c r="Q5334" s="20"/>
      <c r="R5334" s="20"/>
      <c r="S5334" s="20"/>
      <c r="T5334" s="20"/>
    </row>
    <row r="5335" spans="1:21" x14ac:dyDescent="0.25">
      <c r="A5335" s="3">
        <v>42041</v>
      </c>
      <c r="B5335">
        <v>593</v>
      </c>
      <c r="C5335" t="s">
        <v>5496</v>
      </c>
      <c r="E5335" s="18">
        <v>238</v>
      </c>
      <c r="F5335" t="s">
        <v>889</v>
      </c>
      <c r="G5335" t="s">
        <v>5497</v>
      </c>
      <c r="I5335"/>
      <c r="J5335"/>
      <c r="L5335"/>
      <c r="M5335"/>
      <c r="O5335"/>
      <c r="P5335" s="20"/>
      <c r="Q5335" s="20"/>
      <c r="R5335" s="20"/>
      <c r="S5335" s="20"/>
      <c r="T5335" s="20"/>
    </row>
    <row r="5336" spans="1:21" x14ac:dyDescent="0.25">
      <c r="A5336" s="3">
        <v>41907</v>
      </c>
      <c r="B5336" s="36">
        <v>594</v>
      </c>
      <c r="C5336" t="s">
        <v>5504</v>
      </c>
      <c r="D5336">
        <v>3.75</v>
      </c>
      <c r="E5336" s="18">
        <v>375</v>
      </c>
      <c r="F5336" t="s">
        <v>889</v>
      </c>
      <c r="G5336" t="s">
        <v>5505</v>
      </c>
      <c r="H5336" s="18">
        <v>375</v>
      </c>
      <c r="I5336" s="3">
        <v>41907</v>
      </c>
      <c r="J5336"/>
      <c r="L5336"/>
      <c r="M5336"/>
      <c r="N5336" s="20"/>
      <c r="O5336"/>
      <c r="P5336" s="20"/>
      <c r="Q5336" s="20"/>
      <c r="R5336" s="20"/>
      <c r="S5336" s="20"/>
      <c r="T5336" s="20"/>
    </row>
    <row r="5337" spans="1:21" x14ac:dyDescent="0.25">
      <c r="A5337" s="3">
        <v>41907</v>
      </c>
      <c r="B5337" s="36">
        <v>594</v>
      </c>
      <c r="C5337" t="s">
        <v>5506</v>
      </c>
      <c r="D5337">
        <v>4.75</v>
      </c>
      <c r="E5337" s="18">
        <v>475</v>
      </c>
      <c r="F5337" t="s">
        <v>889</v>
      </c>
      <c r="G5337" t="s">
        <v>5507</v>
      </c>
      <c r="H5337" s="18">
        <v>475</v>
      </c>
      <c r="I5337" s="3">
        <v>41907</v>
      </c>
      <c r="J5337"/>
      <c r="L5337"/>
      <c r="M5337"/>
      <c r="N5337" s="20"/>
      <c r="O5337"/>
      <c r="P5337" s="20"/>
      <c r="Q5337" s="20"/>
      <c r="R5337" s="20"/>
      <c r="S5337" s="20"/>
      <c r="T5337" s="20"/>
    </row>
    <row r="5338" spans="1:21" x14ac:dyDescent="0.25">
      <c r="A5338" s="3">
        <v>41915</v>
      </c>
      <c r="B5338" s="36">
        <v>594</v>
      </c>
      <c r="C5338" t="s">
        <v>5508</v>
      </c>
      <c r="D5338">
        <v>6</v>
      </c>
      <c r="E5338" s="18">
        <v>600</v>
      </c>
      <c r="F5338" t="s">
        <v>889</v>
      </c>
      <c r="G5338" t="s">
        <v>5509</v>
      </c>
      <c r="H5338" s="18">
        <v>600</v>
      </c>
      <c r="I5338" s="3">
        <v>41915</v>
      </c>
      <c r="J5338"/>
      <c r="L5338"/>
      <c r="M5338"/>
      <c r="N5338" s="20"/>
      <c r="O5338"/>
      <c r="P5338" s="20"/>
      <c r="Q5338" s="20"/>
      <c r="R5338" s="20"/>
      <c r="S5338" s="20"/>
      <c r="T5338" s="20"/>
    </row>
    <row r="5339" spans="1:21" x14ac:dyDescent="0.25">
      <c r="A5339" s="3">
        <v>41936</v>
      </c>
      <c r="B5339" s="36">
        <v>594</v>
      </c>
      <c r="C5339" t="s">
        <v>5510</v>
      </c>
      <c r="D5339">
        <v>3.75</v>
      </c>
      <c r="E5339" s="18">
        <v>382.5</v>
      </c>
      <c r="F5339" t="s">
        <v>889</v>
      </c>
      <c r="G5339" t="s">
        <v>5511</v>
      </c>
      <c r="H5339" s="18">
        <v>382.5</v>
      </c>
      <c r="I5339" s="3">
        <v>41936</v>
      </c>
      <c r="J5339"/>
      <c r="L5339"/>
      <c r="M5339"/>
      <c r="N5339" s="20"/>
      <c r="O5339"/>
      <c r="P5339" s="20"/>
      <c r="Q5339" s="20"/>
      <c r="R5339" s="20"/>
      <c r="S5339" s="20"/>
      <c r="T5339" s="20"/>
    </row>
    <row r="5340" spans="1:21" x14ac:dyDescent="0.25">
      <c r="A5340" s="3">
        <v>41999</v>
      </c>
      <c r="B5340" s="36">
        <v>594</v>
      </c>
      <c r="C5340" t="s">
        <v>5506</v>
      </c>
      <c r="D5340">
        <v>6.375</v>
      </c>
      <c r="E5340" s="18">
        <v>800</v>
      </c>
      <c r="F5340" t="s">
        <v>889</v>
      </c>
      <c r="G5340" t="s">
        <v>5507</v>
      </c>
      <c r="H5340" s="18">
        <v>800</v>
      </c>
      <c r="I5340" s="3">
        <v>41999</v>
      </c>
      <c r="J5340"/>
      <c r="L5340"/>
      <c r="M5340"/>
      <c r="N5340" s="20"/>
      <c r="O5340" t="s">
        <v>959</v>
      </c>
      <c r="P5340" s="20"/>
      <c r="Q5340" s="20"/>
      <c r="R5340" s="20"/>
      <c r="S5340" s="20"/>
      <c r="T5340" s="20"/>
    </row>
    <row r="5341" spans="1:21" x14ac:dyDescent="0.25">
      <c r="B5341">
        <v>594</v>
      </c>
      <c r="C5341" t="s">
        <v>5504</v>
      </c>
      <c r="D5341">
        <v>3.75</v>
      </c>
      <c r="E5341" s="18">
        <v>125</v>
      </c>
      <c r="F5341" t="s">
        <v>889</v>
      </c>
      <c r="G5341" t="s">
        <v>5505</v>
      </c>
      <c r="I5341"/>
      <c r="J5341"/>
      <c r="L5341"/>
      <c r="M5341"/>
      <c r="O5341"/>
      <c r="P5341" s="20"/>
      <c r="Q5341" s="20"/>
      <c r="R5341" s="20"/>
      <c r="S5341" s="20"/>
      <c r="T5341" s="20"/>
      <c r="U5341" t="s">
        <v>401</v>
      </c>
    </row>
    <row r="5342" spans="1:21" x14ac:dyDescent="0.25">
      <c r="B5342">
        <v>594</v>
      </c>
      <c r="C5342" t="s">
        <v>5504</v>
      </c>
      <c r="E5342" s="18">
        <v>125</v>
      </c>
      <c r="G5342" t="s">
        <v>5505</v>
      </c>
      <c r="I5342"/>
      <c r="J5342"/>
      <c r="L5342"/>
      <c r="M5342"/>
      <c r="O5342"/>
      <c r="P5342" s="20"/>
      <c r="Q5342" s="20"/>
      <c r="R5342" s="20"/>
      <c r="S5342" s="20"/>
      <c r="T5342" s="20"/>
      <c r="U5342" t="s">
        <v>401</v>
      </c>
    </row>
    <row r="5343" spans="1:21" x14ac:dyDescent="0.25">
      <c r="B5343">
        <v>594</v>
      </c>
      <c r="C5343" t="s">
        <v>5506</v>
      </c>
      <c r="D5343">
        <v>4.75</v>
      </c>
      <c r="E5343" s="18">
        <v>-325</v>
      </c>
      <c r="F5343" t="s">
        <v>889</v>
      </c>
      <c r="G5343" t="s">
        <v>5507</v>
      </c>
      <c r="I5343"/>
      <c r="J5343"/>
      <c r="L5343"/>
      <c r="M5343"/>
      <c r="O5343"/>
      <c r="P5343" s="20"/>
      <c r="Q5343" s="20"/>
      <c r="R5343" s="20"/>
      <c r="S5343" s="20"/>
      <c r="T5343" s="20"/>
      <c r="U5343" t="s">
        <v>401</v>
      </c>
    </row>
    <row r="5344" spans="1:21" x14ac:dyDescent="0.25">
      <c r="A5344" s="3">
        <v>41922</v>
      </c>
      <c r="B5344" s="36">
        <v>598</v>
      </c>
      <c r="C5344" t="s">
        <v>5512</v>
      </c>
      <c r="D5344">
        <v>16.25</v>
      </c>
      <c r="E5344" s="18">
        <v>1625</v>
      </c>
      <c r="F5344" t="s">
        <v>889</v>
      </c>
      <c r="G5344" t="s">
        <v>5513</v>
      </c>
      <c r="H5344" s="18">
        <v>1625</v>
      </c>
      <c r="I5344" s="3">
        <v>41922</v>
      </c>
      <c r="J5344"/>
      <c r="L5344"/>
      <c r="M5344"/>
      <c r="N5344" s="20"/>
      <c r="O5344"/>
      <c r="P5344" s="20"/>
      <c r="Q5344" s="20"/>
      <c r="R5344" s="20"/>
      <c r="S5344" s="20"/>
      <c r="T5344" s="20"/>
    </row>
    <row r="5345" spans="1:21" x14ac:dyDescent="0.25">
      <c r="A5345" s="3">
        <v>41978</v>
      </c>
      <c r="B5345" s="36">
        <v>598</v>
      </c>
      <c r="C5345" t="s">
        <v>5514</v>
      </c>
      <c r="D5345">
        <v>8</v>
      </c>
      <c r="E5345" s="18">
        <v>800</v>
      </c>
      <c r="F5345" t="s">
        <v>889</v>
      </c>
      <c r="G5345" t="s">
        <v>5515</v>
      </c>
      <c r="H5345" s="18">
        <v>800</v>
      </c>
      <c r="I5345" s="3">
        <v>41978</v>
      </c>
      <c r="J5345"/>
      <c r="L5345"/>
      <c r="M5345"/>
      <c r="N5345" s="20"/>
      <c r="O5345"/>
      <c r="P5345" s="20"/>
      <c r="Q5345" s="20"/>
      <c r="R5345" s="20"/>
      <c r="S5345" s="20"/>
      <c r="T5345" s="20"/>
    </row>
    <row r="5346" spans="1:21" x14ac:dyDescent="0.25">
      <c r="B5346">
        <v>598</v>
      </c>
      <c r="C5346" t="s">
        <v>5512</v>
      </c>
      <c r="D5346">
        <v>16.25</v>
      </c>
      <c r="E5346" s="18">
        <v>-1625</v>
      </c>
      <c r="F5346" t="s">
        <v>889</v>
      </c>
      <c r="G5346" t="s">
        <v>5513</v>
      </c>
      <c r="I5346"/>
      <c r="J5346"/>
      <c r="L5346"/>
      <c r="M5346"/>
      <c r="O5346"/>
      <c r="P5346" s="20"/>
      <c r="Q5346" s="20"/>
      <c r="R5346" s="20"/>
      <c r="S5346" s="20"/>
      <c r="T5346" s="20"/>
      <c r="U5346" t="s">
        <v>401</v>
      </c>
    </row>
    <row r="5347" spans="1:21" x14ac:dyDescent="0.25">
      <c r="A5347" s="3">
        <v>41929</v>
      </c>
      <c r="B5347" s="36">
        <v>599</v>
      </c>
      <c r="C5347" t="s">
        <v>5516</v>
      </c>
      <c r="D5347">
        <v>8</v>
      </c>
      <c r="E5347" s="18">
        <v>800</v>
      </c>
      <c r="F5347" t="s">
        <v>889</v>
      </c>
      <c r="G5347" t="s">
        <v>5517</v>
      </c>
      <c r="H5347" s="18">
        <v>800</v>
      </c>
      <c r="I5347" s="3">
        <v>41929</v>
      </c>
      <c r="J5347"/>
      <c r="L5347"/>
      <c r="M5347"/>
      <c r="N5347" s="20"/>
      <c r="O5347"/>
      <c r="P5347" s="20"/>
      <c r="Q5347" s="20"/>
      <c r="R5347" s="20"/>
      <c r="S5347" s="20"/>
      <c r="T5347" s="20"/>
    </row>
    <row r="5348" spans="1:21" x14ac:dyDescent="0.25">
      <c r="A5348" s="3">
        <v>41950</v>
      </c>
      <c r="B5348" s="36">
        <v>599</v>
      </c>
      <c r="C5348" t="s">
        <v>5518</v>
      </c>
      <c r="D5348">
        <v>9.75</v>
      </c>
      <c r="E5348" s="18">
        <v>975</v>
      </c>
      <c r="F5348" t="s">
        <v>889</v>
      </c>
      <c r="G5348" t="s">
        <v>5519</v>
      </c>
      <c r="H5348" s="18">
        <v>975</v>
      </c>
      <c r="I5348" s="3">
        <v>41950</v>
      </c>
      <c r="J5348"/>
      <c r="L5348"/>
      <c r="M5348"/>
      <c r="N5348" s="20"/>
      <c r="O5348"/>
      <c r="P5348" s="20"/>
      <c r="Q5348" s="20"/>
      <c r="R5348" s="20"/>
      <c r="S5348" s="20"/>
      <c r="T5348" s="20"/>
    </row>
    <row r="5349" spans="1:21" x14ac:dyDescent="0.25">
      <c r="A5349" s="3">
        <v>41950</v>
      </c>
      <c r="B5349" s="36">
        <v>599</v>
      </c>
      <c r="C5349" t="s">
        <v>5520</v>
      </c>
      <c r="D5349">
        <v>6.75</v>
      </c>
      <c r="E5349" s="18">
        <v>675</v>
      </c>
      <c r="F5349" t="s">
        <v>889</v>
      </c>
      <c r="G5349" t="s">
        <v>5521</v>
      </c>
      <c r="H5349" s="18">
        <v>675</v>
      </c>
      <c r="I5349" s="3">
        <v>41950</v>
      </c>
      <c r="J5349"/>
      <c r="L5349"/>
      <c r="M5349"/>
      <c r="N5349" s="20"/>
      <c r="O5349"/>
      <c r="P5349" s="20"/>
      <c r="Q5349" s="20"/>
      <c r="R5349" s="20"/>
      <c r="S5349" s="20"/>
      <c r="T5349" s="20"/>
    </row>
    <row r="5350" spans="1:21" x14ac:dyDescent="0.25">
      <c r="A5350" s="3">
        <v>41957</v>
      </c>
      <c r="B5350" s="36">
        <v>599</v>
      </c>
      <c r="C5350" t="s">
        <v>5522</v>
      </c>
      <c r="D5350">
        <v>17</v>
      </c>
      <c r="E5350" s="18">
        <v>1700</v>
      </c>
      <c r="F5350" t="s">
        <v>889</v>
      </c>
      <c r="G5350" t="s">
        <v>5523</v>
      </c>
      <c r="H5350" s="18">
        <v>1700</v>
      </c>
      <c r="I5350" s="3">
        <v>41957</v>
      </c>
      <c r="J5350"/>
      <c r="L5350"/>
      <c r="M5350"/>
      <c r="N5350" s="20"/>
      <c r="O5350"/>
      <c r="P5350" s="20"/>
      <c r="Q5350" s="20"/>
      <c r="R5350" s="20"/>
      <c r="S5350" s="20"/>
      <c r="T5350" s="20"/>
    </row>
    <row r="5351" spans="1:21" x14ac:dyDescent="0.25">
      <c r="A5351" s="3">
        <v>41964</v>
      </c>
      <c r="B5351" s="36">
        <v>599</v>
      </c>
      <c r="C5351" t="s">
        <v>5524</v>
      </c>
      <c r="D5351">
        <v>4.75</v>
      </c>
      <c r="E5351" s="18">
        <v>475</v>
      </c>
      <c r="F5351" t="s">
        <v>889</v>
      </c>
      <c r="G5351" t="s">
        <v>5525</v>
      </c>
      <c r="H5351" s="18">
        <v>475</v>
      </c>
      <c r="I5351" s="3">
        <v>41964</v>
      </c>
      <c r="J5351"/>
      <c r="L5351"/>
      <c r="M5351"/>
      <c r="N5351" s="20"/>
      <c r="O5351"/>
      <c r="P5351" s="20"/>
      <c r="Q5351" s="20"/>
      <c r="R5351" s="20"/>
      <c r="S5351" s="20"/>
      <c r="T5351" s="20"/>
    </row>
    <row r="5352" spans="1:21" x14ac:dyDescent="0.25">
      <c r="A5352" s="3">
        <v>41968</v>
      </c>
      <c r="B5352" s="36">
        <v>599</v>
      </c>
      <c r="C5352" t="s">
        <v>5526</v>
      </c>
      <c r="D5352">
        <v>10</v>
      </c>
      <c r="E5352" s="18">
        <v>1000</v>
      </c>
      <c r="F5352" t="s">
        <v>889</v>
      </c>
      <c r="G5352" t="s">
        <v>5527</v>
      </c>
      <c r="H5352" s="18">
        <v>1000</v>
      </c>
      <c r="I5352" s="3">
        <v>41968</v>
      </c>
      <c r="J5352"/>
      <c r="L5352"/>
      <c r="M5352"/>
      <c r="N5352" s="20"/>
      <c r="O5352"/>
      <c r="P5352" s="20"/>
      <c r="Q5352" s="20"/>
      <c r="R5352" s="20"/>
      <c r="S5352" s="20"/>
      <c r="T5352" s="20"/>
    </row>
    <row r="5353" spans="1:21" x14ac:dyDescent="0.25">
      <c r="A5353" s="3">
        <v>41968</v>
      </c>
      <c r="B5353" s="36">
        <v>599</v>
      </c>
      <c r="C5353" t="s">
        <v>5528</v>
      </c>
      <c r="D5353">
        <v>10</v>
      </c>
      <c r="E5353" s="18">
        <v>1000</v>
      </c>
      <c r="F5353" t="s">
        <v>889</v>
      </c>
      <c r="G5353" t="s">
        <v>5529</v>
      </c>
      <c r="H5353" s="18">
        <v>1000</v>
      </c>
      <c r="I5353" s="3">
        <v>41968</v>
      </c>
      <c r="J5353"/>
      <c r="L5353"/>
      <c r="M5353"/>
      <c r="N5353" s="20"/>
      <c r="O5353"/>
      <c r="P5353" s="20"/>
      <c r="Q5353" s="20"/>
      <c r="R5353" s="20"/>
      <c r="S5353" s="20"/>
      <c r="T5353" s="20"/>
    </row>
    <row r="5354" spans="1:21" x14ac:dyDescent="0.25">
      <c r="A5354" s="3">
        <v>41995</v>
      </c>
      <c r="B5354" s="36">
        <v>599</v>
      </c>
      <c r="C5354" t="s">
        <v>782</v>
      </c>
      <c r="D5354">
        <v>8.75</v>
      </c>
      <c r="E5354" s="18">
        <v>250</v>
      </c>
      <c r="F5354" t="s">
        <v>889</v>
      </c>
      <c r="G5354" t="s">
        <v>783</v>
      </c>
      <c r="H5354" s="18">
        <v>250</v>
      </c>
      <c r="I5354" s="3">
        <v>41995</v>
      </c>
      <c r="J5354"/>
      <c r="L5354"/>
      <c r="M5354"/>
      <c r="N5354" s="20"/>
      <c r="O5354"/>
      <c r="P5354" s="20"/>
      <c r="Q5354" s="20"/>
      <c r="R5354" s="20"/>
      <c r="S5354" s="20"/>
      <c r="T5354" s="20"/>
    </row>
    <row r="5355" spans="1:21" x14ac:dyDescent="0.25">
      <c r="A5355" s="3">
        <v>41995</v>
      </c>
      <c r="B5355" s="36">
        <v>599</v>
      </c>
      <c r="C5355" t="s">
        <v>559</v>
      </c>
      <c r="D5355">
        <v>4.5</v>
      </c>
      <c r="E5355" s="18">
        <v>250</v>
      </c>
      <c r="F5355" t="s">
        <v>889</v>
      </c>
      <c r="G5355" t="s">
        <v>560</v>
      </c>
      <c r="H5355" s="18">
        <v>250</v>
      </c>
      <c r="I5355" s="3">
        <v>41995</v>
      </c>
      <c r="J5355"/>
      <c r="L5355"/>
      <c r="M5355"/>
      <c r="N5355" s="20"/>
      <c r="O5355"/>
      <c r="P5355" s="20"/>
      <c r="Q5355" s="20"/>
      <c r="R5355" s="20"/>
      <c r="S5355" s="20"/>
      <c r="T5355" s="20"/>
    </row>
    <row r="5356" spans="1:21" x14ac:dyDescent="0.25">
      <c r="A5356" s="3">
        <v>42041</v>
      </c>
      <c r="B5356">
        <v>599</v>
      </c>
      <c r="C5356" t="s">
        <v>559</v>
      </c>
      <c r="D5356">
        <v>8.5</v>
      </c>
      <c r="E5356" s="18">
        <v>425</v>
      </c>
      <c r="F5356" t="s">
        <v>889</v>
      </c>
      <c r="G5356" t="s">
        <v>560</v>
      </c>
      <c r="I5356"/>
      <c r="J5356"/>
      <c r="L5356"/>
      <c r="M5356"/>
      <c r="O5356"/>
      <c r="P5356" s="20"/>
      <c r="Q5356" s="20"/>
      <c r="R5356" s="20"/>
      <c r="S5356" s="20"/>
      <c r="T5356" s="20"/>
    </row>
    <row r="5357" spans="1:21" x14ac:dyDescent="0.25">
      <c r="B5357">
        <v>599</v>
      </c>
      <c r="C5357" t="s">
        <v>5522</v>
      </c>
      <c r="D5357">
        <v>17</v>
      </c>
      <c r="E5357" s="18">
        <v>-1700</v>
      </c>
      <c r="F5357" t="s">
        <v>889</v>
      </c>
      <c r="G5357" t="s">
        <v>5523</v>
      </c>
      <c r="I5357"/>
      <c r="J5357"/>
      <c r="L5357"/>
      <c r="M5357"/>
      <c r="O5357"/>
      <c r="P5357" s="20"/>
      <c r="Q5357" s="20"/>
      <c r="R5357" s="20"/>
      <c r="S5357" s="20"/>
      <c r="T5357" s="20"/>
      <c r="U5357" t="s">
        <v>401</v>
      </c>
    </row>
    <row r="5358" spans="1:21" x14ac:dyDescent="0.25">
      <c r="B5358">
        <v>599</v>
      </c>
      <c r="C5358" t="s">
        <v>5518</v>
      </c>
      <c r="D5358">
        <v>9.75</v>
      </c>
      <c r="E5358" s="18">
        <v>-975</v>
      </c>
      <c r="F5358" t="s">
        <v>889</v>
      </c>
      <c r="G5358" t="s">
        <v>5519</v>
      </c>
      <c r="I5358"/>
      <c r="J5358"/>
      <c r="L5358"/>
      <c r="M5358"/>
      <c r="O5358"/>
      <c r="P5358" s="20"/>
      <c r="Q5358" s="20"/>
      <c r="R5358" s="20"/>
      <c r="S5358" s="20"/>
      <c r="T5358" s="20"/>
      <c r="U5358" t="s">
        <v>401</v>
      </c>
    </row>
    <row r="5359" spans="1:21" x14ac:dyDescent="0.25">
      <c r="B5359">
        <v>599</v>
      </c>
      <c r="C5359" t="s">
        <v>5530</v>
      </c>
      <c r="E5359" s="18">
        <v>800</v>
      </c>
      <c r="F5359" t="s">
        <v>889</v>
      </c>
      <c r="G5359" t="s">
        <v>5517</v>
      </c>
      <c r="I5359"/>
      <c r="J5359"/>
      <c r="L5359"/>
      <c r="M5359"/>
      <c r="O5359"/>
      <c r="P5359" s="20"/>
      <c r="Q5359" s="20"/>
      <c r="R5359" s="20"/>
      <c r="S5359" s="20"/>
      <c r="T5359" s="20"/>
      <c r="U5359" t="s">
        <v>401</v>
      </c>
    </row>
    <row r="5360" spans="1:21" x14ac:dyDescent="0.25">
      <c r="B5360">
        <v>599</v>
      </c>
      <c r="C5360" t="s">
        <v>5524</v>
      </c>
      <c r="D5360">
        <v>4.75</v>
      </c>
      <c r="E5360" s="18">
        <v>-475</v>
      </c>
      <c r="F5360" t="s">
        <v>889</v>
      </c>
      <c r="G5360" t="s">
        <v>5525</v>
      </c>
      <c r="I5360"/>
      <c r="J5360"/>
      <c r="L5360"/>
      <c r="M5360"/>
      <c r="O5360"/>
      <c r="P5360" s="20"/>
      <c r="Q5360" s="20"/>
      <c r="R5360" s="20"/>
      <c r="S5360" s="20"/>
      <c r="T5360" s="20"/>
      <c r="U5360" t="s">
        <v>401</v>
      </c>
    </row>
    <row r="5361" spans="1:21" x14ac:dyDescent="0.25">
      <c r="B5361">
        <v>599</v>
      </c>
      <c r="C5361" t="s">
        <v>5520</v>
      </c>
      <c r="D5361">
        <v>6.75</v>
      </c>
      <c r="E5361" s="18">
        <v>-675</v>
      </c>
      <c r="F5361" t="s">
        <v>889</v>
      </c>
      <c r="G5361" t="s">
        <v>5521</v>
      </c>
      <c r="I5361"/>
      <c r="J5361"/>
      <c r="L5361"/>
      <c r="M5361"/>
      <c r="O5361"/>
      <c r="P5361" s="20"/>
      <c r="Q5361" s="20"/>
      <c r="R5361" s="20"/>
      <c r="S5361" s="20"/>
      <c r="T5361" s="20"/>
      <c r="U5361" t="s">
        <v>401</v>
      </c>
    </row>
    <row r="5362" spans="1:21" x14ac:dyDescent="0.25">
      <c r="B5362">
        <v>599</v>
      </c>
      <c r="C5362" t="s">
        <v>5531</v>
      </c>
      <c r="D5362">
        <v>4.25</v>
      </c>
      <c r="E5362" s="18">
        <v>425</v>
      </c>
      <c r="F5362" t="s">
        <v>889</v>
      </c>
      <c r="G5362" t="s">
        <v>5532</v>
      </c>
      <c r="I5362"/>
      <c r="J5362"/>
      <c r="L5362"/>
      <c r="M5362"/>
      <c r="O5362"/>
      <c r="P5362" s="20"/>
      <c r="Q5362" s="20"/>
      <c r="R5362" s="20"/>
      <c r="S5362" s="20"/>
      <c r="T5362" s="20"/>
      <c r="U5362" t="s">
        <v>401</v>
      </c>
    </row>
    <row r="5363" spans="1:21" x14ac:dyDescent="0.25">
      <c r="A5363" s="3">
        <v>41922</v>
      </c>
      <c r="B5363" s="36">
        <v>600</v>
      </c>
      <c r="C5363" t="s">
        <v>5533</v>
      </c>
      <c r="D5363">
        <v>5.61</v>
      </c>
      <c r="E5363" s="18">
        <v>561</v>
      </c>
      <c r="F5363" t="s">
        <v>889</v>
      </c>
      <c r="G5363" t="s">
        <v>5534</v>
      </c>
      <c r="H5363" s="18">
        <v>561</v>
      </c>
      <c r="I5363" s="3">
        <v>41922</v>
      </c>
      <c r="J5363"/>
      <c r="L5363"/>
      <c r="M5363"/>
      <c r="N5363" s="20"/>
      <c r="O5363"/>
      <c r="P5363" s="20"/>
      <c r="Q5363" s="20"/>
      <c r="R5363" s="20"/>
      <c r="S5363" s="20"/>
      <c r="T5363" s="20"/>
    </row>
    <row r="5364" spans="1:21" x14ac:dyDescent="0.25">
      <c r="A5364" s="3">
        <v>41985</v>
      </c>
      <c r="B5364" s="36">
        <v>600</v>
      </c>
      <c r="C5364" t="s">
        <v>5533</v>
      </c>
      <c r="D5364">
        <v>5.61</v>
      </c>
      <c r="E5364" s="18">
        <v>561</v>
      </c>
      <c r="F5364" t="s">
        <v>889</v>
      </c>
      <c r="G5364" t="s">
        <v>5534</v>
      </c>
      <c r="H5364" s="18">
        <v>561</v>
      </c>
      <c r="I5364" s="3">
        <v>41985</v>
      </c>
      <c r="J5364"/>
      <c r="L5364"/>
      <c r="M5364"/>
      <c r="N5364" s="20"/>
      <c r="O5364" t="s">
        <v>959</v>
      </c>
      <c r="P5364" s="20"/>
      <c r="Q5364" s="20"/>
      <c r="R5364" s="20"/>
      <c r="S5364" s="20"/>
      <c r="T5364" s="20"/>
    </row>
    <row r="5365" spans="1:21" x14ac:dyDescent="0.25">
      <c r="A5365" s="3">
        <v>41922</v>
      </c>
      <c r="B5365" s="36">
        <v>601</v>
      </c>
      <c r="C5365" t="s">
        <v>5535</v>
      </c>
      <c r="D5365">
        <v>3.3149999999999999</v>
      </c>
      <c r="E5365" s="18">
        <v>331.5</v>
      </c>
      <c r="F5365" t="s">
        <v>889</v>
      </c>
      <c r="G5365" t="s">
        <v>5536</v>
      </c>
      <c r="H5365" s="18">
        <v>331.5</v>
      </c>
      <c r="I5365" s="3">
        <v>41922</v>
      </c>
      <c r="J5365"/>
      <c r="L5365"/>
      <c r="M5365"/>
      <c r="N5365" s="20"/>
      <c r="O5365"/>
      <c r="P5365" s="20"/>
      <c r="Q5365" s="20"/>
      <c r="R5365" s="20"/>
      <c r="S5365" s="20"/>
      <c r="T5365" s="20"/>
    </row>
    <row r="5366" spans="1:21" x14ac:dyDescent="0.25">
      <c r="A5366" s="3">
        <v>41922</v>
      </c>
      <c r="B5366" s="36">
        <v>601</v>
      </c>
      <c r="C5366" t="s">
        <v>5537</v>
      </c>
      <c r="D5366">
        <v>3.8250000000000002</v>
      </c>
      <c r="E5366" s="18">
        <v>382.5</v>
      </c>
      <c r="F5366" t="s">
        <v>889</v>
      </c>
      <c r="G5366" t="s">
        <v>5538</v>
      </c>
      <c r="H5366" s="18">
        <v>382.5</v>
      </c>
      <c r="I5366" s="3">
        <v>41922</v>
      </c>
      <c r="J5366"/>
      <c r="L5366"/>
      <c r="M5366"/>
      <c r="N5366" s="20"/>
      <c r="O5366"/>
      <c r="P5366" s="20"/>
      <c r="Q5366" s="20"/>
      <c r="R5366" s="20"/>
      <c r="S5366" s="20"/>
      <c r="T5366" s="20"/>
    </row>
    <row r="5367" spans="1:21" x14ac:dyDescent="0.25">
      <c r="A5367" s="3">
        <v>41922</v>
      </c>
      <c r="B5367" s="36">
        <v>601</v>
      </c>
      <c r="C5367" t="s">
        <v>5539</v>
      </c>
      <c r="D5367">
        <v>6.63</v>
      </c>
      <c r="E5367" s="18">
        <v>663</v>
      </c>
      <c r="F5367" t="s">
        <v>889</v>
      </c>
      <c r="G5367" t="s">
        <v>5540</v>
      </c>
      <c r="H5367" s="18">
        <v>663</v>
      </c>
      <c r="I5367" s="3">
        <v>41922</v>
      </c>
      <c r="J5367"/>
      <c r="L5367"/>
      <c r="M5367"/>
      <c r="N5367" s="20"/>
      <c r="O5367"/>
      <c r="P5367" s="20"/>
      <c r="Q5367" s="20"/>
      <c r="R5367" s="20"/>
      <c r="S5367" s="20"/>
      <c r="T5367" s="20"/>
    </row>
    <row r="5368" spans="1:21" x14ac:dyDescent="0.25">
      <c r="A5368" s="3">
        <v>41936</v>
      </c>
      <c r="B5368" s="36">
        <v>601</v>
      </c>
      <c r="C5368" t="s">
        <v>5541</v>
      </c>
      <c r="D5368">
        <v>7</v>
      </c>
      <c r="E5368" s="18">
        <v>714</v>
      </c>
      <c r="F5368" t="s">
        <v>889</v>
      </c>
      <c r="G5368" t="s">
        <v>5542</v>
      </c>
      <c r="H5368" s="18">
        <v>714</v>
      </c>
      <c r="I5368" s="3">
        <v>41936</v>
      </c>
      <c r="J5368"/>
      <c r="L5368"/>
      <c r="M5368"/>
      <c r="N5368" s="20"/>
      <c r="O5368"/>
      <c r="P5368" s="20"/>
      <c r="Q5368" s="20"/>
      <c r="R5368" s="20"/>
      <c r="S5368" s="20"/>
      <c r="T5368" s="20"/>
    </row>
    <row r="5369" spans="1:21" x14ac:dyDescent="0.25">
      <c r="A5369" s="3">
        <v>41999</v>
      </c>
      <c r="B5369" s="36">
        <v>601</v>
      </c>
      <c r="C5369" t="s">
        <v>5543</v>
      </c>
      <c r="D5369">
        <v>5.0999999999999996</v>
      </c>
      <c r="E5369" s="18">
        <v>484.49999999999989</v>
      </c>
      <c r="F5369" t="s">
        <v>889</v>
      </c>
      <c r="G5369" t="s">
        <v>5544</v>
      </c>
      <c r="H5369" s="18">
        <v>484.49999999999989</v>
      </c>
      <c r="I5369" s="3">
        <v>41999</v>
      </c>
      <c r="J5369"/>
      <c r="L5369"/>
      <c r="M5369"/>
      <c r="N5369" s="20"/>
      <c r="O5369" t="s">
        <v>959</v>
      </c>
      <c r="P5369" s="20"/>
      <c r="Q5369" s="20"/>
      <c r="R5369" s="20"/>
      <c r="S5369" s="20"/>
      <c r="T5369" s="20"/>
    </row>
    <row r="5370" spans="1:21" x14ac:dyDescent="0.25">
      <c r="A5370" s="3">
        <v>41999</v>
      </c>
      <c r="B5370" s="36">
        <v>601</v>
      </c>
      <c r="C5370" t="s">
        <v>5543</v>
      </c>
      <c r="D5370">
        <v>5.3550000000000004</v>
      </c>
      <c r="E5370" s="18">
        <v>535.5</v>
      </c>
      <c r="F5370" t="s">
        <v>889</v>
      </c>
      <c r="G5370" t="s">
        <v>5544</v>
      </c>
      <c r="H5370" s="18">
        <v>535.5</v>
      </c>
      <c r="I5370" s="3">
        <v>41999</v>
      </c>
      <c r="J5370"/>
      <c r="L5370"/>
      <c r="M5370"/>
      <c r="N5370" s="20"/>
      <c r="O5370"/>
      <c r="P5370" s="20"/>
      <c r="Q5370" s="20"/>
      <c r="R5370" s="20"/>
      <c r="S5370" s="20"/>
      <c r="T5370" s="20"/>
    </row>
    <row r="5371" spans="1:21" x14ac:dyDescent="0.25">
      <c r="A5371" s="3">
        <v>41999</v>
      </c>
      <c r="B5371" s="36">
        <v>601</v>
      </c>
      <c r="C5371" t="s">
        <v>5535</v>
      </c>
      <c r="D5371">
        <v>3.3149999999999999</v>
      </c>
      <c r="E5371" s="18">
        <v>-331.5</v>
      </c>
      <c r="F5371" t="s">
        <v>889</v>
      </c>
      <c r="G5371" t="s">
        <v>5536</v>
      </c>
      <c r="H5371" s="18" t="s">
        <v>442</v>
      </c>
      <c r="I5371" s="3" t="s">
        <v>442</v>
      </c>
      <c r="J5371"/>
      <c r="L5371"/>
      <c r="M5371"/>
      <c r="N5371" s="20"/>
      <c r="O5371"/>
      <c r="P5371" s="20"/>
      <c r="Q5371" s="20"/>
      <c r="R5371" s="20"/>
      <c r="S5371" s="20"/>
      <c r="T5371" s="20"/>
    </row>
    <row r="5372" spans="1:21" x14ac:dyDescent="0.25">
      <c r="A5372" s="3">
        <v>41999</v>
      </c>
      <c r="B5372" s="36">
        <v>601</v>
      </c>
      <c r="C5372" t="s">
        <v>5537</v>
      </c>
      <c r="D5372">
        <v>6.375</v>
      </c>
      <c r="E5372" s="18">
        <v>892.5</v>
      </c>
      <c r="F5372" t="s">
        <v>889</v>
      </c>
      <c r="G5372" t="s">
        <v>5538</v>
      </c>
      <c r="H5372" s="18">
        <v>892.5</v>
      </c>
      <c r="I5372" s="3">
        <v>41999</v>
      </c>
      <c r="J5372"/>
      <c r="L5372"/>
      <c r="M5372"/>
      <c r="N5372" s="20"/>
      <c r="O5372" t="s">
        <v>959</v>
      </c>
      <c r="P5372" s="20"/>
      <c r="Q5372" s="20"/>
      <c r="R5372" s="20"/>
      <c r="S5372" s="20"/>
      <c r="T5372" s="20"/>
    </row>
    <row r="5373" spans="1:21" x14ac:dyDescent="0.25">
      <c r="A5373" s="3">
        <v>41999</v>
      </c>
      <c r="B5373" s="36">
        <v>601</v>
      </c>
      <c r="C5373" t="s">
        <v>5541</v>
      </c>
      <c r="D5373">
        <v>7.14</v>
      </c>
      <c r="E5373" s="18">
        <v>-714</v>
      </c>
      <c r="F5373" t="s">
        <v>889</v>
      </c>
      <c r="G5373" t="s">
        <v>5542</v>
      </c>
      <c r="H5373" s="18" t="s">
        <v>442</v>
      </c>
      <c r="I5373" s="3" t="s">
        <v>442</v>
      </c>
      <c r="J5373"/>
      <c r="L5373"/>
      <c r="M5373"/>
      <c r="N5373" s="20"/>
      <c r="O5373"/>
      <c r="P5373" s="20"/>
      <c r="Q5373" s="20"/>
      <c r="R5373" s="20"/>
      <c r="S5373" s="20"/>
      <c r="T5373" s="20"/>
    </row>
    <row r="5374" spans="1:21" x14ac:dyDescent="0.25">
      <c r="A5374" s="3">
        <v>42041</v>
      </c>
      <c r="B5374">
        <v>601</v>
      </c>
      <c r="C5374" t="s">
        <v>5543</v>
      </c>
      <c r="D5374">
        <v>5.3550000000000004</v>
      </c>
      <c r="E5374" s="18">
        <v>51.000000000000114</v>
      </c>
      <c r="F5374" t="s">
        <v>889</v>
      </c>
      <c r="G5374" t="s">
        <v>5544</v>
      </c>
      <c r="I5374"/>
      <c r="J5374"/>
      <c r="L5374"/>
      <c r="M5374"/>
      <c r="O5374"/>
      <c r="P5374" s="20"/>
      <c r="Q5374" s="20"/>
      <c r="R5374" s="20"/>
      <c r="S5374" s="20"/>
      <c r="T5374" s="20"/>
    </row>
    <row r="5375" spans="1:21" x14ac:dyDescent="0.25">
      <c r="A5375" s="3">
        <v>42041</v>
      </c>
      <c r="B5375">
        <v>601</v>
      </c>
      <c r="C5375" t="s">
        <v>5537</v>
      </c>
      <c r="D5375">
        <v>5.3550000000000004</v>
      </c>
      <c r="E5375" s="18">
        <v>-204</v>
      </c>
      <c r="F5375" t="s">
        <v>889</v>
      </c>
      <c r="G5375" t="s">
        <v>5538</v>
      </c>
      <c r="I5375"/>
      <c r="J5375"/>
      <c r="L5375"/>
      <c r="M5375"/>
      <c r="O5375"/>
      <c r="P5375" s="20"/>
      <c r="Q5375" s="20"/>
      <c r="R5375" s="20"/>
      <c r="S5375" s="20"/>
      <c r="T5375" s="20"/>
    </row>
    <row r="5376" spans="1:21" x14ac:dyDescent="0.25">
      <c r="A5376" s="3">
        <v>42041</v>
      </c>
      <c r="B5376">
        <v>601</v>
      </c>
      <c r="C5376" t="s">
        <v>5539</v>
      </c>
      <c r="E5376" s="18">
        <v>221</v>
      </c>
      <c r="F5376" t="s">
        <v>889</v>
      </c>
      <c r="G5376" t="s">
        <v>5540</v>
      </c>
      <c r="I5376"/>
      <c r="J5376"/>
      <c r="L5376"/>
      <c r="M5376"/>
      <c r="O5376"/>
      <c r="P5376" s="20"/>
      <c r="Q5376" s="20"/>
      <c r="R5376" s="20"/>
      <c r="S5376" s="20"/>
      <c r="T5376" s="20"/>
    </row>
    <row r="5377" spans="1:21" x14ac:dyDescent="0.25">
      <c r="B5377">
        <v>601</v>
      </c>
      <c r="C5377" t="s">
        <v>5545</v>
      </c>
      <c r="D5377">
        <v>4.08</v>
      </c>
      <c r="E5377" s="18">
        <v>408</v>
      </c>
      <c r="F5377" t="s">
        <v>889</v>
      </c>
      <c r="G5377" t="s">
        <v>5546</v>
      </c>
      <c r="I5377"/>
      <c r="J5377"/>
      <c r="L5377"/>
      <c r="M5377"/>
      <c r="O5377"/>
      <c r="P5377" s="20"/>
      <c r="Q5377" s="20"/>
      <c r="R5377" s="20"/>
      <c r="S5377" s="20"/>
      <c r="T5377" s="20"/>
      <c r="U5377" t="s">
        <v>401</v>
      </c>
    </row>
    <row r="5378" spans="1:21" x14ac:dyDescent="0.25">
      <c r="B5378">
        <v>601</v>
      </c>
      <c r="C5378" t="s">
        <v>5539</v>
      </c>
      <c r="D5378">
        <v>6.63</v>
      </c>
      <c r="E5378" s="18">
        <v>221</v>
      </c>
      <c r="F5378" t="s">
        <v>889</v>
      </c>
      <c r="G5378" t="s">
        <v>5540</v>
      </c>
      <c r="I5378"/>
      <c r="J5378"/>
      <c r="L5378"/>
      <c r="M5378"/>
      <c r="O5378"/>
      <c r="P5378" s="20"/>
      <c r="Q5378" s="20"/>
      <c r="R5378" s="20"/>
      <c r="S5378" s="20"/>
      <c r="T5378" s="20"/>
      <c r="U5378" t="s">
        <v>401</v>
      </c>
    </row>
    <row r="5379" spans="1:21" x14ac:dyDescent="0.25">
      <c r="B5379">
        <v>602</v>
      </c>
      <c r="C5379" t="s">
        <v>5547</v>
      </c>
      <c r="D5379">
        <v>4</v>
      </c>
      <c r="E5379" s="18">
        <v>400</v>
      </c>
      <c r="F5379" t="s">
        <v>889</v>
      </c>
      <c r="G5379" t="s">
        <v>5548</v>
      </c>
      <c r="I5379"/>
      <c r="J5379"/>
      <c r="L5379"/>
      <c r="M5379"/>
      <c r="O5379"/>
      <c r="P5379" s="20"/>
      <c r="Q5379" s="20"/>
      <c r="R5379" s="20"/>
      <c r="S5379" s="20"/>
      <c r="T5379" s="20"/>
      <c r="U5379" t="s">
        <v>401</v>
      </c>
    </row>
    <row r="5380" spans="1:21" x14ac:dyDescent="0.25">
      <c r="B5380">
        <v>602</v>
      </c>
      <c r="C5380" t="s">
        <v>5547</v>
      </c>
      <c r="D5380">
        <v>4</v>
      </c>
      <c r="E5380" s="18">
        <v>-400</v>
      </c>
      <c r="F5380" t="s">
        <v>889</v>
      </c>
      <c r="G5380" t="s">
        <v>5548</v>
      </c>
      <c r="I5380"/>
      <c r="J5380"/>
      <c r="L5380"/>
      <c r="M5380"/>
      <c r="O5380"/>
      <c r="P5380" s="20"/>
      <c r="Q5380" s="20"/>
      <c r="R5380" s="20"/>
      <c r="S5380" s="20"/>
      <c r="T5380" s="20"/>
      <c r="U5380" t="s">
        <v>401</v>
      </c>
    </row>
    <row r="5381" spans="1:21" x14ac:dyDescent="0.25">
      <c r="B5381">
        <v>603</v>
      </c>
      <c r="C5381" t="s">
        <v>2584</v>
      </c>
      <c r="E5381" s="18">
        <v>-200</v>
      </c>
      <c r="F5381" t="s">
        <v>891</v>
      </c>
      <c r="I5381"/>
      <c r="J5381"/>
      <c r="L5381"/>
      <c r="M5381"/>
      <c r="O5381"/>
      <c r="P5381" s="20"/>
      <c r="Q5381" s="20"/>
      <c r="R5381" s="20"/>
      <c r="S5381" s="20"/>
      <c r="T5381" s="20"/>
      <c r="U5381" t="s">
        <v>401</v>
      </c>
    </row>
    <row r="5382" spans="1:21" x14ac:dyDescent="0.25">
      <c r="A5382" s="3">
        <v>41907</v>
      </c>
      <c r="B5382" s="36">
        <v>604</v>
      </c>
      <c r="C5382" t="s">
        <v>5549</v>
      </c>
      <c r="D5382">
        <v>11.25</v>
      </c>
      <c r="E5382" s="18">
        <v>1125</v>
      </c>
      <c r="F5382" t="s">
        <v>889</v>
      </c>
      <c r="G5382" t="s">
        <v>5550</v>
      </c>
      <c r="H5382" s="18">
        <v>1125</v>
      </c>
      <c r="I5382" s="3">
        <v>41907</v>
      </c>
      <c r="J5382"/>
      <c r="L5382"/>
      <c r="M5382"/>
      <c r="N5382" s="20"/>
      <c r="O5382"/>
      <c r="P5382" s="20"/>
      <c r="Q5382" s="20"/>
      <c r="R5382" s="20"/>
      <c r="S5382" s="20"/>
      <c r="T5382" s="20"/>
    </row>
    <row r="5383" spans="1:21" x14ac:dyDescent="0.25">
      <c r="A5383" s="3">
        <v>42004</v>
      </c>
      <c r="B5383" s="36">
        <v>604</v>
      </c>
      <c r="C5383" t="s">
        <v>5549</v>
      </c>
      <c r="D5383">
        <v>11.25</v>
      </c>
      <c r="E5383" s="18">
        <v>375</v>
      </c>
      <c r="F5383" t="s">
        <v>889</v>
      </c>
      <c r="G5383" t="s">
        <v>5550</v>
      </c>
      <c r="H5383" s="18">
        <v>375</v>
      </c>
      <c r="I5383" s="3">
        <v>42004</v>
      </c>
      <c r="J5383"/>
      <c r="L5383"/>
      <c r="M5383"/>
      <c r="N5383" s="20"/>
      <c r="O5383"/>
      <c r="P5383" s="20"/>
      <c r="Q5383" s="20"/>
      <c r="R5383" s="20"/>
      <c r="S5383" s="20"/>
      <c r="T5383" s="20"/>
    </row>
    <row r="5384" spans="1:21" x14ac:dyDescent="0.25">
      <c r="A5384" s="3">
        <v>42041</v>
      </c>
      <c r="B5384">
        <v>604</v>
      </c>
      <c r="C5384" t="s">
        <v>5549</v>
      </c>
      <c r="E5384" s="18">
        <v>375</v>
      </c>
      <c r="F5384" t="s">
        <v>889</v>
      </c>
      <c r="G5384" t="s">
        <v>5550</v>
      </c>
      <c r="I5384"/>
      <c r="J5384"/>
      <c r="L5384"/>
      <c r="M5384"/>
      <c r="O5384"/>
      <c r="P5384" s="20"/>
      <c r="Q5384" s="20"/>
      <c r="R5384" s="20"/>
      <c r="S5384" s="20"/>
      <c r="T5384" s="20"/>
    </row>
    <row r="5385" spans="1:21" x14ac:dyDescent="0.25">
      <c r="A5385" s="3">
        <v>41936</v>
      </c>
      <c r="B5385" s="36">
        <v>606</v>
      </c>
      <c r="C5385" t="s">
        <v>5551</v>
      </c>
      <c r="D5385">
        <v>6.25</v>
      </c>
      <c r="E5385" s="18">
        <v>663</v>
      </c>
      <c r="F5385" t="s">
        <v>889</v>
      </c>
      <c r="G5385" t="s">
        <v>5552</v>
      </c>
      <c r="H5385" s="18">
        <v>663</v>
      </c>
      <c r="I5385" s="3">
        <v>41936</v>
      </c>
      <c r="J5385"/>
      <c r="L5385"/>
      <c r="M5385"/>
      <c r="N5385" s="20"/>
      <c r="O5385"/>
      <c r="P5385" s="20"/>
      <c r="Q5385" s="20"/>
      <c r="R5385" s="20"/>
      <c r="S5385" s="20"/>
      <c r="T5385" s="20"/>
    </row>
    <row r="5386" spans="1:21" x14ac:dyDescent="0.25">
      <c r="A5386" s="3">
        <v>41957</v>
      </c>
      <c r="B5386" s="36">
        <v>606</v>
      </c>
      <c r="C5386" t="s">
        <v>5553</v>
      </c>
      <c r="D5386">
        <v>5.8650000000000002</v>
      </c>
      <c r="E5386" s="18">
        <v>586.5</v>
      </c>
      <c r="F5386" t="s">
        <v>889</v>
      </c>
      <c r="G5386" t="s">
        <v>5554</v>
      </c>
      <c r="H5386" s="18">
        <v>586.5</v>
      </c>
      <c r="I5386" s="3">
        <v>41957</v>
      </c>
      <c r="J5386"/>
      <c r="L5386"/>
      <c r="M5386"/>
      <c r="N5386" s="20"/>
      <c r="O5386"/>
      <c r="P5386" s="20"/>
      <c r="Q5386" s="20"/>
      <c r="R5386" s="20"/>
      <c r="S5386" s="20"/>
      <c r="T5386" s="20"/>
    </row>
    <row r="5387" spans="1:21" x14ac:dyDescent="0.25">
      <c r="A5387" s="3">
        <v>42004</v>
      </c>
      <c r="B5387" s="36">
        <v>606</v>
      </c>
      <c r="C5387" t="s">
        <v>5551</v>
      </c>
      <c r="D5387">
        <v>6.63</v>
      </c>
      <c r="E5387" s="18">
        <v>221</v>
      </c>
      <c r="F5387" t="s">
        <v>889</v>
      </c>
      <c r="G5387" t="s">
        <v>5552</v>
      </c>
      <c r="H5387" s="18">
        <v>221</v>
      </c>
      <c r="I5387" s="3">
        <v>42004</v>
      </c>
      <c r="J5387"/>
      <c r="L5387"/>
      <c r="M5387"/>
      <c r="N5387" s="20"/>
      <c r="O5387"/>
      <c r="P5387" s="20"/>
      <c r="Q5387" s="20"/>
      <c r="R5387" s="20"/>
      <c r="S5387" s="20"/>
      <c r="T5387" s="20"/>
    </row>
    <row r="5388" spans="1:21" x14ac:dyDescent="0.25">
      <c r="A5388" s="3">
        <v>42013</v>
      </c>
      <c r="B5388" s="36">
        <v>606</v>
      </c>
      <c r="C5388" t="s">
        <v>5553</v>
      </c>
      <c r="D5388">
        <v>5.8650000000000002</v>
      </c>
      <c r="E5388" s="18">
        <v>586.5</v>
      </c>
      <c r="F5388" t="s">
        <v>889</v>
      </c>
      <c r="G5388" t="s">
        <v>5554</v>
      </c>
      <c r="H5388" s="18">
        <v>586.5</v>
      </c>
      <c r="I5388" s="3">
        <v>42013</v>
      </c>
      <c r="J5388"/>
      <c r="L5388"/>
      <c r="M5388"/>
      <c r="N5388" s="20"/>
      <c r="O5388"/>
      <c r="P5388" s="20"/>
      <c r="Q5388" s="20"/>
      <c r="R5388" s="20"/>
      <c r="S5388" s="20"/>
      <c r="T5388" s="20"/>
    </row>
    <row r="5389" spans="1:21" x14ac:dyDescent="0.25">
      <c r="A5389" s="3">
        <v>42013</v>
      </c>
      <c r="B5389" s="36">
        <v>606</v>
      </c>
      <c r="C5389" t="s">
        <v>1314</v>
      </c>
      <c r="E5389" s="18">
        <v>-50</v>
      </c>
      <c r="F5389" t="s">
        <v>889</v>
      </c>
      <c r="G5389" t="s">
        <v>442</v>
      </c>
      <c r="H5389" s="18" t="s">
        <v>442</v>
      </c>
      <c r="I5389" s="3" t="s">
        <v>442</v>
      </c>
      <c r="J5389"/>
      <c r="L5389"/>
      <c r="M5389"/>
      <c r="N5389" s="20"/>
      <c r="O5389"/>
      <c r="P5389" s="20"/>
      <c r="Q5389" s="20"/>
      <c r="R5389" s="20" t="s">
        <v>401</v>
      </c>
      <c r="S5389" s="20"/>
      <c r="T5389" s="20"/>
    </row>
    <row r="5390" spans="1:21" x14ac:dyDescent="0.25">
      <c r="A5390" s="3">
        <v>42041</v>
      </c>
      <c r="B5390">
        <v>606</v>
      </c>
      <c r="C5390" t="s">
        <v>5551</v>
      </c>
      <c r="E5390" s="18">
        <v>221</v>
      </c>
      <c r="F5390" t="s">
        <v>889</v>
      </c>
      <c r="G5390" t="s">
        <v>5552</v>
      </c>
      <c r="I5390"/>
      <c r="J5390"/>
      <c r="L5390"/>
      <c r="M5390"/>
      <c r="O5390"/>
      <c r="P5390" s="20"/>
      <c r="Q5390" s="20"/>
      <c r="R5390" s="20"/>
      <c r="S5390" s="20"/>
      <c r="T5390" s="20"/>
    </row>
    <row r="5391" spans="1:21" x14ac:dyDescent="0.25">
      <c r="A5391" s="3">
        <v>41950</v>
      </c>
      <c r="B5391" s="36">
        <v>607</v>
      </c>
      <c r="C5391" t="s">
        <v>5555</v>
      </c>
      <c r="D5391">
        <v>5</v>
      </c>
      <c r="E5391" s="18">
        <v>500</v>
      </c>
      <c r="F5391" t="s">
        <v>889</v>
      </c>
      <c r="G5391" t="s">
        <v>5556</v>
      </c>
      <c r="H5391" s="18">
        <v>500</v>
      </c>
      <c r="I5391" s="3">
        <v>41950</v>
      </c>
      <c r="J5391"/>
      <c r="L5391"/>
      <c r="M5391"/>
      <c r="N5391" s="20"/>
      <c r="O5391"/>
      <c r="P5391" s="20"/>
      <c r="Q5391" s="20"/>
      <c r="R5391" s="20"/>
      <c r="S5391" s="20"/>
      <c r="T5391" s="20"/>
    </row>
    <row r="5392" spans="1:21" x14ac:dyDescent="0.25">
      <c r="A5392" s="3">
        <v>41964</v>
      </c>
      <c r="B5392" s="36">
        <v>607</v>
      </c>
      <c r="C5392" t="s">
        <v>5557</v>
      </c>
      <c r="D5392">
        <v>4.25</v>
      </c>
      <c r="E5392" s="18">
        <v>425</v>
      </c>
      <c r="F5392" t="s">
        <v>889</v>
      </c>
      <c r="G5392" t="s">
        <v>5558</v>
      </c>
      <c r="H5392" s="18">
        <v>425</v>
      </c>
      <c r="I5392" s="3">
        <v>41964</v>
      </c>
      <c r="J5392"/>
      <c r="L5392"/>
      <c r="M5392"/>
      <c r="N5392" s="20"/>
      <c r="O5392"/>
      <c r="P5392" s="20"/>
      <c r="Q5392" s="20"/>
      <c r="R5392" s="20"/>
      <c r="S5392" s="20"/>
      <c r="T5392" s="20"/>
    </row>
    <row r="5393" spans="1:21" x14ac:dyDescent="0.25">
      <c r="A5393" s="3">
        <v>41992</v>
      </c>
      <c r="B5393" s="36">
        <v>607</v>
      </c>
      <c r="C5393" t="s">
        <v>486</v>
      </c>
      <c r="D5393">
        <v>5</v>
      </c>
      <c r="E5393" s="18">
        <v>250</v>
      </c>
      <c r="F5393" t="s">
        <v>889</v>
      </c>
      <c r="G5393" t="s">
        <v>487</v>
      </c>
      <c r="H5393" s="18">
        <v>250</v>
      </c>
      <c r="I5393" s="3">
        <v>41992</v>
      </c>
      <c r="J5393"/>
      <c r="L5393"/>
      <c r="M5393"/>
      <c r="N5393" s="20"/>
      <c r="O5393"/>
      <c r="P5393" s="20"/>
      <c r="Q5393" s="20"/>
      <c r="R5393" s="20"/>
      <c r="S5393" s="20"/>
      <c r="T5393" s="20"/>
    </row>
    <row r="5394" spans="1:21" x14ac:dyDescent="0.25">
      <c r="A5394" s="3">
        <v>42004</v>
      </c>
      <c r="B5394" s="36">
        <v>607</v>
      </c>
      <c r="C5394" t="s">
        <v>427</v>
      </c>
      <c r="D5394">
        <v>9</v>
      </c>
      <c r="E5394" s="18">
        <v>250</v>
      </c>
      <c r="F5394" t="s">
        <v>889</v>
      </c>
      <c r="G5394" t="s">
        <v>428</v>
      </c>
      <c r="H5394" s="18">
        <v>250</v>
      </c>
      <c r="I5394" s="3">
        <v>42004</v>
      </c>
      <c r="J5394"/>
      <c r="L5394"/>
      <c r="M5394"/>
      <c r="N5394" s="20"/>
      <c r="O5394"/>
      <c r="P5394" s="20"/>
      <c r="Q5394" s="20"/>
      <c r="R5394" s="20"/>
      <c r="S5394" s="20"/>
      <c r="T5394" s="20"/>
    </row>
    <row r="5395" spans="1:21" x14ac:dyDescent="0.25">
      <c r="A5395" s="3">
        <v>42013</v>
      </c>
      <c r="B5395" s="36">
        <v>607</v>
      </c>
      <c r="C5395" t="s">
        <v>5555</v>
      </c>
      <c r="D5395">
        <v>5</v>
      </c>
      <c r="E5395" s="18">
        <v>500</v>
      </c>
      <c r="F5395" t="s">
        <v>889</v>
      </c>
      <c r="G5395" t="s">
        <v>5556</v>
      </c>
      <c r="H5395" s="18">
        <v>500</v>
      </c>
      <c r="I5395" s="3">
        <v>42013</v>
      </c>
      <c r="J5395"/>
      <c r="L5395"/>
      <c r="M5395"/>
      <c r="N5395" s="20"/>
      <c r="O5395"/>
      <c r="P5395" s="20"/>
      <c r="Q5395" s="20"/>
      <c r="R5395" s="20"/>
      <c r="S5395" s="20"/>
      <c r="T5395" s="20"/>
    </row>
    <row r="5396" spans="1:21" x14ac:dyDescent="0.25">
      <c r="A5396" s="3">
        <v>42019</v>
      </c>
      <c r="B5396" s="36">
        <v>607</v>
      </c>
      <c r="C5396" t="s">
        <v>427</v>
      </c>
      <c r="D5396" s="55">
        <v>9</v>
      </c>
      <c r="E5396" s="18">
        <v>450</v>
      </c>
      <c r="F5396" t="s">
        <v>889</v>
      </c>
      <c r="G5396" t="s">
        <v>428</v>
      </c>
      <c r="H5396" s="18">
        <v>450</v>
      </c>
      <c r="I5396" s="3">
        <v>42019</v>
      </c>
      <c r="J5396"/>
      <c r="L5396"/>
      <c r="M5396"/>
      <c r="N5396" s="20"/>
      <c r="O5396"/>
      <c r="P5396" s="20"/>
      <c r="Q5396" s="20"/>
      <c r="R5396" s="20"/>
      <c r="S5396" s="20"/>
      <c r="T5396" s="20"/>
    </row>
    <row r="5397" spans="1:21" x14ac:dyDescent="0.25">
      <c r="A5397" s="3">
        <v>42027</v>
      </c>
      <c r="B5397" s="36">
        <v>607</v>
      </c>
      <c r="C5397" t="s">
        <v>5559</v>
      </c>
      <c r="D5397" s="55">
        <v>4.25</v>
      </c>
      <c r="E5397" s="18">
        <v>425</v>
      </c>
      <c r="F5397" t="s">
        <v>889</v>
      </c>
      <c r="G5397" t="s">
        <v>5558</v>
      </c>
      <c r="H5397" s="18">
        <v>425</v>
      </c>
      <c r="I5397" s="3">
        <v>42027</v>
      </c>
      <c r="J5397"/>
      <c r="L5397"/>
      <c r="M5397"/>
      <c r="N5397" s="20"/>
      <c r="O5397"/>
      <c r="P5397" s="20"/>
      <c r="Q5397" s="20"/>
      <c r="R5397" s="20"/>
      <c r="S5397" s="20"/>
      <c r="T5397" s="20"/>
    </row>
    <row r="5398" spans="1:21" x14ac:dyDescent="0.25">
      <c r="A5398" s="3">
        <v>42027</v>
      </c>
      <c r="B5398" s="36">
        <v>607</v>
      </c>
      <c r="C5398" t="s">
        <v>417</v>
      </c>
      <c r="D5398" s="55">
        <v>3</v>
      </c>
      <c r="E5398" s="18">
        <v>150</v>
      </c>
      <c r="F5398" t="s">
        <v>889</v>
      </c>
      <c r="G5398" t="s">
        <v>418</v>
      </c>
      <c r="H5398" s="18">
        <v>150</v>
      </c>
      <c r="I5398" s="3">
        <v>42027</v>
      </c>
      <c r="J5398"/>
      <c r="L5398"/>
      <c r="M5398"/>
      <c r="N5398" s="20"/>
      <c r="O5398"/>
      <c r="P5398" s="20"/>
      <c r="Q5398" s="20"/>
      <c r="R5398" s="20"/>
      <c r="S5398" s="20"/>
      <c r="T5398" s="20"/>
    </row>
    <row r="5399" spans="1:21" x14ac:dyDescent="0.25">
      <c r="A5399" s="3">
        <v>42041</v>
      </c>
      <c r="B5399">
        <v>607</v>
      </c>
      <c r="C5399" t="s">
        <v>417</v>
      </c>
      <c r="D5399">
        <v>3</v>
      </c>
      <c r="E5399" s="18">
        <v>250</v>
      </c>
      <c r="F5399" t="s">
        <v>889</v>
      </c>
      <c r="G5399" t="s">
        <v>418</v>
      </c>
      <c r="I5399"/>
      <c r="J5399"/>
      <c r="L5399"/>
      <c r="M5399"/>
      <c r="O5399"/>
      <c r="P5399" s="20"/>
      <c r="Q5399" s="20"/>
      <c r="R5399" s="20"/>
      <c r="S5399" s="20"/>
      <c r="T5399" s="20"/>
    </row>
    <row r="5400" spans="1:21" x14ac:dyDescent="0.25">
      <c r="A5400" s="3">
        <v>41939</v>
      </c>
      <c r="B5400" s="36">
        <v>610</v>
      </c>
      <c r="C5400" t="s">
        <v>5560</v>
      </c>
      <c r="D5400">
        <v>2.75</v>
      </c>
      <c r="E5400" s="18">
        <v>275</v>
      </c>
      <c r="F5400" t="s">
        <v>889</v>
      </c>
      <c r="G5400" t="s">
        <v>5561</v>
      </c>
      <c r="H5400" s="18">
        <v>275</v>
      </c>
      <c r="I5400" s="3">
        <v>41939</v>
      </c>
      <c r="J5400"/>
      <c r="L5400"/>
      <c r="M5400"/>
      <c r="N5400" s="20"/>
      <c r="O5400"/>
      <c r="P5400" s="20"/>
      <c r="Q5400" s="20"/>
      <c r="R5400" s="20"/>
      <c r="S5400" s="20"/>
      <c r="T5400" s="20"/>
    </row>
    <row r="5401" spans="1:21" x14ac:dyDescent="0.25">
      <c r="A5401" s="3">
        <v>42004</v>
      </c>
      <c r="B5401" s="36">
        <v>610</v>
      </c>
      <c r="C5401" t="s">
        <v>5560</v>
      </c>
      <c r="D5401">
        <v>2.75</v>
      </c>
      <c r="E5401" s="18">
        <v>91.666666666666671</v>
      </c>
      <c r="F5401" t="s">
        <v>889</v>
      </c>
      <c r="G5401" t="s">
        <v>5561</v>
      </c>
      <c r="H5401" s="18">
        <v>91.666666666666671</v>
      </c>
      <c r="I5401" s="3">
        <v>42004</v>
      </c>
      <c r="J5401"/>
      <c r="L5401"/>
      <c r="M5401"/>
      <c r="N5401" s="20"/>
      <c r="O5401"/>
      <c r="P5401" s="20"/>
      <c r="Q5401" s="20"/>
      <c r="R5401" s="20"/>
      <c r="S5401" s="20"/>
      <c r="T5401" s="20"/>
    </row>
    <row r="5402" spans="1:21" x14ac:dyDescent="0.25">
      <c r="A5402" s="3">
        <v>42041</v>
      </c>
      <c r="B5402">
        <v>610</v>
      </c>
      <c r="C5402" t="s">
        <v>5560</v>
      </c>
      <c r="E5402" s="18">
        <v>91.666666666666671</v>
      </c>
      <c r="F5402" t="s">
        <v>889</v>
      </c>
      <c r="G5402" t="s">
        <v>5561</v>
      </c>
      <c r="I5402"/>
      <c r="J5402"/>
      <c r="L5402"/>
      <c r="M5402"/>
      <c r="O5402"/>
      <c r="P5402" s="20"/>
      <c r="Q5402" s="20"/>
      <c r="R5402" s="20"/>
      <c r="S5402" s="20"/>
      <c r="T5402" s="20"/>
    </row>
    <row r="5403" spans="1:21" x14ac:dyDescent="0.25">
      <c r="A5403" s="3">
        <v>41922</v>
      </c>
      <c r="B5403" s="36">
        <v>612</v>
      </c>
      <c r="C5403" t="s">
        <v>5562</v>
      </c>
      <c r="D5403">
        <v>9.25</v>
      </c>
      <c r="E5403" s="18">
        <v>925</v>
      </c>
      <c r="F5403" t="s">
        <v>889</v>
      </c>
      <c r="G5403" t="s">
        <v>5563</v>
      </c>
      <c r="H5403" s="18">
        <v>925</v>
      </c>
      <c r="I5403" s="3">
        <v>41922</v>
      </c>
      <c r="J5403"/>
      <c r="L5403"/>
      <c r="M5403"/>
      <c r="N5403" s="20"/>
      <c r="O5403"/>
      <c r="P5403" s="20"/>
      <c r="Q5403" s="20"/>
      <c r="R5403" s="20"/>
      <c r="S5403" s="20"/>
      <c r="T5403" s="20"/>
    </row>
    <row r="5404" spans="1:21" x14ac:dyDescent="0.25">
      <c r="A5404" s="3">
        <v>41936</v>
      </c>
      <c r="B5404" s="36">
        <v>612</v>
      </c>
      <c r="C5404" t="s">
        <v>5562</v>
      </c>
      <c r="D5404">
        <v>9.25</v>
      </c>
      <c r="E5404" s="18">
        <v>-925</v>
      </c>
      <c r="F5404" t="s">
        <v>889</v>
      </c>
      <c r="G5404" t="s">
        <v>5563</v>
      </c>
      <c r="H5404" s="18" t="s">
        <v>442</v>
      </c>
      <c r="I5404" s="3" t="s">
        <v>442</v>
      </c>
      <c r="J5404"/>
      <c r="L5404"/>
      <c r="M5404"/>
      <c r="N5404" s="20"/>
      <c r="O5404"/>
      <c r="P5404" s="20"/>
      <c r="Q5404" s="20"/>
      <c r="R5404" s="20"/>
      <c r="S5404" s="20"/>
      <c r="T5404" s="20"/>
    </row>
    <row r="5405" spans="1:21" x14ac:dyDescent="0.25">
      <c r="A5405" s="3">
        <v>41943</v>
      </c>
      <c r="B5405" s="36">
        <v>612</v>
      </c>
      <c r="C5405" t="s">
        <v>5564</v>
      </c>
      <c r="D5405">
        <v>3.8250000000000002</v>
      </c>
      <c r="E5405" s="18">
        <v>382.5</v>
      </c>
      <c r="F5405" t="s">
        <v>889</v>
      </c>
      <c r="G5405" t="s">
        <v>5565</v>
      </c>
      <c r="H5405" s="18">
        <v>382.5</v>
      </c>
      <c r="I5405" s="3">
        <v>41943</v>
      </c>
      <c r="J5405"/>
      <c r="L5405"/>
      <c r="M5405"/>
      <c r="N5405" s="20"/>
      <c r="O5405"/>
      <c r="P5405" s="20"/>
      <c r="Q5405" s="20"/>
      <c r="R5405" s="20"/>
      <c r="S5405" s="20"/>
      <c r="T5405" s="20"/>
    </row>
    <row r="5406" spans="1:21" x14ac:dyDescent="0.25">
      <c r="A5406" s="3">
        <v>41985</v>
      </c>
      <c r="B5406" s="36">
        <v>612</v>
      </c>
      <c r="C5406" t="s">
        <v>5564</v>
      </c>
      <c r="D5406">
        <v>3.8250000000000002</v>
      </c>
      <c r="E5406" s="18">
        <v>-382.5</v>
      </c>
      <c r="F5406" t="s">
        <v>889</v>
      </c>
      <c r="G5406" t="s">
        <v>5565</v>
      </c>
      <c r="H5406" s="18" t="s">
        <v>442</v>
      </c>
      <c r="I5406" s="3" t="s">
        <v>442</v>
      </c>
      <c r="J5406"/>
      <c r="L5406"/>
      <c r="M5406"/>
      <c r="N5406" s="20"/>
      <c r="O5406"/>
      <c r="P5406" s="20"/>
      <c r="Q5406" s="20"/>
      <c r="R5406" s="20"/>
      <c r="S5406" s="20"/>
      <c r="T5406" s="20"/>
    </row>
    <row r="5407" spans="1:21" x14ac:dyDescent="0.25">
      <c r="B5407">
        <v>612</v>
      </c>
      <c r="C5407" t="s">
        <v>3870</v>
      </c>
      <c r="E5407" s="18">
        <v>-50</v>
      </c>
      <c r="G5407" t="s">
        <v>442</v>
      </c>
      <c r="I5407"/>
      <c r="J5407"/>
      <c r="L5407"/>
      <c r="M5407"/>
      <c r="O5407"/>
      <c r="P5407" s="20"/>
      <c r="Q5407" s="20"/>
      <c r="R5407" s="20"/>
      <c r="S5407" s="20"/>
      <c r="T5407" s="20"/>
      <c r="U5407" t="s">
        <v>401</v>
      </c>
    </row>
    <row r="5408" spans="1:21" x14ac:dyDescent="0.25">
      <c r="A5408" s="3">
        <v>41922</v>
      </c>
      <c r="B5408" s="36">
        <v>614</v>
      </c>
      <c r="C5408" t="s">
        <v>4998</v>
      </c>
      <c r="E5408" s="18">
        <v>625</v>
      </c>
      <c r="G5408" t="s">
        <v>442</v>
      </c>
      <c r="H5408" s="18" t="s">
        <v>442</v>
      </c>
      <c r="I5408" s="3" t="s">
        <v>442</v>
      </c>
      <c r="J5408"/>
      <c r="L5408"/>
      <c r="M5408"/>
      <c r="N5408" s="20"/>
      <c r="O5408"/>
      <c r="P5408" s="20"/>
      <c r="Q5408" s="20"/>
      <c r="R5408" s="20"/>
      <c r="S5408" s="20"/>
      <c r="T5408" s="20" t="s">
        <v>401</v>
      </c>
    </row>
    <row r="5409" spans="1:20" x14ac:dyDescent="0.25">
      <c r="A5409" s="3">
        <v>41936</v>
      </c>
      <c r="B5409" s="36">
        <v>614</v>
      </c>
      <c r="C5409" t="s">
        <v>5566</v>
      </c>
      <c r="D5409">
        <v>6.12</v>
      </c>
      <c r="E5409" s="18">
        <v>612</v>
      </c>
      <c r="F5409" t="s">
        <v>889</v>
      </c>
      <c r="G5409" t="s">
        <v>5567</v>
      </c>
      <c r="H5409" s="18">
        <v>612</v>
      </c>
      <c r="I5409" s="3">
        <v>41936</v>
      </c>
      <c r="J5409"/>
      <c r="L5409"/>
      <c r="M5409"/>
      <c r="N5409" s="20"/>
      <c r="O5409"/>
      <c r="P5409" s="20"/>
      <c r="Q5409" s="20"/>
      <c r="R5409" s="20"/>
      <c r="S5409" s="20"/>
      <c r="T5409" s="20"/>
    </row>
    <row r="5410" spans="1:20" x14ac:dyDescent="0.25">
      <c r="A5410" s="3">
        <v>41961</v>
      </c>
      <c r="B5410" s="36">
        <v>614</v>
      </c>
      <c r="C5410" t="s">
        <v>5568</v>
      </c>
      <c r="D5410">
        <v>4.8449999999999998</v>
      </c>
      <c r="E5410" s="18">
        <v>484.5</v>
      </c>
      <c r="F5410" t="s">
        <v>889</v>
      </c>
      <c r="G5410" t="s">
        <v>5569</v>
      </c>
      <c r="H5410" s="18">
        <v>484.5</v>
      </c>
      <c r="I5410" s="3">
        <v>41961</v>
      </c>
      <c r="J5410"/>
      <c r="L5410"/>
      <c r="M5410"/>
      <c r="N5410" s="20"/>
      <c r="O5410"/>
      <c r="P5410" s="20"/>
      <c r="Q5410" s="20"/>
      <c r="R5410" s="20"/>
      <c r="S5410" s="20"/>
      <c r="T5410" s="20"/>
    </row>
    <row r="5411" spans="1:20" x14ac:dyDescent="0.25">
      <c r="A5411" s="3">
        <v>42036</v>
      </c>
      <c r="B5411" s="36">
        <v>614</v>
      </c>
      <c r="C5411" t="s">
        <v>4998</v>
      </c>
      <c r="E5411" s="18">
        <v>-625</v>
      </c>
      <c r="F5411" t="s">
        <v>889</v>
      </c>
      <c r="G5411" t="s">
        <v>442</v>
      </c>
      <c r="H5411" s="18" t="s">
        <v>442</v>
      </c>
      <c r="I5411" s="3" t="s">
        <v>442</v>
      </c>
      <c r="J5411"/>
      <c r="L5411"/>
      <c r="M5411"/>
      <c r="N5411" s="20"/>
      <c r="O5411"/>
      <c r="P5411" s="20"/>
      <c r="Q5411" s="20"/>
      <c r="R5411" s="20"/>
      <c r="S5411" s="20"/>
      <c r="T5411" s="20" t="s">
        <v>401</v>
      </c>
    </row>
    <row r="5412" spans="1:20" x14ac:dyDescent="0.25">
      <c r="A5412" s="3">
        <v>42036</v>
      </c>
      <c r="B5412" s="36">
        <v>614</v>
      </c>
      <c r="C5412" t="s">
        <v>5566</v>
      </c>
      <c r="D5412">
        <v>6.12</v>
      </c>
      <c r="E5412" s="18">
        <v>612</v>
      </c>
      <c r="F5412" t="s">
        <v>889</v>
      </c>
      <c r="G5412" t="s">
        <v>5567</v>
      </c>
      <c r="H5412" s="18"/>
      <c r="J5412"/>
      <c r="L5412"/>
      <c r="M5412"/>
      <c r="N5412" s="20"/>
      <c r="O5412"/>
      <c r="P5412" s="20"/>
      <c r="Q5412" s="20"/>
      <c r="R5412" s="20"/>
      <c r="S5412" s="20"/>
      <c r="T5412" s="20"/>
    </row>
    <row r="5413" spans="1:20" x14ac:dyDescent="0.25">
      <c r="A5413" s="3">
        <v>42036</v>
      </c>
      <c r="B5413" s="36">
        <v>614</v>
      </c>
      <c r="C5413" t="s">
        <v>5568</v>
      </c>
      <c r="D5413">
        <v>4.8449999999999998</v>
      </c>
      <c r="E5413" s="18">
        <v>484.5</v>
      </c>
      <c r="F5413" t="s">
        <v>889</v>
      </c>
      <c r="G5413" t="s">
        <v>5569</v>
      </c>
      <c r="H5413" s="18"/>
      <c r="J5413"/>
      <c r="L5413"/>
      <c r="M5413"/>
      <c r="N5413" s="20"/>
      <c r="O5413"/>
      <c r="P5413" s="20"/>
      <c r="Q5413" s="20"/>
      <c r="R5413" s="20"/>
      <c r="S5413" s="20"/>
      <c r="T5413" s="20"/>
    </row>
    <row r="5414" spans="1:20" x14ac:dyDescent="0.25">
      <c r="A5414" s="3">
        <v>42041</v>
      </c>
      <c r="B5414">
        <v>614</v>
      </c>
      <c r="C5414" t="s">
        <v>5566</v>
      </c>
      <c r="E5414" s="18">
        <v>204</v>
      </c>
      <c r="F5414" t="s">
        <v>889</v>
      </c>
      <c r="G5414" t="s">
        <v>5567</v>
      </c>
      <c r="I5414"/>
      <c r="J5414"/>
      <c r="L5414"/>
      <c r="M5414"/>
      <c r="O5414"/>
      <c r="P5414" s="20"/>
      <c r="Q5414" s="20"/>
      <c r="R5414" s="20"/>
      <c r="S5414" s="20"/>
      <c r="T5414" s="20"/>
    </row>
    <row r="5415" spans="1:20" x14ac:dyDescent="0.25">
      <c r="A5415" s="3">
        <v>41907</v>
      </c>
      <c r="B5415" s="36">
        <v>615</v>
      </c>
      <c r="C5415" t="s">
        <v>5065</v>
      </c>
      <c r="D5415">
        <v>8.4149999999999991</v>
      </c>
      <c r="E5415" s="18">
        <v>841.49999999999989</v>
      </c>
      <c r="F5415" t="s">
        <v>889</v>
      </c>
      <c r="G5415" t="s">
        <v>5066</v>
      </c>
      <c r="H5415" s="18">
        <v>841.49999999999989</v>
      </c>
      <c r="I5415" s="3">
        <v>41907</v>
      </c>
      <c r="J5415"/>
      <c r="L5415"/>
      <c r="M5415"/>
      <c r="N5415" s="20"/>
      <c r="O5415"/>
      <c r="P5415" s="20"/>
      <c r="Q5415" s="20"/>
      <c r="R5415" s="20"/>
      <c r="S5415" s="20"/>
      <c r="T5415" s="20"/>
    </row>
    <row r="5416" spans="1:20" x14ac:dyDescent="0.25">
      <c r="A5416" s="3">
        <v>41907</v>
      </c>
      <c r="B5416" s="36">
        <v>615</v>
      </c>
      <c r="C5416" t="s">
        <v>5570</v>
      </c>
      <c r="E5416" s="18">
        <v>-216.125</v>
      </c>
      <c r="F5416" t="s">
        <v>889</v>
      </c>
      <c r="G5416" t="s">
        <v>442</v>
      </c>
      <c r="H5416" s="18" t="s">
        <v>442</v>
      </c>
      <c r="I5416" s="3" t="s">
        <v>442</v>
      </c>
      <c r="J5416"/>
      <c r="L5416"/>
      <c r="M5416"/>
      <c r="N5416" s="20"/>
      <c r="O5416"/>
      <c r="P5416" s="20"/>
      <c r="Q5416" s="20" t="s">
        <v>401</v>
      </c>
      <c r="R5416" s="20"/>
      <c r="S5416" s="20"/>
      <c r="T5416" s="20"/>
    </row>
    <row r="5417" spans="1:20" x14ac:dyDescent="0.25">
      <c r="A5417" s="3">
        <v>41907</v>
      </c>
      <c r="B5417" s="36">
        <v>615</v>
      </c>
      <c r="C5417" t="s">
        <v>1117</v>
      </c>
      <c r="E5417" s="18">
        <v>-168.0972222</v>
      </c>
      <c r="F5417" t="s">
        <v>891</v>
      </c>
      <c r="G5417" t="s">
        <v>442</v>
      </c>
      <c r="H5417" s="18" t="s">
        <v>442</v>
      </c>
      <c r="I5417" s="3" t="s">
        <v>442</v>
      </c>
      <c r="J5417"/>
      <c r="L5417"/>
      <c r="M5417"/>
      <c r="N5417" s="20"/>
      <c r="O5417"/>
      <c r="P5417" s="20"/>
      <c r="Q5417" s="20" t="s">
        <v>401</v>
      </c>
      <c r="R5417" s="20"/>
      <c r="S5417" s="20"/>
      <c r="T5417" s="20"/>
    </row>
    <row r="5418" spans="1:20" x14ac:dyDescent="0.25">
      <c r="A5418" s="3">
        <v>41918</v>
      </c>
      <c r="B5418" s="36">
        <v>615</v>
      </c>
      <c r="C5418" t="s">
        <v>5571</v>
      </c>
      <c r="E5418" s="18">
        <v>216.125</v>
      </c>
      <c r="F5418" t="s">
        <v>891</v>
      </c>
      <c r="G5418" t="s">
        <v>442</v>
      </c>
      <c r="H5418" s="18" t="s">
        <v>442</v>
      </c>
      <c r="I5418" s="3" t="s">
        <v>442</v>
      </c>
      <c r="J5418"/>
      <c r="L5418"/>
      <c r="M5418"/>
      <c r="N5418" s="20"/>
      <c r="O5418" t="s">
        <v>5400</v>
      </c>
      <c r="P5418" s="20"/>
      <c r="Q5418" s="20" t="s">
        <v>401</v>
      </c>
      <c r="R5418" s="20"/>
      <c r="S5418" s="20"/>
      <c r="T5418" s="20"/>
    </row>
    <row r="5419" spans="1:20" x14ac:dyDescent="0.25">
      <c r="A5419" s="3">
        <v>41918</v>
      </c>
      <c r="B5419" s="36">
        <v>615</v>
      </c>
      <c r="C5419" t="s">
        <v>5572</v>
      </c>
      <c r="D5419">
        <v>7.5</v>
      </c>
      <c r="E5419" s="18">
        <v>750</v>
      </c>
      <c r="F5419" t="s">
        <v>889</v>
      </c>
      <c r="G5419" t="s">
        <v>5573</v>
      </c>
      <c r="H5419" s="18">
        <v>750</v>
      </c>
      <c r="I5419" s="3">
        <v>41918</v>
      </c>
      <c r="J5419"/>
      <c r="L5419"/>
      <c r="M5419"/>
      <c r="N5419" s="20"/>
      <c r="O5419"/>
      <c r="P5419" s="20"/>
      <c r="Q5419" s="20"/>
      <c r="R5419" s="20"/>
      <c r="S5419" s="20"/>
      <c r="T5419" s="20"/>
    </row>
    <row r="5420" spans="1:20" x14ac:dyDescent="0.25">
      <c r="A5420" s="3">
        <v>41936</v>
      </c>
      <c r="B5420" s="36">
        <v>615</v>
      </c>
      <c r="C5420" t="s">
        <v>5574</v>
      </c>
      <c r="D5420">
        <v>5.5</v>
      </c>
      <c r="E5420" s="18">
        <v>509.99999999999994</v>
      </c>
      <c r="F5420" t="s">
        <v>889</v>
      </c>
      <c r="G5420" t="s">
        <v>5575</v>
      </c>
      <c r="H5420" s="18">
        <v>509.99999999999994</v>
      </c>
      <c r="I5420" s="3">
        <v>41936</v>
      </c>
      <c r="J5420"/>
      <c r="L5420"/>
      <c r="M5420"/>
      <c r="N5420" s="20"/>
      <c r="O5420"/>
      <c r="P5420" s="20"/>
      <c r="Q5420" s="20"/>
      <c r="R5420" s="20"/>
      <c r="S5420" s="20"/>
      <c r="T5420" s="20"/>
    </row>
    <row r="5421" spans="1:20" x14ac:dyDescent="0.25">
      <c r="A5421" s="3">
        <v>41936</v>
      </c>
      <c r="B5421" s="36">
        <v>615</v>
      </c>
      <c r="C5421" t="s">
        <v>5576</v>
      </c>
      <c r="D5421">
        <v>6.75</v>
      </c>
      <c r="E5421" s="18">
        <v>637.5</v>
      </c>
      <c r="F5421" t="s">
        <v>889</v>
      </c>
      <c r="G5421" t="s">
        <v>5577</v>
      </c>
      <c r="H5421" s="18">
        <v>637.5</v>
      </c>
      <c r="I5421" s="3">
        <v>41936</v>
      </c>
      <c r="J5421"/>
      <c r="L5421"/>
      <c r="M5421"/>
      <c r="N5421" s="20"/>
      <c r="O5421"/>
      <c r="P5421" s="20"/>
      <c r="Q5421" s="20"/>
      <c r="R5421" s="20"/>
      <c r="S5421" s="20"/>
      <c r="T5421" s="20"/>
    </row>
    <row r="5422" spans="1:20" x14ac:dyDescent="0.25">
      <c r="A5422" s="3">
        <v>41936</v>
      </c>
      <c r="B5422" s="36">
        <v>615</v>
      </c>
      <c r="C5422" t="s">
        <v>5572</v>
      </c>
      <c r="D5422">
        <v>7.5</v>
      </c>
      <c r="E5422" s="18">
        <v>-750</v>
      </c>
      <c r="F5422" t="s">
        <v>889</v>
      </c>
      <c r="G5422" t="s">
        <v>5573</v>
      </c>
      <c r="H5422" s="18" t="s">
        <v>442</v>
      </c>
      <c r="I5422" s="3" t="s">
        <v>442</v>
      </c>
      <c r="J5422"/>
      <c r="L5422"/>
      <c r="M5422"/>
      <c r="N5422" s="20"/>
      <c r="O5422"/>
      <c r="P5422" s="20"/>
      <c r="Q5422" s="20"/>
      <c r="R5422" s="20"/>
      <c r="S5422" s="20"/>
      <c r="T5422" s="20"/>
    </row>
    <row r="5423" spans="1:20" x14ac:dyDescent="0.25">
      <c r="A5423" s="3">
        <v>41950</v>
      </c>
      <c r="B5423" s="36">
        <v>615</v>
      </c>
      <c r="C5423" t="s">
        <v>5578</v>
      </c>
      <c r="D5423">
        <v>4.59</v>
      </c>
      <c r="E5423" s="18">
        <v>459</v>
      </c>
      <c r="F5423" t="s">
        <v>889</v>
      </c>
      <c r="G5423" t="s">
        <v>5579</v>
      </c>
      <c r="H5423" s="18">
        <v>459</v>
      </c>
      <c r="I5423" s="3">
        <v>41950</v>
      </c>
      <c r="J5423"/>
      <c r="L5423"/>
      <c r="M5423"/>
      <c r="N5423" s="20"/>
      <c r="O5423"/>
      <c r="P5423" s="20"/>
      <c r="Q5423" s="20"/>
      <c r="R5423" s="20"/>
      <c r="S5423" s="20"/>
      <c r="T5423" s="20"/>
    </row>
    <row r="5424" spans="1:20" x14ac:dyDescent="0.25">
      <c r="A5424" s="3">
        <v>41950</v>
      </c>
      <c r="B5424" s="36">
        <v>615</v>
      </c>
      <c r="C5424" t="s">
        <v>1300</v>
      </c>
      <c r="E5424" s="18">
        <v>-165.79</v>
      </c>
      <c r="F5424" t="s">
        <v>889</v>
      </c>
      <c r="G5424" t="s">
        <v>442</v>
      </c>
      <c r="H5424" s="18" t="s">
        <v>442</v>
      </c>
      <c r="I5424" s="3" t="s">
        <v>442</v>
      </c>
      <c r="J5424"/>
      <c r="L5424"/>
      <c r="M5424"/>
      <c r="N5424" s="20"/>
      <c r="O5424"/>
      <c r="P5424" s="20"/>
      <c r="Q5424" s="20" t="s">
        <v>401</v>
      </c>
      <c r="R5424" s="20"/>
      <c r="S5424" s="20"/>
      <c r="T5424" s="20"/>
    </row>
    <row r="5425" spans="1:21" x14ac:dyDescent="0.25">
      <c r="A5425" s="3">
        <v>41950</v>
      </c>
      <c r="B5425" s="36">
        <v>615</v>
      </c>
      <c r="C5425" t="s">
        <v>1117</v>
      </c>
      <c r="E5425" s="18">
        <v>168.0972222</v>
      </c>
      <c r="F5425" t="s">
        <v>891</v>
      </c>
      <c r="G5425" t="s">
        <v>442</v>
      </c>
      <c r="H5425" s="18" t="s">
        <v>442</v>
      </c>
      <c r="I5425" s="3" t="s">
        <v>442</v>
      </c>
      <c r="J5425"/>
      <c r="L5425"/>
      <c r="M5425"/>
      <c r="N5425" s="20"/>
      <c r="O5425"/>
      <c r="P5425" s="20"/>
      <c r="Q5425" s="20" t="s">
        <v>401</v>
      </c>
      <c r="R5425" s="20"/>
      <c r="S5425" s="20"/>
      <c r="T5425" s="20"/>
    </row>
    <row r="5426" spans="1:21" x14ac:dyDescent="0.25">
      <c r="A5426" s="3">
        <v>41950</v>
      </c>
      <c r="B5426" s="36">
        <v>615</v>
      </c>
      <c r="C5426" t="s">
        <v>4434</v>
      </c>
      <c r="E5426" s="18">
        <v>-168.0972222</v>
      </c>
      <c r="F5426" t="s">
        <v>889</v>
      </c>
      <c r="G5426" t="s">
        <v>442</v>
      </c>
      <c r="H5426" s="18" t="s">
        <v>442</v>
      </c>
      <c r="I5426" s="3" t="s">
        <v>442</v>
      </c>
      <c r="J5426"/>
      <c r="L5426"/>
      <c r="M5426"/>
      <c r="N5426" s="20"/>
      <c r="O5426"/>
      <c r="P5426" s="20"/>
      <c r="Q5426" s="20" t="s">
        <v>401</v>
      </c>
      <c r="R5426" s="20"/>
      <c r="S5426" s="20"/>
      <c r="T5426" s="20"/>
    </row>
    <row r="5427" spans="1:21" x14ac:dyDescent="0.25">
      <c r="A5427" s="3">
        <v>41969</v>
      </c>
      <c r="B5427" s="36">
        <v>615</v>
      </c>
      <c r="C5427" t="s">
        <v>5580</v>
      </c>
      <c r="D5427">
        <v>7.3949999999999996</v>
      </c>
      <c r="E5427" s="18">
        <v>739.5</v>
      </c>
      <c r="F5427" t="s">
        <v>889</v>
      </c>
      <c r="G5427" t="s">
        <v>5581</v>
      </c>
      <c r="H5427" s="18">
        <v>739.5</v>
      </c>
      <c r="I5427" s="3">
        <v>41969</v>
      </c>
      <c r="J5427"/>
      <c r="L5427"/>
      <c r="M5427"/>
      <c r="N5427" s="20"/>
      <c r="O5427"/>
      <c r="P5427" s="20"/>
      <c r="Q5427" s="20"/>
      <c r="R5427" s="20"/>
      <c r="S5427" s="20"/>
      <c r="T5427" s="20"/>
    </row>
    <row r="5428" spans="1:21" x14ac:dyDescent="0.25">
      <c r="A5428" s="3">
        <v>41969</v>
      </c>
      <c r="B5428" s="36">
        <v>615</v>
      </c>
      <c r="C5428" t="s">
        <v>5582</v>
      </c>
      <c r="D5428">
        <v>7.65</v>
      </c>
      <c r="E5428" s="18">
        <v>765</v>
      </c>
      <c r="F5428" t="s">
        <v>889</v>
      </c>
      <c r="G5428" t="s">
        <v>5583</v>
      </c>
      <c r="H5428" s="18">
        <v>765</v>
      </c>
      <c r="I5428" s="3">
        <v>41969</v>
      </c>
      <c r="J5428"/>
      <c r="L5428"/>
      <c r="M5428"/>
      <c r="N5428" s="20"/>
      <c r="O5428"/>
      <c r="P5428" s="20"/>
      <c r="Q5428" s="20"/>
      <c r="R5428" s="20"/>
      <c r="S5428" s="20"/>
      <c r="T5428" s="20"/>
    </row>
    <row r="5429" spans="1:21" x14ac:dyDescent="0.25">
      <c r="A5429" s="3">
        <v>41969</v>
      </c>
      <c r="B5429" s="36">
        <v>615</v>
      </c>
      <c r="C5429" t="s">
        <v>1283</v>
      </c>
      <c r="E5429" s="18">
        <v>-165.79</v>
      </c>
      <c r="F5429" t="s">
        <v>891</v>
      </c>
      <c r="G5429" t="s">
        <v>442</v>
      </c>
      <c r="H5429" s="18" t="s">
        <v>442</v>
      </c>
      <c r="I5429" s="3" t="s">
        <v>442</v>
      </c>
      <c r="J5429"/>
      <c r="L5429"/>
      <c r="M5429"/>
      <c r="N5429" s="20"/>
      <c r="O5429"/>
      <c r="P5429" s="20"/>
      <c r="Q5429" s="20" t="s">
        <v>401</v>
      </c>
      <c r="R5429" s="20"/>
      <c r="S5429" s="20"/>
      <c r="T5429" s="20"/>
    </row>
    <row r="5430" spans="1:21" x14ac:dyDescent="0.25">
      <c r="A5430" s="3">
        <v>41999</v>
      </c>
      <c r="B5430" s="36">
        <v>615</v>
      </c>
      <c r="C5430" t="s">
        <v>5574</v>
      </c>
      <c r="D5430">
        <v>9.25</v>
      </c>
      <c r="E5430" s="18">
        <v>1340</v>
      </c>
      <c r="F5430" t="s">
        <v>889</v>
      </c>
      <c r="G5430" t="s">
        <v>5575</v>
      </c>
      <c r="H5430" s="18">
        <v>1340</v>
      </c>
      <c r="I5430" s="3">
        <v>41999</v>
      </c>
      <c r="J5430"/>
      <c r="L5430"/>
      <c r="M5430"/>
      <c r="N5430" s="20"/>
      <c r="O5430" t="s">
        <v>959</v>
      </c>
      <c r="P5430" s="20"/>
      <c r="Q5430" s="20"/>
      <c r="R5430" s="20"/>
      <c r="S5430" s="20"/>
      <c r="T5430" s="20"/>
    </row>
    <row r="5431" spans="1:21" x14ac:dyDescent="0.25">
      <c r="A5431" s="3">
        <v>41999</v>
      </c>
      <c r="B5431" s="36">
        <v>615</v>
      </c>
      <c r="C5431" t="s">
        <v>3076</v>
      </c>
      <c r="E5431" s="18">
        <v>-165.79</v>
      </c>
      <c r="F5431" t="s">
        <v>891</v>
      </c>
      <c r="G5431" t="s">
        <v>442</v>
      </c>
      <c r="H5431" s="18" t="s">
        <v>442</v>
      </c>
      <c r="I5431" s="3" t="s">
        <v>442</v>
      </c>
      <c r="J5431"/>
      <c r="L5431"/>
      <c r="M5431"/>
      <c r="N5431" s="20"/>
      <c r="O5431"/>
      <c r="P5431" s="20"/>
      <c r="Q5431" s="20" t="s">
        <v>401</v>
      </c>
      <c r="R5431" s="20"/>
      <c r="S5431" s="20"/>
      <c r="T5431" s="20"/>
    </row>
    <row r="5432" spans="1:21" x14ac:dyDescent="0.25">
      <c r="A5432" s="3">
        <v>41999</v>
      </c>
      <c r="B5432" s="36">
        <v>615</v>
      </c>
      <c r="C5432" t="s">
        <v>2573</v>
      </c>
      <c r="E5432" s="18">
        <v>-165.79</v>
      </c>
      <c r="F5432" t="s">
        <v>891</v>
      </c>
      <c r="G5432" t="s">
        <v>442</v>
      </c>
      <c r="H5432" s="18" t="s">
        <v>442</v>
      </c>
      <c r="I5432" s="3" t="s">
        <v>442</v>
      </c>
      <c r="J5432"/>
      <c r="L5432"/>
      <c r="M5432"/>
      <c r="N5432" s="20"/>
      <c r="O5432"/>
      <c r="P5432" s="20"/>
      <c r="Q5432" s="20" t="s">
        <v>401</v>
      </c>
      <c r="R5432" s="20"/>
      <c r="S5432" s="20"/>
      <c r="T5432" s="20"/>
    </row>
    <row r="5433" spans="1:21" x14ac:dyDescent="0.25">
      <c r="A5433" s="3">
        <v>41999</v>
      </c>
      <c r="B5433" s="36">
        <v>615</v>
      </c>
      <c r="C5433" t="s">
        <v>5584</v>
      </c>
      <c r="E5433" s="18">
        <v>-38.69</v>
      </c>
      <c r="F5433" t="s">
        <v>891</v>
      </c>
      <c r="G5433" t="s">
        <v>442</v>
      </c>
      <c r="H5433" s="18" t="s">
        <v>442</v>
      </c>
      <c r="I5433" s="3" t="s">
        <v>442</v>
      </c>
      <c r="J5433"/>
      <c r="L5433"/>
      <c r="M5433"/>
      <c r="N5433" s="20"/>
      <c r="O5433"/>
      <c r="P5433" s="20"/>
      <c r="Q5433" s="20" t="s">
        <v>401</v>
      </c>
      <c r="R5433" s="20"/>
      <c r="S5433" s="20"/>
      <c r="T5433" s="20"/>
    </row>
    <row r="5434" spans="1:21" x14ac:dyDescent="0.25">
      <c r="A5434" s="3">
        <v>41999</v>
      </c>
      <c r="B5434" s="36">
        <v>615</v>
      </c>
      <c r="C5434" t="s">
        <v>1292</v>
      </c>
      <c r="E5434" s="18">
        <v>-165.79</v>
      </c>
      <c r="F5434" t="s">
        <v>891</v>
      </c>
      <c r="G5434" t="s">
        <v>442</v>
      </c>
      <c r="H5434" s="18" t="s">
        <v>442</v>
      </c>
      <c r="I5434" s="3" t="s">
        <v>442</v>
      </c>
      <c r="J5434"/>
      <c r="L5434"/>
      <c r="M5434"/>
      <c r="N5434" s="20"/>
      <c r="O5434"/>
      <c r="P5434" s="20"/>
      <c r="Q5434" s="20" t="s">
        <v>401</v>
      </c>
      <c r="R5434" s="20"/>
      <c r="S5434" s="20"/>
      <c r="T5434" s="20"/>
    </row>
    <row r="5435" spans="1:21" x14ac:dyDescent="0.25">
      <c r="A5435" s="3">
        <v>42013</v>
      </c>
      <c r="B5435" s="36">
        <v>615</v>
      </c>
      <c r="C5435" t="s">
        <v>5065</v>
      </c>
      <c r="E5435" s="18">
        <v>1208.5</v>
      </c>
      <c r="F5435" t="s">
        <v>889</v>
      </c>
      <c r="G5435" t="s">
        <v>5066</v>
      </c>
      <c r="H5435" s="18">
        <v>1208.5</v>
      </c>
      <c r="I5435" s="3">
        <v>42013</v>
      </c>
      <c r="J5435"/>
      <c r="L5435"/>
      <c r="M5435"/>
      <c r="N5435" s="20"/>
      <c r="O5435"/>
      <c r="P5435" s="20"/>
      <c r="Q5435" s="20"/>
      <c r="R5435" s="20"/>
      <c r="S5435" s="20"/>
      <c r="T5435" s="20"/>
    </row>
    <row r="5436" spans="1:21" x14ac:dyDescent="0.25">
      <c r="A5436" s="3">
        <v>42013</v>
      </c>
      <c r="B5436" s="36">
        <v>615</v>
      </c>
      <c r="C5436" t="s">
        <v>754</v>
      </c>
      <c r="D5436">
        <v>6.75</v>
      </c>
      <c r="E5436" s="18">
        <v>344.25</v>
      </c>
      <c r="F5436" t="s">
        <v>889</v>
      </c>
      <c r="G5436" t="s">
        <v>755</v>
      </c>
      <c r="H5436" s="18">
        <v>344.25</v>
      </c>
      <c r="I5436" s="3">
        <v>42013</v>
      </c>
      <c r="J5436"/>
      <c r="L5436"/>
      <c r="M5436"/>
      <c r="N5436" s="20"/>
      <c r="O5436"/>
      <c r="P5436" s="20"/>
      <c r="Q5436" s="20"/>
      <c r="R5436" s="20"/>
      <c r="S5436" s="20"/>
      <c r="T5436" s="20"/>
    </row>
    <row r="5437" spans="1:21" x14ac:dyDescent="0.25">
      <c r="B5437">
        <v>615</v>
      </c>
      <c r="C5437" t="s">
        <v>5578</v>
      </c>
      <c r="D5437">
        <v>4.59</v>
      </c>
      <c r="E5437" s="18">
        <v>-459</v>
      </c>
      <c r="F5437" t="s">
        <v>889</v>
      </c>
      <c r="G5437" t="s">
        <v>5579</v>
      </c>
      <c r="I5437"/>
      <c r="J5437"/>
      <c r="L5437"/>
      <c r="M5437"/>
      <c r="O5437"/>
      <c r="P5437" s="20"/>
      <c r="Q5437" s="20"/>
      <c r="R5437" s="20"/>
      <c r="S5437" s="20"/>
      <c r="T5437" s="20"/>
      <c r="U5437" t="s">
        <v>401</v>
      </c>
    </row>
    <row r="5438" spans="1:21" x14ac:dyDescent="0.25">
      <c r="B5438">
        <v>615</v>
      </c>
      <c r="C5438" t="s">
        <v>5574</v>
      </c>
      <c r="D5438">
        <v>5.0999999999999996</v>
      </c>
      <c r="E5438" s="18">
        <v>-830</v>
      </c>
      <c r="F5438" t="s">
        <v>889</v>
      </c>
      <c r="G5438" t="s">
        <v>5575</v>
      </c>
      <c r="I5438"/>
      <c r="J5438"/>
      <c r="L5438"/>
      <c r="M5438"/>
      <c r="O5438"/>
      <c r="P5438" s="20"/>
      <c r="Q5438" s="20"/>
      <c r="R5438" s="20"/>
      <c r="S5438" s="20"/>
      <c r="T5438" s="20"/>
      <c r="U5438" t="s">
        <v>401</v>
      </c>
    </row>
    <row r="5439" spans="1:21" x14ac:dyDescent="0.25">
      <c r="B5439">
        <v>615</v>
      </c>
      <c r="C5439" t="s">
        <v>5582</v>
      </c>
      <c r="D5439">
        <v>7.65</v>
      </c>
      <c r="E5439" s="18">
        <v>-765</v>
      </c>
      <c r="F5439" t="s">
        <v>889</v>
      </c>
      <c r="G5439" t="s">
        <v>5583</v>
      </c>
      <c r="I5439"/>
      <c r="J5439"/>
      <c r="L5439"/>
      <c r="M5439"/>
      <c r="O5439"/>
      <c r="P5439" s="20"/>
      <c r="Q5439" s="20"/>
      <c r="R5439" s="20"/>
      <c r="S5439" s="20"/>
      <c r="T5439" s="20"/>
      <c r="U5439" t="s">
        <v>401</v>
      </c>
    </row>
    <row r="5440" spans="1:21" x14ac:dyDescent="0.25">
      <c r="B5440">
        <v>615</v>
      </c>
      <c r="C5440" t="s">
        <v>1509</v>
      </c>
      <c r="E5440" s="18">
        <v>-164.22401429999999</v>
      </c>
      <c r="F5440" t="s">
        <v>891</v>
      </c>
      <c r="G5440" t="s">
        <v>442</v>
      </c>
      <c r="I5440"/>
      <c r="J5440"/>
      <c r="L5440"/>
      <c r="M5440"/>
      <c r="O5440"/>
      <c r="P5440" s="20"/>
      <c r="Q5440" s="20"/>
      <c r="R5440" s="20"/>
      <c r="S5440" s="20"/>
      <c r="T5440" s="20"/>
      <c r="U5440" t="s">
        <v>401</v>
      </c>
    </row>
    <row r="5441" spans="1:21" x14ac:dyDescent="0.25">
      <c r="B5441">
        <v>615</v>
      </c>
      <c r="C5441" t="s">
        <v>1299</v>
      </c>
      <c r="E5441" s="18">
        <v>-165.79</v>
      </c>
      <c r="F5441" t="s">
        <v>891</v>
      </c>
      <c r="G5441" t="s">
        <v>442</v>
      </c>
      <c r="I5441"/>
      <c r="J5441"/>
      <c r="L5441"/>
      <c r="M5441"/>
      <c r="O5441"/>
      <c r="P5441" s="20"/>
      <c r="Q5441" s="20"/>
      <c r="R5441" s="20"/>
      <c r="S5441" s="20"/>
      <c r="T5441" s="20"/>
      <c r="U5441" t="s">
        <v>401</v>
      </c>
    </row>
    <row r="5442" spans="1:21" x14ac:dyDescent="0.25">
      <c r="B5442">
        <v>615</v>
      </c>
      <c r="C5442" t="s">
        <v>1304</v>
      </c>
      <c r="E5442" s="18">
        <v>-165.79</v>
      </c>
      <c r="F5442" t="s">
        <v>891</v>
      </c>
      <c r="G5442" t="s">
        <v>442</v>
      </c>
      <c r="I5442"/>
      <c r="J5442"/>
      <c r="L5442"/>
      <c r="M5442"/>
      <c r="O5442"/>
      <c r="P5442" s="20"/>
      <c r="Q5442" s="20"/>
      <c r="R5442" s="20"/>
      <c r="S5442" s="20"/>
      <c r="T5442" s="20"/>
      <c r="U5442" t="s">
        <v>401</v>
      </c>
    </row>
    <row r="5443" spans="1:21" x14ac:dyDescent="0.25">
      <c r="B5443">
        <v>615</v>
      </c>
      <c r="C5443" t="s">
        <v>1312</v>
      </c>
      <c r="E5443" s="18">
        <v>-165.79</v>
      </c>
      <c r="F5443" t="s">
        <v>891</v>
      </c>
      <c r="G5443" t="s">
        <v>442</v>
      </c>
      <c r="I5443"/>
      <c r="J5443"/>
      <c r="L5443"/>
      <c r="M5443"/>
      <c r="O5443"/>
      <c r="P5443" s="20"/>
      <c r="Q5443" s="20"/>
      <c r="R5443" s="20"/>
      <c r="S5443" s="20"/>
      <c r="T5443" s="20"/>
      <c r="U5443" t="s">
        <v>401</v>
      </c>
    </row>
    <row r="5444" spans="1:21" x14ac:dyDescent="0.25">
      <c r="B5444">
        <v>615</v>
      </c>
      <c r="C5444" t="s">
        <v>5585</v>
      </c>
      <c r="E5444" s="18">
        <v>-127.1</v>
      </c>
      <c r="F5444" t="s">
        <v>891</v>
      </c>
      <c r="G5444" t="s">
        <v>442</v>
      </c>
      <c r="I5444"/>
      <c r="J5444"/>
      <c r="L5444"/>
      <c r="M5444"/>
      <c r="O5444"/>
      <c r="P5444" s="20"/>
      <c r="Q5444" s="20"/>
      <c r="R5444" s="20"/>
      <c r="S5444" s="20"/>
      <c r="T5444" s="20"/>
      <c r="U5444" t="s">
        <v>401</v>
      </c>
    </row>
    <row r="5445" spans="1:21" x14ac:dyDescent="0.25">
      <c r="B5445">
        <v>615</v>
      </c>
      <c r="C5445" t="s">
        <v>754</v>
      </c>
      <c r="D5445">
        <v>6.75</v>
      </c>
      <c r="E5445" s="18">
        <v>250</v>
      </c>
      <c r="F5445" t="s">
        <v>889</v>
      </c>
      <c r="G5445" t="s">
        <v>755</v>
      </c>
      <c r="I5445"/>
      <c r="J5445"/>
      <c r="L5445"/>
      <c r="M5445"/>
      <c r="O5445"/>
      <c r="P5445" s="20"/>
      <c r="Q5445" s="20"/>
      <c r="R5445" s="20"/>
      <c r="S5445" s="20"/>
      <c r="T5445" s="20"/>
      <c r="U5445" t="s">
        <v>401</v>
      </c>
    </row>
    <row r="5446" spans="1:21" x14ac:dyDescent="0.25">
      <c r="A5446" s="3">
        <v>41922</v>
      </c>
      <c r="B5446" s="36">
        <v>616</v>
      </c>
      <c r="C5446" t="s">
        <v>4998</v>
      </c>
      <c r="E5446" s="18">
        <v>800</v>
      </c>
      <c r="G5446" t="s">
        <v>442</v>
      </c>
      <c r="H5446" s="18" t="s">
        <v>442</v>
      </c>
      <c r="I5446" s="3" t="s">
        <v>442</v>
      </c>
      <c r="J5446"/>
      <c r="L5446"/>
      <c r="M5446"/>
      <c r="N5446" s="20"/>
      <c r="O5446"/>
      <c r="P5446" s="20"/>
      <c r="Q5446" s="20"/>
      <c r="R5446" s="20"/>
      <c r="S5446" s="20"/>
      <c r="T5446" s="20" t="s">
        <v>401</v>
      </c>
    </row>
    <row r="5447" spans="1:21" x14ac:dyDescent="0.25">
      <c r="A5447" s="3">
        <v>41951</v>
      </c>
      <c r="B5447" s="36">
        <v>616</v>
      </c>
      <c r="C5447" t="s">
        <v>5586</v>
      </c>
      <c r="D5447">
        <v>4.08</v>
      </c>
      <c r="E5447" s="18">
        <v>408</v>
      </c>
      <c r="F5447" t="s">
        <v>889</v>
      </c>
      <c r="G5447" t="s">
        <v>5587</v>
      </c>
      <c r="H5447" s="18">
        <v>408</v>
      </c>
      <c r="I5447" s="3">
        <v>41951</v>
      </c>
      <c r="J5447"/>
      <c r="L5447"/>
      <c r="M5447"/>
      <c r="N5447" s="20"/>
      <c r="O5447" t="s">
        <v>5588</v>
      </c>
      <c r="P5447" s="20"/>
      <c r="Q5447" s="20"/>
      <c r="R5447" s="20"/>
      <c r="S5447" s="20"/>
      <c r="T5447" s="20"/>
    </row>
    <row r="5448" spans="1:21" x14ac:dyDescent="0.25">
      <c r="A5448" s="3">
        <v>41971</v>
      </c>
      <c r="B5448" s="36">
        <v>616</v>
      </c>
      <c r="C5448" t="s">
        <v>5589</v>
      </c>
      <c r="D5448">
        <v>6.375</v>
      </c>
      <c r="E5448" s="18">
        <v>637.5</v>
      </c>
      <c r="F5448" t="s">
        <v>889</v>
      </c>
      <c r="G5448" t="s">
        <v>5590</v>
      </c>
      <c r="H5448" s="18">
        <v>637.5</v>
      </c>
      <c r="I5448" s="3">
        <v>41971</v>
      </c>
      <c r="J5448"/>
      <c r="L5448"/>
      <c r="M5448"/>
      <c r="N5448" s="20"/>
      <c r="O5448"/>
      <c r="P5448" s="20"/>
      <c r="Q5448" s="20"/>
      <c r="R5448" s="20"/>
      <c r="S5448" s="20"/>
      <c r="T5448" s="20"/>
    </row>
    <row r="5449" spans="1:21" x14ac:dyDescent="0.25">
      <c r="A5449" s="3">
        <v>42004</v>
      </c>
      <c r="B5449" s="36">
        <v>616</v>
      </c>
      <c r="C5449" t="s">
        <v>5591</v>
      </c>
      <c r="D5449">
        <v>4.08</v>
      </c>
      <c r="E5449" s="18">
        <v>136</v>
      </c>
      <c r="F5449" t="s">
        <v>889</v>
      </c>
      <c r="G5449" t="s">
        <v>5592</v>
      </c>
      <c r="H5449" s="18">
        <v>136</v>
      </c>
      <c r="I5449" s="3">
        <v>42004</v>
      </c>
      <c r="J5449"/>
      <c r="L5449"/>
      <c r="M5449"/>
      <c r="N5449" s="20"/>
      <c r="O5449"/>
      <c r="P5449" s="20"/>
      <c r="Q5449" s="20"/>
      <c r="R5449" s="20"/>
      <c r="S5449" s="20"/>
      <c r="T5449" s="20"/>
    </row>
    <row r="5450" spans="1:21" x14ac:dyDescent="0.25">
      <c r="A5450" s="3">
        <v>42041</v>
      </c>
      <c r="B5450">
        <v>616</v>
      </c>
      <c r="C5450" t="s">
        <v>5591</v>
      </c>
      <c r="E5450" s="18">
        <v>136</v>
      </c>
      <c r="F5450" t="s">
        <v>889</v>
      </c>
      <c r="G5450" t="s">
        <v>5592</v>
      </c>
      <c r="I5450"/>
      <c r="J5450"/>
      <c r="L5450"/>
      <c r="M5450"/>
      <c r="O5450"/>
      <c r="P5450" s="20"/>
      <c r="Q5450" s="20"/>
      <c r="R5450" s="20"/>
      <c r="S5450" s="20"/>
      <c r="T5450" s="20"/>
    </row>
    <row r="5451" spans="1:21" x14ac:dyDescent="0.25">
      <c r="B5451">
        <v>616</v>
      </c>
      <c r="C5451" t="s">
        <v>4998</v>
      </c>
      <c r="E5451" s="18">
        <v>-800</v>
      </c>
      <c r="F5451" t="s">
        <v>889</v>
      </c>
      <c r="G5451" t="s">
        <v>442</v>
      </c>
      <c r="I5451"/>
      <c r="J5451"/>
      <c r="L5451"/>
      <c r="M5451"/>
      <c r="O5451"/>
      <c r="P5451" s="20"/>
      <c r="Q5451" s="20"/>
      <c r="R5451" s="20"/>
      <c r="S5451" s="20"/>
      <c r="T5451" s="20"/>
      <c r="U5451" t="s">
        <v>401</v>
      </c>
    </row>
    <row r="5452" spans="1:21" x14ac:dyDescent="0.25">
      <c r="B5452">
        <v>616</v>
      </c>
      <c r="C5452" t="s">
        <v>5593</v>
      </c>
      <c r="E5452" s="18">
        <v>-800</v>
      </c>
      <c r="I5452"/>
      <c r="J5452"/>
      <c r="L5452"/>
      <c r="M5452"/>
      <c r="O5452"/>
      <c r="P5452" s="20"/>
      <c r="Q5452" s="20"/>
      <c r="R5452" s="20"/>
      <c r="S5452" s="20"/>
      <c r="T5452" s="20"/>
      <c r="U5452" t="s">
        <v>401</v>
      </c>
    </row>
    <row r="5453" spans="1:21" x14ac:dyDescent="0.25">
      <c r="B5453">
        <v>616</v>
      </c>
      <c r="C5453" t="s">
        <v>2573</v>
      </c>
      <c r="E5453" s="18">
        <v>-165.79</v>
      </c>
      <c r="F5453" t="s">
        <v>891</v>
      </c>
      <c r="G5453" t="s">
        <v>442</v>
      </c>
      <c r="I5453"/>
      <c r="J5453"/>
      <c r="L5453"/>
      <c r="M5453"/>
      <c r="O5453"/>
      <c r="P5453" s="20"/>
      <c r="Q5453" s="20"/>
      <c r="R5453" s="20"/>
      <c r="S5453" s="20"/>
      <c r="T5453" s="20"/>
      <c r="U5453" t="s">
        <v>401</v>
      </c>
    </row>
    <row r="5454" spans="1:21" x14ac:dyDescent="0.25">
      <c r="B5454">
        <v>616</v>
      </c>
      <c r="C5454" t="s">
        <v>1312</v>
      </c>
      <c r="E5454" s="18">
        <v>-165.79</v>
      </c>
      <c r="F5454" t="s">
        <v>891</v>
      </c>
      <c r="G5454" t="s">
        <v>442</v>
      </c>
      <c r="I5454"/>
      <c r="J5454"/>
      <c r="L5454"/>
      <c r="M5454"/>
      <c r="O5454"/>
      <c r="P5454" s="20"/>
      <c r="Q5454" s="20"/>
      <c r="R5454" s="20"/>
      <c r="S5454" s="20"/>
      <c r="T5454" s="20"/>
      <c r="U5454" t="s">
        <v>401</v>
      </c>
    </row>
    <row r="5455" spans="1:21" x14ac:dyDescent="0.25">
      <c r="B5455">
        <v>616</v>
      </c>
      <c r="C5455" t="s">
        <v>5570</v>
      </c>
      <c r="E5455" s="18">
        <v>-216.125</v>
      </c>
      <c r="F5455" t="s">
        <v>891</v>
      </c>
      <c r="G5455" t="s">
        <v>442</v>
      </c>
      <c r="I5455"/>
      <c r="J5455"/>
      <c r="L5455"/>
      <c r="M5455"/>
      <c r="O5455"/>
      <c r="P5455" s="20"/>
      <c r="Q5455" s="20"/>
      <c r="R5455" s="20"/>
      <c r="S5455" s="20"/>
      <c r="T5455" s="20"/>
      <c r="U5455" t="s">
        <v>401</v>
      </c>
    </row>
    <row r="5456" spans="1:21" x14ac:dyDescent="0.25">
      <c r="B5456">
        <v>616</v>
      </c>
      <c r="C5456" t="s">
        <v>1117</v>
      </c>
      <c r="E5456" s="18">
        <v>-168.0972222</v>
      </c>
      <c r="F5456" t="s">
        <v>891</v>
      </c>
      <c r="G5456" t="s">
        <v>442</v>
      </c>
      <c r="I5456"/>
      <c r="J5456"/>
      <c r="L5456"/>
      <c r="M5456"/>
      <c r="O5456"/>
      <c r="P5456" s="20"/>
      <c r="Q5456" s="20"/>
      <c r="R5456" s="20"/>
      <c r="S5456" s="20"/>
      <c r="T5456" s="20"/>
      <c r="U5456" t="s">
        <v>401</v>
      </c>
    </row>
    <row r="5457" spans="1:21" x14ac:dyDescent="0.25">
      <c r="A5457" s="3">
        <v>41897</v>
      </c>
      <c r="B5457" s="36">
        <v>617</v>
      </c>
      <c r="C5457" t="s">
        <v>1468</v>
      </c>
      <c r="E5457" s="18">
        <v>350</v>
      </c>
      <c r="F5457" t="s">
        <v>889</v>
      </c>
      <c r="H5457" s="18" t="s">
        <v>442</v>
      </c>
      <c r="I5457" s="3" t="s">
        <v>442</v>
      </c>
      <c r="J5457"/>
      <c r="L5457"/>
      <c r="M5457"/>
      <c r="N5457" s="20"/>
      <c r="O5457"/>
      <c r="P5457" s="20" t="s">
        <v>401</v>
      </c>
      <c r="Q5457" s="20"/>
      <c r="R5457" s="20"/>
      <c r="S5457" s="20"/>
      <c r="T5457" s="20"/>
    </row>
    <row r="5458" spans="1:21" x14ac:dyDescent="0.25">
      <c r="A5458" s="3">
        <v>41950</v>
      </c>
      <c r="B5458" s="36">
        <v>621</v>
      </c>
      <c r="C5458" t="s">
        <v>5594</v>
      </c>
      <c r="D5458">
        <v>4.59</v>
      </c>
      <c r="E5458" s="18">
        <v>459</v>
      </c>
      <c r="F5458" t="s">
        <v>889</v>
      </c>
      <c r="G5458" t="s">
        <v>5595</v>
      </c>
      <c r="H5458" s="18">
        <v>459</v>
      </c>
      <c r="I5458" s="3">
        <v>41950</v>
      </c>
      <c r="J5458"/>
      <c r="L5458"/>
      <c r="M5458"/>
      <c r="N5458" s="20"/>
      <c r="O5458"/>
      <c r="P5458" s="20"/>
      <c r="Q5458" s="20"/>
      <c r="R5458" s="20"/>
      <c r="S5458" s="20"/>
      <c r="T5458" s="20"/>
    </row>
    <row r="5459" spans="1:21" x14ac:dyDescent="0.25">
      <c r="A5459" s="3">
        <v>41964</v>
      </c>
      <c r="B5459" s="36">
        <v>621</v>
      </c>
      <c r="C5459" t="s">
        <v>5596</v>
      </c>
      <c r="D5459">
        <v>7.65</v>
      </c>
      <c r="E5459" s="18">
        <v>765</v>
      </c>
      <c r="F5459" t="s">
        <v>889</v>
      </c>
      <c r="G5459" t="s">
        <v>5597</v>
      </c>
      <c r="H5459" s="18">
        <v>765</v>
      </c>
      <c r="I5459" s="3">
        <v>41964</v>
      </c>
      <c r="J5459"/>
      <c r="L5459"/>
      <c r="M5459"/>
      <c r="N5459" s="20"/>
      <c r="O5459"/>
      <c r="P5459" s="20"/>
      <c r="Q5459" s="20"/>
      <c r="R5459" s="20"/>
      <c r="S5459" s="20"/>
      <c r="T5459" s="20"/>
    </row>
    <row r="5460" spans="1:21" x14ac:dyDescent="0.25">
      <c r="A5460" s="3">
        <v>41971</v>
      </c>
      <c r="B5460" s="36">
        <v>621</v>
      </c>
      <c r="C5460" t="s">
        <v>5598</v>
      </c>
      <c r="D5460">
        <v>6.12</v>
      </c>
      <c r="E5460" s="18">
        <v>612</v>
      </c>
      <c r="F5460" t="s">
        <v>889</v>
      </c>
      <c r="G5460" t="s">
        <v>5599</v>
      </c>
      <c r="H5460" s="18">
        <v>612</v>
      </c>
      <c r="I5460" s="3">
        <v>41971</v>
      </c>
      <c r="J5460"/>
      <c r="L5460"/>
      <c r="M5460"/>
      <c r="N5460" s="20"/>
      <c r="O5460"/>
      <c r="P5460" s="20"/>
      <c r="Q5460" s="20"/>
      <c r="R5460" s="20"/>
      <c r="S5460" s="20"/>
      <c r="T5460" s="20"/>
    </row>
    <row r="5461" spans="1:21" x14ac:dyDescent="0.25">
      <c r="A5461" s="3">
        <v>41999</v>
      </c>
      <c r="B5461" s="36">
        <v>621</v>
      </c>
      <c r="C5461" t="s">
        <v>5594</v>
      </c>
      <c r="D5461">
        <v>9.75</v>
      </c>
      <c r="E5461" s="18">
        <v>1491</v>
      </c>
      <c r="F5461" t="s">
        <v>889</v>
      </c>
      <c r="G5461" t="s">
        <v>5595</v>
      </c>
      <c r="H5461" s="18">
        <v>1491</v>
      </c>
      <c r="I5461" s="3">
        <v>41999</v>
      </c>
      <c r="J5461"/>
      <c r="L5461"/>
      <c r="M5461"/>
      <c r="N5461" s="20"/>
      <c r="O5461" t="s">
        <v>959</v>
      </c>
      <c r="P5461" s="20"/>
      <c r="Q5461" s="20"/>
      <c r="R5461" s="20"/>
      <c r="S5461" s="20"/>
      <c r="T5461" s="20"/>
    </row>
    <row r="5462" spans="1:21" x14ac:dyDescent="0.25">
      <c r="A5462" s="3">
        <v>41999</v>
      </c>
      <c r="B5462" s="36">
        <v>621</v>
      </c>
      <c r="C5462" t="s">
        <v>5598</v>
      </c>
      <c r="D5462">
        <v>6.12</v>
      </c>
      <c r="E5462" s="18">
        <v>-612</v>
      </c>
      <c r="F5462" t="s">
        <v>889</v>
      </c>
      <c r="G5462" t="s">
        <v>5599</v>
      </c>
      <c r="H5462" s="18" t="s">
        <v>442</v>
      </c>
      <c r="I5462" s="3" t="s">
        <v>442</v>
      </c>
      <c r="J5462"/>
      <c r="L5462"/>
      <c r="M5462"/>
      <c r="N5462" s="20"/>
      <c r="O5462"/>
      <c r="P5462" s="20"/>
      <c r="Q5462" s="20"/>
      <c r="R5462" s="20"/>
      <c r="S5462" s="20"/>
      <c r="T5462" s="20"/>
    </row>
    <row r="5463" spans="1:21" x14ac:dyDescent="0.25">
      <c r="B5463">
        <v>621</v>
      </c>
      <c r="C5463" t="s">
        <v>5594</v>
      </c>
      <c r="D5463">
        <v>4.59</v>
      </c>
      <c r="E5463" s="18">
        <v>-1032</v>
      </c>
      <c r="F5463" t="s">
        <v>889</v>
      </c>
      <c r="G5463" t="s">
        <v>5595</v>
      </c>
      <c r="I5463"/>
      <c r="J5463"/>
      <c r="L5463"/>
      <c r="M5463"/>
      <c r="O5463"/>
      <c r="P5463" s="20"/>
      <c r="Q5463" s="20"/>
      <c r="R5463" s="20"/>
      <c r="S5463" s="20"/>
      <c r="T5463" s="20"/>
      <c r="U5463" t="s">
        <v>401</v>
      </c>
    </row>
    <row r="5464" spans="1:21" x14ac:dyDescent="0.25">
      <c r="B5464">
        <v>621</v>
      </c>
      <c r="C5464" t="s">
        <v>5600</v>
      </c>
      <c r="D5464">
        <v>7.65</v>
      </c>
      <c r="E5464" s="18">
        <v>765</v>
      </c>
      <c r="F5464" t="s">
        <v>889</v>
      </c>
      <c r="G5464" t="s">
        <v>5597</v>
      </c>
      <c r="I5464"/>
      <c r="J5464"/>
      <c r="L5464"/>
      <c r="M5464"/>
      <c r="O5464"/>
      <c r="P5464" s="20"/>
      <c r="Q5464" s="20"/>
      <c r="R5464" s="20"/>
      <c r="S5464" s="20"/>
      <c r="T5464" s="20"/>
      <c r="U5464" t="s">
        <v>401</v>
      </c>
    </row>
    <row r="5465" spans="1:21" x14ac:dyDescent="0.25">
      <c r="A5465" s="3">
        <v>41915</v>
      </c>
      <c r="B5465" s="36">
        <v>626</v>
      </c>
      <c r="C5465" t="s">
        <v>5601</v>
      </c>
      <c r="D5465">
        <v>12.24</v>
      </c>
      <c r="E5465" s="18">
        <v>1224</v>
      </c>
      <c r="F5465" t="s">
        <v>889</v>
      </c>
      <c r="G5465" t="s">
        <v>5602</v>
      </c>
      <c r="H5465" s="18">
        <v>1224</v>
      </c>
      <c r="I5465" s="3">
        <v>41915</v>
      </c>
      <c r="J5465"/>
      <c r="L5465"/>
      <c r="M5465"/>
      <c r="N5465" s="20"/>
      <c r="O5465"/>
      <c r="P5465" s="20"/>
      <c r="Q5465" s="20"/>
      <c r="R5465" s="20"/>
      <c r="S5465" s="20"/>
      <c r="T5465" s="20"/>
    </row>
    <row r="5466" spans="1:21" x14ac:dyDescent="0.25">
      <c r="A5466" s="3">
        <v>41922</v>
      </c>
      <c r="B5466" s="36">
        <v>626</v>
      </c>
      <c r="C5466" t="s">
        <v>5603</v>
      </c>
      <c r="D5466">
        <v>13.26</v>
      </c>
      <c r="E5466" s="18">
        <v>1326</v>
      </c>
      <c r="F5466" t="s">
        <v>889</v>
      </c>
      <c r="G5466" t="s">
        <v>5604</v>
      </c>
      <c r="H5466" s="18">
        <v>1326</v>
      </c>
      <c r="I5466" s="3">
        <v>41922</v>
      </c>
      <c r="J5466"/>
      <c r="L5466"/>
      <c r="M5466"/>
      <c r="N5466" s="20"/>
      <c r="O5466"/>
      <c r="P5466" s="20"/>
      <c r="Q5466" s="20"/>
      <c r="R5466" s="20"/>
      <c r="S5466" s="20"/>
      <c r="T5466" s="20"/>
    </row>
    <row r="5467" spans="1:21" x14ac:dyDescent="0.25">
      <c r="A5467" s="3">
        <v>41922</v>
      </c>
      <c r="B5467" s="36">
        <v>626</v>
      </c>
      <c r="C5467" t="s">
        <v>4574</v>
      </c>
      <c r="E5467" s="18">
        <v>-348.78472219999998</v>
      </c>
      <c r="F5467" t="s">
        <v>889</v>
      </c>
      <c r="G5467" t="s">
        <v>442</v>
      </c>
      <c r="H5467" s="18" t="s">
        <v>442</v>
      </c>
      <c r="I5467" s="3" t="s">
        <v>442</v>
      </c>
      <c r="J5467"/>
      <c r="L5467"/>
      <c r="M5467"/>
      <c r="N5467" s="20"/>
      <c r="O5467"/>
      <c r="P5467" s="20"/>
      <c r="Q5467" s="20" t="s">
        <v>401</v>
      </c>
      <c r="R5467" s="20"/>
      <c r="S5467" s="20"/>
      <c r="T5467" s="20"/>
    </row>
    <row r="5468" spans="1:21" x14ac:dyDescent="0.25">
      <c r="A5468" s="3">
        <v>41922</v>
      </c>
      <c r="B5468" s="36">
        <v>626</v>
      </c>
      <c r="C5468" t="s">
        <v>1509</v>
      </c>
      <c r="E5468" s="18">
        <v>-95.409498209999995</v>
      </c>
      <c r="F5468" t="s">
        <v>891</v>
      </c>
      <c r="G5468" t="s">
        <v>442</v>
      </c>
      <c r="H5468" s="18" t="s">
        <v>442</v>
      </c>
      <c r="I5468" s="3" t="s">
        <v>442</v>
      </c>
      <c r="J5468"/>
      <c r="L5468"/>
      <c r="M5468"/>
      <c r="N5468" s="20"/>
      <c r="O5468"/>
      <c r="P5468" s="20"/>
      <c r="Q5468" s="20" t="s">
        <v>401</v>
      </c>
      <c r="R5468" s="20"/>
      <c r="S5468" s="20"/>
      <c r="T5468" s="20"/>
    </row>
    <row r="5469" spans="1:21" x14ac:dyDescent="0.25">
      <c r="A5469" s="3">
        <v>41922</v>
      </c>
      <c r="B5469" s="36">
        <v>626</v>
      </c>
      <c r="C5469" t="s">
        <v>1117</v>
      </c>
      <c r="E5469" s="18">
        <v>-97.659722220000006</v>
      </c>
      <c r="F5469" t="s">
        <v>889</v>
      </c>
      <c r="G5469" t="s">
        <v>442</v>
      </c>
      <c r="H5469" s="18" t="s">
        <v>442</v>
      </c>
      <c r="I5469" s="3" t="s">
        <v>442</v>
      </c>
      <c r="J5469"/>
      <c r="L5469"/>
      <c r="M5469"/>
      <c r="N5469" s="20"/>
      <c r="O5469"/>
      <c r="P5469" s="20"/>
      <c r="Q5469" s="20" t="s">
        <v>401</v>
      </c>
      <c r="R5469" s="20"/>
      <c r="S5469" s="20"/>
      <c r="T5469" s="20"/>
    </row>
    <row r="5470" spans="1:21" x14ac:dyDescent="0.25">
      <c r="A5470" s="3">
        <v>41922</v>
      </c>
      <c r="B5470" s="36">
        <v>626</v>
      </c>
      <c r="C5470" t="s">
        <v>1283</v>
      </c>
      <c r="E5470" s="18">
        <v>-82.56</v>
      </c>
      <c r="F5470" t="s">
        <v>891</v>
      </c>
      <c r="G5470" t="s">
        <v>442</v>
      </c>
      <c r="H5470" s="18" t="s">
        <v>442</v>
      </c>
      <c r="I5470" s="3" t="s">
        <v>442</v>
      </c>
      <c r="J5470"/>
      <c r="L5470"/>
      <c r="M5470"/>
      <c r="N5470" s="20"/>
      <c r="O5470"/>
      <c r="P5470" s="20"/>
      <c r="Q5470" s="20" t="s">
        <v>401</v>
      </c>
      <c r="R5470" s="20"/>
      <c r="S5470" s="20"/>
      <c r="T5470" s="20"/>
    </row>
    <row r="5471" spans="1:21" x14ac:dyDescent="0.25">
      <c r="A5471" s="3">
        <v>41943</v>
      </c>
      <c r="B5471" s="36">
        <v>626</v>
      </c>
      <c r="C5471" t="s">
        <v>5605</v>
      </c>
      <c r="D5471">
        <v>7.3949999999999996</v>
      </c>
      <c r="E5471" s="18">
        <v>739.5</v>
      </c>
      <c r="F5471" t="s">
        <v>889</v>
      </c>
      <c r="G5471" t="s">
        <v>5606</v>
      </c>
      <c r="H5471" s="18">
        <v>739.5</v>
      </c>
      <c r="I5471" s="3">
        <v>41943</v>
      </c>
      <c r="J5471"/>
      <c r="L5471"/>
      <c r="M5471"/>
      <c r="N5471" s="20"/>
      <c r="O5471"/>
      <c r="P5471" s="20"/>
      <c r="Q5471" s="20"/>
      <c r="R5471" s="20"/>
      <c r="S5471" s="20"/>
      <c r="T5471" s="20"/>
    </row>
    <row r="5472" spans="1:21" x14ac:dyDescent="0.25">
      <c r="A5472" s="3">
        <v>41943</v>
      </c>
      <c r="B5472" s="36">
        <v>626</v>
      </c>
      <c r="C5472" t="s">
        <v>4432</v>
      </c>
      <c r="E5472" s="18">
        <v>348.78472219999998</v>
      </c>
      <c r="F5472" t="s">
        <v>891</v>
      </c>
      <c r="G5472" t="s">
        <v>442</v>
      </c>
      <c r="H5472" s="18" t="s">
        <v>442</v>
      </c>
      <c r="I5472" s="3" t="s">
        <v>442</v>
      </c>
      <c r="J5472"/>
      <c r="L5472"/>
      <c r="M5472"/>
      <c r="N5472" s="20"/>
      <c r="O5472" t="s">
        <v>4575</v>
      </c>
      <c r="P5472" s="20"/>
      <c r="Q5472" s="20" t="s">
        <v>401</v>
      </c>
      <c r="R5472" s="20"/>
      <c r="S5472" s="20"/>
      <c r="T5472" s="20"/>
    </row>
    <row r="5473" spans="1:20" x14ac:dyDescent="0.25">
      <c r="A5473" s="3">
        <v>41943</v>
      </c>
      <c r="B5473" s="36">
        <v>626</v>
      </c>
      <c r="C5473" t="s">
        <v>1282</v>
      </c>
      <c r="E5473" s="18">
        <v>-96.32</v>
      </c>
      <c r="F5473" t="s">
        <v>889</v>
      </c>
      <c r="G5473" t="s">
        <v>442</v>
      </c>
      <c r="H5473" s="18" t="s">
        <v>442</v>
      </c>
      <c r="I5473" s="3" t="s">
        <v>442</v>
      </c>
      <c r="J5473"/>
      <c r="L5473"/>
      <c r="M5473"/>
      <c r="N5473" s="20"/>
      <c r="O5473"/>
      <c r="P5473" s="20"/>
      <c r="Q5473" s="20" t="s">
        <v>401</v>
      </c>
      <c r="R5473" s="20"/>
      <c r="S5473" s="20"/>
      <c r="T5473" s="20"/>
    </row>
    <row r="5474" spans="1:20" x14ac:dyDescent="0.25">
      <c r="A5474" s="3">
        <v>41943</v>
      </c>
      <c r="B5474" s="36">
        <v>626</v>
      </c>
      <c r="C5474" t="s">
        <v>1292</v>
      </c>
      <c r="E5474" s="18">
        <v>-96.32</v>
      </c>
      <c r="F5474" t="s">
        <v>889</v>
      </c>
      <c r="G5474" t="s">
        <v>442</v>
      </c>
      <c r="H5474" s="18" t="s">
        <v>442</v>
      </c>
      <c r="I5474" s="3" t="s">
        <v>442</v>
      </c>
      <c r="J5474"/>
      <c r="L5474"/>
      <c r="M5474"/>
      <c r="N5474" s="20"/>
      <c r="O5474"/>
      <c r="P5474" s="20"/>
      <c r="Q5474" s="20" t="s">
        <v>401</v>
      </c>
      <c r="R5474" s="20"/>
      <c r="S5474" s="20"/>
      <c r="T5474" s="20"/>
    </row>
    <row r="5475" spans="1:20" x14ac:dyDescent="0.25">
      <c r="A5475" s="3">
        <v>41943</v>
      </c>
      <c r="B5475" s="36">
        <v>626</v>
      </c>
      <c r="C5475" t="s">
        <v>1300</v>
      </c>
      <c r="E5475" s="18">
        <v>-115.59</v>
      </c>
      <c r="F5475" t="s">
        <v>891</v>
      </c>
      <c r="G5475" t="s">
        <v>442</v>
      </c>
      <c r="H5475" s="18" t="s">
        <v>442</v>
      </c>
      <c r="I5475" s="3" t="s">
        <v>442</v>
      </c>
      <c r="J5475"/>
      <c r="L5475"/>
      <c r="M5475"/>
      <c r="N5475" s="20"/>
      <c r="O5475"/>
      <c r="P5475" s="20"/>
      <c r="Q5475" s="20" t="s">
        <v>401</v>
      </c>
      <c r="R5475" s="20"/>
      <c r="S5475" s="20"/>
      <c r="T5475" s="20"/>
    </row>
    <row r="5476" spans="1:20" x14ac:dyDescent="0.25">
      <c r="A5476" s="3">
        <v>41943</v>
      </c>
      <c r="B5476" s="36">
        <v>626</v>
      </c>
      <c r="C5476" t="s">
        <v>4433</v>
      </c>
      <c r="E5476" s="18">
        <v>68.149641578571419</v>
      </c>
      <c r="F5476" t="s">
        <v>891</v>
      </c>
      <c r="G5476" t="s">
        <v>442</v>
      </c>
      <c r="H5476" s="18" t="s">
        <v>442</v>
      </c>
      <c r="I5476" s="3" t="s">
        <v>442</v>
      </c>
      <c r="J5476"/>
      <c r="L5476"/>
      <c r="M5476"/>
      <c r="N5476" s="20"/>
      <c r="O5476" t="s">
        <v>4575</v>
      </c>
      <c r="P5476" s="20"/>
      <c r="Q5476" s="20" t="s">
        <v>401</v>
      </c>
      <c r="R5476" s="20"/>
      <c r="S5476" s="20"/>
      <c r="T5476" s="20"/>
    </row>
    <row r="5477" spans="1:20" x14ac:dyDescent="0.25">
      <c r="A5477" s="3">
        <v>41943</v>
      </c>
      <c r="B5477" s="36">
        <v>626</v>
      </c>
      <c r="C5477" t="s">
        <v>4434</v>
      </c>
      <c r="E5477" s="18">
        <v>97.659722220000006</v>
      </c>
      <c r="F5477" t="s">
        <v>891</v>
      </c>
      <c r="G5477" t="s">
        <v>442</v>
      </c>
      <c r="H5477" s="18" t="s">
        <v>442</v>
      </c>
      <c r="I5477" s="3" t="s">
        <v>442</v>
      </c>
      <c r="J5477"/>
      <c r="L5477"/>
      <c r="M5477"/>
      <c r="N5477" s="20"/>
      <c r="O5477" t="s">
        <v>4575</v>
      </c>
      <c r="P5477" s="20"/>
      <c r="Q5477" s="20" t="s">
        <v>401</v>
      </c>
      <c r="R5477" s="20"/>
      <c r="S5477" s="20"/>
      <c r="T5477" s="20"/>
    </row>
    <row r="5478" spans="1:20" x14ac:dyDescent="0.25">
      <c r="A5478" s="3">
        <v>41957</v>
      </c>
      <c r="B5478" s="36">
        <v>626</v>
      </c>
      <c r="C5478" t="s">
        <v>5607</v>
      </c>
      <c r="D5478">
        <v>6.375</v>
      </c>
      <c r="E5478" s="18">
        <v>637.5</v>
      </c>
      <c r="F5478" t="s">
        <v>889</v>
      </c>
      <c r="G5478" t="s">
        <v>5608</v>
      </c>
      <c r="H5478" s="18">
        <v>637.5</v>
      </c>
      <c r="I5478" s="3">
        <v>41957</v>
      </c>
      <c r="J5478"/>
      <c r="L5478"/>
      <c r="M5478"/>
      <c r="N5478" s="20"/>
      <c r="O5478"/>
      <c r="P5478" s="20"/>
      <c r="Q5478" s="20"/>
      <c r="R5478" s="20"/>
      <c r="S5478" s="20"/>
      <c r="T5478" s="20"/>
    </row>
    <row r="5479" spans="1:20" x14ac:dyDescent="0.25">
      <c r="A5479" s="3">
        <v>41957</v>
      </c>
      <c r="B5479" s="36">
        <v>626</v>
      </c>
      <c r="C5479" t="s">
        <v>1299</v>
      </c>
      <c r="E5479" s="18">
        <v>-115.59</v>
      </c>
      <c r="F5479" t="s">
        <v>889</v>
      </c>
      <c r="G5479" t="s">
        <v>442</v>
      </c>
      <c r="H5479" s="18" t="s">
        <v>442</v>
      </c>
      <c r="I5479" s="3" t="s">
        <v>442</v>
      </c>
      <c r="J5479"/>
      <c r="L5479"/>
      <c r="M5479"/>
      <c r="N5479" s="20"/>
      <c r="O5479"/>
      <c r="P5479" s="20"/>
      <c r="Q5479" s="20" t="s">
        <v>401</v>
      </c>
      <c r="R5479" s="20"/>
      <c r="S5479" s="20"/>
      <c r="T5479" s="20"/>
    </row>
    <row r="5480" spans="1:20" x14ac:dyDescent="0.25">
      <c r="A5480" s="3">
        <v>41957</v>
      </c>
      <c r="B5480" s="36">
        <v>626</v>
      </c>
      <c r="C5480" t="s">
        <v>5609</v>
      </c>
      <c r="D5480">
        <v>3.57</v>
      </c>
      <c r="E5480" s="18">
        <v>357</v>
      </c>
      <c r="F5480" t="s">
        <v>889</v>
      </c>
      <c r="G5480" t="s">
        <v>5610</v>
      </c>
      <c r="H5480" s="18">
        <v>357</v>
      </c>
      <c r="I5480" s="3">
        <v>41957</v>
      </c>
      <c r="J5480"/>
      <c r="L5480"/>
      <c r="M5480"/>
      <c r="N5480" s="20"/>
      <c r="O5480"/>
      <c r="P5480" s="20"/>
      <c r="Q5480" s="20"/>
      <c r="R5480" s="20"/>
      <c r="S5480" s="20"/>
      <c r="T5480" s="20"/>
    </row>
    <row r="5481" spans="1:20" x14ac:dyDescent="0.25">
      <c r="A5481" s="3">
        <v>41964</v>
      </c>
      <c r="B5481" s="36">
        <v>626</v>
      </c>
      <c r="C5481" t="s">
        <v>5611</v>
      </c>
      <c r="D5481">
        <v>5.61</v>
      </c>
      <c r="E5481" s="18">
        <v>561</v>
      </c>
      <c r="F5481" t="s">
        <v>889</v>
      </c>
      <c r="G5481" t="s">
        <v>5612</v>
      </c>
      <c r="H5481" s="18">
        <v>561</v>
      </c>
      <c r="I5481" s="3">
        <v>41964</v>
      </c>
      <c r="J5481"/>
      <c r="L5481"/>
      <c r="M5481"/>
      <c r="N5481" s="20"/>
      <c r="O5481"/>
      <c r="P5481" s="20"/>
      <c r="Q5481" s="20"/>
      <c r="R5481" s="20"/>
      <c r="S5481" s="20"/>
      <c r="T5481" s="20"/>
    </row>
    <row r="5482" spans="1:20" x14ac:dyDescent="0.25">
      <c r="A5482" s="3">
        <v>41964</v>
      </c>
      <c r="B5482" s="36">
        <v>626</v>
      </c>
      <c r="C5482" s="20" t="s">
        <v>1484</v>
      </c>
      <c r="E5482" s="18">
        <v>-96.32</v>
      </c>
      <c r="F5482" t="s">
        <v>891</v>
      </c>
      <c r="H5482" s="18" t="s">
        <v>442</v>
      </c>
      <c r="I5482" s="3" t="s">
        <v>442</v>
      </c>
      <c r="J5482"/>
      <c r="L5482"/>
      <c r="M5482"/>
      <c r="N5482" s="20"/>
      <c r="O5482"/>
      <c r="P5482" s="20"/>
      <c r="Q5482" s="20" t="s">
        <v>401</v>
      </c>
      <c r="R5482" s="20"/>
      <c r="S5482" s="20"/>
      <c r="T5482" s="20"/>
    </row>
    <row r="5483" spans="1:20" x14ac:dyDescent="0.25">
      <c r="A5483" s="3">
        <v>41964</v>
      </c>
      <c r="B5483" s="36">
        <v>626</v>
      </c>
      <c r="C5483" t="s">
        <v>1304</v>
      </c>
      <c r="E5483" s="18">
        <v>-96.32</v>
      </c>
      <c r="F5483" t="s">
        <v>891</v>
      </c>
      <c r="G5483" t="s">
        <v>442</v>
      </c>
      <c r="H5483" s="18" t="s">
        <v>442</v>
      </c>
      <c r="I5483" s="3" t="s">
        <v>442</v>
      </c>
      <c r="J5483"/>
      <c r="L5483"/>
      <c r="M5483"/>
      <c r="N5483" s="20"/>
      <c r="O5483"/>
      <c r="P5483" s="20"/>
      <c r="Q5483" s="20" t="s">
        <v>401</v>
      </c>
      <c r="R5483" s="20"/>
      <c r="S5483" s="20"/>
      <c r="T5483" s="20"/>
    </row>
    <row r="5484" spans="1:20" x14ac:dyDescent="0.25">
      <c r="A5484" s="3">
        <v>41968</v>
      </c>
      <c r="B5484" s="36">
        <v>626</v>
      </c>
      <c r="C5484" t="s">
        <v>1312</v>
      </c>
      <c r="E5484" s="18">
        <v>-96.32</v>
      </c>
      <c r="F5484" t="s">
        <v>891</v>
      </c>
      <c r="G5484" t="s">
        <v>442</v>
      </c>
      <c r="H5484" s="18" t="s">
        <v>442</v>
      </c>
      <c r="I5484" s="3" t="s">
        <v>442</v>
      </c>
      <c r="J5484"/>
      <c r="L5484"/>
      <c r="M5484"/>
      <c r="N5484" s="20"/>
      <c r="O5484"/>
      <c r="P5484" s="20"/>
      <c r="Q5484" s="20" t="s">
        <v>401</v>
      </c>
      <c r="R5484" s="20"/>
      <c r="S5484" s="20"/>
      <c r="T5484" s="20"/>
    </row>
    <row r="5485" spans="1:20" x14ac:dyDescent="0.25">
      <c r="A5485" s="3">
        <v>41968</v>
      </c>
      <c r="B5485" s="36">
        <v>626</v>
      </c>
      <c r="C5485" t="s">
        <v>5613</v>
      </c>
      <c r="D5485">
        <v>8.4149999999999991</v>
      </c>
      <c r="E5485" s="18">
        <v>841.49999999999989</v>
      </c>
      <c r="F5485" t="s">
        <v>889</v>
      </c>
      <c r="G5485" t="s">
        <v>5614</v>
      </c>
      <c r="H5485" s="18">
        <v>841.49999999999989</v>
      </c>
      <c r="I5485" s="3">
        <v>41968</v>
      </c>
      <c r="J5485"/>
      <c r="L5485"/>
      <c r="M5485"/>
      <c r="N5485" s="20"/>
      <c r="O5485"/>
      <c r="P5485" s="20"/>
      <c r="Q5485" s="20"/>
      <c r="R5485" s="20"/>
      <c r="S5485" s="20"/>
      <c r="T5485" s="20"/>
    </row>
    <row r="5486" spans="1:20" x14ac:dyDescent="0.25">
      <c r="A5486" s="3">
        <v>41978</v>
      </c>
      <c r="B5486" s="36">
        <v>626</v>
      </c>
      <c r="C5486" t="s">
        <v>2573</v>
      </c>
      <c r="E5486" s="18">
        <v>-96.32</v>
      </c>
      <c r="F5486" t="s">
        <v>891</v>
      </c>
      <c r="G5486" t="s">
        <v>442</v>
      </c>
      <c r="H5486" s="18" t="s">
        <v>442</v>
      </c>
      <c r="I5486" s="3" t="s">
        <v>442</v>
      </c>
      <c r="J5486"/>
      <c r="L5486"/>
      <c r="M5486"/>
      <c r="N5486" s="20"/>
      <c r="O5486"/>
      <c r="P5486" s="20"/>
      <c r="Q5486" s="20" t="s">
        <v>401</v>
      </c>
      <c r="R5486" s="20"/>
      <c r="S5486" s="20"/>
      <c r="T5486" s="20"/>
    </row>
    <row r="5487" spans="1:20" x14ac:dyDescent="0.25">
      <c r="A5487" s="3">
        <v>41978</v>
      </c>
      <c r="B5487" s="36">
        <v>626</v>
      </c>
      <c r="C5487" t="s">
        <v>5615</v>
      </c>
      <c r="D5487">
        <v>9.4350000000000005</v>
      </c>
      <c r="E5487" s="18">
        <v>943.5</v>
      </c>
      <c r="F5487" t="s">
        <v>889</v>
      </c>
      <c r="G5487" t="s">
        <v>5616</v>
      </c>
      <c r="H5487" s="18">
        <v>943.5</v>
      </c>
      <c r="I5487" s="3">
        <v>41978</v>
      </c>
      <c r="J5487"/>
      <c r="L5487"/>
      <c r="M5487"/>
      <c r="N5487" s="20"/>
      <c r="O5487"/>
      <c r="P5487" s="20"/>
      <c r="Q5487" s="20"/>
      <c r="R5487" s="20"/>
      <c r="S5487" s="20"/>
      <c r="T5487" s="20"/>
    </row>
    <row r="5488" spans="1:20" x14ac:dyDescent="0.25">
      <c r="A5488" s="3">
        <v>41999</v>
      </c>
      <c r="B5488" s="36">
        <v>626</v>
      </c>
      <c r="C5488" t="s">
        <v>726</v>
      </c>
      <c r="D5488">
        <v>5.0999999999999996</v>
      </c>
      <c r="E5488" s="18">
        <v>255</v>
      </c>
      <c r="F5488" t="s">
        <v>889</v>
      </c>
      <c r="G5488" t="s">
        <v>727</v>
      </c>
      <c r="H5488" s="18">
        <v>255</v>
      </c>
      <c r="I5488" s="3">
        <v>41999</v>
      </c>
      <c r="J5488"/>
      <c r="L5488"/>
      <c r="M5488"/>
      <c r="N5488" s="20"/>
      <c r="O5488"/>
      <c r="P5488" s="20"/>
      <c r="Q5488" s="20"/>
      <c r="R5488" s="20"/>
      <c r="S5488" s="20"/>
      <c r="T5488" s="20"/>
    </row>
    <row r="5489" spans="1:21" x14ac:dyDescent="0.25">
      <c r="A5489" s="3">
        <v>42004</v>
      </c>
      <c r="B5489" s="36">
        <v>626</v>
      </c>
      <c r="C5489" t="s">
        <v>5607</v>
      </c>
      <c r="D5489">
        <v>6.375</v>
      </c>
      <c r="E5489" s="18">
        <v>212.5</v>
      </c>
      <c r="F5489" t="s">
        <v>889</v>
      </c>
      <c r="G5489" t="s">
        <v>5608</v>
      </c>
      <c r="H5489" s="18">
        <v>212.5</v>
      </c>
      <c r="I5489" s="3">
        <v>42004</v>
      </c>
      <c r="J5489"/>
      <c r="L5489"/>
      <c r="M5489"/>
      <c r="N5489" s="20"/>
      <c r="O5489"/>
      <c r="P5489" s="20"/>
      <c r="Q5489" s="20"/>
      <c r="R5489" s="20"/>
      <c r="S5489" s="20"/>
      <c r="T5489" s="20"/>
    </row>
    <row r="5490" spans="1:21" x14ac:dyDescent="0.25">
      <c r="A5490" s="3">
        <v>42004</v>
      </c>
      <c r="B5490" s="36">
        <v>626</v>
      </c>
      <c r="C5490" t="s">
        <v>5603</v>
      </c>
      <c r="D5490">
        <v>13.26</v>
      </c>
      <c r="E5490" s="18">
        <v>442</v>
      </c>
      <c r="F5490" t="s">
        <v>889</v>
      </c>
      <c r="G5490" t="s">
        <v>5604</v>
      </c>
      <c r="H5490" s="18">
        <v>442</v>
      </c>
      <c r="I5490" s="3">
        <v>42004</v>
      </c>
      <c r="J5490"/>
      <c r="L5490"/>
      <c r="M5490"/>
      <c r="N5490" s="20"/>
      <c r="O5490"/>
      <c r="P5490" s="20"/>
      <c r="Q5490" s="20"/>
      <c r="R5490" s="20"/>
      <c r="S5490" s="20"/>
      <c r="T5490" s="20"/>
    </row>
    <row r="5491" spans="1:21" x14ac:dyDescent="0.25">
      <c r="A5491" s="3">
        <v>42013</v>
      </c>
      <c r="B5491" s="36">
        <v>626</v>
      </c>
      <c r="C5491" t="s">
        <v>726</v>
      </c>
      <c r="D5491">
        <v>5.0999999999999996</v>
      </c>
      <c r="E5491" s="18">
        <v>250</v>
      </c>
      <c r="F5491" t="s">
        <v>889</v>
      </c>
      <c r="G5491" t="s">
        <v>727</v>
      </c>
      <c r="H5491" s="18">
        <v>250</v>
      </c>
      <c r="I5491" s="3">
        <v>42013</v>
      </c>
      <c r="J5491"/>
      <c r="L5491"/>
      <c r="M5491"/>
      <c r="N5491" s="20"/>
      <c r="O5491"/>
      <c r="P5491" s="20"/>
      <c r="Q5491" s="20"/>
      <c r="R5491" s="20"/>
      <c r="S5491" s="20"/>
      <c r="T5491" s="20"/>
    </row>
    <row r="5492" spans="1:21" x14ac:dyDescent="0.25">
      <c r="A5492" s="3">
        <v>42013</v>
      </c>
      <c r="B5492" s="36">
        <v>626</v>
      </c>
      <c r="C5492" t="s">
        <v>5613</v>
      </c>
      <c r="D5492">
        <v>8.4149999999999991</v>
      </c>
      <c r="E5492" s="18">
        <v>841.49999999999989</v>
      </c>
      <c r="F5492" t="s">
        <v>889</v>
      </c>
      <c r="G5492" t="s">
        <v>5614</v>
      </c>
      <c r="H5492" s="18">
        <v>841.49999999999989</v>
      </c>
      <c r="I5492" s="3">
        <v>42013</v>
      </c>
      <c r="J5492"/>
      <c r="L5492"/>
      <c r="M5492"/>
      <c r="N5492" s="20"/>
      <c r="O5492"/>
      <c r="P5492" s="20"/>
      <c r="Q5492" s="20"/>
      <c r="R5492" s="20"/>
      <c r="S5492" s="20"/>
      <c r="T5492" s="20"/>
    </row>
    <row r="5493" spans="1:21" x14ac:dyDescent="0.25">
      <c r="A5493" s="3">
        <v>42019</v>
      </c>
      <c r="B5493" s="36">
        <v>626</v>
      </c>
      <c r="C5493" t="s">
        <v>5617</v>
      </c>
      <c r="D5493" s="55">
        <v>3.57</v>
      </c>
      <c r="E5493" s="18">
        <v>357</v>
      </c>
      <c r="F5493" t="s">
        <v>889</v>
      </c>
      <c r="G5493" t="s">
        <v>5610</v>
      </c>
      <c r="H5493" s="18">
        <v>357</v>
      </c>
      <c r="I5493" s="3">
        <v>42019</v>
      </c>
      <c r="J5493"/>
      <c r="L5493"/>
      <c r="M5493"/>
      <c r="N5493" s="20"/>
      <c r="O5493"/>
      <c r="P5493" s="20"/>
      <c r="Q5493" s="20"/>
      <c r="R5493" s="20"/>
      <c r="S5493" s="20"/>
      <c r="T5493" s="20"/>
    </row>
    <row r="5494" spans="1:21" x14ac:dyDescent="0.25">
      <c r="B5494">
        <v>626</v>
      </c>
      <c r="C5494" t="s">
        <v>5618</v>
      </c>
      <c r="E5494" s="18">
        <v>-608.34</v>
      </c>
      <c r="I5494"/>
      <c r="J5494"/>
      <c r="L5494"/>
      <c r="M5494"/>
      <c r="O5494"/>
      <c r="P5494" s="20"/>
      <c r="Q5494" s="20"/>
      <c r="R5494" s="20"/>
      <c r="S5494" s="20"/>
      <c r="T5494" s="20"/>
      <c r="U5494" t="s">
        <v>401</v>
      </c>
    </row>
    <row r="5495" spans="1:21" x14ac:dyDescent="0.25">
      <c r="A5495" s="3">
        <v>41943</v>
      </c>
      <c r="B5495" s="36">
        <v>629</v>
      </c>
      <c r="C5495" t="s">
        <v>5619</v>
      </c>
      <c r="D5495">
        <v>10.25</v>
      </c>
      <c r="E5495" s="18">
        <v>1025</v>
      </c>
      <c r="F5495" t="s">
        <v>889</v>
      </c>
      <c r="G5495" t="s">
        <v>5620</v>
      </c>
      <c r="H5495" s="18">
        <v>1025</v>
      </c>
      <c r="I5495" s="3">
        <v>41943</v>
      </c>
      <c r="J5495"/>
      <c r="L5495"/>
      <c r="M5495"/>
      <c r="N5495" s="20"/>
      <c r="O5495"/>
      <c r="P5495" s="20"/>
      <c r="Q5495" s="20"/>
      <c r="R5495" s="20"/>
      <c r="S5495" s="20"/>
      <c r="T5495" s="20"/>
    </row>
    <row r="5496" spans="1:21" x14ac:dyDescent="0.25">
      <c r="A5496" s="3">
        <v>41943</v>
      </c>
      <c r="B5496" s="36">
        <v>629</v>
      </c>
      <c r="C5496" t="s">
        <v>5621</v>
      </c>
      <c r="D5496">
        <v>5.25</v>
      </c>
      <c r="E5496" s="18">
        <v>525</v>
      </c>
      <c r="F5496" t="s">
        <v>889</v>
      </c>
      <c r="G5496" t="s">
        <v>5622</v>
      </c>
      <c r="H5496" s="18">
        <v>525</v>
      </c>
      <c r="I5496" s="3">
        <v>41943</v>
      </c>
      <c r="J5496"/>
      <c r="L5496"/>
      <c r="M5496"/>
      <c r="N5496" s="20"/>
      <c r="O5496"/>
      <c r="P5496" s="20"/>
      <c r="Q5496" s="20"/>
      <c r="R5496" s="20"/>
      <c r="S5496" s="20"/>
      <c r="T5496" s="20"/>
    </row>
    <row r="5497" spans="1:21" x14ac:dyDescent="0.25">
      <c r="B5497">
        <v>629</v>
      </c>
      <c r="C5497" t="s">
        <v>5619</v>
      </c>
      <c r="D5497">
        <v>10.25</v>
      </c>
      <c r="E5497" s="18">
        <v>-1025</v>
      </c>
      <c r="F5497" t="s">
        <v>889</v>
      </c>
      <c r="G5497" t="s">
        <v>5620</v>
      </c>
      <c r="I5497"/>
      <c r="J5497"/>
      <c r="L5497"/>
      <c r="M5497"/>
      <c r="O5497"/>
      <c r="P5497" s="20"/>
      <c r="Q5497" s="20"/>
      <c r="R5497" s="20"/>
      <c r="S5497" s="20"/>
      <c r="T5497" s="20"/>
      <c r="U5497" t="s">
        <v>401</v>
      </c>
    </row>
    <row r="5498" spans="1:21" x14ac:dyDescent="0.25">
      <c r="B5498">
        <v>629</v>
      </c>
      <c r="C5498" t="s">
        <v>5621</v>
      </c>
      <c r="D5498">
        <v>5.25</v>
      </c>
      <c r="E5498" s="18">
        <v>175</v>
      </c>
      <c r="F5498" t="s">
        <v>889</v>
      </c>
      <c r="G5498" t="s">
        <v>5622</v>
      </c>
      <c r="I5498"/>
      <c r="J5498"/>
      <c r="L5498"/>
      <c r="M5498"/>
      <c r="O5498"/>
      <c r="P5498" s="20"/>
      <c r="Q5498" s="20"/>
      <c r="R5498" s="20"/>
      <c r="S5498" s="20"/>
      <c r="T5498" s="20"/>
      <c r="U5498" t="s">
        <v>401</v>
      </c>
    </row>
    <row r="5499" spans="1:21" x14ac:dyDescent="0.25">
      <c r="A5499" s="3">
        <v>41957</v>
      </c>
      <c r="B5499" s="36">
        <v>631</v>
      </c>
      <c r="C5499" t="s">
        <v>5623</v>
      </c>
      <c r="D5499">
        <v>9.18</v>
      </c>
      <c r="E5499" s="18">
        <v>918</v>
      </c>
      <c r="F5499" t="s">
        <v>889</v>
      </c>
      <c r="G5499" t="s">
        <v>5624</v>
      </c>
      <c r="H5499" s="18">
        <v>918</v>
      </c>
      <c r="I5499" s="3">
        <v>41957</v>
      </c>
      <c r="J5499"/>
      <c r="L5499"/>
      <c r="M5499"/>
      <c r="N5499" s="20"/>
      <c r="O5499"/>
      <c r="P5499" s="20"/>
      <c r="Q5499" s="20"/>
      <c r="R5499" s="20"/>
      <c r="S5499" s="20"/>
      <c r="T5499" s="20"/>
    </row>
    <row r="5500" spans="1:21" x14ac:dyDescent="0.25">
      <c r="A5500" s="3">
        <v>41957</v>
      </c>
      <c r="B5500" s="36">
        <v>631</v>
      </c>
      <c r="C5500" t="s">
        <v>1509</v>
      </c>
      <c r="E5500" s="18">
        <v>-95.409498209999995</v>
      </c>
      <c r="F5500" t="s">
        <v>891</v>
      </c>
      <c r="G5500" t="s">
        <v>442</v>
      </c>
      <c r="H5500" s="18" t="s">
        <v>442</v>
      </c>
      <c r="I5500" s="3" t="s">
        <v>442</v>
      </c>
      <c r="J5500"/>
      <c r="L5500"/>
      <c r="M5500"/>
      <c r="N5500" s="20"/>
      <c r="O5500"/>
      <c r="P5500" s="20"/>
      <c r="Q5500" s="20" t="s">
        <v>401</v>
      </c>
      <c r="R5500" s="20"/>
      <c r="S5500" s="20"/>
      <c r="T5500" s="20"/>
    </row>
    <row r="5501" spans="1:21" x14ac:dyDescent="0.25">
      <c r="A5501" s="3">
        <v>41957</v>
      </c>
      <c r="B5501" s="36">
        <v>631</v>
      </c>
      <c r="C5501" t="s">
        <v>1299</v>
      </c>
      <c r="E5501" s="18">
        <v>-115.59</v>
      </c>
      <c r="F5501" t="s">
        <v>891</v>
      </c>
      <c r="G5501" t="s">
        <v>442</v>
      </c>
      <c r="H5501" s="18" t="s">
        <v>442</v>
      </c>
      <c r="I5501" s="3" t="s">
        <v>442</v>
      </c>
      <c r="J5501"/>
      <c r="L5501"/>
      <c r="M5501"/>
      <c r="N5501" s="20"/>
      <c r="O5501"/>
      <c r="P5501" s="20"/>
      <c r="Q5501" s="20" t="s">
        <v>401</v>
      </c>
      <c r="R5501" s="20"/>
      <c r="S5501" s="20"/>
      <c r="T5501" s="20"/>
    </row>
    <row r="5502" spans="1:21" x14ac:dyDescent="0.25">
      <c r="A5502" s="3">
        <v>41957</v>
      </c>
      <c r="B5502" s="36">
        <v>631</v>
      </c>
      <c r="C5502" t="s">
        <v>1304</v>
      </c>
      <c r="E5502" s="18">
        <v>-96.32</v>
      </c>
      <c r="F5502" t="s">
        <v>891</v>
      </c>
      <c r="G5502" t="s">
        <v>442</v>
      </c>
      <c r="H5502" s="18" t="s">
        <v>442</v>
      </c>
      <c r="I5502" s="3" t="s">
        <v>442</v>
      </c>
      <c r="J5502"/>
      <c r="L5502"/>
      <c r="M5502"/>
      <c r="N5502" s="20"/>
      <c r="O5502"/>
      <c r="P5502" s="20"/>
      <c r="Q5502" s="20" t="s">
        <v>401</v>
      </c>
      <c r="R5502" s="20"/>
      <c r="S5502" s="20"/>
      <c r="T5502" s="20"/>
    </row>
    <row r="5503" spans="1:21" x14ac:dyDescent="0.25">
      <c r="A5503" s="3">
        <v>41957</v>
      </c>
      <c r="B5503" s="36">
        <v>631</v>
      </c>
      <c r="C5503" t="s">
        <v>1282</v>
      </c>
      <c r="E5503" s="18">
        <v>-96.32</v>
      </c>
      <c r="F5503" t="s">
        <v>891</v>
      </c>
      <c r="G5503" t="s">
        <v>442</v>
      </c>
      <c r="H5503" s="18" t="s">
        <v>442</v>
      </c>
      <c r="I5503" s="3" t="s">
        <v>442</v>
      </c>
      <c r="J5503"/>
      <c r="L5503"/>
      <c r="M5503"/>
      <c r="N5503" s="20"/>
      <c r="O5503"/>
      <c r="P5503" s="20"/>
      <c r="Q5503" s="20" t="s">
        <v>401</v>
      </c>
      <c r="R5503" s="20"/>
      <c r="S5503" s="20"/>
      <c r="T5503" s="20"/>
    </row>
    <row r="5504" spans="1:21" x14ac:dyDescent="0.25">
      <c r="A5504" s="3">
        <v>41957</v>
      </c>
      <c r="B5504" s="36">
        <v>631</v>
      </c>
      <c r="C5504" t="s">
        <v>1292</v>
      </c>
      <c r="E5504" s="18">
        <v>-96.32</v>
      </c>
      <c r="F5504" t="s">
        <v>891</v>
      </c>
      <c r="G5504" t="s">
        <v>442</v>
      </c>
      <c r="H5504" s="18" t="s">
        <v>442</v>
      </c>
      <c r="I5504" s="3" t="s">
        <v>442</v>
      </c>
      <c r="J5504"/>
      <c r="L5504"/>
      <c r="M5504"/>
      <c r="N5504" s="20"/>
      <c r="O5504"/>
      <c r="P5504" s="20"/>
      <c r="Q5504" s="20" t="s">
        <v>401</v>
      </c>
      <c r="R5504" s="20"/>
      <c r="S5504" s="20"/>
      <c r="T5504" s="20"/>
    </row>
    <row r="5505" spans="1:21" x14ac:dyDescent="0.25">
      <c r="A5505" s="3">
        <v>41957</v>
      </c>
      <c r="B5505" s="36">
        <v>631</v>
      </c>
      <c r="C5505" t="s">
        <v>1300</v>
      </c>
      <c r="E5505" s="18">
        <v>-115.59</v>
      </c>
      <c r="F5505" t="s">
        <v>891</v>
      </c>
      <c r="G5505" t="s">
        <v>442</v>
      </c>
      <c r="H5505" s="18" t="s">
        <v>442</v>
      </c>
      <c r="I5505" s="3" t="s">
        <v>442</v>
      </c>
      <c r="J5505"/>
      <c r="L5505"/>
      <c r="M5505"/>
      <c r="N5505" s="20"/>
      <c r="O5505"/>
      <c r="P5505" s="20"/>
      <c r="Q5505" s="20" t="s">
        <v>401</v>
      </c>
      <c r="R5505" s="20"/>
      <c r="S5505" s="20"/>
      <c r="T5505" s="20"/>
    </row>
    <row r="5506" spans="1:21" x14ac:dyDescent="0.25">
      <c r="A5506" s="3">
        <v>41957</v>
      </c>
      <c r="B5506" s="36">
        <v>631</v>
      </c>
      <c r="C5506" t="s">
        <v>4433</v>
      </c>
      <c r="E5506" s="18">
        <v>68.149641578571419</v>
      </c>
      <c r="F5506" t="s">
        <v>891</v>
      </c>
      <c r="G5506" t="s">
        <v>442</v>
      </c>
      <c r="H5506" s="18" t="s">
        <v>442</v>
      </c>
      <c r="I5506" s="3" t="s">
        <v>442</v>
      </c>
      <c r="J5506"/>
      <c r="L5506"/>
      <c r="M5506"/>
      <c r="N5506" s="20"/>
      <c r="O5506" t="s">
        <v>4575</v>
      </c>
      <c r="P5506" s="20"/>
      <c r="Q5506" s="20" t="s">
        <v>401</v>
      </c>
      <c r="R5506" s="20"/>
      <c r="S5506" s="20"/>
      <c r="T5506" s="20"/>
    </row>
    <row r="5507" spans="1:21" x14ac:dyDescent="0.25">
      <c r="A5507" s="3">
        <v>41957</v>
      </c>
      <c r="B5507" s="36">
        <v>631</v>
      </c>
      <c r="C5507" t="s">
        <v>1283</v>
      </c>
      <c r="E5507" s="18">
        <v>-82.56</v>
      </c>
      <c r="F5507" t="s">
        <v>891</v>
      </c>
      <c r="G5507" t="s">
        <v>442</v>
      </c>
      <c r="H5507" s="18" t="s">
        <v>442</v>
      </c>
      <c r="I5507" s="3" t="s">
        <v>442</v>
      </c>
      <c r="J5507"/>
      <c r="L5507"/>
      <c r="M5507"/>
      <c r="N5507" s="20"/>
      <c r="O5507"/>
      <c r="P5507" s="20"/>
      <c r="Q5507" s="20" t="s">
        <v>401</v>
      </c>
      <c r="R5507" s="20"/>
      <c r="S5507" s="20"/>
      <c r="T5507" s="20"/>
    </row>
    <row r="5508" spans="1:21" x14ac:dyDescent="0.25">
      <c r="A5508" s="46">
        <v>41988</v>
      </c>
      <c r="B5508" s="77">
        <v>631</v>
      </c>
      <c r="C5508" s="47" t="s">
        <v>1313</v>
      </c>
      <c r="D5508" s="47"/>
      <c r="E5508" s="48">
        <v>288.04000000000002</v>
      </c>
      <c r="F5508" s="47"/>
      <c r="G5508" s="20"/>
      <c r="H5508" s="18" t="s">
        <v>442</v>
      </c>
      <c r="I5508" s="3" t="s">
        <v>442</v>
      </c>
      <c r="J5508" s="20"/>
      <c r="K5508" s="20"/>
      <c r="L5508" s="20"/>
      <c r="M5508" s="20"/>
      <c r="N5508" s="20"/>
      <c r="O5508" s="47"/>
      <c r="P5508" s="20"/>
      <c r="Q5508" s="20"/>
      <c r="R5508" s="20"/>
      <c r="S5508" s="20" t="s">
        <v>401</v>
      </c>
      <c r="T5508" s="20"/>
    </row>
    <row r="5509" spans="1:21" x14ac:dyDescent="0.25">
      <c r="A5509" s="3">
        <v>42013</v>
      </c>
      <c r="B5509" s="36">
        <v>631</v>
      </c>
      <c r="C5509" t="s">
        <v>5623</v>
      </c>
      <c r="D5509">
        <v>9.18</v>
      </c>
      <c r="E5509" s="18">
        <v>918</v>
      </c>
      <c r="F5509" t="s">
        <v>889</v>
      </c>
      <c r="G5509" t="s">
        <v>5624</v>
      </c>
      <c r="H5509" s="18">
        <v>918</v>
      </c>
      <c r="I5509" s="3">
        <v>42013</v>
      </c>
      <c r="J5509"/>
      <c r="L5509"/>
      <c r="M5509"/>
      <c r="N5509" s="20"/>
      <c r="O5509"/>
      <c r="P5509" s="20"/>
      <c r="Q5509" s="20"/>
      <c r="R5509" s="20"/>
      <c r="S5509" s="20"/>
      <c r="T5509" s="20"/>
    </row>
    <row r="5510" spans="1:21" x14ac:dyDescent="0.25">
      <c r="B5510">
        <v>631</v>
      </c>
      <c r="C5510" t="s">
        <v>4574</v>
      </c>
      <c r="E5510" s="18">
        <v>-348.78472219999998</v>
      </c>
      <c r="F5510" t="s">
        <v>891</v>
      </c>
      <c r="G5510" t="s">
        <v>442</v>
      </c>
      <c r="I5510"/>
      <c r="J5510"/>
      <c r="L5510"/>
      <c r="M5510"/>
      <c r="O5510"/>
      <c r="P5510" s="20"/>
      <c r="Q5510" s="20"/>
      <c r="R5510" s="20"/>
      <c r="S5510" s="20"/>
      <c r="T5510" s="20"/>
      <c r="U5510" t="s">
        <v>401</v>
      </c>
    </row>
    <row r="5511" spans="1:21" x14ac:dyDescent="0.25">
      <c r="B5511">
        <v>631</v>
      </c>
      <c r="C5511" t="s">
        <v>1312</v>
      </c>
      <c r="E5511" s="18">
        <v>-96.32</v>
      </c>
      <c r="F5511" t="s">
        <v>891</v>
      </c>
      <c r="G5511" t="s">
        <v>442</v>
      </c>
      <c r="I5511"/>
      <c r="J5511"/>
      <c r="L5511"/>
      <c r="M5511"/>
      <c r="O5511"/>
      <c r="P5511" s="20"/>
      <c r="Q5511" s="20"/>
      <c r="R5511" s="20"/>
      <c r="S5511" s="20"/>
      <c r="T5511" s="20"/>
      <c r="U5511" t="s">
        <v>401</v>
      </c>
    </row>
    <row r="5512" spans="1:21" x14ac:dyDescent="0.25">
      <c r="B5512">
        <v>631</v>
      </c>
      <c r="C5512" t="s">
        <v>1117</v>
      </c>
      <c r="E5512" s="18">
        <v>-97.659722220000006</v>
      </c>
      <c r="F5512" t="s">
        <v>891</v>
      </c>
      <c r="G5512" t="s">
        <v>442</v>
      </c>
      <c r="I5512"/>
      <c r="J5512"/>
      <c r="L5512"/>
      <c r="M5512"/>
      <c r="O5512"/>
      <c r="P5512" s="20"/>
      <c r="Q5512" s="20"/>
      <c r="R5512" s="20"/>
      <c r="S5512" s="20"/>
      <c r="T5512" s="20"/>
      <c r="U5512" t="s">
        <v>401</v>
      </c>
    </row>
    <row r="5513" spans="1:21" x14ac:dyDescent="0.25">
      <c r="A5513" s="3">
        <v>41936</v>
      </c>
      <c r="B5513" s="36">
        <v>632</v>
      </c>
      <c r="C5513" t="s">
        <v>5625</v>
      </c>
      <c r="D5513">
        <v>7.75</v>
      </c>
      <c r="E5513" s="18">
        <v>714</v>
      </c>
      <c r="F5513" t="s">
        <v>889</v>
      </c>
      <c r="G5513" t="s">
        <v>5626</v>
      </c>
      <c r="H5513" s="18">
        <v>714</v>
      </c>
      <c r="I5513" s="3">
        <v>41936</v>
      </c>
      <c r="J5513"/>
      <c r="L5513"/>
      <c r="M5513"/>
      <c r="N5513" s="20"/>
      <c r="O5513"/>
      <c r="P5513" s="20"/>
      <c r="Q5513" s="20"/>
      <c r="R5513" s="20"/>
      <c r="S5513" s="20"/>
      <c r="T5513" s="20"/>
    </row>
    <row r="5514" spans="1:21" x14ac:dyDescent="0.25">
      <c r="A5514" s="3">
        <v>41978</v>
      </c>
      <c r="B5514" s="36">
        <v>632</v>
      </c>
      <c r="C5514" t="s">
        <v>5627</v>
      </c>
      <c r="D5514">
        <v>9.25</v>
      </c>
      <c r="E5514" s="18">
        <v>925</v>
      </c>
      <c r="F5514" t="s">
        <v>889</v>
      </c>
      <c r="G5514" t="s">
        <v>5628</v>
      </c>
      <c r="H5514" s="18">
        <v>925</v>
      </c>
      <c r="I5514" s="3">
        <v>41978</v>
      </c>
      <c r="J5514"/>
      <c r="L5514"/>
      <c r="M5514"/>
      <c r="N5514" s="20"/>
      <c r="O5514"/>
      <c r="P5514" s="20"/>
      <c r="Q5514" s="20"/>
      <c r="R5514" s="20"/>
      <c r="S5514" s="20"/>
      <c r="T5514" s="20"/>
    </row>
    <row r="5515" spans="1:21" x14ac:dyDescent="0.25">
      <c r="A5515" s="3">
        <v>41985</v>
      </c>
      <c r="B5515" s="36">
        <v>632</v>
      </c>
      <c r="C5515" t="s">
        <v>5625</v>
      </c>
      <c r="D5515">
        <v>8.16</v>
      </c>
      <c r="E5515" s="18">
        <v>816</v>
      </c>
      <c r="F5515" t="s">
        <v>889</v>
      </c>
      <c r="G5515" t="s">
        <v>5626</v>
      </c>
      <c r="H5515" s="18">
        <v>816</v>
      </c>
      <c r="I5515" s="3">
        <v>41985</v>
      </c>
      <c r="J5515"/>
      <c r="L5515"/>
      <c r="M5515"/>
      <c r="N5515" s="20"/>
      <c r="O5515"/>
      <c r="P5515" s="20"/>
      <c r="Q5515" s="20"/>
      <c r="R5515" s="20"/>
      <c r="S5515" s="20"/>
      <c r="T5515" s="20"/>
    </row>
    <row r="5516" spans="1:21" x14ac:dyDescent="0.25">
      <c r="A5516" s="37">
        <v>42004</v>
      </c>
      <c r="B5516" s="36">
        <v>632</v>
      </c>
      <c r="C5516" s="38" t="s">
        <v>5629</v>
      </c>
      <c r="D5516" s="38"/>
      <c r="E5516" s="39">
        <v>750</v>
      </c>
      <c r="F5516" s="38" t="s">
        <v>5630</v>
      </c>
      <c r="G5516" t="s">
        <v>442</v>
      </c>
      <c r="H5516" s="18" t="s">
        <v>442</v>
      </c>
      <c r="I5516" s="3" t="s">
        <v>442</v>
      </c>
      <c r="J5516"/>
      <c r="L5516"/>
      <c r="M5516"/>
      <c r="N5516" s="40"/>
      <c r="O5516" s="38"/>
      <c r="P5516" s="20"/>
      <c r="Q5516" s="20"/>
      <c r="R5516" s="20"/>
      <c r="S5516" s="20"/>
      <c r="T5516" s="20" t="s">
        <v>401</v>
      </c>
    </row>
    <row r="5517" spans="1:21" x14ac:dyDescent="0.25">
      <c r="A5517" s="3">
        <v>42013</v>
      </c>
      <c r="B5517" s="36">
        <v>632</v>
      </c>
      <c r="C5517" t="s">
        <v>674</v>
      </c>
      <c r="D5517">
        <v>8.5</v>
      </c>
      <c r="E5517" s="18">
        <v>350</v>
      </c>
      <c r="F5517" t="s">
        <v>889</v>
      </c>
      <c r="G5517" t="s">
        <v>675</v>
      </c>
      <c r="H5517" s="18">
        <v>350</v>
      </c>
      <c r="I5517" s="3">
        <v>42013</v>
      </c>
      <c r="J5517"/>
      <c r="L5517"/>
      <c r="M5517"/>
      <c r="N5517" s="20"/>
      <c r="O5517"/>
      <c r="P5517" s="20"/>
      <c r="Q5517" s="20"/>
      <c r="R5517" s="20"/>
      <c r="S5517" s="20"/>
      <c r="T5517" s="20"/>
    </row>
    <row r="5518" spans="1:21" x14ac:dyDescent="0.25">
      <c r="A5518" s="3">
        <v>42013</v>
      </c>
      <c r="B5518" s="36">
        <v>632</v>
      </c>
      <c r="C5518" t="s">
        <v>508</v>
      </c>
      <c r="D5518">
        <v>7.25</v>
      </c>
      <c r="E5518" s="18">
        <v>712.5</v>
      </c>
      <c r="F5518" t="s">
        <v>889</v>
      </c>
      <c r="G5518" t="s">
        <v>509</v>
      </c>
      <c r="H5518" s="18">
        <v>712.5</v>
      </c>
      <c r="I5518" s="3">
        <v>42013</v>
      </c>
      <c r="J5518"/>
      <c r="L5518"/>
      <c r="M5518"/>
      <c r="N5518" s="20"/>
      <c r="O5518"/>
      <c r="P5518" s="20"/>
      <c r="Q5518" s="20"/>
      <c r="R5518" s="20"/>
      <c r="S5518" s="20"/>
      <c r="T5518" s="20"/>
    </row>
    <row r="5519" spans="1:21" x14ac:dyDescent="0.25">
      <c r="A5519" s="3">
        <v>42013</v>
      </c>
      <c r="B5519" s="36">
        <v>632</v>
      </c>
      <c r="C5519" t="s">
        <v>680</v>
      </c>
      <c r="D5519">
        <v>7</v>
      </c>
      <c r="E5519" s="18">
        <v>700</v>
      </c>
      <c r="F5519" t="s">
        <v>889</v>
      </c>
      <c r="G5519" t="s">
        <v>681</v>
      </c>
      <c r="H5519" s="18">
        <v>700</v>
      </c>
      <c r="I5519" s="3">
        <v>42013</v>
      </c>
      <c r="J5519"/>
      <c r="L5519"/>
      <c r="M5519"/>
      <c r="N5519" s="20"/>
      <c r="O5519"/>
      <c r="P5519" s="20"/>
      <c r="Q5519" s="20"/>
      <c r="R5519" s="20"/>
      <c r="S5519" s="20"/>
      <c r="T5519" s="20"/>
    </row>
    <row r="5520" spans="1:21" x14ac:dyDescent="0.25">
      <c r="A5520" s="3">
        <v>42013</v>
      </c>
      <c r="B5520" s="36">
        <v>632</v>
      </c>
      <c r="C5520" t="s">
        <v>736</v>
      </c>
      <c r="D5520">
        <v>4</v>
      </c>
      <c r="E5520" s="18">
        <v>550</v>
      </c>
      <c r="F5520" t="s">
        <v>889</v>
      </c>
      <c r="G5520" t="s">
        <v>737</v>
      </c>
      <c r="H5520" s="18">
        <v>550</v>
      </c>
      <c r="I5520" s="3">
        <v>42013</v>
      </c>
      <c r="J5520"/>
      <c r="L5520"/>
      <c r="M5520"/>
      <c r="N5520" s="20"/>
      <c r="O5520"/>
      <c r="P5520" s="20"/>
      <c r="Q5520" s="20"/>
      <c r="R5520" s="20"/>
      <c r="S5520" s="20"/>
      <c r="T5520" s="20"/>
    </row>
    <row r="5521" spans="1:21" x14ac:dyDescent="0.25">
      <c r="A5521" s="3">
        <v>42019</v>
      </c>
      <c r="B5521" s="36">
        <v>632</v>
      </c>
      <c r="C5521" t="s">
        <v>674</v>
      </c>
      <c r="D5521" s="55">
        <v>9</v>
      </c>
      <c r="E5521" s="18">
        <v>450</v>
      </c>
      <c r="F5521" t="s">
        <v>889</v>
      </c>
      <c r="G5521" t="s">
        <v>675</v>
      </c>
      <c r="H5521" s="18">
        <v>450</v>
      </c>
      <c r="I5521" s="3">
        <v>42019</v>
      </c>
      <c r="J5521"/>
      <c r="L5521"/>
      <c r="M5521"/>
      <c r="N5521" s="20"/>
      <c r="O5521"/>
      <c r="P5521" s="20"/>
      <c r="Q5521" s="20"/>
      <c r="R5521" s="20"/>
      <c r="S5521" s="20"/>
      <c r="T5521" s="20"/>
    </row>
    <row r="5522" spans="1:21" x14ac:dyDescent="0.25">
      <c r="A5522" s="3">
        <v>42019</v>
      </c>
      <c r="B5522" s="36">
        <v>632</v>
      </c>
      <c r="C5522" t="s">
        <v>5631</v>
      </c>
      <c r="D5522" s="55">
        <v>4.8449999999999998</v>
      </c>
      <c r="E5522" s="18">
        <v>484.5</v>
      </c>
      <c r="F5522" t="s">
        <v>889</v>
      </c>
      <c r="G5522" t="s">
        <v>5632</v>
      </c>
      <c r="H5522" s="18">
        <v>484.5</v>
      </c>
      <c r="I5522" s="3">
        <v>42019</v>
      </c>
      <c r="J5522"/>
      <c r="L5522"/>
      <c r="M5522"/>
      <c r="N5522" s="20"/>
      <c r="O5522"/>
      <c r="P5522" s="20"/>
      <c r="Q5522" s="20"/>
      <c r="R5522" s="20"/>
      <c r="S5522" s="20"/>
      <c r="T5522" s="20"/>
    </row>
    <row r="5523" spans="1:21" x14ac:dyDescent="0.25">
      <c r="A5523" s="3">
        <v>42034</v>
      </c>
      <c r="B5523">
        <v>632</v>
      </c>
      <c r="C5523" s="20" t="s">
        <v>5629</v>
      </c>
      <c r="D5523" s="20"/>
      <c r="E5523" s="70">
        <v>-750</v>
      </c>
      <c r="F5523" s="20" t="s">
        <v>889</v>
      </c>
      <c r="G5523" s="20"/>
      <c r="H5523" s="18"/>
      <c r="J5523"/>
      <c r="L5523"/>
      <c r="M5523"/>
      <c r="N5523" s="20"/>
      <c r="O5523"/>
      <c r="P5523" s="20"/>
      <c r="Q5523" s="20"/>
      <c r="R5523" s="20"/>
      <c r="S5523" s="20"/>
      <c r="T5523" s="20" t="s">
        <v>401</v>
      </c>
    </row>
    <row r="5524" spans="1:21" x14ac:dyDescent="0.25">
      <c r="A5524" s="3">
        <v>42034</v>
      </c>
      <c r="B5524">
        <v>632</v>
      </c>
      <c r="C5524" s="20" t="s">
        <v>5633</v>
      </c>
      <c r="D5524" s="20">
        <v>8.16</v>
      </c>
      <c r="E5524" s="59">
        <v>816</v>
      </c>
      <c r="F5524" s="20" t="s">
        <v>889</v>
      </c>
      <c r="G5524" t="s">
        <v>5626</v>
      </c>
      <c r="H5524" s="18"/>
      <c r="J5524"/>
      <c r="L5524"/>
      <c r="M5524"/>
      <c r="N5524" s="20"/>
      <c r="O5524"/>
      <c r="P5524" s="20"/>
      <c r="Q5524" s="20"/>
      <c r="R5524" s="20"/>
      <c r="S5524" s="20"/>
      <c r="T5524" s="20"/>
    </row>
    <row r="5525" spans="1:21" x14ac:dyDescent="0.25">
      <c r="A5525" s="3">
        <v>42034</v>
      </c>
      <c r="B5525">
        <v>632</v>
      </c>
      <c r="C5525" s="20" t="s">
        <v>680</v>
      </c>
      <c r="D5525" s="20">
        <v>7</v>
      </c>
      <c r="E5525" s="59">
        <v>700</v>
      </c>
      <c r="F5525" s="20" t="s">
        <v>889</v>
      </c>
      <c r="G5525" s="20" t="s">
        <v>681</v>
      </c>
      <c r="H5525" s="18"/>
      <c r="J5525"/>
      <c r="L5525"/>
      <c r="M5525"/>
      <c r="N5525" s="20"/>
      <c r="O5525"/>
      <c r="P5525" s="20"/>
      <c r="Q5525" s="20"/>
      <c r="R5525" s="20"/>
      <c r="S5525" s="20"/>
      <c r="T5525" s="20"/>
    </row>
    <row r="5526" spans="1:21" x14ac:dyDescent="0.25">
      <c r="A5526" s="3">
        <v>41918</v>
      </c>
      <c r="B5526" s="36">
        <v>634</v>
      </c>
      <c r="C5526" t="s">
        <v>5634</v>
      </c>
      <c r="D5526">
        <v>4.25</v>
      </c>
      <c r="E5526" s="18">
        <v>425</v>
      </c>
      <c r="F5526" t="s">
        <v>889</v>
      </c>
      <c r="G5526" t="s">
        <v>5635</v>
      </c>
      <c r="H5526" s="18">
        <v>425</v>
      </c>
      <c r="I5526" s="3">
        <v>41918</v>
      </c>
      <c r="J5526"/>
      <c r="L5526"/>
      <c r="M5526"/>
      <c r="N5526" s="20"/>
      <c r="O5526"/>
      <c r="P5526" s="20"/>
      <c r="Q5526" s="20"/>
      <c r="R5526" s="20"/>
      <c r="S5526" s="20"/>
      <c r="T5526" s="20"/>
    </row>
    <row r="5527" spans="1:21" x14ac:dyDescent="0.25">
      <c r="A5527" s="3">
        <v>41999</v>
      </c>
      <c r="B5527" s="36">
        <v>634</v>
      </c>
      <c r="C5527" t="s">
        <v>5634</v>
      </c>
      <c r="D5527">
        <v>7.75</v>
      </c>
      <c r="E5527" s="18">
        <v>1125</v>
      </c>
      <c r="F5527" t="s">
        <v>889</v>
      </c>
      <c r="G5527" t="s">
        <v>5635</v>
      </c>
      <c r="H5527" s="18">
        <v>1125</v>
      </c>
      <c r="I5527" s="3">
        <v>41999</v>
      </c>
      <c r="J5527"/>
      <c r="L5527"/>
      <c r="M5527"/>
      <c r="N5527" s="20"/>
      <c r="O5527" t="s">
        <v>959</v>
      </c>
      <c r="P5527" s="20"/>
      <c r="Q5527" s="20"/>
      <c r="R5527" s="20"/>
      <c r="S5527" s="20"/>
      <c r="T5527" s="20"/>
    </row>
    <row r="5528" spans="1:21" x14ac:dyDescent="0.25">
      <c r="B5528">
        <v>634</v>
      </c>
      <c r="C5528" t="s">
        <v>5634</v>
      </c>
      <c r="D5528">
        <v>4.25</v>
      </c>
      <c r="E5528" s="18">
        <v>-700</v>
      </c>
      <c r="F5528" t="s">
        <v>889</v>
      </c>
      <c r="G5528" t="s">
        <v>5635</v>
      </c>
      <c r="I5528"/>
      <c r="J5528"/>
      <c r="L5528"/>
      <c r="M5528"/>
      <c r="O5528"/>
      <c r="P5528" s="20"/>
      <c r="Q5528" s="20"/>
      <c r="R5528" s="20"/>
      <c r="S5528" s="20"/>
      <c r="T5528" s="20"/>
      <c r="U5528" t="s">
        <v>401</v>
      </c>
    </row>
    <row r="5529" spans="1:21" x14ac:dyDescent="0.25">
      <c r="A5529" s="3">
        <v>41936</v>
      </c>
      <c r="B5529" s="36">
        <v>635</v>
      </c>
      <c r="C5529" t="s">
        <v>5636</v>
      </c>
      <c r="E5529" s="18">
        <v>500</v>
      </c>
      <c r="F5529" t="s">
        <v>889</v>
      </c>
      <c r="G5529" t="s">
        <v>442</v>
      </c>
      <c r="H5529" s="18" t="s">
        <v>442</v>
      </c>
      <c r="I5529" s="3" t="s">
        <v>442</v>
      </c>
      <c r="J5529"/>
      <c r="L5529"/>
      <c r="M5529"/>
      <c r="N5529" s="20"/>
      <c r="O5529"/>
      <c r="P5529" s="20"/>
      <c r="Q5529" s="20"/>
      <c r="R5529" s="20"/>
      <c r="S5529" s="20"/>
      <c r="T5529" s="20" t="s">
        <v>401</v>
      </c>
    </row>
    <row r="5530" spans="1:21" x14ac:dyDescent="0.25">
      <c r="A5530" s="3">
        <v>41943</v>
      </c>
      <c r="B5530" s="36">
        <v>635</v>
      </c>
      <c r="C5530" t="s">
        <v>5449</v>
      </c>
      <c r="E5530" s="18">
        <v>500</v>
      </c>
      <c r="F5530" t="s">
        <v>889</v>
      </c>
      <c r="G5530" t="s">
        <v>442</v>
      </c>
      <c r="H5530" s="18" t="s">
        <v>442</v>
      </c>
      <c r="I5530" s="3" t="s">
        <v>442</v>
      </c>
      <c r="J5530"/>
      <c r="L5530"/>
      <c r="M5530"/>
      <c r="N5530" s="20"/>
      <c r="O5530"/>
      <c r="P5530" s="20"/>
      <c r="Q5530" s="20"/>
      <c r="R5530" s="20"/>
      <c r="S5530" s="20"/>
      <c r="T5530" s="20" t="s">
        <v>401</v>
      </c>
    </row>
    <row r="5531" spans="1:21" x14ac:dyDescent="0.25">
      <c r="A5531" s="3">
        <v>41950</v>
      </c>
      <c r="B5531" s="36">
        <v>635</v>
      </c>
      <c r="C5531" t="s">
        <v>5450</v>
      </c>
      <c r="E5531" s="18">
        <v>500</v>
      </c>
      <c r="F5531" t="s">
        <v>889</v>
      </c>
      <c r="G5531" t="s">
        <v>442</v>
      </c>
      <c r="H5531" s="18" t="s">
        <v>442</v>
      </c>
      <c r="I5531" s="3" t="s">
        <v>442</v>
      </c>
      <c r="J5531"/>
      <c r="L5531"/>
      <c r="M5531"/>
      <c r="N5531" s="20"/>
      <c r="O5531"/>
      <c r="P5531" s="20"/>
      <c r="Q5531" s="20"/>
      <c r="R5531" s="20"/>
      <c r="S5531" s="20"/>
      <c r="T5531" s="20" t="s">
        <v>401</v>
      </c>
    </row>
    <row r="5532" spans="1:21" x14ac:dyDescent="0.25">
      <c r="A5532" s="3">
        <v>41999</v>
      </c>
      <c r="B5532" s="36">
        <v>635</v>
      </c>
      <c r="C5532" t="s">
        <v>5637</v>
      </c>
      <c r="D5532">
        <v>6.375</v>
      </c>
      <c r="E5532" s="18">
        <v>1050</v>
      </c>
      <c r="F5532" t="s">
        <v>889</v>
      </c>
      <c r="G5532" t="s">
        <v>5638</v>
      </c>
      <c r="H5532" s="18">
        <v>1050</v>
      </c>
      <c r="I5532" s="3">
        <v>41999</v>
      </c>
      <c r="J5532"/>
      <c r="L5532"/>
      <c r="M5532"/>
      <c r="N5532" s="20"/>
      <c r="O5532" t="s">
        <v>959</v>
      </c>
      <c r="P5532" s="20"/>
      <c r="Q5532" s="20"/>
      <c r="R5532" s="20"/>
      <c r="S5532" s="20"/>
      <c r="T5532" s="20"/>
    </row>
    <row r="5533" spans="1:21" x14ac:dyDescent="0.25">
      <c r="A5533" s="3">
        <v>42019</v>
      </c>
      <c r="B5533" s="36">
        <v>635</v>
      </c>
      <c r="C5533" t="s">
        <v>4547</v>
      </c>
      <c r="D5533" s="55"/>
      <c r="E5533" s="18">
        <v>200</v>
      </c>
      <c r="F5533" t="s">
        <v>889</v>
      </c>
      <c r="H5533" s="18" t="s">
        <v>442</v>
      </c>
      <c r="I5533" s="3" t="s">
        <v>442</v>
      </c>
      <c r="J5533"/>
      <c r="L5533"/>
      <c r="M5533"/>
      <c r="N5533" s="20"/>
      <c r="O5533"/>
      <c r="P5533" s="20"/>
      <c r="Q5533" s="20"/>
      <c r="R5533" s="20"/>
      <c r="S5533" s="20"/>
      <c r="T5533" s="20" t="s">
        <v>401</v>
      </c>
    </row>
    <row r="5534" spans="1:21" x14ac:dyDescent="0.25">
      <c r="A5534" s="3">
        <v>42034</v>
      </c>
      <c r="B5534">
        <v>635</v>
      </c>
      <c r="C5534" t="s">
        <v>585</v>
      </c>
      <c r="D5534" s="19">
        <v>5.46</v>
      </c>
      <c r="E5534" s="18">
        <v>250</v>
      </c>
      <c r="F5534" s="23" t="s">
        <v>889</v>
      </c>
      <c r="G5534" t="s">
        <v>586</v>
      </c>
      <c r="H5534" s="18"/>
      <c r="J5534"/>
      <c r="L5534"/>
      <c r="M5534"/>
      <c r="N5534" s="20"/>
      <c r="O5534"/>
      <c r="P5534" s="20"/>
      <c r="Q5534" s="20"/>
      <c r="R5534" s="20"/>
      <c r="S5534" s="20"/>
      <c r="T5534" s="20"/>
    </row>
    <row r="5535" spans="1:21" x14ac:dyDescent="0.25">
      <c r="B5535">
        <v>635</v>
      </c>
      <c r="C5535" t="s">
        <v>4547</v>
      </c>
      <c r="E5535" s="18">
        <v>-200</v>
      </c>
      <c r="F5535" t="s">
        <v>889</v>
      </c>
      <c r="I5535"/>
      <c r="J5535"/>
      <c r="L5535"/>
      <c r="M5535"/>
      <c r="O5535"/>
      <c r="P5535" s="20"/>
      <c r="Q5535" s="20"/>
      <c r="R5535" s="20"/>
      <c r="S5535" s="20"/>
      <c r="T5535" s="20"/>
      <c r="U5535" t="s">
        <v>401</v>
      </c>
    </row>
    <row r="5536" spans="1:21" x14ac:dyDescent="0.25">
      <c r="B5536">
        <v>635</v>
      </c>
      <c r="C5536" t="s">
        <v>5636</v>
      </c>
      <c r="E5536" s="18">
        <v>-500</v>
      </c>
      <c r="F5536" t="s">
        <v>889</v>
      </c>
      <c r="G5536" t="s">
        <v>442</v>
      </c>
      <c r="I5536"/>
      <c r="J5536"/>
      <c r="L5536"/>
      <c r="M5536"/>
      <c r="O5536"/>
      <c r="P5536" s="20"/>
      <c r="Q5536" s="20"/>
      <c r="R5536" s="20"/>
      <c r="S5536" s="20"/>
      <c r="T5536" s="20"/>
      <c r="U5536" t="s">
        <v>401</v>
      </c>
    </row>
    <row r="5537" spans="1:21" x14ac:dyDescent="0.25">
      <c r="B5537">
        <v>635</v>
      </c>
      <c r="C5537" t="s">
        <v>5449</v>
      </c>
      <c r="E5537" s="18">
        <v>-500</v>
      </c>
      <c r="F5537" t="s">
        <v>889</v>
      </c>
      <c r="G5537" t="s">
        <v>442</v>
      </c>
      <c r="I5537"/>
      <c r="J5537"/>
      <c r="L5537"/>
      <c r="M5537"/>
      <c r="O5537"/>
      <c r="P5537" s="20"/>
      <c r="Q5537" s="20"/>
      <c r="R5537" s="20"/>
      <c r="S5537" s="20"/>
      <c r="T5537" s="20"/>
      <c r="U5537" t="s">
        <v>401</v>
      </c>
    </row>
    <row r="5538" spans="1:21" x14ac:dyDescent="0.25">
      <c r="B5538">
        <v>635</v>
      </c>
      <c r="C5538" t="s">
        <v>5450</v>
      </c>
      <c r="E5538" s="18">
        <v>-500</v>
      </c>
      <c r="F5538" t="s">
        <v>889</v>
      </c>
      <c r="G5538" t="s">
        <v>442</v>
      </c>
      <c r="I5538"/>
      <c r="J5538"/>
      <c r="L5538"/>
      <c r="M5538"/>
      <c r="O5538"/>
      <c r="P5538" s="20"/>
      <c r="Q5538" s="20"/>
      <c r="R5538" s="20"/>
      <c r="S5538" s="20"/>
      <c r="T5538" s="20"/>
      <c r="U5538" t="s">
        <v>401</v>
      </c>
    </row>
    <row r="5539" spans="1:21" x14ac:dyDescent="0.25">
      <c r="B5539">
        <v>635</v>
      </c>
      <c r="C5539" t="s">
        <v>5637</v>
      </c>
      <c r="D5539">
        <v>6.375</v>
      </c>
      <c r="E5539" s="18">
        <v>225</v>
      </c>
      <c r="F5539" t="s">
        <v>889</v>
      </c>
      <c r="G5539" t="s">
        <v>5638</v>
      </c>
      <c r="I5539"/>
      <c r="J5539"/>
      <c r="L5539"/>
      <c r="M5539"/>
      <c r="O5539"/>
      <c r="P5539" s="20"/>
      <c r="Q5539" s="20"/>
      <c r="R5539" s="20"/>
      <c r="S5539" s="20"/>
      <c r="T5539" s="20"/>
      <c r="U5539" t="s">
        <v>401</v>
      </c>
    </row>
    <row r="5540" spans="1:21" x14ac:dyDescent="0.25">
      <c r="B5540">
        <v>635</v>
      </c>
      <c r="C5540" t="s">
        <v>5637</v>
      </c>
      <c r="D5540">
        <v>6.375</v>
      </c>
      <c r="E5540" s="18">
        <v>-1275</v>
      </c>
      <c r="F5540" t="s">
        <v>889</v>
      </c>
      <c r="G5540" t="s">
        <v>5638</v>
      </c>
      <c r="I5540"/>
      <c r="J5540"/>
      <c r="L5540"/>
      <c r="M5540"/>
      <c r="O5540"/>
      <c r="P5540" s="20"/>
      <c r="Q5540" s="20"/>
      <c r="R5540" s="20"/>
      <c r="S5540" s="20"/>
      <c r="T5540" s="20"/>
      <c r="U5540" t="s">
        <v>401</v>
      </c>
    </row>
    <row r="5541" spans="1:21" x14ac:dyDescent="0.25">
      <c r="A5541" s="3">
        <v>41934</v>
      </c>
      <c r="B5541" s="36">
        <v>638</v>
      </c>
      <c r="C5541" t="s">
        <v>5639</v>
      </c>
      <c r="E5541" s="18">
        <v>612</v>
      </c>
      <c r="F5541" t="s">
        <v>889</v>
      </c>
      <c r="G5541" t="s">
        <v>5640</v>
      </c>
      <c r="H5541" s="18">
        <v>612</v>
      </c>
      <c r="I5541" s="3">
        <v>41934</v>
      </c>
      <c r="J5541"/>
      <c r="L5541"/>
      <c r="M5541"/>
      <c r="N5541" s="20"/>
      <c r="O5541"/>
      <c r="P5541" s="20"/>
      <c r="Q5541" s="20"/>
      <c r="R5541" s="20"/>
      <c r="S5541" s="20"/>
      <c r="T5541" s="20"/>
    </row>
    <row r="5542" spans="1:21" x14ac:dyDescent="0.25">
      <c r="A5542" s="37">
        <v>41936</v>
      </c>
      <c r="B5542" s="36">
        <v>638</v>
      </c>
      <c r="C5542" s="38" t="s">
        <v>5641</v>
      </c>
      <c r="D5542" s="38">
        <v>4.5</v>
      </c>
      <c r="E5542" s="39">
        <v>459</v>
      </c>
      <c r="F5542" s="38" t="s">
        <v>889</v>
      </c>
      <c r="G5542" t="s">
        <v>5642</v>
      </c>
      <c r="H5542" s="18">
        <v>459</v>
      </c>
      <c r="I5542" s="3">
        <v>41936</v>
      </c>
      <c r="J5542"/>
      <c r="L5542"/>
      <c r="M5542"/>
      <c r="N5542" s="40"/>
      <c r="O5542" s="38"/>
      <c r="P5542" s="20"/>
      <c r="Q5542" s="20"/>
      <c r="R5542" s="20"/>
      <c r="S5542" s="20"/>
      <c r="T5542" s="20"/>
    </row>
    <row r="5543" spans="1:21" x14ac:dyDescent="0.25">
      <c r="A5543" s="3">
        <v>41978</v>
      </c>
      <c r="B5543" s="36">
        <v>638</v>
      </c>
      <c r="C5543" t="s">
        <v>5639</v>
      </c>
      <c r="D5543">
        <v>6.375</v>
      </c>
      <c r="E5543" s="18">
        <v>637.5</v>
      </c>
      <c r="F5543" t="s">
        <v>889</v>
      </c>
      <c r="G5543" t="s">
        <v>5640</v>
      </c>
      <c r="H5543" s="18">
        <v>637.5</v>
      </c>
      <c r="I5543" s="3">
        <v>41978</v>
      </c>
      <c r="J5543"/>
      <c r="L5543"/>
      <c r="M5543"/>
      <c r="N5543" s="20"/>
      <c r="O5543"/>
      <c r="P5543" s="20"/>
      <c r="Q5543" s="20"/>
      <c r="R5543" s="20"/>
      <c r="S5543" s="20"/>
      <c r="T5543" s="20"/>
    </row>
    <row r="5544" spans="1:21" x14ac:dyDescent="0.25">
      <c r="A5544" s="3">
        <v>41873</v>
      </c>
      <c r="B5544" s="36">
        <v>640</v>
      </c>
      <c r="C5544" t="s">
        <v>5197</v>
      </c>
      <c r="E5544" s="18">
        <v>90</v>
      </c>
      <c r="F5544" t="s">
        <v>889</v>
      </c>
      <c r="G5544" t="s">
        <v>442</v>
      </c>
      <c r="H5544" s="18" t="s">
        <v>442</v>
      </c>
      <c r="I5544" s="3" t="s">
        <v>442</v>
      </c>
      <c r="J5544"/>
      <c r="L5544"/>
      <c r="M5544"/>
      <c r="N5544" s="20"/>
      <c r="O5544"/>
      <c r="P5544" s="20"/>
      <c r="Q5544" s="20"/>
      <c r="R5544" s="20"/>
      <c r="S5544" s="20"/>
      <c r="T5544" s="20" t="s">
        <v>401</v>
      </c>
    </row>
    <row r="5545" spans="1:21" x14ac:dyDescent="0.25">
      <c r="A5545" s="3">
        <v>41880</v>
      </c>
      <c r="B5545" s="36">
        <v>642</v>
      </c>
      <c r="C5545" t="s">
        <v>5197</v>
      </c>
      <c r="E5545" s="18">
        <v>80</v>
      </c>
      <c r="F5545" t="s">
        <v>889</v>
      </c>
      <c r="G5545" t="s">
        <v>442</v>
      </c>
      <c r="H5545" s="18" t="s">
        <v>442</v>
      </c>
      <c r="I5545" s="3" t="s">
        <v>442</v>
      </c>
      <c r="J5545"/>
      <c r="L5545"/>
      <c r="M5545"/>
      <c r="N5545" s="20"/>
      <c r="O5545"/>
      <c r="P5545" s="20"/>
      <c r="Q5545" s="20"/>
      <c r="R5545" s="20"/>
      <c r="S5545" s="20"/>
      <c r="T5545" s="20" t="s">
        <v>401</v>
      </c>
    </row>
    <row r="5546" spans="1:21" x14ac:dyDescent="0.25">
      <c r="A5546" s="3">
        <v>41922</v>
      </c>
      <c r="B5546" s="36">
        <v>646</v>
      </c>
      <c r="C5546" t="s">
        <v>5643</v>
      </c>
      <c r="D5546">
        <v>7.75</v>
      </c>
      <c r="E5546" s="18">
        <v>775</v>
      </c>
      <c r="F5546" t="s">
        <v>889</v>
      </c>
      <c r="G5546" t="s">
        <v>5644</v>
      </c>
      <c r="H5546" s="18">
        <v>775</v>
      </c>
      <c r="I5546" s="3">
        <v>41922</v>
      </c>
      <c r="J5546"/>
      <c r="L5546"/>
      <c r="M5546"/>
      <c r="N5546" s="20"/>
      <c r="O5546"/>
      <c r="P5546" s="20"/>
      <c r="Q5546" s="20"/>
      <c r="R5546" s="20"/>
      <c r="S5546" s="20"/>
      <c r="T5546" s="20"/>
    </row>
    <row r="5547" spans="1:21" x14ac:dyDescent="0.25">
      <c r="A5547" s="3">
        <v>41950</v>
      </c>
      <c r="B5547" s="36">
        <v>646</v>
      </c>
      <c r="C5547" t="s">
        <v>5645</v>
      </c>
      <c r="D5547">
        <v>15.25</v>
      </c>
      <c r="E5547" s="18">
        <v>1525</v>
      </c>
      <c r="F5547" t="s">
        <v>889</v>
      </c>
      <c r="G5547" t="s">
        <v>5646</v>
      </c>
      <c r="H5547" s="18">
        <v>1525</v>
      </c>
      <c r="I5547" s="3">
        <v>41950</v>
      </c>
      <c r="J5547"/>
      <c r="L5547"/>
      <c r="M5547"/>
      <c r="N5547" s="20"/>
      <c r="O5547"/>
      <c r="P5547" s="20"/>
      <c r="Q5547" s="20"/>
      <c r="R5547" s="20"/>
      <c r="S5547" s="20"/>
      <c r="T5547" s="20"/>
    </row>
    <row r="5548" spans="1:21" x14ac:dyDescent="0.25">
      <c r="A5548" s="3">
        <v>41950</v>
      </c>
      <c r="B5548" s="36">
        <v>646</v>
      </c>
      <c r="C5548" t="s">
        <v>5647</v>
      </c>
      <c r="D5548">
        <v>9.25</v>
      </c>
      <c r="E5548" s="18">
        <v>925</v>
      </c>
      <c r="F5548" t="s">
        <v>889</v>
      </c>
      <c r="G5548" t="s">
        <v>5648</v>
      </c>
      <c r="H5548" s="18">
        <v>925</v>
      </c>
      <c r="I5548" s="3">
        <v>41950</v>
      </c>
      <c r="J5548"/>
      <c r="L5548"/>
      <c r="M5548"/>
      <c r="N5548" s="20"/>
      <c r="O5548"/>
      <c r="P5548" s="20"/>
      <c r="Q5548" s="20"/>
      <c r="R5548" s="20"/>
      <c r="S5548" s="20"/>
      <c r="T5548" s="20"/>
    </row>
    <row r="5549" spans="1:21" x14ac:dyDescent="0.25">
      <c r="A5549" s="3">
        <v>41957</v>
      </c>
      <c r="B5549" s="36">
        <v>646</v>
      </c>
      <c r="C5549" t="s">
        <v>5649</v>
      </c>
      <c r="D5549">
        <v>8.5</v>
      </c>
      <c r="E5549" s="18">
        <v>850</v>
      </c>
      <c r="F5549" t="s">
        <v>889</v>
      </c>
      <c r="G5549" t="s">
        <v>5650</v>
      </c>
      <c r="H5549" s="18">
        <v>850</v>
      </c>
      <c r="I5549" s="3">
        <v>41957</v>
      </c>
      <c r="J5549"/>
      <c r="L5549"/>
      <c r="M5549"/>
      <c r="N5549" s="20"/>
      <c r="O5549"/>
      <c r="P5549" s="20"/>
      <c r="Q5549" s="20"/>
      <c r="R5549" s="20"/>
      <c r="S5549" s="20"/>
      <c r="T5549" s="20"/>
    </row>
    <row r="5550" spans="1:21" x14ac:dyDescent="0.25">
      <c r="A5550" s="3">
        <v>41964</v>
      </c>
      <c r="B5550" s="36">
        <v>646</v>
      </c>
      <c r="C5550" t="s">
        <v>5651</v>
      </c>
      <c r="D5550">
        <v>10.5</v>
      </c>
      <c r="E5550" s="18">
        <v>1050</v>
      </c>
      <c r="F5550" t="s">
        <v>889</v>
      </c>
      <c r="G5550" t="s">
        <v>5652</v>
      </c>
      <c r="H5550" s="18">
        <v>1050</v>
      </c>
      <c r="I5550" s="3">
        <v>41964</v>
      </c>
      <c r="J5550"/>
      <c r="L5550"/>
      <c r="M5550"/>
      <c r="N5550" s="20"/>
      <c r="O5550"/>
      <c r="P5550" s="20"/>
      <c r="Q5550" s="20"/>
      <c r="R5550" s="20"/>
      <c r="S5550" s="20"/>
      <c r="T5550" s="20"/>
    </row>
    <row r="5551" spans="1:21" x14ac:dyDescent="0.25">
      <c r="A5551" s="3">
        <v>41978</v>
      </c>
      <c r="B5551" s="36">
        <v>646</v>
      </c>
      <c r="C5551" t="s">
        <v>5653</v>
      </c>
      <c r="D5551">
        <v>8.5</v>
      </c>
      <c r="E5551" s="18">
        <v>850</v>
      </c>
      <c r="F5551" t="s">
        <v>889</v>
      </c>
      <c r="G5551" t="s">
        <v>5654</v>
      </c>
      <c r="H5551" s="18">
        <v>850</v>
      </c>
      <c r="I5551" s="3">
        <v>41978</v>
      </c>
      <c r="J5551"/>
      <c r="L5551"/>
      <c r="M5551"/>
      <c r="N5551" s="20"/>
      <c r="O5551"/>
      <c r="P5551" s="20"/>
      <c r="Q5551" s="20"/>
      <c r="R5551" s="20"/>
      <c r="S5551" s="20"/>
      <c r="T5551" s="20"/>
    </row>
    <row r="5552" spans="1:21" x14ac:dyDescent="0.25">
      <c r="A5552" s="3">
        <v>41992</v>
      </c>
      <c r="B5552" s="36">
        <v>646</v>
      </c>
      <c r="C5552" t="s">
        <v>5643</v>
      </c>
      <c r="D5552">
        <v>7.75</v>
      </c>
      <c r="E5552" s="18">
        <v>775</v>
      </c>
      <c r="F5552" t="s">
        <v>889</v>
      </c>
      <c r="G5552" t="s">
        <v>5644</v>
      </c>
      <c r="H5552" s="18">
        <v>775</v>
      </c>
      <c r="I5552" s="3">
        <v>41992</v>
      </c>
      <c r="J5552"/>
      <c r="L5552"/>
      <c r="M5552"/>
      <c r="N5552" s="20"/>
      <c r="O5552" t="s">
        <v>959</v>
      </c>
      <c r="P5552" s="20"/>
      <c r="Q5552" s="20"/>
      <c r="R5552" s="20"/>
      <c r="S5552" s="20"/>
      <c r="T5552" s="20"/>
    </row>
    <row r="5553" spans="1:21" x14ac:dyDescent="0.25">
      <c r="A5553" s="3">
        <v>41999</v>
      </c>
      <c r="B5553" s="36">
        <v>646</v>
      </c>
      <c r="C5553" t="s">
        <v>5643</v>
      </c>
      <c r="D5553">
        <v>8.75</v>
      </c>
      <c r="E5553" s="18">
        <v>975</v>
      </c>
      <c r="F5553" t="s">
        <v>889</v>
      </c>
      <c r="G5553" t="s">
        <v>5644</v>
      </c>
      <c r="H5553" s="18">
        <v>975</v>
      </c>
      <c r="I5553" s="3">
        <v>41999</v>
      </c>
      <c r="J5553"/>
      <c r="L5553"/>
      <c r="M5553"/>
      <c r="N5553" s="20"/>
      <c r="O5553" t="s">
        <v>959</v>
      </c>
      <c r="P5553" s="20"/>
      <c r="Q5553" s="20"/>
      <c r="R5553" s="20"/>
      <c r="S5553" s="20"/>
      <c r="T5553" s="20"/>
    </row>
    <row r="5554" spans="1:21" x14ac:dyDescent="0.25">
      <c r="A5554" s="3">
        <v>42013</v>
      </c>
      <c r="B5554" s="36">
        <v>646</v>
      </c>
      <c r="C5554" t="s">
        <v>730</v>
      </c>
      <c r="D5554">
        <v>11.5</v>
      </c>
      <c r="E5554" s="18">
        <v>250</v>
      </c>
      <c r="F5554" t="s">
        <v>889</v>
      </c>
      <c r="G5554" t="s">
        <v>731</v>
      </c>
      <c r="H5554" s="18">
        <v>250</v>
      </c>
      <c r="I5554" s="3">
        <v>42013</v>
      </c>
      <c r="J5554"/>
      <c r="L5554"/>
      <c r="M5554"/>
      <c r="N5554" s="20"/>
      <c r="O5554"/>
      <c r="P5554" s="20"/>
      <c r="Q5554" s="20"/>
      <c r="R5554" s="20"/>
      <c r="S5554" s="20"/>
      <c r="T5554" s="20"/>
    </row>
    <row r="5555" spans="1:21" x14ac:dyDescent="0.25">
      <c r="B5555">
        <v>646</v>
      </c>
      <c r="C5555" t="s">
        <v>5643</v>
      </c>
      <c r="D5555">
        <v>7.75</v>
      </c>
      <c r="E5555" s="18">
        <v>-200</v>
      </c>
      <c r="F5555" t="s">
        <v>889</v>
      </c>
      <c r="G5555" t="s">
        <v>5644</v>
      </c>
      <c r="I5555"/>
      <c r="J5555"/>
      <c r="L5555"/>
      <c r="M5555"/>
      <c r="O5555"/>
      <c r="P5555" s="20"/>
      <c r="Q5555" s="20"/>
      <c r="R5555" s="20"/>
      <c r="S5555" s="20"/>
      <c r="T5555" s="20"/>
      <c r="U5555" t="s">
        <v>401</v>
      </c>
    </row>
    <row r="5556" spans="1:21" x14ac:dyDescent="0.25">
      <c r="A5556" s="3">
        <v>41922</v>
      </c>
      <c r="B5556" s="36">
        <v>648</v>
      </c>
      <c r="C5556" t="s">
        <v>5655</v>
      </c>
      <c r="D5556">
        <v>5.75</v>
      </c>
      <c r="E5556" s="18">
        <v>575</v>
      </c>
      <c r="F5556" t="s">
        <v>889</v>
      </c>
      <c r="G5556" t="s">
        <v>5656</v>
      </c>
      <c r="H5556" s="18">
        <v>575</v>
      </c>
      <c r="I5556" s="3">
        <v>41922</v>
      </c>
      <c r="J5556"/>
      <c r="L5556"/>
      <c r="M5556"/>
      <c r="N5556" s="20"/>
      <c r="O5556"/>
      <c r="P5556" s="20"/>
      <c r="Q5556" s="20"/>
      <c r="R5556" s="20"/>
      <c r="S5556" s="20"/>
      <c r="T5556" s="20"/>
    </row>
    <row r="5557" spans="1:21" x14ac:dyDescent="0.25">
      <c r="A5557" s="3">
        <v>41922</v>
      </c>
      <c r="B5557" s="36">
        <v>648</v>
      </c>
      <c r="C5557" t="s">
        <v>5657</v>
      </c>
      <c r="D5557">
        <v>3.75</v>
      </c>
      <c r="E5557" s="18">
        <v>375</v>
      </c>
      <c r="F5557" t="s">
        <v>889</v>
      </c>
      <c r="G5557" t="s">
        <v>5658</v>
      </c>
      <c r="H5557" s="18">
        <v>375</v>
      </c>
      <c r="I5557" s="3">
        <v>41922</v>
      </c>
      <c r="J5557"/>
      <c r="L5557"/>
      <c r="M5557"/>
      <c r="N5557" s="20"/>
      <c r="O5557"/>
      <c r="P5557" s="20"/>
      <c r="Q5557" s="20"/>
      <c r="R5557" s="20"/>
      <c r="S5557" s="20"/>
      <c r="T5557" s="20"/>
    </row>
    <row r="5558" spans="1:21" x14ac:dyDescent="0.25">
      <c r="A5558" s="3">
        <v>41929</v>
      </c>
      <c r="B5558" s="36">
        <v>648</v>
      </c>
      <c r="C5558" t="s">
        <v>5659</v>
      </c>
      <c r="D5558">
        <v>6</v>
      </c>
      <c r="E5558" s="18">
        <v>475</v>
      </c>
      <c r="F5558" t="s">
        <v>889</v>
      </c>
      <c r="G5558" t="s">
        <v>5660</v>
      </c>
      <c r="H5558" s="18">
        <v>475</v>
      </c>
      <c r="I5558" s="3">
        <v>41929</v>
      </c>
      <c r="J5558"/>
      <c r="L5558"/>
      <c r="M5558"/>
      <c r="N5558" s="20"/>
      <c r="O5558"/>
      <c r="P5558" s="20"/>
      <c r="Q5558" s="20"/>
      <c r="R5558" s="20"/>
      <c r="S5558" s="20"/>
      <c r="T5558" s="20"/>
    </row>
    <row r="5559" spans="1:21" x14ac:dyDescent="0.25">
      <c r="A5559" s="3">
        <v>41936</v>
      </c>
      <c r="B5559" s="36">
        <v>648</v>
      </c>
      <c r="C5559" t="s">
        <v>5661</v>
      </c>
      <c r="D5559">
        <v>6</v>
      </c>
      <c r="E5559" s="18">
        <v>600</v>
      </c>
      <c r="F5559" t="s">
        <v>889</v>
      </c>
      <c r="G5559" t="s">
        <v>5662</v>
      </c>
      <c r="H5559" s="18">
        <v>600</v>
      </c>
      <c r="I5559" s="3">
        <v>41936</v>
      </c>
      <c r="J5559"/>
      <c r="L5559"/>
      <c r="M5559"/>
      <c r="N5559" s="20"/>
      <c r="O5559"/>
      <c r="P5559" s="20"/>
      <c r="Q5559" s="20"/>
      <c r="R5559" s="20"/>
      <c r="S5559" s="20"/>
      <c r="T5559" s="20"/>
    </row>
    <row r="5560" spans="1:21" x14ac:dyDescent="0.25">
      <c r="A5560" s="3">
        <v>41943</v>
      </c>
      <c r="B5560" s="36">
        <v>648</v>
      </c>
      <c r="C5560" t="s">
        <v>42</v>
      </c>
      <c r="D5560">
        <v>5.5</v>
      </c>
      <c r="E5560" s="18">
        <v>550</v>
      </c>
      <c r="F5560" t="s">
        <v>889</v>
      </c>
      <c r="G5560" t="s">
        <v>5663</v>
      </c>
      <c r="H5560" s="18">
        <v>550</v>
      </c>
      <c r="I5560" s="3">
        <v>41943</v>
      </c>
      <c r="J5560"/>
      <c r="L5560"/>
      <c r="M5560"/>
      <c r="N5560" s="20"/>
      <c r="O5560"/>
      <c r="P5560" s="20"/>
      <c r="Q5560" s="20"/>
      <c r="R5560" s="20"/>
      <c r="S5560" s="20"/>
      <c r="T5560" s="20"/>
    </row>
    <row r="5561" spans="1:21" x14ac:dyDescent="0.25">
      <c r="A5561" s="3">
        <v>41950</v>
      </c>
      <c r="B5561" s="36">
        <v>648</v>
      </c>
      <c r="C5561" t="s">
        <v>5664</v>
      </c>
      <c r="D5561">
        <v>9</v>
      </c>
      <c r="E5561" s="18">
        <v>900</v>
      </c>
      <c r="F5561" t="s">
        <v>889</v>
      </c>
      <c r="G5561" t="s">
        <v>5665</v>
      </c>
      <c r="H5561" s="18">
        <v>900</v>
      </c>
      <c r="I5561" s="3">
        <v>41950</v>
      </c>
      <c r="J5561"/>
      <c r="L5561"/>
      <c r="M5561"/>
      <c r="N5561" s="20"/>
      <c r="O5561"/>
      <c r="P5561" s="20"/>
      <c r="Q5561" s="20"/>
      <c r="R5561" s="20"/>
      <c r="S5561" s="20"/>
      <c r="T5561" s="20"/>
    </row>
    <row r="5562" spans="1:21" x14ac:dyDescent="0.25">
      <c r="A5562" s="3">
        <v>41950</v>
      </c>
      <c r="B5562" s="36">
        <v>648</v>
      </c>
      <c r="C5562" t="s">
        <v>5666</v>
      </c>
      <c r="D5562">
        <v>4</v>
      </c>
      <c r="E5562" s="18">
        <v>400</v>
      </c>
      <c r="F5562" t="s">
        <v>889</v>
      </c>
      <c r="G5562" t="s">
        <v>5667</v>
      </c>
      <c r="H5562" s="18">
        <v>400</v>
      </c>
      <c r="I5562" s="3">
        <v>41950</v>
      </c>
      <c r="J5562"/>
      <c r="L5562"/>
      <c r="M5562"/>
      <c r="N5562" s="20"/>
      <c r="O5562"/>
      <c r="P5562" s="20"/>
      <c r="Q5562" s="20"/>
      <c r="R5562" s="20"/>
      <c r="S5562" s="20"/>
      <c r="T5562" s="20"/>
    </row>
    <row r="5563" spans="1:21" x14ac:dyDescent="0.25">
      <c r="A5563" s="3">
        <v>41953</v>
      </c>
      <c r="B5563" s="36">
        <v>648</v>
      </c>
      <c r="C5563" t="s">
        <v>5668</v>
      </c>
      <c r="E5563" s="18">
        <v>330</v>
      </c>
      <c r="F5563" t="s">
        <v>889</v>
      </c>
      <c r="G5563" t="s">
        <v>442</v>
      </c>
      <c r="H5563" s="18" t="s">
        <v>442</v>
      </c>
      <c r="I5563" s="3" t="s">
        <v>442</v>
      </c>
      <c r="J5563"/>
      <c r="L5563"/>
      <c r="M5563"/>
      <c r="N5563" s="20"/>
      <c r="O5563"/>
      <c r="P5563" s="20"/>
      <c r="Q5563" s="20"/>
      <c r="R5563" s="20"/>
      <c r="S5563" s="20" t="s">
        <v>401</v>
      </c>
      <c r="T5563" s="20"/>
    </row>
    <row r="5564" spans="1:21" x14ac:dyDescent="0.25">
      <c r="A5564" s="3">
        <v>41957</v>
      </c>
      <c r="B5564" s="36">
        <v>648</v>
      </c>
      <c r="C5564" t="s">
        <v>5669</v>
      </c>
      <c r="D5564">
        <v>6</v>
      </c>
      <c r="E5564" s="18">
        <v>600</v>
      </c>
      <c r="F5564" t="s">
        <v>889</v>
      </c>
      <c r="G5564" t="s">
        <v>5670</v>
      </c>
      <c r="H5564" s="18">
        <v>600</v>
      </c>
      <c r="I5564" s="3">
        <v>41957</v>
      </c>
      <c r="J5564"/>
      <c r="L5564"/>
      <c r="M5564"/>
      <c r="N5564" s="20"/>
      <c r="O5564"/>
      <c r="P5564" s="20"/>
      <c r="Q5564" s="20"/>
      <c r="R5564" s="20"/>
      <c r="S5564" s="20"/>
      <c r="T5564" s="20"/>
    </row>
    <row r="5565" spans="1:21" x14ac:dyDescent="0.25">
      <c r="A5565" s="3">
        <v>41957</v>
      </c>
      <c r="B5565" s="36">
        <v>648</v>
      </c>
      <c r="C5565" t="s">
        <v>3145</v>
      </c>
      <c r="D5565">
        <v>8</v>
      </c>
      <c r="E5565" s="18">
        <v>800</v>
      </c>
      <c r="F5565" t="s">
        <v>889</v>
      </c>
      <c r="G5565" t="s">
        <v>5671</v>
      </c>
      <c r="H5565" s="18">
        <v>800</v>
      </c>
      <c r="I5565" s="3">
        <v>41957</v>
      </c>
      <c r="J5565"/>
      <c r="L5565"/>
      <c r="M5565"/>
      <c r="N5565" s="20"/>
      <c r="O5565"/>
      <c r="P5565" s="20"/>
      <c r="Q5565" s="20"/>
      <c r="R5565" s="20"/>
      <c r="S5565" s="20"/>
      <c r="T5565" s="20"/>
    </row>
    <row r="5566" spans="1:21" x14ac:dyDescent="0.25">
      <c r="A5566" s="3">
        <v>41957</v>
      </c>
      <c r="B5566" s="36">
        <v>648</v>
      </c>
      <c r="C5566" t="s">
        <v>5672</v>
      </c>
      <c r="D5566">
        <v>10</v>
      </c>
      <c r="E5566" s="18">
        <v>1000</v>
      </c>
      <c r="F5566" t="s">
        <v>889</v>
      </c>
      <c r="G5566" t="s">
        <v>5673</v>
      </c>
      <c r="H5566" s="18">
        <v>1000</v>
      </c>
      <c r="I5566" s="3">
        <v>41957</v>
      </c>
      <c r="J5566"/>
      <c r="L5566"/>
      <c r="M5566"/>
      <c r="N5566" s="20"/>
      <c r="O5566"/>
      <c r="P5566" s="20"/>
      <c r="Q5566" s="20"/>
      <c r="R5566" s="20"/>
      <c r="S5566" s="20"/>
      <c r="T5566" s="20"/>
    </row>
    <row r="5567" spans="1:21" x14ac:dyDescent="0.25">
      <c r="A5567" s="3">
        <v>41964</v>
      </c>
      <c r="B5567" s="36">
        <v>648</v>
      </c>
      <c r="C5567" t="s">
        <v>5674</v>
      </c>
      <c r="D5567">
        <v>5</v>
      </c>
      <c r="E5567" s="18">
        <v>500</v>
      </c>
      <c r="F5567" t="s">
        <v>889</v>
      </c>
      <c r="G5567" t="s">
        <v>5675</v>
      </c>
      <c r="H5567" s="18">
        <v>500</v>
      </c>
      <c r="I5567" s="3">
        <v>41964</v>
      </c>
      <c r="J5567"/>
      <c r="L5567"/>
      <c r="M5567"/>
      <c r="N5567" s="20"/>
      <c r="O5567"/>
      <c r="P5567" s="20"/>
      <c r="Q5567" s="20"/>
      <c r="R5567" s="20"/>
      <c r="S5567" s="20"/>
      <c r="T5567" s="20"/>
    </row>
    <row r="5568" spans="1:21" x14ac:dyDescent="0.25">
      <c r="A5568" s="3">
        <v>41964</v>
      </c>
      <c r="B5568" s="36">
        <v>648</v>
      </c>
      <c r="C5568" t="s">
        <v>5676</v>
      </c>
      <c r="D5568">
        <v>9.5</v>
      </c>
      <c r="E5568" s="18">
        <v>950</v>
      </c>
      <c r="F5568" t="s">
        <v>889</v>
      </c>
      <c r="G5568" t="s">
        <v>5677</v>
      </c>
      <c r="H5568" s="18">
        <v>950</v>
      </c>
      <c r="I5568" s="3">
        <v>41964</v>
      </c>
      <c r="J5568"/>
      <c r="L5568"/>
      <c r="M5568"/>
      <c r="N5568" s="20"/>
      <c r="O5568"/>
      <c r="P5568" s="20"/>
      <c r="Q5568" s="20"/>
      <c r="R5568" s="20"/>
      <c r="S5568" s="20"/>
      <c r="T5568" s="20"/>
    </row>
    <row r="5569" spans="1:20" x14ac:dyDescent="0.25">
      <c r="A5569" s="3">
        <v>41978</v>
      </c>
      <c r="B5569" s="36">
        <v>648</v>
      </c>
      <c r="C5569" t="s">
        <v>5678</v>
      </c>
      <c r="D5569">
        <v>7.5</v>
      </c>
      <c r="E5569" s="18">
        <v>750</v>
      </c>
      <c r="F5569" t="s">
        <v>889</v>
      </c>
      <c r="G5569" t="s">
        <v>5679</v>
      </c>
      <c r="H5569" s="18">
        <v>750</v>
      </c>
      <c r="I5569" s="3">
        <v>41978</v>
      </c>
      <c r="J5569"/>
      <c r="L5569"/>
      <c r="M5569"/>
      <c r="N5569" s="20"/>
      <c r="O5569"/>
      <c r="P5569" s="20"/>
      <c r="Q5569" s="20"/>
      <c r="R5569" s="20"/>
      <c r="S5569" s="20"/>
      <c r="T5569" s="20"/>
    </row>
    <row r="5570" spans="1:20" x14ac:dyDescent="0.25">
      <c r="A5570" s="3">
        <v>41999</v>
      </c>
      <c r="B5570" s="36">
        <v>648</v>
      </c>
      <c r="C5570" t="s">
        <v>5655</v>
      </c>
      <c r="E5570" s="18">
        <v>2179</v>
      </c>
      <c r="F5570" t="s">
        <v>889</v>
      </c>
      <c r="G5570" t="s">
        <v>5656</v>
      </c>
      <c r="H5570" s="18">
        <v>2179</v>
      </c>
      <c r="I5570" s="3">
        <v>41999</v>
      </c>
      <c r="J5570"/>
      <c r="L5570"/>
      <c r="M5570"/>
      <c r="N5570" s="20"/>
      <c r="O5570" t="s">
        <v>959</v>
      </c>
      <c r="P5570" s="20"/>
      <c r="Q5570" s="20"/>
      <c r="R5570" s="20"/>
      <c r="S5570" s="20"/>
      <c r="T5570" s="20"/>
    </row>
    <row r="5571" spans="1:20" x14ac:dyDescent="0.25">
      <c r="A5571" s="3">
        <v>41999</v>
      </c>
      <c r="B5571" s="36">
        <v>648</v>
      </c>
      <c r="C5571" t="s">
        <v>3145</v>
      </c>
      <c r="E5571" s="18">
        <v>1036</v>
      </c>
      <c r="F5571" t="s">
        <v>889</v>
      </c>
      <c r="G5571" t="s">
        <v>5671</v>
      </c>
      <c r="H5571" s="18">
        <v>1036</v>
      </c>
      <c r="I5571" s="3">
        <v>41999</v>
      </c>
      <c r="J5571"/>
      <c r="L5571"/>
      <c r="M5571"/>
      <c r="N5571" s="20"/>
      <c r="O5571" t="s">
        <v>959</v>
      </c>
      <c r="P5571" s="20"/>
      <c r="Q5571" s="20"/>
      <c r="R5571" s="20"/>
      <c r="S5571" s="20"/>
      <c r="T5571" s="20"/>
    </row>
    <row r="5572" spans="1:20" x14ac:dyDescent="0.25">
      <c r="A5572" s="3">
        <v>42013</v>
      </c>
      <c r="B5572" s="36">
        <v>648</v>
      </c>
      <c r="C5572" t="s">
        <v>740</v>
      </c>
      <c r="D5572">
        <v>5</v>
      </c>
      <c r="E5572" s="18">
        <v>600</v>
      </c>
      <c r="F5572" t="s">
        <v>889</v>
      </c>
      <c r="G5572" t="s">
        <v>741</v>
      </c>
      <c r="H5572" s="18">
        <v>600</v>
      </c>
      <c r="I5572" s="3">
        <v>42013</v>
      </c>
      <c r="J5572"/>
      <c r="L5572"/>
      <c r="M5572"/>
      <c r="N5572" s="20"/>
      <c r="O5572"/>
      <c r="P5572" s="20"/>
      <c r="Q5572" s="20"/>
      <c r="R5572" s="20"/>
      <c r="S5572" s="20"/>
      <c r="T5572" s="20"/>
    </row>
    <row r="5573" spans="1:20" x14ac:dyDescent="0.25">
      <c r="A5573" s="3">
        <v>42013</v>
      </c>
      <c r="B5573" s="36">
        <v>648</v>
      </c>
      <c r="C5573" t="s">
        <v>419</v>
      </c>
      <c r="D5573">
        <v>5.25</v>
      </c>
      <c r="E5573" s="18">
        <v>350</v>
      </c>
      <c r="F5573" t="s">
        <v>889</v>
      </c>
      <c r="G5573" t="s">
        <v>420</v>
      </c>
      <c r="H5573" s="18">
        <v>350</v>
      </c>
      <c r="I5573" s="3">
        <v>42013</v>
      </c>
      <c r="J5573"/>
      <c r="L5573"/>
      <c r="M5573"/>
      <c r="N5573" s="20"/>
      <c r="O5573"/>
      <c r="P5573" s="20"/>
      <c r="Q5573" s="20"/>
      <c r="R5573" s="20"/>
      <c r="S5573" s="20"/>
      <c r="T5573" s="20"/>
    </row>
    <row r="5574" spans="1:20" x14ac:dyDescent="0.25">
      <c r="A5574" s="3">
        <v>42013</v>
      </c>
      <c r="B5574" s="36">
        <v>648</v>
      </c>
      <c r="C5574" t="s">
        <v>738</v>
      </c>
      <c r="D5574">
        <v>4</v>
      </c>
      <c r="E5574" s="18">
        <v>562.5</v>
      </c>
      <c r="F5574" t="s">
        <v>889</v>
      </c>
      <c r="G5574" t="s">
        <v>739</v>
      </c>
      <c r="H5574" s="18">
        <v>562.5</v>
      </c>
      <c r="I5574" s="3">
        <v>42013</v>
      </c>
      <c r="J5574"/>
      <c r="L5574"/>
      <c r="M5574"/>
      <c r="N5574" s="20"/>
      <c r="O5574"/>
      <c r="P5574" s="20"/>
      <c r="Q5574" s="20"/>
      <c r="R5574" s="20"/>
      <c r="S5574" s="20"/>
      <c r="T5574" s="20"/>
    </row>
    <row r="5575" spans="1:20" x14ac:dyDescent="0.25">
      <c r="A5575" s="3">
        <v>42013</v>
      </c>
      <c r="B5575" s="36">
        <v>648</v>
      </c>
      <c r="C5575" t="s">
        <v>732</v>
      </c>
      <c r="D5575">
        <v>3</v>
      </c>
      <c r="E5575" s="18">
        <v>500</v>
      </c>
      <c r="F5575" t="s">
        <v>889</v>
      </c>
      <c r="G5575" t="s">
        <v>733</v>
      </c>
      <c r="H5575" s="18">
        <v>500</v>
      </c>
      <c r="I5575" s="3">
        <v>42013</v>
      </c>
      <c r="J5575"/>
      <c r="L5575"/>
      <c r="M5575"/>
      <c r="N5575" s="20"/>
      <c r="O5575"/>
      <c r="P5575" s="20"/>
      <c r="Q5575" s="20"/>
      <c r="R5575" s="20"/>
      <c r="S5575" s="20"/>
      <c r="T5575" s="20"/>
    </row>
    <row r="5576" spans="1:20" x14ac:dyDescent="0.25">
      <c r="A5576" s="3">
        <v>42019</v>
      </c>
      <c r="B5576" s="36">
        <v>648</v>
      </c>
      <c r="C5576" t="s">
        <v>829</v>
      </c>
      <c r="D5576" s="55">
        <v>3.25</v>
      </c>
      <c r="E5576" s="18">
        <v>250</v>
      </c>
      <c r="F5576" t="s">
        <v>889</v>
      </c>
      <c r="G5576" t="s">
        <v>830</v>
      </c>
      <c r="H5576" s="18">
        <v>250</v>
      </c>
      <c r="I5576" s="3">
        <v>42019</v>
      </c>
      <c r="J5576"/>
      <c r="L5576"/>
      <c r="M5576"/>
      <c r="N5576" s="20"/>
      <c r="O5576"/>
      <c r="P5576" s="20"/>
      <c r="Q5576" s="20"/>
      <c r="R5576" s="20"/>
      <c r="S5576" s="20"/>
      <c r="T5576" s="20"/>
    </row>
    <row r="5577" spans="1:20" x14ac:dyDescent="0.25">
      <c r="A5577" s="3">
        <v>42019</v>
      </c>
      <c r="B5577" s="36">
        <v>648</v>
      </c>
      <c r="C5577" t="s">
        <v>419</v>
      </c>
      <c r="D5577" s="55">
        <v>5.25</v>
      </c>
      <c r="E5577" s="18">
        <v>262.5</v>
      </c>
      <c r="F5577" t="s">
        <v>889</v>
      </c>
      <c r="G5577" t="s">
        <v>420</v>
      </c>
      <c r="H5577" s="18">
        <v>262.5</v>
      </c>
      <c r="I5577" s="3">
        <v>42019</v>
      </c>
      <c r="J5577"/>
      <c r="L5577"/>
      <c r="M5577"/>
      <c r="N5577" s="20"/>
      <c r="O5577"/>
      <c r="P5577" s="20"/>
      <c r="Q5577" s="20"/>
      <c r="R5577" s="20"/>
      <c r="S5577" s="20"/>
      <c r="T5577" s="20"/>
    </row>
    <row r="5578" spans="1:20" x14ac:dyDescent="0.25">
      <c r="A5578" s="3">
        <v>42027</v>
      </c>
      <c r="B5578" s="36">
        <v>648</v>
      </c>
      <c r="C5578" t="s">
        <v>433</v>
      </c>
      <c r="D5578" s="55">
        <v>12.5</v>
      </c>
      <c r="E5578" s="18">
        <v>875</v>
      </c>
      <c r="F5578" t="s">
        <v>889</v>
      </c>
      <c r="G5578" t="s">
        <v>434</v>
      </c>
      <c r="H5578" s="18">
        <v>875</v>
      </c>
      <c r="I5578" s="3">
        <v>42027</v>
      </c>
      <c r="J5578"/>
      <c r="L5578"/>
      <c r="M5578"/>
      <c r="N5578" s="20"/>
      <c r="O5578"/>
      <c r="P5578" s="20"/>
      <c r="Q5578" s="20"/>
      <c r="R5578" s="20"/>
      <c r="S5578" s="20"/>
      <c r="T5578" s="20"/>
    </row>
    <row r="5579" spans="1:20" x14ac:dyDescent="0.25">
      <c r="A5579" s="3">
        <v>42041</v>
      </c>
      <c r="B5579">
        <v>648</v>
      </c>
      <c r="C5579" t="s">
        <v>5655</v>
      </c>
      <c r="D5579">
        <v>5.75</v>
      </c>
      <c r="E5579" s="18">
        <v>-1604</v>
      </c>
      <c r="F5579" t="s">
        <v>889</v>
      </c>
      <c r="G5579" t="s">
        <v>5656</v>
      </c>
      <c r="I5579"/>
      <c r="J5579"/>
      <c r="L5579"/>
      <c r="M5579"/>
      <c r="O5579"/>
      <c r="P5579" s="20"/>
      <c r="Q5579" s="20"/>
      <c r="R5579" s="20"/>
      <c r="S5579" s="20"/>
      <c r="T5579" s="20"/>
    </row>
    <row r="5580" spans="1:20" x14ac:dyDescent="0.25">
      <c r="A5580" s="3">
        <v>42041</v>
      </c>
      <c r="B5580">
        <v>648</v>
      </c>
      <c r="C5580" t="s">
        <v>42</v>
      </c>
      <c r="D5580">
        <v>5.5</v>
      </c>
      <c r="E5580" s="18">
        <v>-550</v>
      </c>
      <c r="F5580" t="s">
        <v>889</v>
      </c>
      <c r="G5580" t="s">
        <v>5663</v>
      </c>
      <c r="I5580"/>
      <c r="J5580"/>
      <c r="L5580"/>
      <c r="M5580"/>
      <c r="O5580"/>
      <c r="P5580" s="20"/>
      <c r="Q5580" s="20"/>
      <c r="R5580" s="20"/>
      <c r="S5580" s="20"/>
      <c r="T5580" s="20"/>
    </row>
    <row r="5581" spans="1:20" x14ac:dyDescent="0.25">
      <c r="A5581" s="3">
        <v>42041</v>
      </c>
      <c r="B5581">
        <v>648</v>
      </c>
      <c r="C5581" t="s">
        <v>42</v>
      </c>
      <c r="D5581">
        <v>3.75</v>
      </c>
      <c r="E5581" s="18">
        <v>125</v>
      </c>
      <c r="F5581" t="s">
        <v>889</v>
      </c>
      <c r="G5581" t="s">
        <v>5658</v>
      </c>
      <c r="I5581"/>
      <c r="J5581"/>
      <c r="L5581"/>
      <c r="M5581"/>
      <c r="O5581"/>
      <c r="P5581" s="20"/>
      <c r="Q5581" s="20"/>
      <c r="R5581" s="20"/>
      <c r="S5581" s="20"/>
      <c r="T5581" s="20"/>
    </row>
    <row r="5582" spans="1:20" x14ac:dyDescent="0.25">
      <c r="A5582" s="3">
        <v>42041</v>
      </c>
      <c r="B5582">
        <v>648</v>
      </c>
      <c r="C5582" t="s">
        <v>42</v>
      </c>
      <c r="E5582" s="18">
        <v>125</v>
      </c>
      <c r="F5582" t="s">
        <v>889</v>
      </c>
      <c r="G5582" t="s">
        <v>5658</v>
      </c>
      <c r="I5582"/>
      <c r="J5582"/>
      <c r="L5582"/>
      <c r="M5582"/>
      <c r="O5582"/>
      <c r="P5582" s="20"/>
      <c r="Q5582" s="20"/>
      <c r="R5582" s="20"/>
      <c r="S5582" s="20"/>
      <c r="T5582" s="20"/>
    </row>
    <row r="5583" spans="1:20" x14ac:dyDescent="0.25">
      <c r="A5583" s="3">
        <v>42041</v>
      </c>
      <c r="B5583">
        <v>648</v>
      </c>
      <c r="C5583" t="s">
        <v>3145</v>
      </c>
      <c r="D5583">
        <v>8</v>
      </c>
      <c r="E5583" s="18">
        <v>-236</v>
      </c>
      <c r="F5583" t="s">
        <v>889</v>
      </c>
      <c r="G5583" t="s">
        <v>5671</v>
      </c>
      <c r="I5583"/>
      <c r="J5583"/>
      <c r="L5583"/>
      <c r="M5583"/>
      <c r="O5583"/>
      <c r="P5583" s="20"/>
      <c r="Q5583" s="20"/>
      <c r="R5583" s="20"/>
      <c r="S5583" s="20"/>
      <c r="T5583" s="20"/>
    </row>
    <row r="5584" spans="1:20" x14ac:dyDescent="0.25">
      <c r="A5584" s="3">
        <v>42041</v>
      </c>
      <c r="B5584">
        <v>648</v>
      </c>
      <c r="C5584" t="s">
        <v>5661</v>
      </c>
      <c r="D5584">
        <v>6</v>
      </c>
      <c r="E5584" s="18">
        <v>200</v>
      </c>
      <c r="F5584" t="s">
        <v>889</v>
      </c>
      <c r="G5584" t="s">
        <v>5662</v>
      </c>
      <c r="I5584"/>
      <c r="J5584"/>
      <c r="L5584"/>
      <c r="M5584"/>
      <c r="O5584"/>
      <c r="P5584" s="20"/>
      <c r="Q5584" s="20"/>
      <c r="R5584" s="20"/>
      <c r="S5584" s="20"/>
      <c r="T5584" s="20"/>
    </row>
    <row r="5585" spans="1:20" x14ac:dyDescent="0.25">
      <c r="A5585" s="3">
        <v>42041</v>
      </c>
      <c r="B5585">
        <v>648</v>
      </c>
      <c r="C5585" t="s">
        <v>5661</v>
      </c>
      <c r="E5585" s="18">
        <v>200</v>
      </c>
      <c r="F5585" t="s">
        <v>889</v>
      </c>
      <c r="G5585" t="s">
        <v>5662</v>
      </c>
      <c r="I5585"/>
      <c r="J5585"/>
      <c r="L5585"/>
      <c r="M5585"/>
      <c r="O5585"/>
      <c r="P5585" s="20"/>
      <c r="Q5585" s="20"/>
      <c r="R5585" s="20"/>
      <c r="S5585" s="20"/>
      <c r="T5585" s="20"/>
    </row>
    <row r="5586" spans="1:20" x14ac:dyDescent="0.25">
      <c r="A5586" s="3">
        <v>42041</v>
      </c>
      <c r="B5586">
        <v>648</v>
      </c>
      <c r="C5586" t="s">
        <v>5680</v>
      </c>
      <c r="D5586">
        <v>9</v>
      </c>
      <c r="E5586" s="18">
        <v>900</v>
      </c>
      <c r="F5586" t="s">
        <v>889</v>
      </c>
      <c r="G5586" t="s">
        <v>5665</v>
      </c>
      <c r="I5586"/>
      <c r="J5586"/>
      <c r="L5586"/>
      <c r="M5586"/>
      <c r="O5586"/>
      <c r="P5586" s="20"/>
      <c r="Q5586" s="20"/>
      <c r="R5586" s="20"/>
      <c r="S5586" s="20"/>
      <c r="T5586" s="20"/>
    </row>
    <row r="5587" spans="1:20" x14ac:dyDescent="0.25">
      <c r="A5587" s="3">
        <v>42041</v>
      </c>
      <c r="B5587">
        <v>648</v>
      </c>
      <c r="C5587" t="s">
        <v>5681</v>
      </c>
      <c r="D5587">
        <v>4.75</v>
      </c>
      <c r="E5587" s="18">
        <v>475</v>
      </c>
      <c r="F5587" t="s">
        <v>889</v>
      </c>
      <c r="G5587" t="s">
        <v>5660</v>
      </c>
      <c r="I5587"/>
      <c r="J5587"/>
      <c r="L5587"/>
      <c r="M5587"/>
      <c r="O5587"/>
      <c r="P5587" s="20"/>
      <c r="Q5587" s="20"/>
      <c r="R5587" s="20"/>
      <c r="S5587" s="20"/>
      <c r="T5587" s="20"/>
    </row>
    <row r="5588" spans="1:20" x14ac:dyDescent="0.25">
      <c r="A5588" s="3">
        <v>42041</v>
      </c>
      <c r="B5588">
        <v>648</v>
      </c>
      <c r="C5588" t="s">
        <v>5682</v>
      </c>
      <c r="E5588" s="18">
        <v>600</v>
      </c>
      <c r="F5588" t="s">
        <v>889</v>
      </c>
      <c r="G5588" t="s">
        <v>5670</v>
      </c>
      <c r="I5588"/>
      <c r="J5588"/>
      <c r="L5588"/>
      <c r="M5588"/>
      <c r="O5588"/>
      <c r="P5588" s="20"/>
      <c r="Q5588" s="20"/>
      <c r="R5588" s="20"/>
      <c r="S5588" s="20"/>
      <c r="T5588" s="20"/>
    </row>
    <row r="5589" spans="1:20" x14ac:dyDescent="0.25">
      <c r="A5589" s="3">
        <v>41926</v>
      </c>
      <c r="B5589" s="36">
        <v>649</v>
      </c>
      <c r="C5589" t="s">
        <v>5683</v>
      </c>
      <c r="D5589">
        <v>8.67</v>
      </c>
      <c r="E5589" s="18">
        <v>867</v>
      </c>
      <c r="F5589" t="s">
        <v>889</v>
      </c>
      <c r="G5589" t="s">
        <v>5684</v>
      </c>
      <c r="H5589" s="18">
        <v>867</v>
      </c>
      <c r="I5589" s="3">
        <v>41926</v>
      </c>
      <c r="J5589"/>
      <c r="L5589"/>
      <c r="M5589"/>
      <c r="N5589" s="20"/>
      <c r="O5589"/>
      <c r="P5589" s="20"/>
      <c r="Q5589" s="20"/>
      <c r="R5589" s="20"/>
      <c r="S5589" s="20"/>
      <c r="T5589" s="20"/>
    </row>
    <row r="5590" spans="1:20" x14ac:dyDescent="0.25">
      <c r="A5590" s="3">
        <v>41922</v>
      </c>
      <c r="B5590" s="36">
        <v>650</v>
      </c>
      <c r="C5590" t="s">
        <v>5685</v>
      </c>
      <c r="D5590">
        <v>5.0999999999999996</v>
      </c>
      <c r="E5590" s="18">
        <v>509.99999999999994</v>
      </c>
      <c r="F5590" t="s">
        <v>889</v>
      </c>
      <c r="G5590" t="s">
        <v>5686</v>
      </c>
      <c r="H5590" s="18">
        <v>509.99999999999994</v>
      </c>
      <c r="I5590" s="3">
        <v>41922</v>
      </c>
      <c r="J5590"/>
      <c r="L5590"/>
      <c r="M5590"/>
      <c r="N5590" s="20"/>
      <c r="O5590"/>
      <c r="P5590" s="20"/>
      <c r="Q5590" s="20"/>
      <c r="R5590" s="20"/>
      <c r="S5590" s="20"/>
      <c r="T5590" s="20"/>
    </row>
    <row r="5591" spans="1:20" x14ac:dyDescent="0.25">
      <c r="A5591" s="3">
        <v>41929</v>
      </c>
      <c r="B5591" s="36">
        <v>650</v>
      </c>
      <c r="C5591" t="s">
        <v>5687</v>
      </c>
      <c r="D5591">
        <v>5.5</v>
      </c>
      <c r="E5591" s="18">
        <v>867</v>
      </c>
      <c r="F5591" t="s">
        <v>889</v>
      </c>
      <c r="G5591" t="s">
        <v>5688</v>
      </c>
      <c r="H5591" s="18">
        <v>867</v>
      </c>
      <c r="I5591" s="3">
        <v>41929</v>
      </c>
      <c r="J5591"/>
      <c r="L5591"/>
      <c r="M5591"/>
      <c r="N5591" s="20"/>
      <c r="O5591"/>
      <c r="P5591" s="20"/>
      <c r="Q5591" s="20"/>
      <c r="R5591" s="20"/>
      <c r="S5591" s="20"/>
      <c r="T5591" s="20"/>
    </row>
    <row r="5592" spans="1:20" x14ac:dyDescent="0.25">
      <c r="A5592" s="3">
        <v>41929</v>
      </c>
      <c r="B5592" s="36">
        <v>650</v>
      </c>
      <c r="C5592" t="s">
        <v>5689</v>
      </c>
      <c r="D5592">
        <v>8.5</v>
      </c>
      <c r="E5592" s="18">
        <v>688.5</v>
      </c>
      <c r="F5592" t="s">
        <v>889</v>
      </c>
      <c r="G5592" t="s">
        <v>5690</v>
      </c>
      <c r="H5592" s="18">
        <v>688.5</v>
      </c>
      <c r="I5592" s="3">
        <v>41929</v>
      </c>
      <c r="J5592"/>
      <c r="L5592"/>
      <c r="M5592"/>
      <c r="N5592" s="20"/>
      <c r="O5592"/>
      <c r="P5592" s="20"/>
      <c r="Q5592" s="20"/>
      <c r="R5592" s="20"/>
      <c r="S5592" s="20"/>
      <c r="T5592" s="20"/>
    </row>
    <row r="5593" spans="1:20" x14ac:dyDescent="0.25">
      <c r="A5593" s="3">
        <v>41929</v>
      </c>
      <c r="B5593" s="36">
        <v>650</v>
      </c>
      <c r="C5593" t="s">
        <v>5691</v>
      </c>
      <c r="D5593">
        <v>8</v>
      </c>
      <c r="E5593" s="18">
        <v>586.5</v>
      </c>
      <c r="F5593" t="s">
        <v>889</v>
      </c>
      <c r="G5593" t="s">
        <v>5692</v>
      </c>
      <c r="H5593" s="18">
        <v>586.5</v>
      </c>
      <c r="I5593" s="3">
        <v>41929</v>
      </c>
      <c r="J5593"/>
      <c r="L5593"/>
      <c r="M5593"/>
      <c r="N5593" s="20"/>
      <c r="O5593"/>
      <c r="P5593" s="20"/>
      <c r="Q5593" s="20"/>
      <c r="R5593" s="20"/>
      <c r="S5593" s="20"/>
      <c r="T5593" s="20"/>
    </row>
    <row r="5594" spans="1:20" x14ac:dyDescent="0.25">
      <c r="A5594" s="3">
        <v>41929</v>
      </c>
      <c r="B5594" s="36">
        <v>650</v>
      </c>
      <c r="C5594" t="s">
        <v>5693</v>
      </c>
      <c r="D5594">
        <v>10.46</v>
      </c>
      <c r="E5594" s="18">
        <v>1045.5</v>
      </c>
      <c r="F5594" t="s">
        <v>889</v>
      </c>
      <c r="G5594" t="s">
        <v>5694</v>
      </c>
      <c r="H5594" s="18">
        <v>1045.5</v>
      </c>
      <c r="I5594" s="3">
        <v>41929</v>
      </c>
      <c r="J5594"/>
      <c r="L5594"/>
      <c r="M5594"/>
      <c r="N5594" s="20"/>
      <c r="O5594"/>
      <c r="P5594" s="20"/>
      <c r="Q5594" s="20"/>
      <c r="R5594" s="20"/>
      <c r="S5594" s="20"/>
      <c r="T5594" s="20"/>
    </row>
    <row r="5595" spans="1:20" x14ac:dyDescent="0.25">
      <c r="A5595" s="3">
        <v>41929</v>
      </c>
      <c r="B5595" s="36">
        <v>650</v>
      </c>
      <c r="C5595" t="s">
        <v>5695</v>
      </c>
      <c r="D5595">
        <v>6</v>
      </c>
      <c r="E5595" s="18">
        <v>688.5</v>
      </c>
      <c r="F5595" t="s">
        <v>889</v>
      </c>
      <c r="G5595" t="s">
        <v>5696</v>
      </c>
      <c r="H5595" s="18">
        <v>688.5</v>
      </c>
      <c r="I5595" s="3">
        <v>41929</v>
      </c>
      <c r="J5595"/>
      <c r="L5595"/>
      <c r="M5595"/>
      <c r="N5595" s="20"/>
      <c r="O5595"/>
      <c r="P5595" s="20"/>
      <c r="Q5595" s="20"/>
      <c r="R5595" s="20"/>
      <c r="S5595" s="20"/>
      <c r="T5595" s="20"/>
    </row>
    <row r="5596" spans="1:20" x14ac:dyDescent="0.25">
      <c r="A5596" s="3">
        <v>41943</v>
      </c>
      <c r="B5596" s="36">
        <v>650</v>
      </c>
      <c r="C5596" t="s">
        <v>5697</v>
      </c>
      <c r="D5596">
        <v>9.69</v>
      </c>
      <c r="E5596" s="18">
        <v>969</v>
      </c>
      <c r="F5596" t="s">
        <v>889</v>
      </c>
      <c r="G5596" t="s">
        <v>5698</v>
      </c>
      <c r="H5596" s="18">
        <v>969</v>
      </c>
      <c r="I5596" s="3">
        <v>41943</v>
      </c>
      <c r="J5596"/>
      <c r="L5596"/>
      <c r="M5596"/>
      <c r="N5596" s="20"/>
      <c r="O5596"/>
      <c r="P5596" s="20"/>
      <c r="Q5596" s="20"/>
      <c r="R5596" s="20"/>
      <c r="S5596" s="20"/>
      <c r="T5596" s="20"/>
    </row>
    <row r="5597" spans="1:20" x14ac:dyDescent="0.25">
      <c r="A5597" s="3">
        <v>41943</v>
      </c>
      <c r="B5597" s="36">
        <v>650</v>
      </c>
      <c r="C5597" t="s">
        <v>5699</v>
      </c>
      <c r="D5597">
        <v>4.8449999999999998</v>
      </c>
      <c r="E5597" s="18">
        <v>484.5</v>
      </c>
      <c r="F5597" t="s">
        <v>889</v>
      </c>
      <c r="G5597" t="s">
        <v>5700</v>
      </c>
      <c r="H5597" s="18">
        <v>484.5</v>
      </c>
      <c r="I5597" s="3">
        <v>41943</v>
      </c>
      <c r="J5597"/>
      <c r="L5597"/>
      <c r="M5597"/>
      <c r="N5597" s="20"/>
      <c r="O5597"/>
      <c r="P5597" s="20"/>
      <c r="Q5597" s="20"/>
      <c r="R5597" s="20"/>
      <c r="S5597" s="20"/>
      <c r="T5597" s="20"/>
    </row>
    <row r="5598" spans="1:20" x14ac:dyDescent="0.25">
      <c r="A5598" s="3">
        <v>41943</v>
      </c>
      <c r="B5598" s="36">
        <v>650</v>
      </c>
      <c r="C5598" t="s">
        <v>5701</v>
      </c>
      <c r="D5598">
        <v>4.75</v>
      </c>
      <c r="E5598" s="18">
        <v>612</v>
      </c>
      <c r="F5598" t="s">
        <v>889</v>
      </c>
      <c r="G5598" t="s">
        <v>5702</v>
      </c>
      <c r="H5598" s="18">
        <v>612</v>
      </c>
      <c r="I5598" s="3">
        <v>41943</v>
      </c>
      <c r="J5598"/>
      <c r="L5598"/>
      <c r="M5598"/>
      <c r="N5598" s="20"/>
      <c r="O5598"/>
      <c r="P5598" s="20"/>
      <c r="Q5598" s="20"/>
      <c r="R5598" s="20"/>
      <c r="S5598" s="20"/>
      <c r="T5598" s="20"/>
    </row>
    <row r="5599" spans="1:20" x14ac:dyDescent="0.25">
      <c r="A5599" s="3">
        <v>41943</v>
      </c>
      <c r="B5599" s="36">
        <v>650</v>
      </c>
      <c r="C5599" t="s">
        <v>5695</v>
      </c>
      <c r="D5599">
        <v>6</v>
      </c>
      <c r="E5599" s="18">
        <v>-688.5</v>
      </c>
      <c r="F5599" t="s">
        <v>889</v>
      </c>
      <c r="G5599" t="s">
        <v>5696</v>
      </c>
      <c r="H5599" s="18" t="s">
        <v>442</v>
      </c>
      <c r="I5599" s="3" t="s">
        <v>442</v>
      </c>
      <c r="J5599"/>
      <c r="L5599"/>
      <c r="M5599"/>
      <c r="N5599" s="20"/>
      <c r="O5599"/>
      <c r="P5599" s="20"/>
      <c r="Q5599" s="20"/>
      <c r="R5599" s="20"/>
      <c r="S5599" s="20"/>
      <c r="T5599" s="20"/>
    </row>
    <row r="5600" spans="1:20" x14ac:dyDescent="0.25">
      <c r="A5600" s="3">
        <v>41950</v>
      </c>
      <c r="B5600" s="36">
        <v>650</v>
      </c>
      <c r="C5600" t="s">
        <v>5703</v>
      </c>
      <c r="D5600">
        <v>15.555</v>
      </c>
      <c r="E5600" s="18">
        <v>1555.5</v>
      </c>
      <c r="F5600" t="s">
        <v>889</v>
      </c>
      <c r="G5600" t="s">
        <v>5704</v>
      </c>
      <c r="H5600" s="18">
        <v>1555.5</v>
      </c>
      <c r="I5600" s="3">
        <v>41950</v>
      </c>
      <c r="J5600"/>
      <c r="L5600"/>
      <c r="M5600"/>
      <c r="N5600" s="20"/>
      <c r="O5600"/>
      <c r="P5600" s="20"/>
      <c r="Q5600" s="20"/>
      <c r="R5600" s="20"/>
      <c r="S5600" s="20"/>
      <c r="T5600" s="20"/>
    </row>
    <row r="5601" spans="1:21" x14ac:dyDescent="0.25">
      <c r="B5601">
        <v>650</v>
      </c>
      <c r="C5601" t="s">
        <v>5697</v>
      </c>
      <c r="D5601">
        <v>9.69</v>
      </c>
      <c r="E5601" s="18">
        <v>-969</v>
      </c>
      <c r="F5601" t="s">
        <v>889</v>
      </c>
      <c r="G5601" t="s">
        <v>5698</v>
      </c>
      <c r="I5601"/>
      <c r="J5601"/>
      <c r="L5601"/>
      <c r="M5601"/>
      <c r="O5601"/>
      <c r="P5601" s="20"/>
      <c r="Q5601" s="20"/>
      <c r="R5601" s="20"/>
      <c r="S5601" s="20"/>
      <c r="T5601" s="20"/>
      <c r="U5601" t="s">
        <v>401</v>
      </c>
    </row>
    <row r="5602" spans="1:21" x14ac:dyDescent="0.25">
      <c r="B5602">
        <v>650</v>
      </c>
      <c r="C5602" t="s">
        <v>5705</v>
      </c>
      <c r="D5602">
        <v>4.59</v>
      </c>
      <c r="E5602" s="18">
        <v>459</v>
      </c>
      <c r="F5602" t="s">
        <v>889</v>
      </c>
      <c r="G5602" t="s">
        <v>5706</v>
      </c>
      <c r="I5602"/>
      <c r="J5602"/>
      <c r="L5602"/>
      <c r="M5602"/>
      <c r="O5602"/>
      <c r="P5602" s="20"/>
      <c r="Q5602" s="20"/>
      <c r="R5602" s="20"/>
      <c r="S5602" s="20"/>
      <c r="T5602" s="20"/>
      <c r="U5602" t="s">
        <v>401</v>
      </c>
    </row>
    <row r="5603" spans="1:21" x14ac:dyDescent="0.25">
      <c r="B5603">
        <v>650</v>
      </c>
      <c r="C5603" t="s">
        <v>5687</v>
      </c>
      <c r="D5603">
        <v>8.67</v>
      </c>
      <c r="E5603" s="18">
        <v>-867</v>
      </c>
      <c r="F5603" t="s">
        <v>889</v>
      </c>
      <c r="G5603" t="s">
        <v>5688</v>
      </c>
      <c r="I5603"/>
      <c r="J5603"/>
      <c r="L5603"/>
      <c r="M5603"/>
      <c r="O5603"/>
      <c r="P5603" s="20"/>
      <c r="Q5603" s="20"/>
      <c r="R5603" s="20"/>
      <c r="S5603" s="20"/>
      <c r="T5603" s="20"/>
      <c r="U5603" t="s">
        <v>401</v>
      </c>
    </row>
    <row r="5604" spans="1:21" x14ac:dyDescent="0.25">
      <c r="B5604">
        <v>650</v>
      </c>
      <c r="C5604" t="s">
        <v>5693</v>
      </c>
      <c r="D5604">
        <v>10.455</v>
      </c>
      <c r="E5604" s="18">
        <v>-1045.5</v>
      </c>
      <c r="F5604" t="s">
        <v>889</v>
      </c>
      <c r="G5604" t="s">
        <v>5694</v>
      </c>
      <c r="I5604"/>
      <c r="J5604"/>
      <c r="L5604"/>
      <c r="M5604"/>
      <c r="O5604"/>
      <c r="P5604" s="20"/>
      <c r="Q5604" s="20"/>
      <c r="R5604" s="20"/>
      <c r="S5604" s="20"/>
      <c r="T5604" s="20"/>
      <c r="U5604" t="s">
        <v>401</v>
      </c>
    </row>
    <row r="5605" spans="1:21" x14ac:dyDescent="0.25">
      <c r="A5605" s="57">
        <v>41919</v>
      </c>
      <c r="B5605" s="42">
        <v>652</v>
      </c>
      <c r="C5605" s="45" t="s">
        <v>5707</v>
      </c>
      <c r="D5605" s="45">
        <v>7.25</v>
      </c>
      <c r="E5605" s="58">
        <v>725</v>
      </c>
      <c r="F5605" s="45" t="s">
        <v>889</v>
      </c>
      <c r="G5605" s="45" t="s">
        <v>4498</v>
      </c>
      <c r="H5605" s="18">
        <v>725</v>
      </c>
      <c r="I5605" s="3">
        <v>41919</v>
      </c>
      <c r="J5605" s="45"/>
      <c r="K5605" s="45"/>
      <c r="L5605" s="45"/>
      <c r="M5605" s="45"/>
      <c r="N5605" s="45"/>
      <c r="O5605" s="45"/>
      <c r="P5605" s="20"/>
      <c r="Q5605" s="20"/>
      <c r="R5605" s="20"/>
      <c r="S5605" s="20"/>
      <c r="T5605" s="20"/>
    </row>
    <row r="5606" spans="1:21" x14ac:dyDescent="0.25">
      <c r="A5606" s="57">
        <v>41922</v>
      </c>
      <c r="B5606" s="42">
        <v>652</v>
      </c>
      <c r="C5606" s="45" t="s">
        <v>5707</v>
      </c>
      <c r="D5606" s="45">
        <v>7.25</v>
      </c>
      <c r="E5606" s="58">
        <v>725</v>
      </c>
      <c r="F5606" s="45" t="s">
        <v>889</v>
      </c>
      <c r="G5606" s="45" t="s">
        <v>4498</v>
      </c>
      <c r="H5606" s="18">
        <v>725</v>
      </c>
      <c r="I5606" s="3">
        <v>41922</v>
      </c>
      <c r="J5606" s="45"/>
      <c r="K5606" s="45"/>
      <c r="L5606" s="45"/>
      <c r="M5606" s="45"/>
      <c r="N5606" s="45"/>
      <c r="O5606" s="45"/>
      <c r="P5606" s="20"/>
      <c r="Q5606" s="20"/>
      <c r="R5606" s="20"/>
      <c r="S5606" s="20"/>
      <c r="T5606" s="20"/>
    </row>
    <row r="5607" spans="1:21" x14ac:dyDescent="0.25">
      <c r="B5607">
        <v>652</v>
      </c>
      <c r="C5607" t="s">
        <v>5707</v>
      </c>
      <c r="D5607">
        <v>7.25</v>
      </c>
      <c r="E5607" s="18">
        <v>-725</v>
      </c>
      <c r="F5607" t="s">
        <v>889</v>
      </c>
      <c r="G5607" t="s">
        <v>4498</v>
      </c>
      <c r="I5607"/>
      <c r="J5607"/>
      <c r="L5607"/>
      <c r="M5607"/>
      <c r="O5607"/>
      <c r="P5607" s="20"/>
      <c r="Q5607" s="20"/>
      <c r="R5607" s="20"/>
      <c r="S5607" s="20"/>
      <c r="T5607" s="20"/>
      <c r="U5607" t="s">
        <v>401</v>
      </c>
    </row>
    <row r="5608" spans="1:21" x14ac:dyDescent="0.25">
      <c r="A5608" s="3">
        <v>41926</v>
      </c>
      <c r="B5608" s="36">
        <v>653</v>
      </c>
      <c r="C5608" t="s">
        <v>5708</v>
      </c>
      <c r="D5608">
        <v>41.75</v>
      </c>
      <c r="E5608" s="18">
        <v>4175</v>
      </c>
      <c r="F5608" t="s">
        <v>889</v>
      </c>
      <c r="G5608" t="s">
        <v>5709</v>
      </c>
      <c r="H5608" s="18">
        <v>4175</v>
      </c>
      <c r="I5608" s="3">
        <v>41926</v>
      </c>
      <c r="J5608"/>
      <c r="L5608"/>
      <c r="M5608"/>
      <c r="N5608" s="20"/>
      <c r="O5608"/>
      <c r="P5608" s="20"/>
      <c r="Q5608" s="20"/>
      <c r="R5608" s="20"/>
      <c r="S5608" s="20"/>
      <c r="T5608" s="20"/>
    </row>
    <row r="5609" spans="1:21" x14ac:dyDescent="0.25">
      <c r="A5609" s="3">
        <v>41929</v>
      </c>
      <c r="B5609" s="36">
        <v>653</v>
      </c>
      <c r="C5609" t="s">
        <v>5710</v>
      </c>
      <c r="D5609">
        <v>10.25</v>
      </c>
      <c r="E5609" s="18">
        <v>1025</v>
      </c>
      <c r="F5609" t="s">
        <v>889</v>
      </c>
      <c r="G5609" t="s">
        <v>5711</v>
      </c>
      <c r="H5609" s="18">
        <v>1025</v>
      </c>
      <c r="I5609" s="3">
        <v>41929</v>
      </c>
      <c r="J5609"/>
      <c r="L5609"/>
      <c r="M5609"/>
      <c r="N5609" s="20"/>
      <c r="O5609"/>
      <c r="P5609" s="20"/>
      <c r="Q5609" s="20"/>
      <c r="R5609" s="20"/>
      <c r="S5609" s="20"/>
      <c r="T5609" s="20"/>
    </row>
    <row r="5610" spans="1:21" x14ac:dyDescent="0.25">
      <c r="B5610">
        <v>653</v>
      </c>
      <c r="C5610" t="s">
        <v>5710</v>
      </c>
      <c r="D5610">
        <v>10.25</v>
      </c>
      <c r="E5610" s="18">
        <v>-1025</v>
      </c>
      <c r="F5610" t="s">
        <v>889</v>
      </c>
      <c r="G5610" t="s">
        <v>5711</v>
      </c>
      <c r="I5610"/>
      <c r="J5610"/>
      <c r="L5610"/>
      <c r="M5610"/>
      <c r="O5610"/>
      <c r="P5610" s="20"/>
      <c r="Q5610" s="20"/>
      <c r="R5610" s="20"/>
      <c r="S5610" s="20"/>
      <c r="T5610" s="20"/>
      <c r="U5610" t="s">
        <v>401</v>
      </c>
    </row>
    <row r="5611" spans="1:21" x14ac:dyDescent="0.25">
      <c r="A5611" s="3">
        <v>41932</v>
      </c>
      <c r="B5611" s="36">
        <v>656</v>
      </c>
      <c r="C5611" t="s">
        <v>5712</v>
      </c>
      <c r="D5611">
        <v>3.5</v>
      </c>
      <c r="E5611" s="18">
        <v>425</v>
      </c>
      <c r="F5611" t="s">
        <v>889</v>
      </c>
      <c r="G5611" t="s">
        <v>5713</v>
      </c>
      <c r="H5611" s="18">
        <v>425</v>
      </c>
      <c r="I5611" s="3">
        <v>41932</v>
      </c>
      <c r="J5611"/>
      <c r="L5611"/>
      <c r="M5611"/>
      <c r="N5611" s="20"/>
      <c r="O5611"/>
      <c r="P5611" s="20"/>
      <c r="Q5611" s="20"/>
      <c r="R5611" s="20"/>
      <c r="S5611" s="20"/>
      <c r="T5611" s="20"/>
    </row>
    <row r="5612" spans="1:21" x14ac:dyDescent="0.25">
      <c r="A5612" s="3">
        <v>41943</v>
      </c>
      <c r="B5612" s="36">
        <v>656</v>
      </c>
      <c r="C5612" t="s">
        <v>5714</v>
      </c>
      <c r="D5612">
        <v>5.3550000000000004</v>
      </c>
      <c r="E5612" s="18">
        <v>535.5</v>
      </c>
      <c r="F5612" t="s">
        <v>889</v>
      </c>
      <c r="G5612" t="s">
        <v>5715</v>
      </c>
      <c r="H5612" s="18">
        <v>535.5</v>
      </c>
      <c r="I5612" s="3">
        <v>41943</v>
      </c>
      <c r="J5612"/>
      <c r="L5612"/>
      <c r="M5612"/>
      <c r="N5612" s="20"/>
      <c r="O5612"/>
      <c r="P5612" s="20"/>
      <c r="Q5612" s="20"/>
      <c r="R5612" s="20"/>
      <c r="S5612" s="20"/>
      <c r="T5612" s="20"/>
    </row>
    <row r="5613" spans="1:21" x14ac:dyDescent="0.25">
      <c r="A5613" s="3">
        <v>41950</v>
      </c>
      <c r="B5613" s="36">
        <v>656</v>
      </c>
      <c r="C5613" t="s">
        <v>5716</v>
      </c>
      <c r="D5613">
        <v>3.06</v>
      </c>
      <c r="E5613" s="18">
        <v>306</v>
      </c>
      <c r="F5613" t="s">
        <v>889</v>
      </c>
      <c r="G5613" t="s">
        <v>5717</v>
      </c>
      <c r="H5613" s="18">
        <v>306</v>
      </c>
      <c r="I5613" s="3">
        <v>41950</v>
      </c>
      <c r="J5613"/>
      <c r="L5613"/>
      <c r="M5613"/>
      <c r="N5613" s="20"/>
      <c r="O5613"/>
      <c r="P5613" s="20"/>
      <c r="Q5613" s="20"/>
      <c r="R5613" s="20"/>
      <c r="S5613" s="20"/>
      <c r="T5613" s="20"/>
    </row>
    <row r="5614" spans="1:21" x14ac:dyDescent="0.25">
      <c r="A5614" s="3">
        <v>41950</v>
      </c>
      <c r="B5614" s="36">
        <v>656</v>
      </c>
      <c r="C5614" t="s">
        <v>5718</v>
      </c>
      <c r="D5614">
        <v>2.8050000000000002</v>
      </c>
      <c r="E5614" s="18">
        <v>280.5</v>
      </c>
      <c r="F5614" t="s">
        <v>889</v>
      </c>
      <c r="G5614" t="s">
        <v>5719</v>
      </c>
      <c r="H5614" s="18">
        <v>280.5</v>
      </c>
      <c r="I5614" s="3">
        <v>41950</v>
      </c>
      <c r="J5614"/>
      <c r="L5614"/>
      <c r="M5614"/>
      <c r="N5614" s="20"/>
      <c r="O5614"/>
      <c r="P5614" s="20"/>
      <c r="Q5614" s="20"/>
      <c r="R5614" s="20"/>
      <c r="S5614" s="20"/>
      <c r="T5614" s="20"/>
    </row>
    <row r="5615" spans="1:21" x14ac:dyDescent="0.25">
      <c r="A5615" s="3">
        <v>41964</v>
      </c>
      <c r="B5615" s="36">
        <v>656</v>
      </c>
      <c r="C5615" t="s">
        <v>5720</v>
      </c>
      <c r="D5615">
        <v>9.69</v>
      </c>
      <c r="E5615" s="18">
        <v>969</v>
      </c>
      <c r="F5615" t="s">
        <v>889</v>
      </c>
      <c r="G5615" t="s">
        <v>5721</v>
      </c>
      <c r="H5615" s="18">
        <v>969</v>
      </c>
      <c r="I5615" s="3">
        <v>41964</v>
      </c>
      <c r="J5615"/>
      <c r="L5615"/>
      <c r="M5615"/>
      <c r="N5615" s="20"/>
      <c r="O5615"/>
      <c r="P5615" s="20"/>
      <c r="Q5615" s="20"/>
      <c r="R5615" s="20"/>
      <c r="S5615" s="20"/>
      <c r="T5615" s="20"/>
    </row>
    <row r="5616" spans="1:21" x14ac:dyDescent="0.25">
      <c r="A5616" s="3">
        <v>41999</v>
      </c>
      <c r="B5616" s="36">
        <v>656</v>
      </c>
      <c r="C5616" t="s">
        <v>5716</v>
      </c>
      <c r="D5616">
        <v>3.8250000000000002</v>
      </c>
      <c r="E5616" s="18">
        <v>459</v>
      </c>
      <c r="F5616" t="s">
        <v>889</v>
      </c>
      <c r="G5616" t="s">
        <v>5717</v>
      </c>
      <c r="H5616" s="18">
        <v>459</v>
      </c>
      <c r="I5616" s="3">
        <v>41999</v>
      </c>
      <c r="J5616"/>
      <c r="L5616"/>
      <c r="M5616"/>
      <c r="N5616" s="20"/>
      <c r="O5616" t="s">
        <v>959</v>
      </c>
      <c r="P5616" s="20"/>
      <c r="Q5616" s="20"/>
      <c r="R5616" s="20"/>
      <c r="S5616" s="20"/>
      <c r="T5616" s="20"/>
    </row>
    <row r="5617" spans="1:21" x14ac:dyDescent="0.25">
      <c r="A5617" s="3">
        <v>42027</v>
      </c>
      <c r="B5617" s="36">
        <v>656</v>
      </c>
      <c r="C5617" t="s">
        <v>476</v>
      </c>
      <c r="D5617" s="55">
        <v>8.58</v>
      </c>
      <c r="E5617" s="18">
        <v>429</v>
      </c>
      <c r="F5617" t="s">
        <v>889</v>
      </c>
      <c r="G5617" t="s">
        <v>477</v>
      </c>
      <c r="H5617" s="18">
        <v>429</v>
      </c>
      <c r="I5617" s="3">
        <v>42027</v>
      </c>
      <c r="J5617"/>
      <c r="L5617"/>
      <c r="M5617"/>
      <c r="N5617" s="20"/>
      <c r="O5617"/>
      <c r="P5617" s="20"/>
      <c r="Q5617" s="20"/>
      <c r="R5617" s="20"/>
      <c r="S5617" s="20"/>
      <c r="T5617" s="20"/>
    </row>
    <row r="5618" spans="1:21" x14ac:dyDescent="0.25">
      <c r="A5618" s="3">
        <v>42034</v>
      </c>
      <c r="B5618">
        <v>656</v>
      </c>
      <c r="C5618" s="20" t="s">
        <v>5722</v>
      </c>
      <c r="D5618" s="20">
        <v>5.3550000000000004</v>
      </c>
      <c r="E5618" s="59">
        <v>535.5</v>
      </c>
      <c r="F5618" s="20" t="s">
        <v>889</v>
      </c>
      <c r="G5618" t="s">
        <v>5715</v>
      </c>
      <c r="H5618" s="18"/>
      <c r="J5618"/>
      <c r="L5618"/>
      <c r="M5618"/>
      <c r="N5618" s="20"/>
      <c r="O5618"/>
      <c r="P5618" s="20"/>
      <c r="Q5618" s="20"/>
      <c r="R5618" s="20"/>
      <c r="S5618" s="20"/>
      <c r="T5618" s="20"/>
    </row>
    <row r="5619" spans="1:21" x14ac:dyDescent="0.25">
      <c r="A5619" s="3">
        <v>42034</v>
      </c>
      <c r="B5619">
        <v>656</v>
      </c>
      <c r="C5619" s="56" t="s">
        <v>5716</v>
      </c>
      <c r="D5619" s="20">
        <v>3.06</v>
      </c>
      <c r="E5619" s="59">
        <v>-153</v>
      </c>
      <c r="F5619" s="20" t="s">
        <v>889</v>
      </c>
      <c r="G5619" s="56" t="s">
        <v>5717</v>
      </c>
      <c r="H5619" s="18"/>
      <c r="J5619"/>
      <c r="L5619"/>
      <c r="M5619"/>
      <c r="N5619" s="20"/>
      <c r="O5619"/>
      <c r="P5619" s="20"/>
      <c r="Q5619" s="20"/>
      <c r="R5619" s="20"/>
      <c r="S5619" s="20"/>
      <c r="T5619" s="20"/>
    </row>
    <row r="5620" spans="1:21" x14ac:dyDescent="0.25">
      <c r="A5620" s="3">
        <v>42041</v>
      </c>
      <c r="B5620">
        <v>656</v>
      </c>
      <c r="C5620" t="s">
        <v>5712</v>
      </c>
      <c r="E5620" s="18">
        <v>141.66666666666666</v>
      </c>
      <c r="F5620" t="s">
        <v>889</v>
      </c>
      <c r="G5620" t="s">
        <v>5713</v>
      </c>
      <c r="I5620"/>
      <c r="J5620"/>
      <c r="L5620"/>
      <c r="M5620"/>
      <c r="O5620"/>
      <c r="P5620" s="20"/>
      <c r="Q5620" s="20"/>
      <c r="R5620" s="20"/>
      <c r="S5620" s="20"/>
      <c r="T5620" s="20"/>
    </row>
    <row r="5621" spans="1:21" x14ac:dyDescent="0.25">
      <c r="B5621">
        <v>656</v>
      </c>
      <c r="C5621" t="s">
        <v>5712</v>
      </c>
      <c r="D5621">
        <v>4.25</v>
      </c>
      <c r="E5621" s="18">
        <v>141.66666666666666</v>
      </c>
      <c r="F5621" t="s">
        <v>889</v>
      </c>
      <c r="G5621" t="s">
        <v>5713</v>
      </c>
      <c r="I5621"/>
      <c r="J5621"/>
      <c r="L5621"/>
      <c r="M5621"/>
      <c r="O5621"/>
      <c r="P5621" s="20"/>
      <c r="Q5621" s="20"/>
      <c r="R5621" s="20"/>
      <c r="S5621" s="20"/>
      <c r="T5621" s="20"/>
      <c r="U5621" t="s">
        <v>401</v>
      </c>
    </row>
    <row r="5622" spans="1:21" x14ac:dyDescent="0.25">
      <c r="A5622" s="3">
        <v>41943</v>
      </c>
      <c r="B5622" s="36">
        <v>657</v>
      </c>
      <c r="C5622" t="s">
        <v>5723</v>
      </c>
      <c r="D5622">
        <v>9.75</v>
      </c>
      <c r="E5622" s="18">
        <v>975</v>
      </c>
      <c r="F5622" t="s">
        <v>889</v>
      </c>
      <c r="G5622" t="s">
        <v>5724</v>
      </c>
      <c r="H5622" s="18">
        <v>975</v>
      </c>
      <c r="I5622" s="3">
        <v>41943</v>
      </c>
      <c r="J5622"/>
      <c r="L5622"/>
      <c r="M5622"/>
      <c r="N5622" s="20"/>
      <c r="O5622"/>
      <c r="P5622" s="20"/>
      <c r="Q5622" s="20"/>
      <c r="R5622" s="20"/>
      <c r="S5622" s="20"/>
      <c r="T5622" s="20"/>
    </row>
    <row r="5623" spans="1:21" x14ac:dyDescent="0.25">
      <c r="A5623" s="3">
        <v>41971</v>
      </c>
      <c r="B5623" s="36">
        <v>657</v>
      </c>
      <c r="C5623" t="s">
        <v>5725</v>
      </c>
      <c r="D5623">
        <v>2.8050000000000002</v>
      </c>
      <c r="E5623" s="18">
        <v>280.5</v>
      </c>
      <c r="F5623" t="s">
        <v>889</v>
      </c>
      <c r="G5623" t="s">
        <v>5726</v>
      </c>
      <c r="H5623" s="18">
        <v>280.5</v>
      </c>
      <c r="I5623" s="3">
        <v>41971</v>
      </c>
      <c r="J5623"/>
      <c r="L5623"/>
      <c r="M5623"/>
      <c r="N5623" s="20"/>
      <c r="O5623"/>
      <c r="P5623" s="20"/>
      <c r="Q5623" s="20"/>
      <c r="R5623" s="20"/>
      <c r="S5623" s="20"/>
      <c r="T5623" s="20"/>
    </row>
    <row r="5624" spans="1:21" x14ac:dyDescent="0.25">
      <c r="A5624" s="3">
        <v>41978</v>
      </c>
      <c r="B5624" s="36">
        <v>657</v>
      </c>
      <c r="C5624" t="s">
        <v>5727</v>
      </c>
      <c r="D5624">
        <v>3.25</v>
      </c>
      <c r="E5624" s="18">
        <v>325</v>
      </c>
      <c r="F5624" t="s">
        <v>889</v>
      </c>
      <c r="G5624" t="s">
        <v>5728</v>
      </c>
      <c r="H5624" s="18">
        <v>325</v>
      </c>
      <c r="I5624" s="3">
        <v>41978</v>
      </c>
      <c r="J5624"/>
      <c r="L5624"/>
      <c r="M5624"/>
      <c r="N5624" s="20"/>
      <c r="O5624"/>
      <c r="P5624" s="20"/>
      <c r="Q5624" s="20"/>
      <c r="R5624" s="20"/>
      <c r="S5624" s="20"/>
      <c r="T5624" s="20"/>
    </row>
    <row r="5625" spans="1:21" x14ac:dyDescent="0.25">
      <c r="A5625" s="3">
        <v>42004</v>
      </c>
      <c r="B5625" s="36">
        <v>657</v>
      </c>
      <c r="C5625" t="s">
        <v>5723</v>
      </c>
      <c r="D5625">
        <v>9.75</v>
      </c>
      <c r="E5625" s="18">
        <v>325</v>
      </c>
      <c r="F5625" t="s">
        <v>889</v>
      </c>
      <c r="G5625" t="s">
        <v>5724</v>
      </c>
      <c r="H5625" s="18">
        <v>325</v>
      </c>
      <c r="I5625" s="3">
        <v>42004</v>
      </c>
      <c r="J5625"/>
      <c r="L5625"/>
      <c r="M5625"/>
      <c r="N5625" s="20"/>
      <c r="O5625"/>
      <c r="P5625" s="20"/>
      <c r="Q5625" s="20"/>
      <c r="R5625" s="20"/>
      <c r="S5625" s="20"/>
      <c r="T5625" s="20"/>
    </row>
    <row r="5626" spans="1:21" x14ac:dyDescent="0.25">
      <c r="A5626" s="3">
        <v>42041</v>
      </c>
      <c r="B5626">
        <v>657</v>
      </c>
      <c r="C5626" t="s">
        <v>5723</v>
      </c>
      <c r="E5626" s="18">
        <v>325</v>
      </c>
      <c r="F5626" t="s">
        <v>889</v>
      </c>
      <c r="G5626" t="s">
        <v>5724</v>
      </c>
      <c r="I5626"/>
      <c r="J5626"/>
      <c r="L5626"/>
      <c r="M5626"/>
      <c r="O5626"/>
      <c r="P5626" s="20"/>
      <c r="Q5626" s="20"/>
      <c r="R5626" s="20"/>
      <c r="S5626" s="20"/>
      <c r="T5626" s="20"/>
    </row>
    <row r="5627" spans="1:21" x14ac:dyDescent="0.25">
      <c r="A5627" s="3">
        <v>41985</v>
      </c>
      <c r="B5627" s="36">
        <v>659</v>
      </c>
      <c r="C5627" t="s">
        <v>5729</v>
      </c>
      <c r="E5627" s="18">
        <v>1000</v>
      </c>
      <c r="F5627" t="s">
        <v>889</v>
      </c>
      <c r="G5627" t="s">
        <v>442</v>
      </c>
      <c r="H5627" s="18" t="s">
        <v>442</v>
      </c>
      <c r="I5627" s="3" t="s">
        <v>442</v>
      </c>
      <c r="J5627"/>
      <c r="L5627"/>
      <c r="M5627"/>
      <c r="N5627" s="20"/>
      <c r="O5627"/>
      <c r="P5627" s="20"/>
      <c r="Q5627" s="20"/>
      <c r="R5627" s="20"/>
      <c r="S5627" s="20"/>
      <c r="T5627" s="20" t="s">
        <v>401</v>
      </c>
    </row>
    <row r="5628" spans="1:21" x14ac:dyDescent="0.25">
      <c r="A5628" s="3">
        <v>41985</v>
      </c>
      <c r="B5628" s="36">
        <v>659</v>
      </c>
      <c r="C5628" t="s">
        <v>5730</v>
      </c>
      <c r="D5628">
        <v>2.5499999999999998</v>
      </c>
      <c r="E5628" s="18">
        <v>254.99999999999997</v>
      </c>
      <c r="F5628" t="s">
        <v>889</v>
      </c>
      <c r="G5628" t="s">
        <v>5731</v>
      </c>
      <c r="H5628" s="18">
        <v>254.99999999999997</v>
      </c>
      <c r="I5628" s="3">
        <v>41985</v>
      </c>
      <c r="J5628"/>
      <c r="L5628"/>
      <c r="M5628"/>
      <c r="N5628" s="20"/>
      <c r="O5628"/>
      <c r="P5628" s="20"/>
      <c r="Q5628" s="20"/>
      <c r="R5628" s="20"/>
      <c r="S5628" s="20"/>
      <c r="T5628" s="20"/>
    </row>
    <row r="5629" spans="1:21" x14ac:dyDescent="0.25">
      <c r="A5629" s="3">
        <v>41985</v>
      </c>
      <c r="B5629" s="36">
        <v>659</v>
      </c>
      <c r="C5629" t="s">
        <v>5732</v>
      </c>
      <c r="D5629">
        <v>3.06</v>
      </c>
      <c r="E5629" s="18">
        <v>306</v>
      </c>
      <c r="F5629" t="s">
        <v>889</v>
      </c>
      <c r="G5629" t="s">
        <v>5733</v>
      </c>
      <c r="H5629" s="18">
        <v>306</v>
      </c>
      <c r="I5629" s="3">
        <v>41985</v>
      </c>
      <c r="J5629"/>
      <c r="L5629"/>
      <c r="M5629"/>
      <c r="N5629" s="20"/>
      <c r="O5629"/>
      <c r="P5629" s="20"/>
      <c r="Q5629" s="20"/>
      <c r="R5629" s="20"/>
      <c r="S5629" s="20"/>
      <c r="T5629" s="20"/>
    </row>
    <row r="5630" spans="1:21" x14ac:dyDescent="0.25">
      <c r="A5630" s="3">
        <v>41985</v>
      </c>
      <c r="B5630" s="36">
        <v>659</v>
      </c>
      <c r="C5630" t="s">
        <v>5734</v>
      </c>
      <c r="D5630">
        <v>5.8650000000000002</v>
      </c>
      <c r="E5630" s="18">
        <v>586.5</v>
      </c>
      <c r="F5630" t="s">
        <v>889</v>
      </c>
      <c r="G5630" t="s">
        <v>5735</v>
      </c>
      <c r="H5630" s="18">
        <v>586.5</v>
      </c>
      <c r="I5630" s="3">
        <v>41985</v>
      </c>
      <c r="J5630"/>
      <c r="L5630"/>
      <c r="M5630"/>
      <c r="N5630" s="20"/>
      <c r="O5630"/>
      <c r="P5630" s="20"/>
      <c r="Q5630" s="20"/>
      <c r="R5630" s="20"/>
      <c r="S5630" s="20"/>
      <c r="T5630" s="20"/>
    </row>
    <row r="5631" spans="1:21" x14ac:dyDescent="0.25">
      <c r="A5631" s="3">
        <v>41992</v>
      </c>
      <c r="B5631" s="36">
        <v>659</v>
      </c>
      <c r="C5631" t="s">
        <v>5730</v>
      </c>
      <c r="D5631">
        <v>2.5499999999999998</v>
      </c>
      <c r="E5631" s="18">
        <v>-254.99999999999997</v>
      </c>
      <c r="F5631" t="s">
        <v>889</v>
      </c>
      <c r="G5631" t="s">
        <v>5731</v>
      </c>
      <c r="H5631" s="18" t="s">
        <v>442</v>
      </c>
      <c r="I5631" s="3" t="s">
        <v>442</v>
      </c>
      <c r="J5631"/>
      <c r="L5631"/>
      <c r="M5631"/>
      <c r="N5631" s="20"/>
      <c r="O5631"/>
      <c r="P5631" s="20"/>
      <c r="Q5631" s="20"/>
      <c r="R5631" s="20"/>
      <c r="S5631" s="20"/>
      <c r="T5631" s="20"/>
    </row>
    <row r="5632" spans="1:21" x14ac:dyDescent="0.25">
      <c r="A5632" s="3">
        <v>41992</v>
      </c>
      <c r="B5632" s="36">
        <v>659</v>
      </c>
      <c r="C5632" t="s">
        <v>5736</v>
      </c>
      <c r="D5632">
        <v>11</v>
      </c>
      <c r="E5632" s="18">
        <v>1100</v>
      </c>
      <c r="F5632" t="s">
        <v>889</v>
      </c>
      <c r="G5632" t="s">
        <v>5737</v>
      </c>
      <c r="H5632" s="18">
        <v>1100</v>
      </c>
      <c r="I5632" s="3">
        <v>41992</v>
      </c>
      <c r="J5632"/>
      <c r="L5632"/>
      <c r="M5632"/>
      <c r="N5632" s="20"/>
      <c r="O5632"/>
      <c r="P5632" s="20"/>
      <c r="Q5632" s="20"/>
      <c r="R5632" s="20"/>
      <c r="S5632" s="20"/>
      <c r="T5632" s="20"/>
    </row>
    <row r="5633" spans="1:21" x14ac:dyDescent="0.25">
      <c r="A5633" s="3">
        <v>42027</v>
      </c>
      <c r="B5633" s="36">
        <v>659</v>
      </c>
      <c r="C5633" t="s">
        <v>518</v>
      </c>
      <c r="D5633" s="55">
        <v>9.69</v>
      </c>
      <c r="E5633" s="18">
        <v>408</v>
      </c>
      <c r="F5633" t="s">
        <v>889</v>
      </c>
      <c r="G5633" t="s">
        <v>519</v>
      </c>
      <c r="H5633" s="18">
        <v>408</v>
      </c>
      <c r="I5633" s="3">
        <v>42027</v>
      </c>
      <c r="J5633"/>
      <c r="L5633"/>
      <c r="M5633"/>
      <c r="N5633" s="20"/>
      <c r="O5633"/>
      <c r="P5633" s="20"/>
      <c r="Q5633" s="20"/>
      <c r="R5633" s="20"/>
      <c r="S5633" s="20"/>
      <c r="T5633" s="20"/>
    </row>
    <row r="5634" spans="1:21" x14ac:dyDescent="0.25">
      <c r="A5634" s="3">
        <v>42027</v>
      </c>
      <c r="B5634" s="36">
        <v>659</v>
      </c>
      <c r="C5634" t="s">
        <v>626</v>
      </c>
      <c r="D5634" s="55">
        <v>4.59</v>
      </c>
      <c r="E5634" s="18">
        <v>479.5</v>
      </c>
      <c r="F5634" t="s">
        <v>889</v>
      </c>
      <c r="G5634" t="s">
        <v>627</v>
      </c>
      <c r="H5634" s="18">
        <v>479.5</v>
      </c>
      <c r="I5634" s="3">
        <v>42027</v>
      </c>
      <c r="J5634"/>
      <c r="L5634"/>
      <c r="M5634"/>
      <c r="N5634" s="20"/>
      <c r="O5634"/>
      <c r="P5634" s="20"/>
      <c r="Q5634" s="20"/>
      <c r="R5634" s="20"/>
      <c r="S5634" s="20"/>
      <c r="T5634" s="20"/>
    </row>
    <row r="5635" spans="1:21" x14ac:dyDescent="0.25">
      <c r="A5635" s="3">
        <v>42027</v>
      </c>
      <c r="B5635" s="36">
        <v>659</v>
      </c>
      <c r="C5635" t="s">
        <v>656</v>
      </c>
      <c r="D5635" s="55">
        <v>3.8250000000000002</v>
      </c>
      <c r="E5635" s="18">
        <v>165.75</v>
      </c>
      <c r="F5635" t="s">
        <v>889</v>
      </c>
      <c r="G5635" t="s">
        <v>657</v>
      </c>
      <c r="H5635" s="18">
        <v>165.75</v>
      </c>
      <c r="I5635" s="3">
        <v>42027</v>
      </c>
      <c r="J5635"/>
      <c r="L5635"/>
      <c r="M5635"/>
      <c r="N5635" s="20"/>
      <c r="O5635"/>
      <c r="P5635" s="20"/>
      <c r="Q5635" s="20"/>
      <c r="R5635" s="20"/>
      <c r="S5635" s="20"/>
      <c r="T5635" s="20"/>
    </row>
    <row r="5636" spans="1:21" x14ac:dyDescent="0.25">
      <c r="A5636" s="3">
        <v>42034</v>
      </c>
      <c r="B5636">
        <v>659</v>
      </c>
      <c r="C5636" t="s">
        <v>457</v>
      </c>
      <c r="D5636" s="19">
        <v>3.3149999999999999</v>
      </c>
      <c r="E5636" s="18">
        <v>165.75</v>
      </c>
      <c r="F5636" s="23" t="s">
        <v>889</v>
      </c>
      <c r="G5636" t="s">
        <v>458</v>
      </c>
      <c r="H5636" s="18"/>
      <c r="J5636"/>
      <c r="L5636"/>
      <c r="M5636"/>
      <c r="N5636" s="20"/>
      <c r="O5636"/>
      <c r="P5636" s="20"/>
      <c r="Q5636" s="20"/>
      <c r="R5636" s="20"/>
      <c r="S5636" s="20"/>
      <c r="T5636" s="20"/>
    </row>
    <row r="5637" spans="1:21" x14ac:dyDescent="0.25">
      <c r="A5637" s="3">
        <v>42034</v>
      </c>
      <c r="B5637">
        <v>659</v>
      </c>
      <c r="C5637" t="s">
        <v>498</v>
      </c>
      <c r="D5637" s="19">
        <v>4.59</v>
      </c>
      <c r="E5637" s="18">
        <v>479.5</v>
      </c>
      <c r="F5637" s="23" t="s">
        <v>889</v>
      </c>
      <c r="G5637" t="s">
        <v>499</v>
      </c>
      <c r="H5637" s="18"/>
      <c r="J5637"/>
      <c r="L5637"/>
      <c r="M5637"/>
      <c r="N5637" s="20"/>
      <c r="O5637"/>
      <c r="P5637" s="20"/>
      <c r="Q5637" s="20"/>
      <c r="R5637" s="20"/>
      <c r="S5637" s="20"/>
      <c r="T5637" s="20"/>
    </row>
    <row r="5638" spans="1:21" x14ac:dyDescent="0.25">
      <c r="A5638" s="3">
        <v>42034</v>
      </c>
      <c r="B5638">
        <v>659</v>
      </c>
      <c r="C5638" t="s">
        <v>626</v>
      </c>
      <c r="D5638" s="19">
        <v>4.59</v>
      </c>
      <c r="E5638" s="18">
        <v>805.7</v>
      </c>
      <c r="F5638" s="23" t="s">
        <v>889</v>
      </c>
      <c r="G5638" t="s">
        <v>627</v>
      </c>
      <c r="H5638" s="18"/>
      <c r="J5638"/>
      <c r="L5638"/>
      <c r="M5638"/>
      <c r="N5638" s="20"/>
      <c r="O5638"/>
      <c r="P5638" s="20"/>
      <c r="Q5638" s="20"/>
      <c r="R5638" s="20"/>
      <c r="S5638" s="20"/>
      <c r="T5638" s="20"/>
    </row>
    <row r="5639" spans="1:21" x14ac:dyDescent="0.25">
      <c r="A5639" s="3">
        <v>42041</v>
      </c>
      <c r="B5639">
        <v>659</v>
      </c>
      <c r="C5639" t="s">
        <v>518</v>
      </c>
      <c r="D5639">
        <v>8.16</v>
      </c>
      <c r="E5639" s="18">
        <v>250</v>
      </c>
      <c r="F5639" t="s">
        <v>889</v>
      </c>
      <c r="G5639" t="s">
        <v>519</v>
      </c>
      <c r="I5639"/>
      <c r="J5639"/>
      <c r="L5639"/>
      <c r="M5639"/>
      <c r="O5639"/>
      <c r="P5639" s="20"/>
      <c r="Q5639" s="20"/>
      <c r="R5639" s="20"/>
      <c r="S5639" s="20"/>
      <c r="T5639" s="20"/>
    </row>
    <row r="5640" spans="1:21" x14ac:dyDescent="0.25">
      <c r="A5640" s="3">
        <v>42041</v>
      </c>
      <c r="B5640">
        <v>659</v>
      </c>
      <c r="C5640" t="s">
        <v>532</v>
      </c>
      <c r="D5640">
        <v>2.8050000000000002</v>
      </c>
      <c r="E5640" s="18">
        <v>250</v>
      </c>
      <c r="F5640" t="s">
        <v>889</v>
      </c>
      <c r="G5640" t="s">
        <v>533</v>
      </c>
      <c r="I5640"/>
      <c r="J5640"/>
      <c r="L5640"/>
      <c r="M5640"/>
      <c r="O5640"/>
      <c r="P5640" s="20"/>
      <c r="Q5640" s="20"/>
      <c r="R5640" s="20"/>
      <c r="S5640" s="20"/>
      <c r="T5640" s="20"/>
    </row>
    <row r="5641" spans="1:21" x14ac:dyDescent="0.25">
      <c r="B5641">
        <v>659</v>
      </c>
      <c r="C5641" t="s">
        <v>5729</v>
      </c>
      <c r="E5641" s="18">
        <v>-1000</v>
      </c>
      <c r="F5641" t="s">
        <v>889</v>
      </c>
      <c r="G5641" t="s">
        <v>442</v>
      </c>
      <c r="I5641"/>
      <c r="J5641"/>
      <c r="L5641"/>
      <c r="M5641"/>
      <c r="O5641"/>
      <c r="P5641" s="20"/>
      <c r="Q5641" s="20"/>
      <c r="R5641" s="20"/>
      <c r="S5641" s="20"/>
      <c r="T5641" s="20"/>
      <c r="U5641" t="s">
        <v>401</v>
      </c>
    </row>
    <row r="5642" spans="1:21" x14ac:dyDescent="0.25">
      <c r="B5642">
        <v>659</v>
      </c>
      <c r="C5642" t="s">
        <v>5734</v>
      </c>
      <c r="D5642">
        <v>5.8650000000000002</v>
      </c>
      <c r="E5642" s="18">
        <v>-586.5</v>
      </c>
      <c r="F5642" t="s">
        <v>889</v>
      </c>
      <c r="G5642" t="s">
        <v>5735</v>
      </c>
      <c r="I5642"/>
      <c r="J5642"/>
      <c r="L5642"/>
      <c r="M5642"/>
      <c r="O5642"/>
      <c r="P5642" s="20"/>
      <c r="Q5642" s="20"/>
      <c r="R5642" s="20"/>
      <c r="S5642" s="20"/>
      <c r="T5642" s="20"/>
      <c r="U5642" t="s">
        <v>401</v>
      </c>
    </row>
    <row r="5643" spans="1:21" x14ac:dyDescent="0.25">
      <c r="A5643" s="3">
        <v>41926</v>
      </c>
      <c r="B5643" s="36">
        <v>660</v>
      </c>
      <c r="C5643" t="s">
        <v>5738</v>
      </c>
      <c r="D5643">
        <v>10.71</v>
      </c>
      <c r="E5643" s="18">
        <v>1071</v>
      </c>
      <c r="F5643" t="s">
        <v>889</v>
      </c>
      <c r="G5643" t="s">
        <v>5739</v>
      </c>
      <c r="H5643" s="18">
        <v>1071</v>
      </c>
      <c r="I5643" s="3">
        <v>41926</v>
      </c>
      <c r="J5643"/>
      <c r="L5643"/>
      <c r="M5643"/>
      <c r="N5643" s="20"/>
      <c r="O5643"/>
      <c r="P5643" s="20"/>
      <c r="Q5643" s="20"/>
      <c r="R5643" s="20"/>
      <c r="S5643" s="20"/>
      <c r="T5643" s="20"/>
    </row>
    <row r="5644" spans="1:21" x14ac:dyDescent="0.25">
      <c r="A5644" s="3">
        <v>41926</v>
      </c>
      <c r="B5644" s="36">
        <v>660</v>
      </c>
      <c r="C5644" t="s">
        <v>5740</v>
      </c>
      <c r="D5644">
        <v>9.4350000000000005</v>
      </c>
      <c r="E5644" s="18">
        <v>943.5</v>
      </c>
      <c r="F5644" t="s">
        <v>889</v>
      </c>
      <c r="G5644" t="s">
        <v>5741</v>
      </c>
      <c r="H5644" s="18">
        <v>943.5</v>
      </c>
      <c r="I5644" s="3">
        <v>41926</v>
      </c>
      <c r="J5644"/>
      <c r="L5644"/>
      <c r="M5644"/>
      <c r="N5644" s="20"/>
      <c r="O5644"/>
      <c r="P5644" s="20"/>
      <c r="Q5644" s="20"/>
      <c r="R5644" s="20"/>
      <c r="S5644" s="20"/>
      <c r="T5644" s="20"/>
    </row>
    <row r="5645" spans="1:21" x14ac:dyDescent="0.25">
      <c r="A5645" s="3">
        <v>42004</v>
      </c>
      <c r="B5645" s="36">
        <v>660</v>
      </c>
      <c r="C5645" t="s">
        <v>5738</v>
      </c>
      <c r="D5645">
        <v>10.71</v>
      </c>
      <c r="E5645" s="18">
        <v>357</v>
      </c>
      <c r="F5645" t="s">
        <v>889</v>
      </c>
      <c r="G5645" t="s">
        <v>5739</v>
      </c>
      <c r="H5645" s="18">
        <v>357</v>
      </c>
      <c r="I5645" s="3">
        <v>42004</v>
      </c>
      <c r="J5645"/>
      <c r="L5645"/>
      <c r="M5645"/>
      <c r="N5645" s="20"/>
      <c r="O5645"/>
      <c r="P5645" s="20"/>
      <c r="Q5645" s="20"/>
      <c r="R5645" s="20"/>
      <c r="S5645" s="20"/>
      <c r="T5645" s="20"/>
    </row>
    <row r="5646" spans="1:21" x14ac:dyDescent="0.25">
      <c r="A5646" s="3">
        <v>42041</v>
      </c>
      <c r="B5646">
        <v>660</v>
      </c>
      <c r="C5646" t="s">
        <v>5738</v>
      </c>
      <c r="E5646" s="18">
        <v>357</v>
      </c>
      <c r="F5646" t="s">
        <v>889</v>
      </c>
      <c r="G5646" t="s">
        <v>5739</v>
      </c>
      <c r="I5646"/>
      <c r="J5646"/>
      <c r="L5646"/>
      <c r="M5646"/>
      <c r="O5646"/>
      <c r="P5646" s="20"/>
      <c r="Q5646" s="20"/>
      <c r="R5646" s="20"/>
      <c r="S5646" s="20"/>
      <c r="T5646" s="20"/>
    </row>
    <row r="5647" spans="1:21" x14ac:dyDescent="0.25">
      <c r="A5647" s="3">
        <v>41926</v>
      </c>
      <c r="B5647" s="36">
        <v>661</v>
      </c>
      <c r="C5647" t="s">
        <v>5742</v>
      </c>
      <c r="E5647" s="18">
        <v>404</v>
      </c>
      <c r="F5647" t="s">
        <v>5743</v>
      </c>
      <c r="H5647" s="18" t="s">
        <v>442</v>
      </c>
      <c r="I5647" s="3" t="s">
        <v>442</v>
      </c>
      <c r="J5647"/>
      <c r="L5647"/>
      <c r="M5647"/>
      <c r="N5647" s="20"/>
      <c r="O5647" t="s">
        <v>5744</v>
      </c>
      <c r="P5647" s="20" t="s">
        <v>401</v>
      </c>
      <c r="Q5647" s="20"/>
      <c r="R5647" s="20"/>
      <c r="S5647" s="20"/>
      <c r="T5647" s="20"/>
    </row>
    <row r="5648" spans="1:21" x14ac:dyDescent="0.25">
      <c r="A5648" s="3">
        <v>41926</v>
      </c>
      <c r="B5648" s="36">
        <v>661</v>
      </c>
      <c r="C5648" t="s">
        <v>5742</v>
      </c>
      <c r="E5648" s="18">
        <v>289</v>
      </c>
      <c r="F5648" t="s">
        <v>5743</v>
      </c>
      <c r="H5648" s="18" t="s">
        <v>442</v>
      </c>
      <c r="I5648" s="3" t="s">
        <v>442</v>
      </c>
      <c r="J5648"/>
      <c r="L5648"/>
      <c r="M5648"/>
      <c r="N5648" s="20"/>
      <c r="O5648" t="s">
        <v>5745</v>
      </c>
      <c r="P5648" s="20" t="s">
        <v>401</v>
      </c>
      <c r="Q5648" s="20"/>
      <c r="R5648" s="20"/>
      <c r="S5648" s="20"/>
      <c r="T5648" s="20"/>
    </row>
    <row r="5649" spans="1:21" x14ac:dyDescent="0.25">
      <c r="A5649" s="3">
        <v>41936</v>
      </c>
      <c r="B5649" s="36">
        <v>661</v>
      </c>
      <c r="C5649" t="s">
        <v>5746</v>
      </c>
      <c r="E5649" s="18">
        <v>130.47</v>
      </c>
      <c r="F5649" t="s">
        <v>891</v>
      </c>
      <c r="H5649" s="18" t="s">
        <v>442</v>
      </c>
      <c r="I5649" s="3" t="s">
        <v>442</v>
      </c>
      <c r="J5649"/>
      <c r="L5649"/>
      <c r="M5649"/>
      <c r="N5649" s="20"/>
      <c r="O5649" t="s">
        <v>5747</v>
      </c>
      <c r="P5649" s="20" t="s">
        <v>401</v>
      </c>
      <c r="Q5649" s="20"/>
      <c r="R5649" s="20"/>
      <c r="S5649" s="20"/>
      <c r="T5649" s="20"/>
    </row>
    <row r="5650" spans="1:21" x14ac:dyDescent="0.25">
      <c r="A5650" s="3">
        <v>42004</v>
      </c>
      <c r="B5650" s="36">
        <v>661</v>
      </c>
      <c r="C5650" t="s">
        <v>5748</v>
      </c>
      <c r="E5650" s="18">
        <v>70.150000000000006</v>
      </c>
      <c r="F5650" t="s">
        <v>889</v>
      </c>
      <c r="G5650" t="s">
        <v>442</v>
      </c>
      <c r="H5650" s="18" t="s">
        <v>442</v>
      </c>
      <c r="I5650" s="3" t="s">
        <v>442</v>
      </c>
      <c r="J5650"/>
      <c r="L5650"/>
      <c r="M5650"/>
      <c r="N5650" s="40" t="s">
        <v>401</v>
      </c>
      <c r="O5650"/>
      <c r="P5650" s="20"/>
      <c r="Q5650" s="20"/>
      <c r="R5650" s="20"/>
      <c r="S5650" s="20"/>
      <c r="T5650" s="20"/>
    </row>
    <row r="5651" spans="1:21" x14ac:dyDescent="0.25">
      <c r="A5651" s="3">
        <v>42019</v>
      </c>
      <c r="B5651" s="36">
        <v>661</v>
      </c>
      <c r="C5651" t="s">
        <v>969</v>
      </c>
      <c r="D5651" s="55"/>
      <c r="E5651" s="18">
        <v>16.899999999999999</v>
      </c>
      <c r="F5651" t="s">
        <v>889</v>
      </c>
      <c r="H5651" s="18" t="s">
        <v>442</v>
      </c>
      <c r="I5651" s="3" t="s">
        <v>442</v>
      </c>
      <c r="J5651"/>
      <c r="L5651"/>
      <c r="M5651"/>
      <c r="N5651" s="40" t="s">
        <v>401</v>
      </c>
      <c r="O5651"/>
      <c r="P5651" s="20"/>
      <c r="Q5651" s="20"/>
      <c r="R5651" s="20"/>
      <c r="S5651" s="20"/>
      <c r="T5651" s="20"/>
    </row>
    <row r="5652" spans="1:21" x14ac:dyDescent="0.25">
      <c r="A5652" s="3">
        <v>41932</v>
      </c>
      <c r="B5652" s="36">
        <v>664</v>
      </c>
      <c r="C5652" t="s">
        <v>5395</v>
      </c>
      <c r="E5652" s="18">
        <v>500</v>
      </c>
      <c r="F5652" t="s">
        <v>889</v>
      </c>
      <c r="G5652" t="s">
        <v>442</v>
      </c>
      <c r="H5652" s="18" t="s">
        <v>442</v>
      </c>
      <c r="I5652" s="3" t="s">
        <v>442</v>
      </c>
      <c r="J5652"/>
      <c r="L5652"/>
      <c r="M5652"/>
      <c r="N5652" s="20"/>
      <c r="O5652"/>
      <c r="P5652" s="20"/>
      <c r="Q5652" s="20"/>
      <c r="R5652" s="20"/>
      <c r="S5652" s="20"/>
      <c r="T5652" s="20" t="s">
        <v>401</v>
      </c>
    </row>
    <row r="5653" spans="1:21" x14ac:dyDescent="0.25">
      <c r="A5653" s="3">
        <v>41936</v>
      </c>
      <c r="B5653" s="36">
        <v>664</v>
      </c>
      <c r="C5653" t="s">
        <v>5636</v>
      </c>
      <c r="E5653" s="18">
        <v>500</v>
      </c>
      <c r="F5653" t="s">
        <v>889</v>
      </c>
      <c r="G5653" t="s">
        <v>442</v>
      </c>
      <c r="H5653" s="18" t="s">
        <v>442</v>
      </c>
      <c r="I5653" s="3" t="s">
        <v>442</v>
      </c>
      <c r="J5653"/>
      <c r="L5653"/>
      <c r="M5653"/>
      <c r="N5653" s="20"/>
      <c r="O5653"/>
      <c r="P5653" s="20"/>
      <c r="Q5653" s="20"/>
      <c r="R5653" s="20"/>
      <c r="S5653" s="20"/>
      <c r="T5653" s="20" t="s">
        <v>401</v>
      </c>
    </row>
    <row r="5654" spans="1:21" x14ac:dyDescent="0.25">
      <c r="A5654" s="3">
        <v>41943</v>
      </c>
      <c r="B5654" s="36">
        <v>664</v>
      </c>
      <c r="C5654" t="s">
        <v>5449</v>
      </c>
      <c r="E5654" s="18">
        <v>500</v>
      </c>
      <c r="F5654" t="s">
        <v>889</v>
      </c>
      <c r="G5654" t="s">
        <v>442</v>
      </c>
      <c r="H5654" s="18" t="s">
        <v>442</v>
      </c>
      <c r="I5654" s="3" t="s">
        <v>442</v>
      </c>
      <c r="J5654"/>
      <c r="L5654"/>
      <c r="M5654"/>
      <c r="N5654" s="20"/>
      <c r="O5654"/>
      <c r="P5654" s="20"/>
      <c r="Q5654" s="20"/>
      <c r="R5654" s="20"/>
      <c r="S5654" s="20"/>
      <c r="T5654" s="20" t="s">
        <v>401</v>
      </c>
    </row>
    <row r="5655" spans="1:21" x14ac:dyDescent="0.25">
      <c r="A5655" s="3">
        <v>41950</v>
      </c>
      <c r="B5655" s="36">
        <v>664</v>
      </c>
      <c r="C5655" t="s">
        <v>5450</v>
      </c>
      <c r="E5655" s="18">
        <v>500</v>
      </c>
      <c r="F5655" t="s">
        <v>889</v>
      </c>
      <c r="G5655" t="s">
        <v>442</v>
      </c>
      <c r="H5655" s="18" t="s">
        <v>442</v>
      </c>
      <c r="I5655" s="3" t="s">
        <v>442</v>
      </c>
      <c r="J5655"/>
      <c r="L5655"/>
      <c r="M5655"/>
      <c r="N5655" s="20"/>
      <c r="O5655"/>
      <c r="P5655" s="20"/>
      <c r="Q5655" s="20"/>
      <c r="R5655" s="20"/>
      <c r="S5655" s="20"/>
      <c r="T5655" s="20" t="s">
        <v>401</v>
      </c>
    </row>
    <row r="5656" spans="1:21" x14ac:dyDescent="0.25">
      <c r="A5656" s="3">
        <v>41957</v>
      </c>
      <c r="B5656" s="36">
        <v>664</v>
      </c>
      <c r="C5656" t="s">
        <v>3493</v>
      </c>
      <c r="E5656" s="18">
        <v>500</v>
      </c>
      <c r="F5656" t="s">
        <v>889</v>
      </c>
      <c r="G5656" t="s">
        <v>442</v>
      </c>
      <c r="H5656" s="18" t="s">
        <v>442</v>
      </c>
      <c r="I5656" s="3" t="s">
        <v>442</v>
      </c>
      <c r="J5656"/>
      <c r="L5656"/>
      <c r="M5656"/>
      <c r="N5656" s="20"/>
      <c r="O5656"/>
      <c r="P5656" s="20"/>
      <c r="Q5656" s="20"/>
      <c r="R5656" s="20"/>
      <c r="S5656" s="20"/>
      <c r="T5656" s="20" t="s">
        <v>401</v>
      </c>
    </row>
    <row r="5657" spans="1:21" x14ac:dyDescent="0.25">
      <c r="A5657" s="3">
        <v>41964</v>
      </c>
      <c r="B5657" s="36">
        <v>664</v>
      </c>
      <c r="C5657" t="s">
        <v>5749</v>
      </c>
      <c r="E5657" s="18">
        <v>500</v>
      </c>
      <c r="F5657" t="s">
        <v>889</v>
      </c>
      <c r="G5657" t="s">
        <v>442</v>
      </c>
      <c r="H5657" s="18" t="s">
        <v>442</v>
      </c>
      <c r="I5657" s="3" t="s">
        <v>442</v>
      </c>
      <c r="J5657"/>
      <c r="L5657"/>
      <c r="M5657"/>
      <c r="N5657" s="20"/>
      <c r="O5657"/>
      <c r="P5657" s="20"/>
      <c r="Q5657" s="20"/>
      <c r="R5657" s="20"/>
      <c r="S5657" s="20"/>
      <c r="T5657" s="20" t="s">
        <v>401</v>
      </c>
    </row>
    <row r="5658" spans="1:21" x14ac:dyDescent="0.25">
      <c r="A5658" s="3">
        <v>41968</v>
      </c>
      <c r="B5658" s="36">
        <v>664</v>
      </c>
      <c r="C5658" t="s">
        <v>3494</v>
      </c>
      <c r="E5658" s="18">
        <v>1000</v>
      </c>
      <c r="G5658" t="s">
        <v>442</v>
      </c>
      <c r="H5658" s="18" t="s">
        <v>442</v>
      </c>
      <c r="I5658" s="3" t="s">
        <v>442</v>
      </c>
      <c r="J5658"/>
      <c r="L5658"/>
      <c r="M5658"/>
      <c r="N5658" s="20"/>
      <c r="O5658"/>
      <c r="P5658" s="20"/>
      <c r="Q5658" s="20"/>
      <c r="R5658" s="20"/>
      <c r="S5658" s="20"/>
      <c r="T5658" s="20" t="s">
        <v>401</v>
      </c>
    </row>
    <row r="5659" spans="1:21" x14ac:dyDescent="0.25">
      <c r="A5659" s="3">
        <v>41978</v>
      </c>
      <c r="B5659" s="36">
        <v>664</v>
      </c>
      <c r="C5659" t="s">
        <v>5750</v>
      </c>
      <c r="E5659" s="18">
        <v>1000</v>
      </c>
      <c r="F5659" t="s">
        <v>889</v>
      </c>
      <c r="G5659" t="s">
        <v>442</v>
      </c>
      <c r="H5659" s="18" t="s">
        <v>442</v>
      </c>
      <c r="I5659" s="3" t="s">
        <v>442</v>
      </c>
      <c r="J5659"/>
      <c r="L5659"/>
      <c r="M5659"/>
      <c r="N5659" s="20"/>
      <c r="O5659"/>
      <c r="P5659" s="20"/>
      <c r="Q5659" s="20"/>
      <c r="R5659" s="20"/>
      <c r="S5659" s="20"/>
      <c r="T5659" s="20" t="s">
        <v>401</v>
      </c>
    </row>
    <row r="5660" spans="1:21" x14ac:dyDescent="0.25">
      <c r="A5660" s="3">
        <v>41985</v>
      </c>
      <c r="B5660" s="36">
        <v>664</v>
      </c>
      <c r="C5660" t="s">
        <v>5089</v>
      </c>
      <c r="D5660">
        <v>1</v>
      </c>
      <c r="E5660" s="18">
        <v>250</v>
      </c>
      <c r="F5660" t="s">
        <v>889</v>
      </c>
      <c r="G5660" t="s">
        <v>442</v>
      </c>
      <c r="H5660" s="18" t="s">
        <v>442</v>
      </c>
      <c r="I5660" s="3" t="s">
        <v>442</v>
      </c>
      <c r="J5660"/>
      <c r="L5660"/>
      <c r="M5660"/>
      <c r="N5660" s="20"/>
      <c r="O5660"/>
      <c r="P5660" s="20"/>
      <c r="Q5660" s="20"/>
      <c r="R5660" s="20"/>
      <c r="S5660" s="20"/>
      <c r="T5660" s="20" t="s">
        <v>401</v>
      </c>
    </row>
    <row r="5661" spans="1:21" x14ac:dyDescent="0.25">
      <c r="A5661" s="3">
        <v>41992</v>
      </c>
      <c r="B5661" s="36">
        <v>664</v>
      </c>
      <c r="C5661" t="s">
        <v>5090</v>
      </c>
      <c r="E5661" s="18">
        <v>750</v>
      </c>
      <c r="F5661" t="s">
        <v>889</v>
      </c>
      <c r="G5661" t="s">
        <v>442</v>
      </c>
      <c r="H5661" s="18" t="s">
        <v>442</v>
      </c>
      <c r="I5661" s="3" t="s">
        <v>442</v>
      </c>
      <c r="J5661"/>
      <c r="L5661"/>
      <c r="M5661"/>
      <c r="N5661" s="20"/>
      <c r="O5661"/>
      <c r="P5661" s="20"/>
      <c r="Q5661" s="20"/>
      <c r="R5661" s="20"/>
      <c r="S5661" s="20"/>
      <c r="T5661" s="20" t="s">
        <v>401</v>
      </c>
    </row>
    <row r="5662" spans="1:21" x14ac:dyDescent="0.25">
      <c r="A5662" s="3">
        <v>41999</v>
      </c>
      <c r="B5662" s="36">
        <v>664</v>
      </c>
      <c r="C5662" t="s">
        <v>4494</v>
      </c>
      <c r="E5662" s="18">
        <v>500</v>
      </c>
      <c r="F5662" t="s">
        <v>889</v>
      </c>
      <c r="G5662" t="s">
        <v>442</v>
      </c>
      <c r="H5662" s="18" t="s">
        <v>442</v>
      </c>
      <c r="I5662" s="3" t="s">
        <v>442</v>
      </c>
      <c r="J5662"/>
      <c r="L5662"/>
      <c r="M5662"/>
      <c r="N5662" s="20"/>
      <c r="O5662"/>
      <c r="P5662" s="20"/>
      <c r="Q5662" s="20"/>
      <c r="R5662" s="20"/>
      <c r="S5662" s="20"/>
      <c r="T5662" s="20" t="s">
        <v>401</v>
      </c>
    </row>
    <row r="5663" spans="1:21" x14ac:dyDescent="0.25">
      <c r="B5663">
        <v>664</v>
      </c>
      <c r="C5663" t="s">
        <v>5751</v>
      </c>
      <c r="D5663">
        <v>5.61</v>
      </c>
      <c r="E5663" s="18">
        <v>1122</v>
      </c>
      <c r="F5663" t="s">
        <v>889</v>
      </c>
      <c r="G5663" t="s">
        <v>5752</v>
      </c>
      <c r="I5663"/>
      <c r="J5663"/>
      <c r="L5663"/>
      <c r="M5663"/>
      <c r="O5663"/>
      <c r="P5663" s="20"/>
      <c r="Q5663" s="20"/>
      <c r="R5663" s="20"/>
      <c r="S5663" s="20"/>
      <c r="T5663" s="20"/>
      <c r="U5663" t="s">
        <v>401</v>
      </c>
    </row>
    <row r="5664" spans="1:21" x14ac:dyDescent="0.25">
      <c r="B5664">
        <v>664</v>
      </c>
      <c r="C5664" t="s">
        <v>5395</v>
      </c>
      <c r="E5664" s="18">
        <v>-500</v>
      </c>
      <c r="F5664" t="s">
        <v>889</v>
      </c>
      <c r="G5664" t="s">
        <v>442</v>
      </c>
      <c r="I5664"/>
      <c r="J5664"/>
      <c r="L5664"/>
      <c r="M5664"/>
      <c r="O5664"/>
      <c r="P5664" s="20"/>
      <c r="Q5664" s="20"/>
      <c r="R5664" s="20"/>
      <c r="S5664" s="20"/>
      <c r="T5664" s="20"/>
      <c r="U5664" t="s">
        <v>401</v>
      </c>
    </row>
    <row r="5665" spans="1:21" x14ac:dyDescent="0.25">
      <c r="B5665">
        <v>664</v>
      </c>
      <c r="C5665" t="s">
        <v>4494</v>
      </c>
      <c r="E5665" s="18">
        <v>-500</v>
      </c>
      <c r="F5665" t="s">
        <v>889</v>
      </c>
      <c r="G5665" t="s">
        <v>442</v>
      </c>
      <c r="I5665"/>
      <c r="J5665"/>
      <c r="L5665"/>
      <c r="M5665"/>
      <c r="O5665"/>
      <c r="P5665" s="20"/>
      <c r="Q5665" s="20"/>
      <c r="R5665" s="20"/>
      <c r="S5665" s="20"/>
      <c r="T5665" s="20"/>
      <c r="U5665" t="s">
        <v>401</v>
      </c>
    </row>
    <row r="5666" spans="1:21" x14ac:dyDescent="0.25">
      <c r="B5666">
        <v>664</v>
      </c>
      <c r="C5666" t="s">
        <v>5089</v>
      </c>
      <c r="E5666" s="18">
        <v>-250</v>
      </c>
      <c r="F5666" t="s">
        <v>889</v>
      </c>
      <c r="G5666" t="s">
        <v>442</v>
      </c>
      <c r="I5666"/>
      <c r="J5666"/>
      <c r="L5666"/>
      <c r="M5666"/>
      <c r="O5666"/>
      <c r="P5666" s="20"/>
      <c r="Q5666" s="20"/>
      <c r="R5666" s="20"/>
      <c r="S5666" s="20"/>
      <c r="T5666" s="20"/>
      <c r="U5666" t="s">
        <v>401</v>
      </c>
    </row>
    <row r="5667" spans="1:21" x14ac:dyDescent="0.25">
      <c r="B5667">
        <v>664</v>
      </c>
      <c r="C5667" t="s">
        <v>5090</v>
      </c>
      <c r="E5667" s="18">
        <v>-750</v>
      </c>
      <c r="F5667" t="s">
        <v>889</v>
      </c>
      <c r="G5667" t="s">
        <v>442</v>
      </c>
      <c r="I5667"/>
      <c r="J5667"/>
      <c r="L5667"/>
      <c r="M5667"/>
      <c r="O5667"/>
      <c r="P5667" s="20"/>
      <c r="Q5667" s="20"/>
      <c r="R5667" s="20"/>
      <c r="S5667" s="20"/>
      <c r="T5667" s="20"/>
      <c r="U5667" t="s">
        <v>401</v>
      </c>
    </row>
    <row r="5668" spans="1:21" x14ac:dyDescent="0.25">
      <c r="B5668">
        <v>664</v>
      </c>
      <c r="C5668" t="s">
        <v>5636</v>
      </c>
      <c r="E5668" s="18">
        <v>-500</v>
      </c>
      <c r="F5668" t="s">
        <v>889</v>
      </c>
      <c r="G5668" t="s">
        <v>442</v>
      </c>
      <c r="I5668"/>
      <c r="J5668"/>
      <c r="L5668"/>
      <c r="M5668"/>
      <c r="O5668"/>
      <c r="P5668" s="20"/>
      <c r="Q5668" s="20"/>
      <c r="R5668" s="20"/>
      <c r="S5668" s="20"/>
      <c r="T5668" s="20"/>
      <c r="U5668" t="s">
        <v>401</v>
      </c>
    </row>
    <row r="5669" spans="1:21" x14ac:dyDescent="0.25">
      <c r="B5669">
        <v>664</v>
      </c>
      <c r="C5669" t="s">
        <v>5449</v>
      </c>
      <c r="E5669" s="18">
        <v>-500</v>
      </c>
      <c r="F5669" t="s">
        <v>889</v>
      </c>
      <c r="G5669" t="s">
        <v>442</v>
      </c>
      <c r="I5669"/>
      <c r="J5669"/>
      <c r="L5669"/>
      <c r="M5669"/>
      <c r="O5669"/>
      <c r="P5669" s="20"/>
      <c r="Q5669" s="20"/>
      <c r="R5669" s="20"/>
      <c r="S5669" s="20"/>
      <c r="T5669" s="20"/>
      <c r="U5669" t="s">
        <v>401</v>
      </c>
    </row>
    <row r="5670" spans="1:21" x14ac:dyDescent="0.25">
      <c r="B5670">
        <v>664</v>
      </c>
      <c r="C5670" t="s">
        <v>5749</v>
      </c>
      <c r="E5670" s="18">
        <v>-500</v>
      </c>
      <c r="F5670" t="s">
        <v>889</v>
      </c>
      <c r="G5670" t="s">
        <v>442</v>
      </c>
      <c r="I5670"/>
      <c r="J5670"/>
      <c r="L5670"/>
      <c r="M5670"/>
      <c r="O5670"/>
      <c r="P5670" s="20"/>
      <c r="Q5670" s="20"/>
      <c r="R5670" s="20"/>
      <c r="S5670" s="20"/>
      <c r="T5670" s="20"/>
      <c r="U5670" t="s">
        <v>401</v>
      </c>
    </row>
    <row r="5671" spans="1:21" x14ac:dyDescent="0.25">
      <c r="B5671">
        <v>664</v>
      </c>
      <c r="C5671" t="s">
        <v>3493</v>
      </c>
      <c r="E5671" s="18">
        <v>-500</v>
      </c>
      <c r="F5671" t="s">
        <v>889</v>
      </c>
      <c r="G5671" t="s">
        <v>442</v>
      </c>
      <c r="I5671"/>
      <c r="J5671"/>
      <c r="L5671"/>
      <c r="M5671"/>
      <c r="O5671"/>
      <c r="P5671" s="20"/>
      <c r="Q5671" s="20"/>
      <c r="R5671" s="20"/>
      <c r="S5671" s="20"/>
      <c r="T5671" s="20"/>
      <c r="U5671" t="s">
        <v>401</v>
      </c>
    </row>
    <row r="5672" spans="1:21" x14ac:dyDescent="0.25">
      <c r="B5672">
        <v>664</v>
      </c>
      <c r="C5672" t="s">
        <v>3494</v>
      </c>
      <c r="E5672" s="18">
        <v>-1000</v>
      </c>
      <c r="G5672" t="s">
        <v>442</v>
      </c>
      <c r="I5672"/>
      <c r="J5672"/>
      <c r="L5672"/>
      <c r="M5672"/>
      <c r="O5672"/>
      <c r="P5672" s="20"/>
      <c r="Q5672" s="20"/>
      <c r="R5672" s="20"/>
      <c r="S5672" s="20"/>
      <c r="T5672" s="20"/>
      <c r="U5672" t="s">
        <v>401</v>
      </c>
    </row>
    <row r="5673" spans="1:21" x14ac:dyDescent="0.25">
      <c r="B5673">
        <v>664</v>
      </c>
      <c r="C5673" t="s">
        <v>5450</v>
      </c>
      <c r="E5673" s="18">
        <v>-500</v>
      </c>
      <c r="F5673" t="s">
        <v>889</v>
      </c>
      <c r="G5673" t="s">
        <v>442</v>
      </c>
      <c r="I5673"/>
      <c r="J5673"/>
      <c r="L5673"/>
      <c r="M5673"/>
      <c r="O5673"/>
      <c r="P5673" s="20"/>
      <c r="Q5673" s="20"/>
      <c r="R5673" s="20"/>
      <c r="S5673" s="20"/>
      <c r="T5673" s="20"/>
      <c r="U5673" t="s">
        <v>401</v>
      </c>
    </row>
    <row r="5674" spans="1:21" x14ac:dyDescent="0.25">
      <c r="B5674">
        <v>664</v>
      </c>
      <c r="C5674" t="s">
        <v>5750</v>
      </c>
      <c r="E5674" s="18">
        <v>-1000</v>
      </c>
      <c r="F5674" t="s">
        <v>889</v>
      </c>
      <c r="G5674" t="s">
        <v>442</v>
      </c>
      <c r="I5674"/>
      <c r="J5674"/>
      <c r="L5674"/>
      <c r="M5674"/>
      <c r="O5674"/>
      <c r="P5674" s="20"/>
      <c r="Q5674" s="20"/>
      <c r="R5674" s="20"/>
      <c r="S5674" s="20"/>
      <c r="T5674" s="20"/>
      <c r="U5674" t="s">
        <v>401</v>
      </c>
    </row>
    <row r="5675" spans="1:21" x14ac:dyDescent="0.25">
      <c r="A5675" s="3">
        <v>41999</v>
      </c>
      <c r="B5675" s="36">
        <v>665</v>
      </c>
      <c r="C5675" t="s">
        <v>5753</v>
      </c>
      <c r="E5675" s="18">
        <v>500</v>
      </c>
      <c r="F5675" t="s">
        <v>889</v>
      </c>
      <c r="G5675" t="s">
        <v>442</v>
      </c>
      <c r="H5675" s="18" t="s">
        <v>442</v>
      </c>
      <c r="I5675" s="3" t="s">
        <v>442</v>
      </c>
      <c r="J5675"/>
      <c r="L5675"/>
      <c r="M5675"/>
      <c r="N5675" s="20"/>
      <c r="O5675"/>
      <c r="P5675" s="20"/>
      <c r="Q5675" s="20"/>
      <c r="R5675" s="20"/>
      <c r="S5675" s="20"/>
      <c r="T5675" s="20" t="s">
        <v>401</v>
      </c>
    </row>
    <row r="5676" spans="1:21" x14ac:dyDescent="0.25">
      <c r="B5676">
        <v>665</v>
      </c>
      <c r="C5676" t="s">
        <v>5753</v>
      </c>
      <c r="E5676" s="18">
        <v>-500</v>
      </c>
      <c r="F5676" t="s">
        <v>889</v>
      </c>
      <c r="G5676" t="s">
        <v>442</v>
      </c>
      <c r="I5676"/>
      <c r="J5676"/>
      <c r="L5676"/>
      <c r="M5676"/>
      <c r="O5676"/>
      <c r="P5676" s="20"/>
      <c r="Q5676" s="20"/>
      <c r="R5676" s="20"/>
      <c r="S5676" s="20"/>
      <c r="T5676" s="20"/>
      <c r="U5676" t="s">
        <v>401</v>
      </c>
    </row>
    <row r="5677" spans="1:21" x14ac:dyDescent="0.25">
      <c r="A5677" s="3">
        <v>41873</v>
      </c>
      <c r="B5677" s="36">
        <v>667</v>
      </c>
      <c r="C5677" t="s">
        <v>5197</v>
      </c>
      <c r="E5677" s="18">
        <v>105</v>
      </c>
      <c r="F5677" t="s">
        <v>889</v>
      </c>
      <c r="G5677" t="s">
        <v>442</v>
      </c>
      <c r="H5677" s="18" t="s">
        <v>442</v>
      </c>
      <c r="I5677" s="3" t="s">
        <v>442</v>
      </c>
      <c r="J5677"/>
      <c r="L5677"/>
      <c r="M5677"/>
      <c r="N5677" s="20"/>
      <c r="O5677"/>
      <c r="P5677" s="20"/>
      <c r="Q5677" s="20"/>
      <c r="R5677" s="20"/>
      <c r="S5677" s="20"/>
      <c r="T5677" s="20" t="s">
        <v>401</v>
      </c>
    </row>
    <row r="5678" spans="1:21" x14ac:dyDescent="0.25">
      <c r="A5678" s="3">
        <v>41936</v>
      </c>
      <c r="B5678" s="36">
        <v>672</v>
      </c>
      <c r="C5678" t="s">
        <v>5754</v>
      </c>
      <c r="D5678">
        <v>5.0999999999999996</v>
      </c>
      <c r="E5678" s="18">
        <v>509.99999999999994</v>
      </c>
      <c r="F5678" t="s">
        <v>889</v>
      </c>
      <c r="G5678" t="s">
        <v>5755</v>
      </c>
      <c r="H5678" s="18">
        <v>509.99999999999994</v>
      </c>
      <c r="I5678" s="3">
        <v>41936</v>
      </c>
      <c r="J5678"/>
      <c r="L5678"/>
      <c r="M5678"/>
      <c r="N5678" s="20"/>
      <c r="O5678"/>
      <c r="P5678" s="20"/>
      <c r="Q5678" s="20"/>
      <c r="R5678" s="20"/>
      <c r="S5678" s="20"/>
      <c r="T5678" s="20"/>
    </row>
    <row r="5679" spans="1:21" x14ac:dyDescent="0.25">
      <c r="A5679" s="3">
        <v>41947</v>
      </c>
      <c r="B5679" s="36">
        <v>672</v>
      </c>
      <c r="C5679" t="s">
        <v>5756</v>
      </c>
      <c r="E5679" s="18">
        <v>500</v>
      </c>
      <c r="G5679" t="s">
        <v>442</v>
      </c>
      <c r="H5679" s="18" t="s">
        <v>442</v>
      </c>
      <c r="I5679" s="3" t="s">
        <v>442</v>
      </c>
      <c r="J5679"/>
      <c r="L5679"/>
      <c r="M5679"/>
      <c r="N5679" s="20"/>
      <c r="O5679"/>
      <c r="P5679" s="20"/>
      <c r="Q5679" s="20"/>
      <c r="R5679" s="20"/>
      <c r="S5679" s="20"/>
      <c r="T5679" s="20" t="s">
        <v>401</v>
      </c>
    </row>
    <row r="5680" spans="1:21" x14ac:dyDescent="0.25">
      <c r="A5680" s="3">
        <v>41955</v>
      </c>
      <c r="B5680" s="36">
        <v>672</v>
      </c>
      <c r="C5680" t="s">
        <v>5757</v>
      </c>
      <c r="E5680" s="18">
        <v>500</v>
      </c>
      <c r="G5680" t="s">
        <v>442</v>
      </c>
      <c r="H5680" s="18" t="s">
        <v>442</v>
      </c>
      <c r="I5680" s="3" t="s">
        <v>442</v>
      </c>
      <c r="J5680"/>
      <c r="L5680"/>
      <c r="M5680"/>
      <c r="N5680" s="20"/>
      <c r="O5680"/>
      <c r="P5680" s="20"/>
      <c r="Q5680" s="20"/>
      <c r="R5680" s="20"/>
      <c r="S5680" s="20"/>
      <c r="T5680" s="20" t="s">
        <v>401</v>
      </c>
    </row>
    <row r="5681" spans="1:20" x14ac:dyDescent="0.25">
      <c r="A5681" s="3">
        <v>41961</v>
      </c>
      <c r="B5681" s="36">
        <v>672</v>
      </c>
      <c r="C5681" t="s">
        <v>5758</v>
      </c>
      <c r="E5681" s="18">
        <v>500</v>
      </c>
      <c r="G5681" t="s">
        <v>442</v>
      </c>
      <c r="H5681" s="18" t="s">
        <v>442</v>
      </c>
      <c r="I5681" s="3" t="s">
        <v>442</v>
      </c>
      <c r="J5681"/>
      <c r="L5681"/>
      <c r="M5681"/>
      <c r="N5681" s="20"/>
      <c r="O5681"/>
      <c r="P5681" s="20"/>
      <c r="Q5681" s="20"/>
      <c r="R5681" s="20"/>
      <c r="S5681" s="20"/>
      <c r="T5681" s="20" t="s">
        <v>401</v>
      </c>
    </row>
    <row r="5682" spans="1:20" x14ac:dyDescent="0.25">
      <c r="A5682" s="3">
        <v>41964</v>
      </c>
      <c r="B5682" s="36">
        <v>672</v>
      </c>
      <c r="C5682" t="s">
        <v>5759</v>
      </c>
      <c r="D5682">
        <v>2.75</v>
      </c>
      <c r="E5682" s="18">
        <v>137.5</v>
      </c>
      <c r="F5682" t="s">
        <v>889</v>
      </c>
      <c r="G5682" t="s">
        <v>5760</v>
      </c>
      <c r="H5682" s="18">
        <v>137.5</v>
      </c>
      <c r="I5682" s="3">
        <v>41964</v>
      </c>
      <c r="J5682"/>
      <c r="L5682"/>
      <c r="M5682"/>
      <c r="N5682" s="20"/>
      <c r="O5682"/>
      <c r="P5682" s="20"/>
      <c r="Q5682" s="20"/>
      <c r="R5682" s="20"/>
      <c r="S5682" s="20"/>
      <c r="T5682" s="20"/>
    </row>
    <row r="5683" spans="1:20" x14ac:dyDescent="0.25">
      <c r="A5683" s="3">
        <v>41964</v>
      </c>
      <c r="B5683" s="36">
        <v>672</v>
      </c>
      <c r="C5683" t="s">
        <v>5761</v>
      </c>
      <c r="D5683">
        <v>7.5</v>
      </c>
      <c r="E5683" s="18">
        <v>375</v>
      </c>
      <c r="F5683" t="s">
        <v>889</v>
      </c>
      <c r="G5683" t="s">
        <v>5762</v>
      </c>
      <c r="H5683" s="18">
        <v>375</v>
      </c>
      <c r="I5683" s="3">
        <v>41964</v>
      </c>
      <c r="J5683"/>
      <c r="L5683"/>
      <c r="M5683"/>
      <c r="N5683" s="20"/>
      <c r="O5683"/>
      <c r="P5683" s="20"/>
      <c r="Q5683" s="20"/>
      <c r="R5683" s="20"/>
      <c r="S5683" s="20"/>
      <c r="T5683" s="20"/>
    </row>
    <row r="5684" spans="1:20" x14ac:dyDescent="0.25">
      <c r="A5684" s="3">
        <v>41964</v>
      </c>
      <c r="B5684" s="36">
        <v>672</v>
      </c>
      <c r="C5684" t="s">
        <v>5763</v>
      </c>
      <c r="E5684" s="18">
        <v>74</v>
      </c>
      <c r="F5684" t="s">
        <v>891</v>
      </c>
      <c r="H5684" s="18" t="s">
        <v>442</v>
      </c>
      <c r="I5684" s="3" t="s">
        <v>442</v>
      </c>
      <c r="J5684"/>
      <c r="L5684"/>
      <c r="M5684"/>
      <c r="N5684" s="20"/>
      <c r="O5684" t="s">
        <v>5764</v>
      </c>
      <c r="P5684" s="20" t="s">
        <v>401</v>
      </c>
      <c r="Q5684" s="20"/>
      <c r="R5684" s="20"/>
      <c r="S5684" s="20"/>
      <c r="T5684" s="20"/>
    </row>
    <row r="5685" spans="1:20" x14ac:dyDescent="0.25">
      <c r="A5685" s="3">
        <v>41964</v>
      </c>
      <c r="B5685" s="36">
        <v>672</v>
      </c>
      <c r="C5685" t="s">
        <v>5765</v>
      </c>
      <c r="D5685">
        <v>6.75</v>
      </c>
      <c r="E5685" s="18">
        <v>337.5</v>
      </c>
      <c r="F5685" t="s">
        <v>889</v>
      </c>
      <c r="G5685" t="s">
        <v>5766</v>
      </c>
      <c r="H5685" s="18">
        <v>337.5</v>
      </c>
      <c r="I5685" s="3">
        <v>41964</v>
      </c>
      <c r="J5685"/>
      <c r="L5685"/>
      <c r="M5685"/>
      <c r="N5685" s="20"/>
      <c r="O5685"/>
      <c r="P5685" s="20"/>
      <c r="Q5685" s="20"/>
      <c r="R5685" s="20"/>
      <c r="S5685" s="20"/>
      <c r="T5685" s="20"/>
    </row>
    <row r="5686" spans="1:20" x14ac:dyDescent="0.25">
      <c r="A5686" s="3">
        <v>41978</v>
      </c>
      <c r="B5686" s="36">
        <v>672</v>
      </c>
      <c r="C5686" t="s">
        <v>5767</v>
      </c>
      <c r="E5686" s="18">
        <v>750</v>
      </c>
      <c r="F5686" t="s">
        <v>889</v>
      </c>
      <c r="G5686" t="s">
        <v>442</v>
      </c>
      <c r="H5686" s="18" t="s">
        <v>442</v>
      </c>
      <c r="I5686" s="3" t="s">
        <v>442</v>
      </c>
      <c r="J5686"/>
      <c r="L5686"/>
      <c r="M5686"/>
      <c r="N5686" s="20"/>
      <c r="O5686"/>
      <c r="P5686" s="20"/>
      <c r="Q5686" s="20"/>
      <c r="R5686" s="20"/>
      <c r="S5686" s="20"/>
      <c r="T5686" s="20" t="s">
        <v>401</v>
      </c>
    </row>
    <row r="5687" spans="1:20" x14ac:dyDescent="0.25">
      <c r="A5687" s="3">
        <v>41978</v>
      </c>
      <c r="B5687" s="36">
        <v>672</v>
      </c>
      <c r="C5687" t="s">
        <v>5768</v>
      </c>
      <c r="E5687" s="18">
        <v>20.38</v>
      </c>
      <c r="F5687" t="s">
        <v>891</v>
      </c>
      <c r="H5687" s="18" t="s">
        <v>442</v>
      </c>
      <c r="I5687" s="3" t="s">
        <v>442</v>
      </c>
      <c r="J5687"/>
      <c r="L5687"/>
      <c r="M5687"/>
      <c r="N5687" s="20"/>
      <c r="O5687"/>
      <c r="P5687" s="20" t="s">
        <v>401</v>
      </c>
      <c r="Q5687" s="20"/>
      <c r="R5687" s="20"/>
      <c r="S5687" s="20"/>
      <c r="T5687" s="20"/>
    </row>
    <row r="5688" spans="1:20" x14ac:dyDescent="0.25">
      <c r="A5688" s="3">
        <v>41985</v>
      </c>
      <c r="B5688" s="36">
        <v>672</v>
      </c>
      <c r="C5688" t="s">
        <v>5089</v>
      </c>
      <c r="D5688">
        <v>1</v>
      </c>
      <c r="E5688" s="18">
        <v>250</v>
      </c>
      <c r="F5688" t="s">
        <v>889</v>
      </c>
      <c r="G5688" t="s">
        <v>442</v>
      </c>
      <c r="H5688" s="18" t="s">
        <v>442</v>
      </c>
      <c r="I5688" s="3" t="s">
        <v>442</v>
      </c>
      <c r="J5688"/>
      <c r="L5688"/>
      <c r="M5688"/>
      <c r="N5688" s="20"/>
      <c r="O5688"/>
      <c r="P5688" s="20"/>
      <c r="Q5688" s="20"/>
      <c r="R5688" s="20"/>
      <c r="S5688" s="20"/>
      <c r="T5688" s="20" t="s">
        <v>401</v>
      </c>
    </row>
    <row r="5689" spans="1:20" x14ac:dyDescent="0.25">
      <c r="A5689" s="3">
        <v>41995</v>
      </c>
      <c r="B5689" s="36">
        <v>672</v>
      </c>
      <c r="C5689" t="s">
        <v>5090</v>
      </c>
      <c r="D5689">
        <v>2</v>
      </c>
      <c r="E5689" s="18">
        <v>500</v>
      </c>
      <c r="F5689" t="s">
        <v>889</v>
      </c>
      <c r="G5689" t="s">
        <v>442</v>
      </c>
      <c r="H5689" s="18" t="s">
        <v>442</v>
      </c>
      <c r="I5689" s="3" t="s">
        <v>442</v>
      </c>
      <c r="J5689"/>
      <c r="L5689"/>
      <c r="M5689"/>
      <c r="N5689" s="20"/>
      <c r="O5689"/>
      <c r="P5689" s="20"/>
      <c r="Q5689" s="20"/>
      <c r="R5689" s="20"/>
      <c r="S5689" s="20"/>
      <c r="T5689" s="20" t="s">
        <v>401</v>
      </c>
    </row>
    <row r="5690" spans="1:20" x14ac:dyDescent="0.25">
      <c r="A5690" s="3">
        <v>41997</v>
      </c>
      <c r="B5690" s="36">
        <v>672</v>
      </c>
      <c r="C5690" t="s">
        <v>5769</v>
      </c>
      <c r="E5690" s="18">
        <v>1000</v>
      </c>
      <c r="F5690" t="s">
        <v>889</v>
      </c>
      <c r="G5690" t="s">
        <v>442</v>
      </c>
      <c r="H5690" s="18" t="s">
        <v>442</v>
      </c>
      <c r="I5690" s="3" t="s">
        <v>442</v>
      </c>
      <c r="J5690"/>
      <c r="L5690"/>
      <c r="M5690"/>
      <c r="N5690" s="20"/>
      <c r="O5690"/>
      <c r="P5690" s="20"/>
      <c r="Q5690" s="20"/>
      <c r="R5690" s="20"/>
      <c r="S5690" s="20"/>
      <c r="T5690" s="20" t="s">
        <v>401</v>
      </c>
    </row>
    <row r="5691" spans="1:20" x14ac:dyDescent="0.25">
      <c r="A5691" s="3">
        <v>42013</v>
      </c>
      <c r="B5691" s="36">
        <v>672</v>
      </c>
      <c r="C5691" t="s">
        <v>5770</v>
      </c>
      <c r="E5691" s="18">
        <v>1250</v>
      </c>
      <c r="F5691" t="s">
        <v>889</v>
      </c>
      <c r="G5691" t="s">
        <v>442</v>
      </c>
      <c r="H5691" s="18" t="s">
        <v>442</v>
      </c>
      <c r="I5691" s="3" t="s">
        <v>442</v>
      </c>
      <c r="J5691"/>
      <c r="L5691"/>
      <c r="M5691"/>
      <c r="N5691" s="20"/>
      <c r="O5691"/>
      <c r="P5691" s="20"/>
      <c r="Q5691" s="20"/>
      <c r="R5691" s="20"/>
      <c r="S5691" s="20"/>
      <c r="T5691" s="20" t="s">
        <v>401</v>
      </c>
    </row>
    <row r="5692" spans="1:20" x14ac:dyDescent="0.25">
      <c r="A5692" s="3">
        <v>42019</v>
      </c>
      <c r="B5692" s="36">
        <v>672</v>
      </c>
      <c r="C5692" t="s">
        <v>5771</v>
      </c>
      <c r="D5692" s="55">
        <v>4.08</v>
      </c>
      <c r="E5692" s="18">
        <v>204</v>
      </c>
      <c r="F5692" t="s">
        <v>889</v>
      </c>
      <c r="G5692" t="s">
        <v>690</v>
      </c>
      <c r="H5692" s="18">
        <v>204</v>
      </c>
      <c r="I5692" s="3">
        <v>42019</v>
      </c>
      <c r="J5692"/>
      <c r="L5692"/>
      <c r="M5692"/>
      <c r="N5692" s="20"/>
      <c r="O5692"/>
      <c r="P5692" s="20"/>
      <c r="Q5692" s="20"/>
      <c r="R5692" s="20"/>
      <c r="S5692" s="20"/>
      <c r="T5692" s="20"/>
    </row>
    <row r="5693" spans="1:20" x14ac:dyDescent="0.25">
      <c r="A5693" s="3">
        <v>42019</v>
      </c>
      <c r="B5693" s="36">
        <v>672</v>
      </c>
      <c r="C5693" t="s">
        <v>5772</v>
      </c>
      <c r="D5693" s="55">
        <v>7.8</v>
      </c>
      <c r="E5693" s="18">
        <v>390</v>
      </c>
      <c r="F5693" t="s">
        <v>889</v>
      </c>
      <c r="G5693" t="s">
        <v>568</v>
      </c>
      <c r="H5693" s="18">
        <v>390</v>
      </c>
      <c r="I5693" s="3">
        <v>42019</v>
      </c>
      <c r="J5693"/>
      <c r="L5693"/>
      <c r="M5693"/>
      <c r="N5693" s="20"/>
      <c r="O5693"/>
      <c r="P5693" s="20"/>
      <c r="Q5693" s="20"/>
      <c r="R5693" s="20"/>
      <c r="S5693" s="20"/>
      <c r="T5693" s="20"/>
    </row>
    <row r="5694" spans="1:20" x14ac:dyDescent="0.25">
      <c r="A5694" s="3">
        <v>42019</v>
      </c>
      <c r="B5694" s="36">
        <v>672</v>
      </c>
      <c r="C5694" t="s">
        <v>5773</v>
      </c>
      <c r="D5694" s="55">
        <v>5.61</v>
      </c>
      <c r="E5694" s="18">
        <v>280.5</v>
      </c>
      <c r="F5694" t="s">
        <v>889</v>
      </c>
      <c r="G5694" t="s">
        <v>689</v>
      </c>
      <c r="H5694" s="18">
        <v>280.5</v>
      </c>
      <c r="I5694" s="3">
        <v>42019</v>
      </c>
      <c r="J5694"/>
      <c r="L5694"/>
      <c r="M5694"/>
      <c r="N5694" s="20"/>
      <c r="O5694"/>
      <c r="P5694" s="20"/>
      <c r="Q5694" s="20"/>
      <c r="R5694" s="20"/>
      <c r="S5694" s="20"/>
      <c r="T5694" s="20"/>
    </row>
    <row r="5695" spans="1:20" x14ac:dyDescent="0.25">
      <c r="A5695" s="3">
        <v>42034</v>
      </c>
      <c r="B5695" s="36">
        <v>672</v>
      </c>
      <c r="C5695" t="s">
        <v>567</v>
      </c>
      <c r="D5695">
        <v>7.8</v>
      </c>
      <c r="E5695" s="18">
        <v>390</v>
      </c>
      <c r="G5695" t="s">
        <v>568</v>
      </c>
      <c r="H5695" s="18"/>
      <c r="J5695"/>
      <c r="L5695"/>
      <c r="M5695"/>
      <c r="N5695" s="20"/>
      <c r="O5695"/>
      <c r="P5695" s="20"/>
      <c r="Q5695" s="20"/>
      <c r="R5695" s="20"/>
      <c r="S5695" s="20"/>
      <c r="T5695" s="20"/>
    </row>
    <row r="5696" spans="1:20" x14ac:dyDescent="0.25">
      <c r="A5696" s="3">
        <v>42034</v>
      </c>
      <c r="B5696">
        <v>672</v>
      </c>
      <c r="C5696" t="s">
        <v>567</v>
      </c>
      <c r="D5696" s="19">
        <v>7.8</v>
      </c>
      <c r="E5696" s="18">
        <v>1794</v>
      </c>
      <c r="F5696" s="23" t="s">
        <v>889</v>
      </c>
      <c r="G5696" t="s">
        <v>568</v>
      </c>
      <c r="H5696" s="18"/>
      <c r="J5696"/>
      <c r="L5696"/>
      <c r="M5696"/>
      <c r="N5696" s="20"/>
      <c r="O5696"/>
      <c r="P5696" s="20"/>
      <c r="Q5696" s="20"/>
      <c r="R5696" s="20"/>
      <c r="S5696" s="20"/>
      <c r="T5696" s="20"/>
    </row>
    <row r="5697" spans="1:21" x14ac:dyDescent="0.25">
      <c r="A5697" s="32">
        <v>42034</v>
      </c>
      <c r="B5697" s="33">
        <v>672</v>
      </c>
      <c r="C5697" t="s">
        <v>5774</v>
      </c>
      <c r="D5697">
        <v>2.5499999999999998</v>
      </c>
      <c r="E5697" s="35">
        <v>159.375</v>
      </c>
      <c r="F5697" s="33" t="s">
        <v>889</v>
      </c>
      <c r="G5697" t="s">
        <v>633</v>
      </c>
      <c r="H5697" s="18"/>
      <c r="J5697"/>
      <c r="L5697"/>
      <c r="M5697"/>
      <c r="N5697" s="20"/>
      <c r="O5697"/>
      <c r="P5697" s="20"/>
      <c r="Q5697" s="20"/>
      <c r="R5697" s="20"/>
      <c r="S5697" s="20"/>
      <c r="T5697" s="20"/>
    </row>
    <row r="5698" spans="1:21" x14ac:dyDescent="0.25">
      <c r="A5698" s="32">
        <v>42034</v>
      </c>
      <c r="B5698" s="56">
        <v>672</v>
      </c>
      <c r="C5698" s="32" t="s">
        <v>614</v>
      </c>
      <c r="D5698" s="33">
        <v>2.5499999999999998</v>
      </c>
      <c r="E5698" s="35">
        <v>63.749999999999993</v>
      </c>
      <c r="F5698" s="33" t="s">
        <v>889</v>
      </c>
      <c r="G5698" t="s">
        <v>615</v>
      </c>
      <c r="H5698" s="18"/>
      <c r="J5698"/>
      <c r="L5698"/>
      <c r="M5698"/>
      <c r="N5698" s="20"/>
      <c r="O5698"/>
      <c r="P5698" s="20"/>
      <c r="Q5698" s="20"/>
      <c r="R5698" s="20"/>
      <c r="S5698" s="20"/>
      <c r="T5698" s="20"/>
    </row>
    <row r="5699" spans="1:21" x14ac:dyDescent="0.25">
      <c r="A5699" s="32">
        <v>42034</v>
      </c>
      <c r="B5699" s="56">
        <v>672</v>
      </c>
      <c r="C5699" s="32" t="s">
        <v>616</v>
      </c>
      <c r="D5699" s="33">
        <v>2.6</v>
      </c>
      <c r="E5699" s="35">
        <v>65</v>
      </c>
      <c r="F5699" s="33" t="s">
        <v>889</v>
      </c>
      <c r="G5699" t="s">
        <v>617</v>
      </c>
      <c r="H5699" s="18"/>
      <c r="J5699"/>
      <c r="L5699"/>
      <c r="M5699"/>
      <c r="N5699" s="20"/>
      <c r="O5699"/>
      <c r="P5699" s="20"/>
      <c r="Q5699" s="20"/>
      <c r="R5699" s="20"/>
      <c r="S5699" s="20"/>
      <c r="T5699" s="20"/>
    </row>
    <row r="5700" spans="1:21" x14ac:dyDescent="0.25">
      <c r="B5700">
        <v>672</v>
      </c>
      <c r="C5700" t="s">
        <v>5770</v>
      </c>
      <c r="E5700" s="18">
        <v>-1250</v>
      </c>
      <c r="F5700" t="s">
        <v>889</v>
      </c>
      <c r="G5700" t="s">
        <v>442</v>
      </c>
      <c r="I5700"/>
      <c r="J5700"/>
      <c r="L5700"/>
      <c r="M5700"/>
      <c r="O5700"/>
      <c r="P5700" s="20"/>
      <c r="Q5700" s="20"/>
      <c r="R5700" s="20"/>
      <c r="S5700" s="20"/>
      <c r="T5700" s="20"/>
      <c r="U5700" t="s">
        <v>401</v>
      </c>
    </row>
    <row r="5701" spans="1:21" x14ac:dyDescent="0.25">
      <c r="B5701">
        <v>672</v>
      </c>
      <c r="C5701" t="s">
        <v>5757</v>
      </c>
      <c r="E5701" s="18">
        <v>-500</v>
      </c>
      <c r="G5701" t="s">
        <v>442</v>
      </c>
      <c r="I5701"/>
      <c r="J5701"/>
      <c r="L5701"/>
      <c r="M5701"/>
      <c r="O5701"/>
      <c r="P5701" s="20"/>
      <c r="Q5701" s="20"/>
      <c r="R5701" s="20"/>
      <c r="S5701" s="20"/>
      <c r="T5701" s="20"/>
      <c r="U5701" t="s">
        <v>401</v>
      </c>
    </row>
    <row r="5702" spans="1:21" x14ac:dyDescent="0.25">
      <c r="B5702">
        <v>672</v>
      </c>
      <c r="C5702" t="s">
        <v>5756</v>
      </c>
      <c r="E5702" s="18">
        <v>-500</v>
      </c>
      <c r="G5702" t="s">
        <v>442</v>
      </c>
      <c r="I5702"/>
      <c r="J5702"/>
      <c r="L5702"/>
      <c r="M5702"/>
      <c r="O5702"/>
      <c r="P5702" s="20"/>
      <c r="Q5702" s="20"/>
      <c r="R5702" s="20"/>
      <c r="S5702" s="20"/>
      <c r="T5702" s="20"/>
      <c r="U5702" t="s">
        <v>401</v>
      </c>
    </row>
    <row r="5703" spans="1:21" x14ac:dyDescent="0.25">
      <c r="B5703">
        <v>672</v>
      </c>
      <c r="C5703" t="s">
        <v>5767</v>
      </c>
      <c r="E5703" s="18">
        <v>-750</v>
      </c>
      <c r="F5703" t="s">
        <v>889</v>
      </c>
      <c r="G5703" t="s">
        <v>442</v>
      </c>
      <c r="I5703"/>
      <c r="J5703"/>
      <c r="L5703"/>
      <c r="M5703"/>
      <c r="O5703"/>
      <c r="P5703" s="20"/>
      <c r="Q5703" s="20"/>
      <c r="R5703" s="20"/>
      <c r="S5703" s="20"/>
      <c r="T5703" s="20"/>
      <c r="U5703" t="s">
        <v>401</v>
      </c>
    </row>
    <row r="5704" spans="1:21" x14ac:dyDescent="0.25">
      <c r="B5704">
        <v>672</v>
      </c>
      <c r="C5704" t="s">
        <v>5758</v>
      </c>
      <c r="E5704" s="18">
        <v>-500</v>
      </c>
      <c r="G5704" t="s">
        <v>442</v>
      </c>
      <c r="I5704"/>
      <c r="J5704"/>
      <c r="L5704"/>
      <c r="M5704"/>
      <c r="O5704"/>
      <c r="P5704" s="20"/>
      <c r="Q5704" s="20"/>
      <c r="R5704" s="20"/>
      <c r="S5704" s="20"/>
      <c r="T5704" s="20"/>
      <c r="U5704" t="s">
        <v>401</v>
      </c>
    </row>
    <row r="5705" spans="1:21" x14ac:dyDescent="0.25">
      <c r="B5705">
        <v>672</v>
      </c>
      <c r="C5705" t="s">
        <v>5769</v>
      </c>
      <c r="E5705" s="18">
        <v>-1000</v>
      </c>
      <c r="F5705" t="s">
        <v>889</v>
      </c>
      <c r="G5705" t="s">
        <v>442</v>
      </c>
      <c r="I5705"/>
      <c r="J5705"/>
      <c r="L5705"/>
      <c r="M5705"/>
      <c r="O5705"/>
      <c r="P5705" s="20"/>
      <c r="Q5705" s="20"/>
      <c r="R5705" s="20"/>
      <c r="S5705" s="20"/>
      <c r="T5705" s="20"/>
      <c r="U5705" t="s">
        <v>401</v>
      </c>
    </row>
    <row r="5706" spans="1:21" x14ac:dyDescent="0.25">
      <c r="B5706">
        <v>672</v>
      </c>
      <c r="C5706" t="s">
        <v>5089</v>
      </c>
      <c r="D5706">
        <v>1</v>
      </c>
      <c r="E5706" s="18">
        <v>-250</v>
      </c>
      <c r="F5706" t="s">
        <v>889</v>
      </c>
      <c r="G5706" t="s">
        <v>442</v>
      </c>
      <c r="I5706"/>
      <c r="J5706"/>
      <c r="L5706"/>
      <c r="M5706"/>
      <c r="O5706"/>
      <c r="P5706" s="20"/>
      <c r="Q5706" s="20"/>
      <c r="R5706" s="20"/>
      <c r="S5706" s="20"/>
      <c r="T5706" s="20"/>
      <c r="U5706" t="s">
        <v>401</v>
      </c>
    </row>
    <row r="5707" spans="1:21" x14ac:dyDescent="0.25">
      <c r="B5707">
        <v>672</v>
      </c>
      <c r="C5707" t="s">
        <v>5090</v>
      </c>
      <c r="D5707">
        <v>2</v>
      </c>
      <c r="E5707" s="18">
        <v>-500</v>
      </c>
      <c r="F5707" t="s">
        <v>889</v>
      </c>
      <c r="G5707" t="s">
        <v>442</v>
      </c>
      <c r="I5707"/>
      <c r="J5707"/>
      <c r="L5707"/>
      <c r="M5707"/>
      <c r="O5707"/>
      <c r="P5707" s="20"/>
      <c r="Q5707" s="20"/>
      <c r="R5707" s="20"/>
      <c r="S5707" s="20"/>
      <c r="T5707" s="20"/>
      <c r="U5707" t="s">
        <v>401</v>
      </c>
    </row>
    <row r="5708" spans="1:21" x14ac:dyDescent="0.25">
      <c r="A5708" s="3">
        <v>41950</v>
      </c>
      <c r="B5708" s="36">
        <v>674</v>
      </c>
      <c r="C5708" t="s">
        <v>5775</v>
      </c>
      <c r="D5708">
        <v>11.5</v>
      </c>
      <c r="E5708" s="18">
        <v>1150</v>
      </c>
      <c r="F5708" t="s">
        <v>889</v>
      </c>
      <c r="G5708" t="s">
        <v>5776</v>
      </c>
      <c r="H5708" s="18">
        <v>1150</v>
      </c>
      <c r="I5708" s="3">
        <v>41950</v>
      </c>
      <c r="J5708"/>
      <c r="L5708"/>
      <c r="M5708"/>
      <c r="N5708" s="20"/>
      <c r="O5708"/>
      <c r="P5708" s="20"/>
      <c r="Q5708" s="20"/>
      <c r="R5708" s="20"/>
      <c r="S5708" s="20"/>
      <c r="T5708" s="20"/>
    </row>
    <row r="5709" spans="1:21" x14ac:dyDescent="0.25">
      <c r="A5709" s="3">
        <v>41978</v>
      </c>
      <c r="B5709" s="36">
        <v>674</v>
      </c>
      <c r="C5709" t="s">
        <v>5777</v>
      </c>
      <c r="D5709">
        <v>11.5</v>
      </c>
      <c r="E5709" s="18">
        <v>1150</v>
      </c>
      <c r="F5709" t="s">
        <v>889</v>
      </c>
      <c r="G5709" t="s">
        <v>5778</v>
      </c>
      <c r="H5709" s="18">
        <v>1150</v>
      </c>
      <c r="I5709" s="3">
        <v>41978</v>
      </c>
      <c r="J5709"/>
      <c r="L5709"/>
      <c r="M5709"/>
      <c r="N5709" s="20"/>
      <c r="O5709"/>
      <c r="P5709" s="20"/>
      <c r="Q5709" s="20"/>
      <c r="R5709" s="20"/>
      <c r="S5709" s="20"/>
      <c r="T5709" s="20"/>
    </row>
    <row r="5710" spans="1:21" x14ac:dyDescent="0.25">
      <c r="B5710">
        <v>674</v>
      </c>
      <c r="C5710" t="s">
        <v>5775</v>
      </c>
      <c r="D5710">
        <v>11.5</v>
      </c>
      <c r="E5710" s="18">
        <v>-1150</v>
      </c>
      <c r="F5710" t="s">
        <v>889</v>
      </c>
      <c r="G5710" t="s">
        <v>5776</v>
      </c>
      <c r="I5710"/>
      <c r="J5710"/>
      <c r="L5710"/>
      <c r="M5710"/>
      <c r="O5710"/>
      <c r="P5710" s="20"/>
      <c r="Q5710" s="20"/>
      <c r="R5710" s="20"/>
      <c r="S5710" s="20"/>
      <c r="T5710" s="20"/>
      <c r="U5710" t="s">
        <v>401</v>
      </c>
    </row>
    <row r="5711" spans="1:21" x14ac:dyDescent="0.25">
      <c r="A5711" s="3">
        <v>41932</v>
      </c>
      <c r="B5711" s="36">
        <v>675</v>
      </c>
      <c r="C5711" t="s">
        <v>5779</v>
      </c>
      <c r="D5711">
        <v>2.75</v>
      </c>
      <c r="E5711" s="18">
        <v>275</v>
      </c>
      <c r="F5711" t="s">
        <v>889</v>
      </c>
      <c r="G5711" t="s">
        <v>5780</v>
      </c>
      <c r="H5711" s="18">
        <v>275</v>
      </c>
      <c r="I5711" s="3">
        <v>41932</v>
      </c>
      <c r="J5711"/>
      <c r="L5711"/>
      <c r="M5711"/>
      <c r="N5711" s="20"/>
      <c r="O5711"/>
      <c r="P5711" s="20"/>
      <c r="Q5711" s="20"/>
      <c r="R5711" s="20"/>
      <c r="S5711" s="20"/>
      <c r="T5711" s="20"/>
    </row>
    <row r="5712" spans="1:21" x14ac:dyDescent="0.25">
      <c r="A5712" s="3">
        <v>41936</v>
      </c>
      <c r="B5712" s="36">
        <v>675</v>
      </c>
      <c r="C5712" t="s">
        <v>5781</v>
      </c>
      <c r="D5712">
        <v>9.75</v>
      </c>
      <c r="E5712" s="18">
        <v>850</v>
      </c>
      <c r="F5712" t="s">
        <v>889</v>
      </c>
      <c r="G5712" t="s">
        <v>5782</v>
      </c>
      <c r="H5712" s="18">
        <v>850</v>
      </c>
      <c r="I5712" s="3">
        <v>41936</v>
      </c>
      <c r="J5712"/>
      <c r="L5712"/>
      <c r="M5712"/>
      <c r="N5712" s="20"/>
      <c r="O5712"/>
      <c r="P5712" s="20"/>
      <c r="Q5712" s="20"/>
      <c r="R5712" s="20"/>
      <c r="S5712" s="20"/>
      <c r="T5712" s="20"/>
    </row>
    <row r="5713" spans="1:21" x14ac:dyDescent="0.25">
      <c r="A5713" s="3">
        <v>41999</v>
      </c>
      <c r="B5713" s="36">
        <v>675</v>
      </c>
      <c r="C5713" t="s">
        <v>5783</v>
      </c>
      <c r="D5713">
        <v>8.16</v>
      </c>
      <c r="E5713" s="18">
        <v>1357</v>
      </c>
      <c r="F5713" t="s">
        <v>889</v>
      </c>
      <c r="G5713" t="s">
        <v>5780</v>
      </c>
      <c r="H5713" s="18">
        <v>1357</v>
      </c>
      <c r="I5713" s="3">
        <v>41999</v>
      </c>
      <c r="J5713"/>
      <c r="L5713"/>
      <c r="M5713"/>
      <c r="N5713" s="20"/>
      <c r="O5713" t="s">
        <v>959</v>
      </c>
      <c r="P5713" s="20"/>
      <c r="Q5713" s="20"/>
      <c r="R5713" s="20"/>
      <c r="S5713" s="20"/>
      <c r="T5713" s="20"/>
    </row>
    <row r="5714" spans="1:21" x14ac:dyDescent="0.25">
      <c r="B5714">
        <v>675</v>
      </c>
      <c r="C5714" t="s">
        <v>5783</v>
      </c>
      <c r="D5714">
        <v>2.75</v>
      </c>
      <c r="E5714" s="18">
        <v>-1082</v>
      </c>
      <c r="F5714" t="s">
        <v>889</v>
      </c>
      <c r="G5714" t="s">
        <v>5780</v>
      </c>
      <c r="I5714"/>
      <c r="J5714"/>
      <c r="L5714"/>
      <c r="M5714"/>
      <c r="O5714"/>
      <c r="P5714" s="20"/>
      <c r="Q5714" s="20"/>
      <c r="R5714" s="20"/>
      <c r="S5714" s="20"/>
      <c r="T5714" s="20"/>
      <c r="U5714" t="s">
        <v>401</v>
      </c>
    </row>
    <row r="5715" spans="1:21" x14ac:dyDescent="0.25">
      <c r="A5715" s="57">
        <v>41929</v>
      </c>
      <c r="B5715" s="42">
        <v>676</v>
      </c>
      <c r="C5715" s="45" t="s">
        <v>5784</v>
      </c>
      <c r="D5715" s="45">
        <v>6.12</v>
      </c>
      <c r="E5715" s="58">
        <v>612</v>
      </c>
      <c r="F5715" s="45" t="s">
        <v>889</v>
      </c>
      <c r="G5715" s="45" t="s">
        <v>1500</v>
      </c>
      <c r="H5715" s="18">
        <v>612</v>
      </c>
      <c r="I5715" s="3">
        <v>41929</v>
      </c>
      <c r="J5715" s="45"/>
      <c r="K5715" s="45"/>
      <c r="L5715" s="45"/>
      <c r="M5715" s="45"/>
      <c r="N5715" s="45"/>
      <c r="O5715" s="45"/>
      <c r="P5715" s="20"/>
      <c r="Q5715" s="20"/>
      <c r="R5715" s="20"/>
      <c r="S5715" s="20"/>
      <c r="T5715" s="20"/>
    </row>
    <row r="5716" spans="1:21" x14ac:dyDescent="0.25">
      <c r="A5716" s="57">
        <v>41929</v>
      </c>
      <c r="B5716" s="42">
        <v>676</v>
      </c>
      <c r="C5716" s="45" t="s">
        <v>5785</v>
      </c>
      <c r="D5716" s="45">
        <v>7</v>
      </c>
      <c r="E5716" s="58">
        <v>918</v>
      </c>
      <c r="F5716" s="45" t="s">
        <v>889</v>
      </c>
      <c r="G5716" s="45" t="s">
        <v>1504</v>
      </c>
      <c r="H5716" s="18">
        <v>918</v>
      </c>
      <c r="I5716" s="3">
        <v>41929</v>
      </c>
      <c r="J5716" s="45"/>
      <c r="K5716" s="45"/>
      <c r="L5716" s="45"/>
      <c r="M5716" s="45"/>
      <c r="N5716" s="45"/>
      <c r="O5716" s="45"/>
      <c r="P5716" s="20"/>
      <c r="Q5716" s="20"/>
      <c r="R5716" s="20"/>
      <c r="S5716" s="20"/>
      <c r="T5716" s="20"/>
    </row>
    <row r="5717" spans="1:21" x14ac:dyDescent="0.25">
      <c r="A5717" s="3">
        <v>41936</v>
      </c>
      <c r="B5717" s="36">
        <v>676</v>
      </c>
      <c r="C5717" t="s">
        <v>5786</v>
      </c>
      <c r="D5717">
        <v>7.25</v>
      </c>
      <c r="E5717" s="18">
        <v>535.5</v>
      </c>
      <c r="F5717" t="s">
        <v>889</v>
      </c>
      <c r="G5717" t="s">
        <v>5787</v>
      </c>
      <c r="H5717" s="18">
        <v>535.5</v>
      </c>
      <c r="I5717" s="3">
        <v>41936</v>
      </c>
      <c r="J5717"/>
      <c r="L5717"/>
      <c r="M5717"/>
      <c r="N5717" s="20"/>
      <c r="O5717"/>
      <c r="P5717" s="20"/>
      <c r="Q5717" s="20"/>
      <c r="R5717" s="20"/>
      <c r="S5717" s="20"/>
      <c r="T5717" s="20"/>
    </row>
    <row r="5718" spans="1:21" x14ac:dyDescent="0.25">
      <c r="A5718" s="3">
        <v>41950</v>
      </c>
      <c r="B5718" s="36">
        <v>676</v>
      </c>
      <c r="C5718" t="s">
        <v>5788</v>
      </c>
      <c r="D5718">
        <v>12.24</v>
      </c>
      <c r="E5718" s="18">
        <v>1224</v>
      </c>
      <c r="F5718" t="s">
        <v>889</v>
      </c>
      <c r="G5718" t="s">
        <v>5789</v>
      </c>
      <c r="H5718" s="18">
        <v>1224</v>
      </c>
      <c r="I5718" s="3">
        <v>41950</v>
      </c>
      <c r="J5718"/>
      <c r="L5718"/>
      <c r="M5718"/>
      <c r="N5718" s="20"/>
      <c r="O5718"/>
      <c r="P5718" s="20"/>
      <c r="Q5718" s="20"/>
      <c r="R5718" s="20"/>
      <c r="S5718" s="20"/>
      <c r="T5718" s="20"/>
    </row>
    <row r="5719" spans="1:21" x14ac:dyDescent="0.25">
      <c r="A5719" s="3">
        <v>41950</v>
      </c>
      <c r="B5719" s="36">
        <v>676</v>
      </c>
      <c r="C5719" t="s">
        <v>5790</v>
      </c>
      <c r="D5719">
        <v>4.59</v>
      </c>
      <c r="E5719" s="18">
        <v>459</v>
      </c>
      <c r="F5719" t="s">
        <v>889</v>
      </c>
      <c r="G5719" t="s">
        <v>5791</v>
      </c>
      <c r="H5719" s="18">
        <v>459</v>
      </c>
      <c r="I5719" s="3">
        <v>41950</v>
      </c>
      <c r="J5719"/>
      <c r="L5719"/>
      <c r="M5719"/>
      <c r="N5719" s="20"/>
      <c r="O5719"/>
      <c r="P5719" s="20"/>
      <c r="Q5719" s="20"/>
      <c r="R5719" s="20"/>
      <c r="S5719" s="20"/>
      <c r="T5719" s="20"/>
    </row>
    <row r="5720" spans="1:21" x14ac:dyDescent="0.25">
      <c r="A5720" s="3">
        <v>41950</v>
      </c>
      <c r="B5720" s="36">
        <v>676</v>
      </c>
      <c r="C5720" t="s">
        <v>726</v>
      </c>
      <c r="D5720">
        <v>9.69</v>
      </c>
      <c r="E5720" s="18">
        <v>969</v>
      </c>
      <c r="F5720" t="s">
        <v>889</v>
      </c>
      <c r="G5720" t="s">
        <v>5792</v>
      </c>
      <c r="H5720" s="18">
        <v>969</v>
      </c>
      <c r="I5720" s="3">
        <v>41950</v>
      </c>
      <c r="J5720"/>
      <c r="L5720"/>
      <c r="M5720"/>
      <c r="N5720" s="20"/>
      <c r="O5720"/>
      <c r="P5720" s="20"/>
      <c r="Q5720" s="20"/>
      <c r="R5720" s="20"/>
      <c r="S5720" s="20"/>
      <c r="T5720" s="20"/>
    </row>
    <row r="5721" spans="1:21" x14ac:dyDescent="0.25">
      <c r="A5721" s="3">
        <v>41950</v>
      </c>
      <c r="B5721" s="36">
        <v>676</v>
      </c>
      <c r="C5721" t="s">
        <v>5793</v>
      </c>
      <c r="D5721">
        <v>7.14</v>
      </c>
      <c r="E5721" s="18">
        <v>714</v>
      </c>
      <c r="F5721" t="s">
        <v>889</v>
      </c>
      <c r="G5721" t="s">
        <v>5794</v>
      </c>
      <c r="H5721" s="18">
        <v>714</v>
      </c>
      <c r="I5721" s="3">
        <v>41950</v>
      </c>
      <c r="J5721"/>
      <c r="L5721"/>
      <c r="M5721"/>
      <c r="N5721" s="20"/>
      <c r="O5721"/>
      <c r="P5721" s="20"/>
      <c r="Q5721" s="20"/>
      <c r="R5721" s="20"/>
      <c r="S5721" s="20"/>
      <c r="T5721" s="20"/>
    </row>
    <row r="5722" spans="1:21" x14ac:dyDescent="0.25">
      <c r="A5722" s="3">
        <v>41950</v>
      </c>
      <c r="B5722" s="36">
        <v>676</v>
      </c>
      <c r="C5722" t="s">
        <v>5795</v>
      </c>
      <c r="D5722">
        <v>8.16</v>
      </c>
      <c r="E5722" s="18">
        <v>816</v>
      </c>
      <c r="F5722" t="s">
        <v>889</v>
      </c>
      <c r="G5722" t="s">
        <v>5796</v>
      </c>
      <c r="H5722" s="18">
        <v>816</v>
      </c>
      <c r="I5722" s="3">
        <v>41950</v>
      </c>
      <c r="J5722"/>
      <c r="L5722"/>
      <c r="M5722"/>
      <c r="N5722" s="20"/>
      <c r="O5722"/>
      <c r="P5722" s="20"/>
      <c r="Q5722" s="20"/>
      <c r="R5722" s="20"/>
      <c r="S5722" s="20"/>
      <c r="T5722" s="20"/>
    </row>
    <row r="5723" spans="1:21" x14ac:dyDescent="0.25">
      <c r="A5723" s="3">
        <v>41957</v>
      </c>
      <c r="B5723" s="36">
        <v>676</v>
      </c>
      <c r="C5723" t="s">
        <v>5797</v>
      </c>
      <c r="D5723">
        <v>7.9050000000000002</v>
      </c>
      <c r="E5723" s="18">
        <v>790.5</v>
      </c>
      <c r="F5723" t="s">
        <v>889</v>
      </c>
      <c r="G5723" t="s">
        <v>5798</v>
      </c>
      <c r="H5723" s="18">
        <v>790.5</v>
      </c>
      <c r="I5723" s="3">
        <v>41957</v>
      </c>
      <c r="J5723"/>
      <c r="L5723"/>
      <c r="M5723"/>
      <c r="N5723" s="20"/>
      <c r="O5723"/>
      <c r="P5723" s="20"/>
      <c r="Q5723" s="20"/>
      <c r="R5723" s="20"/>
      <c r="S5723" s="20"/>
      <c r="T5723" s="20"/>
    </row>
    <row r="5724" spans="1:21" x14ac:dyDescent="0.25">
      <c r="A5724" s="3">
        <v>41957</v>
      </c>
      <c r="B5724" s="36">
        <v>676</v>
      </c>
      <c r="C5724" t="s">
        <v>5790</v>
      </c>
      <c r="D5724">
        <v>4.59</v>
      </c>
      <c r="E5724" s="18">
        <v>-459</v>
      </c>
      <c r="F5724" t="s">
        <v>889</v>
      </c>
      <c r="G5724" t="s">
        <v>5791</v>
      </c>
      <c r="H5724" s="18" t="s">
        <v>442</v>
      </c>
      <c r="I5724" s="3" t="s">
        <v>442</v>
      </c>
      <c r="J5724"/>
      <c r="L5724"/>
      <c r="M5724"/>
      <c r="N5724" s="20"/>
      <c r="O5724"/>
      <c r="P5724" s="20"/>
      <c r="Q5724" s="20"/>
      <c r="R5724" s="20"/>
      <c r="S5724" s="20"/>
      <c r="T5724" s="20"/>
    </row>
    <row r="5725" spans="1:21" x14ac:dyDescent="0.25">
      <c r="A5725" s="3">
        <v>41957</v>
      </c>
      <c r="B5725" s="36">
        <v>676</v>
      </c>
      <c r="C5725" t="s">
        <v>5799</v>
      </c>
      <c r="D5725">
        <v>14.025</v>
      </c>
      <c r="E5725" s="18">
        <v>1402.5</v>
      </c>
      <c r="F5725" t="s">
        <v>889</v>
      </c>
      <c r="G5725" t="s">
        <v>5800</v>
      </c>
      <c r="H5725" s="18">
        <v>1402.5</v>
      </c>
      <c r="I5725" s="3">
        <v>41957</v>
      </c>
      <c r="J5725"/>
      <c r="L5725"/>
      <c r="M5725"/>
      <c r="N5725" s="20"/>
      <c r="O5725"/>
      <c r="P5725" s="20"/>
      <c r="Q5725" s="20"/>
      <c r="R5725" s="20"/>
      <c r="S5725" s="20"/>
      <c r="T5725" s="20"/>
    </row>
    <row r="5726" spans="1:21" x14ac:dyDescent="0.25">
      <c r="A5726" s="3">
        <v>41957</v>
      </c>
      <c r="B5726" s="36">
        <v>676</v>
      </c>
      <c r="C5726" t="s">
        <v>5795</v>
      </c>
      <c r="D5726">
        <v>8.16</v>
      </c>
      <c r="E5726" s="18">
        <v>-816</v>
      </c>
      <c r="F5726" t="s">
        <v>889</v>
      </c>
      <c r="G5726" t="s">
        <v>5796</v>
      </c>
      <c r="H5726" s="18" t="s">
        <v>442</v>
      </c>
      <c r="I5726" s="3" t="s">
        <v>442</v>
      </c>
      <c r="J5726"/>
      <c r="L5726"/>
      <c r="M5726"/>
      <c r="N5726" s="20"/>
      <c r="O5726"/>
      <c r="P5726" s="20"/>
      <c r="Q5726" s="20"/>
      <c r="R5726" s="20"/>
      <c r="S5726" s="20"/>
      <c r="T5726" s="20"/>
    </row>
    <row r="5727" spans="1:21" x14ac:dyDescent="0.25">
      <c r="A5727" s="3">
        <v>41968</v>
      </c>
      <c r="B5727" s="36">
        <v>676</v>
      </c>
      <c r="C5727" t="s">
        <v>5801</v>
      </c>
      <c r="D5727">
        <v>5.0999999999999996</v>
      </c>
      <c r="E5727" s="18">
        <v>509.99999999999994</v>
      </c>
      <c r="F5727" t="s">
        <v>889</v>
      </c>
      <c r="G5727" t="s">
        <v>5802</v>
      </c>
      <c r="H5727" s="18">
        <v>509.99999999999994</v>
      </c>
      <c r="I5727" s="3">
        <v>41968</v>
      </c>
      <c r="J5727"/>
      <c r="L5727"/>
      <c r="M5727"/>
      <c r="N5727" s="20"/>
      <c r="O5727"/>
      <c r="P5727" s="20"/>
      <c r="Q5727" s="20"/>
      <c r="R5727" s="20"/>
      <c r="S5727" s="20"/>
      <c r="T5727" s="20"/>
    </row>
    <row r="5728" spans="1:21" x14ac:dyDescent="0.25">
      <c r="A5728" s="3">
        <v>41968</v>
      </c>
      <c r="B5728" s="36">
        <v>676</v>
      </c>
      <c r="C5728" t="s">
        <v>5803</v>
      </c>
      <c r="D5728">
        <v>10.199999999999999</v>
      </c>
      <c r="E5728" s="18">
        <v>1019.9999999999999</v>
      </c>
      <c r="F5728" t="s">
        <v>889</v>
      </c>
      <c r="G5728" t="s">
        <v>5804</v>
      </c>
      <c r="H5728" s="18">
        <v>1019.9999999999999</v>
      </c>
      <c r="I5728" s="3">
        <v>41968</v>
      </c>
      <c r="J5728"/>
      <c r="L5728"/>
      <c r="M5728"/>
      <c r="N5728" s="20"/>
      <c r="O5728"/>
      <c r="P5728" s="20"/>
      <c r="Q5728" s="20"/>
      <c r="R5728" s="20"/>
      <c r="S5728" s="20"/>
      <c r="T5728" s="20"/>
    </row>
    <row r="5729" spans="1:21" x14ac:dyDescent="0.25">
      <c r="A5729" s="3">
        <v>41978</v>
      </c>
      <c r="B5729" s="36">
        <v>676</v>
      </c>
      <c r="C5729" t="s">
        <v>5805</v>
      </c>
      <c r="D5729">
        <v>8.16</v>
      </c>
      <c r="E5729" s="18">
        <v>816</v>
      </c>
      <c r="F5729" t="s">
        <v>889</v>
      </c>
      <c r="G5729" t="s">
        <v>5806</v>
      </c>
      <c r="H5729" s="18">
        <v>816</v>
      </c>
      <c r="I5729" s="3">
        <v>41978</v>
      </c>
      <c r="J5729"/>
      <c r="L5729"/>
      <c r="M5729"/>
      <c r="N5729" s="20"/>
      <c r="O5729"/>
      <c r="P5729" s="20"/>
      <c r="Q5729" s="20"/>
      <c r="R5729" s="20"/>
      <c r="S5729" s="20"/>
      <c r="T5729" s="20"/>
    </row>
    <row r="5730" spans="1:21" x14ac:dyDescent="0.25">
      <c r="A5730" s="3">
        <v>41985</v>
      </c>
      <c r="B5730" s="36">
        <v>676</v>
      </c>
      <c r="C5730" t="s">
        <v>5807</v>
      </c>
      <c r="D5730">
        <v>4.59</v>
      </c>
      <c r="E5730" s="18">
        <v>459</v>
      </c>
      <c r="F5730" t="s">
        <v>889</v>
      </c>
      <c r="G5730" t="s">
        <v>5808</v>
      </c>
      <c r="H5730" s="18">
        <v>459</v>
      </c>
      <c r="I5730" s="3">
        <v>41985</v>
      </c>
      <c r="J5730"/>
      <c r="L5730"/>
      <c r="M5730"/>
      <c r="N5730" s="20"/>
      <c r="O5730"/>
      <c r="P5730" s="20"/>
      <c r="Q5730" s="20"/>
      <c r="R5730" s="20"/>
      <c r="S5730" s="20"/>
      <c r="T5730" s="20"/>
    </row>
    <row r="5731" spans="1:21" x14ac:dyDescent="0.25">
      <c r="B5731">
        <v>676</v>
      </c>
      <c r="C5731" t="s">
        <v>1314</v>
      </c>
      <c r="E5731" s="18">
        <v>-50</v>
      </c>
      <c r="G5731" t="s">
        <v>442</v>
      </c>
      <c r="I5731"/>
      <c r="J5731"/>
      <c r="L5731"/>
      <c r="M5731"/>
      <c r="O5731"/>
      <c r="P5731" s="20"/>
      <c r="Q5731" s="20"/>
      <c r="R5731" s="20"/>
      <c r="S5731" s="20"/>
      <c r="T5731" s="20"/>
      <c r="U5731" t="s">
        <v>401</v>
      </c>
    </row>
    <row r="5732" spans="1:21" x14ac:dyDescent="0.25">
      <c r="B5732">
        <v>676</v>
      </c>
      <c r="C5732" t="s">
        <v>5799</v>
      </c>
      <c r="D5732">
        <v>19.38</v>
      </c>
      <c r="E5732" s="18">
        <v>-1402.5</v>
      </c>
      <c r="F5732" t="s">
        <v>889</v>
      </c>
      <c r="G5732" t="s">
        <v>5800</v>
      </c>
      <c r="I5732"/>
      <c r="J5732"/>
      <c r="L5732"/>
      <c r="M5732"/>
      <c r="O5732"/>
      <c r="P5732" s="20"/>
      <c r="Q5732" s="20"/>
      <c r="R5732" s="20"/>
      <c r="S5732" s="20"/>
      <c r="T5732" s="20"/>
      <c r="U5732" t="s">
        <v>401</v>
      </c>
    </row>
    <row r="5733" spans="1:21" x14ac:dyDescent="0.25">
      <c r="A5733" s="3">
        <v>41968</v>
      </c>
      <c r="B5733" s="36">
        <v>678</v>
      </c>
      <c r="C5733" t="s">
        <v>5809</v>
      </c>
      <c r="D5733">
        <v>9.75</v>
      </c>
      <c r="E5733" s="18">
        <v>975</v>
      </c>
      <c r="F5733" t="s">
        <v>889</v>
      </c>
      <c r="G5733" t="s">
        <v>5810</v>
      </c>
      <c r="H5733" s="18">
        <v>975</v>
      </c>
      <c r="I5733" s="3">
        <v>41968</v>
      </c>
      <c r="J5733"/>
      <c r="L5733"/>
      <c r="M5733"/>
      <c r="N5733" s="20"/>
      <c r="O5733"/>
      <c r="P5733" s="20"/>
      <c r="Q5733" s="20"/>
      <c r="R5733" s="20"/>
      <c r="S5733" s="20"/>
      <c r="T5733" s="20"/>
    </row>
    <row r="5734" spans="1:21" x14ac:dyDescent="0.25">
      <c r="A5734" s="3">
        <v>41932</v>
      </c>
      <c r="B5734" s="36">
        <v>679</v>
      </c>
      <c r="C5734" t="s">
        <v>960</v>
      </c>
      <c r="E5734" s="18">
        <v>1468.8000000000002</v>
      </c>
      <c r="H5734" s="18" t="s">
        <v>442</v>
      </c>
      <c r="I5734" s="3" t="s">
        <v>442</v>
      </c>
      <c r="J5734"/>
      <c r="L5734"/>
      <c r="M5734"/>
      <c r="N5734" s="20" t="s">
        <v>401</v>
      </c>
      <c r="O5734"/>
      <c r="P5734" s="20"/>
      <c r="Q5734" s="20"/>
      <c r="R5734" s="20"/>
      <c r="S5734" s="20"/>
      <c r="T5734" s="20"/>
    </row>
    <row r="5735" spans="1:21" x14ac:dyDescent="0.25">
      <c r="A5735" s="3">
        <v>41943</v>
      </c>
      <c r="B5735" s="36">
        <v>679</v>
      </c>
      <c r="C5735" t="s">
        <v>1301</v>
      </c>
      <c r="E5735" s="18">
        <v>91.8</v>
      </c>
      <c r="F5735" t="s">
        <v>889</v>
      </c>
      <c r="H5735" s="18" t="s">
        <v>442</v>
      </c>
      <c r="I5735" s="3" t="s">
        <v>442</v>
      </c>
      <c r="J5735"/>
      <c r="L5735"/>
      <c r="M5735"/>
      <c r="N5735" s="20" t="s">
        <v>401</v>
      </c>
      <c r="O5735"/>
      <c r="P5735" s="20"/>
      <c r="Q5735" s="20"/>
      <c r="R5735" s="20"/>
      <c r="S5735" s="20"/>
      <c r="T5735" s="20"/>
    </row>
    <row r="5736" spans="1:21" x14ac:dyDescent="0.25">
      <c r="A5736" s="3">
        <v>41957</v>
      </c>
      <c r="B5736" s="36">
        <v>679</v>
      </c>
      <c r="C5736" t="s">
        <v>5811</v>
      </c>
      <c r="D5736">
        <v>5.3550000000000004</v>
      </c>
      <c r="E5736" s="18">
        <v>535.5</v>
      </c>
      <c r="F5736" t="s">
        <v>889</v>
      </c>
      <c r="G5736" t="s">
        <v>5812</v>
      </c>
      <c r="H5736" s="18">
        <v>535.5</v>
      </c>
      <c r="I5736" s="3">
        <v>41957</v>
      </c>
      <c r="J5736"/>
      <c r="L5736"/>
      <c r="M5736"/>
      <c r="N5736" s="20"/>
      <c r="O5736"/>
      <c r="P5736" s="20"/>
      <c r="Q5736" s="20"/>
      <c r="R5736" s="20"/>
      <c r="S5736" s="20"/>
      <c r="T5736" s="20"/>
    </row>
    <row r="5737" spans="1:21" x14ac:dyDescent="0.25">
      <c r="A5737" s="3">
        <v>41957</v>
      </c>
      <c r="B5737" s="36">
        <v>679</v>
      </c>
      <c r="C5737" t="s">
        <v>5813</v>
      </c>
      <c r="D5737">
        <v>3.3149999999999999</v>
      </c>
      <c r="E5737" s="18">
        <v>331.5</v>
      </c>
      <c r="F5737" t="s">
        <v>889</v>
      </c>
      <c r="G5737" t="s">
        <v>5814</v>
      </c>
      <c r="H5737" s="18">
        <v>331.5</v>
      </c>
      <c r="I5737" s="3">
        <v>41957</v>
      </c>
      <c r="J5737"/>
      <c r="L5737"/>
      <c r="M5737"/>
      <c r="N5737" s="20"/>
      <c r="O5737" t="s">
        <v>5815</v>
      </c>
      <c r="P5737" s="20"/>
      <c r="Q5737" s="20"/>
      <c r="R5737" s="20"/>
      <c r="S5737" s="20"/>
      <c r="T5737" s="20"/>
    </row>
    <row r="5738" spans="1:21" x14ac:dyDescent="0.25">
      <c r="A5738" s="3">
        <v>41964</v>
      </c>
      <c r="B5738" s="36">
        <v>679</v>
      </c>
      <c r="C5738" t="s">
        <v>963</v>
      </c>
      <c r="E5738" s="18">
        <v>5357.2824999999984</v>
      </c>
      <c r="F5738" t="s">
        <v>889</v>
      </c>
      <c r="G5738" t="s">
        <v>442</v>
      </c>
      <c r="H5738" s="18" t="s">
        <v>442</v>
      </c>
      <c r="I5738" s="3" t="s">
        <v>442</v>
      </c>
      <c r="J5738"/>
      <c r="L5738"/>
      <c r="M5738"/>
      <c r="N5738" s="40" t="s">
        <v>401</v>
      </c>
      <c r="O5738"/>
      <c r="P5738" s="20"/>
      <c r="Q5738" s="20"/>
      <c r="R5738" s="20"/>
      <c r="S5738" s="20"/>
      <c r="T5738" s="20"/>
    </row>
    <row r="5739" spans="1:21" x14ac:dyDescent="0.25">
      <c r="A5739" s="3">
        <v>41978</v>
      </c>
      <c r="B5739" s="36">
        <v>679</v>
      </c>
      <c r="C5739" t="s">
        <v>5816</v>
      </c>
      <c r="D5739">
        <v>5.3550000000000004</v>
      </c>
      <c r="E5739" s="18">
        <v>535.5</v>
      </c>
      <c r="F5739" t="s">
        <v>889</v>
      </c>
      <c r="G5739" t="s">
        <v>5817</v>
      </c>
      <c r="H5739" s="18">
        <v>535.5</v>
      </c>
      <c r="I5739" s="3">
        <v>41978</v>
      </c>
      <c r="J5739"/>
      <c r="L5739"/>
      <c r="M5739"/>
      <c r="N5739" s="20"/>
      <c r="O5739"/>
      <c r="P5739" s="20"/>
      <c r="Q5739" s="20"/>
      <c r="R5739" s="20"/>
      <c r="S5739" s="20"/>
      <c r="T5739" s="20"/>
    </row>
    <row r="5740" spans="1:21" x14ac:dyDescent="0.25">
      <c r="A5740" s="3">
        <v>41995</v>
      </c>
      <c r="B5740" s="36">
        <v>679</v>
      </c>
      <c r="C5740" t="s">
        <v>967</v>
      </c>
      <c r="E5740" s="18">
        <v>2602.2350000000015</v>
      </c>
      <c r="F5740" t="s">
        <v>889</v>
      </c>
      <c r="G5740" t="s">
        <v>442</v>
      </c>
      <c r="H5740" s="18" t="s">
        <v>442</v>
      </c>
      <c r="I5740" s="3" t="s">
        <v>442</v>
      </c>
      <c r="J5740"/>
      <c r="L5740"/>
      <c r="M5740"/>
      <c r="N5740" s="40" t="s">
        <v>401</v>
      </c>
      <c r="O5740"/>
      <c r="P5740" s="20"/>
      <c r="Q5740" s="20"/>
      <c r="R5740" s="20"/>
      <c r="S5740" s="20"/>
      <c r="T5740" s="20"/>
    </row>
    <row r="5741" spans="1:21" x14ac:dyDescent="0.25">
      <c r="A5741" s="3">
        <v>42013</v>
      </c>
      <c r="B5741" s="36">
        <v>679</v>
      </c>
      <c r="C5741" t="s">
        <v>810</v>
      </c>
      <c r="D5741">
        <v>4.335</v>
      </c>
      <c r="E5741" s="18">
        <v>466.75</v>
      </c>
      <c r="F5741" t="s">
        <v>889</v>
      </c>
      <c r="G5741" t="s">
        <v>811</v>
      </c>
      <c r="H5741" s="18">
        <v>466.75</v>
      </c>
      <c r="I5741" s="3">
        <v>42013</v>
      </c>
      <c r="J5741"/>
      <c r="L5741"/>
      <c r="M5741"/>
      <c r="N5741" s="20"/>
      <c r="O5741"/>
      <c r="P5741" s="20"/>
      <c r="Q5741" s="20"/>
      <c r="R5741" s="20"/>
      <c r="S5741" s="20"/>
      <c r="T5741" s="20"/>
    </row>
    <row r="5742" spans="1:21" x14ac:dyDescent="0.25">
      <c r="A5742" s="3">
        <v>42019</v>
      </c>
      <c r="B5742" s="36">
        <v>679</v>
      </c>
      <c r="C5742" t="s">
        <v>969</v>
      </c>
      <c r="D5742" s="55"/>
      <c r="E5742" s="18">
        <v>2922.7125000000001</v>
      </c>
      <c r="F5742" t="s">
        <v>889</v>
      </c>
      <c r="H5742" s="18" t="s">
        <v>442</v>
      </c>
      <c r="I5742" s="3" t="s">
        <v>442</v>
      </c>
      <c r="J5742"/>
      <c r="L5742"/>
      <c r="M5742"/>
      <c r="N5742" s="40" t="s">
        <v>401</v>
      </c>
      <c r="O5742"/>
      <c r="P5742" s="20"/>
      <c r="Q5742" s="20"/>
      <c r="R5742" s="20"/>
      <c r="S5742" s="20"/>
      <c r="T5742" s="20"/>
    </row>
    <row r="5743" spans="1:21" x14ac:dyDescent="0.25">
      <c r="A5743" s="3">
        <v>42027</v>
      </c>
      <c r="B5743" s="36">
        <v>679</v>
      </c>
      <c r="C5743" t="s">
        <v>652</v>
      </c>
      <c r="D5743" s="55">
        <v>3.06</v>
      </c>
      <c r="E5743" s="18">
        <v>153</v>
      </c>
      <c r="F5743" t="s">
        <v>889</v>
      </c>
      <c r="G5743" t="s">
        <v>653</v>
      </c>
      <c r="H5743" s="18">
        <v>153</v>
      </c>
      <c r="I5743" s="3">
        <v>42027</v>
      </c>
      <c r="J5743"/>
      <c r="L5743"/>
      <c r="M5743"/>
      <c r="N5743" s="20"/>
      <c r="O5743"/>
      <c r="P5743" s="20"/>
      <c r="Q5743" s="20"/>
      <c r="R5743" s="20"/>
      <c r="S5743" s="20"/>
      <c r="T5743" s="20"/>
    </row>
    <row r="5744" spans="1:21" x14ac:dyDescent="0.25">
      <c r="A5744" s="32">
        <v>42034</v>
      </c>
      <c r="B5744" s="56">
        <v>679</v>
      </c>
      <c r="C5744" s="20" t="s">
        <v>974</v>
      </c>
      <c r="D5744" s="20"/>
      <c r="E5744" s="18">
        <v>156.31333333333333</v>
      </c>
      <c r="F5744" s="33" t="s">
        <v>889</v>
      </c>
      <c r="G5744" s="33"/>
      <c r="H5744" s="18"/>
      <c r="J5744"/>
      <c r="L5744"/>
      <c r="M5744"/>
      <c r="N5744" s="20" t="s">
        <v>401</v>
      </c>
      <c r="O5744"/>
      <c r="P5744" s="20"/>
      <c r="Q5744" s="20"/>
      <c r="R5744" s="20"/>
      <c r="S5744" s="20"/>
      <c r="T5744" s="20"/>
    </row>
    <row r="5745" spans="1:21" x14ac:dyDescent="0.25">
      <c r="B5745">
        <v>679</v>
      </c>
      <c r="C5745" t="s">
        <v>1314</v>
      </c>
      <c r="E5745" s="18">
        <v>-50</v>
      </c>
      <c r="G5745" t="s">
        <v>442</v>
      </c>
      <c r="I5745"/>
      <c r="J5745"/>
      <c r="L5745"/>
      <c r="M5745"/>
      <c r="O5745"/>
      <c r="P5745" s="20"/>
      <c r="Q5745" s="20"/>
      <c r="R5745" s="20"/>
      <c r="S5745" s="20"/>
      <c r="T5745" s="20"/>
      <c r="U5745" t="s">
        <v>401</v>
      </c>
    </row>
    <row r="5746" spans="1:21" x14ac:dyDescent="0.25">
      <c r="A5746" s="3">
        <v>41926</v>
      </c>
      <c r="B5746" s="36">
        <v>680</v>
      </c>
      <c r="C5746" t="s">
        <v>5818</v>
      </c>
      <c r="D5746">
        <v>3.8</v>
      </c>
      <c r="E5746" s="18">
        <v>380</v>
      </c>
      <c r="F5746" t="s">
        <v>889</v>
      </c>
      <c r="G5746" t="s">
        <v>5819</v>
      </c>
      <c r="H5746" s="18">
        <v>380</v>
      </c>
      <c r="I5746" s="3">
        <v>41926</v>
      </c>
      <c r="J5746"/>
      <c r="L5746"/>
      <c r="M5746"/>
      <c r="N5746" s="20"/>
      <c r="O5746"/>
      <c r="P5746" s="20"/>
      <c r="Q5746" s="20"/>
      <c r="R5746" s="20"/>
      <c r="S5746" s="20"/>
      <c r="T5746" s="20"/>
    </row>
    <row r="5747" spans="1:21" x14ac:dyDescent="0.25">
      <c r="A5747" s="3">
        <v>41929</v>
      </c>
      <c r="B5747" s="36">
        <v>680</v>
      </c>
      <c r="C5747" t="s">
        <v>5818</v>
      </c>
      <c r="D5747">
        <v>3.8</v>
      </c>
      <c r="E5747" s="18">
        <v>380</v>
      </c>
      <c r="F5747" t="s">
        <v>889</v>
      </c>
      <c r="G5747" t="s">
        <v>5819</v>
      </c>
      <c r="H5747" s="18">
        <v>380</v>
      </c>
      <c r="I5747" s="3">
        <v>41929</v>
      </c>
      <c r="J5747"/>
      <c r="L5747"/>
      <c r="M5747"/>
      <c r="N5747" s="20"/>
      <c r="O5747"/>
      <c r="P5747" s="20"/>
      <c r="Q5747" s="20"/>
      <c r="R5747" s="20"/>
      <c r="S5747" s="20"/>
      <c r="T5747" s="20"/>
    </row>
    <row r="5748" spans="1:21" x14ac:dyDescent="0.25">
      <c r="A5748" s="3">
        <v>41943</v>
      </c>
      <c r="B5748" s="36">
        <v>680</v>
      </c>
      <c r="C5748" t="s">
        <v>5820</v>
      </c>
      <c r="D5748">
        <v>5.61</v>
      </c>
      <c r="E5748" s="18">
        <v>561</v>
      </c>
      <c r="F5748" t="s">
        <v>889</v>
      </c>
      <c r="G5748" t="s">
        <v>5821</v>
      </c>
      <c r="H5748" s="18">
        <v>561</v>
      </c>
      <c r="I5748" s="3">
        <v>41943</v>
      </c>
      <c r="J5748"/>
      <c r="L5748"/>
      <c r="M5748"/>
      <c r="N5748" s="20"/>
      <c r="O5748"/>
      <c r="P5748" s="20"/>
      <c r="Q5748" s="20"/>
      <c r="R5748" s="20"/>
      <c r="S5748" s="20"/>
      <c r="T5748" s="20"/>
    </row>
    <row r="5749" spans="1:21" x14ac:dyDescent="0.25">
      <c r="A5749" s="3">
        <v>41943</v>
      </c>
      <c r="B5749" s="36">
        <v>680</v>
      </c>
      <c r="C5749" t="s">
        <v>5822</v>
      </c>
      <c r="D5749">
        <v>5</v>
      </c>
      <c r="E5749" s="18">
        <v>500</v>
      </c>
      <c r="F5749" t="s">
        <v>889</v>
      </c>
      <c r="G5749" t="s">
        <v>5823</v>
      </c>
      <c r="H5749" s="18">
        <v>500</v>
      </c>
      <c r="I5749" s="3">
        <v>41943</v>
      </c>
      <c r="J5749"/>
      <c r="L5749"/>
      <c r="M5749"/>
      <c r="N5749" s="20"/>
      <c r="O5749"/>
      <c r="P5749" s="20"/>
      <c r="Q5749" s="20"/>
      <c r="R5749" s="20"/>
      <c r="S5749" s="20"/>
      <c r="T5749" s="20"/>
    </row>
    <row r="5750" spans="1:21" x14ac:dyDescent="0.25">
      <c r="A5750" s="3">
        <v>41999</v>
      </c>
      <c r="B5750" s="36">
        <v>680</v>
      </c>
      <c r="C5750" t="s">
        <v>5824</v>
      </c>
      <c r="E5750" s="18">
        <v>600</v>
      </c>
      <c r="F5750" t="s">
        <v>889</v>
      </c>
      <c r="G5750" t="s">
        <v>442</v>
      </c>
      <c r="H5750" s="18" t="s">
        <v>442</v>
      </c>
      <c r="I5750" s="3" t="s">
        <v>442</v>
      </c>
      <c r="J5750"/>
      <c r="L5750"/>
      <c r="M5750"/>
      <c r="N5750" s="20"/>
      <c r="O5750"/>
      <c r="P5750" s="20"/>
      <c r="Q5750" s="20"/>
      <c r="R5750" s="20"/>
      <c r="S5750" s="20"/>
      <c r="T5750" s="20" t="s">
        <v>401</v>
      </c>
    </row>
    <row r="5751" spans="1:21" x14ac:dyDescent="0.25">
      <c r="A5751" s="3">
        <v>42027</v>
      </c>
      <c r="B5751" s="36">
        <v>680</v>
      </c>
      <c r="C5751" t="s">
        <v>520</v>
      </c>
      <c r="D5751" s="55">
        <v>9.75</v>
      </c>
      <c r="E5751" s="18">
        <v>484.5</v>
      </c>
      <c r="F5751" t="s">
        <v>889</v>
      </c>
      <c r="G5751" t="s">
        <v>521</v>
      </c>
      <c r="H5751" s="18">
        <v>484.5</v>
      </c>
      <c r="I5751" s="3">
        <v>42027</v>
      </c>
      <c r="J5751"/>
      <c r="L5751"/>
      <c r="M5751"/>
      <c r="N5751" s="20"/>
      <c r="O5751"/>
      <c r="P5751" s="20"/>
      <c r="Q5751" s="20"/>
      <c r="R5751" s="20"/>
      <c r="S5751" s="20"/>
      <c r="T5751" s="20"/>
    </row>
    <row r="5752" spans="1:21" x14ac:dyDescent="0.25">
      <c r="A5752" s="3">
        <v>42027</v>
      </c>
      <c r="B5752" s="36">
        <v>680</v>
      </c>
      <c r="C5752" t="s">
        <v>3211</v>
      </c>
      <c r="D5752" s="55">
        <v>4.335</v>
      </c>
      <c r="E5752" s="18">
        <v>867</v>
      </c>
      <c r="F5752" t="s">
        <v>889</v>
      </c>
      <c r="G5752" t="s">
        <v>3212</v>
      </c>
      <c r="H5752" s="18">
        <v>867</v>
      </c>
      <c r="I5752" s="3">
        <v>42027</v>
      </c>
      <c r="J5752"/>
      <c r="L5752"/>
      <c r="M5752"/>
      <c r="N5752" s="20"/>
      <c r="O5752"/>
      <c r="P5752" s="20"/>
      <c r="Q5752" s="20"/>
      <c r="R5752" s="20"/>
      <c r="S5752" s="20"/>
      <c r="T5752" s="20"/>
    </row>
    <row r="5753" spans="1:21" x14ac:dyDescent="0.25">
      <c r="B5753">
        <v>680</v>
      </c>
      <c r="C5753" t="s">
        <v>5824</v>
      </c>
      <c r="E5753" s="18">
        <v>-600</v>
      </c>
      <c r="G5753" t="s">
        <v>442</v>
      </c>
      <c r="I5753"/>
      <c r="J5753"/>
      <c r="L5753"/>
      <c r="M5753"/>
      <c r="O5753"/>
      <c r="P5753" s="20"/>
      <c r="Q5753" s="20"/>
      <c r="R5753" s="20"/>
      <c r="S5753" s="20"/>
      <c r="T5753" s="20"/>
      <c r="U5753" t="s">
        <v>401</v>
      </c>
    </row>
    <row r="5754" spans="1:21" x14ac:dyDescent="0.25">
      <c r="B5754">
        <v>680</v>
      </c>
      <c r="C5754" t="s">
        <v>520</v>
      </c>
      <c r="D5754">
        <v>9.69</v>
      </c>
      <c r="E5754" s="18">
        <v>250</v>
      </c>
      <c r="F5754" t="s">
        <v>889</v>
      </c>
      <c r="G5754" t="s">
        <v>521</v>
      </c>
      <c r="I5754"/>
      <c r="J5754"/>
      <c r="L5754"/>
      <c r="M5754"/>
      <c r="O5754"/>
      <c r="P5754" s="20"/>
      <c r="Q5754" s="20"/>
      <c r="R5754" s="20"/>
      <c r="S5754" s="20"/>
      <c r="T5754" s="20"/>
      <c r="U5754" t="s">
        <v>401</v>
      </c>
    </row>
    <row r="5755" spans="1:21" x14ac:dyDescent="0.25">
      <c r="B5755">
        <v>680</v>
      </c>
      <c r="C5755" t="s">
        <v>5818</v>
      </c>
      <c r="D5755">
        <v>3.8250000000000002</v>
      </c>
      <c r="E5755" s="18">
        <v>-760</v>
      </c>
      <c r="F5755" t="s">
        <v>889</v>
      </c>
      <c r="G5755" t="s">
        <v>5819</v>
      </c>
      <c r="I5755"/>
      <c r="J5755"/>
      <c r="L5755"/>
      <c r="M5755"/>
      <c r="O5755"/>
      <c r="P5755" s="20"/>
      <c r="Q5755" s="20"/>
      <c r="R5755" s="20"/>
      <c r="S5755" s="20"/>
      <c r="T5755" s="20"/>
      <c r="U5755" t="s">
        <v>401</v>
      </c>
    </row>
    <row r="5756" spans="1:21" x14ac:dyDescent="0.25">
      <c r="B5756">
        <v>680</v>
      </c>
      <c r="C5756" t="s">
        <v>5822</v>
      </c>
      <c r="D5756">
        <v>3.57</v>
      </c>
      <c r="E5756" s="18">
        <v>-500</v>
      </c>
      <c r="F5756" t="s">
        <v>889</v>
      </c>
      <c r="G5756" t="s">
        <v>5823</v>
      </c>
      <c r="I5756"/>
      <c r="J5756"/>
      <c r="L5756"/>
      <c r="M5756"/>
      <c r="O5756"/>
      <c r="P5756" s="20"/>
      <c r="Q5756" s="20"/>
      <c r="R5756" s="20"/>
      <c r="S5756" s="20"/>
      <c r="T5756" s="20"/>
      <c r="U5756" t="s">
        <v>401</v>
      </c>
    </row>
    <row r="5757" spans="1:21" x14ac:dyDescent="0.25">
      <c r="B5757">
        <v>680</v>
      </c>
      <c r="C5757" t="s">
        <v>3204</v>
      </c>
      <c r="E5757" s="18">
        <v>-533</v>
      </c>
      <c r="I5757"/>
      <c r="J5757"/>
      <c r="L5757"/>
      <c r="M5757"/>
      <c r="O5757"/>
      <c r="P5757" s="20"/>
      <c r="Q5757" s="20"/>
      <c r="R5757" s="20"/>
      <c r="S5757" s="20"/>
      <c r="T5757" s="20"/>
      <c r="U5757" t="s">
        <v>401</v>
      </c>
    </row>
    <row r="5758" spans="1:21" x14ac:dyDescent="0.25">
      <c r="B5758">
        <v>680</v>
      </c>
      <c r="C5758" t="s">
        <v>1315</v>
      </c>
      <c r="E5758" s="18">
        <v>-367.9890410958904</v>
      </c>
      <c r="I5758"/>
      <c r="J5758"/>
      <c r="L5758"/>
      <c r="M5758"/>
      <c r="O5758"/>
      <c r="P5758" s="20"/>
      <c r="Q5758" s="20"/>
      <c r="R5758" s="20"/>
      <c r="S5758" s="20"/>
      <c r="T5758" s="20"/>
      <c r="U5758" t="s">
        <v>401</v>
      </c>
    </row>
    <row r="5759" spans="1:21" x14ac:dyDescent="0.25">
      <c r="B5759">
        <v>680</v>
      </c>
      <c r="C5759" t="s">
        <v>3206</v>
      </c>
      <c r="E5759" s="18">
        <v>-399.75</v>
      </c>
      <c r="I5759"/>
      <c r="J5759"/>
      <c r="L5759"/>
      <c r="M5759"/>
      <c r="O5759"/>
      <c r="P5759" s="20"/>
      <c r="Q5759" s="20"/>
      <c r="R5759" s="20"/>
      <c r="S5759" s="20"/>
      <c r="T5759" s="20"/>
      <c r="U5759" t="s">
        <v>401</v>
      </c>
    </row>
    <row r="5760" spans="1:21" x14ac:dyDescent="0.25">
      <c r="B5760">
        <v>680</v>
      </c>
      <c r="C5760" t="s">
        <v>3207</v>
      </c>
      <c r="E5760" s="18">
        <v>-105.139726027397</v>
      </c>
      <c r="I5760"/>
      <c r="J5760"/>
      <c r="L5760"/>
      <c r="M5760"/>
      <c r="O5760"/>
      <c r="P5760" s="20"/>
      <c r="Q5760" s="20"/>
      <c r="R5760" s="20"/>
      <c r="S5760" s="20"/>
      <c r="T5760" s="20"/>
      <c r="U5760" t="s">
        <v>401</v>
      </c>
    </row>
    <row r="5761" spans="1:21" x14ac:dyDescent="0.25">
      <c r="B5761">
        <v>680</v>
      </c>
      <c r="C5761" t="s">
        <v>3208</v>
      </c>
      <c r="E5761" s="18">
        <v>-399.75</v>
      </c>
      <c r="I5761"/>
      <c r="J5761"/>
      <c r="L5761"/>
      <c r="M5761"/>
      <c r="O5761"/>
      <c r="P5761" s="20"/>
      <c r="Q5761" s="20"/>
      <c r="R5761" s="20"/>
      <c r="S5761" s="20"/>
      <c r="T5761" s="20"/>
      <c r="U5761" t="s">
        <v>401</v>
      </c>
    </row>
    <row r="5762" spans="1:21" x14ac:dyDescent="0.25">
      <c r="B5762">
        <v>680</v>
      </c>
      <c r="C5762" t="s">
        <v>3209</v>
      </c>
      <c r="E5762" s="18">
        <v>-533</v>
      </c>
      <c r="I5762"/>
      <c r="J5762"/>
      <c r="L5762"/>
      <c r="M5762"/>
      <c r="O5762"/>
      <c r="P5762" s="20"/>
      <c r="Q5762" s="20"/>
      <c r="R5762" s="20"/>
      <c r="S5762" s="20"/>
      <c r="T5762" s="20"/>
      <c r="U5762" t="s">
        <v>401</v>
      </c>
    </row>
    <row r="5763" spans="1:21" x14ac:dyDescent="0.25">
      <c r="A5763" s="3">
        <v>41936</v>
      </c>
      <c r="B5763" s="36">
        <v>683</v>
      </c>
      <c r="C5763" t="s">
        <v>5825</v>
      </c>
      <c r="D5763">
        <v>6.63</v>
      </c>
      <c r="E5763" s="18">
        <v>663</v>
      </c>
      <c r="F5763" t="s">
        <v>889</v>
      </c>
      <c r="G5763" t="s">
        <v>5826</v>
      </c>
      <c r="H5763" s="18">
        <v>663</v>
      </c>
      <c r="I5763" s="3">
        <v>41936</v>
      </c>
      <c r="J5763"/>
      <c r="L5763"/>
      <c r="M5763"/>
      <c r="N5763" s="20"/>
      <c r="O5763"/>
      <c r="P5763" s="20"/>
      <c r="Q5763" s="20"/>
      <c r="R5763" s="20"/>
      <c r="S5763" s="20"/>
      <c r="T5763" s="20"/>
    </row>
    <row r="5764" spans="1:21" x14ac:dyDescent="0.25">
      <c r="A5764" s="3">
        <v>41964</v>
      </c>
      <c r="B5764" s="36">
        <v>683</v>
      </c>
      <c r="C5764" t="s">
        <v>5827</v>
      </c>
      <c r="D5764">
        <v>6.12</v>
      </c>
      <c r="E5764" s="18">
        <v>612</v>
      </c>
      <c r="F5764" t="s">
        <v>889</v>
      </c>
      <c r="G5764" t="s">
        <v>5828</v>
      </c>
      <c r="H5764" s="18">
        <v>612</v>
      </c>
      <c r="I5764" s="3">
        <v>41964</v>
      </c>
      <c r="J5764"/>
      <c r="L5764"/>
      <c r="M5764"/>
      <c r="N5764" s="20"/>
      <c r="O5764"/>
      <c r="P5764" s="20"/>
      <c r="Q5764" s="20"/>
      <c r="R5764" s="20"/>
      <c r="S5764" s="20"/>
      <c r="T5764" s="20"/>
    </row>
    <row r="5765" spans="1:21" x14ac:dyDescent="0.25">
      <c r="A5765" s="57">
        <v>41932</v>
      </c>
      <c r="B5765" s="42">
        <v>685</v>
      </c>
      <c r="C5765" s="45" t="s">
        <v>5829</v>
      </c>
      <c r="D5765" s="45">
        <v>10</v>
      </c>
      <c r="E5765" s="58">
        <v>994.5</v>
      </c>
      <c r="F5765" s="45" t="s">
        <v>889</v>
      </c>
      <c r="G5765" s="45" t="s">
        <v>1502</v>
      </c>
      <c r="H5765" s="18">
        <v>994.5</v>
      </c>
      <c r="I5765" s="3">
        <v>41932</v>
      </c>
      <c r="J5765" s="45"/>
      <c r="K5765" s="45"/>
      <c r="L5765" s="45"/>
      <c r="M5765" s="45"/>
      <c r="N5765" s="45"/>
      <c r="O5765" s="45"/>
      <c r="P5765" s="20"/>
      <c r="Q5765" s="20"/>
      <c r="R5765" s="20"/>
      <c r="S5765" s="20"/>
      <c r="T5765" s="20"/>
    </row>
    <row r="5766" spans="1:21" x14ac:dyDescent="0.25">
      <c r="A5766" s="3">
        <v>41950</v>
      </c>
      <c r="B5766" s="36">
        <v>685</v>
      </c>
      <c r="C5766" t="s">
        <v>5830</v>
      </c>
      <c r="D5766">
        <v>4.08</v>
      </c>
      <c r="E5766" s="18">
        <v>408</v>
      </c>
      <c r="F5766" t="s">
        <v>889</v>
      </c>
      <c r="G5766" t="s">
        <v>5831</v>
      </c>
      <c r="H5766" s="18">
        <v>408</v>
      </c>
      <c r="I5766" s="3">
        <v>41950</v>
      </c>
      <c r="J5766"/>
      <c r="L5766"/>
      <c r="M5766"/>
      <c r="N5766" s="20"/>
      <c r="O5766"/>
      <c r="P5766" s="20"/>
      <c r="Q5766" s="20"/>
      <c r="R5766" s="20"/>
      <c r="S5766" s="20"/>
      <c r="T5766" s="20"/>
    </row>
    <row r="5767" spans="1:21" x14ac:dyDescent="0.25">
      <c r="A5767" s="3">
        <v>42013</v>
      </c>
      <c r="B5767" s="36">
        <v>685</v>
      </c>
      <c r="C5767" t="s">
        <v>713</v>
      </c>
      <c r="D5767">
        <v>10.199999999999999</v>
      </c>
      <c r="E5767" s="18">
        <v>760</v>
      </c>
      <c r="F5767" t="s">
        <v>889</v>
      </c>
      <c r="G5767" t="s">
        <v>714</v>
      </c>
      <c r="H5767" s="18">
        <v>760</v>
      </c>
      <c r="I5767" s="3">
        <v>42013</v>
      </c>
      <c r="J5767"/>
      <c r="L5767"/>
      <c r="M5767"/>
      <c r="N5767" s="20"/>
      <c r="O5767"/>
      <c r="P5767" s="20"/>
      <c r="Q5767" s="20"/>
      <c r="R5767" s="20"/>
      <c r="S5767" s="20"/>
      <c r="T5767" s="20"/>
    </row>
    <row r="5768" spans="1:21" x14ac:dyDescent="0.25">
      <c r="A5768" s="3">
        <v>42013</v>
      </c>
      <c r="B5768" s="36">
        <v>685</v>
      </c>
      <c r="C5768" t="s">
        <v>5832</v>
      </c>
      <c r="D5768">
        <v>8.67</v>
      </c>
      <c r="E5768" s="18">
        <v>867</v>
      </c>
      <c r="F5768" t="s">
        <v>889</v>
      </c>
      <c r="G5768" t="s">
        <v>5833</v>
      </c>
      <c r="H5768" s="18">
        <v>867</v>
      </c>
      <c r="I5768" s="3">
        <v>42013</v>
      </c>
      <c r="J5768"/>
      <c r="L5768"/>
      <c r="M5768"/>
      <c r="N5768" s="20"/>
      <c r="O5768"/>
      <c r="P5768" s="20"/>
      <c r="Q5768" s="20"/>
      <c r="R5768" s="20"/>
      <c r="S5768" s="20"/>
      <c r="T5768" s="20"/>
    </row>
    <row r="5769" spans="1:21" x14ac:dyDescent="0.25">
      <c r="B5769">
        <v>685</v>
      </c>
      <c r="C5769" t="s">
        <v>5829</v>
      </c>
      <c r="D5769">
        <v>9.9450000000000003</v>
      </c>
      <c r="E5769" s="18">
        <v>-994.5</v>
      </c>
      <c r="F5769" t="s">
        <v>889</v>
      </c>
      <c r="G5769" t="s">
        <v>1502</v>
      </c>
      <c r="I5769"/>
      <c r="J5769"/>
      <c r="L5769"/>
      <c r="M5769"/>
      <c r="O5769"/>
      <c r="P5769" s="20"/>
      <c r="Q5769" s="20"/>
      <c r="R5769" s="20"/>
      <c r="S5769" s="20"/>
      <c r="T5769" s="20"/>
      <c r="U5769" t="s">
        <v>401</v>
      </c>
    </row>
    <row r="5770" spans="1:21" x14ac:dyDescent="0.25">
      <c r="B5770">
        <v>685</v>
      </c>
      <c r="C5770" t="s">
        <v>1314</v>
      </c>
      <c r="E5770" s="18">
        <v>-50</v>
      </c>
      <c r="G5770" t="s">
        <v>442</v>
      </c>
      <c r="I5770"/>
      <c r="J5770"/>
      <c r="L5770"/>
      <c r="M5770"/>
      <c r="O5770"/>
      <c r="P5770" s="20"/>
      <c r="Q5770" s="20"/>
      <c r="R5770" s="20"/>
      <c r="S5770" s="20"/>
      <c r="T5770" s="20"/>
      <c r="U5770" t="s">
        <v>401</v>
      </c>
    </row>
    <row r="5771" spans="1:21" x14ac:dyDescent="0.25">
      <c r="A5771" s="3">
        <v>41957</v>
      </c>
      <c r="B5771" s="36">
        <v>687</v>
      </c>
      <c r="C5771" t="s">
        <v>5834</v>
      </c>
      <c r="D5771">
        <v>7.75</v>
      </c>
      <c r="E5771" s="18">
        <v>775</v>
      </c>
      <c r="F5771" t="s">
        <v>889</v>
      </c>
      <c r="G5771" t="s">
        <v>5835</v>
      </c>
      <c r="H5771" s="18">
        <v>775</v>
      </c>
      <c r="I5771" s="3">
        <v>41957</v>
      </c>
      <c r="J5771"/>
      <c r="L5771"/>
      <c r="M5771"/>
      <c r="N5771" s="20"/>
      <c r="O5771"/>
      <c r="P5771" s="20"/>
      <c r="Q5771" s="20"/>
      <c r="R5771" s="20"/>
      <c r="S5771" s="20"/>
      <c r="T5771" s="20"/>
    </row>
    <row r="5772" spans="1:21" x14ac:dyDescent="0.25">
      <c r="A5772" s="3">
        <v>41978</v>
      </c>
      <c r="B5772" s="36">
        <v>687</v>
      </c>
      <c r="C5772" t="s">
        <v>5836</v>
      </c>
      <c r="D5772">
        <v>6.5</v>
      </c>
      <c r="E5772" s="18">
        <v>650</v>
      </c>
      <c r="F5772" t="s">
        <v>889</v>
      </c>
      <c r="G5772" t="s">
        <v>5837</v>
      </c>
      <c r="H5772" s="18">
        <v>650</v>
      </c>
      <c r="I5772" s="3">
        <v>41978</v>
      </c>
      <c r="J5772"/>
      <c r="L5772"/>
      <c r="M5772"/>
      <c r="N5772" s="20"/>
      <c r="O5772"/>
      <c r="P5772" s="20"/>
      <c r="Q5772" s="20"/>
      <c r="R5772" s="20"/>
      <c r="S5772" s="20"/>
      <c r="T5772" s="20"/>
    </row>
    <row r="5773" spans="1:21" x14ac:dyDescent="0.25">
      <c r="A5773" s="3">
        <v>41999</v>
      </c>
      <c r="B5773" s="36">
        <v>687</v>
      </c>
      <c r="C5773" t="s">
        <v>5834</v>
      </c>
      <c r="D5773">
        <v>8.4149999999999991</v>
      </c>
      <c r="E5773" s="18">
        <v>907.99999999999977</v>
      </c>
      <c r="F5773" t="s">
        <v>889</v>
      </c>
      <c r="G5773" t="s">
        <v>5835</v>
      </c>
      <c r="H5773" s="18">
        <v>907.99999999999977</v>
      </c>
      <c r="I5773" s="3">
        <v>41999</v>
      </c>
      <c r="J5773"/>
      <c r="L5773"/>
      <c r="M5773"/>
      <c r="N5773" s="20"/>
      <c r="O5773" t="s">
        <v>959</v>
      </c>
      <c r="P5773" s="20"/>
      <c r="Q5773" s="20"/>
      <c r="R5773" s="20"/>
      <c r="S5773" s="20"/>
      <c r="T5773" s="20"/>
    </row>
    <row r="5774" spans="1:21" x14ac:dyDescent="0.25">
      <c r="A5774" s="3">
        <v>42041</v>
      </c>
      <c r="B5774">
        <v>687</v>
      </c>
      <c r="C5774" t="s">
        <v>5838</v>
      </c>
      <c r="E5774" s="18">
        <v>650</v>
      </c>
      <c r="F5774" t="s">
        <v>889</v>
      </c>
      <c r="G5774" t="s">
        <v>5837</v>
      </c>
      <c r="I5774"/>
      <c r="J5774"/>
      <c r="L5774"/>
      <c r="M5774"/>
      <c r="O5774"/>
      <c r="P5774" s="20"/>
      <c r="Q5774" s="20"/>
      <c r="R5774" s="20"/>
      <c r="S5774" s="20"/>
      <c r="T5774" s="20"/>
    </row>
    <row r="5775" spans="1:21" x14ac:dyDescent="0.25">
      <c r="A5775" s="3">
        <v>42041</v>
      </c>
      <c r="B5775">
        <v>687</v>
      </c>
      <c r="C5775" t="s">
        <v>5834</v>
      </c>
      <c r="D5775">
        <v>7.75</v>
      </c>
      <c r="E5775" s="18">
        <v>-132.99999999999977</v>
      </c>
      <c r="F5775" t="s">
        <v>889</v>
      </c>
      <c r="G5775" t="s">
        <v>5835</v>
      </c>
      <c r="I5775"/>
      <c r="J5775"/>
      <c r="L5775"/>
      <c r="M5775"/>
      <c r="O5775"/>
      <c r="P5775" s="20"/>
      <c r="Q5775" s="20"/>
      <c r="R5775" s="20"/>
      <c r="S5775" s="20"/>
      <c r="T5775" s="20"/>
    </row>
    <row r="5776" spans="1:21" x14ac:dyDescent="0.25">
      <c r="A5776" s="3">
        <v>41957</v>
      </c>
      <c r="B5776" s="36">
        <v>690</v>
      </c>
      <c r="C5776" t="s">
        <v>5839</v>
      </c>
      <c r="D5776">
        <v>8.5</v>
      </c>
      <c r="E5776" s="18">
        <v>850</v>
      </c>
      <c r="F5776" t="s">
        <v>889</v>
      </c>
      <c r="G5776" t="s">
        <v>5840</v>
      </c>
      <c r="H5776" s="18">
        <v>850</v>
      </c>
      <c r="I5776" s="3">
        <v>41957</v>
      </c>
      <c r="J5776"/>
      <c r="L5776"/>
      <c r="M5776"/>
      <c r="N5776" s="20"/>
      <c r="O5776"/>
      <c r="P5776" s="20"/>
      <c r="Q5776" s="20"/>
      <c r="R5776" s="20"/>
      <c r="S5776" s="20"/>
      <c r="T5776" s="20"/>
    </row>
    <row r="5777" spans="1:21" x14ac:dyDescent="0.25">
      <c r="A5777" s="3">
        <v>41964</v>
      </c>
      <c r="B5777" s="36">
        <v>690</v>
      </c>
      <c r="C5777" t="s">
        <v>5841</v>
      </c>
      <c r="D5777">
        <v>12</v>
      </c>
      <c r="E5777" s="18">
        <v>1200</v>
      </c>
      <c r="F5777" t="s">
        <v>889</v>
      </c>
      <c r="G5777" t="s">
        <v>5842</v>
      </c>
      <c r="H5777" s="18">
        <v>1200</v>
      </c>
      <c r="I5777" s="3">
        <v>41964</v>
      </c>
      <c r="J5777"/>
      <c r="L5777"/>
      <c r="M5777"/>
      <c r="N5777" s="20"/>
      <c r="O5777"/>
      <c r="P5777" s="20"/>
      <c r="Q5777" s="20"/>
      <c r="R5777" s="20"/>
      <c r="S5777" s="20"/>
      <c r="T5777" s="20"/>
    </row>
    <row r="5778" spans="1:21" x14ac:dyDescent="0.25">
      <c r="A5778" s="3">
        <v>41978</v>
      </c>
      <c r="B5778" s="36">
        <v>690</v>
      </c>
      <c r="C5778" t="s">
        <v>5843</v>
      </c>
      <c r="D5778">
        <v>6.25</v>
      </c>
      <c r="E5778" s="18">
        <v>625</v>
      </c>
      <c r="F5778" t="s">
        <v>889</v>
      </c>
      <c r="G5778" t="s">
        <v>5844</v>
      </c>
      <c r="H5778" s="18">
        <v>625</v>
      </c>
      <c r="I5778" s="3">
        <v>41978</v>
      </c>
      <c r="J5778"/>
      <c r="L5778"/>
      <c r="M5778"/>
      <c r="N5778" s="20"/>
      <c r="O5778"/>
      <c r="P5778" s="20"/>
      <c r="Q5778" s="20"/>
      <c r="R5778" s="20"/>
      <c r="S5778" s="20"/>
      <c r="T5778" s="20"/>
    </row>
    <row r="5779" spans="1:21" x14ac:dyDescent="0.25">
      <c r="A5779" s="3">
        <v>41999</v>
      </c>
      <c r="B5779" s="36">
        <v>690</v>
      </c>
      <c r="C5779" t="s">
        <v>5845</v>
      </c>
      <c r="D5779">
        <v>7.3949999999999996</v>
      </c>
      <c r="E5779" s="18">
        <v>754</v>
      </c>
      <c r="F5779" t="s">
        <v>889</v>
      </c>
      <c r="G5779" t="s">
        <v>5846</v>
      </c>
      <c r="H5779" s="18">
        <v>754</v>
      </c>
      <c r="I5779" s="3">
        <v>41999</v>
      </c>
      <c r="J5779"/>
      <c r="L5779"/>
      <c r="M5779"/>
      <c r="N5779" s="20"/>
      <c r="O5779" t="s">
        <v>959</v>
      </c>
      <c r="P5779" s="20"/>
      <c r="Q5779" s="20"/>
      <c r="R5779" s="20"/>
      <c r="S5779" s="20"/>
      <c r="T5779" s="20"/>
    </row>
    <row r="5780" spans="1:21" x14ac:dyDescent="0.25">
      <c r="A5780" s="3">
        <v>42010</v>
      </c>
      <c r="B5780" s="36">
        <v>690</v>
      </c>
      <c r="C5780" t="s">
        <v>5839</v>
      </c>
      <c r="D5780">
        <v>8.5</v>
      </c>
      <c r="E5780" s="18">
        <v>283.33333333333331</v>
      </c>
      <c r="F5780" t="s">
        <v>889</v>
      </c>
      <c r="G5780" t="s">
        <v>5840</v>
      </c>
      <c r="H5780" s="18">
        <v>283.33333333333331</v>
      </c>
      <c r="I5780" s="3">
        <v>42010</v>
      </c>
      <c r="J5780"/>
      <c r="L5780"/>
      <c r="M5780"/>
      <c r="N5780" s="20"/>
      <c r="O5780"/>
      <c r="P5780" s="20"/>
      <c r="Q5780" s="20"/>
      <c r="R5780" s="20"/>
      <c r="S5780" s="20"/>
      <c r="T5780" s="20"/>
    </row>
    <row r="5781" spans="1:21" x14ac:dyDescent="0.25">
      <c r="A5781" s="3">
        <v>42010</v>
      </c>
      <c r="B5781" s="36">
        <v>690</v>
      </c>
      <c r="C5781" t="s">
        <v>5845</v>
      </c>
      <c r="D5781">
        <v>7.25</v>
      </c>
      <c r="E5781" s="18">
        <v>-29</v>
      </c>
      <c r="F5781" t="s">
        <v>889</v>
      </c>
      <c r="G5781" t="s">
        <v>5846</v>
      </c>
      <c r="H5781" s="18" t="s">
        <v>442</v>
      </c>
      <c r="I5781" s="3" t="s">
        <v>442</v>
      </c>
      <c r="J5781"/>
      <c r="L5781"/>
      <c r="M5781"/>
      <c r="N5781" s="20"/>
      <c r="O5781" t="s">
        <v>1140</v>
      </c>
      <c r="P5781" s="20"/>
      <c r="Q5781" s="20"/>
      <c r="R5781" s="20"/>
      <c r="S5781" s="20"/>
      <c r="T5781" s="20"/>
    </row>
    <row r="5782" spans="1:21" x14ac:dyDescent="0.25">
      <c r="A5782" s="3">
        <v>42013</v>
      </c>
      <c r="B5782" s="36">
        <v>690</v>
      </c>
      <c r="C5782" t="s">
        <v>728</v>
      </c>
      <c r="D5782">
        <v>7</v>
      </c>
      <c r="E5782" s="18">
        <v>250</v>
      </c>
      <c r="F5782" t="s">
        <v>889</v>
      </c>
      <c r="G5782" t="s">
        <v>729</v>
      </c>
      <c r="H5782" s="18">
        <v>250</v>
      </c>
      <c r="I5782" s="3">
        <v>42013</v>
      </c>
      <c r="J5782"/>
      <c r="L5782"/>
      <c r="M5782"/>
      <c r="N5782" s="20"/>
      <c r="O5782"/>
      <c r="P5782" s="20"/>
      <c r="Q5782" s="20"/>
      <c r="R5782" s="20"/>
      <c r="S5782" s="20"/>
      <c r="T5782" s="20"/>
    </row>
    <row r="5783" spans="1:21" x14ac:dyDescent="0.25">
      <c r="A5783" s="3">
        <v>42019</v>
      </c>
      <c r="B5783" s="36">
        <v>690</v>
      </c>
      <c r="C5783" t="s">
        <v>5847</v>
      </c>
      <c r="D5783" s="55">
        <v>6.75</v>
      </c>
      <c r="E5783" s="18">
        <v>675</v>
      </c>
      <c r="F5783" t="s">
        <v>889</v>
      </c>
      <c r="G5783" t="s">
        <v>5848</v>
      </c>
      <c r="H5783" s="18">
        <v>675</v>
      </c>
      <c r="I5783" s="3">
        <v>42019</v>
      </c>
      <c r="J5783"/>
      <c r="L5783"/>
      <c r="M5783"/>
      <c r="N5783" s="20"/>
      <c r="O5783"/>
      <c r="P5783" s="20"/>
      <c r="Q5783" s="20"/>
      <c r="R5783" s="20"/>
      <c r="S5783" s="20"/>
      <c r="T5783" s="20"/>
    </row>
    <row r="5784" spans="1:21" x14ac:dyDescent="0.25">
      <c r="A5784" s="3">
        <v>42041</v>
      </c>
      <c r="B5784">
        <v>690</v>
      </c>
      <c r="C5784" t="s">
        <v>860</v>
      </c>
      <c r="D5784">
        <v>13</v>
      </c>
      <c r="E5784" s="18">
        <v>900</v>
      </c>
      <c r="F5784" t="s">
        <v>889</v>
      </c>
      <c r="G5784" t="s">
        <v>861</v>
      </c>
      <c r="I5784"/>
      <c r="J5784"/>
      <c r="L5784"/>
      <c r="M5784"/>
      <c r="O5784"/>
      <c r="P5784" s="20"/>
      <c r="Q5784" s="20"/>
      <c r="R5784" s="20"/>
      <c r="S5784" s="20"/>
      <c r="T5784" s="20"/>
    </row>
    <row r="5785" spans="1:21" x14ac:dyDescent="0.25">
      <c r="A5785" s="3">
        <v>42041</v>
      </c>
      <c r="B5785">
        <v>690</v>
      </c>
      <c r="C5785" t="s">
        <v>5839</v>
      </c>
      <c r="E5785" s="18">
        <v>283.33333333333331</v>
      </c>
      <c r="F5785" t="s">
        <v>889</v>
      </c>
      <c r="G5785" t="s">
        <v>5840</v>
      </c>
      <c r="I5785"/>
      <c r="J5785"/>
      <c r="L5785"/>
      <c r="M5785"/>
      <c r="O5785"/>
      <c r="P5785" s="20"/>
      <c r="Q5785" s="20"/>
      <c r="R5785" s="20"/>
      <c r="S5785" s="20"/>
      <c r="T5785" s="20"/>
    </row>
    <row r="5786" spans="1:21" x14ac:dyDescent="0.25">
      <c r="A5786" s="3">
        <v>42041</v>
      </c>
      <c r="B5786">
        <v>690</v>
      </c>
      <c r="C5786" t="s">
        <v>4691</v>
      </c>
      <c r="E5786" s="18">
        <v>-335.02420000000001</v>
      </c>
      <c r="F5786" t="s">
        <v>891</v>
      </c>
      <c r="I5786"/>
      <c r="J5786"/>
      <c r="L5786"/>
      <c r="M5786"/>
      <c r="O5786"/>
      <c r="P5786" s="20"/>
      <c r="Q5786" s="20" t="s">
        <v>401</v>
      </c>
      <c r="R5786" s="20"/>
      <c r="S5786" s="20"/>
      <c r="T5786" s="20"/>
    </row>
    <row r="5787" spans="1:21" x14ac:dyDescent="0.25">
      <c r="B5787">
        <v>690</v>
      </c>
      <c r="C5787" t="s">
        <v>5845</v>
      </c>
      <c r="D5787">
        <v>7.5</v>
      </c>
      <c r="E5787" s="18">
        <v>725</v>
      </c>
      <c r="F5787" t="s">
        <v>889</v>
      </c>
      <c r="G5787" t="s">
        <v>5846</v>
      </c>
      <c r="I5787"/>
      <c r="J5787"/>
      <c r="L5787"/>
      <c r="M5787"/>
      <c r="O5787"/>
      <c r="P5787" s="20"/>
      <c r="Q5787" s="20"/>
      <c r="R5787" s="20"/>
      <c r="S5787" s="20"/>
      <c r="T5787" s="20"/>
      <c r="U5787" t="s">
        <v>401</v>
      </c>
    </row>
    <row r="5788" spans="1:21" x14ac:dyDescent="0.25">
      <c r="B5788">
        <v>690</v>
      </c>
      <c r="C5788" t="s">
        <v>5849</v>
      </c>
      <c r="D5788">
        <v>4.5</v>
      </c>
      <c r="E5788" s="18">
        <v>450</v>
      </c>
      <c r="F5788" t="s">
        <v>889</v>
      </c>
      <c r="G5788" t="s">
        <v>5850</v>
      </c>
      <c r="I5788"/>
      <c r="J5788"/>
      <c r="L5788"/>
      <c r="M5788"/>
      <c r="O5788"/>
      <c r="P5788" s="20"/>
      <c r="Q5788" s="20"/>
      <c r="R5788" s="20"/>
      <c r="S5788" s="20"/>
      <c r="T5788" s="20"/>
      <c r="U5788" t="s">
        <v>401</v>
      </c>
    </row>
    <row r="5789" spans="1:21" x14ac:dyDescent="0.25">
      <c r="A5789" s="3">
        <v>41932</v>
      </c>
      <c r="B5789" s="36">
        <v>691</v>
      </c>
      <c r="C5789" t="s">
        <v>5851</v>
      </c>
      <c r="E5789" s="18">
        <v>242.88</v>
      </c>
      <c r="F5789" t="s">
        <v>891</v>
      </c>
      <c r="H5789" s="18" t="s">
        <v>442</v>
      </c>
      <c r="I5789" s="3" t="s">
        <v>442</v>
      </c>
      <c r="J5789"/>
      <c r="L5789"/>
      <c r="M5789"/>
      <c r="N5789" s="20"/>
      <c r="O5789"/>
      <c r="P5789" s="20" t="s">
        <v>401</v>
      </c>
      <c r="Q5789" s="20"/>
      <c r="R5789" s="20"/>
      <c r="S5789" s="20"/>
      <c r="T5789" s="20"/>
    </row>
    <row r="5790" spans="1:21" x14ac:dyDescent="0.25">
      <c r="A5790" s="3">
        <v>41950</v>
      </c>
      <c r="B5790" s="36">
        <v>691</v>
      </c>
      <c r="C5790" t="s">
        <v>5852</v>
      </c>
      <c r="E5790" s="18">
        <v>246.57</v>
      </c>
      <c r="F5790" t="s">
        <v>891</v>
      </c>
      <c r="H5790" s="18" t="s">
        <v>442</v>
      </c>
      <c r="I5790" s="3" t="s">
        <v>442</v>
      </c>
      <c r="J5790"/>
      <c r="L5790"/>
      <c r="M5790"/>
      <c r="N5790" s="20"/>
      <c r="O5790"/>
      <c r="P5790" s="20" t="s">
        <v>401</v>
      </c>
      <c r="Q5790" s="20"/>
      <c r="R5790" s="20"/>
      <c r="S5790" s="20"/>
      <c r="T5790" s="20"/>
    </row>
    <row r="5791" spans="1:21" x14ac:dyDescent="0.25">
      <c r="A5791" s="3">
        <v>41957</v>
      </c>
      <c r="B5791" s="36">
        <v>691</v>
      </c>
      <c r="C5791" t="s">
        <v>5853</v>
      </c>
      <c r="E5791" s="18">
        <v>275</v>
      </c>
      <c r="F5791" t="s">
        <v>891</v>
      </c>
      <c r="H5791" s="18" t="s">
        <v>442</v>
      </c>
      <c r="I5791" s="3" t="s">
        <v>442</v>
      </c>
      <c r="J5791"/>
      <c r="L5791"/>
      <c r="M5791"/>
      <c r="N5791" s="20"/>
      <c r="O5791"/>
      <c r="P5791" s="20" t="s">
        <v>401</v>
      </c>
      <c r="Q5791" s="20"/>
      <c r="R5791" s="20"/>
      <c r="S5791" s="20"/>
      <c r="T5791" s="20"/>
    </row>
    <row r="5792" spans="1:21" x14ac:dyDescent="0.25">
      <c r="A5792" s="3">
        <v>41971</v>
      </c>
      <c r="B5792" s="36">
        <v>691</v>
      </c>
      <c r="C5792" t="s">
        <v>5854</v>
      </c>
      <c r="E5792" s="18">
        <v>1175.73</v>
      </c>
      <c r="F5792" t="s">
        <v>891</v>
      </c>
      <c r="H5792" s="18" t="s">
        <v>442</v>
      </c>
      <c r="I5792" s="3" t="s">
        <v>442</v>
      </c>
      <c r="J5792"/>
      <c r="L5792"/>
      <c r="M5792"/>
      <c r="N5792" s="20"/>
      <c r="O5792" t="s">
        <v>5855</v>
      </c>
      <c r="P5792" s="20" t="s">
        <v>401</v>
      </c>
      <c r="Q5792" s="20"/>
      <c r="R5792" s="20"/>
      <c r="S5792" s="20"/>
      <c r="T5792" s="20"/>
    </row>
    <row r="5793" spans="1:21" x14ac:dyDescent="0.25">
      <c r="B5793">
        <v>691</v>
      </c>
      <c r="C5793" t="s">
        <v>816</v>
      </c>
      <c r="D5793">
        <v>5.25</v>
      </c>
      <c r="E5793" s="18">
        <v>512.5</v>
      </c>
      <c r="F5793" t="s">
        <v>889</v>
      </c>
      <c r="G5793" t="s">
        <v>817</v>
      </c>
      <c r="I5793"/>
      <c r="J5793"/>
      <c r="L5793"/>
      <c r="M5793"/>
      <c r="O5793"/>
      <c r="P5793" s="20"/>
      <c r="Q5793" s="20"/>
      <c r="R5793" s="20"/>
      <c r="S5793" s="20"/>
      <c r="T5793" s="20"/>
      <c r="U5793" t="s">
        <v>401</v>
      </c>
    </row>
    <row r="5794" spans="1:21" x14ac:dyDescent="0.25">
      <c r="B5794">
        <v>691</v>
      </c>
      <c r="C5794" t="s">
        <v>5856</v>
      </c>
      <c r="E5794" s="18">
        <v>696.61</v>
      </c>
      <c r="F5794" t="s">
        <v>891</v>
      </c>
      <c r="I5794"/>
      <c r="J5794"/>
      <c r="L5794"/>
      <c r="M5794"/>
      <c r="O5794"/>
      <c r="P5794" s="20"/>
      <c r="Q5794" s="20"/>
      <c r="R5794" s="20"/>
      <c r="S5794" s="20"/>
      <c r="T5794" s="20"/>
      <c r="U5794" t="s">
        <v>401</v>
      </c>
    </row>
    <row r="5795" spans="1:21" x14ac:dyDescent="0.25">
      <c r="B5795">
        <v>691</v>
      </c>
      <c r="C5795" t="s">
        <v>5857</v>
      </c>
      <c r="E5795" s="18">
        <v>219</v>
      </c>
      <c r="F5795" t="s">
        <v>891</v>
      </c>
      <c r="I5795"/>
      <c r="J5795"/>
      <c r="L5795"/>
      <c r="M5795"/>
      <c r="O5795"/>
      <c r="P5795" s="20"/>
      <c r="Q5795" s="20"/>
      <c r="R5795" s="20"/>
      <c r="S5795" s="20"/>
      <c r="T5795" s="20"/>
      <c r="U5795" t="s">
        <v>401</v>
      </c>
    </row>
    <row r="5796" spans="1:21" x14ac:dyDescent="0.25">
      <c r="B5796">
        <v>691</v>
      </c>
      <c r="C5796" t="s">
        <v>5858</v>
      </c>
      <c r="E5796" s="18">
        <v>312.3</v>
      </c>
      <c r="F5796" t="s">
        <v>891</v>
      </c>
      <c r="I5796"/>
      <c r="J5796"/>
      <c r="L5796"/>
      <c r="M5796"/>
      <c r="O5796"/>
      <c r="P5796" s="20"/>
      <c r="Q5796" s="20"/>
      <c r="R5796" s="20"/>
      <c r="S5796" s="20"/>
      <c r="T5796" s="20"/>
      <c r="U5796" t="s">
        <v>401</v>
      </c>
    </row>
    <row r="5797" spans="1:21" x14ac:dyDescent="0.25">
      <c r="B5797">
        <v>691</v>
      </c>
      <c r="C5797" t="s">
        <v>5859</v>
      </c>
      <c r="E5797" s="18">
        <v>952.05</v>
      </c>
      <c r="F5797" t="s">
        <v>891</v>
      </c>
      <c r="I5797"/>
      <c r="J5797"/>
      <c r="L5797"/>
      <c r="M5797"/>
      <c r="O5797"/>
      <c r="P5797" s="20"/>
      <c r="Q5797" s="20"/>
      <c r="R5797" s="20"/>
      <c r="S5797" s="20"/>
      <c r="T5797" s="20"/>
      <c r="U5797" t="s">
        <v>401</v>
      </c>
    </row>
    <row r="5798" spans="1:21" x14ac:dyDescent="0.25">
      <c r="A5798" s="3">
        <v>41631</v>
      </c>
      <c r="B5798" s="36">
        <v>692</v>
      </c>
      <c r="C5798" t="s">
        <v>5860</v>
      </c>
      <c r="E5798" s="18">
        <v>718.75</v>
      </c>
      <c r="G5798" t="s">
        <v>5861</v>
      </c>
      <c r="H5798" s="18">
        <v>718.75</v>
      </c>
      <c r="I5798" s="3">
        <v>41631</v>
      </c>
      <c r="J5798"/>
      <c r="L5798"/>
      <c r="M5798"/>
      <c r="N5798" s="20"/>
      <c r="O5798"/>
      <c r="P5798" s="20"/>
      <c r="Q5798" s="20"/>
      <c r="R5798" s="20"/>
      <c r="S5798" s="20"/>
      <c r="T5798" s="20"/>
    </row>
    <row r="5799" spans="1:21" x14ac:dyDescent="0.25">
      <c r="A5799" s="3">
        <v>41642</v>
      </c>
      <c r="B5799" s="36">
        <v>692</v>
      </c>
      <c r="C5799" t="s">
        <v>5862</v>
      </c>
      <c r="D5799">
        <v>12</v>
      </c>
      <c r="E5799" s="18">
        <v>1500</v>
      </c>
      <c r="G5799" t="s">
        <v>5863</v>
      </c>
      <c r="H5799" s="18">
        <v>1500</v>
      </c>
      <c r="I5799" s="3">
        <v>41642</v>
      </c>
      <c r="J5799"/>
      <c r="L5799"/>
      <c r="M5799"/>
      <c r="N5799" s="20"/>
      <c r="O5799"/>
      <c r="P5799" s="20"/>
      <c r="Q5799" s="20"/>
      <c r="R5799" s="20"/>
      <c r="S5799" s="20"/>
      <c r="T5799" s="20"/>
    </row>
    <row r="5800" spans="1:21" x14ac:dyDescent="0.25">
      <c r="A5800" s="3">
        <v>41913</v>
      </c>
      <c r="B5800" s="36">
        <v>692</v>
      </c>
      <c r="C5800" t="s">
        <v>5864</v>
      </c>
      <c r="E5800" s="18">
        <v>1061</v>
      </c>
      <c r="G5800" s="20"/>
      <c r="H5800" s="18" t="s">
        <v>442</v>
      </c>
      <c r="I5800" s="3" t="s">
        <v>442</v>
      </c>
      <c r="J5800" s="20"/>
      <c r="K5800" s="20"/>
      <c r="L5800" s="20"/>
      <c r="M5800" s="20"/>
      <c r="N5800" s="20"/>
      <c r="O5800"/>
      <c r="P5800" s="20"/>
      <c r="Q5800" s="20"/>
      <c r="R5800" s="20" t="s">
        <v>401</v>
      </c>
      <c r="S5800" s="20"/>
      <c r="T5800" s="20"/>
    </row>
    <row r="5801" spans="1:21" x14ac:dyDescent="0.25">
      <c r="A5801" s="3">
        <v>41963</v>
      </c>
      <c r="B5801" s="36">
        <v>692</v>
      </c>
      <c r="C5801" t="s">
        <v>5865</v>
      </c>
      <c r="E5801" s="18">
        <v>2500</v>
      </c>
      <c r="G5801" t="s">
        <v>442</v>
      </c>
      <c r="H5801" s="18" t="s">
        <v>442</v>
      </c>
      <c r="I5801" s="3" t="s">
        <v>442</v>
      </c>
      <c r="J5801"/>
      <c r="L5801"/>
      <c r="M5801"/>
      <c r="N5801" s="20"/>
      <c r="O5801"/>
      <c r="P5801" s="20"/>
      <c r="Q5801" s="20"/>
      <c r="R5801" s="20"/>
      <c r="S5801" s="20"/>
      <c r="T5801" s="20" t="s">
        <v>401</v>
      </c>
    </row>
    <row r="5802" spans="1:21" x14ac:dyDescent="0.25">
      <c r="A5802" s="3">
        <v>41964</v>
      </c>
      <c r="B5802" s="36">
        <v>692</v>
      </c>
      <c r="C5802" t="s">
        <v>5866</v>
      </c>
      <c r="D5802">
        <v>5.3550000000000004</v>
      </c>
      <c r="E5802" s="18">
        <v>535.5</v>
      </c>
      <c r="F5802" t="s">
        <v>889</v>
      </c>
      <c r="G5802" t="s">
        <v>5867</v>
      </c>
      <c r="H5802" s="18">
        <v>535.5</v>
      </c>
      <c r="I5802" s="3">
        <v>41964</v>
      </c>
      <c r="J5802"/>
      <c r="L5802"/>
      <c r="M5802"/>
      <c r="N5802" s="20"/>
      <c r="O5802"/>
      <c r="P5802" s="20"/>
      <c r="Q5802" s="20"/>
      <c r="R5802" s="20"/>
      <c r="S5802" s="20"/>
      <c r="T5802" s="20"/>
    </row>
    <row r="5803" spans="1:21" x14ac:dyDescent="0.25">
      <c r="A5803" s="32">
        <v>42034</v>
      </c>
      <c r="B5803" s="33">
        <v>692</v>
      </c>
      <c r="C5803" s="33" t="s">
        <v>5868</v>
      </c>
      <c r="D5803" s="34"/>
      <c r="E5803" s="35">
        <v>464.64</v>
      </c>
      <c r="F5803" s="33" t="s">
        <v>891</v>
      </c>
      <c r="G5803" s="33"/>
      <c r="H5803" s="18"/>
      <c r="J5803"/>
      <c r="L5803"/>
      <c r="M5803"/>
      <c r="N5803" s="20"/>
      <c r="O5803"/>
      <c r="P5803" s="20" t="s">
        <v>401</v>
      </c>
      <c r="Q5803" s="20"/>
      <c r="R5803" s="20"/>
      <c r="S5803" s="20"/>
      <c r="T5803" s="20"/>
    </row>
    <row r="5804" spans="1:21" x14ac:dyDescent="0.25">
      <c r="B5804">
        <v>692</v>
      </c>
      <c r="C5804" t="s">
        <v>5862</v>
      </c>
      <c r="D5804">
        <v>12</v>
      </c>
      <c r="E5804" s="18">
        <v>-1500</v>
      </c>
      <c r="F5804" t="s">
        <v>889</v>
      </c>
      <c r="G5804" t="s">
        <v>5863</v>
      </c>
      <c r="I5804"/>
      <c r="J5804"/>
      <c r="L5804"/>
      <c r="M5804"/>
      <c r="O5804"/>
      <c r="P5804" s="20"/>
      <c r="Q5804" s="20"/>
      <c r="R5804" s="20"/>
      <c r="S5804" s="20"/>
      <c r="T5804" s="20"/>
      <c r="U5804" t="s">
        <v>401</v>
      </c>
    </row>
    <row r="5805" spans="1:21" x14ac:dyDescent="0.25">
      <c r="B5805">
        <v>692</v>
      </c>
      <c r="C5805" t="s">
        <v>500</v>
      </c>
      <c r="D5805">
        <v>4.75</v>
      </c>
      <c r="E5805" s="18">
        <v>505</v>
      </c>
      <c r="F5805" t="s">
        <v>889</v>
      </c>
      <c r="G5805" t="s">
        <v>501</v>
      </c>
      <c r="I5805"/>
      <c r="J5805"/>
      <c r="L5805"/>
      <c r="M5805"/>
      <c r="O5805"/>
      <c r="P5805" s="20"/>
      <c r="Q5805" s="20"/>
      <c r="R5805" s="20"/>
      <c r="S5805" s="20"/>
      <c r="T5805" s="20"/>
      <c r="U5805" t="s">
        <v>401</v>
      </c>
    </row>
    <row r="5806" spans="1:21" x14ac:dyDescent="0.25">
      <c r="B5806">
        <v>692</v>
      </c>
      <c r="C5806" t="s">
        <v>5866</v>
      </c>
      <c r="D5806">
        <v>5.3550000000000004</v>
      </c>
      <c r="E5806" s="18">
        <v>-535.5</v>
      </c>
      <c r="F5806" t="s">
        <v>889</v>
      </c>
      <c r="G5806" t="s">
        <v>5867</v>
      </c>
      <c r="I5806"/>
      <c r="J5806"/>
      <c r="L5806"/>
      <c r="M5806"/>
      <c r="O5806"/>
      <c r="P5806" s="20"/>
      <c r="Q5806" s="20"/>
      <c r="R5806" s="20"/>
      <c r="S5806" s="20"/>
      <c r="T5806" s="20"/>
      <c r="U5806" t="s">
        <v>401</v>
      </c>
    </row>
    <row r="5807" spans="1:21" x14ac:dyDescent="0.25">
      <c r="B5807">
        <v>692</v>
      </c>
      <c r="C5807" t="s">
        <v>670</v>
      </c>
      <c r="D5807">
        <v>2.8050000000000002</v>
      </c>
      <c r="E5807" s="18">
        <v>140.25</v>
      </c>
      <c r="F5807" t="s">
        <v>889</v>
      </c>
      <c r="G5807" t="s">
        <v>671</v>
      </c>
      <c r="I5807"/>
      <c r="J5807"/>
      <c r="L5807"/>
      <c r="M5807"/>
      <c r="O5807"/>
      <c r="P5807" s="20"/>
      <c r="Q5807" s="20"/>
      <c r="R5807" s="20"/>
      <c r="S5807" s="20"/>
      <c r="T5807" s="20"/>
      <c r="U5807" t="s">
        <v>401</v>
      </c>
    </row>
    <row r="5808" spans="1:21" x14ac:dyDescent="0.25">
      <c r="B5808">
        <v>692</v>
      </c>
      <c r="C5808" t="s">
        <v>5865</v>
      </c>
      <c r="E5808" s="18">
        <v>-2500</v>
      </c>
      <c r="F5808" t="s">
        <v>889</v>
      </c>
      <c r="G5808" t="s">
        <v>442</v>
      </c>
      <c r="I5808"/>
      <c r="J5808"/>
      <c r="L5808"/>
      <c r="M5808"/>
      <c r="O5808"/>
      <c r="P5808" s="20"/>
      <c r="Q5808" s="20"/>
      <c r="R5808" s="20"/>
      <c r="S5808" s="20"/>
      <c r="T5808" s="20"/>
      <c r="U5808" t="s">
        <v>401</v>
      </c>
    </row>
    <row r="5809" spans="1:21" x14ac:dyDescent="0.25">
      <c r="B5809">
        <v>692</v>
      </c>
      <c r="C5809" t="s">
        <v>5869</v>
      </c>
      <c r="E5809" s="18">
        <v>248.55</v>
      </c>
      <c r="F5809" t="s">
        <v>891</v>
      </c>
      <c r="I5809"/>
      <c r="J5809"/>
      <c r="L5809"/>
      <c r="M5809"/>
      <c r="O5809"/>
      <c r="P5809" s="20"/>
      <c r="Q5809" s="20"/>
      <c r="R5809" s="20"/>
      <c r="S5809" s="20"/>
      <c r="T5809" s="20"/>
      <c r="U5809" t="s">
        <v>401</v>
      </c>
    </row>
    <row r="5810" spans="1:21" x14ac:dyDescent="0.25">
      <c r="B5810">
        <v>692</v>
      </c>
      <c r="C5810" t="s">
        <v>5870</v>
      </c>
      <c r="E5810" s="18">
        <v>-112.95</v>
      </c>
      <c r="F5810" t="s">
        <v>891</v>
      </c>
      <c r="I5810"/>
      <c r="J5810"/>
      <c r="L5810"/>
      <c r="M5810"/>
      <c r="O5810"/>
      <c r="P5810" s="20"/>
      <c r="Q5810" s="20"/>
      <c r="R5810" s="20"/>
      <c r="S5810" s="20"/>
      <c r="T5810" s="20"/>
      <c r="U5810" t="s">
        <v>401</v>
      </c>
    </row>
    <row r="5811" spans="1:21" x14ac:dyDescent="0.25">
      <c r="A5811" s="3">
        <v>42034</v>
      </c>
      <c r="B5811">
        <v>695</v>
      </c>
      <c r="C5811" t="s">
        <v>412</v>
      </c>
      <c r="D5811" s="19">
        <v>7.14</v>
      </c>
      <c r="E5811" s="18">
        <v>250</v>
      </c>
      <c r="F5811" s="23" t="s">
        <v>889</v>
      </c>
      <c r="G5811" t="s">
        <v>413</v>
      </c>
      <c r="H5811" s="18"/>
      <c r="J5811"/>
      <c r="L5811"/>
      <c r="M5811"/>
      <c r="N5811" s="20"/>
      <c r="O5811"/>
      <c r="P5811" s="20"/>
      <c r="Q5811" s="20"/>
      <c r="R5811" s="20"/>
      <c r="S5811" s="20"/>
      <c r="T5811" s="20"/>
    </row>
    <row r="5812" spans="1:21" x14ac:dyDescent="0.25">
      <c r="A5812" s="3">
        <v>41957</v>
      </c>
      <c r="B5812" s="36">
        <v>696</v>
      </c>
      <c r="C5812" t="s">
        <v>5871</v>
      </c>
      <c r="D5812">
        <v>8.25</v>
      </c>
      <c r="E5812" s="18">
        <v>825</v>
      </c>
      <c r="F5812" t="s">
        <v>889</v>
      </c>
      <c r="G5812" t="s">
        <v>5872</v>
      </c>
      <c r="H5812" s="18">
        <v>825</v>
      </c>
      <c r="I5812" s="3">
        <v>41957</v>
      </c>
      <c r="J5812"/>
      <c r="L5812"/>
      <c r="M5812"/>
      <c r="N5812" s="20"/>
      <c r="O5812"/>
      <c r="P5812" s="20"/>
      <c r="Q5812" s="20"/>
      <c r="R5812" s="20"/>
      <c r="S5812" s="20"/>
      <c r="T5812" s="20"/>
    </row>
    <row r="5813" spans="1:21" x14ac:dyDescent="0.25">
      <c r="A5813" s="3">
        <v>41999</v>
      </c>
      <c r="B5813" s="36">
        <v>696</v>
      </c>
      <c r="C5813" t="s">
        <v>5871</v>
      </c>
      <c r="D5813">
        <v>7</v>
      </c>
      <c r="E5813" s="18">
        <v>575</v>
      </c>
      <c r="F5813" t="s">
        <v>889</v>
      </c>
      <c r="G5813" t="s">
        <v>5872</v>
      </c>
      <c r="H5813" s="18">
        <v>575</v>
      </c>
      <c r="I5813" s="3">
        <v>41999</v>
      </c>
      <c r="J5813"/>
      <c r="L5813"/>
      <c r="M5813"/>
      <c r="N5813" s="20"/>
      <c r="O5813" t="s">
        <v>959</v>
      </c>
      <c r="P5813" s="20"/>
      <c r="Q5813" s="20"/>
      <c r="R5813" s="20"/>
      <c r="S5813" s="20"/>
      <c r="T5813" s="20"/>
    </row>
    <row r="5814" spans="1:21" x14ac:dyDescent="0.25">
      <c r="A5814" s="3">
        <v>42013</v>
      </c>
      <c r="B5814" s="36">
        <v>696</v>
      </c>
      <c r="C5814" t="s">
        <v>5871</v>
      </c>
      <c r="D5814">
        <v>8.25</v>
      </c>
      <c r="E5814" s="18">
        <v>250</v>
      </c>
      <c r="F5814" t="s">
        <v>889</v>
      </c>
      <c r="G5814" t="s">
        <v>5872</v>
      </c>
      <c r="H5814" s="18">
        <v>250</v>
      </c>
      <c r="I5814" s="3">
        <v>42013</v>
      </c>
      <c r="J5814"/>
      <c r="L5814"/>
      <c r="M5814"/>
      <c r="N5814" s="20"/>
      <c r="O5814"/>
      <c r="P5814" s="20"/>
      <c r="Q5814" s="20"/>
      <c r="R5814" s="20"/>
      <c r="S5814" s="20"/>
      <c r="T5814" s="20"/>
    </row>
    <row r="5815" spans="1:21" x14ac:dyDescent="0.25">
      <c r="A5815" s="37">
        <v>41652</v>
      </c>
      <c r="B5815" s="36">
        <v>699</v>
      </c>
      <c r="C5815" s="38" t="s">
        <v>5873</v>
      </c>
      <c r="D5815" s="38">
        <v>8.25</v>
      </c>
      <c r="E5815" s="39">
        <v>1000</v>
      </c>
      <c r="F5815" s="38" t="s">
        <v>889</v>
      </c>
      <c r="G5815" t="s">
        <v>5874</v>
      </c>
      <c r="H5815" s="18">
        <v>1000</v>
      </c>
      <c r="I5815" s="3">
        <v>41652</v>
      </c>
      <c r="J5815"/>
      <c r="L5815"/>
      <c r="M5815"/>
      <c r="N5815" s="40"/>
      <c r="O5815" s="38" t="s">
        <v>959</v>
      </c>
      <c r="P5815" s="20"/>
      <c r="Q5815" s="20"/>
      <c r="R5815" s="20"/>
      <c r="S5815" s="20"/>
      <c r="T5815" s="20"/>
    </row>
    <row r="5816" spans="1:21" x14ac:dyDescent="0.25">
      <c r="A5816" s="57">
        <v>41933</v>
      </c>
      <c r="B5816" s="42">
        <v>699</v>
      </c>
      <c r="C5816" s="45" t="s">
        <v>1130</v>
      </c>
      <c r="D5816" s="45">
        <v>9</v>
      </c>
      <c r="E5816" s="58">
        <v>900</v>
      </c>
      <c r="F5816" s="45" t="s">
        <v>889</v>
      </c>
      <c r="G5816" s="45" t="s">
        <v>1131</v>
      </c>
      <c r="H5816" s="18">
        <v>900</v>
      </c>
      <c r="I5816" s="3">
        <v>41933</v>
      </c>
      <c r="J5816" s="45"/>
      <c r="K5816" s="45"/>
      <c r="L5816" s="45"/>
      <c r="M5816" s="45"/>
      <c r="N5816" s="45"/>
      <c r="O5816" s="45"/>
      <c r="P5816" s="20"/>
      <c r="Q5816" s="20"/>
      <c r="R5816" s="20"/>
      <c r="S5816" s="20"/>
      <c r="T5816" s="20"/>
    </row>
    <row r="5817" spans="1:21" x14ac:dyDescent="0.25">
      <c r="A5817" s="3">
        <v>41964</v>
      </c>
      <c r="B5817" s="36">
        <v>699</v>
      </c>
      <c r="C5817" t="s">
        <v>5873</v>
      </c>
      <c r="D5817">
        <v>6.5</v>
      </c>
      <c r="E5817" s="18">
        <v>650</v>
      </c>
      <c r="F5817" t="s">
        <v>889</v>
      </c>
      <c r="G5817" t="s">
        <v>5874</v>
      </c>
      <c r="H5817" s="18">
        <v>650</v>
      </c>
      <c r="I5817" s="3">
        <v>41964</v>
      </c>
      <c r="J5817"/>
      <c r="L5817"/>
      <c r="M5817"/>
      <c r="N5817" s="20"/>
      <c r="O5817"/>
      <c r="P5817" s="20"/>
      <c r="Q5817" s="20"/>
      <c r="R5817" s="20"/>
      <c r="S5817" s="20"/>
      <c r="T5817" s="20"/>
    </row>
    <row r="5818" spans="1:21" x14ac:dyDescent="0.25">
      <c r="A5818" s="3">
        <v>41995</v>
      </c>
      <c r="B5818" s="36">
        <v>699</v>
      </c>
      <c r="C5818" t="s">
        <v>766</v>
      </c>
      <c r="D5818">
        <v>11.25</v>
      </c>
      <c r="E5818" s="18">
        <v>250</v>
      </c>
      <c r="F5818" t="s">
        <v>889</v>
      </c>
      <c r="G5818" t="s">
        <v>767</v>
      </c>
      <c r="H5818" s="18">
        <v>250</v>
      </c>
      <c r="I5818" s="3">
        <v>41995</v>
      </c>
      <c r="J5818"/>
      <c r="L5818"/>
      <c r="M5818"/>
      <c r="N5818" s="20"/>
      <c r="O5818"/>
      <c r="P5818" s="20"/>
      <c r="Q5818" s="20"/>
      <c r="R5818" s="20"/>
      <c r="S5818" s="20"/>
      <c r="T5818" s="20"/>
    </row>
    <row r="5819" spans="1:21" x14ac:dyDescent="0.25">
      <c r="A5819" s="3">
        <v>42017</v>
      </c>
      <c r="B5819" s="36">
        <v>699</v>
      </c>
      <c r="C5819" t="s">
        <v>5873</v>
      </c>
      <c r="E5819" s="18">
        <v>1000</v>
      </c>
      <c r="G5819" t="s">
        <v>5874</v>
      </c>
      <c r="H5819" s="18">
        <v>1000</v>
      </c>
      <c r="I5819" s="3">
        <v>42017</v>
      </c>
      <c r="J5819"/>
      <c r="L5819"/>
      <c r="M5819"/>
      <c r="N5819" s="20"/>
      <c r="O5819"/>
      <c r="P5819" s="20"/>
      <c r="Q5819" s="20"/>
      <c r="R5819" s="20"/>
      <c r="S5819" s="20"/>
      <c r="T5819" s="20"/>
    </row>
    <row r="5820" spans="1:21" x14ac:dyDescent="0.25">
      <c r="A5820" s="57">
        <v>42019</v>
      </c>
      <c r="B5820" s="42">
        <v>699</v>
      </c>
      <c r="C5820" s="45" t="s">
        <v>5875</v>
      </c>
      <c r="D5820" s="45">
        <v>9</v>
      </c>
      <c r="E5820" s="58">
        <v>900</v>
      </c>
      <c r="F5820" s="45" t="s">
        <v>889</v>
      </c>
      <c r="G5820" s="45" t="s">
        <v>1131</v>
      </c>
      <c r="H5820" s="18">
        <v>900</v>
      </c>
      <c r="I5820" s="3">
        <v>42019</v>
      </c>
      <c r="J5820" s="45"/>
      <c r="K5820" s="45"/>
      <c r="L5820" s="45"/>
      <c r="M5820" s="45"/>
      <c r="N5820" s="45"/>
      <c r="O5820" s="45"/>
      <c r="P5820" s="20"/>
      <c r="Q5820" s="20"/>
      <c r="R5820" s="20"/>
      <c r="S5820" s="20"/>
      <c r="T5820" s="20"/>
    </row>
    <row r="5821" spans="1:21" x14ac:dyDescent="0.25">
      <c r="B5821">
        <v>699</v>
      </c>
      <c r="C5821" t="s">
        <v>5873</v>
      </c>
      <c r="D5821">
        <v>6.5</v>
      </c>
      <c r="E5821" s="18">
        <v>-350</v>
      </c>
      <c r="F5821" t="s">
        <v>889</v>
      </c>
      <c r="G5821" t="s">
        <v>5874</v>
      </c>
      <c r="I5821"/>
      <c r="J5821"/>
      <c r="L5821"/>
      <c r="M5821"/>
      <c r="O5821"/>
      <c r="P5821" s="20"/>
      <c r="Q5821" s="20"/>
      <c r="R5821" s="20"/>
      <c r="S5821" s="20"/>
      <c r="T5821" s="20"/>
      <c r="U5821" t="s">
        <v>401</v>
      </c>
    </row>
    <row r="5822" spans="1:21" x14ac:dyDescent="0.25">
      <c r="A5822" s="3">
        <v>41971</v>
      </c>
      <c r="B5822" s="36">
        <v>702</v>
      </c>
      <c r="C5822" t="s">
        <v>5876</v>
      </c>
      <c r="D5822">
        <v>7.5</v>
      </c>
      <c r="E5822" s="18">
        <v>750</v>
      </c>
      <c r="F5822" t="s">
        <v>889</v>
      </c>
      <c r="G5822" t="s">
        <v>5877</v>
      </c>
      <c r="H5822" s="18">
        <v>750</v>
      </c>
      <c r="I5822" s="3">
        <v>41971</v>
      </c>
      <c r="J5822"/>
      <c r="L5822"/>
      <c r="M5822"/>
      <c r="N5822" s="20"/>
      <c r="O5822"/>
      <c r="P5822" s="20"/>
      <c r="Q5822" s="20"/>
      <c r="R5822" s="20"/>
      <c r="S5822" s="20"/>
      <c r="T5822" s="20"/>
    </row>
    <row r="5823" spans="1:21" x14ac:dyDescent="0.25">
      <c r="A5823" s="3">
        <v>41971</v>
      </c>
      <c r="B5823" s="36">
        <v>702</v>
      </c>
      <c r="C5823" t="s">
        <v>5878</v>
      </c>
      <c r="D5823">
        <v>10.5</v>
      </c>
      <c r="E5823" s="18">
        <v>1050</v>
      </c>
      <c r="F5823" t="s">
        <v>889</v>
      </c>
      <c r="G5823" t="s">
        <v>5879</v>
      </c>
      <c r="H5823" s="18">
        <v>1050</v>
      </c>
      <c r="I5823" s="3">
        <v>41971</v>
      </c>
      <c r="J5823"/>
      <c r="L5823"/>
      <c r="M5823"/>
      <c r="N5823" s="20"/>
      <c r="O5823"/>
      <c r="P5823" s="20"/>
      <c r="Q5823" s="20"/>
      <c r="R5823" s="20"/>
      <c r="S5823" s="20"/>
      <c r="T5823" s="20"/>
    </row>
    <row r="5824" spans="1:21" x14ac:dyDescent="0.25">
      <c r="A5824" s="3">
        <v>41978</v>
      </c>
      <c r="B5824" s="36">
        <v>702</v>
      </c>
      <c r="C5824" t="s">
        <v>5880</v>
      </c>
      <c r="D5824">
        <v>6.25</v>
      </c>
      <c r="E5824" s="18">
        <v>625</v>
      </c>
      <c r="F5824" t="s">
        <v>889</v>
      </c>
      <c r="G5824" t="s">
        <v>5881</v>
      </c>
      <c r="H5824" s="18">
        <v>625</v>
      </c>
      <c r="I5824" s="3">
        <v>41978</v>
      </c>
      <c r="J5824"/>
      <c r="L5824"/>
      <c r="M5824"/>
      <c r="N5824" s="20"/>
      <c r="O5824"/>
      <c r="P5824" s="20"/>
      <c r="Q5824" s="20"/>
      <c r="R5824" s="20"/>
      <c r="S5824" s="20"/>
      <c r="T5824" s="20"/>
    </row>
    <row r="5825" spans="1:20" x14ac:dyDescent="0.25">
      <c r="A5825" s="3">
        <v>41992</v>
      </c>
      <c r="B5825" s="36">
        <v>702</v>
      </c>
      <c r="C5825" t="s">
        <v>764</v>
      </c>
      <c r="D5825">
        <v>13.5</v>
      </c>
      <c r="E5825" s="18">
        <v>250</v>
      </c>
      <c r="F5825" t="s">
        <v>889</v>
      </c>
      <c r="G5825" t="s">
        <v>765</v>
      </c>
      <c r="H5825" s="18">
        <v>250</v>
      </c>
      <c r="I5825" s="3">
        <v>41992</v>
      </c>
      <c r="J5825"/>
      <c r="L5825"/>
      <c r="M5825"/>
      <c r="N5825" s="20"/>
      <c r="O5825"/>
      <c r="P5825" s="20"/>
      <c r="Q5825" s="20"/>
      <c r="R5825" s="20"/>
      <c r="S5825" s="20"/>
      <c r="T5825" s="20"/>
    </row>
    <row r="5826" spans="1:20" x14ac:dyDescent="0.25">
      <c r="A5826" s="3">
        <v>41992</v>
      </c>
      <c r="B5826" s="36">
        <v>702</v>
      </c>
      <c r="C5826" t="s">
        <v>468</v>
      </c>
      <c r="D5826">
        <v>8.5</v>
      </c>
      <c r="E5826" s="18">
        <v>250</v>
      </c>
      <c r="F5826" t="s">
        <v>889</v>
      </c>
      <c r="G5826" t="s">
        <v>469</v>
      </c>
      <c r="H5826" s="18">
        <v>250</v>
      </c>
      <c r="I5826" s="3">
        <v>41992</v>
      </c>
      <c r="J5826"/>
      <c r="L5826"/>
      <c r="M5826"/>
      <c r="N5826" s="20"/>
      <c r="O5826"/>
      <c r="P5826" s="20"/>
      <c r="Q5826" s="20"/>
      <c r="R5826" s="20"/>
      <c r="S5826" s="20"/>
      <c r="T5826" s="20"/>
    </row>
    <row r="5827" spans="1:20" x14ac:dyDescent="0.25">
      <c r="A5827" s="3">
        <v>41999</v>
      </c>
      <c r="B5827" s="36">
        <v>702</v>
      </c>
      <c r="C5827" t="s">
        <v>5878</v>
      </c>
      <c r="D5827">
        <v>7.25</v>
      </c>
      <c r="E5827" s="18">
        <v>400</v>
      </c>
      <c r="F5827" t="s">
        <v>889</v>
      </c>
      <c r="G5827" t="s">
        <v>5879</v>
      </c>
      <c r="H5827" s="18">
        <v>400</v>
      </c>
      <c r="I5827" s="3">
        <v>41999</v>
      </c>
      <c r="J5827"/>
      <c r="L5827"/>
      <c r="M5827"/>
      <c r="N5827" s="20"/>
      <c r="O5827" t="s">
        <v>959</v>
      </c>
      <c r="P5827" s="20"/>
      <c r="Q5827" s="20"/>
      <c r="R5827" s="20"/>
      <c r="S5827" s="20"/>
      <c r="T5827" s="20"/>
    </row>
    <row r="5828" spans="1:20" x14ac:dyDescent="0.25">
      <c r="A5828" s="3">
        <v>42013</v>
      </c>
      <c r="B5828" s="36">
        <v>702</v>
      </c>
      <c r="C5828" t="s">
        <v>764</v>
      </c>
      <c r="D5828">
        <v>13.5</v>
      </c>
      <c r="E5828" s="18">
        <v>675</v>
      </c>
      <c r="F5828" t="s">
        <v>889</v>
      </c>
      <c r="G5828" t="s">
        <v>765</v>
      </c>
      <c r="H5828" s="18">
        <v>675</v>
      </c>
      <c r="I5828" s="3">
        <v>42013</v>
      </c>
      <c r="J5828"/>
      <c r="L5828"/>
      <c r="M5828"/>
      <c r="N5828" s="20"/>
      <c r="O5828"/>
      <c r="P5828" s="20"/>
      <c r="Q5828" s="20"/>
      <c r="R5828" s="20"/>
      <c r="S5828" s="20"/>
      <c r="T5828" s="20"/>
    </row>
    <row r="5829" spans="1:20" x14ac:dyDescent="0.25">
      <c r="A5829" s="3">
        <v>42013</v>
      </c>
      <c r="B5829" s="36">
        <v>702</v>
      </c>
      <c r="C5829" t="s">
        <v>468</v>
      </c>
      <c r="D5829">
        <v>8.5</v>
      </c>
      <c r="E5829" s="18">
        <v>425</v>
      </c>
      <c r="F5829" t="s">
        <v>889</v>
      </c>
      <c r="G5829" t="s">
        <v>469</v>
      </c>
      <c r="H5829" s="18">
        <v>425</v>
      </c>
      <c r="I5829" s="3">
        <v>42013</v>
      </c>
      <c r="J5829"/>
      <c r="L5829"/>
      <c r="M5829"/>
      <c r="N5829" s="20"/>
      <c r="O5829"/>
      <c r="P5829" s="20"/>
      <c r="Q5829" s="20"/>
      <c r="R5829" s="20"/>
      <c r="S5829" s="20"/>
      <c r="T5829" s="20"/>
    </row>
    <row r="5830" spans="1:20" x14ac:dyDescent="0.25">
      <c r="A5830" s="3">
        <v>42013</v>
      </c>
      <c r="B5830" s="36">
        <v>702</v>
      </c>
      <c r="C5830" t="s">
        <v>695</v>
      </c>
      <c r="D5830">
        <v>5.75</v>
      </c>
      <c r="E5830" s="18">
        <v>537.5</v>
      </c>
      <c r="F5830" t="s">
        <v>889</v>
      </c>
      <c r="G5830" t="s">
        <v>696</v>
      </c>
      <c r="H5830" s="18">
        <v>537.5</v>
      </c>
      <c r="I5830" s="3">
        <v>42013</v>
      </c>
      <c r="J5830"/>
      <c r="L5830"/>
      <c r="M5830"/>
      <c r="N5830" s="20"/>
      <c r="O5830"/>
      <c r="P5830" s="20"/>
      <c r="Q5830" s="20"/>
      <c r="R5830" s="20"/>
      <c r="S5830" s="20"/>
      <c r="T5830" s="20"/>
    </row>
    <row r="5831" spans="1:20" x14ac:dyDescent="0.25">
      <c r="A5831" s="3">
        <v>42013</v>
      </c>
      <c r="B5831" s="36">
        <v>702</v>
      </c>
      <c r="C5831" t="s">
        <v>5878</v>
      </c>
      <c r="D5831">
        <v>10.5</v>
      </c>
      <c r="E5831" s="18">
        <v>650</v>
      </c>
      <c r="F5831" t="s">
        <v>889</v>
      </c>
      <c r="G5831" t="s">
        <v>5879</v>
      </c>
      <c r="H5831" s="18">
        <v>650</v>
      </c>
      <c r="I5831" s="3">
        <v>42013</v>
      </c>
      <c r="J5831"/>
      <c r="L5831"/>
      <c r="M5831"/>
      <c r="N5831" s="20"/>
      <c r="O5831"/>
      <c r="P5831" s="20"/>
      <c r="Q5831" s="20"/>
      <c r="R5831" s="20"/>
      <c r="S5831" s="20"/>
      <c r="T5831" s="20"/>
    </row>
    <row r="5832" spans="1:20" x14ac:dyDescent="0.25">
      <c r="A5832" s="3">
        <v>42019</v>
      </c>
      <c r="B5832" s="36">
        <v>702</v>
      </c>
      <c r="C5832" t="s">
        <v>5882</v>
      </c>
      <c r="D5832" s="55">
        <v>3.5</v>
      </c>
      <c r="E5832" s="18">
        <v>350</v>
      </c>
      <c r="F5832" t="s">
        <v>889</v>
      </c>
      <c r="G5832" t="s">
        <v>5883</v>
      </c>
      <c r="H5832" s="18">
        <v>350</v>
      </c>
      <c r="I5832" s="3">
        <v>42019</v>
      </c>
      <c r="J5832"/>
      <c r="L5832"/>
      <c r="M5832"/>
      <c r="N5832" s="20"/>
      <c r="O5832"/>
      <c r="P5832" s="20"/>
      <c r="Q5832" s="20"/>
      <c r="R5832" s="20"/>
      <c r="S5832" s="20"/>
      <c r="T5832" s="20"/>
    </row>
    <row r="5833" spans="1:20" x14ac:dyDescent="0.25">
      <c r="A5833" s="3">
        <v>42034</v>
      </c>
      <c r="B5833">
        <v>702</v>
      </c>
      <c r="C5833" s="20" t="s">
        <v>5884</v>
      </c>
      <c r="D5833" s="20">
        <v>6.25</v>
      </c>
      <c r="E5833" s="59">
        <v>625</v>
      </c>
      <c r="F5833" s="20" t="s">
        <v>889</v>
      </c>
      <c r="G5833" t="s">
        <v>5881</v>
      </c>
      <c r="H5833" s="18"/>
      <c r="J5833"/>
      <c r="L5833"/>
      <c r="M5833"/>
      <c r="N5833" s="20"/>
      <c r="O5833"/>
      <c r="P5833" s="20"/>
      <c r="Q5833" s="20"/>
      <c r="R5833" s="20"/>
      <c r="S5833" s="20"/>
      <c r="T5833" s="20"/>
    </row>
    <row r="5834" spans="1:20" x14ac:dyDescent="0.25">
      <c r="A5834" s="3">
        <v>42041</v>
      </c>
      <c r="B5834">
        <v>702</v>
      </c>
      <c r="C5834" t="s">
        <v>468</v>
      </c>
      <c r="D5834">
        <v>8.5</v>
      </c>
      <c r="E5834" s="18">
        <v>1025</v>
      </c>
      <c r="F5834" t="s">
        <v>889</v>
      </c>
      <c r="G5834" t="s">
        <v>469</v>
      </c>
      <c r="I5834"/>
      <c r="J5834"/>
      <c r="L5834"/>
      <c r="M5834"/>
      <c r="O5834"/>
      <c r="P5834" s="20"/>
      <c r="Q5834" s="20"/>
      <c r="R5834" s="20"/>
      <c r="S5834" s="20"/>
      <c r="T5834" s="20"/>
    </row>
    <row r="5835" spans="1:20" x14ac:dyDescent="0.25">
      <c r="A5835" s="3">
        <v>41950</v>
      </c>
      <c r="B5835" s="36">
        <v>703</v>
      </c>
      <c r="C5835" t="s">
        <v>51</v>
      </c>
      <c r="D5835">
        <v>11.475</v>
      </c>
      <c r="E5835" s="18">
        <v>1147.5</v>
      </c>
      <c r="F5835" t="s">
        <v>889</v>
      </c>
      <c r="G5835" t="s">
        <v>5885</v>
      </c>
      <c r="H5835" s="18">
        <v>1147.5</v>
      </c>
      <c r="I5835" s="3">
        <v>41950</v>
      </c>
      <c r="J5835"/>
      <c r="L5835"/>
      <c r="M5835"/>
      <c r="N5835" s="20"/>
      <c r="O5835"/>
      <c r="P5835" s="20"/>
      <c r="Q5835" s="20"/>
      <c r="R5835" s="20"/>
      <c r="S5835" s="20"/>
      <c r="T5835" s="20"/>
    </row>
    <row r="5836" spans="1:20" x14ac:dyDescent="0.25">
      <c r="A5836" s="3">
        <v>41957</v>
      </c>
      <c r="B5836" s="36">
        <v>703</v>
      </c>
      <c r="C5836" t="s">
        <v>5886</v>
      </c>
      <c r="D5836">
        <v>2.8050000000000002</v>
      </c>
      <c r="E5836" s="18">
        <v>280.5</v>
      </c>
      <c r="F5836" t="s">
        <v>889</v>
      </c>
      <c r="G5836" t="s">
        <v>5887</v>
      </c>
      <c r="H5836" s="18">
        <v>280.5</v>
      </c>
      <c r="I5836" s="3">
        <v>41957</v>
      </c>
      <c r="J5836"/>
      <c r="L5836"/>
      <c r="M5836"/>
      <c r="N5836" s="20"/>
      <c r="O5836"/>
      <c r="P5836" s="20"/>
      <c r="Q5836" s="20"/>
      <c r="R5836" s="20"/>
      <c r="S5836" s="20"/>
      <c r="T5836" s="20"/>
    </row>
    <row r="5837" spans="1:20" x14ac:dyDescent="0.25">
      <c r="A5837" s="3">
        <v>41964</v>
      </c>
      <c r="B5837" s="36">
        <v>703</v>
      </c>
      <c r="C5837" t="s">
        <v>5888</v>
      </c>
      <c r="D5837">
        <v>4.335</v>
      </c>
      <c r="E5837" s="18">
        <v>433.5</v>
      </c>
      <c r="F5837" t="s">
        <v>889</v>
      </c>
      <c r="G5837" t="s">
        <v>5889</v>
      </c>
      <c r="H5837" s="18">
        <v>433.5</v>
      </c>
      <c r="I5837" s="3">
        <v>41964</v>
      </c>
      <c r="J5837"/>
      <c r="L5837"/>
      <c r="M5837"/>
      <c r="N5837" s="20"/>
      <c r="O5837"/>
      <c r="P5837" s="20"/>
      <c r="Q5837" s="20"/>
      <c r="R5837" s="20"/>
      <c r="S5837" s="20"/>
      <c r="T5837" s="20"/>
    </row>
    <row r="5838" spans="1:20" x14ac:dyDescent="0.25">
      <c r="A5838" s="3">
        <v>41968</v>
      </c>
      <c r="B5838" s="36">
        <v>703</v>
      </c>
      <c r="C5838" t="s">
        <v>5890</v>
      </c>
      <c r="D5838">
        <v>10.199999999999999</v>
      </c>
      <c r="E5838" s="18">
        <v>1019.9999999999999</v>
      </c>
      <c r="F5838" t="s">
        <v>889</v>
      </c>
      <c r="G5838" t="s">
        <v>5891</v>
      </c>
      <c r="H5838" s="18">
        <v>1019.9999999999999</v>
      </c>
      <c r="I5838" s="3">
        <v>41968</v>
      </c>
      <c r="J5838"/>
      <c r="L5838"/>
      <c r="M5838"/>
      <c r="N5838" s="20"/>
      <c r="O5838"/>
      <c r="P5838" s="20"/>
      <c r="Q5838" s="20"/>
      <c r="R5838" s="20"/>
      <c r="S5838" s="20"/>
      <c r="T5838" s="20"/>
    </row>
    <row r="5839" spans="1:20" x14ac:dyDescent="0.25">
      <c r="A5839" s="3">
        <v>42013</v>
      </c>
      <c r="B5839" s="36">
        <v>703</v>
      </c>
      <c r="C5839" t="s">
        <v>697</v>
      </c>
      <c r="D5839">
        <v>6.12</v>
      </c>
      <c r="E5839" s="18">
        <v>556</v>
      </c>
      <c r="F5839" t="s">
        <v>889</v>
      </c>
      <c r="G5839" t="s">
        <v>698</v>
      </c>
      <c r="H5839" s="18">
        <v>556</v>
      </c>
      <c r="I5839" s="3">
        <v>42013</v>
      </c>
      <c r="J5839"/>
      <c r="L5839"/>
      <c r="M5839"/>
      <c r="N5839" s="20"/>
      <c r="O5839"/>
      <c r="P5839" s="20"/>
      <c r="Q5839" s="20"/>
      <c r="R5839" s="20"/>
      <c r="S5839" s="20"/>
      <c r="T5839" s="20"/>
    </row>
    <row r="5840" spans="1:20" x14ac:dyDescent="0.25">
      <c r="A5840" s="3">
        <v>41936</v>
      </c>
      <c r="B5840" s="36">
        <v>705</v>
      </c>
      <c r="C5840" t="s">
        <v>5892</v>
      </c>
      <c r="E5840" s="18">
        <v>500</v>
      </c>
      <c r="F5840" t="s">
        <v>889</v>
      </c>
      <c r="G5840" t="s">
        <v>442</v>
      </c>
      <c r="H5840" s="18" t="s">
        <v>442</v>
      </c>
      <c r="I5840" s="3" t="s">
        <v>442</v>
      </c>
      <c r="J5840"/>
      <c r="L5840"/>
      <c r="M5840"/>
      <c r="N5840" s="20"/>
      <c r="O5840"/>
      <c r="P5840" s="20"/>
      <c r="Q5840" s="20"/>
      <c r="R5840" s="20"/>
      <c r="S5840" s="20"/>
      <c r="T5840" s="20" t="s">
        <v>401</v>
      </c>
    </row>
    <row r="5841" spans="1:21" x14ac:dyDescent="0.25">
      <c r="A5841" s="3">
        <v>41943</v>
      </c>
      <c r="B5841" s="36">
        <v>705</v>
      </c>
      <c r="C5841" t="s">
        <v>5449</v>
      </c>
      <c r="E5841" s="18">
        <v>500</v>
      </c>
      <c r="F5841" t="s">
        <v>889</v>
      </c>
      <c r="G5841" t="s">
        <v>442</v>
      </c>
      <c r="H5841" s="18" t="s">
        <v>442</v>
      </c>
      <c r="I5841" s="3" t="s">
        <v>442</v>
      </c>
      <c r="J5841"/>
      <c r="L5841"/>
      <c r="M5841"/>
      <c r="N5841" s="20"/>
      <c r="O5841"/>
      <c r="P5841" s="20"/>
      <c r="Q5841" s="20"/>
      <c r="R5841" s="20"/>
      <c r="S5841" s="20"/>
      <c r="T5841" s="20" t="s">
        <v>401</v>
      </c>
    </row>
    <row r="5842" spans="1:21" x14ac:dyDescent="0.25">
      <c r="A5842" s="3">
        <v>41950</v>
      </c>
      <c r="B5842" s="36">
        <v>705</v>
      </c>
      <c r="C5842" t="s">
        <v>5450</v>
      </c>
      <c r="E5842" s="18">
        <v>500</v>
      </c>
      <c r="F5842" t="s">
        <v>889</v>
      </c>
      <c r="G5842" t="s">
        <v>442</v>
      </c>
      <c r="H5842" s="18" t="s">
        <v>442</v>
      </c>
      <c r="I5842" s="3" t="s">
        <v>442</v>
      </c>
      <c r="J5842"/>
      <c r="L5842"/>
      <c r="M5842"/>
      <c r="N5842" s="20"/>
      <c r="O5842"/>
      <c r="P5842" s="20"/>
      <c r="Q5842" s="20"/>
      <c r="R5842" s="20"/>
      <c r="S5842" s="20"/>
      <c r="T5842" s="20" t="s">
        <v>401</v>
      </c>
    </row>
    <row r="5843" spans="1:21" x14ac:dyDescent="0.25">
      <c r="A5843" s="3">
        <v>41957</v>
      </c>
      <c r="B5843" s="36">
        <v>705</v>
      </c>
      <c r="C5843" t="s">
        <v>5893</v>
      </c>
      <c r="D5843">
        <v>9.4350000000000005</v>
      </c>
      <c r="E5843" s="18">
        <v>943.5</v>
      </c>
      <c r="F5843" t="s">
        <v>889</v>
      </c>
      <c r="G5843" t="s">
        <v>5894</v>
      </c>
      <c r="H5843" s="18">
        <v>943.5</v>
      </c>
      <c r="I5843" s="3">
        <v>41957</v>
      </c>
      <c r="J5843"/>
      <c r="L5843"/>
      <c r="M5843"/>
      <c r="N5843" s="20"/>
      <c r="O5843"/>
      <c r="P5843" s="20"/>
      <c r="Q5843" s="20"/>
      <c r="R5843" s="20"/>
      <c r="S5843" s="20"/>
      <c r="T5843" s="20"/>
    </row>
    <row r="5844" spans="1:21" x14ac:dyDescent="0.25">
      <c r="A5844" s="3">
        <v>41968</v>
      </c>
      <c r="B5844" s="36">
        <v>705</v>
      </c>
      <c r="C5844" t="s">
        <v>3495</v>
      </c>
      <c r="E5844" s="18">
        <v>500</v>
      </c>
      <c r="G5844" t="s">
        <v>442</v>
      </c>
      <c r="H5844" s="18" t="s">
        <v>442</v>
      </c>
      <c r="I5844" s="3" t="s">
        <v>442</v>
      </c>
      <c r="J5844"/>
      <c r="L5844"/>
      <c r="M5844"/>
      <c r="N5844" s="20"/>
      <c r="O5844"/>
      <c r="P5844" s="20"/>
      <c r="Q5844" s="20"/>
      <c r="R5844" s="20"/>
      <c r="S5844" s="20"/>
      <c r="T5844" s="20" t="s">
        <v>401</v>
      </c>
    </row>
    <row r="5845" spans="1:21" x14ac:dyDescent="0.25">
      <c r="B5845">
        <v>705</v>
      </c>
      <c r="C5845" t="s">
        <v>5893</v>
      </c>
      <c r="D5845">
        <v>9.4350000000000005</v>
      </c>
      <c r="E5845" s="18">
        <v>-943.5</v>
      </c>
      <c r="F5845" t="s">
        <v>889</v>
      </c>
      <c r="G5845" t="s">
        <v>5894</v>
      </c>
      <c r="I5845"/>
      <c r="J5845"/>
      <c r="L5845"/>
      <c r="M5845"/>
      <c r="O5845"/>
      <c r="P5845" s="20"/>
      <c r="Q5845" s="20"/>
      <c r="R5845" s="20"/>
      <c r="S5845" s="20"/>
      <c r="T5845" s="20"/>
      <c r="U5845" t="s">
        <v>401</v>
      </c>
    </row>
    <row r="5846" spans="1:21" x14ac:dyDescent="0.25">
      <c r="B5846">
        <v>705</v>
      </c>
      <c r="C5846" t="s">
        <v>5892</v>
      </c>
      <c r="E5846" s="18">
        <v>-500</v>
      </c>
      <c r="F5846" t="s">
        <v>889</v>
      </c>
      <c r="G5846" t="s">
        <v>442</v>
      </c>
      <c r="I5846"/>
      <c r="J5846"/>
      <c r="L5846"/>
      <c r="M5846"/>
      <c r="O5846"/>
      <c r="P5846" s="20"/>
      <c r="Q5846" s="20"/>
      <c r="R5846" s="20"/>
      <c r="S5846" s="20"/>
      <c r="T5846" s="20"/>
      <c r="U5846" t="s">
        <v>401</v>
      </c>
    </row>
    <row r="5847" spans="1:21" x14ac:dyDescent="0.25">
      <c r="B5847">
        <v>705</v>
      </c>
      <c r="C5847" t="s">
        <v>5449</v>
      </c>
      <c r="E5847" s="18">
        <v>-500</v>
      </c>
      <c r="F5847" t="s">
        <v>889</v>
      </c>
      <c r="G5847" t="s">
        <v>442</v>
      </c>
      <c r="I5847"/>
      <c r="J5847"/>
      <c r="L5847"/>
      <c r="M5847"/>
      <c r="O5847"/>
      <c r="P5847" s="20"/>
      <c r="Q5847" s="20"/>
      <c r="R5847" s="20"/>
      <c r="S5847" s="20"/>
      <c r="T5847" s="20"/>
      <c r="U5847" t="s">
        <v>401</v>
      </c>
    </row>
    <row r="5848" spans="1:21" x14ac:dyDescent="0.25">
      <c r="B5848">
        <v>705</v>
      </c>
      <c r="C5848" t="s">
        <v>3495</v>
      </c>
      <c r="E5848" s="18">
        <v>-500</v>
      </c>
      <c r="G5848" t="s">
        <v>442</v>
      </c>
      <c r="I5848"/>
      <c r="J5848"/>
      <c r="L5848"/>
      <c r="M5848"/>
      <c r="O5848"/>
      <c r="P5848" s="20"/>
      <c r="Q5848" s="20"/>
      <c r="R5848" s="20"/>
      <c r="S5848" s="20"/>
      <c r="T5848" s="20"/>
      <c r="U5848" t="s">
        <v>401</v>
      </c>
    </row>
    <row r="5849" spans="1:21" x14ac:dyDescent="0.25">
      <c r="B5849">
        <v>705</v>
      </c>
      <c r="C5849" t="s">
        <v>5450</v>
      </c>
      <c r="E5849" s="18">
        <v>-500</v>
      </c>
      <c r="F5849" t="s">
        <v>889</v>
      </c>
      <c r="G5849" t="s">
        <v>442</v>
      </c>
      <c r="I5849"/>
      <c r="J5849"/>
      <c r="L5849"/>
      <c r="M5849"/>
      <c r="O5849"/>
      <c r="P5849" s="20"/>
      <c r="Q5849" s="20"/>
      <c r="R5849" s="20"/>
      <c r="S5849" s="20"/>
      <c r="T5849" s="20"/>
      <c r="U5849" t="s">
        <v>401</v>
      </c>
    </row>
    <row r="5850" spans="1:21" x14ac:dyDescent="0.25">
      <c r="A5850" s="3">
        <v>42041</v>
      </c>
      <c r="B5850">
        <v>707</v>
      </c>
      <c r="C5850" t="s">
        <v>414</v>
      </c>
      <c r="D5850">
        <v>8.06</v>
      </c>
      <c r="E5850" s="18">
        <v>250</v>
      </c>
      <c r="F5850" t="s">
        <v>889</v>
      </c>
      <c r="G5850" t="s">
        <v>415</v>
      </c>
      <c r="I5850"/>
      <c r="J5850"/>
      <c r="L5850"/>
      <c r="M5850"/>
      <c r="O5850"/>
      <c r="P5850" s="20"/>
      <c r="Q5850" s="20"/>
      <c r="R5850" s="20"/>
      <c r="S5850" s="20"/>
      <c r="T5850" s="20"/>
    </row>
    <row r="5851" spans="1:21" x14ac:dyDescent="0.25">
      <c r="A5851" s="3">
        <v>42041</v>
      </c>
      <c r="B5851">
        <v>707</v>
      </c>
      <c r="C5851" t="s">
        <v>5895</v>
      </c>
      <c r="E5851" s="18">
        <v>277.33333333333331</v>
      </c>
      <c r="F5851" t="s">
        <v>889</v>
      </c>
      <c r="G5851" t="s">
        <v>5896</v>
      </c>
      <c r="I5851"/>
      <c r="J5851"/>
      <c r="L5851"/>
      <c r="M5851"/>
      <c r="O5851"/>
      <c r="P5851" s="20"/>
      <c r="Q5851" s="20"/>
      <c r="R5851" s="20"/>
      <c r="S5851" s="20"/>
      <c r="T5851" s="20"/>
    </row>
    <row r="5852" spans="1:21" x14ac:dyDescent="0.25">
      <c r="A5852" s="3">
        <v>41950</v>
      </c>
      <c r="B5852" s="36">
        <v>708</v>
      </c>
      <c r="C5852" t="s">
        <v>5897</v>
      </c>
      <c r="D5852">
        <v>2.5499999999999998</v>
      </c>
      <c r="E5852" s="18">
        <v>254.99999999999997</v>
      </c>
      <c r="F5852" t="s">
        <v>889</v>
      </c>
      <c r="G5852" t="s">
        <v>5898</v>
      </c>
      <c r="H5852" s="18">
        <v>254.99999999999997</v>
      </c>
      <c r="I5852" s="3">
        <v>41950</v>
      </c>
      <c r="J5852"/>
      <c r="L5852"/>
      <c r="M5852"/>
      <c r="N5852" s="20"/>
      <c r="O5852"/>
      <c r="P5852" s="20"/>
      <c r="Q5852" s="20"/>
      <c r="R5852" s="20"/>
      <c r="S5852" s="20"/>
      <c r="T5852" s="20"/>
    </row>
    <row r="5853" spans="1:21" x14ac:dyDescent="0.25">
      <c r="A5853" s="3">
        <v>41957</v>
      </c>
      <c r="B5853" s="36">
        <v>708</v>
      </c>
      <c r="C5853" t="s">
        <v>5899</v>
      </c>
      <c r="D5853">
        <v>9.9450000000000003</v>
      </c>
      <c r="E5853" s="18">
        <v>994.5</v>
      </c>
      <c r="F5853" t="s">
        <v>889</v>
      </c>
      <c r="G5853" t="s">
        <v>5900</v>
      </c>
      <c r="H5853" s="18">
        <v>994.5</v>
      </c>
      <c r="I5853" s="3">
        <v>41957</v>
      </c>
      <c r="J5853"/>
      <c r="L5853"/>
      <c r="M5853"/>
      <c r="N5853" s="20"/>
      <c r="O5853"/>
      <c r="P5853" s="20"/>
      <c r="Q5853" s="20"/>
      <c r="R5853" s="20"/>
      <c r="S5853" s="20"/>
      <c r="T5853" s="20"/>
    </row>
    <row r="5854" spans="1:21" x14ac:dyDescent="0.25">
      <c r="A5854" s="3">
        <v>41968</v>
      </c>
      <c r="B5854" s="36">
        <v>708</v>
      </c>
      <c r="C5854" t="s">
        <v>5901</v>
      </c>
      <c r="D5854">
        <v>11.984999999999999</v>
      </c>
      <c r="E5854" s="18">
        <v>1198.5</v>
      </c>
      <c r="F5854" t="s">
        <v>889</v>
      </c>
      <c r="G5854" t="s">
        <v>5902</v>
      </c>
      <c r="H5854" s="18">
        <v>1198.5</v>
      </c>
      <c r="I5854" s="3">
        <v>41968</v>
      </c>
      <c r="J5854"/>
      <c r="L5854"/>
      <c r="M5854"/>
      <c r="N5854" s="20"/>
      <c r="O5854"/>
      <c r="P5854" s="20"/>
      <c r="Q5854" s="20"/>
      <c r="R5854" s="20"/>
      <c r="S5854" s="20"/>
      <c r="T5854" s="20"/>
    </row>
    <row r="5855" spans="1:21" x14ac:dyDescent="0.25">
      <c r="A5855" s="3">
        <v>41968</v>
      </c>
      <c r="B5855" s="36">
        <v>708</v>
      </c>
      <c r="C5855" t="s">
        <v>5903</v>
      </c>
      <c r="D5855">
        <v>4.59</v>
      </c>
      <c r="E5855" s="18">
        <v>459</v>
      </c>
      <c r="F5855" t="s">
        <v>889</v>
      </c>
      <c r="G5855" t="s">
        <v>5904</v>
      </c>
      <c r="H5855" s="18">
        <v>459</v>
      </c>
      <c r="I5855" s="3">
        <v>41968</v>
      </c>
      <c r="J5855"/>
      <c r="L5855"/>
      <c r="M5855"/>
      <c r="N5855" s="20"/>
      <c r="O5855"/>
      <c r="P5855" s="20"/>
      <c r="Q5855" s="20"/>
      <c r="R5855" s="20"/>
      <c r="S5855" s="20"/>
      <c r="T5855" s="20"/>
    </row>
    <row r="5856" spans="1:21" x14ac:dyDescent="0.25">
      <c r="A5856" s="3">
        <v>41995</v>
      </c>
      <c r="B5856" s="36">
        <v>708</v>
      </c>
      <c r="C5856" t="s">
        <v>5905</v>
      </c>
      <c r="D5856">
        <v>8.16</v>
      </c>
      <c r="E5856" s="18">
        <v>816</v>
      </c>
      <c r="F5856" t="s">
        <v>889</v>
      </c>
      <c r="G5856" t="s">
        <v>5906</v>
      </c>
      <c r="H5856" s="18">
        <v>816</v>
      </c>
      <c r="I5856" s="3">
        <v>41995</v>
      </c>
      <c r="J5856"/>
      <c r="L5856"/>
      <c r="M5856"/>
      <c r="N5856" s="20"/>
      <c r="O5856"/>
      <c r="P5856" s="20"/>
      <c r="Q5856" s="20"/>
      <c r="R5856" s="20"/>
      <c r="S5856" s="20"/>
      <c r="T5856" s="20"/>
    </row>
    <row r="5857" spans="1:21" x14ac:dyDescent="0.25">
      <c r="A5857" s="3">
        <v>42013</v>
      </c>
      <c r="B5857" s="36">
        <v>708</v>
      </c>
      <c r="C5857" t="s">
        <v>814</v>
      </c>
      <c r="D5857">
        <v>4.59</v>
      </c>
      <c r="E5857" s="18">
        <v>479.5</v>
      </c>
      <c r="F5857" t="s">
        <v>889</v>
      </c>
      <c r="G5857" t="s">
        <v>815</v>
      </c>
      <c r="H5857" s="18">
        <v>479.5</v>
      </c>
      <c r="I5857" s="3">
        <v>42013</v>
      </c>
      <c r="J5857"/>
      <c r="L5857"/>
      <c r="M5857"/>
      <c r="N5857" s="20"/>
      <c r="O5857"/>
      <c r="P5857" s="20"/>
      <c r="Q5857" s="20"/>
      <c r="R5857" s="20"/>
      <c r="S5857" s="20"/>
      <c r="T5857" s="20"/>
    </row>
    <row r="5858" spans="1:21" x14ac:dyDescent="0.25">
      <c r="A5858" s="3">
        <v>42013</v>
      </c>
      <c r="B5858" s="36">
        <v>708</v>
      </c>
      <c r="C5858" t="s">
        <v>812</v>
      </c>
      <c r="D5858">
        <v>4.5</v>
      </c>
      <c r="E5858" s="18">
        <v>466.75</v>
      </c>
      <c r="F5858" t="s">
        <v>889</v>
      </c>
      <c r="G5858" t="s">
        <v>813</v>
      </c>
      <c r="H5858" s="18">
        <v>466.75</v>
      </c>
      <c r="I5858" s="3">
        <v>42013</v>
      </c>
      <c r="J5858"/>
      <c r="L5858"/>
      <c r="M5858"/>
      <c r="N5858" s="20"/>
      <c r="O5858"/>
      <c r="P5858" s="20"/>
      <c r="Q5858" s="20"/>
      <c r="R5858" s="20"/>
      <c r="S5858" s="20"/>
      <c r="T5858" s="20"/>
    </row>
    <row r="5859" spans="1:21" x14ac:dyDescent="0.25">
      <c r="B5859">
        <v>708</v>
      </c>
      <c r="C5859" t="s">
        <v>1314</v>
      </c>
      <c r="E5859" s="18">
        <v>-50</v>
      </c>
      <c r="G5859" t="s">
        <v>442</v>
      </c>
      <c r="I5859"/>
      <c r="J5859"/>
      <c r="L5859"/>
      <c r="M5859"/>
      <c r="O5859"/>
      <c r="P5859" s="20"/>
      <c r="Q5859" s="20"/>
      <c r="R5859" s="20"/>
      <c r="S5859" s="20"/>
      <c r="T5859" s="20"/>
      <c r="U5859" t="s">
        <v>401</v>
      </c>
    </row>
    <row r="5860" spans="1:21" x14ac:dyDescent="0.25">
      <c r="B5860">
        <v>708</v>
      </c>
      <c r="C5860" t="s">
        <v>5903</v>
      </c>
      <c r="D5860">
        <v>4.59</v>
      </c>
      <c r="E5860" s="18">
        <v>-459</v>
      </c>
      <c r="F5860" t="s">
        <v>889</v>
      </c>
      <c r="G5860" t="s">
        <v>5904</v>
      </c>
      <c r="I5860"/>
      <c r="J5860"/>
      <c r="L5860"/>
      <c r="M5860"/>
      <c r="O5860"/>
      <c r="P5860" s="20"/>
      <c r="Q5860" s="20"/>
      <c r="R5860" s="20"/>
      <c r="S5860" s="20"/>
      <c r="T5860" s="20"/>
      <c r="U5860" t="s">
        <v>401</v>
      </c>
    </row>
    <row r="5861" spans="1:21" x14ac:dyDescent="0.25">
      <c r="A5861" s="3">
        <v>41950</v>
      </c>
      <c r="B5861" s="36">
        <v>711</v>
      </c>
      <c r="C5861" t="s">
        <v>5907</v>
      </c>
      <c r="D5861">
        <v>3.75</v>
      </c>
      <c r="E5861" s="18">
        <v>375</v>
      </c>
      <c r="F5861" t="s">
        <v>889</v>
      </c>
      <c r="G5861" t="s">
        <v>5908</v>
      </c>
      <c r="H5861" s="18">
        <v>375</v>
      </c>
      <c r="I5861" s="3">
        <v>41950</v>
      </c>
      <c r="J5861"/>
      <c r="L5861"/>
      <c r="M5861"/>
      <c r="N5861" s="20"/>
      <c r="O5861"/>
      <c r="P5861" s="20"/>
      <c r="Q5861" s="20"/>
      <c r="R5861" s="20"/>
      <c r="S5861" s="20"/>
      <c r="T5861" s="20"/>
    </row>
    <row r="5862" spans="1:21" x14ac:dyDescent="0.25">
      <c r="A5862" s="3">
        <v>41950</v>
      </c>
      <c r="B5862" s="36">
        <v>711</v>
      </c>
      <c r="C5862" t="s">
        <v>5909</v>
      </c>
      <c r="D5862">
        <v>10</v>
      </c>
      <c r="E5862" s="18">
        <v>1000</v>
      </c>
      <c r="F5862" t="s">
        <v>889</v>
      </c>
      <c r="G5862" t="s">
        <v>5910</v>
      </c>
      <c r="H5862" s="18">
        <v>1000</v>
      </c>
      <c r="I5862" s="3">
        <v>41950</v>
      </c>
      <c r="J5862"/>
      <c r="L5862"/>
      <c r="M5862"/>
      <c r="N5862" s="20"/>
      <c r="O5862"/>
      <c r="P5862" s="20"/>
      <c r="Q5862" s="20"/>
      <c r="R5862" s="20"/>
      <c r="S5862" s="20"/>
      <c r="T5862" s="20"/>
    </row>
    <row r="5863" spans="1:21" x14ac:dyDescent="0.25">
      <c r="A5863" s="3">
        <v>41978</v>
      </c>
      <c r="B5863" s="36">
        <v>711</v>
      </c>
      <c r="C5863" t="s">
        <v>190</v>
      </c>
      <c r="D5863">
        <v>6</v>
      </c>
      <c r="E5863" s="18">
        <v>600</v>
      </c>
      <c r="F5863" t="s">
        <v>889</v>
      </c>
      <c r="G5863" t="s">
        <v>5911</v>
      </c>
      <c r="H5863" s="18">
        <v>600</v>
      </c>
      <c r="I5863" s="3">
        <v>41978</v>
      </c>
      <c r="J5863"/>
      <c r="L5863"/>
      <c r="M5863"/>
      <c r="N5863" s="20"/>
      <c r="O5863"/>
      <c r="P5863" s="20"/>
      <c r="Q5863" s="20"/>
      <c r="R5863" s="20"/>
      <c r="S5863" s="20"/>
      <c r="T5863" s="20"/>
    </row>
    <row r="5864" spans="1:21" x14ac:dyDescent="0.25">
      <c r="A5864" s="3">
        <v>41999</v>
      </c>
      <c r="B5864" s="36">
        <v>711</v>
      </c>
      <c r="C5864" t="s">
        <v>5907</v>
      </c>
      <c r="D5864">
        <v>8.25</v>
      </c>
      <c r="E5864" s="18">
        <v>1275</v>
      </c>
      <c r="F5864" t="s">
        <v>889</v>
      </c>
      <c r="G5864" t="s">
        <v>5908</v>
      </c>
      <c r="H5864" s="18">
        <v>1275</v>
      </c>
      <c r="I5864" s="3">
        <v>41999</v>
      </c>
      <c r="J5864"/>
      <c r="L5864"/>
      <c r="M5864"/>
      <c r="N5864" s="20"/>
      <c r="O5864" t="s">
        <v>959</v>
      </c>
      <c r="P5864" s="20"/>
      <c r="Q5864" s="20"/>
      <c r="R5864" s="20"/>
      <c r="S5864" s="20"/>
      <c r="T5864" s="20"/>
    </row>
    <row r="5865" spans="1:21" x14ac:dyDescent="0.25">
      <c r="A5865" s="3">
        <v>42019</v>
      </c>
      <c r="B5865" s="36">
        <v>711</v>
      </c>
      <c r="C5865" t="s">
        <v>5912</v>
      </c>
      <c r="D5865" s="55">
        <v>3.75</v>
      </c>
      <c r="E5865" s="18">
        <v>-900</v>
      </c>
      <c r="F5865" t="s">
        <v>889</v>
      </c>
      <c r="G5865" t="s">
        <v>5908</v>
      </c>
      <c r="H5865" s="18" t="s">
        <v>442</v>
      </c>
      <c r="I5865" s="3" t="s">
        <v>442</v>
      </c>
      <c r="J5865"/>
      <c r="L5865"/>
      <c r="M5865"/>
      <c r="N5865" s="20"/>
      <c r="O5865"/>
      <c r="P5865" s="20"/>
      <c r="Q5865" s="20"/>
      <c r="R5865" s="20"/>
      <c r="S5865" s="20"/>
      <c r="T5865" s="20"/>
    </row>
    <row r="5866" spans="1:21" x14ac:dyDescent="0.25">
      <c r="A5866" s="3">
        <v>42019</v>
      </c>
      <c r="B5866" s="36">
        <v>711</v>
      </c>
      <c r="C5866" t="s">
        <v>5913</v>
      </c>
      <c r="D5866" s="55">
        <v>10</v>
      </c>
      <c r="E5866" s="18">
        <v>1000</v>
      </c>
      <c r="F5866" t="s">
        <v>889</v>
      </c>
      <c r="G5866" t="s">
        <v>5910</v>
      </c>
      <c r="H5866" s="18">
        <v>1000</v>
      </c>
      <c r="I5866" s="3">
        <v>42019</v>
      </c>
      <c r="J5866"/>
      <c r="L5866"/>
      <c r="M5866"/>
      <c r="N5866" s="20"/>
      <c r="O5866"/>
      <c r="P5866" s="20"/>
      <c r="Q5866" s="20"/>
      <c r="R5866" s="20"/>
      <c r="S5866" s="20"/>
      <c r="T5866" s="20"/>
    </row>
    <row r="5867" spans="1:21" x14ac:dyDescent="0.25">
      <c r="A5867" s="3">
        <v>42019</v>
      </c>
      <c r="B5867" s="36">
        <v>711</v>
      </c>
      <c r="C5867" t="s">
        <v>5914</v>
      </c>
      <c r="D5867" s="55">
        <v>6</v>
      </c>
      <c r="E5867" s="18">
        <v>600</v>
      </c>
      <c r="F5867" t="s">
        <v>889</v>
      </c>
      <c r="G5867" t="s">
        <v>5911</v>
      </c>
      <c r="H5867" s="18">
        <v>600</v>
      </c>
      <c r="I5867" s="3">
        <v>42019</v>
      </c>
      <c r="J5867"/>
      <c r="L5867"/>
      <c r="M5867"/>
      <c r="N5867" s="20"/>
      <c r="O5867"/>
      <c r="P5867" s="20"/>
      <c r="Q5867" s="20"/>
      <c r="R5867" s="20"/>
      <c r="S5867" s="20"/>
      <c r="T5867" s="20"/>
    </row>
    <row r="5868" spans="1:21" x14ac:dyDescent="0.25">
      <c r="B5868">
        <v>711</v>
      </c>
      <c r="C5868" t="s">
        <v>5907</v>
      </c>
      <c r="D5868">
        <v>3.75</v>
      </c>
      <c r="E5868" s="18">
        <v>-900</v>
      </c>
      <c r="F5868" t="s">
        <v>889</v>
      </c>
      <c r="G5868" t="s">
        <v>5908</v>
      </c>
      <c r="I5868"/>
      <c r="J5868"/>
      <c r="L5868"/>
      <c r="M5868"/>
      <c r="O5868"/>
      <c r="P5868" s="20"/>
      <c r="Q5868" s="20"/>
      <c r="R5868" s="20"/>
      <c r="S5868" s="20"/>
      <c r="T5868" s="20"/>
      <c r="U5868" t="s">
        <v>401</v>
      </c>
    </row>
    <row r="5869" spans="1:21" x14ac:dyDescent="0.25">
      <c r="A5869" s="3" t="s">
        <v>4216</v>
      </c>
      <c r="B5869" s="36">
        <v>714</v>
      </c>
      <c r="C5869" t="s">
        <v>4217</v>
      </c>
      <c r="E5869" s="18">
        <v>500</v>
      </c>
      <c r="G5869" t="s">
        <v>442</v>
      </c>
      <c r="H5869" s="18" t="s">
        <v>442</v>
      </c>
      <c r="I5869" s="3" t="s">
        <v>442</v>
      </c>
      <c r="J5869"/>
      <c r="L5869"/>
      <c r="M5869"/>
      <c r="N5869" s="20"/>
      <c r="O5869"/>
      <c r="P5869" s="20"/>
      <c r="Q5869" s="20"/>
      <c r="R5869" s="20"/>
      <c r="S5869" s="20"/>
      <c r="T5869" s="20" t="s">
        <v>401</v>
      </c>
    </row>
    <row r="5870" spans="1:21" x14ac:dyDescent="0.25">
      <c r="A5870" s="3" t="s">
        <v>5915</v>
      </c>
      <c r="B5870" s="36">
        <v>714</v>
      </c>
      <c r="C5870" t="s">
        <v>4540</v>
      </c>
      <c r="E5870" s="18">
        <v>500</v>
      </c>
      <c r="G5870" t="s">
        <v>442</v>
      </c>
      <c r="H5870" s="18" t="s">
        <v>442</v>
      </c>
      <c r="I5870" s="3" t="s">
        <v>442</v>
      </c>
      <c r="J5870"/>
      <c r="L5870"/>
      <c r="M5870"/>
      <c r="N5870" s="20"/>
      <c r="O5870"/>
      <c r="P5870" s="20"/>
      <c r="Q5870" s="20"/>
      <c r="R5870" s="20"/>
      <c r="S5870" s="20"/>
      <c r="T5870" s="20" t="s">
        <v>401</v>
      </c>
    </row>
    <row r="5871" spans="1:21" x14ac:dyDescent="0.25">
      <c r="A5871" s="3" t="s">
        <v>5425</v>
      </c>
      <c r="B5871" s="36">
        <v>714</v>
      </c>
      <c r="C5871" t="s">
        <v>5426</v>
      </c>
      <c r="E5871" s="18">
        <v>500</v>
      </c>
      <c r="G5871" t="s">
        <v>442</v>
      </c>
      <c r="H5871" s="18" t="s">
        <v>442</v>
      </c>
      <c r="I5871" s="3" t="s">
        <v>442</v>
      </c>
      <c r="J5871"/>
      <c r="L5871"/>
      <c r="M5871"/>
      <c r="N5871" s="20"/>
      <c r="O5871"/>
      <c r="P5871" s="20"/>
      <c r="Q5871" s="20"/>
      <c r="R5871" s="20"/>
      <c r="S5871" s="20"/>
      <c r="T5871" s="20" t="s">
        <v>401</v>
      </c>
    </row>
    <row r="5872" spans="1:21" x14ac:dyDescent="0.25">
      <c r="A5872" s="3" t="s">
        <v>5428</v>
      </c>
      <c r="B5872" s="36">
        <v>714</v>
      </c>
      <c r="C5872" t="s">
        <v>5916</v>
      </c>
      <c r="E5872" s="18">
        <v>500</v>
      </c>
      <c r="G5872" t="s">
        <v>442</v>
      </c>
      <c r="H5872" s="18" t="s">
        <v>442</v>
      </c>
      <c r="I5872" s="3" t="s">
        <v>442</v>
      </c>
      <c r="J5872"/>
      <c r="L5872"/>
      <c r="M5872"/>
      <c r="N5872" s="20"/>
      <c r="O5872"/>
      <c r="P5872" s="20"/>
      <c r="Q5872" s="20"/>
      <c r="R5872" s="20"/>
      <c r="S5872" s="20"/>
      <c r="T5872" s="20" t="s">
        <v>401</v>
      </c>
    </row>
    <row r="5873" spans="1:21" x14ac:dyDescent="0.25">
      <c r="A5873" s="3" t="s">
        <v>5917</v>
      </c>
      <c r="B5873" s="36">
        <v>714</v>
      </c>
      <c r="C5873" t="s">
        <v>5918</v>
      </c>
      <c r="E5873" s="18">
        <v>1000</v>
      </c>
      <c r="G5873" t="s">
        <v>442</v>
      </c>
      <c r="H5873" s="18" t="s">
        <v>442</v>
      </c>
      <c r="I5873" s="3" t="s">
        <v>442</v>
      </c>
      <c r="J5873"/>
      <c r="L5873"/>
      <c r="M5873"/>
      <c r="N5873" s="20"/>
      <c r="O5873"/>
      <c r="P5873" s="20"/>
      <c r="Q5873" s="20"/>
      <c r="R5873" s="20"/>
      <c r="S5873" s="20"/>
      <c r="T5873" s="20" t="s">
        <v>401</v>
      </c>
    </row>
    <row r="5874" spans="1:21" x14ac:dyDescent="0.25">
      <c r="A5874" s="3" t="s">
        <v>5430</v>
      </c>
      <c r="B5874" s="36">
        <v>714</v>
      </c>
      <c r="C5874" t="s">
        <v>5431</v>
      </c>
      <c r="E5874" s="18">
        <v>500</v>
      </c>
      <c r="G5874" t="s">
        <v>442</v>
      </c>
      <c r="H5874" s="18" t="s">
        <v>442</v>
      </c>
      <c r="I5874" s="3" t="s">
        <v>442</v>
      </c>
      <c r="J5874"/>
      <c r="L5874"/>
      <c r="M5874"/>
      <c r="N5874" s="20"/>
      <c r="O5874"/>
      <c r="P5874" s="20"/>
      <c r="Q5874" s="20"/>
      <c r="R5874" s="20"/>
      <c r="S5874" s="20"/>
      <c r="T5874" s="20" t="s">
        <v>401</v>
      </c>
    </row>
    <row r="5875" spans="1:21" x14ac:dyDescent="0.25">
      <c r="A5875" s="3" t="s">
        <v>5432</v>
      </c>
      <c r="B5875" s="36">
        <v>714</v>
      </c>
      <c r="C5875" t="s">
        <v>5433</v>
      </c>
      <c r="E5875" s="18">
        <v>1000</v>
      </c>
      <c r="G5875" t="s">
        <v>442</v>
      </c>
      <c r="H5875" s="18" t="s">
        <v>442</v>
      </c>
      <c r="I5875" s="3" t="s">
        <v>442</v>
      </c>
      <c r="J5875"/>
      <c r="L5875"/>
      <c r="M5875"/>
      <c r="N5875" s="20"/>
      <c r="O5875"/>
      <c r="P5875" s="20"/>
      <c r="Q5875" s="20"/>
      <c r="R5875" s="20"/>
      <c r="S5875" s="20"/>
      <c r="T5875" s="20" t="s">
        <v>401</v>
      </c>
    </row>
    <row r="5876" spans="1:21" x14ac:dyDescent="0.25">
      <c r="A5876" s="3" t="s">
        <v>5436</v>
      </c>
      <c r="B5876" s="36">
        <v>714</v>
      </c>
      <c r="C5876" t="s">
        <v>5437</v>
      </c>
      <c r="E5876" s="18">
        <v>500</v>
      </c>
      <c r="G5876" t="s">
        <v>442</v>
      </c>
      <c r="H5876" s="18" t="s">
        <v>442</v>
      </c>
      <c r="I5876" s="3" t="s">
        <v>442</v>
      </c>
      <c r="J5876"/>
      <c r="L5876"/>
      <c r="M5876"/>
      <c r="N5876" s="20"/>
      <c r="O5876"/>
      <c r="P5876" s="20"/>
      <c r="Q5876" s="20"/>
      <c r="R5876" s="20"/>
      <c r="S5876" s="20"/>
      <c r="T5876" s="20" t="s">
        <v>401</v>
      </c>
    </row>
    <row r="5877" spans="1:21" x14ac:dyDescent="0.25">
      <c r="A5877" s="3" t="s">
        <v>5919</v>
      </c>
      <c r="B5877" s="36">
        <v>714</v>
      </c>
      <c r="C5877" t="s">
        <v>5920</v>
      </c>
      <c r="E5877" s="18">
        <v>1000</v>
      </c>
      <c r="G5877" t="s">
        <v>442</v>
      </c>
      <c r="H5877" s="18" t="s">
        <v>442</v>
      </c>
      <c r="I5877" s="3" t="s">
        <v>442</v>
      </c>
      <c r="J5877"/>
      <c r="L5877"/>
      <c r="M5877"/>
      <c r="N5877" s="20"/>
      <c r="O5877"/>
      <c r="P5877" s="20"/>
      <c r="Q5877" s="20"/>
      <c r="R5877" s="20"/>
      <c r="S5877" s="20"/>
      <c r="T5877" s="20" t="s">
        <v>401</v>
      </c>
    </row>
    <row r="5878" spans="1:21" x14ac:dyDescent="0.25">
      <c r="A5878" s="3">
        <v>42027</v>
      </c>
      <c r="B5878" s="36">
        <v>714</v>
      </c>
      <c r="C5878" t="s">
        <v>455</v>
      </c>
      <c r="D5878" s="55">
        <v>4.08</v>
      </c>
      <c r="E5878" s="18">
        <v>204</v>
      </c>
      <c r="F5878" t="s">
        <v>889</v>
      </c>
      <c r="G5878" t="s">
        <v>456</v>
      </c>
      <c r="H5878" s="18">
        <v>204</v>
      </c>
      <c r="I5878" s="3">
        <v>42027</v>
      </c>
      <c r="J5878"/>
      <c r="L5878"/>
      <c r="M5878"/>
      <c r="N5878" s="20"/>
      <c r="O5878"/>
      <c r="P5878" s="20"/>
      <c r="Q5878" s="20"/>
      <c r="R5878" s="20"/>
      <c r="S5878" s="20"/>
      <c r="T5878" s="20"/>
    </row>
    <row r="5879" spans="1:21" x14ac:dyDescent="0.25">
      <c r="A5879" s="32">
        <v>42034</v>
      </c>
      <c r="B5879" s="33">
        <v>714</v>
      </c>
      <c r="C5879" s="33" t="s">
        <v>5921</v>
      </c>
      <c r="D5879" s="34">
        <v>4.59</v>
      </c>
      <c r="E5879" s="35">
        <v>286.875</v>
      </c>
      <c r="F5879" s="33" t="s">
        <v>889</v>
      </c>
      <c r="G5879" s="34" t="s">
        <v>5922</v>
      </c>
      <c r="H5879" s="18"/>
      <c r="J5879"/>
      <c r="L5879"/>
      <c r="M5879"/>
      <c r="N5879" s="20"/>
      <c r="O5879"/>
      <c r="P5879" s="20"/>
      <c r="Q5879" s="20"/>
      <c r="R5879" s="20"/>
      <c r="S5879" s="20"/>
      <c r="T5879" s="20"/>
    </row>
    <row r="5880" spans="1:21" x14ac:dyDescent="0.25">
      <c r="A5880" s="32">
        <v>42034</v>
      </c>
      <c r="B5880" s="33">
        <v>714</v>
      </c>
      <c r="C5880" s="33" t="s">
        <v>5923</v>
      </c>
      <c r="D5880" s="34">
        <v>2.5499999999999998</v>
      </c>
      <c r="E5880" s="35">
        <v>159.375</v>
      </c>
      <c r="F5880" s="33" t="s">
        <v>889</v>
      </c>
      <c r="G5880" s="34" t="s">
        <v>625</v>
      </c>
      <c r="H5880" s="18"/>
      <c r="J5880"/>
      <c r="L5880"/>
      <c r="M5880"/>
      <c r="N5880" s="20"/>
      <c r="O5880"/>
      <c r="P5880" s="20"/>
      <c r="Q5880" s="20"/>
      <c r="R5880" s="20"/>
      <c r="S5880" s="20"/>
      <c r="T5880" s="20"/>
    </row>
    <row r="5881" spans="1:21" x14ac:dyDescent="0.25">
      <c r="A5881" s="32">
        <v>42034</v>
      </c>
      <c r="B5881" s="33">
        <v>714</v>
      </c>
      <c r="C5881" s="33" t="s">
        <v>5924</v>
      </c>
      <c r="D5881" s="34">
        <v>4.59</v>
      </c>
      <c r="E5881" s="35">
        <v>286.875</v>
      </c>
      <c r="F5881" s="33" t="s">
        <v>889</v>
      </c>
      <c r="G5881" s="34" t="s">
        <v>5925</v>
      </c>
      <c r="H5881" s="18"/>
      <c r="J5881"/>
      <c r="L5881"/>
      <c r="M5881"/>
      <c r="N5881" s="20"/>
      <c r="O5881"/>
      <c r="P5881" s="20"/>
      <c r="Q5881" s="20"/>
      <c r="R5881" s="20"/>
      <c r="S5881" s="20"/>
      <c r="T5881" s="20"/>
    </row>
    <row r="5882" spans="1:21" x14ac:dyDescent="0.25">
      <c r="A5882" s="3">
        <v>42034</v>
      </c>
      <c r="B5882">
        <v>714</v>
      </c>
      <c r="C5882" t="s">
        <v>624</v>
      </c>
      <c r="D5882" s="19">
        <v>2.5499999999999998</v>
      </c>
      <c r="E5882" s="18">
        <v>714</v>
      </c>
      <c r="F5882" s="23" t="s">
        <v>889</v>
      </c>
      <c r="G5882" t="s">
        <v>625</v>
      </c>
      <c r="H5882" s="18"/>
      <c r="J5882"/>
      <c r="L5882"/>
      <c r="M5882"/>
      <c r="N5882" s="20"/>
      <c r="O5882"/>
      <c r="P5882" s="20"/>
      <c r="Q5882" s="20"/>
      <c r="R5882" s="20"/>
      <c r="S5882" s="20"/>
      <c r="T5882" s="20"/>
    </row>
    <row r="5883" spans="1:21" x14ac:dyDescent="0.25">
      <c r="B5883">
        <v>714</v>
      </c>
      <c r="C5883" t="s">
        <v>5920</v>
      </c>
      <c r="E5883" s="18">
        <v>-1000</v>
      </c>
      <c r="G5883" t="s">
        <v>442</v>
      </c>
      <c r="I5883"/>
      <c r="J5883"/>
      <c r="L5883"/>
      <c r="M5883"/>
      <c r="O5883"/>
      <c r="P5883" s="20"/>
      <c r="Q5883" s="20"/>
      <c r="R5883" s="20"/>
      <c r="S5883" s="20"/>
      <c r="T5883" s="20"/>
      <c r="U5883" t="s">
        <v>401</v>
      </c>
    </row>
    <row r="5884" spans="1:21" x14ac:dyDescent="0.25">
      <c r="B5884">
        <v>714</v>
      </c>
      <c r="C5884" t="s">
        <v>4217</v>
      </c>
      <c r="E5884" s="18">
        <v>-500</v>
      </c>
      <c r="G5884" t="s">
        <v>442</v>
      </c>
      <c r="I5884"/>
      <c r="J5884"/>
      <c r="L5884"/>
      <c r="M5884"/>
      <c r="O5884"/>
      <c r="P5884" s="20"/>
      <c r="Q5884" s="20"/>
      <c r="R5884" s="20"/>
      <c r="S5884" s="20"/>
      <c r="T5884" s="20"/>
      <c r="U5884" t="s">
        <v>401</v>
      </c>
    </row>
    <row r="5885" spans="1:21" x14ac:dyDescent="0.25">
      <c r="B5885">
        <v>714</v>
      </c>
      <c r="C5885" t="s">
        <v>4540</v>
      </c>
      <c r="E5885" s="18">
        <v>-500</v>
      </c>
      <c r="G5885" t="s">
        <v>442</v>
      </c>
      <c r="I5885"/>
      <c r="J5885"/>
      <c r="L5885"/>
      <c r="M5885"/>
      <c r="O5885"/>
      <c r="P5885" s="20"/>
      <c r="Q5885" s="20"/>
      <c r="R5885" s="20"/>
      <c r="S5885" s="20"/>
      <c r="T5885" s="20"/>
      <c r="U5885" t="s">
        <v>401</v>
      </c>
    </row>
    <row r="5886" spans="1:21" x14ac:dyDescent="0.25">
      <c r="B5886">
        <v>714</v>
      </c>
      <c r="C5886" t="s">
        <v>5426</v>
      </c>
      <c r="E5886" s="18">
        <v>-500</v>
      </c>
      <c r="G5886" t="s">
        <v>442</v>
      </c>
      <c r="I5886"/>
      <c r="J5886"/>
      <c r="L5886"/>
      <c r="M5886"/>
      <c r="O5886"/>
      <c r="P5886" s="20"/>
      <c r="Q5886" s="20"/>
      <c r="R5886" s="20"/>
      <c r="S5886" s="20"/>
      <c r="T5886" s="20"/>
      <c r="U5886" t="s">
        <v>401</v>
      </c>
    </row>
    <row r="5887" spans="1:21" x14ac:dyDescent="0.25">
      <c r="B5887">
        <v>714</v>
      </c>
      <c r="C5887" t="s">
        <v>5916</v>
      </c>
      <c r="E5887" s="18">
        <v>-500</v>
      </c>
      <c r="G5887" t="s">
        <v>442</v>
      </c>
      <c r="I5887"/>
      <c r="J5887"/>
      <c r="L5887"/>
      <c r="M5887"/>
      <c r="O5887"/>
      <c r="P5887" s="20"/>
      <c r="Q5887" s="20"/>
      <c r="R5887" s="20"/>
      <c r="S5887" s="20"/>
      <c r="T5887" s="20"/>
      <c r="U5887" t="s">
        <v>401</v>
      </c>
    </row>
    <row r="5888" spans="1:21" x14ac:dyDescent="0.25">
      <c r="B5888">
        <v>714</v>
      </c>
      <c r="C5888" t="s">
        <v>5918</v>
      </c>
      <c r="E5888" s="18">
        <v>-1000</v>
      </c>
      <c r="G5888" t="s">
        <v>442</v>
      </c>
      <c r="I5888"/>
      <c r="J5888"/>
      <c r="L5888"/>
      <c r="M5888"/>
      <c r="O5888"/>
      <c r="P5888" s="20"/>
      <c r="Q5888" s="20"/>
      <c r="R5888" s="20"/>
      <c r="S5888" s="20"/>
      <c r="T5888" s="20"/>
      <c r="U5888" t="s">
        <v>401</v>
      </c>
    </row>
    <row r="5889" spans="1:21" x14ac:dyDescent="0.25">
      <c r="B5889">
        <v>714</v>
      </c>
      <c r="C5889" t="s">
        <v>5431</v>
      </c>
      <c r="E5889" s="18">
        <v>-500</v>
      </c>
      <c r="G5889" t="s">
        <v>442</v>
      </c>
      <c r="I5889"/>
      <c r="J5889"/>
      <c r="L5889"/>
      <c r="M5889"/>
      <c r="O5889"/>
      <c r="P5889" s="20"/>
      <c r="Q5889" s="20"/>
      <c r="R5889" s="20"/>
      <c r="S5889" s="20"/>
      <c r="T5889" s="20"/>
      <c r="U5889" t="s">
        <v>401</v>
      </c>
    </row>
    <row r="5890" spans="1:21" x14ac:dyDescent="0.25">
      <c r="B5890">
        <v>714</v>
      </c>
      <c r="C5890" t="s">
        <v>5433</v>
      </c>
      <c r="E5890" s="18">
        <v>-1000</v>
      </c>
      <c r="G5890" t="s">
        <v>442</v>
      </c>
      <c r="I5890"/>
      <c r="J5890"/>
      <c r="L5890"/>
      <c r="M5890"/>
      <c r="O5890"/>
      <c r="P5890" s="20"/>
      <c r="Q5890" s="20"/>
      <c r="R5890" s="20"/>
      <c r="S5890" s="20"/>
      <c r="T5890" s="20"/>
      <c r="U5890" t="s">
        <v>401</v>
      </c>
    </row>
    <row r="5891" spans="1:21" x14ac:dyDescent="0.25">
      <c r="B5891">
        <v>714</v>
      </c>
      <c r="C5891" t="s">
        <v>5437</v>
      </c>
      <c r="E5891" s="18">
        <v>-500</v>
      </c>
      <c r="G5891" t="s">
        <v>442</v>
      </c>
      <c r="I5891"/>
      <c r="J5891"/>
      <c r="L5891"/>
      <c r="M5891"/>
      <c r="O5891"/>
      <c r="P5891" s="20"/>
      <c r="Q5891" s="20"/>
      <c r="R5891" s="20"/>
      <c r="S5891" s="20"/>
      <c r="T5891" s="20"/>
      <c r="U5891" t="s">
        <v>401</v>
      </c>
    </row>
    <row r="5892" spans="1:21" x14ac:dyDescent="0.25">
      <c r="A5892" s="3">
        <v>41947</v>
      </c>
      <c r="B5892" s="36">
        <v>715</v>
      </c>
      <c r="C5892" t="s">
        <v>5926</v>
      </c>
      <c r="D5892">
        <v>5</v>
      </c>
      <c r="E5892" s="18">
        <v>250</v>
      </c>
      <c r="G5892" t="s">
        <v>5927</v>
      </c>
      <c r="H5892" s="18">
        <v>250</v>
      </c>
      <c r="I5892" s="3">
        <v>41947</v>
      </c>
      <c r="J5892"/>
      <c r="L5892"/>
      <c r="M5892"/>
      <c r="N5892" s="20"/>
      <c r="O5892"/>
      <c r="P5892" s="20"/>
      <c r="Q5892" s="20"/>
      <c r="R5892" s="20"/>
      <c r="S5892" s="20"/>
      <c r="T5892" s="20"/>
    </row>
    <row r="5893" spans="1:21" x14ac:dyDescent="0.25">
      <c r="A5893" s="3">
        <v>41947</v>
      </c>
      <c r="B5893" s="36">
        <v>715</v>
      </c>
      <c r="C5893" t="s">
        <v>5928</v>
      </c>
      <c r="D5893">
        <v>5.61</v>
      </c>
      <c r="E5893" s="18">
        <v>280.5</v>
      </c>
      <c r="G5893" t="s">
        <v>5929</v>
      </c>
      <c r="H5893" s="18">
        <v>280.5</v>
      </c>
      <c r="I5893" s="3">
        <v>41947</v>
      </c>
      <c r="J5893"/>
      <c r="L5893"/>
      <c r="M5893"/>
      <c r="N5893" s="20"/>
      <c r="O5893"/>
      <c r="P5893" s="20"/>
      <c r="Q5893" s="20"/>
      <c r="R5893" s="20"/>
      <c r="S5893" s="20"/>
      <c r="T5893" s="20"/>
    </row>
    <row r="5894" spans="1:21" x14ac:dyDescent="0.25">
      <c r="A5894" s="3">
        <v>41947</v>
      </c>
      <c r="B5894" s="36">
        <v>715</v>
      </c>
      <c r="C5894" t="s">
        <v>5930</v>
      </c>
      <c r="D5894">
        <v>6.12</v>
      </c>
      <c r="E5894" s="18">
        <v>306</v>
      </c>
      <c r="G5894" t="s">
        <v>5931</v>
      </c>
      <c r="H5894" s="18">
        <v>306</v>
      </c>
      <c r="I5894" s="3">
        <v>41947</v>
      </c>
      <c r="J5894"/>
      <c r="L5894"/>
      <c r="M5894"/>
      <c r="N5894" s="20"/>
      <c r="O5894"/>
      <c r="P5894" s="20"/>
      <c r="Q5894" s="20"/>
      <c r="R5894" s="20"/>
      <c r="S5894" s="20"/>
      <c r="T5894" s="20"/>
    </row>
    <row r="5895" spans="1:21" x14ac:dyDescent="0.25">
      <c r="A5895" s="3">
        <v>41950</v>
      </c>
      <c r="B5895" s="36">
        <v>715</v>
      </c>
      <c r="C5895" t="s">
        <v>5928</v>
      </c>
      <c r="D5895">
        <v>5.61</v>
      </c>
      <c r="E5895" s="18">
        <v>561</v>
      </c>
      <c r="F5895" t="s">
        <v>889</v>
      </c>
      <c r="G5895" t="s">
        <v>5929</v>
      </c>
      <c r="H5895" s="18">
        <v>561</v>
      </c>
      <c r="I5895" s="3">
        <v>41950</v>
      </c>
      <c r="J5895"/>
      <c r="L5895"/>
      <c r="M5895"/>
      <c r="N5895" s="20"/>
      <c r="O5895"/>
      <c r="P5895" s="20"/>
      <c r="Q5895" s="20"/>
      <c r="R5895" s="20"/>
      <c r="S5895" s="20"/>
      <c r="T5895" s="20"/>
    </row>
    <row r="5896" spans="1:21" x14ac:dyDescent="0.25">
      <c r="A5896" s="3">
        <v>41957</v>
      </c>
      <c r="B5896" s="36">
        <v>715</v>
      </c>
      <c r="C5896" t="s">
        <v>3493</v>
      </c>
      <c r="E5896" s="18">
        <v>500</v>
      </c>
      <c r="F5896" t="s">
        <v>889</v>
      </c>
      <c r="G5896" t="s">
        <v>442</v>
      </c>
      <c r="H5896" s="18" t="s">
        <v>442</v>
      </c>
      <c r="I5896" s="3" t="s">
        <v>442</v>
      </c>
      <c r="J5896"/>
      <c r="L5896"/>
      <c r="M5896"/>
      <c r="N5896" s="20"/>
      <c r="O5896"/>
      <c r="P5896" s="20"/>
      <c r="Q5896" s="20"/>
      <c r="R5896" s="20"/>
      <c r="S5896" s="20"/>
      <c r="T5896" s="20" t="s">
        <v>401</v>
      </c>
    </row>
    <row r="5897" spans="1:21" x14ac:dyDescent="0.25">
      <c r="A5897" s="3">
        <v>41968</v>
      </c>
      <c r="B5897" s="36">
        <v>715</v>
      </c>
      <c r="C5897" t="s">
        <v>5426</v>
      </c>
      <c r="D5897">
        <v>5.61</v>
      </c>
      <c r="E5897" s="18">
        <v>500</v>
      </c>
      <c r="F5897" t="s">
        <v>889</v>
      </c>
      <c r="G5897" t="s">
        <v>442</v>
      </c>
      <c r="H5897" s="18" t="s">
        <v>442</v>
      </c>
      <c r="I5897" s="3" t="s">
        <v>442</v>
      </c>
      <c r="J5897"/>
      <c r="L5897"/>
      <c r="M5897"/>
      <c r="N5897" s="20"/>
      <c r="O5897"/>
      <c r="P5897" s="20"/>
      <c r="Q5897" s="20"/>
      <c r="R5897" s="20"/>
      <c r="S5897" s="20"/>
      <c r="T5897" s="20" t="s">
        <v>401</v>
      </c>
    </row>
    <row r="5898" spans="1:21" x14ac:dyDescent="0.25">
      <c r="A5898" s="3">
        <v>41985</v>
      </c>
      <c r="B5898" s="36">
        <v>715</v>
      </c>
      <c r="C5898" t="s">
        <v>5089</v>
      </c>
      <c r="D5898">
        <v>3</v>
      </c>
      <c r="E5898" s="18">
        <v>725</v>
      </c>
      <c r="F5898" t="s">
        <v>889</v>
      </c>
      <c r="G5898" t="s">
        <v>442</v>
      </c>
      <c r="H5898" s="18" t="s">
        <v>442</v>
      </c>
      <c r="I5898" s="3" t="s">
        <v>442</v>
      </c>
      <c r="J5898"/>
      <c r="L5898"/>
      <c r="M5898"/>
      <c r="N5898" s="20"/>
      <c r="O5898"/>
      <c r="P5898" s="20"/>
      <c r="Q5898" s="20"/>
      <c r="R5898" s="20"/>
      <c r="S5898" s="20"/>
      <c r="T5898" s="20" t="s">
        <v>401</v>
      </c>
    </row>
    <row r="5899" spans="1:21" x14ac:dyDescent="0.25">
      <c r="A5899" s="3">
        <v>41995</v>
      </c>
      <c r="B5899" s="36">
        <v>715</v>
      </c>
      <c r="C5899" t="s">
        <v>5090</v>
      </c>
      <c r="D5899">
        <v>1</v>
      </c>
      <c r="E5899" s="18">
        <v>250</v>
      </c>
      <c r="F5899" t="s">
        <v>889</v>
      </c>
      <c r="G5899" t="s">
        <v>442</v>
      </c>
      <c r="H5899" s="18" t="s">
        <v>442</v>
      </c>
      <c r="I5899" s="3" t="s">
        <v>442</v>
      </c>
      <c r="J5899"/>
      <c r="L5899"/>
      <c r="M5899"/>
      <c r="N5899" s="20"/>
      <c r="O5899"/>
      <c r="P5899" s="20"/>
      <c r="Q5899" s="20"/>
      <c r="R5899" s="20"/>
      <c r="S5899" s="20"/>
      <c r="T5899" s="20" t="s">
        <v>401</v>
      </c>
    </row>
    <row r="5900" spans="1:21" x14ac:dyDescent="0.25">
      <c r="B5900">
        <v>715</v>
      </c>
      <c r="C5900" t="s">
        <v>5426</v>
      </c>
      <c r="D5900">
        <v>5.61</v>
      </c>
      <c r="E5900" s="18">
        <v>-500</v>
      </c>
      <c r="F5900" t="s">
        <v>889</v>
      </c>
      <c r="G5900" t="s">
        <v>442</v>
      </c>
      <c r="I5900"/>
      <c r="J5900"/>
      <c r="L5900"/>
      <c r="M5900"/>
      <c r="O5900"/>
      <c r="P5900" s="20"/>
      <c r="Q5900" s="20"/>
      <c r="R5900" s="20"/>
      <c r="S5900" s="20"/>
      <c r="T5900" s="20"/>
      <c r="U5900" t="s">
        <v>401</v>
      </c>
    </row>
    <row r="5901" spans="1:21" x14ac:dyDescent="0.25">
      <c r="B5901">
        <v>715</v>
      </c>
      <c r="C5901" t="s">
        <v>5089</v>
      </c>
      <c r="D5901">
        <v>3</v>
      </c>
      <c r="E5901" s="18">
        <v>-725</v>
      </c>
      <c r="F5901" t="s">
        <v>889</v>
      </c>
      <c r="G5901" t="s">
        <v>442</v>
      </c>
      <c r="I5901"/>
      <c r="J5901"/>
      <c r="L5901"/>
      <c r="M5901"/>
      <c r="O5901"/>
      <c r="P5901" s="20"/>
      <c r="Q5901" s="20"/>
      <c r="R5901" s="20"/>
      <c r="S5901" s="20"/>
      <c r="T5901" s="20"/>
      <c r="U5901" t="s">
        <v>401</v>
      </c>
    </row>
    <row r="5902" spans="1:21" x14ac:dyDescent="0.25">
      <c r="B5902">
        <v>715</v>
      </c>
      <c r="C5902" t="s">
        <v>5090</v>
      </c>
      <c r="D5902">
        <v>1</v>
      </c>
      <c r="E5902" s="18">
        <v>-250</v>
      </c>
      <c r="F5902" t="s">
        <v>889</v>
      </c>
      <c r="G5902" t="s">
        <v>442</v>
      </c>
      <c r="I5902"/>
      <c r="J5902"/>
      <c r="L5902"/>
      <c r="M5902"/>
      <c r="O5902"/>
      <c r="P5902" s="20"/>
      <c r="Q5902" s="20"/>
      <c r="R5902" s="20"/>
      <c r="S5902" s="20"/>
      <c r="T5902" s="20"/>
      <c r="U5902" t="s">
        <v>401</v>
      </c>
    </row>
    <row r="5903" spans="1:21" x14ac:dyDescent="0.25">
      <c r="B5903">
        <v>715</v>
      </c>
      <c r="C5903" t="s">
        <v>5928</v>
      </c>
      <c r="D5903">
        <v>5.61</v>
      </c>
      <c r="E5903" s="18">
        <v>93.5</v>
      </c>
      <c r="F5903" t="s">
        <v>889</v>
      </c>
      <c r="G5903" t="s">
        <v>5929</v>
      </c>
      <c r="I5903"/>
      <c r="J5903"/>
      <c r="L5903"/>
      <c r="M5903"/>
      <c r="O5903"/>
      <c r="P5903" s="20"/>
      <c r="Q5903" s="20"/>
      <c r="R5903" s="20"/>
      <c r="S5903" s="20"/>
      <c r="T5903" s="20"/>
      <c r="U5903" t="s">
        <v>401</v>
      </c>
    </row>
    <row r="5904" spans="1:21" x14ac:dyDescent="0.25">
      <c r="B5904">
        <v>715</v>
      </c>
      <c r="C5904" t="s">
        <v>5928</v>
      </c>
      <c r="E5904" s="18">
        <v>93.5</v>
      </c>
      <c r="G5904" t="s">
        <v>5929</v>
      </c>
      <c r="I5904"/>
      <c r="J5904"/>
      <c r="L5904"/>
      <c r="M5904"/>
      <c r="O5904"/>
      <c r="P5904" s="20"/>
      <c r="Q5904" s="20"/>
      <c r="R5904" s="20"/>
      <c r="S5904" s="20"/>
      <c r="T5904" s="20"/>
      <c r="U5904" t="s">
        <v>401</v>
      </c>
    </row>
    <row r="5905" spans="1:20" x14ac:dyDescent="0.25">
      <c r="A5905" s="3">
        <v>41950</v>
      </c>
      <c r="B5905" s="36">
        <v>716</v>
      </c>
      <c r="C5905" t="s">
        <v>5668</v>
      </c>
      <c r="E5905" s="18">
        <v>330</v>
      </c>
      <c r="F5905" t="s">
        <v>889</v>
      </c>
      <c r="G5905" t="s">
        <v>442</v>
      </c>
      <c r="H5905" s="18" t="s">
        <v>442</v>
      </c>
      <c r="I5905" s="3" t="s">
        <v>442</v>
      </c>
      <c r="J5905"/>
      <c r="L5905"/>
      <c r="M5905"/>
      <c r="N5905" s="20"/>
      <c r="O5905"/>
      <c r="P5905" s="20"/>
      <c r="Q5905" s="20"/>
      <c r="R5905" s="20"/>
      <c r="S5905" s="20" t="s">
        <v>401</v>
      </c>
      <c r="T5905" s="20"/>
    </row>
    <row r="5906" spans="1:20" x14ac:dyDescent="0.25">
      <c r="A5906" s="3">
        <v>41957</v>
      </c>
      <c r="B5906" s="36">
        <v>716</v>
      </c>
      <c r="C5906" t="s">
        <v>5932</v>
      </c>
      <c r="D5906">
        <v>7.9050000000000002</v>
      </c>
      <c r="E5906" s="18">
        <v>790.5</v>
      </c>
      <c r="F5906" t="s">
        <v>889</v>
      </c>
      <c r="G5906" t="s">
        <v>5933</v>
      </c>
      <c r="H5906" s="18">
        <v>790.5</v>
      </c>
      <c r="I5906" s="3">
        <v>41957</v>
      </c>
      <c r="J5906"/>
      <c r="L5906"/>
      <c r="M5906"/>
      <c r="N5906" s="20"/>
      <c r="O5906"/>
      <c r="P5906" s="20"/>
      <c r="Q5906" s="20"/>
      <c r="R5906" s="20"/>
      <c r="S5906" s="20"/>
      <c r="T5906" s="20"/>
    </row>
    <row r="5907" spans="1:20" x14ac:dyDescent="0.25">
      <c r="A5907" s="3">
        <v>41932</v>
      </c>
      <c r="B5907" s="36">
        <v>719</v>
      </c>
      <c r="C5907" t="s">
        <v>1509</v>
      </c>
      <c r="E5907" s="18">
        <v>-256.25512900000001</v>
      </c>
      <c r="F5907" t="s">
        <v>891</v>
      </c>
      <c r="G5907" t="s">
        <v>442</v>
      </c>
      <c r="H5907" s="18" t="s">
        <v>442</v>
      </c>
      <c r="I5907" s="3" t="s">
        <v>442</v>
      </c>
      <c r="J5907"/>
      <c r="L5907"/>
      <c r="M5907"/>
      <c r="N5907" s="20"/>
      <c r="O5907"/>
      <c r="P5907" s="20"/>
      <c r="Q5907" s="20" t="s">
        <v>401</v>
      </c>
      <c r="R5907" s="20"/>
      <c r="S5907" s="20"/>
      <c r="T5907" s="20"/>
    </row>
    <row r="5908" spans="1:20" x14ac:dyDescent="0.25">
      <c r="A5908" s="3">
        <v>41932</v>
      </c>
      <c r="B5908" s="36">
        <v>719</v>
      </c>
      <c r="C5908" t="s">
        <v>960</v>
      </c>
      <c r="E5908" s="18">
        <v>947.5</v>
      </c>
      <c r="G5908" t="s">
        <v>442</v>
      </c>
      <c r="H5908" s="18" t="s">
        <v>442</v>
      </c>
      <c r="I5908" s="3" t="s">
        <v>442</v>
      </c>
      <c r="J5908"/>
      <c r="L5908"/>
      <c r="M5908"/>
      <c r="N5908" s="20" t="s">
        <v>401</v>
      </c>
      <c r="O5908"/>
      <c r="P5908" s="20"/>
      <c r="Q5908" s="20"/>
      <c r="R5908" s="20"/>
      <c r="S5908" s="20"/>
      <c r="T5908" s="20"/>
    </row>
    <row r="5909" spans="1:20" x14ac:dyDescent="0.25">
      <c r="A5909" s="3">
        <v>41964</v>
      </c>
      <c r="B5909" s="36">
        <v>719</v>
      </c>
      <c r="C5909" t="s">
        <v>963</v>
      </c>
      <c r="E5909" s="18">
        <v>240</v>
      </c>
      <c r="F5909" t="s">
        <v>889</v>
      </c>
      <c r="G5909" t="s">
        <v>442</v>
      </c>
      <c r="H5909" s="18" t="s">
        <v>442</v>
      </c>
      <c r="I5909" s="3" t="s">
        <v>442</v>
      </c>
      <c r="J5909"/>
      <c r="L5909"/>
      <c r="M5909"/>
      <c r="N5909" s="40" t="s">
        <v>401</v>
      </c>
      <c r="O5909"/>
      <c r="P5909" s="20"/>
      <c r="Q5909" s="20"/>
      <c r="R5909" s="20"/>
      <c r="S5909" s="20"/>
      <c r="T5909" s="20"/>
    </row>
    <row r="5910" spans="1:20" x14ac:dyDescent="0.25">
      <c r="A5910" s="3">
        <v>41943</v>
      </c>
      <c r="B5910" s="36">
        <v>722</v>
      </c>
      <c r="C5910" t="s">
        <v>5934</v>
      </c>
      <c r="D5910">
        <v>2.8050000000000002</v>
      </c>
      <c r="E5910" s="18">
        <v>280.5</v>
      </c>
      <c r="F5910" t="s">
        <v>889</v>
      </c>
      <c r="G5910" t="s">
        <v>5935</v>
      </c>
      <c r="H5910" s="18">
        <v>280.5</v>
      </c>
      <c r="I5910" s="3">
        <v>41943</v>
      </c>
      <c r="J5910"/>
      <c r="L5910"/>
      <c r="M5910"/>
      <c r="N5910" s="20"/>
      <c r="O5910"/>
      <c r="P5910" s="20"/>
      <c r="Q5910" s="20"/>
      <c r="R5910" s="20"/>
      <c r="S5910" s="20"/>
      <c r="T5910" s="20"/>
    </row>
    <row r="5911" spans="1:20" x14ac:dyDescent="0.25">
      <c r="A5911" s="3">
        <v>41950</v>
      </c>
      <c r="B5911" s="36">
        <v>722</v>
      </c>
      <c r="C5911" t="s">
        <v>5936</v>
      </c>
      <c r="D5911">
        <v>4.08</v>
      </c>
      <c r="E5911" s="18">
        <v>408</v>
      </c>
      <c r="F5911" t="s">
        <v>889</v>
      </c>
      <c r="G5911" t="s">
        <v>5937</v>
      </c>
      <c r="H5911" s="18">
        <v>408</v>
      </c>
      <c r="I5911" s="3">
        <v>41950</v>
      </c>
      <c r="J5911"/>
      <c r="L5911"/>
      <c r="M5911"/>
      <c r="N5911" s="20"/>
      <c r="O5911"/>
      <c r="P5911" s="20"/>
      <c r="Q5911" s="20"/>
      <c r="R5911" s="20"/>
      <c r="S5911" s="20"/>
      <c r="T5911" s="20"/>
    </row>
    <row r="5912" spans="1:20" x14ac:dyDescent="0.25">
      <c r="A5912" s="3">
        <v>41957</v>
      </c>
      <c r="B5912" s="36">
        <v>722</v>
      </c>
      <c r="C5912" t="s">
        <v>5938</v>
      </c>
      <c r="D5912">
        <v>4.08</v>
      </c>
      <c r="E5912" s="18">
        <v>408</v>
      </c>
      <c r="F5912" t="s">
        <v>889</v>
      </c>
      <c r="G5912" t="s">
        <v>5939</v>
      </c>
      <c r="H5912" s="18">
        <v>408</v>
      </c>
      <c r="I5912" s="3">
        <v>41957</v>
      </c>
      <c r="J5912"/>
      <c r="L5912"/>
      <c r="M5912"/>
      <c r="N5912" s="20"/>
      <c r="O5912"/>
      <c r="P5912" s="20"/>
      <c r="Q5912" s="20"/>
      <c r="R5912" s="20"/>
      <c r="S5912" s="20"/>
      <c r="T5912" s="20"/>
    </row>
    <row r="5913" spans="1:20" x14ac:dyDescent="0.25">
      <c r="A5913" s="3">
        <v>41985</v>
      </c>
      <c r="B5913" s="36">
        <v>722</v>
      </c>
      <c r="C5913" t="s">
        <v>5938</v>
      </c>
      <c r="D5913">
        <v>4.08</v>
      </c>
      <c r="E5913" s="18">
        <v>-408</v>
      </c>
      <c r="F5913" t="s">
        <v>889</v>
      </c>
      <c r="G5913" t="s">
        <v>5939</v>
      </c>
      <c r="H5913" s="18" t="s">
        <v>442</v>
      </c>
      <c r="I5913" s="3" t="s">
        <v>442</v>
      </c>
      <c r="J5913"/>
      <c r="L5913"/>
      <c r="M5913"/>
      <c r="N5913" s="20"/>
      <c r="O5913"/>
      <c r="P5913" s="20"/>
      <c r="Q5913" s="20"/>
      <c r="R5913" s="20"/>
      <c r="S5913" s="20"/>
      <c r="T5913" s="20"/>
    </row>
    <row r="5914" spans="1:20" x14ac:dyDescent="0.25">
      <c r="A5914" s="3">
        <v>41985</v>
      </c>
      <c r="B5914" s="36">
        <v>722</v>
      </c>
      <c r="C5914" t="s">
        <v>5940</v>
      </c>
      <c r="D5914">
        <v>2.8050000000000002</v>
      </c>
      <c r="E5914" s="18">
        <v>280.5</v>
      </c>
      <c r="F5914" t="s">
        <v>889</v>
      </c>
      <c r="G5914" t="s">
        <v>5941</v>
      </c>
      <c r="H5914" s="18">
        <v>280.5</v>
      </c>
      <c r="I5914" s="3">
        <v>41985</v>
      </c>
      <c r="J5914"/>
      <c r="L5914"/>
      <c r="M5914"/>
      <c r="N5914" s="20"/>
      <c r="O5914"/>
      <c r="P5914" s="20"/>
      <c r="Q5914" s="20"/>
      <c r="R5914" s="20"/>
      <c r="S5914" s="20"/>
      <c r="T5914" s="20"/>
    </row>
    <row r="5915" spans="1:20" x14ac:dyDescent="0.25">
      <c r="A5915" s="3">
        <v>41985</v>
      </c>
      <c r="B5915" s="36">
        <v>722</v>
      </c>
      <c r="C5915" t="s">
        <v>5942</v>
      </c>
      <c r="D5915">
        <v>6.76</v>
      </c>
      <c r="E5915" s="18">
        <v>676</v>
      </c>
      <c r="F5915" t="s">
        <v>889</v>
      </c>
      <c r="G5915" t="s">
        <v>5943</v>
      </c>
      <c r="H5915" s="18">
        <v>676</v>
      </c>
      <c r="I5915" s="3">
        <v>41985</v>
      </c>
      <c r="J5915"/>
      <c r="L5915"/>
      <c r="M5915"/>
      <c r="N5915" s="20"/>
      <c r="O5915"/>
      <c r="P5915" s="20"/>
      <c r="Q5915" s="20"/>
      <c r="R5915" s="20"/>
      <c r="S5915" s="20"/>
      <c r="T5915" s="20"/>
    </row>
    <row r="5916" spans="1:20" x14ac:dyDescent="0.25">
      <c r="A5916" s="3">
        <v>41985</v>
      </c>
      <c r="B5916" s="36">
        <v>722</v>
      </c>
      <c r="C5916" t="s">
        <v>5934</v>
      </c>
      <c r="D5916">
        <v>2.8050000000000002</v>
      </c>
      <c r="E5916" s="18">
        <v>-280.5</v>
      </c>
      <c r="F5916" t="s">
        <v>889</v>
      </c>
      <c r="G5916" t="s">
        <v>5935</v>
      </c>
      <c r="H5916" s="18" t="s">
        <v>442</v>
      </c>
      <c r="I5916" s="3" t="s">
        <v>442</v>
      </c>
      <c r="J5916"/>
      <c r="L5916"/>
      <c r="M5916"/>
      <c r="N5916" s="20"/>
      <c r="O5916"/>
      <c r="P5916" s="20"/>
      <c r="Q5916" s="20"/>
      <c r="R5916" s="20"/>
      <c r="S5916" s="20"/>
      <c r="T5916" s="20"/>
    </row>
    <row r="5917" spans="1:20" x14ac:dyDescent="0.25">
      <c r="A5917" s="3">
        <v>41985</v>
      </c>
      <c r="B5917" s="36">
        <v>722</v>
      </c>
      <c r="C5917" t="s">
        <v>5944</v>
      </c>
      <c r="D5917">
        <v>3</v>
      </c>
      <c r="E5917" s="18">
        <v>300</v>
      </c>
      <c r="F5917" t="s">
        <v>889</v>
      </c>
      <c r="G5917" t="s">
        <v>5945</v>
      </c>
      <c r="H5917" s="18">
        <v>300</v>
      </c>
      <c r="I5917" s="3">
        <v>41985</v>
      </c>
      <c r="J5917"/>
      <c r="L5917"/>
      <c r="M5917"/>
      <c r="N5917" s="20"/>
      <c r="O5917"/>
      <c r="P5917" s="20"/>
      <c r="Q5917" s="20"/>
      <c r="R5917" s="20"/>
      <c r="S5917" s="20"/>
      <c r="T5917" s="20"/>
    </row>
    <row r="5918" spans="1:20" x14ac:dyDescent="0.25">
      <c r="A5918" s="3">
        <v>41995</v>
      </c>
      <c r="B5918" s="36">
        <v>722</v>
      </c>
      <c r="C5918" t="s">
        <v>5946</v>
      </c>
      <c r="D5918">
        <v>5.2</v>
      </c>
      <c r="E5918" s="18">
        <v>520</v>
      </c>
      <c r="F5918" t="s">
        <v>889</v>
      </c>
      <c r="G5918" t="s">
        <v>5947</v>
      </c>
      <c r="H5918" s="18">
        <v>520</v>
      </c>
      <c r="I5918" s="3">
        <v>41995</v>
      </c>
      <c r="J5918"/>
      <c r="L5918"/>
      <c r="M5918"/>
      <c r="N5918" s="20"/>
      <c r="O5918"/>
      <c r="P5918" s="20"/>
      <c r="Q5918" s="20"/>
      <c r="R5918" s="20"/>
      <c r="S5918" s="20"/>
      <c r="T5918" s="20"/>
    </row>
    <row r="5919" spans="1:20" x14ac:dyDescent="0.25">
      <c r="A5919" s="3">
        <v>41999</v>
      </c>
      <c r="B5919" s="36">
        <v>722</v>
      </c>
      <c r="C5919" t="s">
        <v>5936</v>
      </c>
      <c r="D5919">
        <v>11.5</v>
      </c>
      <c r="E5919" s="18">
        <v>1892</v>
      </c>
      <c r="F5919" t="s">
        <v>889</v>
      </c>
      <c r="G5919" t="s">
        <v>5937</v>
      </c>
      <c r="H5919" s="18">
        <v>1892</v>
      </c>
      <c r="I5919" s="3">
        <v>41999</v>
      </c>
      <c r="J5919"/>
      <c r="L5919"/>
      <c r="M5919"/>
      <c r="N5919" s="20"/>
      <c r="O5919" t="s">
        <v>959</v>
      </c>
      <c r="P5919" s="20"/>
      <c r="Q5919" s="20"/>
      <c r="R5919" s="20"/>
      <c r="S5919" s="20"/>
      <c r="T5919" s="20"/>
    </row>
    <row r="5920" spans="1:20" x14ac:dyDescent="0.25">
      <c r="A5920" s="3">
        <v>42027</v>
      </c>
      <c r="B5920" s="36">
        <v>722</v>
      </c>
      <c r="C5920" t="s">
        <v>2584</v>
      </c>
      <c r="D5920" s="55"/>
      <c r="E5920" s="18">
        <v>-200</v>
      </c>
      <c r="F5920" t="s">
        <v>891</v>
      </c>
      <c r="H5920" s="18" t="s">
        <v>442</v>
      </c>
      <c r="I5920" s="3" t="s">
        <v>442</v>
      </c>
      <c r="J5920"/>
      <c r="L5920"/>
      <c r="M5920"/>
      <c r="N5920" s="20"/>
      <c r="O5920"/>
      <c r="P5920" s="20"/>
      <c r="Q5920" s="20"/>
      <c r="R5920" s="20" t="s">
        <v>401</v>
      </c>
      <c r="S5920" s="20"/>
      <c r="T5920" s="20"/>
    </row>
    <row r="5921" spans="1:21" x14ac:dyDescent="0.25">
      <c r="A5921" s="3">
        <v>42027</v>
      </c>
      <c r="B5921" s="36">
        <v>722</v>
      </c>
      <c r="C5921" t="s">
        <v>644</v>
      </c>
      <c r="D5921" s="55">
        <v>8.32</v>
      </c>
      <c r="E5921" s="18">
        <v>1664</v>
      </c>
      <c r="F5921" t="s">
        <v>889</v>
      </c>
      <c r="G5921" t="s">
        <v>645</v>
      </c>
      <c r="H5921" s="18">
        <v>1664</v>
      </c>
      <c r="I5921" s="3">
        <v>42027</v>
      </c>
      <c r="J5921"/>
      <c r="L5921"/>
      <c r="M5921"/>
      <c r="N5921" s="20"/>
      <c r="O5921"/>
      <c r="P5921" s="20"/>
      <c r="Q5921" s="20"/>
      <c r="R5921" s="20"/>
      <c r="S5921" s="20"/>
      <c r="T5921" s="20"/>
    </row>
    <row r="5922" spans="1:21" x14ac:dyDescent="0.25">
      <c r="A5922" s="3">
        <v>42027</v>
      </c>
      <c r="B5922" s="36">
        <v>722</v>
      </c>
      <c r="C5922" t="s">
        <v>460</v>
      </c>
      <c r="D5922" s="55">
        <v>3.38</v>
      </c>
      <c r="E5922" s="18">
        <v>419</v>
      </c>
      <c r="F5922" t="s">
        <v>889</v>
      </c>
      <c r="G5922" t="s">
        <v>461</v>
      </c>
      <c r="H5922" s="18">
        <v>419</v>
      </c>
      <c r="I5922" s="3">
        <v>42027</v>
      </c>
      <c r="J5922"/>
      <c r="L5922"/>
      <c r="M5922"/>
      <c r="N5922" s="20"/>
      <c r="O5922"/>
      <c r="P5922" s="20"/>
      <c r="Q5922" s="20"/>
      <c r="R5922" s="20"/>
      <c r="S5922" s="20"/>
      <c r="T5922" s="20"/>
    </row>
    <row r="5923" spans="1:21" x14ac:dyDescent="0.25">
      <c r="A5923" s="3">
        <v>42027</v>
      </c>
      <c r="B5923" s="36">
        <v>722</v>
      </c>
      <c r="C5923" t="s">
        <v>661</v>
      </c>
      <c r="D5923" s="55">
        <v>11.44</v>
      </c>
      <c r="E5923" s="18">
        <v>572</v>
      </c>
      <c r="F5923" t="s">
        <v>889</v>
      </c>
      <c r="G5923" t="s">
        <v>662</v>
      </c>
      <c r="H5923" s="18">
        <v>572</v>
      </c>
      <c r="I5923" s="3">
        <v>42027</v>
      </c>
      <c r="J5923"/>
      <c r="L5923"/>
      <c r="M5923"/>
      <c r="N5923" s="20"/>
      <c r="O5923"/>
      <c r="P5923" s="20"/>
      <c r="Q5923" s="20"/>
      <c r="R5923" s="20"/>
      <c r="S5923" s="20"/>
      <c r="T5923" s="20"/>
    </row>
    <row r="5924" spans="1:21" x14ac:dyDescent="0.25">
      <c r="A5924" s="3">
        <v>42027</v>
      </c>
      <c r="B5924" s="36">
        <v>722</v>
      </c>
      <c r="C5924" t="s">
        <v>663</v>
      </c>
      <c r="D5924" s="55">
        <v>11.96</v>
      </c>
      <c r="E5924" s="18">
        <v>598</v>
      </c>
      <c r="F5924" t="s">
        <v>889</v>
      </c>
      <c r="G5924" t="s">
        <v>664</v>
      </c>
      <c r="H5924" s="18">
        <v>598</v>
      </c>
      <c r="I5924" s="3">
        <v>42027</v>
      </c>
      <c r="J5924"/>
      <c r="L5924"/>
      <c r="M5924"/>
      <c r="N5924" s="20"/>
      <c r="O5924"/>
      <c r="P5924" s="20"/>
      <c r="Q5924" s="20"/>
      <c r="R5924" s="20"/>
      <c r="S5924" s="20"/>
      <c r="T5924" s="20"/>
    </row>
    <row r="5925" spans="1:21" x14ac:dyDescent="0.25">
      <c r="A5925" s="3">
        <v>42034</v>
      </c>
      <c r="B5925">
        <v>722</v>
      </c>
      <c r="C5925" t="s">
        <v>606</v>
      </c>
      <c r="D5925" s="19">
        <v>4.42</v>
      </c>
      <c r="E5925" s="18">
        <v>350</v>
      </c>
      <c r="F5925" s="23" t="s">
        <v>889</v>
      </c>
      <c r="G5925" t="s">
        <v>607</v>
      </c>
      <c r="H5925" s="18"/>
      <c r="J5925"/>
      <c r="L5925"/>
      <c r="M5925"/>
      <c r="N5925" s="20"/>
      <c r="O5925"/>
      <c r="P5925" s="20"/>
      <c r="Q5925" s="20"/>
      <c r="R5925" s="20"/>
      <c r="S5925" s="20"/>
      <c r="T5925" s="20"/>
    </row>
    <row r="5926" spans="1:21" x14ac:dyDescent="0.25">
      <c r="A5926" s="3">
        <v>42034</v>
      </c>
      <c r="B5926">
        <v>722</v>
      </c>
      <c r="C5926" t="s">
        <v>600</v>
      </c>
      <c r="D5926" s="19">
        <v>5.2</v>
      </c>
      <c r="E5926" s="18">
        <v>1456</v>
      </c>
      <c r="F5926" s="23" t="s">
        <v>889</v>
      </c>
      <c r="G5926" t="s">
        <v>601</v>
      </c>
      <c r="H5926" s="18"/>
      <c r="J5926"/>
      <c r="L5926"/>
      <c r="M5926"/>
      <c r="N5926" s="20"/>
      <c r="O5926"/>
      <c r="P5926" s="20"/>
      <c r="Q5926" s="20"/>
      <c r="R5926" s="20"/>
      <c r="S5926" s="20"/>
      <c r="T5926" s="20"/>
    </row>
    <row r="5927" spans="1:21" x14ac:dyDescent="0.25">
      <c r="A5927" s="3">
        <v>42034</v>
      </c>
      <c r="B5927">
        <v>722</v>
      </c>
      <c r="C5927" t="s">
        <v>604</v>
      </c>
      <c r="D5927" s="19">
        <v>6.76</v>
      </c>
      <c r="E5927" s="18">
        <v>688</v>
      </c>
      <c r="F5927" s="23" t="s">
        <v>889</v>
      </c>
      <c r="G5927" t="s">
        <v>605</v>
      </c>
      <c r="H5927" s="18"/>
      <c r="J5927"/>
      <c r="L5927"/>
      <c r="M5927"/>
      <c r="N5927" s="20"/>
      <c r="O5927"/>
      <c r="P5927" s="20"/>
      <c r="Q5927" s="20"/>
      <c r="R5927" s="20"/>
      <c r="S5927" s="20"/>
      <c r="T5927" s="20"/>
    </row>
    <row r="5928" spans="1:21" x14ac:dyDescent="0.25">
      <c r="A5928" s="3">
        <v>42041</v>
      </c>
      <c r="B5928">
        <v>722</v>
      </c>
      <c r="C5928" t="s">
        <v>557</v>
      </c>
      <c r="D5928">
        <v>8.84</v>
      </c>
      <c r="E5928" s="18">
        <v>416</v>
      </c>
      <c r="F5928" t="s">
        <v>889</v>
      </c>
      <c r="G5928" t="s">
        <v>558</v>
      </c>
      <c r="I5928"/>
      <c r="J5928"/>
      <c r="L5928"/>
      <c r="M5928"/>
      <c r="O5928"/>
      <c r="P5928" s="20"/>
      <c r="Q5928" s="20"/>
      <c r="R5928" s="20"/>
      <c r="S5928" s="20"/>
      <c r="T5928" s="20"/>
    </row>
    <row r="5929" spans="1:21" x14ac:dyDescent="0.25">
      <c r="A5929" s="3">
        <v>42041</v>
      </c>
      <c r="B5929">
        <v>722</v>
      </c>
      <c r="C5929" t="s">
        <v>460</v>
      </c>
      <c r="D5929">
        <v>3.38</v>
      </c>
      <c r="E5929" s="18">
        <v>257</v>
      </c>
      <c r="F5929" t="s">
        <v>889</v>
      </c>
      <c r="G5929" t="s">
        <v>461</v>
      </c>
      <c r="I5929"/>
      <c r="J5929"/>
      <c r="L5929"/>
      <c r="M5929"/>
      <c r="O5929"/>
      <c r="P5929" s="20"/>
      <c r="Q5929" s="20"/>
      <c r="R5929" s="20"/>
      <c r="S5929" s="20"/>
      <c r="T5929" s="20"/>
    </row>
    <row r="5930" spans="1:21" x14ac:dyDescent="0.25">
      <c r="B5930">
        <v>722</v>
      </c>
      <c r="C5930" t="s">
        <v>5940</v>
      </c>
      <c r="D5930">
        <v>2.8050000000000002</v>
      </c>
      <c r="E5930" s="18">
        <v>93.5</v>
      </c>
      <c r="F5930" t="s">
        <v>889</v>
      </c>
      <c r="G5930" t="s">
        <v>5941</v>
      </c>
      <c r="I5930"/>
      <c r="J5930"/>
      <c r="L5930"/>
      <c r="M5930"/>
      <c r="O5930"/>
      <c r="P5930" s="20"/>
      <c r="Q5930" s="20"/>
      <c r="R5930" s="20"/>
      <c r="S5930" s="20"/>
      <c r="T5930" s="20"/>
      <c r="U5930" t="s">
        <v>401</v>
      </c>
    </row>
    <row r="5931" spans="1:21" x14ac:dyDescent="0.25">
      <c r="B5931">
        <v>722</v>
      </c>
      <c r="C5931" t="s">
        <v>5936</v>
      </c>
      <c r="D5931">
        <v>4.08</v>
      </c>
      <c r="E5931" s="18">
        <v>-1484</v>
      </c>
      <c r="F5931" t="s">
        <v>889</v>
      </c>
      <c r="G5931" t="s">
        <v>5937</v>
      </c>
      <c r="I5931"/>
      <c r="J5931"/>
      <c r="L5931"/>
      <c r="M5931"/>
      <c r="O5931"/>
      <c r="P5931" s="20"/>
      <c r="Q5931" s="20"/>
      <c r="R5931" s="20"/>
      <c r="S5931" s="20"/>
      <c r="T5931" s="20"/>
      <c r="U5931" t="s">
        <v>401</v>
      </c>
    </row>
    <row r="5932" spans="1:21" x14ac:dyDescent="0.25">
      <c r="B5932">
        <v>722</v>
      </c>
      <c r="C5932" t="s">
        <v>5948</v>
      </c>
      <c r="E5932" s="18">
        <v>324</v>
      </c>
      <c r="F5932" t="s">
        <v>889</v>
      </c>
      <c r="G5932" t="s">
        <v>5945</v>
      </c>
      <c r="I5932"/>
      <c r="J5932"/>
      <c r="L5932"/>
      <c r="M5932"/>
      <c r="O5932"/>
      <c r="P5932" s="20"/>
      <c r="Q5932" s="20"/>
      <c r="R5932" s="20"/>
      <c r="S5932" s="20"/>
      <c r="T5932" s="20"/>
      <c r="U5932" t="s">
        <v>401</v>
      </c>
    </row>
    <row r="5933" spans="1:21" x14ac:dyDescent="0.25">
      <c r="A5933" s="3">
        <v>41957</v>
      </c>
      <c r="B5933" s="36">
        <v>725</v>
      </c>
      <c r="C5933" t="s">
        <v>5949</v>
      </c>
      <c r="E5933" s="18">
        <v>500</v>
      </c>
      <c r="F5933" t="s">
        <v>889</v>
      </c>
      <c r="G5933" t="s">
        <v>442</v>
      </c>
      <c r="H5933" s="18" t="s">
        <v>442</v>
      </c>
      <c r="I5933" s="3" t="s">
        <v>442</v>
      </c>
      <c r="J5933"/>
      <c r="L5933"/>
      <c r="M5933"/>
      <c r="N5933" s="20"/>
      <c r="O5933"/>
      <c r="P5933" s="20"/>
      <c r="Q5933" s="20"/>
      <c r="R5933" s="20"/>
      <c r="S5933" s="20"/>
      <c r="T5933" s="20" t="s">
        <v>401</v>
      </c>
    </row>
    <row r="5934" spans="1:21" x14ac:dyDescent="0.25">
      <c r="A5934" s="3">
        <v>41968</v>
      </c>
      <c r="B5934" s="36">
        <v>725</v>
      </c>
      <c r="C5934" t="s">
        <v>5950</v>
      </c>
      <c r="E5934" s="18">
        <v>1000</v>
      </c>
      <c r="F5934" t="s">
        <v>889</v>
      </c>
      <c r="G5934" t="s">
        <v>442</v>
      </c>
      <c r="H5934" s="18" t="s">
        <v>442</v>
      </c>
      <c r="I5934" s="3" t="s">
        <v>442</v>
      </c>
      <c r="J5934"/>
      <c r="L5934"/>
      <c r="M5934"/>
      <c r="N5934" s="20"/>
      <c r="O5934"/>
      <c r="P5934" s="20"/>
      <c r="Q5934" s="20"/>
      <c r="R5934" s="20"/>
      <c r="S5934" s="20"/>
      <c r="T5934" s="20" t="s">
        <v>401</v>
      </c>
    </row>
    <row r="5935" spans="1:21" x14ac:dyDescent="0.25">
      <c r="A5935" s="3">
        <v>41978</v>
      </c>
      <c r="B5935" s="36">
        <v>725</v>
      </c>
      <c r="C5935" t="s">
        <v>5767</v>
      </c>
      <c r="E5935" s="18">
        <v>500</v>
      </c>
      <c r="F5935" t="s">
        <v>889</v>
      </c>
      <c r="G5935" t="s">
        <v>442</v>
      </c>
      <c r="H5935" s="18" t="s">
        <v>442</v>
      </c>
      <c r="I5935" s="3" t="s">
        <v>442</v>
      </c>
      <c r="J5935"/>
      <c r="L5935"/>
      <c r="M5935"/>
      <c r="N5935" s="20"/>
      <c r="O5935"/>
      <c r="P5935" s="20"/>
      <c r="Q5935" s="20"/>
      <c r="R5935" s="20"/>
      <c r="S5935" s="20"/>
      <c r="T5935" s="20" t="s">
        <v>401</v>
      </c>
    </row>
    <row r="5936" spans="1:21" x14ac:dyDescent="0.25">
      <c r="A5936" s="3">
        <v>41985</v>
      </c>
      <c r="B5936" s="36">
        <v>725</v>
      </c>
      <c r="C5936" t="s">
        <v>5951</v>
      </c>
      <c r="D5936">
        <v>2</v>
      </c>
      <c r="E5936" s="18">
        <v>1250</v>
      </c>
      <c r="F5936" t="s">
        <v>889</v>
      </c>
      <c r="G5936" t="s">
        <v>442</v>
      </c>
      <c r="H5936" s="18" t="s">
        <v>442</v>
      </c>
      <c r="I5936" s="3" t="s">
        <v>442</v>
      </c>
      <c r="J5936"/>
      <c r="L5936"/>
      <c r="M5936"/>
      <c r="N5936" s="20"/>
      <c r="O5936"/>
      <c r="P5936" s="20"/>
      <c r="Q5936" s="20"/>
      <c r="R5936" s="20"/>
      <c r="S5936" s="20"/>
      <c r="T5936" s="20" t="s">
        <v>401</v>
      </c>
    </row>
    <row r="5937" spans="1:21" x14ac:dyDescent="0.25">
      <c r="A5937" s="3">
        <v>41999</v>
      </c>
      <c r="B5937" s="36">
        <v>725</v>
      </c>
      <c r="C5937" t="s">
        <v>5952</v>
      </c>
      <c r="E5937" s="18">
        <v>250</v>
      </c>
      <c r="F5937" t="s">
        <v>889</v>
      </c>
      <c r="G5937" t="s">
        <v>442</v>
      </c>
      <c r="H5937" s="18" t="s">
        <v>442</v>
      </c>
      <c r="I5937" s="3" t="s">
        <v>442</v>
      </c>
      <c r="J5937"/>
      <c r="L5937"/>
      <c r="M5937"/>
      <c r="N5937" s="20"/>
      <c r="O5937"/>
      <c r="P5937" s="20"/>
      <c r="Q5937" s="20"/>
      <c r="R5937" s="20"/>
      <c r="S5937" s="20"/>
      <c r="T5937" s="20" t="s">
        <v>401</v>
      </c>
    </row>
    <row r="5938" spans="1:21" x14ac:dyDescent="0.25">
      <c r="B5938">
        <v>725</v>
      </c>
      <c r="C5938" t="s">
        <v>5950</v>
      </c>
      <c r="E5938" s="18">
        <v>-1000</v>
      </c>
      <c r="F5938" t="s">
        <v>889</v>
      </c>
      <c r="G5938" t="s">
        <v>442</v>
      </c>
      <c r="I5938"/>
      <c r="J5938"/>
      <c r="L5938"/>
      <c r="M5938"/>
      <c r="O5938"/>
      <c r="P5938" s="20"/>
      <c r="Q5938" s="20"/>
      <c r="R5938" s="20"/>
      <c r="S5938" s="20"/>
      <c r="T5938" s="20"/>
      <c r="U5938" t="s">
        <v>401</v>
      </c>
    </row>
    <row r="5939" spans="1:21" x14ac:dyDescent="0.25">
      <c r="B5939">
        <v>725</v>
      </c>
      <c r="C5939" t="s">
        <v>5949</v>
      </c>
      <c r="E5939" s="18">
        <v>-500</v>
      </c>
      <c r="F5939" t="s">
        <v>889</v>
      </c>
      <c r="G5939" t="s">
        <v>442</v>
      </c>
      <c r="I5939"/>
      <c r="J5939"/>
      <c r="L5939"/>
      <c r="M5939"/>
      <c r="O5939"/>
      <c r="P5939" s="20"/>
      <c r="Q5939" s="20"/>
      <c r="R5939" s="20"/>
      <c r="S5939" s="20"/>
      <c r="T5939" s="20"/>
      <c r="U5939" t="s">
        <v>401</v>
      </c>
    </row>
    <row r="5940" spans="1:21" x14ac:dyDescent="0.25">
      <c r="B5940">
        <v>725</v>
      </c>
      <c r="C5940" t="s">
        <v>5952</v>
      </c>
      <c r="E5940" s="18">
        <v>-250</v>
      </c>
      <c r="F5940" t="s">
        <v>889</v>
      </c>
      <c r="G5940" t="s">
        <v>442</v>
      </c>
      <c r="I5940"/>
      <c r="J5940"/>
      <c r="L5940"/>
      <c r="M5940"/>
      <c r="O5940"/>
      <c r="P5940" s="20"/>
      <c r="Q5940" s="20"/>
      <c r="R5940" s="20"/>
      <c r="S5940" s="20"/>
      <c r="T5940" s="20"/>
      <c r="U5940" t="s">
        <v>401</v>
      </c>
    </row>
    <row r="5941" spans="1:21" x14ac:dyDescent="0.25">
      <c r="B5941">
        <v>725</v>
      </c>
      <c r="C5941" t="s">
        <v>5767</v>
      </c>
      <c r="E5941" s="18">
        <v>-500</v>
      </c>
      <c r="F5941" t="s">
        <v>889</v>
      </c>
      <c r="G5941" t="s">
        <v>442</v>
      </c>
      <c r="I5941"/>
      <c r="J5941"/>
      <c r="L5941"/>
      <c r="M5941"/>
      <c r="O5941"/>
      <c r="P5941" s="20"/>
      <c r="Q5941" s="20"/>
      <c r="R5941" s="20"/>
      <c r="S5941" s="20"/>
      <c r="T5941" s="20"/>
      <c r="U5941" t="s">
        <v>401</v>
      </c>
    </row>
    <row r="5942" spans="1:21" x14ac:dyDescent="0.25">
      <c r="B5942">
        <v>725</v>
      </c>
      <c r="C5942" t="s">
        <v>5951</v>
      </c>
      <c r="D5942">
        <v>2</v>
      </c>
      <c r="E5942" s="18">
        <v>-1250</v>
      </c>
      <c r="F5942" t="s">
        <v>889</v>
      </c>
      <c r="G5942" t="s">
        <v>442</v>
      </c>
      <c r="I5942"/>
      <c r="J5942"/>
      <c r="L5942"/>
      <c r="M5942"/>
      <c r="O5942"/>
      <c r="P5942" s="20"/>
      <c r="Q5942" s="20"/>
      <c r="R5942" s="20"/>
      <c r="S5942" s="20"/>
      <c r="T5942" s="20"/>
      <c r="U5942" t="s">
        <v>401</v>
      </c>
    </row>
    <row r="5943" spans="1:21" x14ac:dyDescent="0.25">
      <c r="A5943" s="3">
        <v>41950</v>
      </c>
      <c r="B5943" s="36">
        <v>726</v>
      </c>
      <c r="C5943" t="s">
        <v>5953</v>
      </c>
      <c r="D5943">
        <v>5.61</v>
      </c>
      <c r="E5943" s="18">
        <v>561</v>
      </c>
      <c r="F5943" t="s">
        <v>889</v>
      </c>
      <c r="G5943" t="s">
        <v>5954</v>
      </c>
      <c r="H5943" s="18">
        <v>561</v>
      </c>
      <c r="I5943" s="3">
        <v>41950</v>
      </c>
      <c r="J5943"/>
      <c r="L5943"/>
      <c r="M5943"/>
      <c r="N5943" s="20"/>
      <c r="O5943"/>
      <c r="P5943" s="20"/>
      <c r="Q5943" s="20"/>
      <c r="R5943" s="20"/>
      <c r="S5943" s="20"/>
      <c r="T5943" s="20"/>
    </row>
    <row r="5944" spans="1:21" x14ac:dyDescent="0.25">
      <c r="A5944" s="3">
        <v>41957</v>
      </c>
      <c r="B5944" s="36">
        <v>726</v>
      </c>
      <c r="C5944" t="s">
        <v>5955</v>
      </c>
      <c r="D5944">
        <v>3.8250000000000002</v>
      </c>
      <c r="E5944" s="18">
        <v>382.5</v>
      </c>
      <c r="F5944" t="s">
        <v>889</v>
      </c>
      <c r="G5944" t="s">
        <v>5956</v>
      </c>
      <c r="H5944" s="18">
        <v>382.5</v>
      </c>
      <c r="I5944" s="3">
        <v>41957</v>
      </c>
      <c r="J5944"/>
      <c r="L5944"/>
      <c r="M5944"/>
      <c r="N5944" s="20"/>
      <c r="O5944"/>
      <c r="P5944" s="20"/>
      <c r="Q5944" s="20"/>
      <c r="R5944" s="20"/>
      <c r="S5944" s="20"/>
      <c r="T5944" s="20"/>
    </row>
    <row r="5945" spans="1:21" x14ac:dyDescent="0.25">
      <c r="A5945" s="57">
        <v>41957</v>
      </c>
      <c r="B5945" s="42">
        <v>726</v>
      </c>
      <c r="C5945" s="45" t="s">
        <v>5957</v>
      </c>
      <c r="D5945" s="45">
        <v>7.9050000000000002</v>
      </c>
      <c r="E5945" s="58">
        <v>790.5</v>
      </c>
      <c r="F5945" s="45" t="s">
        <v>889</v>
      </c>
      <c r="G5945" s="45" t="s">
        <v>1514</v>
      </c>
      <c r="H5945" s="18">
        <v>790.5</v>
      </c>
      <c r="I5945" s="3">
        <v>41957</v>
      </c>
      <c r="J5945" s="45"/>
      <c r="K5945" s="45"/>
      <c r="L5945" s="45"/>
      <c r="M5945" s="45"/>
      <c r="N5945" s="45"/>
      <c r="O5945" s="45"/>
      <c r="P5945" s="20"/>
      <c r="Q5945" s="20"/>
      <c r="R5945" s="20"/>
      <c r="S5945" s="20"/>
      <c r="T5945" s="20"/>
    </row>
    <row r="5946" spans="1:21" x14ac:dyDescent="0.25">
      <c r="A5946" s="57">
        <v>41957</v>
      </c>
      <c r="B5946" s="42">
        <v>726</v>
      </c>
      <c r="C5946" s="45" t="s">
        <v>1516</v>
      </c>
      <c r="D5946" s="45">
        <v>3.57</v>
      </c>
      <c r="E5946" s="58">
        <v>357</v>
      </c>
      <c r="F5946" s="45" t="s">
        <v>889</v>
      </c>
      <c r="G5946" s="45" t="s">
        <v>1517</v>
      </c>
      <c r="H5946" s="18">
        <v>357</v>
      </c>
      <c r="I5946" s="3">
        <v>41957</v>
      </c>
      <c r="J5946" s="45"/>
      <c r="K5946" s="45"/>
      <c r="L5946" s="45"/>
      <c r="M5946" s="45"/>
      <c r="N5946" s="45"/>
      <c r="O5946" s="45"/>
      <c r="P5946" s="20"/>
      <c r="Q5946" s="20"/>
      <c r="R5946" s="20"/>
      <c r="S5946" s="20"/>
      <c r="T5946" s="20"/>
    </row>
    <row r="5947" spans="1:21" x14ac:dyDescent="0.25">
      <c r="A5947" s="3">
        <v>41957</v>
      </c>
      <c r="B5947" s="36">
        <v>726</v>
      </c>
      <c r="C5947" t="s">
        <v>5958</v>
      </c>
      <c r="D5947">
        <v>6.12</v>
      </c>
      <c r="E5947" s="18">
        <v>612</v>
      </c>
      <c r="F5947" t="s">
        <v>889</v>
      </c>
      <c r="G5947" t="s">
        <v>5959</v>
      </c>
      <c r="H5947" s="18">
        <v>612</v>
      </c>
      <c r="I5947" s="3">
        <v>41957</v>
      </c>
      <c r="J5947"/>
      <c r="L5947"/>
      <c r="M5947"/>
      <c r="N5947" s="20"/>
      <c r="O5947"/>
      <c r="P5947" s="20"/>
      <c r="Q5947" s="20"/>
      <c r="R5947" s="20"/>
      <c r="S5947" s="20"/>
      <c r="T5947" s="20"/>
    </row>
    <row r="5948" spans="1:21" x14ac:dyDescent="0.25">
      <c r="A5948" s="3">
        <v>41964</v>
      </c>
      <c r="B5948" s="36">
        <v>726</v>
      </c>
      <c r="C5948" t="s">
        <v>5960</v>
      </c>
      <c r="D5948">
        <v>6.63</v>
      </c>
      <c r="E5948" s="18">
        <v>663</v>
      </c>
      <c r="F5948" t="s">
        <v>889</v>
      </c>
      <c r="G5948" t="s">
        <v>5961</v>
      </c>
      <c r="H5948" s="18">
        <v>663</v>
      </c>
      <c r="I5948" s="3">
        <v>41964</v>
      </c>
      <c r="J5948"/>
      <c r="L5948"/>
      <c r="M5948"/>
      <c r="N5948" s="20"/>
      <c r="O5948"/>
      <c r="P5948" s="20"/>
      <c r="Q5948" s="20"/>
      <c r="R5948" s="20"/>
      <c r="S5948" s="20"/>
      <c r="T5948" s="20"/>
    </row>
    <row r="5949" spans="1:21" x14ac:dyDescent="0.25">
      <c r="A5949" s="3">
        <v>41964</v>
      </c>
      <c r="B5949" s="36">
        <v>726</v>
      </c>
      <c r="C5949" t="s">
        <v>5953</v>
      </c>
      <c r="D5949">
        <v>5.61</v>
      </c>
      <c r="E5949" s="18">
        <v>561</v>
      </c>
      <c r="F5949" t="s">
        <v>889</v>
      </c>
      <c r="G5949" t="s">
        <v>5954</v>
      </c>
      <c r="H5949" s="18">
        <v>561</v>
      </c>
      <c r="I5949" s="3">
        <v>41964</v>
      </c>
      <c r="J5949"/>
      <c r="L5949"/>
      <c r="M5949"/>
      <c r="N5949" s="20"/>
      <c r="O5949"/>
      <c r="P5949" s="20"/>
      <c r="Q5949" s="20"/>
      <c r="R5949" s="20"/>
      <c r="S5949" s="20"/>
      <c r="T5949" s="20"/>
    </row>
    <row r="5950" spans="1:21" x14ac:dyDescent="0.25">
      <c r="A5950" s="3">
        <v>41964</v>
      </c>
      <c r="B5950" s="36">
        <v>726</v>
      </c>
      <c r="C5950" t="s">
        <v>5962</v>
      </c>
      <c r="D5950">
        <v>5.3550000000000004</v>
      </c>
      <c r="E5950" s="18">
        <v>535.5</v>
      </c>
      <c r="F5950" t="s">
        <v>889</v>
      </c>
      <c r="G5950" t="s">
        <v>5963</v>
      </c>
      <c r="H5950" s="18">
        <v>535.5</v>
      </c>
      <c r="I5950" s="3">
        <v>41964</v>
      </c>
      <c r="J5950"/>
      <c r="L5950"/>
      <c r="M5950"/>
      <c r="N5950" s="20"/>
      <c r="O5950"/>
      <c r="P5950" s="20"/>
      <c r="Q5950" s="20"/>
      <c r="R5950" s="20"/>
      <c r="S5950" s="20"/>
      <c r="T5950" s="20"/>
    </row>
    <row r="5951" spans="1:21" x14ac:dyDescent="0.25">
      <c r="A5951" s="3">
        <v>41978</v>
      </c>
      <c r="B5951" s="36">
        <v>726</v>
      </c>
      <c r="C5951" t="s">
        <v>5964</v>
      </c>
      <c r="D5951">
        <v>3</v>
      </c>
      <c r="E5951" s="18">
        <v>300</v>
      </c>
      <c r="F5951" t="s">
        <v>889</v>
      </c>
      <c r="G5951" t="s">
        <v>5965</v>
      </c>
      <c r="H5951" s="18">
        <v>300</v>
      </c>
      <c r="I5951" s="3">
        <v>41978</v>
      </c>
      <c r="J5951"/>
      <c r="L5951"/>
      <c r="M5951"/>
      <c r="N5951" s="20"/>
      <c r="O5951"/>
      <c r="P5951" s="20"/>
      <c r="Q5951" s="20"/>
      <c r="R5951" s="20"/>
      <c r="S5951" s="20"/>
      <c r="T5951" s="20"/>
    </row>
    <row r="5952" spans="1:21" x14ac:dyDescent="0.25">
      <c r="A5952" s="3">
        <v>41985</v>
      </c>
      <c r="B5952" s="36">
        <v>726</v>
      </c>
      <c r="C5952" t="s">
        <v>5966</v>
      </c>
      <c r="D5952">
        <v>5</v>
      </c>
      <c r="E5952" s="18">
        <v>500</v>
      </c>
      <c r="F5952" t="s">
        <v>889</v>
      </c>
      <c r="G5952" t="s">
        <v>5967</v>
      </c>
      <c r="H5952" s="18">
        <v>500</v>
      </c>
      <c r="I5952" s="3">
        <v>41985</v>
      </c>
      <c r="J5952"/>
      <c r="L5952"/>
      <c r="M5952"/>
      <c r="N5952" s="20"/>
      <c r="O5952"/>
      <c r="P5952" s="20"/>
      <c r="Q5952" s="20"/>
      <c r="R5952" s="20"/>
      <c r="S5952" s="20"/>
      <c r="T5952" s="20"/>
    </row>
    <row r="5953" spans="1:21" x14ac:dyDescent="0.25">
      <c r="A5953" s="3">
        <v>41985</v>
      </c>
      <c r="B5953" s="36">
        <v>726</v>
      </c>
      <c r="C5953" t="s">
        <v>5968</v>
      </c>
      <c r="D5953">
        <v>5.0999999999999996</v>
      </c>
      <c r="E5953" s="18">
        <v>509.99999999999994</v>
      </c>
      <c r="F5953" t="s">
        <v>889</v>
      </c>
      <c r="G5953" t="s">
        <v>5969</v>
      </c>
      <c r="H5953" s="18">
        <v>509.99999999999994</v>
      </c>
      <c r="I5953" s="3">
        <v>41985</v>
      </c>
      <c r="J5953"/>
      <c r="L5953"/>
      <c r="M5953"/>
      <c r="N5953" s="20"/>
      <c r="O5953"/>
      <c r="P5953" s="20"/>
      <c r="Q5953" s="20"/>
      <c r="R5953" s="20"/>
      <c r="S5953" s="20"/>
      <c r="T5953" s="20"/>
    </row>
    <row r="5954" spans="1:21" x14ac:dyDescent="0.25">
      <c r="A5954" s="3">
        <v>42027</v>
      </c>
      <c r="B5954" s="36">
        <v>726</v>
      </c>
      <c r="C5954" t="s">
        <v>650</v>
      </c>
      <c r="D5954" s="55">
        <v>2.8050000000000002</v>
      </c>
      <c r="E5954" s="18">
        <v>140.25</v>
      </c>
      <c r="F5954" t="s">
        <v>889</v>
      </c>
      <c r="G5954" t="s">
        <v>651</v>
      </c>
      <c r="H5954" s="18">
        <v>140.25</v>
      </c>
      <c r="I5954" s="3" t="s">
        <v>887</v>
      </c>
      <c r="J5954"/>
      <c r="L5954"/>
      <c r="M5954"/>
      <c r="N5954" s="20"/>
      <c r="O5954"/>
      <c r="P5954" s="20"/>
      <c r="Q5954" s="20"/>
      <c r="R5954" s="20"/>
      <c r="S5954" s="20"/>
      <c r="T5954" s="20"/>
    </row>
    <row r="5955" spans="1:21" x14ac:dyDescent="0.25">
      <c r="A5955" s="3">
        <v>42034</v>
      </c>
      <c r="B5955">
        <v>726</v>
      </c>
      <c r="C5955" t="s">
        <v>5960</v>
      </c>
      <c r="D5955">
        <v>6.63</v>
      </c>
      <c r="E5955" s="18">
        <v>663</v>
      </c>
      <c r="F5955" t="s">
        <v>889</v>
      </c>
      <c r="G5955" t="s">
        <v>5961</v>
      </c>
      <c r="H5955" s="18"/>
      <c r="J5955"/>
      <c r="L5955"/>
      <c r="M5955"/>
      <c r="N5955" s="20"/>
      <c r="O5955"/>
      <c r="P5955" s="20"/>
      <c r="Q5955" s="20"/>
      <c r="R5955" s="20"/>
      <c r="S5955" s="20"/>
      <c r="T5955" s="20"/>
    </row>
    <row r="5956" spans="1:21" x14ac:dyDescent="0.25">
      <c r="A5956" s="3">
        <v>42034</v>
      </c>
      <c r="B5956">
        <v>726</v>
      </c>
      <c r="C5956" t="s">
        <v>404</v>
      </c>
      <c r="D5956" s="19">
        <v>5.3550000000000004</v>
      </c>
      <c r="E5956" s="18">
        <v>267.75</v>
      </c>
      <c r="F5956" s="23" t="s">
        <v>889</v>
      </c>
      <c r="G5956" t="s">
        <v>405</v>
      </c>
      <c r="H5956" s="18"/>
      <c r="J5956"/>
      <c r="L5956"/>
      <c r="M5956"/>
      <c r="N5956" s="20"/>
      <c r="O5956"/>
      <c r="P5956" s="20"/>
      <c r="Q5956" s="20"/>
      <c r="R5956" s="20"/>
      <c r="S5956" s="20"/>
      <c r="T5956" s="20"/>
    </row>
    <row r="5957" spans="1:21" x14ac:dyDescent="0.25">
      <c r="A5957" s="3">
        <v>42041</v>
      </c>
      <c r="B5957">
        <v>726</v>
      </c>
      <c r="C5957" t="s">
        <v>540</v>
      </c>
      <c r="D5957">
        <v>3.3149999999999999</v>
      </c>
      <c r="E5957" s="18">
        <v>165.75</v>
      </c>
      <c r="F5957" t="s">
        <v>889</v>
      </c>
      <c r="G5957" t="s">
        <v>541</v>
      </c>
      <c r="I5957"/>
      <c r="J5957"/>
      <c r="L5957"/>
      <c r="M5957"/>
      <c r="O5957"/>
      <c r="P5957" s="20"/>
      <c r="Q5957" s="20"/>
      <c r="R5957" s="20"/>
      <c r="S5957" s="20"/>
      <c r="T5957" s="20"/>
    </row>
    <row r="5958" spans="1:21" x14ac:dyDescent="0.25">
      <c r="B5958">
        <v>726</v>
      </c>
      <c r="C5958" t="s">
        <v>5960</v>
      </c>
      <c r="D5958">
        <v>6.63</v>
      </c>
      <c r="E5958" s="18">
        <v>-663</v>
      </c>
      <c r="F5958" t="s">
        <v>889</v>
      </c>
      <c r="G5958" t="s">
        <v>5961</v>
      </c>
      <c r="I5958"/>
      <c r="J5958"/>
      <c r="L5958"/>
      <c r="M5958"/>
      <c r="O5958"/>
      <c r="P5958" s="20"/>
      <c r="Q5958" s="20"/>
      <c r="R5958" s="20"/>
      <c r="S5958" s="20"/>
      <c r="T5958" s="20"/>
      <c r="U5958" t="s">
        <v>401</v>
      </c>
    </row>
    <row r="5959" spans="1:21" x14ac:dyDescent="0.25">
      <c r="B5959">
        <v>726</v>
      </c>
      <c r="C5959" t="s">
        <v>5966</v>
      </c>
      <c r="D5959">
        <v>5</v>
      </c>
      <c r="E5959" s="18">
        <v>-500</v>
      </c>
      <c r="F5959" t="s">
        <v>889</v>
      </c>
      <c r="G5959" t="s">
        <v>5967</v>
      </c>
      <c r="I5959"/>
      <c r="J5959"/>
      <c r="L5959"/>
      <c r="M5959"/>
      <c r="O5959"/>
      <c r="P5959" s="20"/>
      <c r="Q5959" s="20"/>
      <c r="R5959" s="20"/>
      <c r="S5959" s="20"/>
      <c r="T5959" s="20"/>
      <c r="U5959" t="s">
        <v>401</v>
      </c>
    </row>
    <row r="5960" spans="1:21" x14ac:dyDescent="0.25">
      <c r="B5960">
        <v>726</v>
      </c>
      <c r="C5960" t="s">
        <v>1314</v>
      </c>
      <c r="E5960" s="18">
        <v>-50</v>
      </c>
      <c r="G5960" t="s">
        <v>442</v>
      </c>
      <c r="I5960"/>
      <c r="J5960"/>
      <c r="L5960"/>
      <c r="M5960"/>
      <c r="O5960"/>
      <c r="P5960" s="20"/>
      <c r="Q5960" s="20"/>
      <c r="R5960" s="20"/>
      <c r="S5960" s="20"/>
      <c r="T5960" s="20"/>
      <c r="U5960" t="s">
        <v>401</v>
      </c>
    </row>
    <row r="5961" spans="1:21" x14ac:dyDescent="0.25">
      <c r="A5961" s="3">
        <v>41957</v>
      </c>
      <c r="B5961" s="36">
        <v>728</v>
      </c>
      <c r="C5961" t="s">
        <v>5970</v>
      </c>
      <c r="D5961">
        <v>11.22</v>
      </c>
      <c r="E5961" s="18">
        <v>1122</v>
      </c>
      <c r="F5961" t="s">
        <v>889</v>
      </c>
      <c r="G5961" t="s">
        <v>5971</v>
      </c>
      <c r="H5961" s="18">
        <v>1122</v>
      </c>
      <c r="I5961" s="3">
        <v>41957</v>
      </c>
      <c r="J5961"/>
      <c r="L5961"/>
      <c r="M5961"/>
      <c r="N5961" s="20"/>
      <c r="O5961"/>
      <c r="P5961" s="20"/>
      <c r="Q5961" s="20"/>
      <c r="R5961" s="20"/>
      <c r="S5961" s="20"/>
      <c r="T5961" s="20"/>
    </row>
    <row r="5962" spans="1:21" x14ac:dyDescent="0.25">
      <c r="A5962" s="3">
        <v>41968</v>
      </c>
      <c r="B5962" s="36">
        <v>730</v>
      </c>
      <c r="C5962" t="s">
        <v>5972</v>
      </c>
      <c r="D5962">
        <v>6.8849999999999998</v>
      </c>
      <c r="E5962" s="18">
        <v>688.5</v>
      </c>
      <c r="F5962" t="s">
        <v>889</v>
      </c>
      <c r="G5962" t="s">
        <v>5973</v>
      </c>
      <c r="H5962" s="18">
        <v>688.5</v>
      </c>
      <c r="I5962" s="3">
        <v>41968</v>
      </c>
      <c r="J5962"/>
      <c r="L5962"/>
      <c r="M5962"/>
      <c r="N5962" s="20"/>
      <c r="O5962"/>
      <c r="P5962" s="20"/>
      <c r="Q5962" s="20"/>
      <c r="R5962" s="20"/>
      <c r="S5962" s="20"/>
      <c r="T5962" s="20"/>
    </row>
    <row r="5963" spans="1:21" x14ac:dyDescent="0.25">
      <c r="A5963" s="3">
        <v>41964</v>
      </c>
      <c r="B5963" s="36">
        <v>735</v>
      </c>
      <c r="C5963" t="s">
        <v>5749</v>
      </c>
      <c r="E5963" s="18">
        <v>500</v>
      </c>
      <c r="F5963" t="s">
        <v>889</v>
      </c>
      <c r="G5963" t="s">
        <v>442</v>
      </c>
      <c r="H5963" s="18" t="s">
        <v>442</v>
      </c>
      <c r="I5963" s="3" t="s">
        <v>442</v>
      </c>
      <c r="J5963"/>
      <c r="L5963"/>
      <c r="M5963"/>
      <c r="N5963" s="20"/>
      <c r="O5963"/>
      <c r="P5963" s="20"/>
      <c r="Q5963" s="20"/>
      <c r="R5963" s="20"/>
      <c r="S5963" s="20"/>
      <c r="T5963" s="20" t="s">
        <v>401</v>
      </c>
    </row>
    <row r="5964" spans="1:21" x14ac:dyDescent="0.25">
      <c r="A5964" s="3">
        <v>41964</v>
      </c>
      <c r="B5964" s="36">
        <v>735</v>
      </c>
      <c r="C5964" t="s">
        <v>5974</v>
      </c>
      <c r="D5964">
        <v>4.59</v>
      </c>
      <c r="E5964" s="18">
        <v>459</v>
      </c>
      <c r="F5964" t="s">
        <v>889</v>
      </c>
      <c r="G5964" t="s">
        <v>5975</v>
      </c>
      <c r="H5964" s="18">
        <v>459</v>
      </c>
      <c r="I5964" s="3">
        <v>41964</v>
      </c>
      <c r="J5964"/>
      <c r="L5964"/>
      <c r="M5964"/>
      <c r="N5964" s="20"/>
      <c r="O5964"/>
      <c r="P5964" s="20"/>
      <c r="Q5964" s="20"/>
      <c r="R5964" s="20"/>
      <c r="S5964" s="20"/>
      <c r="T5964" s="20"/>
    </row>
    <row r="5965" spans="1:21" x14ac:dyDescent="0.25">
      <c r="A5965" s="3">
        <v>42019</v>
      </c>
      <c r="B5965" s="36">
        <v>735</v>
      </c>
      <c r="C5965" t="s">
        <v>820</v>
      </c>
      <c r="D5965" s="55">
        <v>4.59</v>
      </c>
      <c r="E5965" s="18">
        <v>229.5</v>
      </c>
      <c r="F5965" t="s">
        <v>889</v>
      </c>
      <c r="G5965" t="s">
        <v>821</v>
      </c>
      <c r="H5965" s="18">
        <v>229.5</v>
      </c>
      <c r="I5965" s="3">
        <v>42019</v>
      </c>
      <c r="J5965"/>
      <c r="L5965"/>
      <c r="M5965"/>
      <c r="N5965" s="20"/>
      <c r="O5965"/>
      <c r="P5965" s="20"/>
      <c r="Q5965" s="20"/>
      <c r="R5965" s="20"/>
      <c r="S5965" s="20"/>
      <c r="T5965" s="20"/>
    </row>
    <row r="5966" spans="1:21" x14ac:dyDescent="0.25">
      <c r="A5966" s="3">
        <v>42019</v>
      </c>
      <c r="B5966" s="36">
        <v>735</v>
      </c>
      <c r="C5966" t="s">
        <v>478</v>
      </c>
      <c r="D5966" s="55">
        <v>6.375</v>
      </c>
      <c r="E5966" s="18">
        <v>318.75</v>
      </c>
      <c r="F5966" t="s">
        <v>889</v>
      </c>
      <c r="G5966" t="s">
        <v>479</v>
      </c>
      <c r="H5966" s="18">
        <v>318.75</v>
      </c>
      <c r="I5966" s="3">
        <v>42019</v>
      </c>
      <c r="J5966"/>
      <c r="L5966"/>
      <c r="M5966"/>
      <c r="N5966" s="20"/>
      <c r="O5966"/>
      <c r="P5966" s="20"/>
      <c r="Q5966" s="20"/>
      <c r="R5966" s="20"/>
      <c r="S5966" s="20"/>
      <c r="T5966" s="20"/>
    </row>
    <row r="5967" spans="1:21" x14ac:dyDescent="0.25">
      <c r="B5967">
        <v>735</v>
      </c>
      <c r="C5967" t="s">
        <v>5749</v>
      </c>
      <c r="E5967" s="18">
        <v>-500</v>
      </c>
      <c r="G5967" t="s">
        <v>442</v>
      </c>
      <c r="I5967"/>
      <c r="J5967"/>
      <c r="L5967"/>
      <c r="M5967"/>
      <c r="O5967"/>
      <c r="P5967" s="20"/>
      <c r="Q5967" s="20"/>
      <c r="R5967" s="20"/>
      <c r="S5967" s="20"/>
      <c r="T5967" s="20"/>
      <c r="U5967" t="s">
        <v>401</v>
      </c>
    </row>
    <row r="5968" spans="1:21" x14ac:dyDescent="0.25">
      <c r="B5968">
        <v>735</v>
      </c>
      <c r="C5968" t="s">
        <v>5974</v>
      </c>
      <c r="D5968">
        <v>4.59</v>
      </c>
      <c r="E5968" s="18">
        <v>153</v>
      </c>
      <c r="F5968" t="s">
        <v>889</v>
      </c>
      <c r="G5968" t="s">
        <v>5975</v>
      </c>
      <c r="I5968"/>
      <c r="J5968"/>
      <c r="L5968"/>
      <c r="M5968"/>
      <c r="O5968"/>
      <c r="P5968" s="20"/>
      <c r="Q5968" s="20"/>
      <c r="R5968" s="20"/>
      <c r="S5968" s="20"/>
      <c r="T5968" s="20"/>
      <c r="U5968" t="s">
        <v>401</v>
      </c>
    </row>
    <row r="5969" spans="1:21" x14ac:dyDescent="0.25">
      <c r="B5969">
        <v>735</v>
      </c>
      <c r="C5969" t="s">
        <v>5974</v>
      </c>
      <c r="D5969">
        <v>4.59</v>
      </c>
      <c r="E5969" s="18">
        <v>153</v>
      </c>
      <c r="F5969" t="s">
        <v>889</v>
      </c>
      <c r="G5969" t="s">
        <v>5975</v>
      </c>
      <c r="I5969"/>
      <c r="J5969"/>
      <c r="L5969"/>
      <c r="M5969"/>
      <c r="O5969"/>
      <c r="P5969" s="20"/>
      <c r="Q5969" s="20"/>
      <c r="R5969" s="20"/>
      <c r="S5969" s="20"/>
      <c r="T5969" s="20"/>
      <c r="U5969" t="s">
        <v>401</v>
      </c>
    </row>
    <row r="5970" spans="1:21" x14ac:dyDescent="0.25">
      <c r="A5970" s="3">
        <v>41957</v>
      </c>
      <c r="B5970" s="36">
        <v>739</v>
      </c>
      <c r="C5970" t="s">
        <v>5976</v>
      </c>
      <c r="D5970">
        <v>13.26</v>
      </c>
      <c r="E5970" s="18">
        <v>1326</v>
      </c>
      <c r="F5970" t="s">
        <v>889</v>
      </c>
      <c r="G5970" t="s">
        <v>5977</v>
      </c>
      <c r="H5970" s="18">
        <v>1326</v>
      </c>
      <c r="I5970" s="3">
        <v>41957</v>
      </c>
      <c r="J5970"/>
      <c r="L5970"/>
      <c r="M5970"/>
      <c r="N5970" s="20"/>
      <c r="O5970"/>
      <c r="P5970" s="20"/>
      <c r="Q5970" s="20"/>
      <c r="R5970" s="20"/>
      <c r="S5970" s="20"/>
      <c r="T5970" s="20"/>
    </row>
    <row r="5971" spans="1:21" x14ac:dyDescent="0.25">
      <c r="B5971">
        <v>739</v>
      </c>
      <c r="C5971" t="s">
        <v>5976</v>
      </c>
      <c r="D5971">
        <v>13.26</v>
      </c>
      <c r="E5971" s="18">
        <v>-1326</v>
      </c>
      <c r="F5971" t="s">
        <v>889</v>
      </c>
      <c r="G5971" t="s">
        <v>5977</v>
      </c>
      <c r="I5971"/>
      <c r="J5971"/>
      <c r="L5971"/>
      <c r="M5971"/>
      <c r="O5971"/>
      <c r="P5971" s="20"/>
      <c r="Q5971" s="20"/>
      <c r="R5971" s="20"/>
      <c r="S5971" s="20"/>
      <c r="T5971" s="20"/>
      <c r="U5971" t="s">
        <v>401</v>
      </c>
    </row>
    <row r="5972" spans="1:21" x14ac:dyDescent="0.25">
      <c r="A5972" s="3">
        <v>41962</v>
      </c>
      <c r="B5972" s="36">
        <v>750</v>
      </c>
      <c r="C5972" t="s">
        <v>5978</v>
      </c>
      <c r="E5972" s="18">
        <v>500</v>
      </c>
      <c r="G5972" t="s">
        <v>442</v>
      </c>
      <c r="H5972" s="18" t="s">
        <v>442</v>
      </c>
      <c r="I5972" s="3" t="s">
        <v>442</v>
      </c>
      <c r="J5972"/>
      <c r="L5972"/>
      <c r="M5972"/>
      <c r="N5972" s="20"/>
      <c r="O5972"/>
      <c r="P5972" s="20"/>
      <c r="Q5972" s="20"/>
      <c r="R5972" s="20"/>
      <c r="S5972" s="20"/>
      <c r="T5972" s="20" t="s">
        <v>401</v>
      </c>
    </row>
    <row r="5973" spans="1:21" x14ac:dyDescent="0.25">
      <c r="A5973" s="3">
        <v>41968</v>
      </c>
      <c r="B5973" s="36">
        <v>750</v>
      </c>
      <c r="C5973" t="s">
        <v>3494</v>
      </c>
      <c r="E5973" s="18">
        <v>500</v>
      </c>
      <c r="G5973" t="s">
        <v>442</v>
      </c>
      <c r="H5973" s="18" t="s">
        <v>442</v>
      </c>
      <c r="I5973" s="3" t="s">
        <v>442</v>
      </c>
      <c r="J5973"/>
      <c r="L5973"/>
      <c r="M5973"/>
      <c r="N5973" s="20"/>
      <c r="O5973"/>
      <c r="P5973" s="20"/>
      <c r="Q5973" s="20"/>
      <c r="R5973" s="20"/>
      <c r="S5973" s="20"/>
      <c r="T5973" s="20" t="s">
        <v>401</v>
      </c>
    </row>
    <row r="5974" spans="1:21" x14ac:dyDescent="0.25">
      <c r="A5974" s="3">
        <v>41968</v>
      </c>
      <c r="B5974" s="36">
        <v>750</v>
      </c>
      <c r="C5974" t="s">
        <v>3494</v>
      </c>
      <c r="E5974" s="18">
        <v>500</v>
      </c>
      <c r="G5974" t="s">
        <v>442</v>
      </c>
      <c r="H5974" s="18" t="s">
        <v>442</v>
      </c>
      <c r="I5974" s="3" t="s">
        <v>442</v>
      </c>
      <c r="J5974"/>
      <c r="L5974"/>
      <c r="M5974"/>
      <c r="N5974" s="20"/>
      <c r="O5974"/>
      <c r="P5974" s="20"/>
      <c r="Q5974" s="20"/>
      <c r="R5974" s="20"/>
      <c r="S5974" s="20"/>
      <c r="T5974" s="20" t="s">
        <v>401</v>
      </c>
    </row>
    <row r="5975" spans="1:21" x14ac:dyDescent="0.25">
      <c r="A5975" s="3">
        <v>41985</v>
      </c>
      <c r="B5975" s="36">
        <v>750</v>
      </c>
      <c r="C5975" t="s">
        <v>5979</v>
      </c>
      <c r="E5975" s="18">
        <v>500</v>
      </c>
      <c r="F5975" t="s">
        <v>889</v>
      </c>
      <c r="G5975" t="s">
        <v>442</v>
      </c>
      <c r="H5975" s="18" t="s">
        <v>442</v>
      </c>
      <c r="I5975" s="3" t="s">
        <v>442</v>
      </c>
      <c r="J5975"/>
      <c r="L5975"/>
      <c r="M5975"/>
      <c r="N5975" s="20"/>
      <c r="O5975"/>
      <c r="P5975" s="20"/>
      <c r="Q5975" s="20"/>
      <c r="R5975" s="20"/>
      <c r="S5975" s="20"/>
      <c r="T5975" s="20" t="s">
        <v>401</v>
      </c>
    </row>
    <row r="5976" spans="1:21" x14ac:dyDescent="0.25">
      <c r="A5976" s="3">
        <v>41999</v>
      </c>
      <c r="B5976" s="36">
        <v>750</v>
      </c>
      <c r="C5976" t="s">
        <v>4494</v>
      </c>
      <c r="E5976" s="18">
        <v>250</v>
      </c>
      <c r="F5976" t="s">
        <v>889</v>
      </c>
      <c r="G5976" t="s">
        <v>442</v>
      </c>
      <c r="H5976" s="18" t="s">
        <v>442</v>
      </c>
      <c r="I5976" s="3" t="s">
        <v>442</v>
      </c>
      <c r="J5976"/>
      <c r="L5976"/>
      <c r="M5976"/>
      <c r="N5976" s="20"/>
      <c r="O5976"/>
      <c r="P5976" s="20"/>
      <c r="Q5976" s="20"/>
      <c r="R5976" s="20"/>
      <c r="S5976" s="20"/>
      <c r="T5976" s="20" t="s">
        <v>401</v>
      </c>
    </row>
    <row r="5977" spans="1:21" x14ac:dyDescent="0.25">
      <c r="A5977" s="3">
        <v>41999</v>
      </c>
      <c r="B5977" s="36">
        <v>750</v>
      </c>
      <c r="C5977" t="s">
        <v>3494</v>
      </c>
      <c r="E5977" s="18">
        <v>-500</v>
      </c>
      <c r="F5977" t="s">
        <v>889</v>
      </c>
      <c r="G5977" t="s">
        <v>442</v>
      </c>
      <c r="H5977" s="18" t="s">
        <v>442</v>
      </c>
      <c r="I5977" s="3" t="s">
        <v>442</v>
      </c>
      <c r="J5977"/>
      <c r="L5977"/>
      <c r="M5977"/>
      <c r="N5977" s="20"/>
      <c r="O5977"/>
      <c r="P5977" s="20"/>
      <c r="Q5977" s="20"/>
      <c r="R5977" s="20"/>
      <c r="S5977" s="20"/>
      <c r="T5977" s="20" t="s">
        <v>401</v>
      </c>
    </row>
    <row r="5978" spans="1:21" x14ac:dyDescent="0.25">
      <c r="A5978" s="3">
        <v>41999</v>
      </c>
      <c r="B5978" s="36">
        <v>750</v>
      </c>
      <c r="C5978" t="s">
        <v>5980</v>
      </c>
      <c r="D5978">
        <v>10.25</v>
      </c>
      <c r="E5978" s="18">
        <v>2050</v>
      </c>
      <c r="F5978" t="s">
        <v>889</v>
      </c>
      <c r="G5978" t="s">
        <v>5981</v>
      </c>
      <c r="H5978" s="18">
        <v>2050</v>
      </c>
      <c r="I5978" s="3">
        <v>41999</v>
      </c>
      <c r="J5978"/>
      <c r="L5978"/>
      <c r="M5978"/>
      <c r="N5978" s="20"/>
      <c r="O5978" t="s">
        <v>959</v>
      </c>
      <c r="P5978" s="20"/>
      <c r="Q5978" s="20"/>
      <c r="R5978" s="20"/>
      <c r="S5978" s="20"/>
      <c r="T5978" s="20"/>
    </row>
    <row r="5979" spans="1:21" x14ac:dyDescent="0.25">
      <c r="A5979" s="3">
        <v>42019</v>
      </c>
      <c r="B5979" s="36">
        <v>750</v>
      </c>
      <c r="C5979" t="s">
        <v>5982</v>
      </c>
      <c r="D5979" s="55">
        <v>10.4</v>
      </c>
      <c r="E5979" s="18">
        <v>250</v>
      </c>
      <c r="F5979" t="s">
        <v>889</v>
      </c>
      <c r="G5979" t="s">
        <v>688</v>
      </c>
      <c r="H5979" s="18">
        <v>250</v>
      </c>
      <c r="I5979" s="3">
        <v>42019</v>
      </c>
      <c r="J5979"/>
      <c r="L5979"/>
      <c r="M5979"/>
      <c r="N5979" s="20"/>
      <c r="O5979"/>
      <c r="P5979" s="20"/>
      <c r="Q5979" s="20"/>
      <c r="R5979" s="20"/>
      <c r="S5979" s="20"/>
      <c r="T5979" s="20"/>
    </row>
    <row r="5980" spans="1:21" x14ac:dyDescent="0.25">
      <c r="A5980" s="3">
        <v>42034</v>
      </c>
      <c r="B5980">
        <v>750</v>
      </c>
      <c r="C5980" t="s">
        <v>589</v>
      </c>
      <c r="D5980" s="19">
        <v>4.9400000000000004</v>
      </c>
      <c r="E5980" s="18">
        <v>250</v>
      </c>
      <c r="F5980" s="23" t="s">
        <v>889</v>
      </c>
      <c r="G5980" t="s">
        <v>590</v>
      </c>
      <c r="H5980" s="18"/>
      <c r="J5980"/>
      <c r="L5980"/>
      <c r="M5980"/>
      <c r="N5980" s="20"/>
      <c r="O5980"/>
      <c r="P5980" s="20"/>
      <c r="Q5980" s="20"/>
      <c r="R5980" s="20"/>
      <c r="S5980" s="20"/>
      <c r="T5980" s="20"/>
    </row>
    <row r="5981" spans="1:21" x14ac:dyDescent="0.25">
      <c r="A5981" s="3">
        <v>42034</v>
      </c>
      <c r="B5981">
        <v>750</v>
      </c>
      <c r="C5981" t="s">
        <v>587</v>
      </c>
      <c r="D5981" s="19">
        <v>6.75</v>
      </c>
      <c r="E5981" s="18">
        <v>250</v>
      </c>
      <c r="F5981" s="23" t="s">
        <v>889</v>
      </c>
      <c r="G5981" t="s">
        <v>588</v>
      </c>
      <c r="H5981" s="18"/>
      <c r="J5981"/>
      <c r="L5981"/>
      <c r="M5981"/>
      <c r="N5981" s="20"/>
      <c r="O5981"/>
      <c r="P5981" s="20"/>
      <c r="Q5981" s="20"/>
      <c r="R5981" s="20"/>
      <c r="S5981" s="20"/>
      <c r="T5981" s="20"/>
    </row>
    <row r="5982" spans="1:21" x14ac:dyDescent="0.25">
      <c r="A5982" s="32">
        <v>42034</v>
      </c>
      <c r="B5982" s="56">
        <v>750</v>
      </c>
      <c r="C5982" s="32" t="s">
        <v>687</v>
      </c>
      <c r="D5982" s="33">
        <v>10.4</v>
      </c>
      <c r="E5982" s="35">
        <v>250</v>
      </c>
      <c r="F5982" s="33" t="s">
        <v>889</v>
      </c>
      <c r="G5982" t="s">
        <v>688</v>
      </c>
      <c r="H5982" s="18"/>
      <c r="J5982"/>
      <c r="L5982"/>
      <c r="M5982"/>
      <c r="N5982" s="20"/>
      <c r="O5982"/>
      <c r="P5982" s="20"/>
      <c r="Q5982" s="20"/>
      <c r="R5982" s="20"/>
      <c r="S5982" s="20"/>
      <c r="T5982" s="20"/>
    </row>
    <row r="5983" spans="1:21" x14ac:dyDescent="0.25">
      <c r="B5983">
        <v>750</v>
      </c>
      <c r="C5983" t="s">
        <v>5979</v>
      </c>
      <c r="E5983" s="18">
        <v>-500</v>
      </c>
      <c r="F5983" t="s">
        <v>889</v>
      </c>
      <c r="G5983" t="s">
        <v>442</v>
      </c>
      <c r="I5983"/>
      <c r="J5983"/>
      <c r="L5983"/>
      <c r="M5983"/>
      <c r="O5983"/>
      <c r="P5983" s="20"/>
      <c r="Q5983" s="20"/>
      <c r="R5983" s="20"/>
      <c r="S5983" s="20"/>
      <c r="T5983" s="20"/>
      <c r="U5983" t="s">
        <v>401</v>
      </c>
    </row>
    <row r="5984" spans="1:21" x14ac:dyDescent="0.25">
      <c r="B5984">
        <v>750</v>
      </c>
      <c r="C5984" t="s">
        <v>4494</v>
      </c>
      <c r="E5984" s="18">
        <v>-250</v>
      </c>
      <c r="F5984" t="s">
        <v>889</v>
      </c>
      <c r="G5984" t="s">
        <v>442</v>
      </c>
      <c r="I5984"/>
      <c r="J5984"/>
      <c r="L5984"/>
      <c r="M5984"/>
      <c r="O5984"/>
      <c r="P5984" s="20"/>
      <c r="Q5984" s="20"/>
      <c r="R5984" s="20"/>
      <c r="S5984" s="20"/>
      <c r="T5984" s="20"/>
      <c r="U5984" t="s">
        <v>401</v>
      </c>
    </row>
    <row r="5985" spans="1:21" x14ac:dyDescent="0.25">
      <c r="B5985">
        <v>750</v>
      </c>
      <c r="C5985" t="s">
        <v>5978</v>
      </c>
      <c r="E5985" s="18">
        <v>-500</v>
      </c>
      <c r="G5985" t="s">
        <v>442</v>
      </c>
      <c r="I5985"/>
      <c r="J5985"/>
      <c r="L5985"/>
      <c r="M5985"/>
      <c r="O5985"/>
      <c r="P5985" s="20"/>
      <c r="Q5985" s="20"/>
      <c r="R5985" s="20"/>
      <c r="S5985" s="20"/>
      <c r="T5985" s="20"/>
      <c r="U5985" t="s">
        <v>401</v>
      </c>
    </row>
    <row r="5986" spans="1:21" x14ac:dyDescent="0.25">
      <c r="B5986">
        <v>750</v>
      </c>
      <c r="C5986" t="s">
        <v>5983</v>
      </c>
      <c r="E5986" s="18">
        <v>-500</v>
      </c>
      <c r="G5986" t="s">
        <v>442</v>
      </c>
      <c r="I5986"/>
      <c r="J5986"/>
      <c r="L5986"/>
      <c r="M5986"/>
      <c r="O5986"/>
      <c r="P5986" s="20"/>
      <c r="Q5986" s="20"/>
      <c r="R5986" s="20"/>
      <c r="S5986" s="20"/>
      <c r="T5986" s="20"/>
      <c r="U5986" t="s">
        <v>401</v>
      </c>
    </row>
    <row r="5987" spans="1:21" x14ac:dyDescent="0.25">
      <c r="B5987">
        <v>750</v>
      </c>
      <c r="C5987" t="s">
        <v>5980</v>
      </c>
      <c r="D5987">
        <v>6.5</v>
      </c>
      <c r="E5987" s="18">
        <v>-750</v>
      </c>
      <c r="F5987" t="s">
        <v>889</v>
      </c>
      <c r="G5987" t="s">
        <v>5981</v>
      </c>
      <c r="I5987"/>
      <c r="J5987"/>
      <c r="L5987"/>
      <c r="M5987"/>
      <c r="O5987"/>
      <c r="P5987" s="20"/>
      <c r="Q5987" s="20"/>
      <c r="R5987" s="20"/>
      <c r="S5987" s="20"/>
      <c r="T5987" s="20"/>
      <c r="U5987" t="s">
        <v>401</v>
      </c>
    </row>
    <row r="5988" spans="1:21" x14ac:dyDescent="0.25">
      <c r="A5988" s="3">
        <v>41978</v>
      </c>
      <c r="B5988" s="36">
        <v>752</v>
      </c>
      <c r="C5988" t="s">
        <v>5984</v>
      </c>
      <c r="D5988">
        <v>3.25</v>
      </c>
      <c r="E5988" s="18">
        <v>325</v>
      </c>
      <c r="F5988" t="s">
        <v>889</v>
      </c>
      <c r="G5988" t="s">
        <v>5985</v>
      </c>
      <c r="H5988" s="18">
        <v>325</v>
      </c>
      <c r="I5988" s="3">
        <v>41978</v>
      </c>
      <c r="J5988"/>
      <c r="L5988"/>
      <c r="M5988"/>
      <c r="N5988" s="20"/>
      <c r="O5988"/>
      <c r="P5988" s="20"/>
      <c r="Q5988" s="20"/>
      <c r="R5988" s="20"/>
      <c r="S5988" s="20"/>
      <c r="T5988" s="20"/>
    </row>
    <row r="5989" spans="1:21" x14ac:dyDescent="0.25">
      <c r="B5989">
        <v>752</v>
      </c>
      <c r="C5989" t="s">
        <v>5984</v>
      </c>
      <c r="D5989">
        <v>3.25</v>
      </c>
      <c r="E5989" s="18">
        <v>-325</v>
      </c>
      <c r="F5989" t="s">
        <v>889</v>
      </c>
      <c r="G5989" t="s">
        <v>5985</v>
      </c>
      <c r="I5989"/>
      <c r="J5989"/>
      <c r="L5989"/>
      <c r="M5989"/>
      <c r="O5989"/>
      <c r="P5989" s="20"/>
      <c r="Q5989" s="20"/>
      <c r="R5989" s="20"/>
      <c r="S5989" s="20"/>
      <c r="T5989" s="20"/>
      <c r="U5989" t="s">
        <v>401</v>
      </c>
    </row>
    <row r="5990" spans="1:21" x14ac:dyDescent="0.25">
      <c r="A5990" s="3">
        <v>41978</v>
      </c>
      <c r="B5990" s="36">
        <v>753</v>
      </c>
      <c r="C5990" t="s">
        <v>5986</v>
      </c>
      <c r="D5990">
        <v>5.0999999999999996</v>
      </c>
      <c r="E5990" s="18">
        <v>509.99999999999994</v>
      </c>
      <c r="F5990" t="s">
        <v>889</v>
      </c>
      <c r="G5990" t="s">
        <v>5987</v>
      </c>
      <c r="H5990" s="18">
        <v>509.99999999999994</v>
      </c>
      <c r="I5990" s="3">
        <v>41978</v>
      </c>
      <c r="J5990"/>
      <c r="L5990"/>
      <c r="M5990"/>
      <c r="N5990" s="20"/>
      <c r="O5990"/>
      <c r="P5990" s="20"/>
      <c r="Q5990" s="20"/>
      <c r="R5990" s="20"/>
      <c r="S5990" s="20"/>
      <c r="T5990" s="20"/>
    </row>
    <row r="5991" spans="1:21" x14ac:dyDescent="0.25">
      <c r="A5991" s="3">
        <v>41978</v>
      </c>
      <c r="B5991" s="36">
        <v>753</v>
      </c>
      <c r="C5991" t="s">
        <v>5988</v>
      </c>
      <c r="E5991" s="18">
        <v>3000</v>
      </c>
      <c r="F5991" t="s">
        <v>889</v>
      </c>
      <c r="H5991" s="18" t="s">
        <v>442</v>
      </c>
      <c r="I5991" s="3" t="s">
        <v>442</v>
      </c>
      <c r="J5991"/>
      <c r="L5991"/>
      <c r="M5991"/>
      <c r="N5991" s="20"/>
      <c r="O5991"/>
      <c r="P5991" s="20" t="s">
        <v>401</v>
      </c>
      <c r="Q5991" s="20"/>
      <c r="R5991" s="20"/>
      <c r="S5991" s="20"/>
      <c r="T5991" s="20"/>
    </row>
    <row r="5992" spans="1:21" x14ac:dyDescent="0.25">
      <c r="A5992" s="3">
        <v>42013</v>
      </c>
      <c r="B5992" s="36">
        <v>753</v>
      </c>
      <c r="C5992" t="s">
        <v>804</v>
      </c>
      <c r="D5992">
        <v>2.8050000000000002</v>
      </c>
      <c r="E5992" s="18">
        <v>390.25</v>
      </c>
      <c r="F5992" t="s">
        <v>889</v>
      </c>
      <c r="G5992" t="s">
        <v>805</v>
      </c>
      <c r="H5992" s="18">
        <v>390.25</v>
      </c>
      <c r="I5992" s="3">
        <v>42013</v>
      </c>
      <c r="J5992"/>
      <c r="L5992"/>
      <c r="M5992"/>
      <c r="N5992" s="20"/>
      <c r="O5992"/>
      <c r="P5992" s="20"/>
      <c r="Q5992" s="20"/>
      <c r="R5992" s="20"/>
      <c r="S5992" s="20"/>
      <c r="T5992" s="20"/>
    </row>
    <row r="5993" spans="1:21" x14ac:dyDescent="0.25">
      <c r="A5993" s="3">
        <v>42013</v>
      </c>
      <c r="B5993" s="36">
        <v>753</v>
      </c>
      <c r="C5993" t="s">
        <v>699</v>
      </c>
      <c r="D5993">
        <v>6.5</v>
      </c>
      <c r="E5993" s="18">
        <v>594.25</v>
      </c>
      <c r="F5993" t="s">
        <v>889</v>
      </c>
      <c r="G5993" t="s">
        <v>700</v>
      </c>
      <c r="H5993" s="18">
        <v>594.25</v>
      </c>
      <c r="I5993" s="3">
        <v>42013</v>
      </c>
      <c r="J5993"/>
      <c r="L5993"/>
      <c r="M5993"/>
      <c r="N5993" s="20"/>
      <c r="O5993"/>
      <c r="P5993" s="20"/>
      <c r="Q5993" s="20"/>
      <c r="R5993" s="20"/>
      <c r="S5993" s="20"/>
      <c r="T5993" s="20"/>
    </row>
    <row r="5994" spans="1:21" x14ac:dyDescent="0.25">
      <c r="A5994" s="3">
        <v>42034</v>
      </c>
      <c r="B5994">
        <v>753</v>
      </c>
      <c r="C5994" t="s">
        <v>618</v>
      </c>
      <c r="D5994" s="19">
        <v>6.12</v>
      </c>
      <c r="E5994" s="18">
        <v>306</v>
      </c>
      <c r="F5994" s="23" t="s">
        <v>889</v>
      </c>
      <c r="G5994" t="s">
        <v>619</v>
      </c>
      <c r="H5994" s="18"/>
      <c r="J5994"/>
      <c r="L5994"/>
      <c r="M5994"/>
      <c r="N5994" s="20"/>
      <c r="O5994"/>
      <c r="P5994" s="20"/>
      <c r="Q5994" s="20"/>
      <c r="R5994" s="20"/>
      <c r="S5994" s="20"/>
      <c r="T5994" s="20"/>
    </row>
    <row r="5995" spans="1:21" x14ac:dyDescent="0.25">
      <c r="A5995" s="3">
        <v>42013</v>
      </c>
      <c r="B5995" s="36">
        <v>755</v>
      </c>
      <c r="C5995" t="s">
        <v>808</v>
      </c>
      <c r="D5995">
        <v>4.08</v>
      </c>
      <c r="E5995" s="18">
        <v>454</v>
      </c>
      <c r="F5995" t="s">
        <v>889</v>
      </c>
      <c r="G5995" t="s">
        <v>809</v>
      </c>
      <c r="H5995" s="18">
        <v>454</v>
      </c>
      <c r="I5995" s="3">
        <v>42013</v>
      </c>
      <c r="J5995"/>
      <c r="L5995"/>
      <c r="M5995"/>
      <c r="N5995" s="20"/>
      <c r="O5995"/>
      <c r="P5995" s="20"/>
      <c r="Q5995" s="20"/>
      <c r="R5995" s="20"/>
      <c r="S5995" s="20"/>
      <c r="T5995" s="20"/>
    </row>
    <row r="5996" spans="1:21" x14ac:dyDescent="0.25">
      <c r="B5996">
        <v>758</v>
      </c>
      <c r="C5996" t="s">
        <v>5989</v>
      </c>
      <c r="D5996">
        <v>13</v>
      </c>
      <c r="E5996" s="18">
        <v>900</v>
      </c>
      <c r="F5996" t="s">
        <v>889</v>
      </c>
      <c r="G5996" t="s">
        <v>5990</v>
      </c>
      <c r="I5996"/>
      <c r="J5996"/>
      <c r="L5996"/>
      <c r="M5996"/>
      <c r="O5996"/>
      <c r="P5996" s="20"/>
      <c r="Q5996" s="20"/>
      <c r="R5996" s="20"/>
      <c r="S5996" s="20"/>
      <c r="T5996" s="20"/>
      <c r="U5996" t="s">
        <v>401</v>
      </c>
    </row>
    <row r="5997" spans="1:21" x14ac:dyDescent="0.25">
      <c r="B5997">
        <v>758</v>
      </c>
      <c r="C5997" t="s">
        <v>5991</v>
      </c>
      <c r="D5997">
        <v>14</v>
      </c>
      <c r="E5997" s="18">
        <v>1400</v>
      </c>
      <c r="F5997" t="s">
        <v>889</v>
      </c>
      <c r="G5997" t="s">
        <v>5992</v>
      </c>
      <c r="I5997"/>
      <c r="J5997"/>
      <c r="L5997"/>
      <c r="M5997"/>
      <c r="O5997"/>
      <c r="P5997" s="20"/>
      <c r="Q5997" s="20"/>
      <c r="R5997" s="20"/>
      <c r="S5997" s="20"/>
      <c r="T5997" s="20"/>
      <c r="U5997" t="s">
        <v>401</v>
      </c>
    </row>
    <row r="5998" spans="1:21" x14ac:dyDescent="0.25">
      <c r="A5998" s="3">
        <v>41957</v>
      </c>
      <c r="B5998" s="36">
        <v>764</v>
      </c>
      <c r="C5998" t="s">
        <v>5993</v>
      </c>
      <c r="D5998">
        <v>5.25</v>
      </c>
      <c r="E5998" s="18">
        <v>525</v>
      </c>
      <c r="F5998" t="s">
        <v>889</v>
      </c>
      <c r="G5998" t="s">
        <v>5994</v>
      </c>
      <c r="H5998" s="18">
        <v>525</v>
      </c>
      <c r="I5998" s="3">
        <v>41957</v>
      </c>
      <c r="J5998"/>
      <c r="L5998"/>
      <c r="M5998"/>
      <c r="N5998" s="20"/>
      <c r="O5998"/>
      <c r="P5998" s="20"/>
      <c r="Q5998" s="20"/>
      <c r="R5998" s="20"/>
      <c r="S5998" s="20"/>
      <c r="T5998" s="20"/>
    </row>
    <row r="5999" spans="1:21" x14ac:dyDescent="0.25">
      <c r="A5999" s="3">
        <v>41957</v>
      </c>
      <c r="B5999" s="36">
        <v>764</v>
      </c>
      <c r="C5999" t="s">
        <v>5995</v>
      </c>
      <c r="D5999">
        <v>8</v>
      </c>
      <c r="E5999" s="18">
        <v>800</v>
      </c>
      <c r="F5999" t="s">
        <v>889</v>
      </c>
      <c r="G5999" t="s">
        <v>5996</v>
      </c>
      <c r="H5999" s="18">
        <v>800</v>
      </c>
      <c r="I5999" s="3">
        <v>41957</v>
      </c>
      <c r="J5999"/>
      <c r="L5999"/>
      <c r="M5999"/>
      <c r="N5999" s="20"/>
      <c r="O5999"/>
      <c r="P5999" s="20"/>
      <c r="Q5999" s="20"/>
      <c r="R5999" s="20"/>
      <c r="S5999" s="20"/>
      <c r="T5999" s="20"/>
    </row>
    <row r="6000" spans="1:21" x14ac:dyDescent="0.25">
      <c r="A6000" s="3">
        <v>41964</v>
      </c>
      <c r="B6000" s="36">
        <v>764</v>
      </c>
      <c r="C6000" t="s">
        <v>5997</v>
      </c>
      <c r="D6000">
        <v>3.75</v>
      </c>
      <c r="E6000" s="18">
        <v>375</v>
      </c>
      <c r="F6000" t="s">
        <v>889</v>
      </c>
      <c r="G6000" t="s">
        <v>5998</v>
      </c>
      <c r="H6000" s="18">
        <v>375</v>
      </c>
      <c r="I6000" s="3">
        <v>41964</v>
      </c>
      <c r="J6000"/>
      <c r="L6000"/>
      <c r="M6000"/>
      <c r="N6000" s="20"/>
      <c r="O6000"/>
      <c r="P6000" s="20"/>
      <c r="Q6000" s="20"/>
      <c r="R6000" s="20"/>
      <c r="S6000" s="20"/>
      <c r="T6000" s="20"/>
    </row>
    <row r="6001" spans="1:21" x14ac:dyDescent="0.25">
      <c r="A6001" s="3">
        <v>41964</v>
      </c>
      <c r="B6001" s="36">
        <v>764</v>
      </c>
      <c r="C6001" t="s">
        <v>5999</v>
      </c>
      <c r="D6001">
        <v>4</v>
      </c>
      <c r="E6001" s="18">
        <v>400</v>
      </c>
      <c r="F6001" t="s">
        <v>889</v>
      </c>
      <c r="G6001" t="s">
        <v>6000</v>
      </c>
      <c r="H6001" s="18">
        <v>400</v>
      </c>
      <c r="I6001" s="3">
        <v>41964</v>
      </c>
      <c r="J6001"/>
      <c r="L6001"/>
      <c r="M6001"/>
      <c r="N6001" s="20"/>
      <c r="O6001"/>
      <c r="P6001" s="20"/>
      <c r="Q6001" s="20"/>
      <c r="R6001" s="20"/>
      <c r="S6001" s="20"/>
      <c r="T6001" s="20"/>
    </row>
    <row r="6002" spans="1:21" x14ac:dyDescent="0.25">
      <c r="A6002" s="3">
        <v>41978</v>
      </c>
      <c r="B6002" s="36">
        <v>764</v>
      </c>
      <c r="C6002" t="s">
        <v>6001</v>
      </c>
      <c r="D6002">
        <v>9.75</v>
      </c>
      <c r="E6002" s="18">
        <v>975</v>
      </c>
      <c r="F6002" t="s">
        <v>889</v>
      </c>
      <c r="G6002" t="s">
        <v>6002</v>
      </c>
      <c r="H6002" s="18">
        <v>975</v>
      </c>
      <c r="I6002" s="3">
        <v>41978</v>
      </c>
      <c r="J6002"/>
      <c r="L6002"/>
      <c r="M6002"/>
      <c r="N6002" s="20"/>
      <c r="O6002"/>
      <c r="P6002" s="20"/>
      <c r="Q6002" s="20"/>
      <c r="R6002" s="20"/>
      <c r="S6002" s="20"/>
      <c r="T6002" s="20"/>
    </row>
    <row r="6003" spans="1:21" x14ac:dyDescent="0.25">
      <c r="A6003" s="3">
        <v>42013</v>
      </c>
      <c r="B6003" s="36">
        <v>764</v>
      </c>
      <c r="C6003" t="s">
        <v>705</v>
      </c>
      <c r="D6003">
        <v>8.25</v>
      </c>
      <c r="E6003" s="18">
        <v>662.5</v>
      </c>
      <c r="F6003" t="s">
        <v>889</v>
      </c>
      <c r="G6003" t="s">
        <v>706</v>
      </c>
      <c r="H6003" s="18">
        <v>662.5</v>
      </c>
      <c r="I6003" s="3">
        <v>42013</v>
      </c>
      <c r="J6003"/>
      <c r="L6003"/>
      <c r="M6003"/>
      <c r="N6003" s="20"/>
      <c r="O6003"/>
      <c r="P6003" s="20"/>
      <c r="Q6003" s="20"/>
      <c r="R6003" s="20"/>
      <c r="S6003" s="20"/>
      <c r="T6003" s="20"/>
    </row>
    <row r="6004" spans="1:21" x14ac:dyDescent="0.25">
      <c r="B6004">
        <v>764</v>
      </c>
      <c r="C6004" t="s">
        <v>5999</v>
      </c>
      <c r="D6004">
        <v>4</v>
      </c>
      <c r="E6004" s="18">
        <v>-400</v>
      </c>
      <c r="F6004" t="s">
        <v>889</v>
      </c>
      <c r="G6004" t="s">
        <v>6000</v>
      </c>
      <c r="I6004"/>
      <c r="J6004"/>
      <c r="L6004"/>
      <c r="M6004"/>
      <c r="O6004"/>
      <c r="P6004" s="20"/>
      <c r="Q6004" s="20"/>
      <c r="R6004" s="20"/>
      <c r="S6004" s="20"/>
      <c r="T6004" s="20"/>
      <c r="U6004" t="s">
        <v>401</v>
      </c>
    </row>
    <row r="6005" spans="1:21" x14ac:dyDescent="0.25">
      <c r="B6005">
        <v>764</v>
      </c>
      <c r="C6005" t="s">
        <v>6003</v>
      </c>
      <c r="D6005">
        <v>4.25</v>
      </c>
      <c r="E6005" s="18">
        <v>425</v>
      </c>
      <c r="F6005" t="s">
        <v>889</v>
      </c>
      <c r="G6005" t="s">
        <v>6004</v>
      </c>
      <c r="I6005"/>
      <c r="J6005"/>
      <c r="L6005"/>
      <c r="M6005"/>
      <c r="O6005"/>
      <c r="P6005" s="20"/>
      <c r="Q6005" s="20"/>
      <c r="R6005" s="20"/>
      <c r="S6005" s="20"/>
      <c r="T6005" s="20"/>
      <c r="U6005" t="s">
        <v>401</v>
      </c>
    </row>
    <row r="6006" spans="1:21" x14ac:dyDescent="0.25">
      <c r="B6006">
        <v>764</v>
      </c>
      <c r="C6006" t="s">
        <v>6003</v>
      </c>
      <c r="D6006">
        <v>6.25</v>
      </c>
      <c r="E6006" s="18">
        <v>-425</v>
      </c>
      <c r="F6006" t="s">
        <v>889</v>
      </c>
      <c r="G6006" t="s">
        <v>6004</v>
      </c>
      <c r="I6006"/>
      <c r="J6006"/>
      <c r="L6006"/>
      <c r="M6006"/>
      <c r="O6006"/>
      <c r="P6006" s="20"/>
      <c r="Q6006" s="20"/>
      <c r="R6006" s="20"/>
      <c r="S6006" s="20"/>
      <c r="T6006" s="20"/>
      <c r="U6006" t="s">
        <v>401</v>
      </c>
    </row>
    <row r="6007" spans="1:21" x14ac:dyDescent="0.25">
      <c r="B6007">
        <v>764</v>
      </c>
      <c r="C6007" t="s">
        <v>5995</v>
      </c>
      <c r="D6007">
        <v>8</v>
      </c>
      <c r="E6007" s="18">
        <v>-800</v>
      </c>
      <c r="F6007" t="s">
        <v>889</v>
      </c>
      <c r="G6007" t="s">
        <v>5996</v>
      </c>
      <c r="I6007"/>
      <c r="J6007"/>
      <c r="L6007"/>
      <c r="M6007"/>
      <c r="O6007"/>
      <c r="P6007" s="20"/>
      <c r="Q6007" s="20"/>
      <c r="R6007" s="20"/>
      <c r="S6007" s="20"/>
      <c r="T6007" s="20"/>
      <c r="U6007" t="s">
        <v>401</v>
      </c>
    </row>
    <row r="6008" spans="1:21" x14ac:dyDescent="0.25">
      <c r="A6008" s="3">
        <v>41950</v>
      </c>
      <c r="B6008" s="36">
        <v>771</v>
      </c>
      <c r="C6008" t="s">
        <v>5668</v>
      </c>
      <c r="E6008" s="18">
        <v>330</v>
      </c>
      <c r="F6008" t="s">
        <v>889</v>
      </c>
      <c r="G6008" t="s">
        <v>442</v>
      </c>
      <c r="H6008" s="18" t="s">
        <v>442</v>
      </c>
      <c r="I6008" s="3" t="s">
        <v>442</v>
      </c>
      <c r="J6008"/>
      <c r="L6008"/>
      <c r="M6008"/>
      <c r="N6008" s="20"/>
      <c r="O6008"/>
      <c r="P6008" s="20"/>
      <c r="Q6008" s="20"/>
      <c r="R6008" s="20"/>
      <c r="S6008" s="20" t="s">
        <v>401</v>
      </c>
      <c r="T6008" s="20"/>
    </row>
    <row r="6009" spans="1:21" x14ac:dyDescent="0.25">
      <c r="A6009" s="3">
        <v>41957</v>
      </c>
      <c r="B6009" s="36">
        <v>771</v>
      </c>
      <c r="C6009" t="s">
        <v>6005</v>
      </c>
      <c r="D6009">
        <v>6.12</v>
      </c>
      <c r="E6009" s="18">
        <v>612</v>
      </c>
      <c r="F6009" t="s">
        <v>889</v>
      </c>
      <c r="G6009" t="s">
        <v>6006</v>
      </c>
      <c r="H6009" s="18">
        <v>612</v>
      </c>
      <c r="I6009" s="3">
        <v>41957</v>
      </c>
      <c r="J6009"/>
      <c r="L6009"/>
      <c r="M6009"/>
      <c r="N6009" s="20"/>
      <c r="O6009"/>
      <c r="P6009" s="20"/>
      <c r="Q6009" s="20"/>
      <c r="R6009" s="20"/>
      <c r="S6009" s="20"/>
      <c r="T6009" s="20"/>
    </row>
    <row r="6010" spans="1:21" x14ac:dyDescent="0.25">
      <c r="A6010" s="3">
        <v>41957</v>
      </c>
      <c r="B6010" s="36">
        <v>771</v>
      </c>
      <c r="C6010" t="s">
        <v>6007</v>
      </c>
      <c r="D6010">
        <v>7.65</v>
      </c>
      <c r="E6010" s="18">
        <v>765</v>
      </c>
      <c r="F6010" t="s">
        <v>889</v>
      </c>
      <c r="G6010" t="s">
        <v>6008</v>
      </c>
      <c r="H6010" s="18">
        <v>765</v>
      </c>
      <c r="I6010" s="3">
        <v>41957</v>
      </c>
      <c r="J6010"/>
      <c r="L6010"/>
      <c r="M6010"/>
      <c r="N6010" s="20"/>
      <c r="O6010"/>
      <c r="P6010" s="20"/>
      <c r="Q6010" s="20"/>
      <c r="R6010" s="20"/>
      <c r="S6010" s="20"/>
      <c r="T6010" s="20"/>
    </row>
    <row r="6011" spans="1:21" x14ac:dyDescent="0.25">
      <c r="A6011" s="3">
        <v>41964</v>
      </c>
      <c r="B6011" s="36">
        <v>771</v>
      </c>
      <c r="C6011" t="s">
        <v>6009</v>
      </c>
      <c r="D6011">
        <v>4.08</v>
      </c>
      <c r="E6011" s="18">
        <v>408</v>
      </c>
      <c r="F6011" t="s">
        <v>889</v>
      </c>
      <c r="G6011" t="s">
        <v>6010</v>
      </c>
      <c r="H6011" s="18">
        <v>408</v>
      </c>
      <c r="I6011" s="3">
        <v>41964</v>
      </c>
      <c r="J6011"/>
      <c r="L6011"/>
      <c r="M6011"/>
      <c r="N6011" s="20"/>
      <c r="O6011"/>
      <c r="P6011" s="20"/>
      <c r="Q6011" s="20"/>
      <c r="R6011" s="20"/>
      <c r="S6011" s="20"/>
      <c r="T6011" s="20"/>
    </row>
    <row r="6012" spans="1:21" x14ac:dyDescent="0.25">
      <c r="A6012" s="3">
        <v>41964</v>
      </c>
      <c r="B6012" s="36">
        <v>771</v>
      </c>
      <c r="C6012" t="s">
        <v>6011</v>
      </c>
      <c r="D6012">
        <v>3.06</v>
      </c>
      <c r="E6012" s="18">
        <v>306</v>
      </c>
      <c r="F6012" t="s">
        <v>889</v>
      </c>
      <c r="G6012" t="s">
        <v>6012</v>
      </c>
      <c r="H6012" s="18">
        <v>306</v>
      </c>
      <c r="I6012" s="3">
        <v>41964</v>
      </c>
      <c r="J6012"/>
      <c r="L6012"/>
      <c r="M6012"/>
      <c r="N6012" s="20"/>
      <c r="O6012"/>
      <c r="P6012" s="20"/>
      <c r="Q6012" s="20"/>
      <c r="R6012" s="20"/>
      <c r="S6012" s="20"/>
      <c r="T6012" s="20"/>
    </row>
    <row r="6013" spans="1:21" x14ac:dyDescent="0.25">
      <c r="A6013" s="3">
        <v>41964</v>
      </c>
      <c r="B6013" s="36">
        <v>771</v>
      </c>
      <c r="C6013" t="s">
        <v>6013</v>
      </c>
      <c r="D6013">
        <v>7.5</v>
      </c>
      <c r="E6013" s="18">
        <v>750</v>
      </c>
      <c r="F6013" t="s">
        <v>889</v>
      </c>
      <c r="G6013" t="s">
        <v>6014</v>
      </c>
      <c r="H6013" s="18">
        <v>750</v>
      </c>
      <c r="I6013" s="3">
        <v>41964</v>
      </c>
      <c r="J6013"/>
      <c r="L6013"/>
      <c r="M6013"/>
      <c r="N6013" s="20"/>
      <c r="O6013"/>
      <c r="P6013" s="20"/>
      <c r="Q6013" s="20"/>
      <c r="R6013" s="20"/>
      <c r="S6013" s="20"/>
      <c r="T6013" s="20"/>
    </row>
    <row r="6014" spans="1:21" x14ac:dyDescent="0.25">
      <c r="A6014" s="3">
        <v>41964</v>
      </c>
      <c r="B6014" s="36">
        <v>771</v>
      </c>
      <c r="C6014" t="s">
        <v>6015</v>
      </c>
      <c r="D6014">
        <v>9.4350000000000005</v>
      </c>
      <c r="E6014" s="18">
        <v>943.5</v>
      </c>
      <c r="F6014" t="s">
        <v>889</v>
      </c>
      <c r="G6014" t="s">
        <v>6016</v>
      </c>
      <c r="H6014" s="18">
        <v>943.5</v>
      </c>
      <c r="I6014" s="3">
        <v>41964</v>
      </c>
      <c r="J6014"/>
      <c r="L6014"/>
      <c r="M6014"/>
      <c r="N6014" s="20"/>
      <c r="O6014"/>
      <c r="P6014" s="20"/>
      <c r="Q6014" s="20"/>
      <c r="R6014" s="20"/>
      <c r="S6014" s="20"/>
      <c r="T6014" s="20"/>
    </row>
    <row r="6015" spans="1:21" x14ac:dyDescent="0.25">
      <c r="A6015" s="3">
        <v>41971</v>
      </c>
      <c r="B6015" s="36">
        <v>771</v>
      </c>
      <c r="C6015" t="s">
        <v>6017</v>
      </c>
      <c r="D6015">
        <v>8.16</v>
      </c>
      <c r="E6015" s="18">
        <v>816</v>
      </c>
      <c r="F6015" t="s">
        <v>889</v>
      </c>
      <c r="G6015" t="s">
        <v>6018</v>
      </c>
      <c r="H6015" s="18">
        <v>816</v>
      </c>
      <c r="I6015" s="3">
        <v>41971</v>
      </c>
      <c r="J6015"/>
      <c r="L6015"/>
      <c r="M6015"/>
      <c r="N6015" s="20"/>
      <c r="O6015"/>
      <c r="P6015" s="20"/>
      <c r="Q6015" s="20"/>
      <c r="R6015" s="20"/>
      <c r="S6015" s="20"/>
      <c r="T6015" s="20"/>
    </row>
    <row r="6016" spans="1:21" x14ac:dyDescent="0.25">
      <c r="A6016" s="3">
        <v>41978</v>
      </c>
      <c r="B6016" s="36">
        <v>771</v>
      </c>
      <c r="C6016" t="s">
        <v>6019</v>
      </c>
      <c r="D6016">
        <v>7.14</v>
      </c>
      <c r="E6016" s="18">
        <v>714</v>
      </c>
      <c r="F6016" t="s">
        <v>889</v>
      </c>
      <c r="G6016" t="s">
        <v>6020</v>
      </c>
      <c r="H6016" s="18">
        <v>714</v>
      </c>
      <c r="I6016" s="3">
        <v>41978</v>
      </c>
      <c r="J6016"/>
      <c r="L6016"/>
      <c r="M6016"/>
      <c r="N6016" s="20"/>
      <c r="O6016"/>
      <c r="P6016" s="20"/>
      <c r="Q6016" s="20"/>
      <c r="R6016" s="20"/>
      <c r="S6016" s="20"/>
      <c r="T6016" s="20"/>
    </row>
    <row r="6017" spans="1:21" x14ac:dyDescent="0.25">
      <c r="A6017" s="3">
        <v>41985</v>
      </c>
      <c r="B6017" s="36">
        <v>771</v>
      </c>
      <c r="C6017" t="s">
        <v>6021</v>
      </c>
      <c r="D6017">
        <v>13.515000000000001</v>
      </c>
      <c r="E6017" s="18">
        <v>1351.5</v>
      </c>
      <c r="F6017" t="s">
        <v>889</v>
      </c>
      <c r="G6017" t="s">
        <v>6022</v>
      </c>
      <c r="H6017" s="18">
        <v>1351.5</v>
      </c>
      <c r="I6017" s="3">
        <v>41985</v>
      </c>
      <c r="J6017"/>
      <c r="L6017"/>
      <c r="M6017"/>
      <c r="N6017" s="20"/>
      <c r="O6017"/>
      <c r="P6017" s="20"/>
      <c r="Q6017" s="20"/>
      <c r="R6017" s="20"/>
      <c r="S6017" s="20"/>
      <c r="T6017" s="20"/>
    </row>
    <row r="6018" spans="1:21" x14ac:dyDescent="0.25">
      <c r="A6018" s="3">
        <v>42004</v>
      </c>
      <c r="B6018" s="36">
        <v>771</v>
      </c>
      <c r="C6018" t="s">
        <v>6005</v>
      </c>
      <c r="D6018">
        <v>6.12</v>
      </c>
      <c r="E6018" s="18">
        <v>204</v>
      </c>
      <c r="F6018" t="s">
        <v>889</v>
      </c>
      <c r="G6018" t="s">
        <v>6006</v>
      </c>
      <c r="H6018" s="18">
        <v>204</v>
      </c>
      <c r="I6018" s="3">
        <v>42004</v>
      </c>
      <c r="J6018"/>
      <c r="L6018"/>
      <c r="M6018"/>
      <c r="N6018" s="20"/>
      <c r="O6018"/>
      <c r="P6018" s="20"/>
      <c r="Q6018" s="20"/>
      <c r="R6018" s="20"/>
      <c r="S6018" s="20"/>
      <c r="T6018" s="20"/>
    </row>
    <row r="6019" spans="1:21" x14ac:dyDescent="0.25">
      <c r="A6019" s="3">
        <v>42004</v>
      </c>
      <c r="B6019" s="36">
        <v>771</v>
      </c>
      <c r="C6019" t="s">
        <v>6009</v>
      </c>
      <c r="D6019">
        <v>4.08</v>
      </c>
      <c r="E6019" s="18">
        <v>136</v>
      </c>
      <c r="F6019" t="s">
        <v>889</v>
      </c>
      <c r="G6019" t="s">
        <v>6010</v>
      </c>
      <c r="H6019" s="18">
        <v>136</v>
      </c>
      <c r="I6019" s="3">
        <v>42004</v>
      </c>
      <c r="J6019"/>
      <c r="L6019"/>
      <c r="M6019"/>
      <c r="N6019" s="20"/>
      <c r="O6019"/>
      <c r="P6019" s="20"/>
      <c r="Q6019" s="20"/>
      <c r="R6019" s="20"/>
      <c r="S6019" s="20"/>
      <c r="T6019" s="20"/>
    </row>
    <row r="6020" spans="1:21" x14ac:dyDescent="0.25">
      <c r="A6020" s="3">
        <v>42004</v>
      </c>
      <c r="B6020" s="36">
        <v>771</v>
      </c>
      <c r="C6020" t="s">
        <v>6013</v>
      </c>
      <c r="D6020">
        <v>3.57</v>
      </c>
      <c r="E6020" s="18">
        <v>357</v>
      </c>
      <c r="F6020" t="s">
        <v>889</v>
      </c>
      <c r="G6020" t="s">
        <v>6023</v>
      </c>
      <c r="H6020" s="18">
        <v>357</v>
      </c>
      <c r="I6020" s="3">
        <v>42004</v>
      </c>
      <c r="J6020"/>
      <c r="L6020"/>
      <c r="M6020"/>
      <c r="N6020" s="20"/>
      <c r="O6020"/>
      <c r="P6020" s="20"/>
      <c r="Q6020" s="20"/>
      <c r="R6020" s="20"/>
      <c r="S6020" s="20"/>
      <c r="T6020" s="20"/>
    </row>
    <row r="6021" spans="1:21" x14ac:dyDescent="0.25">
      <c r="A6021" s="3">
        <v>42027</v>
      </c>
      <c r="B6021" s="36">
        <v>771</v>
      </c>
      <c r="C6021" t="s">
        <v>630</v>
      </c>
      <c r="D6021" s="55">
        <v>6</v>
      </c>
      <c r="E6021" s="18">
        <v>300</v>
      </c>
      <c r="F6021" t="s">
        <v>889</v>
      </c>
      <c r="G6021" t="s">
        <v>631</v>
      </c>
      <c r="H6021" s="18">
        <v>300</v>
      </c>
      <c r="I6021" s="3">
        <v>42027</v>
      </c>
      <c r="J6021"/>
      <c r="L6021"/>
      <c r="M6021"/>
      <c r="N6021" s="20"/>
      <c r="O6021"/>
      <c r="P6021" s="20"/>
      <c r="Q6021" s="20"/>
      <c r="R6021" s="20"/>
      <c r="S6021" s="20"/>
      <c r="T6021" s="20"/>
    </row>
    <row r="6022" spans="1:21" x14ac:dyDescent="0.25">
      <c r="A6022" s="3">
        <v>42034</v>
      </c>
      <c r="B6022">
        <v>771</v>
      </c>
      <c r="C6022" t="s">
        <v>630</v>
      </c>
      <c r="D6022" s="19">
        <v>6</v>
      </c>
      <c r="E6022" s="18">
        <v>1380</v>
      </c>
      <c r="F6022" s="23" t="s">
        <v>889</v>
      </c>
      <c r="G6022" t="s">
        <v>631</v>
      </c>
      <c r="H6022" s="18"/>
      <c r="J6022"/>
      <c r="L6022"/>
      <c r="M6022"/>
      <c r="N6022" s="20"/>
      <c r="O6022"/>
      <c r="P6022" s="20"/>
      <c r="Q6022" s="20"/>
      <c r="R6022" s="20"/>
      <c r="S6022" s="20"/>
      <c r="T6022" s="20"/>
    </row>
    <row r="6023" spans="1:21" x14ac:dyDescent="0.25">
      <c r="A6023" s="3">
        <v>42041</v>
      </c>
      <c r="B6023">
        <v>771</v>
      </c>
      <c r="C6023" t="s">
        <v>6005</v>
      </c>
      <c r="E6023" s="18">
        <v>204</v>
      </c>
      <c r="F6023" t="s">
        <v>889</v>
      </c>
      <c r="G6023" t="s">
        <v>6006</v>
      </c>
      <c r="I6023"/>
      <c r="J6023"/>
      <c r="L6023"/>
      <c r="M6023"/>
      <c r="O6023"/>
      <c r="P6023" s="20"/>
      <c r="Q6023" s="20"/>
      <c r="R6023" s="20"/>
      <c r="S6023" s="20"/>
      <c r="T6023" s="20"/>
    </row>
    <row r="6024" spans="1:21" x14ac:dyDescent="0.25">
      <c r="A6024" s="3">
        <v>42041</v>
      </c>
      <c r="B6024">
        <v>771</v>
      </c>
      <c r="C6024" t="s">
        <v>6009</v>
      </c>
      <c r="E6024" s="18">
        <v>136</v>
      </c>
      <c r="F6024" t="s">
        <v>889</v>
      </c>
      <c r="G6024" t="s">
        <v>6010</v>
      </c>
      <c r="I6024"/>
      <c r="J6024"/>
      <c r="L6024"/>
      <c r="M6024"/>
      <c r="O6024"/>
      <c r="P6024" s="20"/>
      <c r="Q6024" s="20"/>
      <c r="R6024" s="20"/>
      <c r="S6024" s="20"/>
      <c r="T6024" s="20"/>
    </row>
    <row r="6025" spans="1:21" x14ac:dyDescent="0.25">
      <c r="B6025">
        <v>771</v>
      </c>
      <c r="C6025" t="s">
        <v>6013</v>
      </c>
      <c r="D6025">
        <v>7.5</v>
      </c>
      <c r="E6025" s="18">
        <v>-750</v>
      </c>
      <c r="F6025" t="s">
        <v>889</v>
      </c>
      <c r="G6025" t="s">
        <v>6014</v>
      </c>
      <c r="I6025"/>
      <c r="J6025"/>
      <c r="L6025"/>
      <c r="M6025"/>
      <c r="O6025"/>
      <c r="P6025" s="20"/>
      <c r="Q6025" s="20"/>
      <c r="R6025" s="20"/>
      <c r="S6025" s="20"/>
      <c r="T6025" s="20"/>
      <c r="U6025" t="s">
        <v>401</v>
      </c>
    </row>
    <row r="6026" spans="1:21" x14ac:dyDescent="0.25">
      <c r="A6026" s="3">
        <v>41957</v>
      </c>
      <c r="B6026" s="36">
        <v>772</v>
      </c>
      <c r="C6026" t="s">
        <v>6024</v>
      </c>
      <c r="E6026" s="18">
        <v>800</v>
      </c>
      <c r="F6026" t="s">
        <v>889</v>
      </c>
      <c r="G6026" t="s">
        <v>442</v>
      </c>
      <c r="H6026" s="18" t="s">
        <v>442</v>
      </c>
      <c r="I6026" s="3" t="s">
        <v>442</v>
      </c>
      <c r="J6026"/>
      <c r="L6026"/>
      <c r="M6026"/>
      <c r="N6026" s="20"/>
      <c r="O6026"/>
      <c r="P6026" s="20"/>
      <c r="Q6026" s="20"/>
      <c r="R6026" s="20"/>
      <c r="S6026" s="20"/>
      <c r="T6026" s="20" t="s">
        <v>401</v>
      </c>
    </row>
    <row r="6027" spans="1:21" x14ac:dyDescent="0.25">
      <c r="B6027">
        <v>772</v>
      </c>
      <c r="C6027" t="s">
        <v>6024</v>
      </c>
      <c r="E6027" s="18">
        <v>-800</v>
      </c>
      <c r="F6027" t="s">
        <v>889</v>
      </c>
      <c r="G6027" t="s">
        <v>442</v>
      </c>
      <c r="I6027"/>
      <c r="J6027"/>
      <c r="L6027"/>
      <c r="M6027"/>
      <c r="O6027"/>
      <c r="P6027" s="20"/>
      <c r="Q6027" s="20"/>
      <c r="R6027" s="20"/>
      <c r="S6027" s="20"/>
      <c r="T6027" s="20"/>
      <c r="U6027" t="s">
        <v>401</v>
      </c>
    </row>
    <row r="6028" spans="1:21" x14ac:dyDescent="0.25">
      <c r="A6028" s="57">
        <v>42004</v>
      </c>
      <c r="B6028" s="42">
        <v>775</v>
      </c>
      <c r="C6028" s="45" t="s">
        <v>2243</v>
      </c>
      <c r="D6028" s="45">
        <v>4.16</v>
      </c>
      <c r="E6028" s="58">
        <v>138.66666666666666</v>
      </c>
      <c r="F6028" s="45" t="s">
        <v>889</v>
      </c>
      <c r="G6028" s="45" t="s">
        <v>2244</v>
      </c>
      <c r="H6028" s="18">
        <v>138.66666666666666</v>
      </c>
      <c r="I6028" s="3">
        <v>42004</v>
      </c>
      <c r="J6028" s="45"/>
      <c r="K6028" s="45"/>
      <c r="L6028" s="45"/>
      <c r="M6028" s="45"/>
      <c r="N6028" s="45"/>
      <c r="O6028" s="45"/>
      <c r="P6028" s="20"/>
      <c r="Q6028" s="20"/>
      <c r="R6028" s="20"/>
      <c r="S6028" s="20"/>
      <c r="T6028" s="20"/>
    </row>
    <row r="6029" spans="1:21" x14ac:dyDescent="0.25">
      <c r="A6029" s="3">
        <v>42041</v>
      </c>
      <c r="B6029">
        <v>775</v>
      </c>
      <c r="C6029" t="s">
        <v>2243</v>
      </c>
      <c r="E6029" s="18">
        <v>138.66666666666666</v>
      </c>
      <c r="F6029" t="s">
        <v>889</v>
      </c>
      <c r="G6029" t="s">
        <v>2244</v>
      </c>
      <c r="I6029"/>
      <c r="J6029"/>
      <c r="L6029"/>
      <c r="M6029"/>
      <c r="O6029"/>
      <c r="P6029" s="20"/>
      <c r="Q6029" s="20"/>
      <c r="R6029" s="20"/>
      <c r="S6029" s="20"/>
      <c r="T6029" s="20"/>
    </row>
    <row r="6030" spans="1:21" x14ac:dyDescent="0.25">
      <c r="A6030" s="3" t="s">
        <v>6025</v>
      </c>
      <c r="B6030" s="36">
        <v>782</v>
      </c>
      <c r="C6030" t="s">
        <v>6026</v>
      </c>
      <c r="E6030" s="18">
        <v>1000</v>
      </c>
      <c r="G6030" t="s">
        <v>442</v>
      </c>
      <c r="H6030" s="18" t="s">
        <v>442</v>
      </c>
      <c r="I6030" s="3" t="s">
        <v>442</v>
      </c>
      <c r="J6030"/>
      <c r="L6030"/>
      <c r="M6030"/>
      <c r="N6030" s="20"/>
      <c r="O6030"/>
      <c r="P6030" s="20"/>
      <c r="Q6030" s="20"/>
      <c r="R6030" s="20"/>
      <c r="S6030" s="20"/>
      <c r="T6030" s="20" t="s">
        <v>401</v>
      </c>
    </row>
    <row r="6031" spans="1:21" x14ac:dyDescent="0.25">
      <c r="A6031" s="3" t="s">
        <v>4216</v>
      </c>
      <c r="B6031" s="36">
        <v>782</v>
      </c>
      <c r="C6031" t="s">
        <v>4217</v>
      </c>
      <c r="E6031" s="18">
        <v>1000</v>
      </c>
      <c r="G6031" t="s">
        <v>442</v>
      </c>
      <c r="H6031" s="18" t="s">
        <v>442</v>
      </c>
      <c r="I6031" s="3" t="s">
        <v>442</v>
      </c>
      <c r="J6031"/>
      <c r="L6031"/>
      <c r="M6031"/>
      <c r="N6031" s="20"/>
      <c r="O6031"/>
      <c r="P6031" s="20"/>
      <c r="Q6031" s="20"/>
      <c r="R6031" s="20"/>
      <c r="S6031" s="20"/>
      <c r="T6031" s="20" t="s">
        <v>401</v>
      </c>
    </row>
    <row r="6032" spans="1:21" x14ac:dyDescent="0.25">
      <c r="A6032" s="3" t="s">
        <v>5915</v>
      </c>
      <c r="B6032" s="36">
        <v>782</v>
      </c>
      <c r="C6032" t="s">
        <v>4540</v>
      </c>
      <c r="E6032" s="18">
        <v>1000</v>
      </c>
      <c r="G6032" t="s">
        <v>442</v>
      </c>
      <c r="H6032" s="18" t="s">
        <v>442</v>
      </c>
      <c r="I6032" s="3" t="s">
        <v>442</v>
      </c>
      <c r="J6032"/>
      <c r="L6032"/>
      <c r="M6032"/>
      <c r="N6032" s="20"/>
      <c r="O6032"/>
      <c r="P6032" s="20"/>
      <c r="Q6032" s="20"/>
      <c r="R6032" s="20"/>
      <c r="S6032" s="20"/>
      <c r="T6032" s="20" t="s">
        <v>401</v>
      </c>
    </row>
    <row r="6033" spans="1:21" x14ac:dyDescent="0.25">
      <c r="A6033" s="3" t="s">
        <v>5425</v>
      </c>
      <c r="B6033" s="36">
        <v>782</v>
      </c>
      <c r="C6033" t="s">
        <v>5426</v>
      </c>
      <c r="E6033" s="18">
        <v>1000</v>
      </c>
      <c r="G6033" t="s">
        <v>442</v>
      </c>
      <c r="H6033" s="18" t="s">
        <v>442</v>
      </c>
      <c r="I6033" s="3" t="s">
        <v>442</v>
      </c>
      <c r="J6033"/>
      <c r="L6033"/>
      <c r="M6033"/>
      <c r="N6033" s="20"/>
      <c r="O6033"/>
      <c r="P6033" s="20"/>
      <c r="Q6033" s="20"/>
      <c r="R6033" s="20"/>
      <c r="S6033" s="20"/>
      <c r="T6033" s="20" t="s">
        <v>401</v>
      </c>
    </row>
    <row r="6034" spans="1:21" x14ac:dyDescent="0.25">
      <c r="A6034" s="3" t="s">
        <v>6027</v>
      </c>
      <c r="B6034" s="36">
        <v>782</v>
      </c>
      <c r="C6034" t="s">
        <v>6028</v>
      </c>
      <c r="E6034" s="18">
        <v>1000</v>
      </c>
      <c r="G6034" t="s">
        <v>442</v>
      </c>
      <c r="H6034" s="18" t="s">
        <v>442</v>
      </c>
      <c r="I6034" s="3" t="s">
        <v>442</v>
      </c>
      <c r="J6034"/>
      <c r="L6034"/>
      <c r="M6034"/>
      <c r="N6034" s="20"/>
      <c r="O6034"/>
      <c r="P6034" s="20"/>
      <c r="Q6034" s="20"/>
      <c r="R6034" s="20"/>
      <c r="S6034" s="20"/>
      <c r="T6034" s="20" t="s">
        <v>401</v>
      </c>
    </row>
    <row r="6035" spans="1:21" x14ac:dyDescent="0.25">
      <c r="A6035" s="3" t="s">
        <v>5430</v>
      </c>
      <c r="B6035" s="36">
        <v>782</v>
      </c>
      <c r="C6035" t="s">
        <v>5431</v>
      </c>
      <c r="E6035" s="18">
        <v>1250</v>
      </c>
      <c r="G6035" t="s">
        <v>442</v>
      </c>
      <c r="H6035" s="18" t="s">
        <v>442</v>
      </c>
      <c r="I6035" s="3" t="s">
        <v>442</v>
      </c>
      <c r="J6035"/>
      <c r="L6035"/>
      <c r="M6035"/>
      <c r="N6035" s="20"/>
      <c r="O6035"/>
      <c r="P6035" s="20"/>
      <c r="Q6035" s="20"/>
      <c r="R6035" s="20"/>
      <c r="S6035" s="20"/>
      <c r="T6035" s="20" t="s">
        <v>401</v>
      </c>
    </row>
    <row r="6036" spans="1:21" x14ac:dyDescent="0.25">
      <c r="A6036" s="3" t="s">
        <v>5432</v>
      </c>
      <c r="B6036" s="36">
        <v>782</v>
      </c>
      <c r="C6036" t="s">
        <v>5433</v>
      </c>
      <c r="E6036" s="18">
        <v>1000</v>
      </c>
      <c r="G6036" t="s">
        <v>442</v>
      </c>
      <c r="H6036" s="18" t="s">
        <v>442</v>
      </c>
      <c r="I6036" s="3" t="s">
        <v>442</v>
      </c>
      <c r="J6036"/>
      <c r="L6036"/>
      <c r="M6036"/>
      <c r="N6036" s="20"/>
      <c r="O6036"/>
      <c r="P6036" s="20"/>
      <c r="Q6036" s="20"/>
      <c r="R6036" s="20"/>
      <c r="S6036" s="20"/>
      <c r="T6036" s="20" t="s">
        <v>401</v>
      </c>
    </row>
    <row r="6037" spans="1:21" x14ac:dyDescent="0.25">
      <c r="A6037" s="3">
        <v>42034</v>
      </c>
      <c r="B6037">
        <v>782</v>
      </c>
      <c r="C6037" t="s">
        <v>565</v>
      </c>
      <c r="D6037" s="19">
        <v>3.38</v>
      </c>
      <c r="E6037" s="18">
        <v>777.4</v>
      </c>
      <c r="F6037" s="23" t="s">
        <v>889</v>
      </c>
      <c r="G6037" t="s">
        <v>566</v>
      </c>
      <c r="H6037" s="18"/>
      <c r="J6037"/>
      <c r="L6037"/>
      <c r="M6037"/>
      <c r="N6037" s="20"/>
      <c r="O6037"/>
      <c r="P6037" s="20"/>
      <c r="Q6037" s="20"/>
      <c r="R6037" s="20"/>
      <c r="S6037" s="20"/>
      <c r="T6037" s="20"/>
    </row>
    <row r="6038" spans="1:21" x14ac:dyDescent="0.25">
      <c r="B6038">
        <v>782</v>
      </c>
      <c r="C6038" t="s">
        <v>6026</v>
      </c>
      <c r="E6038" s="18">
        <v>-1000</v>
      </c>
      <c r="G6038" t="s">
        <v>442</v>
      </c>
      <c r="I6038"/>
      <c r="J6038"/>
      <c r="L6038"/>
      <c r="M6038"/>
      <c r="O6038"/>
      <c r="P6038" s="20"/>
      <c r="Q6038" s="20"/>
      <c r="R6038" s="20"/>
      <c r="S6038" s="20"/>
      <c r="T6038" s="20"/>
      <c r="U6038" t="s">
        <v>401</v>
      </c>
    </row>
    <row r="6039" spans="1:21" x14ac:dyDescent="0.25">
      <c r="B6039">
        <v>782</v>
      </c>
      <c r="C6039" t="s">
        <v>4217</v>
      </c>
      <c r="E6039" s="18">
        <v>-1000</v>
      </c>
      <c r="G6039" t="s">
        <v>442</v>
      </c>
      <c r="I6039"/>
      <c r="J6039"/>
      <c r="L6039"/>
      <c r="M6039"/>
      <c r="O6039"/>
      <c r="P6039" s="20"/>
      <c r="Q6039" s="20"/>
      <c r="R6039" s="20"/>
      <c r="S6039" s="20"/>
      <c r="T6039" s="20"/>
      <c r="U6039" t="s">
        <v>401</v>
      </c>
    </row>
    <row r="6040" spans="1:21" x14ac:dyDescent="0.25">
      <c r="B6040">
        <v>782</v>
      </c>
      <c r="C6040" t="s">
        <v>4540</v>
      </c>
      <c r="E6040" s="18">
        <v>-1000</v>
      </c>
      <c r="G6040" t="s">
        <v>442</v>
      </c>
      <c r="I6040"/>
      <c r="J6040"/>
      <c r="L6040"/>
      <c r="M6040"/>
      <c r="O6040"/>
      <c r="P6040" s="20"/>
      <c r="Q6040" s="20"/>
      <c r="R6040" s="20"/>
      <c r="S6040" s="20"/>
      <c r="T6040" s="20"/>
      <c r="U6040" t="s">
        <v>401</v>
      </c>
    </row>
    <row r="6041" spans="1:21" x14ac:dyDescent="0.25">
      <c r="B6041">
        <v>782</v>
      </c>
      <c r="C6041" t="s">
        <v>5426</v>
      </c>
      <c r="E6041" s="18">
        <v>-1000</v>
      </c>
      <c r="G6041" t="s">
        <v>442</v>
      </c>
      <c r="I6041"/>
      <c r="J6041"/>
      <c r="L6041"/>
      <c r="M6041"/>
      <c r="O6041"/>
      <c r="P6041" s="20"/>
      <c r="Q6041" s="20"/>
      <c r="R6041" s="20"/>
      <c r="S6041" s="20"/>
      <c r="T6041" s="20"/>
      <c r="U6041" t="s">
        <v>401</v>
      </c>
    </row>
    <row r="6042" spans="1:21" x14ac:dyDescent="0.25">
      <c r="B6042">
        <v>782</v>
      </c>
      <c r="C6042" t="s">
        <v>6028</v>
      </c>
      <c r="E6042" s="18">
        <v>-1000</v>
      </c>
      <c r="G6042" t="s">
        <v>442</v>
      </c>
      <c r="I6042"/>
      <c r="J6042"/>
      <c r="L6042"/>
      <c r="M6042"/>
      <c r="O6042"/>
      <c r="P6042" s="20"/>
      <c r="Q6042" s="20"/>
      <c r="R6042" s="20"/>
      <c r="S6042" s="20"/>
      <c r="T6042" s="20"/>
      <c r="U6042" t="s">
        <v>401</v>
      </c>
    </row>
    <row r="6043" spans="1:21" x14ac:dyDescent="0.25">
      <c r="B6043">
        <v>782</v>
      </c>
      <c r="C6043" t="s">
        <v>5431</v>
      </c>
      <c r="E6043" s="18">
        <v>-1250</v>
      </c>
      <c r="G6043" t="s">
        <v>442</v>
      </c>
      <c r="I6043"/>
      <c r="J6043"/>
      <c r="L6043"/>
      <c r="M6043"/>
      <c r="O6043"/>
      <c r="P6043" s="20"/>
      <c r="Q6043" s="20"/>
      <c r="R6043" s="20"/>
      <c r="S6043" s="20"/>
      <c r="T6043" s="20"/>
      <c r="U6043" t="s">
        <v>401</v>
      </c>
    </row>
    <row r="6044" spans="1:21" x14ac:dyDescent="0.25">
      <c r="B6044">
        <v>782</v>
      </c>
      <c r="C6044" t="s">
        <v>5433</v>
      </c>
      <c r="E6044" s="18">
        <v>-1000</v>
      </c>
      <c r="G6044" t="s">
        <v>442</v>
      </c>
      <c r="I6044"/>
      <c r="J6044"/>
      <c r="L6044"/>
      <c r="M6044"/>
      <c r="O6044"/>
      <c r="P6044" s="20"/>
      <c r="Q6044" s="20"/>
      <c r="R6044" s="20"/>
      <c r="S6044" s="20"/>
      <c r="T6044" s="20"/>
      <c r="U6044" t="s">
        <v>401</v>
      </c>
    </row>
    <row r="6045" spans="1:21" x14ac:dyDescent="0.25">
      <c r="A6045" s="3">
        <v>41971</v>
      </c>
      <c r="B6045" s="36">
        <v>784</v>
      </c>
      <c r="C6045" t="s">
        <v>6029</v>
      </c>
      <c r="D6045">
        <v>3.3149999999999999</v>
      </c>
      <c r="E6045" s="18">
        <v>331.5</v>
      </c>
      <c r="F6045" t="s">
        <v>889</v>
      </c>
      <c r="G6045" t="s">
        <v>6030</v>
      </c>
      <c r="H6045" s="18">
        <v>331.5</v>
      </c>
      <c r="I6045" s="3">
        <v>41971</v>
      </c>
      <c r="J6045"/>
      <c r="L6045"/>
      <c r="M6045"/>
      <c r="N6045" s="20"/>
      <c r="O6045"/>
      <c r="P6045" s="20"/>
      <c r="Q6045" s="20"/>
      <c r="R6045" s="20"/>
      <c r="S6045" s="20"/>
      <c r="T6045" s="20"/>
    </row>
    <row r="6046" spans="1:21" x14ac:dyDescent="0.25">
      <c r="A6046" s="3">
        <v>41999</v>
      </c>
      <c r="B6046" s="36">
        <v>784</v>
      </c>
      <c r="C6046" t="s">
        <v>6029</v>
      </c>
      <c r="D6046">
        <v>7.5</v>
      </c>
      <c r="E6046" s="18">
        <v>1168.5</v>
      </c>
      <c r="F6046" t="s">
        <v>889</v>
      </c>
      <c r="G6046" t="s">
        <v>6030</v>
      </c>
      <c r="H6046" s="18">
        <v>1168.5</v>
      </c>
      <c r="I6046" s="3">
        <v>41999</v>
      </c>
      <c r="J6046"/>
      <c r="L6046"/>
      <c r="M6046"/>
      <c r="N6046" s="20"/>
      <c r="O6046" t="s">
        <v>959</v>
      </c>
      <c r="P6046" s="20"/>
      <c r="Q6046" s="20"/>
      <c r="R6046" s="20"/>
      <c r="S6046" s="20"/>
      <c r="T6046" s="20"/>
    </row>
    <row r="6047" spans="1:21" x14ac:dyDescent="0.25">
      <c r="A6047" s="3">
        <v>42027</v>
      </c>
      <c r="B6047" s="36">
        <v>784</v>
      </c>
      <c r="C6047" t="s">
        <v>449</v>
      </c>
      <c r="D6047" s="55">
        <v>5.0999999999999996</v>
      </c>
      <c r="E6047" s="18">
        <v>254.99999999999997</v>
      </c>
      <c r="F6047" t="s">
        <v>889</v>
      </c>
      <c r="G6047" t="s">
        <v>450</v>
      </c>
      <c r="H6047" s="18">
        <v>254.99999999999997</v>
      </c>
      <c r="I6047" s="3">
        <v>42027</v>
      </c>
      <c r="J6047"/>
      <c r="L6047"/>
      <c r="M6047"/>
      <c r="N6047" s="20"/>
      <c r="O6047"/>
      <c r="P6047" s="20"/>
      <c r="Q6047" s="20"/>
      <c r="R6047" s="20"/>
      <c r="S6047" s="20"/>
      <c r="T6047" s="20"/>
    </row>
    <row r="6048" spans="1:21" x14ac:dyDescent="0.25">
      <c r="B6048">
        <v>784</v>
      </c>
      <c r="C6048" t="s">
        <v>6029</v>
      </c>
      <c r="D6048">
        <v>3.3149999999999999</v>
      </c>
      <c r="E6048" s="18">
        <v>-837</v>
      </c>
      <c r="F6048" t="s">
        <v>889</v>
      </c>
      <c r="G6048" t="s">
        <v>6030</v>
      </c>
      <c r="I6048"/>
      <c r="J6048"/>
      <c r="L6048"/>
      <c r="M6048"/>
      <c r="O6048"/>
      <c r="P6048" s="20"/>
      <c r="Q6048" s="20"/>
      <c r="R6048" s="20"/>
      <c r="S6048" s="20"/>
      <c r="T6048" s="20"/>
      <c r="U6048" t="s">
        <v>401</v>
      </c>
    </row>
    <row r="6049" spans="1:21" x14ac:dyDescent="0.25">
      <c r="A6049" s="57">
        <v>41953</v>
      </c>
      <c r="B6049" s="42">
        <v>788</v>
      </c>
      <c r="C6049" s="45" t="s">
        <v>6031</v>
      </c>
      <c r="D6049" s="45">
        <v>4.5</v>
      </c>
      <c r="E6049" s="58">
        <v>450</v>
      </c>
      <c r="F6049" s="45"/>
      <c r="G6049" s="45" t="s">
        <v>4500</v>
      </c>
      <c r="H6049" s="18">
        <v>450</v>
      </c>
      <c r="I6049" s="3">
        <v>41953</v>
      </c>
      <c r="J6049" s="45"/>
      <c r="K6049" s="45"/>
      <c r="L6049" s="45"/>
      <c r="M6049" s="45"/>
      <c r="N6049" s="45"/>
      <c r="O6049" s="45"/>
      <c r="P6049" s="20"/>
      <c r="Q6049" s="20"/>
      <c r="R6049" s="20"/>
      <c r="S6049" s="20"/>
      <c r="T6049" s="20"/>
    </row>
    <row r="6050" spans="1:21" x14ac:dyDescent="0.25">
      <c r="A6050" s="57">
        <v>41953</v>
      </c>
      <c r="B6050" s="42">
        <v>788</v>
      </c>
      <c r="C6050" s="45" t="s">
        <v>6032</v>
      </c>
      <c r="D6050" s="45">
        <v>6.5</v>
      </c>
      <c r="E6050" s="58">
        <v>650</v>
      </c>
      <c r="F6050" s="45"/>
      <c r="G6050" s="45" t="s">
        <v>4496</v>
      </c>
      <c r="H6050" s="18">
        <v>650</v>
      </c>
      <c r="I6050" s="3">
        <v>41953</v>
      </c>
      <c r="J6050" s="45"/>
      <c r="K6050" s="45"/>
      <c r="L6050" s="45"/>
      <c r="M6050" s="45"/>
      <c r="N6050" s="45"/>
      <c r="O6050" s="45"/>
      <c r="P6050" s="20"/>
      <c r="Q6050" s="20"/>
      <c r="R6050" s="20"/>
      <c r="S6050" s="20"/>
      <c r="T6050" s="20"/>
    </row>
    <row r="6051" spans="1:21" x14ac:dyDescent="0.25">
      <c r="A6051" s="3">
        <v>41957</v>
      </c>
      <c r="B6051" s="36">
        <v>790</v>
      </c>
      <c r="C6051" t="s">
        <v>6033</v>
      </c>
      <c r="D6051">
        <v>7.3949999999999996</v>
      </c>
      <c r="E6051" s="18">
        <v>739.5</v>
      </c>
      <c r="F6051" t="s">
        <v>889</v>
      </c>
      <c r="G6051" t="s">
        <v>6034</v>
      </c>
      <c r="H6051" s="18">
        <v>739.5</v>
      </c>
      <c r="I6051" s="3">
        <v>41957</v>
      </c>
      <c r="J6051"/>
      <c r="L6051"/>
      <c r="M6051"/>
      <c r="N6051" s="20"/>
      <c r="O6051"/>
      <c r="P6051" s="20"/>
      <c r="Q6051" s="20"/>
      <c r="R6051" s="20"/>
      <c r="S6051" s="20"/>
      <c r="T6051" s="20"/>
    </row>
    <row r="6052" spans="1:21" x14ac:dyDescent="0.25">
      <c r="A6052" s="3">
        <v>41964</v>
      </c>
      <c r="B6052" s="36">
        <v>790</v>
      </c>
      <c r="C6052" t="s">
        <v>6035</v>
      </c>
      <c r="D6052">
        <v>4.335</v>
      </c>
      <c r="E6052" s="18">
        <v>433.5</v>
      </c>
      <c r="F6052" t="s">
        <v>889</v>
      </c>
      <c r="G6052" t="s">
        <v>6036</v>
      </c>
      <c r="H6052" s="18">
        <v>433.5</v>
      </c>
      <c r="I6052" s="3">
        <v>41964</v>
      </c>
      <c r="J6052"/>
      <c r="L6052"/>
      <c r="M6052"/>
      <c r="N6052" s="20"/>
      <c r="O6052"/>
      <c r="P6052" s="20"/>
      <c r="Q6052" s="20"/>
      <c r="R6052" s="20"/>
      <c r="S6052" s="20"/>
      <c r="T6052" s="20"/>
    </row>
    <row r="6053" spans="1:21" x14ac:dyDescent="0.25">
      <c r="A6053" s="3">
        <v>41964</v>
      </c>
      <c r="B6053" s="36">
        <v>790</v>
      </c>
      <c r="C6053" t="s">
        <v>6037</v>
      </c>
      <c r="D6053">
        <v>6.63</v>
      </c>
      <c r="E6053" s="18">
        <v>663</v>
      </c>
      <c r="F6053" t="s">
        <v>889</v>
      </c>
      <c r="G6053" t="s">
        <v>6038</v>
      </c>
      <c r="H6053" s="18">
        <v>663</v>
      </c>
      <c r="I6053" s="3">
        <v>41964</v>
      </c>
      <c r="J6053"/>
      <c r="L6053"/>
      <c r="M6053"/>
      <c r="N6053" s="20"/>
      <c r="O6053"/>
      <c r="P6053" s="20"/>
      <c r="Q6053" s="20"/>
      <c r="R6053" s="20"/>
      <c r="S6053" s="20"/>
      <c r="T6053" s="20"/>
    </row>
    <row r="6054" spans="1:21" x14ac:dyDescent="0.25">
      <c r="A6054" s="3">
        <v>41978</v>
      </c>
      <c r="B6054" s="36">
        <v>790</v>
      </c>
      <c r="C6054" t="s">
        <v>6039</v>
      </c>
      <c r="D6054">
        <v>9.18</v>
      </c>
      <c r="E6054" s="18">
        <v>918</v>
      </c>
      <c r="F6054" t="s">
        <v>889</v>
      </c>
      <c r="G6054" t="s">
        <v>6040</v>
      </c>
      <c r="H6054" s="18">
        <v>918</v>
      </c>
      <c r="I6054" s="3">
        <v>41978</v>
      </c>
      <c r="J6054"/>
      <c r="L6054"/>
      <c r="M6054"/>
      <c r="N6054" s="20"/>
      <c r="O6054"/>
      <c r="P6054" s="20"/>
      <c r="Q6054" s="20"/>
      <c r="R6054" s="20"/>
      <c r="S6054" s="20"/>
      <c r="T6054" s="20"/>
    </row>
    <row r="6055" spans="1:21" x14ac:dyDescent="0.25">
      <c r="A6055" s="3">
        <v>41995</v>
      </c>
      <c r="B6055" s="36">
        <v>790</v>
      </c>
      <c r="C6055" t="s">
        <v>5290</v>
      </c>
      <c r="E6055" s="18">
        <v>750</v>
      </c>
      <c r="F6055" t="s">
        <v>889</v>
      </c>
      <c r="G6055" t="s">
        <v>442</v>
      </c>
      <c r="H6055" s="18" t="s">
        <v>442</v>
      </c>
      <c r="I6055" s="3" t="s">
        <v>442</v>
      </c>
      <c r="J6055"/>
      <c r="L6055"/>
      <c r="M6055"/>
      <c r="N6055" s="20"/>
      <c r="O6055"/>
      <c r="P6055" s="20"/>
      <c r="Q6055" s="20"/>
      <c r="R6055" s="20"/>
      <c r="S6055" s="20"/>
      <c r="T6055" s="20" t="s">
        <v>401</v>
      </c>
    </row>
    <row r="6056" spans="1:21" x14ac:dyDescent="0.25">
      <c r="A6056" s="3">
        <v>42013</v>
      </c>
      <c r="B6056" s="36">
        <v>790</v>
      </c>
      <c r="C6056" t="s">
        <v>818</v>
      </c>
      <c r="D6056">
        <v>5.3550000000000004</v>
      </c>
      <c r="E6056" s="18">
        <v>517.75</v>
      </c>
      <c r="F6056" t="s">
        <v>889</v>
      </c>
      <c r="G6056" t="s">
        <v>819</v>
      </c>
      <c r="H6056" s="18">
        <v>517.75</v>
      </c>
      <c r="I6056" s="3">
        <v>42013</v>
      </c>
      <c r="J6056"/>
      <c r="L6056"/>
      <c r="M6056"/>
      <c r="N6056" s="20"/>
      <c r="O6056"/>
      <c r="P6056" s="20"/>
      <c r="Q6056" s="20"/>
      <c r="R6056" s="20"/>
      <c r="S6056" s="20"/>
      <c r="T6056" s="20"/>
    </row>
    <row r="6057" spans="1:21" x14ac:dyDescent="0.25">
      <c r="A6057" s="3">
        <v>42013</v>
      </c>
      <c r="B6057" s="36">
        <v>790</v>
      </c>
      <c r="C6057" t="s">
        <v>6041</v>
      </c>
      <c r="D6057">
        <v>13</v>
      </c>
      <c r="E6057" s="18">
        <v>849.25</v>
      </c>
      <c r="F6057" t="s">
        <v>889</v>
      </c>
      <c r="G6057" t="s">
        <v>719</v>
      </c>
      <c r="H6057" s="18">
        <v>849.25</v>
      </c>
      <c r="I6057" s="3">
        <v>42013</v>
      </c>
      <c r="J6057"/>
      <c r="L6057"/>
      <c r="M6057"/>
      <c r="N6057" s="20"/>
      <c r="O6057"/>
      <c r="P6057" s="20"/>
      <c r="Q6057" s="20"/>
      <c r="R6057" s="20"/>
      <c r="S6057" s="20"/>
      <c r="T6057" s="20"/>
    </row>
    <row r="6058" spans="1:21" x14ac:dyDescent="0.25">
      <c r="B6058">
        <v>790</v>
      </c>
      <c r="C6058" t="s">
        <v>5290</v>
      </c>
      <c r="E6058" s="18">
        <v>-750</v>
      </c>
      <c r="F6058" t="s">
        <v>889</v>
      </c>
      <c r="G6058" t="s">
        <v>442</v>
      </c>
      <c r="I6058"/>
      <c r="J6058"/>
      <c r="L6058"/>
      <c r="M6058"/>
      <c r="O6058"/>
      <c r="P6058" s="20"/>
      <c r="Q6058" s="20"/>
      <c r="R6058" s="20"/>
      <c r="S6058" s="20"/>
      <c r="T6058" s="20"/>
      <c r="U6058" t="s">
        <v>401</v>
      </c>
    </row>
    <row r="6059" spans="1:21" x14ac:dyDescent="0.25">
      <c r="B6059">
        <v>790</v>
      </c>
      <c r="C6059" t="s">
        <v>1314</v>
      </c>
      <c r="E6059" s="18">
        <v>-50</v>
      </c>
      <c r="G6059" t="s">
        <v>442</v>
      </c>
      <c r="I6059"/>
      <c r="J6059"/>
      <c r="L6059"/>
      <c r="M6059"/>
      <c r="O6059"/>
      <c r="P6059" s="20"/>
      <c r="Q6059" s="20"/>
      <c r="R6059" s="20"/>
      <c r="S6059" s="20"/>
      <c r="T6059" s="20"/>
      <c r="U6059" t="s">
        <v>401</v>
      </c>
    </row>
    <row r="6060" spans="1:21" x14ac:dyDescent="0.25">
      <c r="A6060" s="3">
        <v>41968</v>
      </c>
      <c r="B6060" s="36">
        <v>793</v>
      </c>
      <c r="C6060" t="s">
        <v>6042</v>
      </c>
      <c r="D6060">
        <v>6.12</v>
      </c>
      <c r="E6060" s="18">
        <v>612</v>
      </c>
      <c r="F6060" t="s">
        <v>889</v>
      </c>
      <c r="G6060" t="s">
        <v>6043</v>
      </c>
      <c r="H6060" s="18">
        <v>612</v>
      </c>
      <c r="I6060" s="3">
        <v>41968</v>
      </c>
      <c r="J6060"/>
      <c r="L6060"/>
      <c r="M6060"/>
      <c r="N6060" s="20"/>
      <c r="O6060"/>
      <c r="P6060" s="20"/>
      <c r="Q6060" s="20"/>
      <c r="R6060" s="20"/>
      <c r="S6060" s="20"/>
      <c r="T6060" s="20"/>
    </row>
    <row r="6061" spans="1:21" x14ac:dyDescent="0.25">
      <c r="A6061" s="3">
        <v>42019</v>
      </c>
      <c r="B6061" s="36">
        <v>793</v>
      </c>
      <c r="C6061" t="s">
        <v>6044</v>
      </c>
      <c r="D6061" s="55">
        <v>5.8650000000000002</v>
      </c>
      <c r="E6061" s="18">
        <v>586.5</v>
      </c>
      <c r="F6061" t="s">
        <v>889</v>
      </c>
      <c r="G6061" t="s">
        <v>6045</v>
      </c>
      <c r="H6061" s="18">
        <v>586.5</v>
      </c>
      <c r="I6061" s="3">
        <v>42019</v>
      </c>
      <c r="J6061"/>
      <c r="L6061"/>
      <c r="M6061"/>
      <c r="N6061" s="20"/>
      <c r="O6061"/>
      <c r="P6061" s="20"/>
      <c r="Q6061" s="20"/>
      <c r="R6061" s="20"/>
      <c r="S6061" s="20"/>
      <c r="T6061" s="20"/>
    </row>
    <row r="6062" spans="1:21" x14ac:dyDescent="0.25">
      <c r="B6062">
        <v>793</v>
      </c>
      <c r="C6062" t="s">
        <v>1314</v>
      </c>
      <c r="E6062" s="18">
        <v>-50</v>
      </c>
      <c r="G6062" t="s">
        <v>442</v>
      </c>
      <c r="I6062"/>
      <c r="J6062"/>
      <c r="L6062"/>
      <c r="M6062"/>
      <c r="O6062"/>
      <c r="P6062" s="20"/>
      <c r="Q6062" s="20"/>
      <c r="R6062" s="20"/>
      <c r="S6062" s="20"/>
      <c r="T6062" s="20"/>
      <c r="U6062" t="s">
        <v>401</v>
      </c>
    </row>
    <row r="6063" spans="1:21" x14ac:dyDescent="0.25">
      <c r="B6063">
        <v>800</v>
      </c>
      <c r="C6063" t="s">
        <v>1314</v>
      </c>
      <c r="E6063" s="18">
        <v>-50</v>
      </c>
      <c r="G6063" t="s">
        <v>442</v>
      </c>
      <c r="I6063"/>
      <c r="J6063"/>
      <c r="L6063"/>
      <c r="M6063"/>
      <c r="O6063"/>
      <c r="P6063" s="20"/>
      <c r="Q6063" s="20"/>
      <c r="R6063" s="20"/>
      <c r="S6063" s="20"/>
      <c r="T6063" s="20"/>
      <c r="U6063" t="s">
        <v>401</v>
      </c>
    </row>
    <row r="6064" spans="1:21" x14ac:dyDescent="0.25">
      <c r="B6064">
        <v>803</v>
      </c>
      <c r="C6064" t="s">
        <v>1314</v>
      </c>
      <c r="E6064" s="18">
        <v>-50</v>
      </c>
      <c r="G6064" t="s">
        <v>442</v>
      </c>
      <c r="I6064"/>
      <c r="J6064"/>
      <c r="L6064"/>
      <c r="M6064"/>
      <c r="O6064"/>
      <c r="P6064" s="20"/>
      <c r="Q6064" s="20"/>
      <c r="R6064" s="20"/>
      <c r="S6064" s="20"/>
      <c r="T6064" s="20"/>
      <c r="U6064" t="s">
        <v>401</v>
      </c>
    </row>
    <row r="6065" spans="1:21" x14ac:dyDescent="0.25">
      <c r="A6065" s="3">
        <v>41957</v>
      </c>
      <c r="B6065" s="36">
        <v>807</v>
      </c>
      <c r="C6065" t="s">
        <v>3493</v>
      </c>
      <c r="E6065" s="18">
        <v>500</v>
      </c>
      <c r="F6065" t="s">
        <v>889</v>
      </c>
      <c r="G6065" t="s">
        <v>442</v>
      </c>
      <c r="H6065" s="18" t="s">
        <v>442</v>
      </c>
      <c r="I6065" s="3" t="s">
        <v>442</v>
      </c>
      <c r="J6065"/>
      <c r="L6065"/>
      <c r="M6065"/>
      <c r="N6065" s="20"/>
      <c r="O6065"/>
      <c r="P6065" s="20"/>
      <c r="Q6065" s="20"/>
      <c r="R6065" s="20"/>
      <c r="S6065" s="20"/>
      <c r="T6065" s="20" t="s">
        <v>401</v>
      </c>
    </row>
    <row r="6066" spans="1:21" x14ac:dyDescent="0.25">
      <c r="A6066" s="3">
        <v>41964</v>
      </c>
      <c r="B6066" s="36">
        <v>807</v>
      </c>
      <c r="C6066" t="s">
        <v>6046</v>
      </c>
      <c r="D6066">
        <v>4.8449999999999998</v>
      </c>
      <c r="E6066" s="18">
        <v>484.5</v>
      </c>
      <c r="F6066" t="s">
        <v>889</v>
      </c>
      <c r="G6066" t="s">
        <v>6047</v>
      </c>
      <c r="H6066" s="18">
        <v>484.5</v>
      </c>
      <c r="I6066" s="3">
        <v>41964</v>
      </c>
      <c r="J6066"/>
      <c r="L6066"/>
      <c r="M6066"/>
      <c r="N6066" s="20"/>
      <c r="O6066"/>
      <c r="P6066" s="20"/>
      <c r="Q6066" s="20"/>
      <c r="R6066" s="20"/>
      <c r="S6066" s="20"/>
      <c r="T6066" s="20"/>
    </row>
    <row r="6067" spans="1:21" x14ac:dyDescent="0.25">
      <c r="A6067" s="3">
        <v>41978</v>
      </c>
      <c r="B6067" s="36">
        <v>807</v>
      </c>
      <c r="C6067" t="s">
        <v>6048</v>
      </c>
      <c r="D6067">
        <v>3.25</v>
      </c>
      <c r="E6067" s="18">
        <v>325</v>
      </c>
      <c r="F6067" t="s">
        <v>889</v>
      </c>
      <c r="G6067" t="s">
        <v>6049</v>
      </c>
      <c r="H6067" s="18">
        <v>325</v>
      </c>
      <c r="I6067" s="3">
        <v>41978</v>
      </c>
      <c r="J6067"/>
      <c r="L6067"/>
      <c r="M6067"/>
      <c r="N6067" s="20"/>
      <c r="O6067"/>
      <c r="P6067" s="20"/>
      <c r="Q6067" s="20"/>
      <c r="R6067" s="20"/>
      <c r="S6067" s="20"/>
      <c r="T6067" s="20"/>
    </row>
    <row r="6068" spans="1:21" x14ac:dyDescent="0.25">
      <c r="A6068" s="3">
        <v>41978</v>
      </c>
      <c r="B6068" s="36">
        <v>807</v>
      </c>
      <c r="C6068" t="s">
        <v>6050</v>
      </c>
      <c r="D6068">
        <v>7.65</v>
      </c>
      <c r="E6068" s="18">
        <v>765</v>
      </c>
      <c r="F6068" t="s">
        <v>889</v>
      </c>
      <c r="G6068" t="s">
        <v>6051</v>
      </c>
      <c r="H6068" s="18">
        <v>765</v>
      </c>
      <c r="I6068" s="3">
        <v>41978</v>
      </c>
      <c r="J6068"/>
      <c r="L6068"/>
      <c r="M6068"/>
      <c r="N6068" s="20"/>
      <c r="O6068"/>
      <c r="P6068" s="20"/>
      <c r="Q6068" s="20"/>
      <c r="R6068" s="20"/>
      <c r="S6068" s="20"/>
      <c r="T6068" s="20"/>
    </row>
    <row r="6069" spans="1:21" x14ac:dyDescent="0.25">
      <c r="A6069" s="3">
        <v>41978</v>
      </c>
      <c r="B6069" s="36">
        <v>807</v>
      </c>
      <c r="C6069" t="s">
        <v>6052</v>
      </c>
      <c r="D6069">
        <v>6.375</v>
      </c>
      <c r="E6069" s="18">
        <v>637.5</v>
      </c>
      <c r="F6069" t="s">
        <v>889</v>
      </c>
      <c r="G6069" t="s">
        <v>6053</v>
      </c>
      <c r="H6069" s="18">
        <v>637.5</v>
      </c>
      <c r="I6069" s="3">
        <v>41978</v>
      </c>
      <c r="J6069"/>
      <c r="L6069"/>
      <c r="M6069"/>
      <c r="N6069" s="20"/>
      <c r="O6069"/>
      <c r="P6069" s="20"/>
      <c r="Q6069" s="20"/>
      <c r="R6069" s="20"/>
      <c r="S6069" s="20"/>
      <c r="T6069" s="20"/>
    </row>
    <row r="6070" spans="1:21" x14ac:dyDescent="0.25">
      <c r="A6070" s="3">
        <v>41995</v>
      </c>
      <c r="B6070" s="36">
        <v>807</v>
      </c>
      <c r="C6070" t="s">
        <v>6054</v>
      </c>
      <c r="D6070">
        <v>6.12</v>
      </c>
      <c r="E6070" s="18">
        <v>612</v>
      </c>
      <c r="F6070" t="s">
        <v>889</v>
      </c>
      <c r="G6070" t="s">
        <v>6055</v>
      </c>
      <c r="H6070" s="18">
        <v>612</v>
      </c>
      <c r="I6070" s="3">
        <v>41995</v>
      </c>
      <c r="J6070"/>
      <c r="L6070"/>
      <c r="M6070"/>
      <c r="N6070" s="20"/>
      <c r="O6070"/>
      <c r="P6070" s="20"/>
      <c r="Q6070" s="20"/>
      <c r="R6070" s="20"/>
      <c r="S6070" s="20"/>
      <c r="T6070" s="20"/>
    </row>
    <row r="6071" spans="1:21" x14ac:dyDescent="0.25">
      <c r="A6071" s="3">
        <v>41995</v>
      </c>
      <c r="B6071" s="36">
        <v>807</v>
      </c>
      <c r="C6071" t="s">
        <v>6048</v>
      </c>
      <c r="D6071">
        <v>3.25</v>
      </c>
      <c r="E6071" s="18">
        <v>-325</v>
      </c>
      <c r="F6071" t="s">
        <v>889</v>
      </c>
      <c r="G6071" t="s">
        <v>6049</v>
      </c>
      <c r="H6071" s="18" t="s">
        <v>442</v>
      </c>
      <c r="I6071" s="3" t="s">
        <v>442</v>
      </c>
      <c r="J6071"/>
      <c r="L6071"/>
      <c r="M6071"/>
      <c r="N6071" s="20"/>
      <c r="O6071"/>
      <c r="P6071" s="20"/>
      <c r="Q6071" s="20"/>
      <c r="R6071" s="20"/>
      <c r="S6071" s="20"/>
      <c r="T6071" s="20"/>
    </row>
    <row r="6072" spans="1:21" x14ac:dyDescent="0.25">
      <c r="A6072" s="3">
        <v>41995</v>
      </c>
      <c r="B6072" s="36">
        <v>807</v>
      </c>
      <c r="C6072" t="s">
        <v>6056</v>
      </c>
      <c r="D6072">
        <v>10.71</v>
      </c>
      <c r="E6072" s="18">
        <v>1071</v>
      </c>
      <c r="F6072" t="s">
        <v>889</v>
      </c>
      <c r="G6072" t="s">
        <v>6057</v>
      </c>
      <c r="H6072" s="18">
        <v>1071</v>
      </c>
      <c r="I6072" s="3">
        <v>41995</v>
      </c>
      <c r="J6072"/>
      <c r="L6072"/>
      <c r="M6072"/>
      <c r="N6072" s="20"/>
      <c r="O6072"/>
      <c r="P6072" s="20"/>
      <c r="Q6072" s="20"/>
      <c r="R6072" s="20"/>
      <c r="S6072" s="20"/>
      <c r="T6072" s="20"/>
    </row>
    <row r="6073" spans="1:21" x14ac:dyDescent="0.25">
      <c r="A6073" s="3">
        <v>41999</v>
      </c>
      <c r="B6073" s="36">
        <v>807</v>
      </c>
      <c r="C6073" t="s">
        <v>790</v>
      </c>
      <c r="D6073">
        <v>5.75</v>
      </c>
      <c r="E6073" s="18">
        <v>250</v>
      </c>
      <c r="F6073" t="s">
        <v>889</v>
      </c>
      <c r="G6073" t="s">
        <v>791</v>
      </c>
      <c r="H6073" s="18">
        <v>250</v>
      </c>
      <c r="I6073" s="3">
        <v>41999</v>
      </c>
      <c r="J6073"/>
      <c r="L6073"/>
      <c r="M6073"/>
      <c r="N6073" s="20"/>
      <c r="O6073"/>
      <c r="P6073" s="20"/>
      <c r="Q6073" s="20"/>
      <c r="R6073" s="20"/>
      <c r="S6073" s="20"/>
      <c r="T6073" s="20"/>
    </row>
    <row r="6074" spans="1:21" x14ac:dyDescent="0.25">
      <c r="B6074">
        <v>807</v>
      </c>
      <c r="C6074" t="s">
        <v>6054</v>
      </c>
      <c r="D6074">
        <v>6.12</v>
      </c>
      <c r="E6074" s="18">
        <v>-612</v>
      </c>
      <c r="F6074" t="s">
        <v>889</v>
      </c>
      <c r="G6074" t="s">
        <v>6055</v>
      </c>
      <c r="I6074"/>
      <c r="J6074"/>
      <c r="L6074"/>
      <c r="M6074"/>
      <c r="O6074"/>
      <c r="P6074" s="20"/>
      <c r="Q6074" s="20"/>
      <c r="R6074" s="20"/>
      <c r="S6074" s="20"/>
      <c r="T6074" s="20"/>
      <c r="U6074" t="s">
        <v>401</v>
      </c>
    </row>
    <row r="6075" spans="1:21" x14ac:dyDescent="0.25">
      <c r="B6075">
        <v>807</v>
      </c>
      <c r="C6075" t="s">
        <v>3493</v>
      </c>
      <c r="E6075" s="18">
        <v>-500</v>
      </c>
      <c r="F6075" t="s">
        <v>889</v>
      </c>
      <c r="G6075" t="s">
        <v>442</v>
      </c>
      <c r="I6075"/>
      <c r="J6075"/>
      <c r="L6075"/>
      <c r="M6075"/>
      <c r="O6075"/>
      <c r="P6075" s="20"/>
      <c r="Q6075" s="20"/>
      <c r="R6075" s="20"/>
      <c r="S6075" s="20"/>
      <c r="T6075" s="20"/>
      <c r="U6075" t="s">
        <v>401</v>
      </c>
    </row>
    <row r="6076" spans="1:21" x14ac:dyDescent="0.25">
      <c r="A6076" s="3">
        <v>42013</v>
      </c>
      <c r="B6076" s="36">
        <v>809</v>
      </c>
      <c r="C6076" t="s">
        <v>707</v>
      </c>
      <c r="D6076">
        <v>8.5</v>
      </c>
      <c r="E6076" s="18">
        <v>675</v>
      </c>
      <c r="F6076" t="s">
        <v>889</v>
      </c>
      <c r="G6076" t="s">
        <v>708</v>
      </c>
      <c r="H6076" s="18">
        <v>675</v>
      </c>
      <c r="I6076" s="3">
        <v>42013</v>
      </c>
      <c r="J6076"/>
      <c r="L6076"/>
      <c r="M6076"/>
      <c r="N6076" s="20"/>
      <c r="O6076"/>
      <c r="P6076" s="20"/>
      <c r="Q6076" s="20"/>
      <c r="R6076" s="20"/>
      <c r="S6076" s="20"/>
      <c r="T6076" s="20"/>
    </row>
    <row r="6077" spans="1:21" x14ac:dyDescent="0.25">
      <c r="A6077" s="3">
        <v>42027</v>
      </c>
      <c r="B6077" s="36">
        <v>809</v>
      </c>
      <c r="C6077" t="s">
        <v>470</v>
      </c>
      <c r="D6077" s="55">
        <v>7</v>
      </c>
      <c r="E6077" s="18">
        <v>350</v>
      </c>
      <c r="F6077" t="s">
        <v>889</v>
      </c>
      <c r="G6077" t="s">
        <v>471</v>
      </c>
      <c r="H6077" s="18">
        <v>350</v>
      </c>
      <c r="I6077" s="3">
        <v>42027</v>
      </c>
      <c r="J6077"/>
      <c r="L6077"/>
      <c r="M6077"/>
      <c r="N6077" s="20"/>
      <c r="O6077"/>
      <c r="P6077" s="20"/>
      <c r="Q6077" s="20"/>
      <c r="R6077" s="20"/>
      <c r="S6077" s="20"/>
      <c r="T6077" s="20"/>
    </row>
    <row r="6078" spans="1:21" x14ac:dyDescent="0.25">
      <c r="A6078" s="3">
        <v>42034</v>
      </c>
      <c r="B6078">
        <v>809</v>
      </c>
      <c r="C6078" t="s">
        <v>470</v>
      </c>
      <c r="D6078" s="19">
        <v>7</v>
      </c>
      <c r="E6078" s="18">
        <v>1610</v>
      </c>
      <c r="F6078" s="23" t="s">
        <v>889</v>
      </c>
      <c r="G6078" t="s">
        <v>471</v>
      </c>
      <c r="H6078" s="18"/>
      <c r="J6078"/>
      <c r="L6078"/>
      <c r="M6078"/>
      <c r="N6078" s="20"/>
      <c r="O6078"/>
      <c r="P6078" s="20"/>
      <c r="Q6078" s="20"/>
      <c r="R6078" s="20"/>
      <c r="S6078" s="20"/>
      <c r="T6078" s="20"/>
    </row>
    <row r="6079" spans="1:21" x14ac:dyDescent="0.25">
      <c r="A6079" s="3">
        <v>41971</v>
      </c>
      <c r="B6079" s="36">
        <v>813</v>
      </c>
      <c r="C6079" t="s">
        <v>6058</v>
      </c>
      <c r="D6079">
        <v>9.5</v>
      </c>
      <c r="E6079" s="18">
        <v>950</v>
      </c>
      <c r="F6079" t="s">
        <v>889</v>
      </c>
      <c r="G6079" t="s">
        <v>6059</v>
      </c>
      <c r="H6079" s="18">
        <v>950</v>
      </c>
      <c r="I6079" s="3">
        <v>41971</v>
      </c>
      <c r="J6079"/>
      <c r="L6079"/>
      <c r="M6079"/>
      <c r="N6079" s="20"/>
      <c r="O6079"/>
      <c r="P6079" s="20"/>
      <c r="Q6079" s="20"/>
      <c r="R6079" s="20"/>
      <c r="S6079" s="20"/>
      <c r="T6079" s="20"/>
    </row>
    <row r="6080" spans="1:21" x14ac:dyDescent="0.25">
      <c r="B6080">
        <v>813</v>
      </c>
      <c r="C6080" t="s">
        <v>6058</v>
      </c>
      <c r="D6080">
        <v>9.5</v>
      </c>
      <c r="E6080" s="18">
        <v>-950</v>
      </c>
      <c r="F6080" t="s">
        <v>889</v>
      </c>
      <c r="G6080" t="s">
        <v>6059</v>
      </c>
      <c r="I6080"/>
      <c r="J6080"/>
      <c r="L6080"/>
      <c r="M6080"/>
      <c r="O6080"/>
      <c r="P6080" s="20"/>
      <c r="Q6080" s="20"/>
      <c r="R6080" s="20"/>
      <c r="S6080" s="20"/>
      <c r="T6080" s="20"/>
      <c r="U6080" t="s">
        <v>401</v>
      </c>
    </row>
    <row r="6081" spans="1:20" x14ac:dyDescent="0.25">
      <c r="A6081" s="3">
        <v>41968</v>
      </c>
      <c r="B6081" s="36">
        <v>817</v>
      </c>
      <c r="C6081" t="s">
        <v>6060</v>
      </c>
      <c r="D6081">
        <v>5.61</v>
      </c>
      <c r="E6081" s="18">
        <v>561</v>
      </c>
      <c r="F6081" t="s">
        <v>889</v>
      </c>
      <c r="G6081" t="s">
        <v>6061</v>
      </c>
      <c r="H6081" s="18">
        <v>561</v>
      </c>
      <c r="I6081" s="3">
        <v>41968</v>
      </c>
      <c r="J6081"/>
      <c r="L6081"/>
      <c r="M6081"/>
      <c r="N6081" s="20"/>
      <c r="O6081"/>
      <c r="P6081" s="20"/>
      <c r="Q6081" s="20"/>
      <c r="R6081" s="20"/>
      <c r="S6081" s="20"/>
      <c r="T6081" s="20"/>
    </row>
    <row r="6082" spans="1:20" x14ac:dyDescent="0.25">
      <c r="A6082" s="3">
        <v>41978</v>
      </c>
      <c r="B6082" s="36">
        <v>817</v>
      </c>
      <c r="C6082" t="s">
        <v>6062</v>
      </c>
      <c r="D6082">
        <v>9.9450000000000003</v>
      </c>
      <c r="E6082" s="18">
        <v>994.5</v>
      </c>
      <c r="F6082" t="s">
        <v>889</v>
      </c>
      <c r="G6082" t="s">
        <v>6063</v>
      </c>
      <c r="H6082" s="18">
        <v>994.5</v>
      </c>
      <c r="I6082" s="3">
        <v>41978</v>
      </c>
      <c r="J6082"/>
      <c r="L6082"/>
      <c r="M6082"/>
      <c r="N6082" s="20"/>
      <c r="O6082"/>
      <c r="P6082" s="20"/>
      <c r="Q6082" s="20"/>
      <c r="R6082" s="20"/>
      <c r="S6082" s="20"/>
      <c r="T6082" s="20"/>
    </row>
    <row r="6083" spans="1:20" x14ac:dyDescent="0.25">
      <c r="A6083" s="3">
        <v>41985</v>
      </c>
      <c r="B6083" s="36">
        <v>817</v>
      </c>
      <c r="C6083" t="s">
        <v>6064</v>
      </c>
      <c r="D6083">
        <v>5.0999999999999996</v>
      </c>
      <c r="E6083" s="18">
        <v>509.99999999999994</v>
      </c>
      <c r="F6083" t="s">
        <v>889</v>
      </c>
      <c r="G6083" t="s">
        <v>6065</v>
      </c>
      <c r="H6083" s="18">
        <v>509.99999999999994</v>
      </c>
      <c r="I6083" s="3">
        <v>41985</v>
      </c>
      <c r="J6083"/>
      <c r="L6083"/>
      <c r="M6083"/>
      <c r="N6083" s="20"/>
      <c r="O6083"/>
      <c r="P6083" s="20"/>
      <c r="Q6083" s="20"/>
      <c r="R6083" s="20"/>
      <c r="S6083" s="20"/>
      <c r="T6083" s="20"/>
    </row>
    <row r="6084" spans="1:20" x14ac:dyDescent="0.25">
      <c r="A6084" s="3">
        <v>42013</v>
      </c>
      <c r="B6084" s="36">
        <v>817</v>
      </c>
      <c r="C6084" t="s">
        <v>709</v>
      </c>
      <c r="D6084">
        <v>8.5</v>
      </c>
      <c r="E6084" s="18">
        <v>683.5</v>
      </c>
      <c r="F6084" t="s">
        <v>889</v>
      </c>
      <c r="G6084" t="s">
        <v>710</v>
      </c>
      <c r="H6084" s="18">
        <v>683.5</v>
      </c>
      <c r="I6084" s="3">
        <v>42013</v>
      </c>
      <c r="J6084"/>
      <c r="L6084"/>
      <c r="M6084"/>
      <c r="N6084" s="20"/>
      <c r="O6084"/>
      <c r="P6084" s="20"/>
      <c r="Q6084" s="20"/>
      <c r="R6084" s="20"/>
      <c r="S6084" s="20"/>
      <c r="T6084" s="20"/>
    </row>
    <row r="6085" spans="1:20" x14ac:dyDescent="0.25">
      <c r="A6085" s="3">
        <v>42019</v>
      </c>
      <c r="B6085" s="36">
        <v>817</v>
      </c>
      <c r="C6085" t="s">
        <v>431</v>
      </c>
      <c r="D6085" s="55">
        <v>10.199999999999999</v>
      </c>
      <c r="E6085" s="18">
        <v>760</v>
      </c>
      <c r="F6085" t="s">
        <v>889</v>
      </c>
      <c r="G6085" t="s">
        <v>432</v>
      </c>
      <c r="H6085" s="18">
        <v>760</v>
      </c>
      <c r="I6085" s="3">
        <v>42019</v>
      </c>
      <c r="J6085"/>
      <c r="L6085"/>
      <c r="M6085"/>
      <c r="N6085" s="20"/>
      <c r="O6085"/>
      <c r="P6085" s="20"/>
      <c r="Q6085" s="20"/>
      <c r="R6085" s="20"/>
      <c r="S6085" s="20"/>
      <c r="T6085" s="20"/>
    </row>
    <row r="6086" spans="1:20" x14ac:dyDescent="0.25">
      <c r="A6086" s="3">
        <v>42027</v>
      </c>
      <c r="B6086" s="36">
        <v>817</v>
      </c>
      <c r="C6086" t="s">
        <v>423</v>
      </c>
      <c r="D6086" s="55">
        <v>8.16</v>
      </c>
      <c r="E6086" s="18">
        <v>408</v>
      </c>
      <c r="F6086" t="s">
        <v>889</v>
      </c>
      <c r="G6086" t="s">
        <v>424</v>
      </c>
      <c r="H6086" s="18">
        <v>408</v>
      </c>
      <c r="I6086" s="3">
        <v>42027</v>
      </c>
      <c r="J6086"/>
      <c r="L6086"/>
      <c r="M6086"/>
      <c r="N6086" s="20"/>
      <c r="O6086"/>
      <c r="P6086" s="20"/>
      <c r="Q6086" s="20"/>
      <c r="R6086" s="20"/>
      <c r="S6086" s="20"/>
      <c r="T6086" s="20"/>
    </row>
    <row r="6087" spans="1:20" x14ac:dyDescent="0.25">
      <c r="A6087" s="3">
        <v>42034</v>
      </c>
      <c r="B6087">
        <v>817</v>
      </c>
      <c r="C6087" t="s">
        <v>6064</v>
      </c>
      <c r="D6087">
        <v>5.0999999999999996</v>
      </c>
      <c r="E6087" s="18">
        <v>-509.99999999999994</v>
      </c>
      <c r="F6087" t="s">
        <v>889</v>
      </c>
      <c r="G6087" t="s">
        <v>6065</v>
      </c>
      <c r="H6087" s="18"/>
      <c r="J6087"/>
      <c r="L6087"/>
      <c r="M6087"/>
      <c r="N6087" s="20"/>
      <c r="O6087"/>
      <c r="P6087" s="20"/>
      <c r="Q6087" s="20"/>
      <c r="R6087" s="20"/>
      <c r="S6087" s="20"/>
      <c r="T6087" s="20"/>
    </row>
    <row r="6088" spans="1:20" x14ac:dyDescent="0.25">
      <c r="A6088" s="3">
        <v>42034</v>
      </c>
      <c r="B6088">
        <v>817</v>
      </c>
      <c r="C6088" t="s">
        <v>423</v>
      </c>
      <c r="D6088" s="19">
        <v>8.16</v>
      </c>
      <c r="E6088" s="18">
        <v>250</v>
      </c>
      <c r="F6088" s="23" t="s">
        <v>889</v>
      </c>
      <c r="G6088" t="s">
        <v>424</v>
      </c>
      <c r="H6088" s="18"/>
      <c r="J6088"/>
      <c r="L6088"/>
      <c r="M6088"/>
      <c r="N6088" s="20"/>
      <c r="O6088"/>
      <c r="P6088" s="20"/>
      <c r="Q6088" s="20"/>
      <c r="R6088" s="20"/>
      <c r="S6088" s="20"/>
      <c r="T6088" s="20"/>
    </row>
    <row r="6089" spans="1:20" x14ac:dyDescent="0.25">
      <c r="A6089" s="3">
        <v>42034</v>
      </c>
      <c r="B6089">
        <v>817</v>
      </c>
      <c r="C6089" t="s">
        <v>496</v>
      </c>
      <c r="D6089" s="19">
        <v>2.8050000000000002</v>
      </c>
      <c r="E6089" s="18">
        <v>140.25</v>
      </c>
      <c r="F6089" s="23" t="s">
        <v>889</v>
      </c>
      <c r="G6089" t="s">
        <v>497</v>
      </c>
      <c r="H6089" s="18"/>
      <c r="J6089"/>
      <c r="L6089"/>
      <c r="M6089"/>
      <c r="N6089" s="20"/>
      <c r="O6089"/>
      <c r="P6089" s="20"/>
      <c r="Q6089" s="20"/>
      <c r="R6089" s="20"/>
      <c r="S6089" s="20"/>
      <c r="T6089" s="20"/>
    </row>
    <row r="6090" spans="1:20" x14ac:dyDescent="0.25">
      <c r="A6090" s="3">
        <v>42034</v>
      </c>
      <c r="B6090">
        <v>817</v>
      </c>
      <c r="C6090" t="s">
        <v>622</v>
      </c>
      <c r="D6090" s="19">
        <v>10.199999999999999</v>
      </c>
      <c r="E6090" s="18">
        <v>509.99999999999994</v>
      </c>
      <c r="F6090" s="23" t="s">
        <v>889</v>
      </c>
      <c r="G6090" t="s">
        <v>623</v>
      </c>
      <c r="H6090" s="18"/>
      <c r="J6090"/>
      <c r="L6090"/>
      <c r="M6090"/>
      <c r="N6090" s="20"/>
      <c r="O6090"/>
      <c r="P6090" s="20"/>
      <c r="Q6090" s="20"/>
      <c r="R6090" s="20"/>
      <c r="S6090" s="20"/>
      <c r="T6090" s="20"/>
    </row>
    <row r="6091" spans="1:20" x14ac:dyDescent="0.25">
      <c r="A6091" s="3">
        <v>42034</v>
      </c>
      <c r="B6091">
        <v>817</v>
      </c>
      <c r="C6091" t="s">
        <v>632</v>
      </c>
      <c r="D6091" s="19">
        <v>9.18</v>
      </c>
      <c r="E6091" s="18">
        <v>2570.4</v>
      </c>
      <c r="F6091" s="23" t="s">
        <v>889</v>
      </c>
      <c r="G6091" t="s">
        <v>441</v>
      </c>
      <c r="H6091" s="18"/>
      <c r="J6091"/>
      <c r="L6091"/>
      <c r="M6091"/>
      <c r="N6091" s="20"/>
      <c r="O6091"/>
      <c r="P6091" s="20"/>
      <c r="Q6091" s="20"/>
      <c r="R6091" s="20"/>
      <c r="S6091" s="20"/>
      <c r="T6091" s="20"/>
    </row>
    <row r="6092" spans="1:20" x14ac:dyDescent="0.25">
      <c r="A6092" s="3">
        <v>42041</v>
      </c>
      <c r="B6092">
        <v>817</v>
      </c>
      <c r="C6092" t="s">
        <v>496</v>
      </c>
      <c r="D6092">
        <v>2.8050000000000002</v>
      </c>
      <c r="E6092" s="18">
        <v>250</v>
      </c>
      <c r="F6092" t="s">
        <v>889</v>
      </c>
      <c r="G6092" t="s">
        <v>497</v>
      </c>
      <c r="I6092"/>
      <c r="J6092"/>
      <c r="L6092"/>
      <c r="M6092"/>
      <c r="O6092"/>
      <c r="P6092" s="20"/>
      <c r="Q6092" s="20"/>
      <c r="R6092" s="20"/>
      <c r="S6092" s="20"/>
      <c r="T6092" s="20"/>
    </row>
    <row r="6093" spans="1:20" x14ac:dyDescent="0.25">
      <c r="A6093" s="3">
        <v>42041</v>
      </c>
      <c r="B6093">
        <v>817</v>
      </c>
      <c r="C6093" t="s">
        <v>526</v>
      </c>
      <c r="D6093">
        <v>7.3949999999999996</v>
      </c>
      <c r="E6093" s="18">
        <v>250</v>
      </c>
      <c r="F6093" t="s">
        <v>889</v>
      </c>
      <c r="G6093" t="s">
        <v>527</v>
      </c>
      <c r="I6093"/>
      <c r="J6093"/>
      <c r="L6093"/>
      <c r="M6093"/>
      <c r="O6093"/>
      <c r="P6093" s="20"/>
      <c r="Q6093" s="20"/>
      <c r="R6093" s="20"/>
      <c r="S6093" s="20"/>
      <c r="T6093" s="20"/>
    </row>
    <row r="6094" spans="1:20" x14ac:dyDescent="0.25">
      <c r="A6094" s="3">
        <v>41968</v>
      </c>
      <c r="B6094" s="36">
        <v>821</v>
      </c>
      <c r="C6094" t="s">
        <v>776</v>
      </c>
      <c r="D6094">
        <v>6</v>
      </c>
      <c r="E6094" s="18">
        <v>600</v>
      </c>
      <c r="F6094" t="s">
        <v>889</v>
      </c>
      <c r="G6094" t="s">
        <v>6066</v>
      </c>
      <c r="H6094" s="18">
        <v>600</v>
      </c>
      <c r="I6094" s="3">
        <v>41968</v>
      </c>
      <c r="J6094"/>
      <c r="L6094"/>
      <c r="M6094"/>
      <c r="N6094" s="20"/>
      <c r="O6094"/>
      <c r="P6094" s="20"/>
      <c r="Q6094" s="20"/>
      <c r="R6094" s="20"/>
      <c r="S6094" s="20"/>
      <c r="T6094" s="20"/>
    </row>
    <row r="6095" spans="1:20" x14ac:dyDescent="0.25">
      <c r="A6095" s="3">
        <v>41985</v>
      </c>
      <c r="B6095" s="36">
        <v>823</v>
      </c>
      <c r="C6095" t="s">
        <v>6067</v>
      </c>
      <c r="E6095" s="18">
        <v>80.33</v>
      </c>
      <c r="F6095" t="s">
        <v>891</v>
      </c>
      <c r="H6095" s="18" t="s">
        <v>442</v>
      </c>
      <c r="I6095" s="3" t="s">
        <v>442</v>
      </c>
      <c r="J6095"/>
      <c r="L6095"/>
      <c r="M6095"/>
      <c r="N6095" s="20"/>
      <c r="O6095"/>
      <c r="P6095" s="20" t="s">
        <v>401</v>
      </c>
      <c r="Q6095" s="20"/>
      <c r="R6095" s="20"/>
      <c r="S6095" s="20"/>
      <c r="T6095" s="20"/>
    </row>
    <row r="6096" spans="1:20" x14ac:dyDescent="0.25">
      <c r="A6096" s="3">
        <v>42041</v>
      </c>
      <c r="B6096">
        <v>823</v>
      </c>
      <c r="C6096" t="s">
        <v>3513</v>
      </c>
      <c r="E6096" s="18">
        <v>500</v>
      </c>
      <c r="F6096" t="s">
        <v>889</v>
      </c>
      <c r="I6096"/>
      <c r="J6096"/>
      <c r="L6096"/>
      <c r="M6096"/>
      <c r="O6096"/>
      <c r="P6096" s="20"/>
      <c r="Q6096" s="20"/>
      <c r="R6096" s="20"/>
      <c r="S6096" s="20"/>
      <c r="T6096" s="20" t="s">
        <v>401</v>
      </c>
    </row>
    <row r="6097" spans="1:21" x14ac:dyDescent="0.25">
      <c r="A6097" s="37">
        <v>41651</v>
      </c>
      <c r="B6097" s="36">
        <v>831</v>
      </c>
      <c r="C6097" s="38" t="s">
        <v>786</v>
      </c>
      <c r="D6097" s="38">
        <v>4.75</v>
      </c>
      <c r="E6097" s="39">
        <v>250</v>
      </c>
      <c r="F6097" s="38"/>
      <c r="G6097" t="s">
        <v>787</v>
      </c>
      <c r="H6097" s="18">
        <v>250</v>
      </c>
      <c r="I6097" s="3">
        <v>41651</v>
      </c>
      <c r="J6097"/>
      <c r="L6097"/>
      <c r="M6097"/>
      <c r="N6097" s="40"/>
      <c r="O6097" s="38" t="s">
        <v>6068</v>
      </c>
      <c r="P6097" s="20"/>
      <c r="Q6097" s="20"/>
      <c r="R6097" s="20"/>
      <c r="S6097" s="20"/>
      <c r="T6097" s="20"/>
    </row>
    <row r="6098" spans="1:21" x14ac:dyDescent="0.25">
      <c r="A6098" s="3">
        <v>41964</v>
      </c>
      <c r="B6098" s="36">
        <v>831</v>
      </c>
      <c r="C6098" t="s">
        <v>6069</v>
      </c>
      <c r="D6098">
        <v>3.25</v>
      </c>
      <c r="E6098" s="18">
        <v>325</v>
      </c>
      <c r="F6098" t="s">
        <v>889</v>
      </c>
      <c r="G6098" t="s">
        <v>6070</v>
      </c>
      <c r="H6098" s="18">
        <v>325</v>
      </c>
      <c r="I6098" s="3">
        <v>41964</v>
      </c>
      <c r="J6098"/>
      <c r="L6098"/>
      <c r="M6098"/>
      <c r="N6098" s="20"/>
      <c r="O6098"/>
      <c r="P6098" s="20"/>
      <c r="Q6098" s="20"/>
      <c r="R6098" s="20"/>
      <c r="S6098" s="20"/>
      <c r="T6098" s="20"/>
    </row>
    <row r="6099" spans="1:21" x14ac:dyDescent="0.25">
      <c r="A6099" s="3">
        <v>41992</v>
      </c>
      <c r="B6099" s="36">
        <v>831</v>
      </c>
      <c r="C6099" t="s">
        <v>6069</v>
      </c>
      <c r="D6099">
        <v>10.75</v>
      </c>
      <c r="E6099" s="18">
        <v>212.5</v>
      </c>
      <c r="F6099" t="s">
        <v>889</v>
      </c>
      <c r="G6099" t="s">
        <v>6070</v>
      </c>
      <c r="H6099" s="18">
        <v>212.5</v>
      </c>
      <c r="I6099" s="3">
        <v>41992</v>
      </c>
      <c r="J6099"/>
      <c r="L6099"/>
      <c r="M6099"/>
      <c r="N6099" s="20"/>
      <c r="O6099" t="s">
        <v>6071</v>
      </c>
      <c r="P6099" s="20"/>
      <c r="Q6099" s="20"/>
      <c r="R6099" s="20"/>
      <c r="S6099" s="20"/>
      <c r="T6099" s="20"/>
    </row>
    <row r="6100" spans="1:21" x14ac:dyDescent="0.25">
      <c r="A6100" s="3">
        <v>41995</v>
      </c>
      <c r="B6100" s="36">
        <v>832</v>
      </c>
      <c r="C6100" t="s">
        <v>464</v>
      </c>
      <c r="D6100">
        <v>6.5</v>
      </c>
      <c r="E6100" s="18">
        <v>250</v>
      </c>
      <c r="F6100" t="s">
        <v>889</v>
      </c>
      <c r="G6100" t="s">
        <v>465</v>
      </c>
      <c r="H6100" s="18">
        <v>250</v>
      </c>
      <c r="I6100" s="3">
        <v>41995</v>
      </c>
      <c r="J6100"/>
      <c r="L6100"/>
      <c r="M6100"/>
      <c r="N6100" s="20"/>
      <c r="O6100"/>
      <c r="P6100" s="20"/>
      <c r="Q6100" s="20"/>
      <c r="R6100" s="20"/>
      <c r="S6100" s="20"/>
      <c r="T6100" s="20"/>
    </row>
    <row r="6101" spans="1:21" x14ac:dyDescent="0.25">
      <c r="A6101" s="3">
        <v>42013</v>
      </c>
      <c r="B6101" s="36">
        <v>832</v>
      </c>
      <c r="C6101" t="s">
        <v>464</v>
      </c>
      <c r="D6101">
        <v>6.5</v>
      </c>
      <c r="E6101" s="18">
        <v>325</v>
      </c>
      <c r="F6101" t="s">
        <v>889</v>
      </c>
      <c r="G6101" t="s">
        <v>465</v>
      </c>
      <c r="H6101" s="18">
        <v>325</v>
      </c>
      <c r="I6101" s="3">
        <v>42013</v>
      </c>
      <c r="J6101"/>
      <c r="L6101"/>
      <c r="M6101"/>
      <c r="N6101" s="20"/>
      <c r="O6101"/>
      <c r="P6101" s="20"/>
      <c r="Q6101" s="20"/>
      <c r="R6101" s="20"/>
      <c r="S6101" s="20"/>
      <c r="T6101" s="20"/>
    </row>
    <row r="6102" spans="1:21" x14ac:dyDescent="0.25">
      <c r="A6102" s="3">
        <v>42041</v>
      </c>
      <c r="B6102">
        <v>832</v>
      </c>
      <c r="C6102" t="s">
        <v>464</v>
      </c>
      <c r="D6102">
        <v>6.5</v>
      </c>
      <c r="E6102" s="18">
        <v>725</v>
      </c>
      <c r="F6102" t="s">
        <v>889</v>
      </c>
      <c r="G6102" t="s">
        <v>465</v>
      </c>
      <c r="I6102"/>
      <c r="J6102"/>
      <c r="L6102"/>
      <c r="M6102"/>
      <c r="O6102"/>
      <c r="P6102" s="20"/>
      <c r="Q6102" s="20"/>
      <c r="R6102" s="20"/>
      <c r="S6102" s="20"/>
      <c r="T6102" s="20"/>
    </row>
    <row r="6103" spans="1:21" x14ac:dyDescent="0.25">
      <c r="A6103" s="3">
        <v>41971</v>
      </c>
      <c r="B6103" s="36">
        <v>834</v>
      </c>
      <c r="C6103" t="s">
        <v>6072</v>
      </c>
      <c r="D6103">
        <v>7.65</v>
      </c>
      <c r="E6103" s="18">
        <v>765</v>
      </c>
      <c r="F6103" t="s">
        <v>889</v>
      </c>
      <c r="G6103" t="s">
        <v>6073</v>
      </c>
      <c r="H6103" s="18">
        <v>765</v>
      </c>
      <c r="I6103" s="3">
        <v>41971</v>
      </c>
      <c r="J6103"/>
      <c r="L6103"/>
      <c r="M6103"/>
      <c r="N6103" s="20"/>
      <c r="O6103"/>
      <c r="P6103" s="20"/>
      <c r="Q6103" s="20"/>
      <c r="R6103" s="20"/>
      <c r="S6103" s="20"/>
      <c r="T6103" s="20"/>
    </row>
    <row r="6104" spans="1:21" x14ac:dyDescent="0.25">
      <c r="A6104" s="3">
        <v>41971</v>
      </c>
      <c r="B6104" s="36">
        <v>834</v>
      </c>
      <c r="C6104" t="s">
        <v>6074</v>
      </c>
      <c r="D6104">
        <v>5.3550000000000004</v>
      </c>
      <c r="E6104" s="18">
        <v>535.5</v>
      </c>
      <c r="F6104" t="s">
        <v>889</v>
      </c>
      <c r="G6104" t="s">
        <v>6075</v>
      </c>
      <c r="H6104" s="18">
        <v>535.5</v>
      </c>
      <c r="I6104" s="3">
        <v>41971</v>
      </c>
      <c r="J6104"/>
      <c r="L6104"/>
      <c r="M6104"/>
      <c r="N6104" s="20"/>
      <c r="O6104"/>
      <c r="P6104" s="20"/>
      <c r="Q6104" s="20"/>
      <c r="R6104" s="20"/>
      <c r="S6104" s="20"/>
      <c r="T6104" s="20"/>
    </row>
    <row r="6105" spans="1:21" x14ac:dyDescent="0.25">
      <c r="B6105">
        <v>834</v>
      </c>
      <c r="C6105" t="s">
        <v>6074</v>
      </c>
      <c r="D6105">
        <v>5.3550000000000004</v>
      </c>
      <c r="E6105" s="18">
        <v>-535.5</v>
      </c>
      <c r="F6105" t="s">
        <v>889</v>
      </c>
      <c r="G6105" t="s">
        <v>6075</v>
      </c>
      <c r="I6105"/>
      <c r="J6105"/>
      <c r="L6105"/>
      <c r="M6105"/>
      <c r="O6105"/>
      <c r="P6105" s="20"/>
      <c r="Q6105" s="20"/>
      <c r="R6105" s="20"/>
      <c r="S6105" s="20"/>
      <c r="T6105" s="20"/>
      <c r="U6105" t="s">
        <v>401</v>
      </c>
    </row>
    <row r="6106" spans="1:21" x14ac:dyDescent="0.25">
      <c r="A6106" s="3">
        <v>41995</v>
      </c>
      <c r="B6106" s="36">
        <v>841</v>
      </c>
      <c r="C6106" t="s">
        <v>453</v>
      </c>
      <c r="D6106">
        <v>3.75</v>
      </c>
      <c r="E6106" s="18">
        <v>250</v>
      </c>
      <c r="F6106" t="s">
        <v>889</v>
      </c>
      <c r="G6106" t="s">
        <v>454</v>
      </c>
      <c r="H6106" s="18">
        <v>250</v>
      </c>
      <c r="I6106" s="3">
        <v>41995</v>
      </c>
      <c r="J6106"/>
      <c r="L6106"/>
      <c r="M6106"/>
      <c r="N6106" s="20"/>
      <c r="O6106"/>
      <c r="P6106" s="20"/>
      <c r="Q6106" s="20"/>
      <c r="R6106" s="20"/>
      <c r="S6106" s="20"/>
      <c r="T6106" s="20"/>
    </row>
    <row r="6107" spans="1:21" x14ac:dyDescent="0.25">
      <c r="A6107" s="3">
        <v>41978</v>
      </c>
      <c r="B6107" s="36">
        <v>842</v>
      </c>
      <c r="C6107" t="s">
        <v>6076</v>
      </c>
      <c r="D6107">
        <v>30</v>
      </c>
      <c r="E6107" s="18">
        <v>3000</v>
      </c>
      <c r="F6107" t="s">
        <v>889</v>
      </c>
      <c r="G6107" t="s">
        <v>6077</v>
      </c>
      <c r="H6107" s="18">
        <v>3000</v>
      </c>
      <c r="I6107" s="3">
        <v>41978</v>
      </c>
      <c r="J6107"/>
      <c r="L6107"/>
      <c r="M6107"/>
      <c r="N6107" s="20"/>
      <c r="O6107"/>
      <c r="P6107" s="20"/>
      <c r="Q6107" s="20"/>
      <c r="R6107" s="20"/>
      <c r="S6107" s="20"/>
      <c r="T6107" s="20"/>
    </row>
    <row r="6108" spans="1:21" x14ac:dyDescent="0.25">
      <c r="A6108" s="3">
        <v>41978</v>
      </c>
      <c r="B6108" s="36">
        <v>844</v>
      </c>
      <c r="C6108" t="s">
        <v>6078</v>
      </c>
      <c r="D6108">
        <v>3.75</v>
      </c>
      <c r="E6108" s="18">
        <v>375</v>
      </c>
      <c r="F6108" t="s">
        <v>889</v>
      </c>
      <c r="G6108" t="s">
        <v>6079</v>
      </c>
      <c r="H6108" s="18">
        <v>375</v>
      </c>
      <c r="I6108" s="3">
        <v>41978</v>
      </c>
      <c r="J6108"/>
      <c r="L6108"/>
      <c r="M6108"/>
      <c r="N6108" s="20"/>
      <c r="O6108"/>
      <c r="P6108" s="20"/>
      <c r="Q6108" s="20"/>
      <c r="R6108" s="20"/>
      <c r="S6108" s="20"/>
      <c r="T6108" s="20"/>
    </row>
    <row r="6109" spans="1:21" x14ac:dyDescent="0.25">
      <c r="A6109" s="3">
        <v>42019</v>
      </c>
      <c r="B6109" s="36">
        <v>844</v>
      </c>
      <c r="C6109" t="s">
        <v>6080</v>
      </c>
      <c r="D6109" s="55">
        <v>3.75</v>
      </c>
      <c r="E6109" s="18">
        <v>375</v>
      </c>
      <c r="F6109" t="s">
        <v>889</v>
      </c>
      <c r="G6109" t="s">
        <v>6079</v>
      </c>
      <c r="H6109" s="18">
        <v>375</v>
      </c>
      <c r="I6109" s="3">
        <v>42019</v>
      </c>
      <c r="J6109"/>
      <c r="L6109"/>
      <c r="M6109"/>
      <c r="N6109" s="20"/>
      <c r="O6109"/>
      <c r="P6109" s="20"/>
      <c r="Q6109" s="20"/>
      <c r="R6109" s="20"/>
      <c r="S6109" s="20"/>
      <c r="T6109" s="20"/>
    </row>
    <row r="6110" spans="1:21" x14ac:dyDescent="0.25">
      <c r="A6110" s="3">
        <v>42004</v>
      </c>
      <c r="B6110" s="36">
        <v>852</v>
      </c>
      <c r="C6110" t="s">
        <v>6081</v>
      </c>
      <c r="E6110" s="18">
        <v>5000</v>
      </c>
      <c r="F6110" t="s">
        <v>5630</v>
      </c>
      <c r="G6110" t="s">
        <v>442</v>
      </c>
      <c r="H6110" s="18" t="s">
        <v>442</v>
      </c>
      <c r="I6110" s="3" t="s">
        <v>442</v>
      </c>
      <c r="J6110"/>
      <c r="L6110"/>
      <c r="M6110"/>
      <c r="N6110" s="20"/>
      <c r="O6110"/>
      <c r="P6110" s="20"/>
      <c r="Q6110" s="20"/>
      <c r="R6110" s="20"/>
      <c r="S6110" s="20"/>
      <c r="T6110" s="20" t="s">
        <v>401</v>
      </c>
    </row>
    <row r="6111" spans="1:21" x14ac:dyDescent="0.25">
      <c r="A6111" s="3">
        <v>42034</v>
      </c>
      <c r="B6111">
        <v>852</v>
      </c>
      <c r="C6111" s="33" t="s">
        <v>1242</v>
      </c>
      <c r="D6111" s="34"/>
      <c r="E6111" s="35">
        <v>2500</v>
      </c>
      <c r="F6111" s="33" t="s">
        <v>889</v>
      </c>
      <c r="G6111" s="33"/>
      <c r="H6111" s="18"/>
      <c r="J6111"/>
      <c r="L6111"/>
      <c r="M6111"/>
      <c r="N6111" s="20"/>
      <c r="O6111"/>
      <c r="P6111" s="20"/>
      <c r="Q6111" s="20"/>
      <c r="R6111" s="20"/>
      <c r="S6111" s="20" t="s">
        <v>401</v>
      </c>
      <c r="T6111" s="20"/>
    </row>
    <row r="6112" spans="1:21" x14ac:dyDescent="0.25">
      <c r="A6112" s="3">
        <v>41971</v>
      </c>
      <c r="B6112" s="36">
        <v>854</v>
      </c>
      <c r="C6112" t="s">
        <v>3494</v>
      </c>
      <c r="E6112" s="18">
        <v>500</v>
      </c>
      <c r="G6112" t="s">
        <v>442</v>
      </c>
      <c r="H6112" s="18" t="s">
        <v>442</v>
      </c>
      <c r="I6112" s="3" t="s">
        <v>442</v>
      </c>
      <c r="J6112"/>
      <c r="L6112"/>
      <c r="M6112"/>
      <c r="N6112" s="20"/>
      <c r="O6112"/>
      <c r="P6112" s="20"/>
      <c r="Q6112" s="20"/>
      <c r="R6112" s="20"/>
      <c r="S6112" s="20"/>
      <c r="T6112" s="20" t="s">
        <v>401</v>
      </c>
    </row>
    <row r="6113" spans="1:21" x14ac:dyDescent="0.25">
      <c r="A6113" s="3">
        <v>41978</v>
      </c>
      <c r="B6113" s="36">
        <v>854</v>
      </c>
      <c r="C6113" t="s">
        <v>6082</v>
      </c>
      <c r="D6113">
        <v>9.9450000000000003</v>
      </c>
      <c r="E6113" s="18">
        <v>994.5</v>
      </c>
      <c r="F6113" t="s">
        <v>889</v>
      </c>
      <c r="G6113" t="s">
        <v>6083</v>
      </c>
      <c r="H6113" s="18">
        <v>994.5</v>
      </c>
      <c r="I6113" s="3">
        <v>41978</v>
      </c>
      <c r="J6113"/>
      <c r="L6113"/>
      <c r="M6113"/>
      <c r="N6113" s="20"/>
      <c r="O6113"/>
      <c r="P6113" s="20"/>
      <c r="Q6113" s="20"/>
      <c r="R6113" s="20"/>
      <c r="S6113" s="20"/>
      <c r="T6113" s="20"/>
    </row>
    <row r="6114" spans="1:21" x14ac:dyDescent="0.25">
      <c r="B6114">
        <v>854</v>
      </c>
      <c r="C6114" t="s">
        <v>3494</v>
      </c>
      <c r="E6114" s="18">
        <v>-500</v>
      </c>
      <c r="G6114" t="s">
        <v>442</v>
      </c>
      <c r="I6114"/>
      <c r="J6114"/>
      <c r="L6114"/>
      <c r="M6114"/>
      <c r="O6114"/>
      <c r="P6114" s="20"/>
      <c r="Q6114" s="20"/>
      <c r="R6114" s="20"/>
      <c r="S6114" s="20"/>
      <c r="T6114" s="20"/>
      <c r="U6114" t="s">
        <v>401</v>
      </c>
    </row>
    <row r="6115" spans="1:21" x14ac:dyDescent="0.25">
      <c r="B6115">
        <v>854</v>
      </c>
      <c r="C6115" t="s">
        <v>6082</v>
      </c>
      <c r="D6115">
        <v>9.9450000000000003</v>
      </c>
      <c r="E6115" s="18">
        <v>-994.5</v>
      </c>
      <c r="F6115" t="s">
        <v>889</v>
      </c>
      <c r="G6115" t="s">
        <v>6083</v>
      </c>
      <c r="I6115"/>
      <c r="J6115"/>
      <c r="L6115"/>
      <c r="M6115"/>
      <c r="O6115"/>
      <c r="P6115" s="20"/>
      <c r="Q6115" s="20"/>
      <c r="R6115" s="20"/>
      <c r="S6115" s="20"/>
      <c r="T6115" s="20"/>
      <c r="U6115" t="s">
        <v>401</v>
      </c>
    </row>
    <row r="6116" spans="1:21" x14ac:dyDescent="0.25">
      <c r="A6116" s="3">
        <v>42034</v>
      </c>
      <c r="B6116">
        <v>856</v>
      </c>
      <c r="C6116" t="s">
        <v>6084</v>
      </c>
      <c r="D6116" s="19">
        <v>6.12</v>
      </c>
      <c r="E6116" s="18">
        <v>306</v>
      </c>
      <c r="F6116" s="23" t="s">
        <v>889</v>
      </c>
      <c r="G6116" t="s">
        <v>6085</v>
      </c>
      <c r="H6116" s="18"/>
      <c r="J6116"/>
      <c r="L6116"/>
      <c r="M6116"/>
      <c r="N6116" s="20"/>
      <c r="O6116"/>
      <c r="P6116" s="20"/>
      <c r="Q6116" s="20"/>
      <c r="R6116" s="20"/>
      <c r="S6116" s="20"/>
      <c r="T6116" s="20"/>
    </row>
    <row r="6117" spans="1:21" x14ac:dyDescent="0.25">
      <c r="A6117" s="3">
        <v>41995</v>
      </c>
      <c r="B6117" s="36">
        <v>857</v>
      </c>
      <c r="C6117" t="s">
        <v>5090</v>
      </c>
      <c r="D6117">
        <v>3</v>
      </c>
      <c r="E6117" s="18">
        <v>750</v>
      </c>
      <c r="F6117" t="s">
        <v>889</v>
      </c>
      <c r="G6117" t="s">
        <v>442</v>
      </c>
      <c r="H6117" s="18" t="s">
        <v>442</v>
      </c>
      <c r="I6117" s="3" t="s">
        <v>442</v>
      </c>
      <c r="J6117"/>
      <c r="L6117"/>
      <c r="M6117"/>
      <c r="N6117" s="20"/>
      <c r="O6117"/>
      <c r="P6117" s="20"/>
      <c r="Q6117" s="20"/>
      <c r="R6117" s="20"/>
      <c r="S6117" s="20"/>
      <c r="T6117" s="20" t="s">
        <v>401</v>
      </c>
    </row>
    <row r="6118" spans="1:21" x14ac:dyDescent="0.25">
      <c r="A6118" s="3">
        <v>41999</v>
      </c>
      <c r="B6118" s="36">
        <v>857</v>
      </c>
      <c r="C6118" t="s">
        <v>4494</v>
      </c>
      <c r="E6118" s="18">
        <v>750</v>
      </c>
      <c r="F6118" t="s">
        <v>889</v>
      </c>
      <c r="G6118" t="s">
        <v>442</v>
      </c>
      <c r="H6118" s="18" t="s">
        <v>442</v>
      </c>
      <c r="I6118" s="3" t="s">
        <v>442</v>
      </c>
      <c r="J6118"/>
      <c r="L6118"/>
      <c r="M6118"/>
      <c r="N6118" s="20"/>
      <c r="O6118"/>
      <c r="P6118" s="20"/>
      <c r="Q6118" s="20"/>
      <c r="R6118" s="20"/>
      <c r="S6118" s="20"/>
      <c r="T6118" s="20" t="s">
        <v>401</v>
      </c>
    </row>
    <row r="6119" spans="1:21" x14ac:dyDescent="0.25">
      <c r="A6119" s="3">
        <v>42013</v>
      </c>
      <c r="B6119" s="36">
        <v>857</v>
      </c>
      <c r="C6119" t="s">
        <v>734</v>
      </c>
      <c r="D6119">
        <v>3.5</v>
      </c>
      <c r="E6119" s="18">
        <v>525</v>
      </c>
      <c r="F6119" t="s">
        <v>889</v>
      </c>
      <c r="G6119" t="s">
        <v>735</v>
      </c>
      <c r="H6119" s="18">
        <v>525</v>
      </c>
      <c r="I6119" s="3">
        <v>42013</v>
      </c>
      <c r="J6119"/>
      <c r="L6119"/>
      <c r="M6119"/>
      <c r="N6119" s="20"/>
      <c r="O6119"/>
      <c r="P6119" s="20"/>
      <c r="Q6119" s="20"/>
      <c r="R6119" s="20"/>
      <c r="S6119" s="20"/>
      <c r="T6119" s="20"/>
    </row>
    <row r="6120" spans="1:21" x14ac:dyDescent="0.25">
      <c r="A6120" s="3">
        <v>42013</v>
      </c>
      <c r="B6120" s="36">
        <v>857</v>
      </c>
      <c r="C6120" t="s">
        <v>439</v>
      </c>
      <c r="D6120">
        <v>4.5</v>
      </c>
      <c r="E6120" s="18">
        <v>575</v>
      </c>
      <c r="F6120" t="s">
        <v>889</v>
      </c>
      <c r="G6120" t="s">
        <v>440</v>
      </c>
      <c r="H6120" s="18">
        <v>575</v>
      </c>
      <c r="I6120" s="3">
        <v>42013</v>
      </c>
      <c r="J6120"/>
      <c r="L6120"/>
      <c r="M6120"/>
      <c r="N6120" s="20"/>
      <c r="O6120"/>
      <c r="P6120" s="20"/>
      <c r="Q6120" s="20"/>
      <c r="R6120" s="20"/>
      <c r="S6120" s="20"/>
      <c r="T6120" s="20"/>
    </row>
    <row r="6121" spans="1:21" x14ac:dyDescent="0.25">
      <c r="A6121" s="3">
        <v>42013</v>
      </c>
      <c r="B6121" s="36">
        <v>857</v>
      </c>
      <c r="C6121" t="s">
        <v>742</v>
      </c>
      <c r="D6121">
        <v>5.25</v>
      </c>
      <c r="E6121" s="18">
        <v>612.5</v>
      </c>
      <c r="F6121" t="s">
        <v>889</v>
      </c>
      <c r="G6121" t="s">
        <v>743</v>
      </c>
      <c r="H6121" s="18">
        <v>612.5</v>
      </c>
      <c r="I6121" s="3">
        <v>42013</v>
      </c>
      <c r="J6121"/>
      <c r="L6121"/>
      <c r="M6121"/>
      <c r="N6121" s="20"/>
      <c r="O6121"/>
      <c r="P6121" s="20"/>
      <c r="Q6121" s="20"/>
      <c r="R6121" s="20"/>
      <c r="S6121" s="20"/>
      <c r="T6121" s="20"/>
    </row>
    <row r="6122" spans="1:21" x14ac:dyDescent="0.25">
      <c r="A6122" s="3">
        <v>42041</v>
      </c>
      <c r="B6122">
        <v>857</v>
      </c>
      <c r="C6122" t="s">
        <v>3513</v>
      </c>
      <c r="E6122" s="18">
        <v>500</v>
      </c>
      <c r="F6122" t="s">
        <v>889</v>
      </c>
      <c r="I6122"/>
      <c r="J6122"/>
      <c r="L6122"/>
      <c r="M6122"/>
      <c r="O6122"/>
      <c r="P6122" s="20"/>
      <c r="Q6122" s="20"/>
      <c r="R6122" s="20"/>
      <c r="S6122" s="20"/>
      <c r="T6122" s="20" t="s">
        <v>401</v>
      </c>
    </row>
    <row r="6123" spans="1:21" x14ac:dyDescent="0.25">
      <c r="B6123">
        <v>857</v>
      </c>
      <c r="C6123" t="s">
        <v>4494</v>
      </c>
      <c r="E6123" s="18">
        <v>-750</v>
      </c>
      <c r="F6123" t="s">
        <v>889</v>
      </c>
      <c r="G6123" t="s">
        <v>442</v>
      </c>
      <c r="I6123"/>
      <c r="J6123"/>
      <c r="L6123"/>
      <c r="M6123"/>
      <c r="O6123"/>
      <c r="P6123" s="20"/>
      <c r="Q6123" s="20"/>
      <c r="R6123" s="20"/>
      <c r="S6123" s="20"/>
      <c r="T6123" s="20"/>
      <c r="U6123" t="s">
        <v>401</v>
      </c>
    </row>
    <row r="6124" spans="1:21" x14ac:dyDescent="0.25">
      <c r="B6124">
        <v>857</v>
      </c>
      <c r="C6124" t="s">
        <v>5090</v>
      </c>
      <c r="D6124">
        <v>3</v>
      </c>
      <c r="E6124" s="18">
        <v>-750</v>
      </c>
      <c r="F6124" t="s">
        <v>889</v>
      </c>
      <c r="G6124" t="s">
        <v>442</v>
      </c>
      <c r="I6124"/>
      <c r="J6124"/>
      <c r="L6124"/>
      <c r="M6124"/>
      <c r="O6124"/>
      <c r="P6124" s="20"/>
      <c r="Q6124" s="20"/>
      <c r="R6124" s="20"/>
      <c r="S6124" s="20"/>
      <c r="T6124" s="20"/>
      <c r="U6124" t="s">
        <v>401</v>
      </c>
    </row>
    <row r="6125" spans="1:21" x14ac:dyDescent="0.25">
      <c r="A6125" s="3">
        <v>41999</v>
      </c>
      <c r="B6125" s="36">
        <v>858</v>
      </c>
      <c r="C6125" t="s">
        <v>6086</v>
      </c>
      <c r="E6125" s="18">
        <v>583.79</v>
      </c>
      <c r="F6125" t="s">
        <v>891</v>
      </c>
      <c r="H6125" s="18" t="s">
        <v>442</v>
      </c>
      <c r="I6125" s="3" t="s">
        <v>442</v>
      </c>
      <c r="J6125"/>
      <c r="L6125"/>
      <c r="M6125"/>
      <c r="N6125" s="20"/>
      <c r="O6125"/>
      <c r="P6125" s="20" t="s">
        <v>401</v>
      </c>
      <c r="Q6125" s="20"/>
      <c r="R6125" s="20"/>
      <c r="S6125" s="20"/>
      <c r="T6125" s="20"/>
    </row>
    <row r="6126" spans="1:21" x14ac:dyDescent="0.25">
      <c r="A6126" s="3">
        <v>42034</v>
      </c>
      <c r="B6126">
        <v>859</v>
      </c>
      <c r="C6126" t="s">
        <v>583</v>
      </c>
      <c r="D6126" s="19">
        <v>8</v>
      </c>
      <c r="E6126" s="18">
        <v>250</v>
      </c>
      <c r="F6126" s="23" t="s">
        <v>889</v>
      </c>
      <c r="G6126" t="s">
        <v>584</v>
      </c>
      <c r="H6126" s="18"/>
      <c r="J6126"/>
      <c r="L6126"/>
      <c r="M6126"/>
      <c r="N6126" s="20"/>
      <c r="O6126"/>
      <c r="P6126" s="20"/>
      <c r="Q6126" s="20"/>
      <c r="R6126" s="20"/>
      <c r="S6126" s="20"/>
      <c r="T6126" s="20"/>
    </row>
    <row r="6127" spans="1:21" x14ac:dyDescent="0.25">
      <c r="B6127">
        <v>859</v>
      </c>
      <c r="C6127" t="s">
        <v>6087</v>
      </c>
      <c r="D6127">
        <v>7.25</v>
      </c>
      <c r="E6127" s="18">
        <v>725</v>
      </c>
      <c r="F6127" t="s">
        <v>889</v>
      </c>
      <c r="G6127" t="s">
        <v>6088</v>
      </c>
      <c r="I6127"/>
      <c r="J6127"/>
      <c r="L6127"/>
      <c r="M6127"/>
      <c r="O6127"/>
      <c r="P6127" s="20"/>
      <c r="Q6127" s="20"/>
      <c r="R6127" s="20"/>
      <c r="S6127" s="20"/>
      <c r="T6127" s="20"/>
      <c r="U6127" t="s">
        <v>401</v>
      </c>
    </row>
    <row r="6128" spans="1:21" x14ac:dyDescent="0.25">
      <c r="A6128" s="3">
        <v>42034</v>
      </c>
      <c r="B6128">
        <v>860</v>
      </c>
      <c r="C6128" t="s">
        <v>569</v>
      </c>
      <c r="D6128" s="19">
        <v>8.5</v>
      </c>
      <c r="E6128" s="18">
        <v>250</v>
      </c>
      <c r="F6128" s="23" t="s">
        <v>889</v>
      </c>
      <c r="G6128" t="s">
        <v>570</v>
      </c>
      <c r="H6128" s="18"/>
      <c r="J6128"/>
      <c r="L6128"/>
      <c r="M6128"/>
      <c r="N6128" s="20"/>
      <c r="O6128"/>
      <c r="P6128" s="20"/>
      <c r="Q6128" s="20"/>
      <c r="R6128" s="20"/>
      <c r="S6128" s="20"/>
      <c r="T6128" s="20"/>
    </row>
    <row r="6129" spans="1:21" x14ac:dyDescent="0.25">
      <c r="A6129" s="3">
        <v>42034</v>
      </c>
      <c r="B6129">
        <v>860</v>
      </c>
      <c r="C6129" t="s">
        <v>492</v>
      </c>
      <c r="D6129" s="19">
        <v>7</v>
      </c>
      <c r="E6129" s="18">
        <v>1300</v>
      </c>
      <c r="G6129" t="s">
        <v>493</v>
      </c>
      <c r="H6129" s="18"/>
      <c r="J6129"/>
      <c r="L6129"/>
      <c r="M6129"/>
      <c r="N6129" s="20"/>
      <c r="O6129"/>
      <c r="P6129" s="20"/>
      <c r="Q6129" s="20"/>
      <c r="R6129" s="20"/>
      <c r="S6129" s="20"/>
      <c r="T6129" s="20"/>
    </row>
    <row r="6130" spans="1:21" x14ac:dyDescent="0.25">
      <c r="A6130" s="3">
        <v>42041</v>
      </c>
      <c r="B6130">
        <v>867</v>
      </c>
      <c r="C6130" t="s">
        <v>858</v>
      </c>
      <c r="D6130">
        <v>7.75</v>
      </c>
      <c r="E6130" s="18">
        <v>1550</v>
      </c>
      <c r="F6130" t="s">
        <v>889</v>
      </c>
      <c r="G6130" t="s">
        <v>859</v>
      </c>
      <c r="I6130"/>
      <c r="J6130"/>
      <c r="L6130"/>
      <c r="M6130"/>
      <c r="O6130"/>
      <c r="P6130" s="20"/>
      <c r="Q6130" s="20"/>
      <c r="R6130" s="20"/>
      <c r="S6130" s="20"/>
      <c r="T6130" s="20"/>
    </row>
    <row r="6131" spans="1:21" x14ac:dyDescent="0.25">
      <c r="A6131" s="3">
        <v>41985</v>
      </c>
      <c r="B6131" s="36">
        <v>875</v>
      </c>
      <c r="C6131" t="s">
        <v>416</v>
      </c>
      <c r="D6131">
        <v>7.5</v>
      </c>
      <c r="E6131" s="18">
        <v>250</v>
      </c>
      <c r="F6131" t="s">
        <v>889</v>
      </c>
      <c r="G6131" t="s">
        <v>6089</v>
      </c>
      <c r="H6131" s="18">
        <v>250</v>
      </c>
      <c r="I6131" s="3">
        <v>41985</v>
      </c>
      <c r="J6131"/>
      <c r="L6131"/>
      <c r="M6131"/>
      <c r="N6131" s="20"/>
      <c r="O6131"/>
      <c r="P6131" s="20"/>
      <c r="Q6131" s="20"/>
      <c r="R6131" s="20"/>
      <c r="S6131" s="20"/>
      <c r="T6131" s="20"/>
    </row>
    <row r="6132" spans="1:21" x14ac:dyDescent="0.25">
      <c r="A6132" s="3">
        <v>41978</v>
      </c>
      <c r="B6132" s="36">
        <v>890</v>
      </c>
      <c r="C6132" t="s">
        <v>6090</v>
      </c>
      <c r="E6132" s="18">
        <v>3000</v>
      </c>
      <c r="F6132" t="s">
        <v>889</v>
      </c>
      <c r="H6132" s="18" t="s">
        <v>442</v>
      </c>
      <c r="I6132" s="3" t="s">
        <v>442</v>
      </c>
      <c r="J6132"/>
      <c r="L6132"/>
      <c r="M6132"/>
      <c r="N6132" s="20"/>
      <c r="O6132"/>
      <c r="P6132" s="20" t="s">
        <v>401</v>
      </c>
      <c r="Q6132" s="20"/>
      <c r="R6132" s="20"/>
      <c r="S6132" s="20"/>
      <c r="T6132" s="20"/>
    </row>
    <row r="6133" spans="1:21" x14ac:dyDescent="0.25">
      <c r="A6133" s="3">
        <v>41981</v>
      </c>
      <c r="B6133" s="36">
        <v>890</v>
      </c>
      <c r="C6133" t="s">
        <v>1484</v>
      </c>
      <c r="E6133" s="18">
        <v>1400</v>
      </c>
      <c r="F6133" t="s">
        <v>891</v>
      </c>
      <c r="G6133" t="s">
        <v>442</v>
      </c>
      <c r="H6133" s="18" t="s">
        <v>442</v>
      </c>
      <c r="I6133" s="3" t="s">
        <v>442</v>
      </c>
      <c r="J6133"/>
      <c r="L6133"/>
      <c r="M6133"/>
      <c r="N6133" s="20"/>
      <c r="O6133"/>
      <c r="P6133" s="20"/>
      <c r="Q6133" s="20" t="s">
        <v>401</v>
      </c>
      <c r="R6133" s="20"/>
      <c r="S6133" s="20"/>
      <c r="T6133" s="20"/>
    </row>
    <row r="6134" spans="1:21" x14ac:dyDescent="0.25">
      <c r="A6134" s="3">
        <v>41981</v>
      </c>
      <c r="B6134" s="36">
        <v>890</v>
      </c>
      <c r="C6134" t="s">
        <v>6091</v>
      </c>
      <c r="E6134" s="18">
        <v>1600</v>
      </c>
      <c r="F6134" t="s">
        <v>891</v>
      </c>
      <c r="H6134" s="18" t="s">
        <v>442</v>
      </c>
      <c r="I6134" s="3" t="s">
        <v>442</v>
      </c>
      <c r="J6134"/>
      <c r="L6134"/>
      <c r="M6134"/>
      <c r="N6134" s="20"/>
      <c r="O6134"/>
      <c r="P6134" s="20"/>
      <c r="Q6134" s="20" t="s">
        <v>401</v>
      </c>
      <c r="R6134" s="20"/>
      <c r="S6134" s="20"/>
      <c r="T6134" s="20"/>
    </row>
    <row r="6135" spans="1:21" x14ac:dyDescent="0.25">
      <c r="A6135" s="3">
        <v>41985</v>
      </c>
      <c r="B6135" s="36">
        <v>890</v>
      </c>
      <c r="C6135" t="s">
        <v>6092</v>
      </c>
      <c r="E6135" s="18">
        <v>1400</v>
      </c>
      <c r="F6135" t="s">
        <v>889</v>
      </c>
      <c r="G6135" t="s">
        <v>442</v>
      </c>
      <c r="H6135" s="18" t="s">
        <v>442</v>
      </c>
      <c r="I6135" s="3" t="s">
        <v>442</v>
      </c>
      <c r="J6135"/>
      <c r="L6135"/>
      <c r="M6135"/>
      <c r="N6135" s="20"/>
      <c r="O6135"/>
      <c r="P6135" s="20"/>
      <c r="Q6135" s="20"/>
      <c r="R6135" s="20"/>
      <c r="S6135" s="20"/>
      <c r="T6135" s="20" t="s">
        <v>401</v>
      </c>
    </row>
    <row r="6136" spans="1:21" x14ac:dyDescent="0.25">
      <c r="A6136" s="3">
        <v>41985</v>
      </c>
      <c r="B6136" s="36">
        <v>890</v>
      </c>
      <c r="C6136" t="s">
        <v>6091</v>
      </c>
      <c r="E6136" s="18">
        <v>1600</v>
      </c>
      <c r="F6136" t="s">
        <v>891</v>
      </c>
      <c r="H6136" s="18" t="s">
        <v>442</v>
      </c>
      <c r="I6136" s="3" t="s">
        <v>442</v>
      </c>
      <c r="J6136"/>
      <c r="L6136"/>
      <c r="M6136"/>
      <c r="N6136" s="20"/>
      <c r="O6136"/>
      <c r="P6136" s="20"/>
      <c r="Q6136" s="20" t="s">
        <v>401</v>
      </c>
      <c r="R6136" s="20"/>
      <c r="S6136" s="20"/>
      <c r="T6136" s="20"/>
    </row>
    <row r="6137" spans="1:21" x14ac:dyDescent="0.25">
      <c r="A6137" s="3">
        <v>41988</v>
      </c>
      <c r="B6137" s="36">
        <v>890</v>
      </c>
      <c r="C6137" t="s">
        <v>1313</v>
      </c>
      <c r="E6137" s="18">
        <v>1000</v>
      </c>
      <c r="G6137" t="s">
        <v>442</v>
      </c>
      <c r="H6137" s="18" t="s">
        <v>442</v>
      </c>
      <c r="I6137" s="3" t="s">
        <v>442</v>
      </c>
      <c r="J6137"/>
      <c r="L6137"/>
      <c r="M6137"/>
      <c r="N6137" s="20"/>
      <c r="O6137"/>
      <c r="P6137" s="20"/>
      <c r="Q6137" s="20"/>
      <c r="R6137" s="20"/>
      <c r="S6137" s="20" t="s">
        <v>401</v>
      </c>
      <c r="T6137" s="20"/>
    </row>
    <row r="6138" spans="1:21" x14ac:dyDescent="0.25">
      <c r="A6138" s="3">
        <v>42027</v>
      </c>
      <c r="B6138" s="36">
        <v>890</v>
      </c>
      <c r="C6138" t="s">
        <v>654</v>
      </c>
      <c r="D6138" s="55">
        <v>3.3149999999999999</v>
      </c>
      <c r="E6138" s="18">
        <v>165.75</v>
      </c>
      <c r="F6138" t="s">
        <v>889</v>
      </c>
      <c r="G6138" t="s">
        <v>655</v>
      </c>
      <c r="H6138" s="18">
        <v>165.75</v>
      </c>
      <c r="I6138" s="3">
        <v>42027</v>
      </c>
      <c r="J6138"/>
      <c r="L6138"/>
      <c r="M6138"/>
      <c r="N6138" s="20"/>
      <c r="O6138"/>
      <c r="P6138" s="20"/>
      <c r="Q6138" s="20"/>
      <c r="R6138" s="20"/>
      <c r="S6138" s="20"/>
      <c r="T6138" s="20"/>
    </row>
    <row r="6139" spans="1:21" x14ac:dyDescent="0.25">
      <c r="A6139" s="3">
        <v>42041</v>
      </c>
      <c r="B6139">
        <v>890</v>
      </c>
      <c r="C6139" t="s">
        <v>514</v>
      </c>
      <c r="D6139">
        <v>5.0999999999999996</v>
      </c>
      <c r="E6139" s="18">
        <v>505</v>
      </c>
      <c r="F6139" t="s">
        <v>889</v>
      </c>
      <c r="G6139" t="s">
        <v>515</v>
      </c>
      <c r="I6139"/>
      <c r="J6139"/>
      <c r="L6139"/>
      <c r="M6139"/>
      <c r="O6139"/>
      <c r="P6139" s="20"/>
      <c r="Q6139" s="20"/>
      <c r="R6139" s="20"/>
      <c r="S6139" s="20"/>
      <c r="T6139" s="20"/>
    </row>
    <row r="6140" spans="1:21" x14ac:dyDescent="0.25">
      <c r="B6140">
        <v>890</v>
      </c>
      <c r="C6140" t="s">
        <v>6093</v>
      </c>
      <c r="E6140" s="18">
        <v>-50</v>
      </c>
      <c r="F6140" t="s">
        <v>891</v>
      </c>
      <c r="I6140"/>
      <c r="J6140"/>
      <c r="L6140"/>
      <c r="M6140"/>
      <c r="O6140"/>
      <c r="P6140" s="20"/>
      <c r="Q6140" s="20"/>
      <c r="R6140" s="20"/>
      <c r="S6140" s="20"/>
      <c r="T6140" s="20"/>
      <c r="U6140" t="s">
        <v>401</v>
      </c>
    </row>
    <row r="6141" spans="1:21" x14ac:dyDescent="0.25">
      <c r="B6141">
        <v>890</v>
      </c>
      <c r="C6141" t="s">
        <v>6094</v>
      </c>
      <c r="E6141" s="18">
        <v>-1600</v>
      </c>
      <c r="F6141" t="s">
        <v>891</v>
      </c>
      <c r="I6141"/>
      <c r="J6141"/>
      <c r="L6141"/>
      <c r="M6141"/>
      <c r="O6141"/>
      <c r="P6141" s="20"/>
      <c r="Q6141" s="20"/>
      <c r="R6141" s="20"/>
      <c r="S6141" s="20"/>
      <c r="T6141" s="20"/>
      <c r="U6141" t="s">
        <v>401</v>
      </c>
    </row>
    <row r="6142" spans="1:21" x14ac:dyDescent="0.25">
      <c r="A6142" s="3">
        <v>42041</v>
      </c>
      <c r="B6142">
        <v>893</v>
      </c>
      <c r="C6142" t="s">
        <v>550</v>
      </c>
      <c r="D6142">
        <v>6.12</v>
      </c>
      <c r="E6142" s="18">
        <v>306</v>
      </c>
      <c r="F6142" t="s">
        <v>889</v>
      </c>
      <c r="G6142" t="s">
        <v>551</v>
      </c>
      <c r="I6142"/>
      <c r="J6142"/>
      <c r="L6142"/>
      <c r="M6142"/>
      <c r="O6142"/>
      <c r="P6142" s="20"/>
      <c r="Q6142" s="20"/>
      <c r="R6142" s="20"/>
      <c r="S6142" s="20"/>
      <c r="T6142" s="20"/>
    </row>
    <row r="6143" spans="1:21" x14ac:dyDescent="0.25">
      <c r="A6143" s="3">
        <v>42041</v>
      </c>
      <c r="B6143">
        <v>893</v>
      </c>
      <c r="C6143" t="s">
        <v>548</v>
      </c>
      <c r="D6143">
        <v>5.8650000000000002</v>
      </c>
      <c r="E6143" s="18">
        <v>293.25</v>
      </c>
      <c r="F6143" t="s">
        <v>889</v>
      </c>
      <c r="G6143" t="s">
        <v>549</v>
      </c>
      <c r="I6143"/>
      <c r="J6143"/>
      <c r="L6143"/>
      <c r="M6143"/>
      <c r="O6143"/>
      <c r="P6143" s="20"/>
      <c r="Q6143" s="20"/>
      <c r="R6143" s="20"/>
      <c r="S6143" s="20"/>
      <c r="T6143" s="20"/>
    </row>
    <row r="6144" spans="1:21" x14ac:dyDescent="0.25">
      <c r="A6144" s="3">
        <v>42041</v>
      </c>
      <c r="B6144">
        <v>893</v>
      </c>
      <c r="C6144" t="s">
        <v>546</v>
      </c>
      <c r="D6144">
        <v>5.3550000000000004</v>
      </c>
      <c r="E6144" s="18">
        <v>267.75</v>
      </c>
      <c r="F6144" t="s">
        <v>889</v>
      </c>
      <c r="G6144" t="s">
        <v>547</v>
      </c>
      <c r="I6144"/>
      <c r="J6144"/>
      <c r="L6144"/>
      <c r="M6144"/>
      <c r="O6144"/>
      <c r="P6144" s="20"/>
      <c r="Q6144" s="20"/>
      <c r="R6144" s="20"/>
      <c r="S6144" s="20"/>
      <c r="T6144" s="20"/>
    </row>
    <row r="6145" spans="1:21" x14ac:dyDescent="0.25">
      <c r="A6145" s="3">
        <v>42034</v>
      </c>
      <c r="B6145">
        <v>894</v>
      </c>
      <c r="C6145" t="s">
        <v>612</v>
      </c>
      <c r="D6145" s="19">
        <v>4.16</v>
      </c>
      <c r="E6145" s="18">
        <v>350</v>
      </c>
      <c r="F6145" s="23" t="s">
        <v>889</v>
      </c>
      <c r="G6145" t="s">
        <v>613</v>
      </c>
      <c r="H6145" s="18"/>
      <c r="J6145"/>
      <c r="L6145"/>
      <c r="M6145"/>
      <c r="N6145" s="20"/>
      <c r="O6145"/>
      <c r="P6145" s="20"/>
      <c r="Q6145" s="20"/>
      <c r="R6145" s="20"/>
      <c r="S6145" s="20"/>
      <c r="T6145" s="20"/>
    </row>
    <row r="6146" spans="1:21" x14ac:dyDescent="0.25">
      <c r="A6146" s="3">
        <v>42034</v>
      </c>
      <c r="B6146">
        <v>894</v>
      </c>
      <c r="C6146" t="s">
        <v>866</v>
      </c>
      <c r="D6146" s="19">
        <v>5.46</v>
      </c>
      <c r="E6146" s="18">
        <v>623</v>
      </c>
      <c r="F6146" s="23" t="s">
        <v>889</v>
      </c>
      <c r="G6146" t="s">
        <v>867</v>
      </c>
      <c r="H6146" s="18"/>
      <c r="J6146"/>
      <c r="L6146"/>
      <c r="M6146"/>
      <c r="N6146" s="20"/>
      <c r="O6146"/>
      <c r="P6146" s="20"/>
      <c r="Q6146" s="20"/>
      <c r="R6146" s="20"/>
      <c r="S6146" s="20"/>
      <c r="T6146" s="20"/>
    </row>
    <row r="6147" spans="1:21" x14ac:dyDescent="0.25">
      <c r="A6147" s="3">
        <v>42041</v>
      </c>
      <c r="B6147">
        <v>894</v>
      </c>
      <c r="C6147" t="s">
        <v>866</v>
      </c>
      <c r="D6147">
        <v>5.46</v>
      </c>
      <c r="E6147" s="18">
        <v>469</v>
      </c>
      <c r="F6147" t="s">
        <v>889</v>
      </c>
      <c r="G6147" t="s">
        <v>867</v>
      </c>
      <c r="I6147"/>
      <c r="J6147"/>
      <c r="L6147"/>
      <c r="M6147"/>
      <c r="O6147"/>
      <c r="P6147" s="20"/>
      <c r="Q6147" s="20"/>
      <c r="R6147" s="20"/>
      <c r="S6147" s="20"/>
      <c r="T6147" s="20"/>
    </row>
    <row r="6148" spans="1:21" x14ac:dyDescent="0.25">
      <c r="A6148" s="3">
        <v>41999</v>
      </c>
      <c r="B6148" s="36">
        <v>897</v>
      </c>
      <c r="C6148" t="s">
        <v>4494</v>
      </c>
      <c r="E6148" s="18">
        <v>500</v>
      </c>
      <c r="F6148" t="s">
        <v>889</v>
      </c>
      <c r="G6148" t="s">
        <v>442</v>
      </c>
      <c r="H6148" s="18" t="s">
        <v>442</v>
      </c>
      <c r="I6148" s="3" t="s">
        <v>442</v>
      </c>
      <c r="J6148"/>
      <c r="L6148"/>
      <c r="M6148"/>
      <c r="N6148" s="20"/>
      <c r="O6148"/>
      <c r="P6148" s="20"/>
      <c r="Q6148" s="20"/>
      <c r="R6148" s="20"/>
      <c r="S6148" s="20"/>
      <c r="T6148" s="20" t="s">
        <v>401</v>
      </c>
    </row>
    <row r="6149" spans="1:21" x14ac:dyDescent="0.25">
      <c r="A6149" s="3">
        <v>42034</v>
      </c>
      <c r="B6149">
        <v>897</v>
      </c>
      <c r="C6149" t="s">
        <v>847</v>
      </c>
      <c r="D6149" s="19">
        <v>9.9450000000000003</v>
      </c>
      <c r="E6149" s="18">
        <v>1241.75</v>
      </c>
      <c r="G6149" t="s">
        <v>848</v>
      </c>
      <c r="H6149" s="18"/>
      <c r="J6149"/>
      <c r="L6149"/>
      <c r="M6149"/>
      <c r="N6149" s="20"/>
      <c r="O6149"/>
      <c r="P6149" s="20"/>
      <c r="Q6149" s="20"/>
      <c r="R6149" s="20"/>
      <c r="S6149" s="20"/>
      <c r="T6149" s="20"/>
    </row>
    <row r="6150" spans="1:21" x14ac:dyDescent="0.25">
      <c r="A6150" s="3">
        <v>42034</v>
      </c>
      <c r="B6150">
        <v>897</v>
      </c>
      <c r="C6150" t="s">
        <v>847</v>
      </c>
      <c r="D6150" s="19">
        <v>9.9450000000000003</v>
      </c>
      <c r="E6150" s="18">
        <v>747.25</v>
      </c>
      <c r="F6150" t="s">
        <v>889</v>
      </c>
      <c r="G6150" t="s">
        <v>848</v>
      </c>
      <c r="H6150" s="18"/>
      <c r="J6150"/>
      <c r="L6150"/>
      <c r="M6150"/>
      <c r="N6150" s="20"/>
      <c r="O6150"/>
      <c r="P6150" s="20"/>
      <c r="Q6150" s="20"/>
      <c r="R6150" s="20"/>
      <c r="S6150" s="20"/>
      <c r="T6150" s="20"/>
    </row>
    <row r="6151" spans="1:21" x14ac:dyDescent="0.25">
      <c r="A6151" s="3">
        <v>42041</v>
      </c>
      <c r="B6151">
        <v>897</v>
      </c>
      <c r="C6151" t="s">
        <v>854</v>
      </c>
      <c r="D6151">
        <v>6.25</v>
      </c>
      <c r="E6151" s="18">
        <v>156.25</v>
      </c>
      <c r="F6151" t="s">
        <v>889</v>
      </c>
      <c r="G6151" t="s">
        <v>855</v>
      </c>
      <c r="I6151"/>
      <c r="J6151"/>
      <c r="L6151"/>
      <c r="M6151"/>
      <c r="O6151"/>
      <c r="P6151" s="20"/>
      <c r="Q6151" s="20"/>
      <c r="R6151" s="20"/>
      <c r="S6151" s="20"/>
      <c r="T6151" s="20"/>
    </row>
    <row r="6152" spans="1:21" x14ac:dyDescent="0.25">
      <c r="B6152">
        <v>897</v>
      </c>
      <c r="C6152" t="s">
        <v>4494</v>
      </c>
      <c r="E6152" s="18">
        <v>-500</v>
      </c>
      <c r="F6152" t="s">
        <v>889</v>
      </c>
      <c r="G6152" t="s">
        <v>442</v>
      </c>
      <c r="I6152"/>
      <c r="J6152"/>
      <c r="L6152"/>
      <c r="M6152"/>
      <c r="O6152"/>
      <c r="P6152" s="20"/>
      <c r="Q6152" s="20"/>
      <c r="R6152" s="20"/>
      <c r="S6152" s="20"/>
      <c r="T6152" s="20"/>
      <c r="U6152" t="s">
        <v>401</v>
      </c>
    </row>
    <row r="6153" spans="1:21" x14ac:dyDescent="0.25">
      <c r="A6153" s="3">
        <v>42016</v>
      </c>
      <c r="B6153" s="36">
        <v>898</v>
      </c>
      <c r="C6153" t="s">
        <v>445</v>
      </c>
      <c r="D6153">
        <v>3.5</v>
      </c>
      <c r="E6153" s="18">
        <v>441.25</v>
      </c>
      <c r="F6153" t="s">
        <v>889</v>
      </c>
      <c r="G6153" t="s">
        <v>446</v>
      </c>
      <c r="H6153" s="18">
        <v>441.25</v>
      </c>
      <c r="I6153" s="3">
        <v>42016</v>
      </c>
      <c r="J6153"/>
      <c r="L6153"/>
      <c r="M6153"/>
      <c r="N6153" s="20"/>
      <c r="O6153"/>
      <c r="P6153" s="20"/>
      <c r="Q6153" s="20"/>
      <c r="R6153" s="20"/>
      <c r="S6153" s="20"/>
      <c r="T6153" s="20"/>
    </row>
    <row r="6154" spans="1:21" x14ac:dyDescent="0.25">
      <c r="A6154" s="3">
        <v>41995</v>
      </c>
      <c r="B6154" s="36">
        <v>904</v>
      </c>
      <c r="C6154" t="s">
        <v>6095</v>
      </c>
      <c r="E6154" s="18">
        <v>5000</v>
      </c>
      <c r="F6154" t="s">
        <v>889</v>
      </c>
      <c r="G6154" t="s">
        <v>442</v>
      </c>
      <c r="H6154" s="18" t="s">
        <v>442</v>
      </c>
      <c r="I6154" s="3" t="s">
        <v>442</v>
      </c>
      <c r="J6154"/>
      <c r="L6154"/>
      <c r="M6154"/>
      <c r="N6154" s="20"/>
      <c r="O6154"/>
      <c r="P6154" s="20"/>
      <c r="Q6154" s="20"/>
      <c r="R6154" s="20"/>
      <c r="S6154" s="20" t="s">
        <v>401</v>
      </c>
      <c r="T6154" s="20"/>
    </row>
    <row r="6155" spans="1:21" x14ac:dyDescent="0.25">
      <c r="A6155" s="3">
        <v>42004</v>
      </c>
      <c r="B6155" s="36">
        <v>904</v>
      </c>
      <c r="C6155" t="s">
        <v>6081</v>
      </c>
      <c r="E6155" s="18">
        <v>5000</v>
      </c>
      <c r="F6155" t="s">
        <v>5630</v>
      </c>
      <c r="G6155" t="s">
        <v>442</v>
      </c>
      <c r="H6155" s="18" t="s">
        <v>442</v>
      </c>
      <c r="I6155" s="3" t="s">
        <v>442</v>
      </c>
      <c r="J6155"/>
      <c r="L6155"/>
      <c r="M6155"/>
      <c r="N6155" s="20"/>
      <c r="O6155"/>
      <c r="P6155" s="20"/>
      <c r="Q6155" s="20"/>
      <c r="R6155" s="20"/>
      <c r="S6155" s="20"/>
      <c r="T6155" s="20" t="s">
        <v>401</v>
      </c>
    </row>
    <row r="6156" spans="1:21" x14ac:dyDescent="0.25">
      <c r="B6156">
        <v>904</v>
      </c>
      <c r="C6156" t="s">
        <v>6081</v>
      </c>
      <c r="E6156" s="18">
        <v>-5000</v>
      </c>
      <c r="F6156" t="s">
        <v>5630</v>
      </c>
      <c r="G6156" t="s">
        <v>442</v>
      </c>
      <c r="I6156"/>
      <c r="J6156"/>
      <c r="L6156"/>
      <c r="M6156"/>
      <c r="O6156"/>
      <c r="P6156" s="20"/>
      <c r="Q6156" s="20"/>
      <c r="R6156" s="20"/>
      <c r="S6156" s="20"/>
      <c r="T6156" s="20"/>
      <c r="U6156" t="s">
        <v>401</v>
      </c>
    </row>
    <row r="6157" spans="1:21" x14ac:dyDescent="0.25">
      <c r="A6157" s="3">
        <v>41999</v>
      </c>
      <c r="B6157" s="36">
        <v>906</v>
      </c>
      <c r="C6157" t="s">
        <v>4494</v>
      </c>
      <c r="E6157" s="18">
        <v>500</v>
      </c>
      <c r="F6157" t="s">
        <v>889</v>
      </c>
      <c r="G6157" t="s">
        <v>442</v>
      </c>
      <c r="H6157" s="18" t="s">
        <v>442</v>
      </c>
      <c r="I6157" s="3" t="s">
        <v>442</v>
      </c>
      <c r="J6157"/>
      <c r="L6157"/>
      <c r="M6157"/>
      <c r="N6157" s="20"/>
      <c r="O6157"/>
      <c r="P6157" s="20"/>
      <c r="Q6157" s="20"/>
      <c r="R6157" s="20"/>
      <c r="S6157" s="20"/>
      <c r="T6157" s="20" t="s">
        <v>401</v>
      </c>
    </row>
    <row r="6158" spans="1:21" x14ac:dyDescent="0.25">
      <c r="A6158" s="32">
        <v>42034</v>
      </c>
      <c r="B6158" s="56">
        <v>906</v>
      </c>
      <c r="C6158" s="32" t="s">
        <v>620</v>
      </c>
      <c r="D6158" s="33">
        <v>7</v>
      </c>
      <c r="E6158" s="35">
        <v>175</v>
      </c>
      <c r="F6158" s="33" t="s">
        <v>889</v>
      </c>
      <c r="G6158" t="s">
        <v>621</v>
      </c>
      <c r="H6158" s="18"/>
      <c r="J6158"/>
      <c r="L6158"/>
      <c r="M6158"/>
      <c r="N6158" s="20"/>
      <c r="O6158"/>
      <c r="P6158" s="20"/>
      <c r="Q6158" s="20"/>
      <c r="R6158" s="20"/>
      <c r="S6158" s="20"/>
      <c r="T6158" s="20"/>
    </row>
    <row r="6159" spans="1:21" x14ac:dyDescent="0.25">
      <c r="B6159">
        <v>906</v>
      </c>
      <c r="C6159" t="s">
        <v>4494</v>
      </c>
      <c r="E6159" s="18">
        <v>-500</v>
      </c>
      <c r="F6159" t="s">
        <v>889</v>
      </c>
      <c r="G6159" t="s">
        <v>442</v>
      </c>
      <c r="I6159"/>
      <c r="J6159"/>
      <c r="L6159"/>
      <c r="M6159"/>
      <c r="O6159"/>
      <c r="P6159" s="20"/>
      <c r="Q6159" s="20"/>
      <c r="R6159" s="20"/>
      <c r="S6159" s="20"/>
      <c r="T6159" s="20"/>
      <c r="U6159" t="s">
        <v>401</v>
      </c>
    </row>
    <row r="6160" spans="1:21" x14ac:dyDescent="0.25">
      <c r="A6160" s="3">
        <v>42034</v>
      </c>
      <c r="B6160">
        <v>908</v>
      </c>
      <c r="C6160" t="s">
        <v>143</v>
      </c>
      <c r="D6160" s="19">
        <v>6.375</v>
      </c>
      <c r="E6160" s="18">
        <v>250</v>
      </c>
      <c r="F6160" s="23" t="s">
        <v>889</v>
      </c>
      <c r="G6160" t="s">
        <v>591</v>
      </c>
      <c r="H6160" s="18"/>
      <c r="J6160"/>
      <c r="L6160"/>
      <c r="M6160"/>
      <c r="N6160" s="20"/>
      <c r="O6160"/>
      <c r="P6160" s="20"/>
      <c r="Q6160" s="20"/>
      <c r="R6160" s="20"/>
      <c r="S6160" s="20"/>
      <c r="T6160" s="20"/>
    </row>
    <row r="6161" spans="1:21" x14ac:dyDescent="0.25">
      <c r="A6161" s="3">
        <v>42041</v>
      </c>
      <c r="B6161">
        <v>908</v>
      </c>
      <c r="C6161" t="s">
        <v>528</v>
      </c>
      <c r="D6161">
        <v>5.0999999999999996</v>
      </c>
      <c r="E6161" s="18">
        <v>250</v>
      </c>
      <c r="F6161" t="s">
        <v>889</v>
      </c>
      <c r="G6161" t="s">
        <v>529</v>
      </c>
      <c r="I6161"/>
      <c r="J6161"/>
      <c r="L6161"/>
      <c r="M6161"/>
      <c r="O6161"/>
      <c r="P6161" s="20"/>
      <c r="Q6161" s="20"/>
      <c r="R6161" s="20"/>
      <c r="S6161" s="20"/>
      <c r="T6161" s="20"/>
    </row>
    <row r="6162" spans="1:21" x14ac:dyDescent="0.25">
      <c r="A6162" s="3">
        <v>42041</v>
      </c>
      <c r="B6162">
        <v>911</v>
      </c>
      <c r="C6162" t="s">
        <v>6096</v>
      </c>
      <c r="D6162">
        <v>5.8650000000000002</v>
      </c>
      <c r="E6162" s="18">
        <v>250</v>
      </c>
      <c r="F6162" t="s">
        <v>889</v>
      </c>
      <c r="G6162" t="s">
        <v>793</v>
      </c>
      <c r="I6162"/>
      <c r="J6162"/>
      <c r="L6162"/>
      <c r="M6162"/>
      <c r="O6162"/>
      <c r="P6162" s="20"/>
      <c r="Q6162" s="20"/>
      <c r="R6162" s="20"/>
      <c r="S6162" s="20"/>
      <c r="T6162" s="20"/>
    </row>
    <row r="6163" spans="1:21" x14ac:dyDescent="0.25">
      <c r="A6163" s="3">
        <v>42041</v>
      </c>
      <c r="B6163">
        <v>912</v>
      </c>
      <c r="C6163" t="s">
        <v>6097</v>
      </c>
      <c r="D6163">
        <v>3.06</v>
      </c>
      <c r="E6163" s="18">
        <v>250</v>
      </c>
      <c r="F6163" t="s">
        <v>889</v>
      </c>
      <c r="G6163" t="s">
        <v>796</v>
      </c>
      <c r="I6163"/>
      <c r="J6163"/>
      <c r="L6163"/>
      <c r="M6163"/>
      <c r="O6163"/>
      <c r="P6163" s="20"/>
      <c r="Q6163" s="20"/>
      <c r="R6163" s="20"/>
      <c r="S6163" s="20"/>
      <c r="T6163" s="20"/>
    </row>
    <row r="6164" spans="1:21" x14ac:dyDescent="0.25">
      <c r="A6164" s="3">
        <v>42041</v>
      </c>
      <c r="B6164">
        <v>912</v>
      </c>
      <c r="C6164" t="s">
        <v>6098</v>
      </c>
      <c r="D6164">
        <v>6.12</v>
      </c>
      <c r="E6164" s="18">
        <v>250</v>
      </c>
      <c r="F6164" t="s">
        <v>889</v>
      </c>
      <c r="G6164" t="s">
        <v>837</v>
      </c>
      <c r="I6164"/>
      <c r="J6164"/>
      <c r="L6164"/>
      <c r="M6164"/>
      <c r="O6164"/>
      <c r="P6164" s="20"/>
      <c r="Q6164" s="20"/>
      <c r="R6164" s="20"/>
      <c r="S6164" s="20"/>
      <c r="T6164" s="20"/>
    </row>
    <row r="6165" spans="1:21" x14ac:dyDescent="0.25">
      <c r="A6165" s="3">
        <v>42041</v>
      </c>
      <c r="B6165">
        <v>912</v>
      </c>
      <c r="C6165" t="s">
        <v>6099</v>
      </c>
      <c r="D6165">
        <v>6.63</v>
      </c>
      <c r="E6165" s="18">
        <v>250</v>
      </c>
      <c r="F6165" t="s">
        <v>889</v>
      </c>
      <c r="G6165" t="s">
        <v>792</v>
      </c>
      <c r="I6165"/>
      <c r="J6165"/>
      <c r="L6165"/>
      <c r="M6165"/>
      <c r="O6165"/>
      <c r="P6165" s="20"/>
      <c r="Q6165" s="20"/>
      <c r="R6165" s="20"/>
      <c r="S6165" s="20"/>
      <c r="T6165" s="20"/>
    </row>
    <row r="6166" spans="1:21" x14ac:dyDescent="0.25">
      <c r="A6166" s="3">
        <v>42041</v>
      </c>
      <c r="B6166">
        <v>915</v>
      </c>
      <c r="C6166" t="s">
        <v>6100</v>
      </c>
      <c r="D6166">
        <v>4.8449999999999998</v>
      </c>
      <c r="E6166" s="18">
        <v>250</v>
      </c>
      <c r="F6166" t="s">
        <v>889</v>
      </c>
      <c r="G6166" t="s">
        <v>797</v>
      </c>
      <c r="I6166"/>
      <c r="J6166"/>
      <c r="L6166"/>
      <c r="M6166"/>
      <c r="O6166"/>
      <c r="P6166" s="20"/>
      <c r="Q6166" s="20"/>
      <c r="R6166" s="20"/>
      <c r="S6166" s="20"/>
      <c r="T6166" s="20"/>
    </row>
    <row r="6167" spans="1:21" x14ac:dyDescent="0.25">
      <c r="A6167" s="3">
        <v>42041</v>
      </c>
      <c r="B6167">
        <v>915</v>
      </c>
      <c r="C6167" t="s">
        <v>6101</v>
      </c>
      <c r="D6167">
        <v>3.57</v>
      </c>
      <c r="E6167" s="18">
        <v>250</v>
      </c>
      <c r="F6167" t="s">
        <v>889</v>
      </c>
      <c r="G6167" t="s">
        <v>838</v>
      </c>
      <c r="I6167"/>
      <c r="J6167"/>
      <c r="L6167"/>
      <c r="M6167"/>
      <c r="O6167"/>
      <c r="P6167" s="20"/>
      <c r="Q6167" s="20"/>
      <c r="R6167" s="20"/>
      <c r="S6167" s="20"/>
      <c r="T6167" s="20"/>
    </row>
    <row r="6168" spans="1:21" x14ac:dyDescent="0.25">
      <c r="B6168">
        <v>918</v>
      </c>
      <c r="C6168" t="s">
        <v>794</v>
      </c>
      <c r="D6168">
        <v>3.57</v>
      </c>
      <c r="E6168" s="18">
        <v>428.5</v>
      </c>
      <c r="F6168" t="s">
        <v>889</v>
      </c>
      <c r="G6168" t="s">
        <v>795</v>
      </c>
      <c r="I6168"/>
      <c r="J6168"/>
      <c r="L6168"/>
      <c r="M6168"/>
      <c r="O6168"/>
      <c r="P6168" s="20"/>
      <c r="Q6168" s="20"/>
      <c r="R6168" s="20"/>
      <c r="S6168" s="20"/>
      <c r="T6168" s="20"/>
      <c r="U6168" t="s">
        <v>401</v>
      </c>
    </row>
    <row r="6169" spans="1:21" x14ac:dyDescent="0.25">
      <c r="A6169" s="3">
        <v>42013</v>
      </c>
      <c r="B6169" s="36">
        <v>927</v>
      </c>
      <c r="C6169" t="s">
        <v>437</v>
      </c>
      <c r="D6169">
        <v>5.3550000000000004</v>
      </c>
      <c r="E6169" s="18">
        <v>517.75</v>
      </c>
      <c r="F6169" t="s">
        <v>889</v>
      </c>
      <c r="G6169" t="s">
        <v>438</v>
      </c>
      <c r="H6169" s="18">
        <v>517.75</v>
      </c>
      <c r="I6169" s="3">
        <v>42013</v>
      </c>
      <c r="J6169"/>
      <c r="L6169"/>
      <c r="M6169"/>
      <c r="N6169" s="20"/>
      <c r="O6169"/>
      <c r="P6169" s="20"/>
      <c r="Q6169" s="20"/>
      <c r="R6169" s="20"/>
      <c r="S6169" s="20"/>
      <c r="T6169" s="20"/>
    </row>
    <row r="6170" spans="1:21" x14ac:dyDescent="0.25">
      <c r="A6170" s="3">
        <v>42027</v>
      </c>
      <c r="B6170" s="36">
        <v>927</v>
      </c>
      <c r="C6170" t="s">
        <v>447</v>
      </c>
      <c r="D6170" s="55">
        <v>6.375</v>
      </c>
      <c r="E6170" s="18">
        <v>318.75</v>
      </c>
      <c r="F6170" t="s">
        <v>889</v>
      </c>
      <c r="G6170" t="s">
        <v>448</v>
      </c>
      <c r="H6170" s="18">
        <v>318.75</v>
      </c>
      <c r="I6170" s="3">
        <v>42027</v>
      </c>
      <c r="J6170"/>
      <c r="L6170"/>
      <c r="M6170"/>
      <c r="N6170" s="20"/>
      <c r="O6170"/>
      <c r="P6170" s="20"/>
      <c r="Q6170" s="20"/>
      <c r="R6170" s="20"/>
      <c r="S6170" s="20"/>
      <c r="T6170" s="20"/>
    </row>
    <row r="6171" spans="1:21" x14ac:dyDescent="0.25">
      <c r="B6171">
        <v>927</v>
      </c>
      <c r="C6171" t="s">
        <v>3206</v>
      </c>
      <c r="E6171" s="18">
        <v>-399.75</v>
      </c>
      <c r="I6171"/>
      <c r="J6171"/>
      <c r="L6171"/>
      <c r="M6171"/>
      <c r="O6171"/>
      <c r="P6171" s="20"/>
      <c r="Q6171" s="20"/>
      <c r="R6171" s="20"/>
      <c r="S6171" s="20"/>
      <c r="T6171" s="20"/>
      <c r="U6171" t="s">
        <v>401</v>
      </c>
    </row>
    <row r="6172" spans="1:21" x14ac:dyDescent="0.25">
      <c r="B6172">
        <v>927</v>
      </c>
      <c r="C6172" t="s">
        <v>3207</v>
      </c>
      <c r="E6172" s="18">
        <v>-105.139726027397</v>
      </c>
      <c r="I6172"/>
      <c r="J6172"/>
      <c r="L6172"/>
      <c r="M6172"/>
      <c r="O6172"/>
      <c r="P6172" s="20"/>
      <c r="Q6172" s="20"/>
      <c r="R6172" s="20"/>
      <c r="S6172" s="20"/>
      <c r="T6172" s="20"/>
      <c r="U6172" t="s">
        <v>401</v>
      </c>
    </row>
    <row r="6173" spans="1:21" x14ac:dyDescent="0.25">
      <c r="B6173">
        <v>927</v>
      </c>
      <c r="C6173" t="s">
        <v>3208</v>
      </c>
      <c r="E6173" s="18">
        <v>-399.75</v>
      </c>
      <c r="I6173"/>
      <c r="J6173"/>
      <c r="L6173"/>
      <c r="M6173"/>
      <c r="O6173"/>
      <c r="P6173" s="20"/>
      <c r="Q6173" s="20"/>
      <c r="R6173" s="20"/>
      <c r="S6173" s="20"/>
      <c r="T6173" s="20"/>
      <c r="U6173" t="s">
        <v>401</v>
      </c>
    </row>
    <row r="6174" spans="1:21" x14ac:dyDescent="0.25">
      <c r="A6174" s="3">
        <v>42041</v>
      </c>
      <c r="B6174">
        <v>930</v>
      </c>
      <c r="C6174" t="s">
        <v>530</v>
      </c>
      <c r="D6174">
        <v>5.3550000000000004</v>
      </c>
      <c r="E6174" s="18">
        <v>250</v>
      </c>
      <c r="F6174" t="s">
        <v>889</v>
      </c>
      <c r="G6174" t="s">
        <v>531</v>
      </c>
      <c r="I6174"/>
      <c r="J6174"/>
      <c r="L6174"/>
      <c r="M6174"/>
      <c r="O6174"/>
      <c r="P6174" s="20"/>
      <c r="Q6174" s="20"/>
      <c r="R6174" s="20"/>
      <c r="S6174" s="20"/>
      <c r="T6174" s="20"/>
    </row>
    <row r="6175" spans="1:21" x14ac:dyDescent="0.25">
      <c r="A6175" s="3">
        <v>42034</v>
      </c>
      <c r="B6175">
        <v>940</v>
      </c>
      <c r="C6175" t="s">
        <v>868</v>
      </c>
      <c r="D6175" s="19">
        <v>4.42</v>
      </c>
      <c r="E6175" s="18">
        <v>221</v>
      </c>
      <c r="F6175" s="23" t="s">
        <v>889</v>
      </c>
      <c r="G6175" t="s">
        <v>869</v>
      </c>
      <c r="H6175" s="18"/>
      <c r="J6175"/>
      <c r="L6175"/>
      <c r="M6175"/>
      <c r="N6175" s="20"/>
      <c r="O6175"/>
      <c r="P6175" s="20"/>
      <c r="Q6175" s="20"/>
      <c r="R6175" s="20"/>
      <c r="S6175" s="20"/>
      <c r="T6175" s="20"/>
    </row>
    <row r="6176" spans="1:21" x14ac:dyDescent="0.25">
      <c r="A6176" s="3">
        <v>42041</v>
      </c>
      <c r="B6176">
        <v>940</v>
      </c>
      <c r="C6176" t="s">
        <v>868</v>
      </c>
      <c r="D6176">
        <v>4.42</v>
      </c>
      <c r="E6176" s="18">
        <v>663</v>
      </c>
      <c r="F6176" t="s">
        <v>889</v>
      </c>
      <c r="G6176" t="s">
        <v>869</v>
      </c>
      <c r="I6176"/>
      <c r="J6176"/>
      <c r="L6176"/>
      <c r="M6176"/>
      <c r="O6176"/>
      <c r="P6176" s="20"/>
      <c r="Q6176" s="20"/>
      <c r="R6176" s="20"/>
      <c r="S6176" s="20"/>
      <c r="T6176" s="20"/>
    </row>
    <row r="6177" spans="1:20" x14ac:dyDescent="0.25">
      <c r="A6177" s="3">
        <v>42034</v>
      </c>
      <c r="B6177">
        <v>941</v>
      </c>
      <c r="C6177" t="s">
        <v>592</v>
      </c>
      <c r="D6177" s="19">
        <v>3.8250000000000002</v>
      </c>
      <c r="E6177" s="18">
        <v>250</v>
      </c>
      <c r="F6177" s="23" t="s">
        <v>889</v>
      </c>
      <c r="G6177" t="s">
        <v>593</v>
      </c>
      <c r="H6177" s="18"/>
      <c r="J6177"/>
      <c r="L6177"/>
      <c r="M6177"/>
      <c r="N6177" s="20"/>
      <c r="O6177"/>
      <c r="P6177" s="20"/>
      <c r="Q6177" s="20"/>
      <c r="R6177" s="20"/>
      <c r="S6177" s="20"/>
      <c r="T6177" s="20"/>
    </row>
    <row r="6178" spans="1:20" x14ac:dyDescent="0.25">
      <c r="A6178" s="3">
        <v>42041</v>
      </c>
      <c r="B6178">
        <v>941</v>
      </c>
      <c r="C6178" t="s">
        <v>6102</v>
      </c>
      <c r="D6178">
        <v>2.5499999999999998</v>
      </c>
      <c r="E6178" s="18">
        <v>250</v>
      </c>
      <c r="F6178" t="s">
        <v>889</v>
      </c>
      <c r="G6178" t="s">
        <v>849</v>
      </c>
      <c r="I6178"/>
      <c r="J6178"/>
      <c r="L6178"/>
      <c r="M6178"/>
      <c r="O6178"/>
      <c r="P6178" s="20"/>
      <c r="Q6178" s="20"/>
      <c r="R6178" s="20"/>
      <c r="S6178" s="20"/>
      <c r="T6178" s="20"/>
    </row>
    <row r="6179" spans="1:20" x14ac:dyDescent="0.25">
      <c r="A6179" s="3">
        <v>42041</v>
      </c>
      <c r="B6179">
        <v>941</v>
      </c>
      <c r="C6179" t="s">
        <v>6103</v>
      </c>
      <c r="D6179">
        <v>3.57</v>
      </c>
      <c r="E6179" s="18">
        <v>250</v>
      </c>
      <c r="F6179" t="s">
        <v>889</v>
      </c>
      <c r="G6179" t="s">
        <v>839</v>
      </c>
      <c r="I6179"/>
      <c r="J6179"/>
      <c r="L6179"/>
      <c r="M6179"/>
      <c r="O6179"/>
      <c r="P6179" s="20"/>
      <c r="Q6179" s="20"/>
      <c r="R6179" s="20"/>
      <c r="S6179" s="20"/>
      <c r="T6179" s="20"/>
    </row>
    <row r="6180" spans="1:20" x14ac:dyDescent="0.25">
      <c r="A6180" s="3">
        <v>42041</v>
      </c>
      <c r="B6180">
        <v>941</v>
      </c>
      <c r="C6180" t="s">
        <v>6104</v>
      </c>
      <c r="D6180">
        <v>2.8050000000000002</v>
      </c>
      <c r="E6180" s="18">
        <v>250</v>
      </c>
      <c r="F6180" t="s">
        <v>889</v>
      </c>
      <c r="G6180" t="s">
        <v>842</v>
      </c>
      <c r="I6180"/>
      <c r="J6180"/>
      <c r="L6180"/>
      <c r="M6180"/>
      <c r="O6180"/>
      <c r="P6180" s="20"/>
      <c r="Q6180" s="20"/>
      <c r="R6180" s="20"/>
      <c r="S6180" s="20"/>
      <c r="T6180" s="20"/>
    </row>
    <row r="6181" spans="1:20" x14ac:dyDescent="0.25">
      <c r="A6181" s="3">
        <v>42041</v>
      </c>
      <c r="B6181">
        <v>941</v>
      </c>
      <c r="C6181" t="s">
        <v>6105</v>
      </c>
      <c r="D6181">
        <v>4.8449999999999998</v>
      </c>
      <c r="E6181" s="18">
        <v>250</v>
      </c>
      <c r="F6181" t="s">
        <v>889</v>
      </c>
      <c r="G6181" t="s">
        <v>658</v>
      </c>
      <c r="I6181"/>
      <c r="J6181"/>
      <c r="L6181"/>
      <c r="M6181"/>
      <c r="O6181"/>
      <c r="P6181" s="20"/>
      <c r="Q6181" s="20"/>
      <c r="R6181" s="20"/>
      <c r="S6181" s="20"/>
      <c r="T6181" s="20"/>
    </row>
    <row r="6182" spans="1:20" x14ac:dyDescent="0.25">
      <c r="A6182" s="3">
        <v>42034</v>
      </c>
      <c r="B6182">
        <v>943</v>
      </c>
      <c r="C6182" t="s">
        <v>598</v>
      </c>
      <c r="D6182" s="19">
        <v>6.375</v>
      </c>
      <c r="E6182" s="18">
        <v>250</v>
      </c>
      <c r="F6182" s="23" t="s">
        <v>889</v>
      </c>
      <c r="G6182" t="s">
        <v>599</v>
      </c>
      <c r="H6182" s="18"/>
      <c r="J6182"/>
      <c r="L6182"/>
      <c r="M6182"/>
      <c r="N6182" s="20"/>
      <c r="O6182"/>
      <c r="P6182" s="20"/>
      <c r="Q6182" s="20"/>
      <c r="R6182" s="20"/>
      <c r="S6182" s="20"/>
      <c r="T6182" s="20"/>
    </row>
    <row r="6183" spans="1:20" x14ac:dyDescent="0.25">
      <c r="A6183" s="3">
        <v>42041</v>
      </c>
      <c r="B6183">
        <v>945</v>
      </c>
      <c r="C6183" t="s">
        <v>554</v>
      </c>
      <c r="D6183">
        <v>6.25</v>
      </c>
      <c r="E6183" s="18">
        <v>312.5</v>
      </c>
      <c r="F6183" t="s">
        <v>889</v>
      </c>
      <c r="G6183" t="s">
        <v>555</v>
      </c>
      <c r="I6183"/>
      <c r="J6183"/>
      <c r="L6183"/>
      <c r="M6183"/>
      <c r="O6183"/>
      <c r="P6183" s="20"/>
      <c r="Q6183" s="20"/>
      <c r="R6183" s="20"/>
      <c r="S6183" s="20"/>
      <c r="T6183" s="20"/>
    </row>
    <row r="6184" spans="1:20" x14ac:dyDescent="0.25">
      <c r="A6184" s="32">
        <v>42034</v>
      </c>
      <c r="B6184" s="56">
        <v>949</v>
      </c>
      <c r="C6184" t="s">
        <v>835</v>
      </c>
      <c r="D6184" s="19">
        <v>6.25</v>
      </c>
      <c r="E6184" s="35">
        <v>250</v>
      </c>
      <c r="F6184" s="33" t="s">
        <v>889</v>
      </c>
      <c r="G6184" t="s">
        <v>836</v>
      </c>
      <c r="H6184" s="18"/>
      <c r="J6184"/>
      <c r="L6184"/>
      <c r="M6184"/>
      <c r="N6184" s="20"/>
      <c r="O6184"/>
      <c r="P6184" s="20"/>
      <c r="Q6184" s="20"/>
      <c r="R6184" s="20"/>
      <c r="S6184" s="20"/>
      <c r="T6184" s="20"/>
    </row>
    <row r="6185" spans="1:20" x14ac:dyDescent="0.25">
      <c r="A6185" s="32">
        <v>42034</v>
      </c>
      <c r="B6185" s="56">
        <v>949</v>
      </c>
      <c r="C6185" t="s">
        <v>840</v>
      </c>
      <c r="D6185" s="19">
        <v>14.025</v>
      </c>
      <c r="E6185" s="35">
        <v>250</v>
      </c>
      <c r="F6185" s="33" t="s">
        <v>889</v>
      </c>
      <c r="G6185" t="s">
        <v>841</v>
      </c>
      <c r="H6185" s="18"/>
      <c r="J6185"/>
      <c r="L6185"/>
      <c r="M6185"/>
      <c r="N6185" s="20"/>
      <c r="O6185"/>
      <c r="P6185" s="20"/>
      <c r="Q6185" s="20"/>
      <c r="R6185" s="20"/>
      <c r="S6185" s="20"/>
      <c r="T6185" s="20"/>
    </row>
    <row r="6186" spans="1:20" x14ac:dyDescent="0.25">
      <c r="A6186" s="3">
        <v>42041</v>
      </c>
      <c r="B6186">
        <v>949</v>
      </c>
      <c r="C6186" t="s">
        <v>524</v>
      </c>
      <c r="D6186">
        <v>6.8849999999999998</v>
      </c>
      <c r="E6186" s="18">
        <v>250</v>
      </c>
      <c r="F6186" t="s">
        <v>889</v>
      </c>
      <c r="G6186" t="s">
        <v>525</v>
      </c>
      <c r="I6186"/>
      <c r="J6186"/>
      <c r="L6186"/>
      <c r="M6186"/>
      <c r="O6186"/>
      <c r="P6186" s="20"/>
      <c r="Q6186" s="20"/>
      <c r="R6186" s="20"/>
      <c r="S6186" s="20"/>
      <c r="T6186" s="20"/>
    </row>
    <row r="6187" spans="1:20" x14ac:dyDescent="0.25">
      <c r="A6187" s="3">
        <v>42041</v>
      </c>
      <c r="B6187">
        <v>957</v>
      </c>
      <c r="C6187" t="s">
        <v>6106</v>
      </c>
      <c r="D6187">
        <v>2.5499999999999998</v>
      </c>
      <c r="E6187" s="18">
        <v>250</v>
      </c>
      <c r="F6187" t="s">
        <v>889</v>
      </c>
      <c r="G6187" t="s">
        <v>823</v>
      </c>
      <c r="I6187"/>
      <c r="J6187"/>
      <c r="L6187"/>
      <c r="M6187"/>
      <c r="O6187"/>
      <c r="P6187" s="20"/>
      <c r="Q6187" s="20"/>
      <c r="R6187" s="20"/>
      <c r="S6187" s="20"/>
      <c r="T6187" s="20"/>
    </row>
    <row r="6188" spans="1:20" x14ac:dyDescent="0.25">
      <c r="A6188" s="3">
        <v>42041</v>
      </c>
      <c r="B6188">
        <v>962</v>
      </c>
      <c r="C6188" t="s">
        <v>6107</v>
      </c>
      <c r="D6188">
        <v>4.335</v>
      </c>
      <c r="E6188" s="18">
        <v>250</v>
      </c>
      <c r="F6188" t="s">
        <v>889</v>
      </c>
      <c r="G6188" t="s">
        <v>833</v>
      </c>
      <c r="I6188"/>
      <c r="J6188"/>
      <c r="L6188"/>
      <c r="M6188"/>
      <c r="O6188"/>
      <c r="P6188" s="20"/>
      <c r="Q6188" s="20"/>
      <c r="R6188" s="20"/>
      <c r="S6188" s="20"/>
      <c r="T6188" s="20"/>
    </row>
    <row r="6189" spans="1:20" x14ac:dyDescent="0.25">
      <c r="A6189" s="3">
        <v>42041</v>
      </c>
      <c r="B6189">
        <v>962</v>
      </c>
      <c r="C6189" t="s">
        <v>536</v>
      </c>
      <c r="D6189">
        <v>9.18</v>
      </c>
      <c r="E6189" s="18">
        <v>250</v>
      </c>
      <c r="F6189" t="s">
        <v>889</v>
      </c>
      <c r="G6189" t="s">
        <v>537</v>
      </c>
      <c r="I6189"/>
      <c r="J6189"/>
      <c r="L6189"/>
      <c r="M6189"/>
      <c r="O6189"/>
      <c r="P6189" s="20"/>
      <c r="Q6189" s="20"/>
      <c r="R6189" s="20"/>
      <c r="S6189" s="20"/>
      <c r="T6189" s="20"/>
    </row>
    <row r="6190" spans="1:20" x14ac:dyDescent="0.25">
      <c r="A6190" s="32">
        <v>42034</v>
      </c>
      <c r="B6190" s="33">
        <v>964</v>
      </c>
      <c r="C6190" s="33" t="s">
        <v>6108</v>
      </c>
      <c r="D6190" s="34"/>
      <c r="E6190" s="35">
        <v>2250</v>
      </c>
      <c r="F6190" s="33" t="s">
        <v>889</v>
      </c>
      <c r="G6190" s="33"/>
      <c r="H6190" s="18"/>
      <c r="J6190"/>
      <c r="L6190"/>
      <c r="M6190"/>
      <c r="N6190" s="20"/>
      <c r="O6190"/>
      <c r="P6190" s="20"/>
      <c r="Q6190" s="20"/>
      <c r="R6190" s="20"/>
      <c r="S6190" s="20"/>
      <c r="T6190" s="20" t="s">
        <v>401</v>
      </c>
    </row>
    <row r="6191" spans="1:20" x14ac:dyDescent="0.25">
      <c r="A6191" s="3">
        <v>42034</v>
      </c>
      <c r="B6191">
        <v>964</v>
      </c>
      <c r="C6191" t="s">
        <v>594</v>
      </c>
      <c r="D6191" s="19">
        <v>5.61</v>
      </c>
      <c r="E6191" s="18">
        <v>250</v>
      </c>
      <c r="F6191" s="23" t="s">
        <v>889</v>
      </c>
      <c r="G6191" t="s">
        <v>595</v>
      </c>
      <c r="H6191" s="18"/>
      <c r="J6191"/>
      <c r="L6191"/>
      <c r="M6191"/>
      <c r="N6191" s="20"/>
      <c r="O6191"/>
      <c r="P6191" s="20"/>
      <c r="Q6191" s="20"/>
      <c r="R6191" s="20"/>
      <c r="S6191" s="20"/>
      <c r="T6191" s="20"/>
    </row>
    <row r="6192" spans="1:20" x14ac:dyDescent="0.25">
      <c r="A6192" s="3">
        <v>42041</v>
      </c>
      <c r="B6192">
        <v>966</v>
      </c>
      <c r="C6192" t="s">
        <v>856</v>
      </c>
      <c r="D6192">
        <v>4.335</v>
      </c>
      <c r="E6192" s="18">
        <v>867</v>
      </c>
      <c r="F6192" t="s">
        <v>889</v>
      </c>
      <c r="G6192" t="s">
        <v>857</v>
      </c>
      <c r="I6192"/>
      <c r="J6192"/>
      <c r="L6192"/>
      <c r="M6192"/>
      <c r="O6192"/>
      <c r="P6192" s="20"/>
      <c r="Q6192" s="20"/>
      <c r="R6192" s="20"/>
      <c r="S6192" s="20"/>
      <c r="T6192" s="20"/>
    </row>
    <row r="6193" spans="1:21" x14ac:dyDescent="0.25">
      <c r="A6193" s="3">
        <v>42041</v>
      </c>
      <c r="B6193">
        <v>967</v>
      </c>
      <c r="C6193" t="s">
        <v>6109</v>
      </c>
      <c r="D6193">
        <v>2.2949999999999999</v>
      </c>
      <c r="E6193" s="18">
        <v>250</v>
      </c>
      <c r="F6193" t="s">
        <v>889</v>
      </c>
      <c r="G6193" t="s">
        <v>822</v>
      </c>
      <c r="I6193"/>
      <c r="J6193"/>
      <c r="L6193"/>
      <c r="M6193"/>
      <c r="O6193"/>
      <c r="P6193" s="20"/>
      <c r="Q6193" s="20"/>
      <c r="R6193" s="20"/>
      <c r="S6193" s="20"/>
      <c r="T6193" s="20"/>
    </row>
    <row r="6194" spans="1:21" x14ac:dyDescent="0.25">
      <c r="A6194" s="32">
        <v>42034</v>
      </c>
      <c r="B6194" s="56">
        <v>969</v>
      </c>
      <c r="C6194" t="s">
        <v>824</v>
      </c>
      <c r="D6194" s="19">
        <v>2.8050000000000002</v>
      </c>
      <c r="E6194" s="35">
        <v>250</v>
      </c>
      <c r="F6194" s="33" t="s">
        <v>889</v>
      </c>
      <c r="G6194" t="s">
        <v>825</v>
      </c>
      <c r="H6194" s="18"/>
      <c r="J6194"/>
      <c r="L6194"/>
      <c r="M6194"/>
      <c r="N6194" s="20"/>
      <c r="O6194"/>
      <c r="P6194" s="20"/>
      <c r="Q6194" s="20"/>
      <c r="R6194" s="20"/>
      <c r="S6194" s="20"/>
      <c r="T6194" s="20"/>
    </row>
    <row r="6195" spans="1:21" x14ac:dyDescent="0.25">
      <c r="A6195" s="3">
        <v>42041</v>
      </c>
      <c r="B6195">
        <v>969</v>
      </c>
      <c r="C6195" t="s">
        <v>6110</v>
      </c>
      <c r="D6195">
        <v>8.9250000000000007</v>
      </c>
      <c r="E6195" s="18">
        <v>250</v>
      </c>
      <c r="F6195" t="s">
        <v>889</v>
      </c>
      <c r="G6195" t="s">
        <v>850</v>
      </c>
      <c r="I6195"/>
      <c r="J6195"/>
      <c r="L6195"/>
      <c r="M6195"/>
      <c r="O6195"/>
      <c r="P6195" s="20"/>
      <c r="Q6195" s="20"/>
      <c r="R6195" s="20"/>
      <c r="S6195" s="20"/>
      <c r="T6195" s="20"/>
    </row>
    <row r="6196" spans="1:21" x14ac:dyDescent="0.25">
      <c r="A6196" s="3">
        <v>42041</v>
      </c>
      <c r="B6196">
        <v>969</v>
      </c>
      <c r="C6196" t="s">
        <v>6111</v>
      </c>
      <c r="D6196">
        <v>3.8250000000000002</v>
      </c>
      <c r="E6196" s="18">
        <v>250</v>
      </c>
      <c r="F6196" t="s">
        <v>889</v>
      </c>
      <c r="G6196" t="s">
        <v>827</v>
      </c>
      <c r="I6196"/>
      <c r="J6196"/>
      <c r="L6196"/>
      <c r="M6196"/>
      <c r="O6196"/>
      <c r="P6196" s="20"/>
      <c r="Q6196" s="20"/>
      <c r="R6196" s="20"/>
      <c r="S6196" s="20"/>
      <c r="T6196" s="20"/>
    </row>
    <row r="6197" spans="1:21" x14ac:dyDescent="0.25">
      <c r="A6197" s="32">
        <v>42034</v>
      </c>
      <c r="B6197" s="33">
        <v>974</v>
      </c>
      <c r="C6197" s="33" t="s">
        <v>552</v>
      </c>
      <c r="D6197" s="34"/>
      <c r="E6197" s="35">
        <v>250</v>
      </c>
      <c r="F6197" s="33" t="s">
        <v>889</v>
      </c>
      <c r="G6197" s="33" t="s">
        <v>553</v>
      </c>
      <c r="H6197" s="18"/>
      <c r="J6197"/>
      <c r="L6197"/>
      <c r="M6197"/>
      <c r="N6197" s="20"/>
      <c r="O6197"/>
      <c r="P6197" s="20"/>
      <c r="Q6197" s="20"/>
      <c r="R6197" s="20"/>
      <c r="S6197" s="20"/>
      <c r="T6197" s="20"/>
    </row>
    <row r="6198" spans="1:21" x14ac:dyDescent="0.25">
      <c r="A6198" s="32">
        <v>42034</v>
      </c>
      <c r="B6198" s="33">
        <v>974</v>
      </c>
      <c r="C6198" s="33" t="s">
        <v>410</v>
      </c>
      <c r="D6198" s="34"/>
      <c r="E6198" s="35">
        <v>250</v>
      </c>
      <c r="F6198" s="33" t="s">
        <v>889</v>
      </c>
      <c r="G6198" s="33" t="s">
        <v>411</v>
      </c>
      <c r="H6198" s="18"/>
      <c r="J6198"/>
      <c r="L6198"/>
      <c r="M6198"/>
      <c r="N6198" s="20"/>
      <c r="O6198"/>
      <c r="P6198" s="20"/>
      <c r="Q6198" s="20"/>
      <c r="R6198" s="20"/>
      <c r="S6198" s="20"/>
      <c r="T6198" s="20"/>
    </row>
    <row r="6199" spans="1:21" x14ac:dyDescent="0.25">
      <c r="A6199" s="32">
        <v>42034</v>
      </c>
      <c r="B6199" s="33">
        <v>974</v>
      </c>
      <c r="C6199" s="33" t="s">
        <v>843</v>
      </c>
      <c r="D6199" s="34"/>
      <c r="E6199" s="35">
        <v>250</v>
      </c>
      <c r="F6199" s="33" t="s">
        <v>889</v>
      </c>
      <c r="G6199" s="33" t="s">
        <v>844</v>
      </c>
      <c r="H6199" s="18"/>
      <c r="J6199"/>
      <c r="L6199"/>
      <c r="M6199"/>
      <c r="N6199" s="20"/>
      <c r="O6199"/>
      <c r="P6199" s="20"/>
      <c r="Q6199" s="20"/>
      <c r="R6199" s="20"/>
      <c r="S6199" s="20"/>
      <c r="T6199" s="20"/>
    </row>
    <row r="6200" spans="1:21" x14ac:dyDescent="0.25">
      <c r="A6200" s="32">
        <v>42034</v>
      </c>
      <c r="B6200" s="33">
        <v>974</v>
      </c>
      <c r="C6200" s="33" t="s">
        <v>852</v>
      </c>
      <c r="D6200" s="34"/>
      <c r="E6200" s="35">
        <v>250</v>
      </c>
      <c r="F6200" s="33" t="s">
        <v>889</v>
      </c>
      <c r="G6200" s="33" t="s">
        <v>853</v>
      </c>
      <c r="H6200" s="18"/>
      <c r="J6200"/>
      <c r="L6200"/>
      <c r="M6200"/>
      <c r="N6200" s="20"/>
      <c r="O6200"/>
      <c r="P6200" s="20"/>
      <c r="Q6200" s="20"/>
      <c r="R6200" s="20"/>
      <c r="S6200" s="20"/>
      <c r="T6200" s="20"/>
    </row>
    <row r="6201" spans="1:21" x14ac:dyDescent="0.25">
      <c r="A6201" s="32">
        <v>42034</v>
      </c>
      <c r="B6201" s="33">
        <v>974</v>
      </c>
      <c r="C6201" s="33" t="s">
        <v>845</v>
      </c>
      <c r="D6201" s="34"/>
      <c r="E6201" s="35">
        <v>250</v>
      </c>
      <c r="F6201" s="33" t="s">
        <v>889</v>
      </c>
      <c r="G6201" s="33" t="s">
        <v>846</v>
      </c>
      <c r="H6201" s="18"/>
      <c r="J6201"/>
      <c r="L6201"/>
      <c r="M6201"/>
      <c r="N6201" s="20"/>
      <c r="O6201"/>
      <c r="P6201" s="20"/>
      <c r="Q6201" s="20"/>
      <c r="R6201" s="20"/>
      <c r="S6201" s="20"/>
      <c r="T6201" s="20"/>
    </row>
    <row r="6202" spans="1:21" x14ac:dyDescent="0.25">
      <c r="A6202" s="32">
        <v>42034</v>
      </c>
      <c r="B6202" s="33">
        <v>974</v>
      </c>
      <c r="C6202" s="33" t="s">
        <v>6112</v>
      </c>
      <c r="D6202" s="34"/>
      <c r="E6202" s="35">
        <v>250</v>
      </c>
      <c r="F6202" s="33" t="s">
        <v>889</v>
      </c>
      <c r="G6202" s="33" t="s">
        <v>865</v>
      </c>
      <c r="H6202" s="18"/>
      <c r="J6202"/>
      <c r="L6202"/>
      <c r="M6202"/>
      <c r="N6202" s="20"/>
      <c r="O6202"/>
      <c r="P6202" s="20"/>
      <c r="Q6202" s="20"/>
      <c r="R6202" s="20"/>
      <c r="S6202" s="20"/>
      <c r="T6202" s="20"/>
    </row>
    <row r="6203" spans="1:21" x14ac:dyDescent="0.25">
      <c r="A6203" s="3">
        <v>42041</v>
      </c>
      <c r="B6203">
        <v>974</v>
      </c>
      <c r="C6203" t="s">
        <v>552</v>
      </c>
      <c r="D6203">
        <v>6.12</v>
      </c>
      <c r="E6203" s="18">
        <v>306</v>
      </c>
      <c r="F6203" t="s">
        <v>889</v>
      </c>
      <c r="G6203" t="s">
        <v>553</v>
      </c>
      <c r="I6203"/>
      <c r="J6203"/>
      <c r="L6203"/>
      <c r="M6203"/>
      <c r="O6203"/>
      <c r="P6203" s="20"/>
      <c r="Q6203" s="20"/>
      <c r="R6203" s="20"/>
      <c r="S6203" s="20"/>
      <c r="T6203" s="20"/>
    </row>
    <row r="6204" spans="1:21" x14ac:dyDescent="0.25">
      <c r="A6204" s="3">
        <v>42041</v>
      </c>
      <c r="B6204">
        <v>974</v>
      </c>
      <c r="C6204" t="s">
        <v>864</v>
      </c>
      <c r="D6204">
        <v>2.2949999999999999</v>
      </c>
      <c r="E6204" s="18">
        <v>250</v>
      </c>
      <c r="F6204" t="s">
        <v>889</v>
      </c>
      <c r="G6204" t="s">
        <v>865</v>
      </c>
      <c r="I6204"/>
      <c r="J6204"/>
      <c r="L6204"/>
      <c r="M6204"/>
      <c r="O6204"/>
      <c r="P6204" s="20"/>
      <c r="Q6204" s="20"/>
      <c r="R6204" s="20"/>
      <c r="S6204" s="20"/>
      <c r="T6204" s="20"/>
    </row>
    <row r="6205" spans="1:21" x14ac:dyDescent="0.25">
      <c r="A6205" s="3">
        <v>42041</v>
      </c>
      <c r="B6205">
        <v>975</v>
      </c>
      <c r="C6205" t="s">
        <v>6113</v>
      </c>
      <c r="D6205">
        <v>6.375</v>
      </c>
      <c r="E6205" s="18">
        <v>250</v>
      </c>
      <c r="F6205" t="s">
        <v>889</v>
      </c>
      <c r="G6205" t="s">
        <v>826</v>
      </c>
      <c r="I6205"/>
      <c r="J6205"/>
      <c r="L6205"/>
      <c r="M6205"/>
      <c r="O6205"/>
      <c r="P6205" s="20"/>
      <c r="Q6205" s="20"/>
      <c r="R6205" s="20"/>
      <c r="S6205" s="20"/>
      <c r="T6205" s="20"/>
    </row>
    <row r="6206" spans="1:21" x14ac:dyDescent="0.25">
      <c r="A6206" s="3">
        <v>42041</v>
      </c>
      <c r="B6206">
        <v>975</v>
      </c>
      <c r="C6206" t="s">
        <v>6114</v>
      </c>
      <c r="D6206">
        <v>12.75</v>
      </c>
      <c r="E6206" s="18">
        <v>250</v>
      </c>
      <c r="F6206" t="s">
        <v>889</v>
      </c>
      <c r="G6206" t="s">
        <v>459</v>
      </c>
      <c r="I6206"/>
      <c r="J6206"/>
      <c r="L6206"/>
      <c r="M6206"/>
      <c r="O6206"/>
      <c r="P6206" s="20"/>
      <c r="Q6206" s="20"/>
      <c r="R6206" s="20"/>
      <c r="S6206" s="20"/>
      <c r="T6206" s="20"/>
    </row>
    <row r="6207" spans="1:21" x14ac:dyDescent="0.25">
      <c r="B6207">
        <v>1011</v>
      </c>
      <c r="C6207" t="s">
        <v>4691</v>
      </c>
      <c r="E6207" s="18">
        <v>-335.02420000000001</v>
      </c>
      <c r="I6207"/>
      <c r="J6207"/>
      <c r="L6207"/>
      <c r="M6207"/>
      <c r="O6207"/>
      <c r="P6207" s="20"/>
      <c r="Q6207" s="20"/>
      <c r="R6207" s="20"/>
      <c r="S6207" s="20"/>
      <c r="T6207" s="20"/>
      <c r="U6207" t="s">
        <v>401</v>
      </c>
    </row>
    <row r="6208" spans="1:21" x14ac:dyDescent="0.25">
      <c r="B6208">
        <v>1040</v>
      </c>
      <c r="C6208" t="s">
        <v>4691</v>
      </c>
      <c r="E6208" s="18">
        <v>-335.02420000000001</v>
      </c>
      <c r="I6208"/>
      <c r="J6208"/>
      <c r="L6208"/>
      <c r="M6208"/>
      <c r="O6208"/>
      <c r="P6208" s="20"/>
      <c r="Q6208" s="20"/>
      <c r="R6208" s="20"/>
      <c r="S6208" s="20"/>
      <c r="T6208" s="20"/>
      <c r="U6208" t="s">
        <v>401</v>
      </c>
    </row>
    <row r="6209" spans="1:20" x14ac:dyDescent="0.25">
      <c r="A6209" s="32">
        <v>42034</v>
      </c>
      <c r="B6209" s="33"/>
      <c r="C6209" s="33" t="s">
        <v>6108</v>
      </c>
      <c r="D6209" s="34"/>
      <c r="E6209" s="35">
        <v>500</v>
      </c>
      <c r="F6209" s="33" t="s">
        <v>889</v>
      </c>
      <c r="G6209" s="33"/>
      <c r="H6209" s="18"/>
      <c r="J6209"/>
      <c r="L6209"/>
      <c r="M6209"/>
      <c r="N6209" s="20"/>
      <c r="O6209"/>
      <c r="P6209" s="20"/>
      <c r="Q6209" s="20"/>
      <c r="R6209" s="20"/>
      <c r="S6209" s="20"/>
      <c r="T6209" s="20" t="s">
        <v>401</v>
      </c>
    </row>
    <row r="6210" spans="1:20" x14ac:dyDescent="0.25">
      <c r="A6210" s="3">
        <v>42041</v>
      </c>
      <c r="C6210" t="s">
        <v>6115</v>
      </c>
      <c r="D6210">
        <v>7.65</v>
      </c>
      <c r="E6210" s="18">
        <v>250</v>
      </c>
      <c r="F6210" t="s">
        <v>889</v>
      </c>
      <c r="G6210" t="s">
        <v>834</v>
      </c>
      <c r="I6210"/>
      <c r="J6210"/>
      <c r="L6210"/>
      <c r="M6210"/>
      <c r="O6210"/>
      <c r="P6210" s="20"/>
      <c r="Q6210" s="20"/>
      <c r="R6210" s="20"/>
      <c r="S6210" s="20"/>
      <c r="T6210" s="20"/>
    </row>
    <row r="6211" spans="1:20" x14ac:dyDescent="0.25">
      <c r="A6211" s="3">
        <v>42041</v>
      </c>
      <c r="C6211" t="s">
        <v>6116</v>
      </c>
      <c r="D6211">
        <v>6.8849999999999998</v>
      </c>
      <c r="E6211" s="18">
        <v>250</v>
      </c>
      <c r="F6211" t="s">
        <v>889</v>
      </c>
      <c r="G6211" t="s">
        <v>851</v>
      </c>
      <c r="I6211"/>
      <c r="J6211"/>
      <c r="L6211"/>
      <c r="M6211"/>
      <c r="O6211"/>
      <c r="P6211" s="20"/>
      <c r="Q6211" s="20"/>
      <c r="R6211" s="20"/>
      <c r="S6211" s="20"/>
      <c r="T6211" s="20"/>
    </row>
    <row r="6212" spans="1:20" x14ac:dyDescent="0.25">
      <c r="A6212" s="3">
        <v>42041</v>
      </c>
      <c r="C6212" t="s">
        <v>472</v>
      </c>
      <c r="D6212">
        <v>11</v>
      </c>
      <c r="E6212" s="18">
        <v>550</v>
      </c>
      <c r="F6212" t="s">
        <v>889</v>
      </c>
      <c r="G6212" t="s">
        <v>473</v>
      </c>
      <c r="I6212"/>
      <c r="J6212"/>
      <c r="L6212"/>
      <c r="M6212"/>
      <c r="O6212"/>
      <c r="P6212" s="20"/>
      <c r="Q6212" s="20"/>
      <c r="R6212" s="20"/>
      <c r="S6212" s="20"/>
      <c r="T6212" s="20"/>
    </row>
    <row r="6213" spans="1:20" x14ac:dyDescent="0.25">
      <c r="A6213" s="3">
        <v>42045</v>
      </c>
      <c r="C6213" t="s">
        <v>408</v>
      </c>
      <c r="D6213" s="19">
        <v>14.5</v>
      </c>
      <c r="E6213" s="18">
        <v>725</v>
      </c>
      <c r="F6213" t="s">
        <v>889</v>
      </c>
      <c r="G6213" t="s">
        <v>409</v>
      </c>
      <c r="I6213"/>
      <c r="J6213"/>
      <c r="L6213"/>
      <c r="M6213"/>
      <c r="O6213"/>
      <c r="P6213" s="20"/>
      <c r="Q6213" s="20"/>
      <c r="R6213" s="20"/>
      <c r="S6213" s="20"/>
      <c r="T6213" s="20"/>
    </row>
  </sheetData>
  <conditionalFormatting sqref="H6214:H1048576">
    <cfRule type="duplicateValues" dxfId="19" priority="18"/>
    <cfRule type="duplicateValues" dxfId="18" priority="19"/>
  </conditionalFormatting>
  <conditionalFormatting sqref="C4423:C4424">
    <cfRule type="duplicateValues" dxfId="12" priority="10"/>
  </conditionalFormatting>
  <conditionalFormatting sqref="G4423:G4434">
    <cfRule type="duplicateValues" dxfId="11" priority="11"/>
  </conditionalFormatting>
  <conditionalFormatting sqref="C4435">
    <cfRule type="duplicateValues" dxfId="10" priority="9"/>
  </conditionalFormatting>
  <conditionalFormatting sqref="G4435">
    <cfRule type="duplicateValues" dxfId="9" priority="8"/>
  </conditionalFormatting>
  <conditionalFormatting sqref="C4437:C4441">
    <cfRule type="duplicateValues" dxfId="8" priority="7"/>
  </conditionalFormatting>
  <conditionalFormatting sqref="G4437:G4441">
    <cfRule type="duplicateValues" dxfId="7" priority="6"/>
  </conditionalFormatting>
  <conditionalFormatting sqref="C4436">
    <cfRule type="duplicateValues" dxfId="6" priority="12"/>
  </conditionalFormatting>
  <conditionalFormatting sqref="G4436">
    <cfRule type="duplicateValues" dxfId="5" priority="13"/>
  </conditionalFormatting>
  <conditionalFormatting sqref="C4448">
    <cfRule type="duplicateValues" dxfId="4" priority="5"/>
  </conditionalFormatting>
  <conditionalFormatting sqref="G4448">
    <cfRule type="duplicateValues" dxfId="3" priority="4"/>
  </conditionalFormatting>
  <conditionalFormatting sqref="C4449:C4450">
    <cfRule type="duplicateValues" dxfId="2" priority="3"/>
  </conditionalFormatting>
  <conditionalFormatting sqref="G4449:G4450">
    <cfRule type="duplicateValues" dxfId="1" priority="2"/>
  </conditionalFormatting>
  <conditionalFormatting sqref="C445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93"/>
  <sheetViews>
    <sheetView topLeftCell="A22" workbookViewId="0">
      <selection activeCell="C20" sqref="C20"/>
    </sheetView>
  </sheetViews>
  <sheetFormatPr defaultRowHeight="15" x14ac:dyDescent="0.25"/>
  <cols>
    <col min="3" max="3" width="9.85546875" bestFit="1" customWidth="1"/>
  </cols>
  <sheetData>
    <row r="1" spans="1:3" x14ac:dyDescent="0.25">
      <c r="A1" t="s">
        <v>395</v>
      </c>
      <c r="C1" t="s">
        <v>396</v>
      </c>
    </row>
    <row r="2" spans="1:3" x14ac:dyDescent="0.25">
      <c r="A2">
        <v>19</v>
      </c>
      <c r="C2" s="15">
        <v>41631</v>
      </c>
    </row>
    <row r="3" spans="1:3" x14ac:dyDescent="0.25">
      <c r="A3">
        <v>22</v>
      </c>
      <c r="C3" s="15">
        <v>41642</v>
      </c>
    </row>
    <row r="4" spans="1:3" x14ac:dyDescent="0.25">
      <c r="A4">
        <v>23</v>
      </c>
      <c r="C4" s="15">
        <v>41645</v>
      </c>
    </row>
    <row r="5" spans="1:3" x14ac:dyDescent="0.25">
      <c r="A5">
        <v>24</v>
      </c>
      <c r="C5" s="15">
        <v>41651</v>
      </c>
    </row>
    <row r="6" spans="1:3" x14ac:dyDescent="0.25">
      <c r="A6">
        <v>27</v>
      </c>
      <c r="C6" s="15">
        <v>41652</v>
      </c>
    </row>
    <row r="7" spans="1:3" x14ac:dyDescent="0.25">
      <c r="A7">
        <v>28</v>
      </c>
      <c r="C7" s="15">
        <v>41670</v>
      </c>
    </row>
    <row r="8" spans="1:3" x14ac:dyDescent="0.25">
      <c r="A8">
        <v>32</v>
      </c>
      <c r="C8" s="15">
        <v>41691</v>
      </c>
    </row>
    <row r="9" spans="1:3" x14ac:dyDescent="0.25">
      <c r="A9">
        <v>33</v>
      </c>
      <c r="C9" s="15">
        <v>41698</v>
      </c>
    </row>
    <row r="10" spans="1:3" x14ac:dyDescent="0.25">
      <c r="A10">
        <v>34</v>
      </c>
      <c r="C10" s="15">
        <v>41705</v>
      </c>
    </row>
    <row r="11" spans="1:3" x14ac:dyDescent="0.25">
      <c r="A11">
        <v>37</v>
      </c>
      <c r="C11" s="15">
        <v>41712</v>
      </c>
    </row>
    <row r="12" spans="1:3" x14ac:dyDescent="0.25">
      <c r="A12">
        <v>38</v>
      </c>
      <c r="C12" s="15">
        <v>41719</v>
      </c>
    </row>
    <row r="13" spans="1:3" x14ac:dyDescent="0.25">
      <c r="A13">
        <v>40</v>
      </c>
      <c r="C13" s="15">
        <v>41726</v>
      </c>
    </row>
    <row r="14" spans="1:3" x14ac:dyDescent="0.25">
      <c r="A14">
        <v>41</v>
      </c>
      <c r="C14" s="15">
        <v>41732</v>
      </c>
    </row>
    <row r="15" spans="1:3" x14ac:dyDescent="0.25">
      <c r="A15">
        <v>45</v>
      </c>
      <c r="C15" s="15">
        <v>41733</v>
      </c>
    </row>
    <row r="16" spans="1:3" x14ac:dyDescent="0.25">
      <c r="A16">
        <v>46</v>
      </c>
      <c r="C16" s="15">
        <v>41736</v>
      </c>
    </row>
    <row r="17" spans="1:3" x14ac:dyDescent="0.25">
      <c r="A17">
        <v>47</v>
      </c>
      <c r="C17" s="15">
        <v>41740</v>
      </c>
    </row>
    <row r="18" spans="1:3" x14ac:dyDescent="0.25">
      <c r="A18">
        <v>50</v>
      </c>
      <c r="C18" s="15">
        <v>41746</v>
      </c>
    </row>
    <row r="19" spans="1:3" x14ac:dyDescent="0.25">
      <c r="A19">
        <v>52</v>
      </c>
      <c r="C19" s="15">
        <v>41747</v>
      </c>
    </row>
    <row r="20" spans="1:3" x14ac:dyDescent="0.25">
      <c r="A20">
        <v>53</v>
      </c>
      <c r="C20" s="15">
        <v>41753</v>
      </c>
    </row>
    <row r="21" spans="1:3" x14ac:dyDescent="0.25">
      <c r="A21">
        <v>54</v>
      </c>
      <c r="C21" s="15">
        <v>41754</v>
      </c>
    </row>
    <row r="22" spans="1:3" x14ac:dyDescent="0.25">
      <c r="A22">
        <v>55</v>
      </c>
      <c r="C22" s="15">
        <v>41761</v>
      </c>
    </row>
    <row r="23" spans="1:3" x14ac:dyDescent="0.25">
      <c r="A23">
        <v>58</v>
      </c>
      <c r="C23" s="15">
        <v>41762</v>
      </c>
    </row>
    <row r="24" spans="1:3" x14ac:dyDescent="0.25">
      <c r="A24">
        <v>59</v>
      </c>
      <c r="C24" s="15">
        <v>41768</v>
      </c>
    </row>
    <row r="25" spans="1:3" x14ac:dyDescent="0.25">
      <c r="A25">
        <v>63</v>
      </c>
      <c r="C25" s="15">
        <v>41771</v>
      </c>
    </row>
    <row r="26" spans="1:3" x14ac:dyDescent="0.25">
      <c r="A26">
        <v>67</v>
      </c>
      <c r="C26" s="15">
        <v>41775</v>
      </c>
    </row>
    <row r="27" spans="1:3" x14ac:dyDescent="0.25">
      <c r="A27">
        <v>71</v>
      </c>
      <c r="C27" s="15">
        <v>41782</v>
      </c>
    </row>
    <row r="28" spans="1:3" x14ac:dyDescent="0.25">
      <c r="A28">
        <v>74</v>
      </c>
      <c r="C28" s="15">
        <v>41789</v>
      </c>
    </row>
    <row r="29" spans="1:3" x14ac:dyDescent="0.25">
      <c r="A29">
        <v>77</v>
      </c>
      <c r="C29" s="15">
        <v>41796</v>
      </c>
    </row>
    <row r="30" spans="1:3" x14ac:dyDescent="0.25">
      <c r="A30">
        <v>79</v>
      </c>
      <c r="C30" s="15">
        <v>41803</v>
      </c>
    </row>
    <row r="31" spans="1:3" x14ac:dyDescent="0.25">
      <c r="A31">
        <v>82</v>
      </c>
      <c r="C31" s="15">
        <v>41806</v>
      </c>
    </row>
    <row r="32" spans="1:3" x14ac:dyDescent="0.25">
      <c r="A32">
        <v>83</v>
      </c>
      <c r="C32" s="15">
        <v>41810</v>
      </c>
    </row>
    <row r="33" spans="1:3" x14ac:dyDescent="0.25">
      <c r="A33">
        <v>84</v>
      </c>
      <c r="C33" s="15">
        <v>41813</v>
      </c>
    </row>
    <row r="34" spans="1:3" x14ac:dyDescent="0.25">
      <c r="A34">
        <v>85</v>
      </c>
      <c r="C34" s="15">
        <v>41817</v>
      </c>
    </row>
    <row r="35" spans="1:3" x14ac:dyDescent="0.25">
      <c r="A35">
        <v>86</v>
      </c>
      <c r="C35" s="15">
        <v>41820</v>
      </c>
    </row>
    <row r="36" spans="1:3" x14ac:dyDescent="0.25">
      <c r="A36">
        <v>87</v>
      </c>
      <c r="C36" s="15">
        <v>41823</v>
      </c>
    </row>
    <row r="37" spans="1:3" x14ac:dyDescent="0.25">
      <c r="A37">
        <v>88</v>
      </c>
      <c r="C37" s="15">
        <v>41824</v>
      </c>
    </row>
    <row r="38" spans="1:3" x14ac:dyDescent="0.25">
      <c r="A38">
        <v>89</v>
      </c>
      <c r="C38" s="15">
        <v>41828</v>
      </c>
    </row>
    <row r="39" spans="1:3" x14ac:dyDescent="0.25">
      <c r="A39">
        <v>94</v>
      </c>
      <c r="C39" s="15">
        <v>41831</v>
      </c>
    </row>
    <row r="40" spans="1:3" x14ac:dyDescent="0.25">
      <c r="A40">
        <v>95</v>
      </c>
      <c r="C40" s="15">
        <v>41834</v>
      </c>
    </row>
    <row r="41" spans="1:3" x14ac:dyDescent="0.25">
      <c r="A41">
        <v>96</v>
      </c>
      <c r="C41" s="15">
        <v>41835</v>
      </c>
    </row>
    <row r="42" spans="1:3" x14ac:dyDescent="0.25">
      <c r="A42">
        <v>98</v>
      </c>
      <c r="C42" s="15">
        <v>41838</v>
      </c>
    </row>
    <row r="43" spans="1:3" x14ac:dyDescent="0.25">
      <c r="A43">
        <v>99</v>
      </c>
      <c r="C43" s="15">
        <v>41841</v>
      </c>
    </row>
    <row r="44" spans="1:3" x14ac:dyDescent="0.25">
      <c r="A44">
        <v>100</v>
      </c>
      <c r="C44" s="15">
        <v>41843</v>
      </c>
    </row>
    <row r="45" spans="1:3" x14ac:dyDescent="0.25">
      <c r="A45">
        <v>101</v>
      </c>
      <c r="C45" s="15">
        <v>41845</v>
      </c>
    </row>
    <row r="46" spans="1:3" x14ac:dyDescent="0.25">
      <c r="A46">
        <v>102</v>
      </c>
      <c r="C46" s="15">
        <v>41849</v>
      </c>
    </row>
    <row r="47" spans="1:3" x14ac:dyDescent="0.25">
      <c r="A47">
        <v>103</v>
      </c>
      <c r="C47" s="15">
        <v>41851</v>
      </c>
    </row>
    <row r="48" spans="1:3" x14ac:dyDescent="0.25">
      <c r="A48">
        <v>104</v>
      </c>
      <c r="C48" s="15">
        <v>41852</v>
      </c>
    </row>
    <row r="49" spans="1:3" x14ac:dyDescent="0.25">
      <c r="A49">
        <v>105</v>
      </c>
      <c r="C49" s="15">
        <v>41853</v>
      </c>
    </row>
    <row r="50" spans="1:3" x14ac:dyDescent="0.25">
      <c r="A50">
        <v>107</v>
      </c>
      <c r="C50" s="15">
        <v>41855</v>
      </c>
    </row>
    <row r="51" spans="1:3" x14ac:dyDescent="0.25">
      <c r="A51">
        <v>108</v>
      </c>
      <c r="C51" s="15">
        <v>41858</v>
      </c>
    </row>
    <row r="52" spans="1:3" x14ac:dyDescent="0.25">
      <c r="A52">
        <v>109</v>
      </c>
      <c r="C52" s="15">
        <v>41859</v>
      </c>
    </row>
    <row r="53" spans="1:3" x14ac:dyDescent="0.25">
      <c r="A53">
        <v>110</v>
      </c>
      <c r="C53" s="15">
        <v>41862</v>
      </c>
    </row>
    <row r="54" spans="1:3" x14ac:dyDescent="0.25">
      <c r="A54">
        <v>111</v>
      </c>
      <c r="C54" s="15">
        <v>41865</v>
      </c>
    </row>
    <row r="55" spans="1:3" x14ac:dyDescent="0.25">
      <c r="A55">
        <v>112</v>
      </c>
      <c r="C55" s="15">
        <v>41866</v>
      </c>
    </row>
    <row r="56" spans="1:3" x14ac:dyDescent="0.25">
      <c r="A56">
        <v>113</v>
      </c>
      <c r="C56" s="15">
        <v>41872</v>
      </c>
    </row>
    <row r="57" spans="1:3" x14ac:dyDescent="0.25">
      <c r="A57">
        <v>114</v>
      </c>
      <c r="C57" s="15">
        <v>41873</v>
      </c>
    </row>
    <row r="58" spans="1:3" x14ac:dyDescent="0.25">
      <c r="A58">
        <v>116</v>
      </c>
      <c r="C58" s="15">
        <v>41876</v>
      </c>
    </row>
    <row r="59" spans="1:3" x14ac:dyDescent="0.25">
      <c r="A59">
        <v>117</v>
      </c>
      <c r="C59" s="15">
        <v>41877</v>
      </c>
    </row>
    <row r="60" spans="1:3" x14ac:dyDescent="0.25">
      <c r="A60">
        <v>118</v>
      </c>
      <c r="C60" s="15">
        <v>41879</v>
      </c>
    </row>
    <row r="61" spans="1:3" x14ac:dyDescent="0.25">
      <c r="A61">
        <v>119</v>
      </c>
      <c r="C61" s="15">
        <v>41880</v>
      </c>
    </row>
    <row r="62" spans="1:3" x14ac:dyDescent="0.25">
      <c r="A62">
        <v>120</v>
      </c>
      <c r="C62" s="15">
        <v>41884</v>
      </c>
    </row>
    <row r="63" spans="1:3" x14ac:dyDescent="0.25">
      <c r="A63">
        <v>121</v>
      </c>
      <c r="C63" s="15">
        <v>41886</v>
      </c>
    </row>
    <row r="64" spans="1:3" x14ac:dyDescent="0.25">
      <c r="A64">
        <v>123</v>
      </c>
      <c r="C64" s="15">
        <v>41887</v>
      </c>
    </row>
    <row r="65" spans="1:3" x14ac:dyDescent="0.25">
      <c r="A65">
        <v>125</v>
      </c>
      <c r="C65" s="15">
        <v>41888</v>
      </c>
    </row>
    <row r="66" spans="1:3" x14ac:dyDescent="0.25">
      <c r="A66">
        <v>130</v>
      </c>
      <c r="C66" s="15">
        <v>41889</v>
      </c>
    </row>
    <row r="67" spans="1:3" x14ac:dyDescent="0.25">
      <c r="A67">
        <v>133</v>
      </c>
      <c r="C67" s="15">
        <v>41890</v>
      </c>
    </row>
    <row r="68" spans="1:3" x14ac:dyDescent="0.25">
      <c r="A68">
        <v>134</v>
      </c>
      <c r="C68" s="15">
        <v>41891</v>
      </c>
    </row>
    <row r="69" spans="1:3" x14ac:dyDescent="0.25">
      <c r="A69">
        <v>136</v>
      </c>
      <c r="C69" s="15">
        <v>41892</v>
      </c>
    </row>
    <row r="70" spans="1:3" x14ac:dyDescent="0.25">
      <c r="A70">
        <v>137</v>
      </c>
      <c r="C70" s="15">
        <v>41893</v>
      </c>
    </row>
    <row r="71" spans="1:3" x14ac:dyDescent="0.25">
      <c r="A71">
        <v>138</v>
      </c>
      <c r="C71" s="15">
        <v>41894</v>
      </c>
    </row>
    <row r="72" spans="1:3" x14ac:dyDescent="0.25">
      <c r="A72">
        <v>139</v>
      </c>
      <c r="C72" s="15">
        <v>41897</v>
      </c>
    </row>
    <row r="73" spans="1:3" x14ac:dyDescent="0.25">
      <c r="A73">
        <v>140</v>
      </c>
      <c r="C73" s="15">
        <v>41901</v>
      </c>
    </row>
    <row r="74" spans="1:3" x14ac:dyDescent="0.25">
      <c r="A74">
        <v>141</v>
      </c>
      <c r="C74" s="15">
        <v>41904</v>
      </c>
    </row>
    <row r="75" spans="1:3" x14ac:dyDescent="0.25">
      <c r="A75">
        <v>142</v>
      </c>
      <c r="C75" s="2">
        <v>41905</v>
      </c>
    </row>
    <row r="76" spans="1:3" x14ac:dyDescent="0.25">
      <c r="A76">
        <v>143</v>
      </c>
      <c r="C76" s="2">
        <v>41906</v>
      </c>
    </row>
    <row r="77" spans="1:3" x14ac:dyDescent="0.25">
      <c r="A77">
        <v>146</v>
      </c>
      <c r="C77" s="2">
        <v>41907</v>
      </c>
    </row>
    <row r="78" spans="1:3" x14ac:dyDescent="0.25">
      <c r="A78">
        <v>147</v>
      </c>
      <c r="C78" s="2">
        <v>41908</v>
      </c>
    </row>
    <row r="79" spans="1:3" x14ac:dyDescent="0.25">
      <c r="A79">
        <v>148</v>
      </c>
      <c r="C79" s="2">
        <v>41911</v>
      </c>
    </row>
    <row r="80" spans="1:3" x14ac:dyDescent="0.25">
      <c r="A80">
        <v>149</v>
      </c>
      <c r="C80" s="2">
        <v>41913</v>
      </c>
    </row>
    <row r="81" spans="1:3" x14ac:dyDescent="0.25">
      <c r="A81">
        <v>150</v>
      </c>
      <c r="C81" s="2">
        <v>41915</v>
      </c>
    </row>
    <row r="82" spans="1:3" x14ac:dyDescent="0.25">
      <c r="A82">
        <v>151</v>
      </c>
      <c r="C82" s="2">
        <v>41918</v>
      </c>
    </row>
    <row r="83" spans="1:3" x14ac:dyDescent="0.25">
      <c r="A83">
        <v>152</v>
      </c>
      <c r="C83" s="2">
        <v>41919</v>
      </c>
    </row>
    <row r="84" spans="1:3" x14ac:dyDescent="0.25">
      <c r="A84">
        <v>153</v>
      </c>
      <c r="C84" s="2">
        <v>41922</v>
      </c>
    </row>
    <row r="85" spans="1:3" x14ac:dyDescent="0.25">
      <c r="A85">
        <v>154</v>
      </c>
      <c r="C85" s="2">
        <v>41926</v>
      </c>
    </row>
    <row r="86" spans="1:3" x14ac:dyDescent="0.25">
      <c r="A86">
        <v>155</v>
      </c>
      <c r="C86" s="2">
        <v>41929</v>
      </c>
    </row>
    <row r="87" spans="1:3" x14ac:dyDescent="0.25">
      <c r="A87">
        <v>156</v>
      </c>
      <c r="C87" s="2">
        <v>41932</v>
      </c>
    </row>
    <row r="88" spans="1:3" x14ac:dyDescent="0.25">
      <c r="A88">
        <v>157</v>
      </c>
      <c r="C88" s="2">
        <v>41933</v>
      </c>
    </row>
    <row r="89" spans="1:3" x14ac:dyDescent="0.25">
      <c r="A89">
        <v>158</v>
      </c>
      <c r="C89" s="2">
        <v>41934</v>
      </c>
    </row>
    <row r="90" spans="1:3" x14ac:dyDescent="0.25">
      <c r="A90">
        <v>159</v>
      </c>
      <c r="C90" s="2">
        <v>41936</v>
      </c>
    </row>
    <row r="91" spans="1:3" x14ac:dyDescent="0.25">
      <c r="A91">
        <v>160</v>
      </c>
      <c r="C91" s="2">
        <v>41939</v>
      </c>
    </row>
    <row r="92" spans="1:3" x14ac:dyDescent="0.25">
      <c r="A92">
        <v>161</v>
      </c>
      <c r="C92" s="2">
        <v>41940</v>
      </c>
    </row>
    <row r="93" spans="1:3" x14ac:dyDescent="0.25">
      <c r="A93">
        <v>163</v>
      </c>
      <c r="C93" s="2">
        <v>41943</v>
      </c>
    </row>
    <row r="94" spans="1:3" x14ac:dyDescent="0.25">
      <c r="A94">
        <v>164</v>
      </c>
      <c r="C94" s="2">
        <v>41946</v>
      </c>
    </row>
    <row r="95" spans="1:3" x14ac:dyDescent="0.25">
      <c r="A95">
        <v>167</v>
      </c>
      <c r="C95" s="2">
        <v>41947</v>
      </c>
    </row>
    <row r="96" spans="1:3" x14ac:dyDescent="0.25">
      <c r="A96">
        <v>168</v>
      </c>
      <c r="C96" s="2">
        <v>41950</v>
      </c>
    </row>
    <row r="97" spans="1:3" x14ac:dyDescent="0.25">
      <c r="A97">
        <v>175</v>
      </c>
      <c r="C97" s="2">
        <v>41951</v>
      </c>
    </row>
    <row r="98" spans="1:3" x14ac:dyDescent="0.25">
      <c r="A98">
        <v>179</v>
      </c>
      <c r="C98" s="2">
        <v>41953</v>
      </c>
    </row>
    <row r="99" spans="1:3" x14ac:dyDescent="0.25">
      <c r="A99">
        <v>180</v>
      </c>
      <c r="C99" s="2">
        <v>41955</v>
      </c>
    </row>
    <row r="100" spans="1:3" x14ac:dyDescent="0.25">
      <c r="A100">
        <v>183</v>
      </c>
      <c r="C100" s="2">
        <v>41957</v>
      </c>
    </row>
    <row r="101" spans="1:3" x14ac:dyDescent="0.25">
      <c r="A101">
        <v>184</v>
      </c>
      <c r="C101" s="2">
        <v>41961</v>
      </c>
    </row>
    <row r="102" spans="1:3" x14ac:dyDescent="0.25">
      <c r="A102">
        <v>185</v>
      </c>
      <c r="C102" s="2">
        <v>41962</v>
      </c>
    </row>
    <row r="103" spans="1:3" x14ac:dyDescent="0.25">
      <c r="A103">
        <v>187</v>
      </c>
      <c r="C103" s="2">
        <v>41963</v>
      </c>
    </row>
    <row r="104" spans="1:3" x14ac:dyDescent="0.25">
      <c r="A104">
        <v>189</v>
      </c>
      <c r="C104" s="2">
        <v>41964</v>
      </c>
    </row>
    <row r="105" spans="1:3" x14ac:dyDescent="0.25">
      <c r="A105">
        <v>190</v>
      </c>
      <c r="C105" s="2">
        <v>41966</v>
      </c>
    </row>
    <row r="106" spans="1:3" x14ac:dyDescent="0.25">
      <c r="A106">
        <v>191</v>
      </c>
      <c r="C106" s="2">
        <v>41967</v>
      </c>
    </row>
    <row r="107" spans="1:3" x14ac:dyDescent="0.25">
      <c r="A107">
        <v>192</v>
      </c>
      <c r="C107" s="2">
        <v>41968</v>
      </c>
    </row>
    <row r="108" spans="1:3" x14ac:dyDescent="0.25">
      <c r="A108">
        <v>202</v>
      </c>
      <c r="C108" s="2">
        <v>41969</v>
      </c>
    </row>
    <row r="109" spans="1:3" x14ac:dyDescent="0.25">
      <c r="A109">
        <v>203</v>
      </c>
      <c r="C109" s="2">
        <v>41971</v>
      </c>
    </row>
    <row r="110" spans="1:3" x14ac:dyDescent="0.25">
      <c r="A110">
        <v>204</v>
      </c>
      <c r="C110" s="2">
        <v>41978</v>
      </c>
    </row>
    <row r="111" spans="1:3" x14ac:dyDescent="0.25">
      <c r="A111">
        <v>206</v>
      </c>
      <c r="C111" s="2">
        <v>41981</v>
      </c>
    </row>
    <row r="112" spans="1:3" x14ac:dyDescent="0.25">
      <c r="A112">
        <v>211</v>
      </c>
      <c r="C112" s="2">
        <v>41982</v>
      </c>
    </row>
    <row r="113" spans="1:3" x14ac:dyDescent="0.25">
      <c r="A113">
        <v>212</v>
      </c>
      <c r="C113" s="2">
        <v>41983</v>
      </c>
    </row>
    <row r="114" spans="1:3" x14ac:dyDescent="0.25">
      <c r="A114">
        <v>213</v>
      </c>
      <c r="C114" s="2">
        <v>41985</v>
      </c>
    </row>
    <row r="115" spans="1:3" x14ac:dyDescent="0.25">
      <c r="A115">
        <v>214</v>
      </c>
      <c r="C115" s="2">
        <v>41988</v>
      </c>
    </row>
    <row r="116" spans="1:3" x14ac:dyDescent="0.25">
      <c r="A116">
        <v>217</v>
      </c>
      <c r="C116" s="2">
        <v>41992</v>
      </c>
    </row>
    <row r="117" spans="1:3" x14ac:dyDescent="0.25">
      <c r="A117">
        <v>218</v>
      </c>
      <c r="C117" s="2">
        <v>41995</v>
      </c>
    </row>
    <row r="118" spans="1:3" x14ac:dyDescent="0.25">
      <c r="A118">
        <v>219</v>
      </c>
      <c r="C118" s="2">
        <v>41997</v>
      </c>
    </row>
    <row r="119" spans="1:3" x14ac:dyDescent="0.25">
      <c r="A119">
        <v>222</v>
      </c>
      <c r="C119" s="2">
        <v>41999</v>
      </c>
    </row>
    <row r="120" spans="1:3" x14ac:dyDescent="0.25">
      <c r="A120">
        <v>223</v>
      </c>
      <c r="C120" s="2">
        <v>42004</v>
      </c>
    </row>
    <row r="121" spans="1:3" x14ac:dyDescent="0.25">
      <c r="A121">
        <v>224</v>
      </c>
      <c r="C121" s="2">
        <v>42006</v>
      </c>
    </row>
    <row r="122" spans="1:3" x14ac:dyDescent="0.25">
      <c r="A122">
        <v>225</v>
      </c>
      <c r="C122" s="2">
        <v>42010</v>
      </c>
    </row>
    <row r="123" spans="1:3" x14ac:dyDescent="0.25">
      <c r="A123">
        <v>227</v>
      </c>
      <c r="C123" s="2">
        <v>42013</v>
      </c>
    </row>
    <row r="124" spans="1:3" x14ac:dyDescent="0.25">
      <c r="A124">
        <v>228</v>
      </c>
      <c r="C124" s="2">
        <v>42016</v>
      </c>
    </row>
    <row r="125" spans="1:3" x14ac:dyDescent="0.25">
      <c r="A125">
        <v>230</v>
      </c>
      <c r="C125" s="2">
        <v>42017</v>
      </c>
    </row>
    <row r="126" spans="1:3" x14ac:dyDescent="0.25">
      <c r="A126">
        <v>231</v>
      </c>
      <c r="C126" s="2">
        <v>42019</v>
      </c>
    </row>
    <row r="127" spans="1:3" x14ac:dyDescent="0.25">
      <c r="A127">
        <v>232</v>
      </c>
      <c r="C127" s="2">
        <v>42020</v>
      </c>
    </row>
    <row r="128" spans="1:3" x14ac:dyDescent="0.25">
      <c r="A128">
        <v>233</v>
      </c>
      <c r="C128" s="2">
        <v>42024</v>
      </c>
    </row>
    <row r="129" spans="1:3" x14ac:dyDescent="0.25">
      <c r="A129">
        <v>234</v>
      </c>
      <c r="C129" s="2">
        <v>42027</v>
      </c>
    </row>
    <row r="130" spans="1:3" x14ac:dyDescent="0.25">
      <c r="A130">
        <v>236</v>
      </c>
      <c r="C130" s="2">
        <v>42031</v>
      </c>
    </row>
    <row r="131" spans="1:3" x14ac:dyDescent="0.25">
      <c r="A131">
        <v>237</v>
      </c>
      <c r="C131" s="2">
        <v>42034</v>
      </c>
    </row>
    <row r="132" spans="1:3" x14ac:dyDescent="0.25">
      <c r="A132">
        <v>239</v>
      </c>
      <c r="C132" s="2">
        <v>42036</v>
      </c>
    </row>
    <row r="133" spans="1:3" x14ac:dyDescent="0.25">
      <c r="A133">
        <v>242</v>
      </c>
      <c r="C133" s="2">
        <v>42041</v>
      </c>
    </row>
    <row r="134" spans="1:3" x14ac:dyDescent="0.25">
      <c r="A134">
        <v>244</v>
      </c>
      <c r="C134" s="16">
        <v>42048</v>
      </c>
    </row>
    <row r="135" spans="1:3" x14ac:dyDescent="0.25">
      <c r="A135">
        <v>245</v>
      </c>
    </row>
    <row r="136" spans="1:3" x14ac:dyDescent="0.25">
      <c r="A136">
        <v>247</v>
      </c>
    </row>
    <row r="137" spans="1:3" x14ac:dyDescent="0.25">
      <c r="A137">
        <v>248</v>
      </c>
    </row>
    <row r="138" spans="1:3" x14ac:dyDescent="0.25">
      <c r="A138">
        <v>249</v>
      </c>
    </row>
    <row r="139" spans="1:3" x14ac:dyDescent="0.25">
      <c r="A139">
        <v>250</v>
      </c>
    </row>
    <row r="140" spans="1:3" x14ac:dyDescent="0.25">
      <c r="A140">
        <v>251</v>
      </c>
    </row>
    <row r="141" spans="1:3" x14ac:dyDescent="0.25">
      <c r="A141">
        <v>254</v>
      </c>
    </row>
    <row r="142" spans="1:3" x14ac:dyDescent="0.25">
      <c r="A142">
        <v>255</v>
      </c>
    </row>
    <row r="143" spans="1:3" x14ac:dyDescent="0.25">
      <c r="A143">
        <v>257</v>
      </c>
    </row>
    <row r="144" spans="1:3" x14ac:dyDescent="0.25">
      <c r="A144">
        <v>260</v>
      </c>
    </row>
    <row r="145" spans="1:1" x14ac:dyDescent="0.25">
      <c r="A145">
        <v>261</v>
      </c>
    </row>
    <row r="146" spans="1:1" x14ac:dyDescent="0.25">
      <c r="A146">
        <v>263</v>
      </c>
    </row>
    <row r="147" spans="1:1" x14ac:dyDescent="0.25">
      <c r="A147">
        <v>268</v>
      </c>
    </row>
    <row r="148" spans="1:1" x14ac:dyDescent="0.25">
      <c r="A148">
        <v>269</v>
      </c>
    </row>
    <row r="149" spans="1:1" x14ac:dyDescent="0.25">
      <c r="A149">
        <v>276</v>
      </c>
    </row>
    <row r="150" spans="1:1" x14ac:dyDescent="0.25">
      <c r="A150">
        <v>282</v>
      </c>
    </row>
    <row r="151" spans="1:1" x14ac:dyDescent="0.25">
      <c r="A151">
        <v>283</v>
      </c>
    </row>
    <row r="152" spans="1:1" x14ac:dyDescent="0.25">
      <c r="A152">
        <v>285</v>
      </c>
    </row>
    <row r="153" spans="1:1" x14ac:dyDescent="0.25">
      <c r="A153">
        <v>286</v>
      </c>
    </row>
    <row r="154" spans="1:1" x14ac:dyDescent="0.25">
      <c r="A154">
        <v>289</v>
      </c>
    </row>
    <row r="155" spans="1:1" x14ac:dyDescent="0.25">
      <c r="A155">
        <v>293</v>
      </c>
    </row>
    <row r="156" spans="1:1" x14ac:dyDescent="0.25">
      <c r="A156">
        <v>295</v>
      </c>
    </row>
    <row r="157" spans="1:1" x14ac:dyDescent="0.25">
      <c r="A157">
        <v>300</v>
      </c>
    </row>
    <row r="158" spans="1:1" x14ac:dyDescent="0.25">
      <c r="A158">
        <v>302</v>
      </c>
    </row>
    <row r="159" spans="1:1" x14ac:dyDescent="0.25">
      <c r="A159">
        <v>303</v>
      </c>
    </row>
    <row r="160" spans="1:1" x14ac:dyDescent="0.25">
      <c r="A160">
        <v>304</v>
      </c>
    </row>
    <row r="161" spans="1:1" x14ac:dyDescent="0.25">
      <c r="A161">
        <v>308</v>
      </c>
    </row>
    <row r="162" spans="1:1" x14ac:dyDescent="0.25">
      <c r="A162">
        <v>319</v>
      </c>
    </row>
    <row r="163" spans="1:1" x14ac:dyDescent="0.25">
      <c r="A163">
        <v>321</v>
      </c>
    </row>
    <row r="164" spans="1:1" x14ac:dyDescent="0.25">
      <c r="A164">
        <v>322</v>
      </c>
    </row>
    <row r="165" spans="1:1" x14ac:dyDescent="0.25">
      <c r="A165">
        <v>324</v>
      </c>
    </row>
    <row r="166" spans="1:1" x14ac:dyDescent="0.25">
      <c r="A166">
        <v>325</v>
      </c>
    </row>
    <row r="167" spans="1:1" x14ac:dyDescent="0.25">
      <c r="A167">
        <v>326</v>
      </c>
    </row>
    <row r="168" spans="1:1" x14ac:dyDescent="0.25">
      <c r="A168">
        <v>328</v>
      </c>
    </row>
    <row r="169" spans="1:1" x14ac:dyDescent="0.25">
      <c r="A169">
        <v>329</v>
      </c>
    </row>
    <row r="170" spans="1:1" x14ac:dyDescent="0.25">
      <c r="A170">
        <v>332</v>
      </c>
    </row>
    <row r="171" spans="1:1" x14ac:dyDescent="0.25">
      <c r="A171">
        <v>334</v>
      </c>
    </row>
    <row r="172" spans="1:1" x14ac:dyDescent="0.25">
      <c r="A172">
        <v>335</v>
      </c>
    </row>
    <row r="173" spans="1:1" x14ac:dyDescent="0.25">
      <c r="A173">
        <v>340</v>
      </c>
    </row>
    <row r="174" spans="1:1" x14ac:dyDescent="0.25">
      <c r="A174">
        <v>341</v>
      </c>
    </row>
    <row r="175" spans="1:1" x14ac:dyDescent="0.25">
      <c r="A175">
        <v>343</v>
      </c>
    </row>
    <row r="176" spans="1:1" x14ac:dyDescent="0.25">
      <c r="A176">
        <v>347</v>
      </c>
    </row>
    <row r="177" spans="1:1" x14ac:dyDescent="0.25">
      <c r="A177">
        <v>352</v>
      </c>
    </row>
    <row r="178" spans="1:1" x14ac:dyDescent="0.25">
      <c r="A178">
        <v>355</v>
      </c>
    </row>
    <row r="179" spans="1:1" x14ac:dyDescent="0.25">
      <c r="A179">
        <v>358</v>
      </c>
    </row>
    <row r="180" spans="1:1" x14ac:dyDescent="0.25">
      <c r="A180">
        <v>360</v>
      </c>
    </row>
    <row r="181" spans="1:1" x14ac:dyDescent="0.25">
      <c r="A181">
        <v>363</v>
      </c>
    </row>
    <row r="182" spans="1:1" x14ac:dyDescent="0.25">
      <c r="A182">
        <v>365</v>
      </c>
    </row>
    <row r="183" spans="1:1" x14ac:dyDescent="0.25">
      <c r="A183">
        <v>368</v>
      </c>
    </row>
    <row r="184" spans="1:1" x14ac:dyDescent="0.25">
      <c r="A184">
        <v>370</v>
      </c>
    </row>
    <row r="185" spans="1:1" x14ac:dyDescent="0.25">
      <c r="A185">
        <v>373</v>
      </c>
    </row>
    <row r="186" spans="1:1" x14ac:dyDescent="0.25">
      <c r="A186">
        <v>378</v>
      </c>
    </row>
    <row r="187" spans="1:1" x14ac:dyDescent="0.25">
      <c r="A187">
        <v>379</v>
      </c>
    </row>
    <row r="188" spans="1:1" x14ac:dyDescent="0.25">
      <c r="A188">
        <v>382</v>
      </c>
    </row>
    <row r="189" spans="1:1" x14ac:dyDescent="0.25">
      <c r="A189">
        <v>383</v>
      </c>
    </row>
    <row r="190" spans="1:1" x14ac:dyDescent="0.25">
      <c r="A190">
        <v>387</v>
      </c>
    </row>
    <row r="191" spans="1:1" x14ac:dyDescent="0.25">
      <c r="A191">
        <v>389</v>
      </c>
    </row>
    <row r="192" spans="1:1" x14ac:dyDescent="0.25">
      <c r="A192">
        <v>390</v>
      </c>
    </row>
    <row r="193" spans="1:1" x14ac:dyDescent="0.25">
      <c r="A193">
        <v>391</v>
      </c>
    </row>
    <row r="194" spans="1:1" x14ac:dyDescent="0.25">
      <c r="A194">
        <v>392</v>
      </c>
    </row>
    <row r="195" spans="1:1" x14ac:dyDescent="0.25">
      <c r="A195">
        <v>395</v>
      </c>
    </row>
    <row r="196" spans="1:1" x14ac:dyDescent="0.25">
      <c r="A196">
        <v>396</v>
      </c>
    </row>
    <row r="197" spans="1:1" x14ac:dyDescent="0.25">
      <c r="A197">
        <v>397</v>
      </c>
    </row>
    <row r="198" spans="1:1" x14ac:dyDescent="0.25">
      <c r="A198">
        <v>401</v>
      </c>
    </row>
    <row r="199" spans="1:1" x14ac:dyDescent="0.25">
      <c r="A199">
        <v>403</v>
      </c>
    </row>
    <row r="200" spans="1:1" x14ac:dyDescent="0.25">
      <c r="A200">
        <v>404</v>
      </c>
    </row>
    <row r="201" spans="1:1" x14ac:dyDescent="0.25">
      <c r="A201">
        <v>405</v>
      </c>
    </row>
    <row r="202" spans="1:1" x14ac:dyDescent="0.25">
      <c r="A202">
        <v>407</v>
      </c>
    </row>
    <row r="203" spans="1:1" x14ac:dyDescent="0.25">
      <c r="A203">
        <v>410</v>
      </c>
    </row>
    <row r="204" spans="1:1" x14ac:dyDescent="0.25">
      <c r="A204">
        <v>415</v>
      </c>
    </row>
    <row r="205" spans="1:1" x14ac:dyDescent="0.25">
      <c r="A205">
        <v>417</v>
      </c>
    </row>
    <row r="206" spans="1:1" x14ac:dyDescent="0.25">
      <c r="A206">
        <v>418</v>
      </c>
    </row>
    <row r="207" spans="1:1" x14ac:dyDescent="0.25">
      <c r="A207">
        <v>422</v>
      </c>
    </row>
    <row r="208" spans="1:1" x14ac:dyDescent="0.25">
      <c r="A208">
        <v>428</v>
      </c>
    </row>
    <row r="209" spans="1:1" x14ac:dyDescent="0.25">
      <c r="A209">
        <v>429</v>
      </c>
    </row>
    <row r="210" spans="1:1" x14ac:dyDescent="0.25">
      <c r="A210">
        <v>430</v>
      </c>
    </row>
    <row r="211" spans="1:1" x14ac:dyDescent="0.25">
      <c r="A211">
        <v>436</v>
      </c>
    </row>
    <row r="212" spans="1:1" x14ac:dyDescent="0.25">
      <c r="A212">
        <v>437</v>
      </c>
    </row>
    <row r="213" spans="1:1" x14ac:dyDescent="0.25">
      <c r="A213">
        <v>438</v>
      </c>
    </row>
    <row r="214" spans="1:1" x14ac:dyDescent="0.25">
      <c r="A214">
        <v>443</v>
      </c>
    </row>
    <row r="215" spans="1:1" x14ac:dyDescent="0.25">
      <c r="A215">
        <v>446</v>
      </c>
    </row>
    <row r="216" spans="1:1" x14ac:dyDescent="0.25">
      <c r="A216">
        <v>453</v>
      </c>
    </row>
    <row r="217" spans="1:1" x14ac:dyDescent="0.25">
      <c r="A217">
        <v>458</v>
      </c>
    </row>
    <row r="218" spans="1:1" x14ac:dyDescent="0.25">
      <c r="A218">
        <v>464</v>
      </c>
    </row>
    <row r="219" spans="1:1" x14ac:dyDescent="0.25">
      <c r="A219">
        <v>465</v>
      </c>
    </row>
    <row r="220" spans="1:1" x14ac:dyDescent="0.25">
      <c r="A220">
        <v>468</v>
      </c>
    </row>
    <row r="221" spans="1:1" x14ac:dyDescent="0.25">
      <c r="A221">
        <v>472</v>
      </c>
    </row>
    <row r="222" spans="1:1" x14ac:dyDescent="0.25">
      <c r="A222">
        <v>473</v>
      </c>
    </row>
    <row r="223" spans="1:1" x14ac:dyDescent="0.25">
      <c r="A223">
        <v>474</v>
      </c>
    </row>
    <row r="224" spans="1:1" x14ac:dyDescent="0.25">
      <c r="A224">
        <v>475</v>
      </c>
    </row>
    <row r="225" spans="1:1" x14ac:dyDescent="0.25">
      <c r="A225">
        <v>477</v>
      </c>
    </row>
    <row r="226" spans="1:1" x14ac:dyDescent="0.25">
      <c r="A226">
        <v>480</v>
      </c>
    </row>
    <row r="227" spans="1:1" x14ac:dyDescent="0.25">
      <c r="A227">
        <v>487</v>
      </c>
    </row>
    <row r="228" spans="1:1" x14ac:dyDescent="0.25">
      <c r="A228">
        <v>488</v>
      </c>
    </row>
    <row r="229" spans="1:1" x14ac:dyDescent="0.25">
      <c r="A229">
        <v>489</v>
      </c>
    </row>
    <row r="230" spans="1:1" x14ac:dyDescent="0.25">
      <c r="A230">
        <v>493</v>
      </c>
    </row>
    <row r="231" spans="1:1" x14ac:dyDescent="0.25">
      <c r="A231">
        <v>498</v>
      </c>
    </row>
    <row r="232" spans="1:1" x14ac:dyDescent="0.25">
      <c r="A232">
        <v>499</v>
      </c>
    </row>
    <row r="233" spans="1:1" x14ac:dyDescent="0.25">
      <c r="A233">
        <v>512</v>
      </c>
    </row>
    <row r="234" spans="1:1" x14ac:dyDescent="0.25">
      <c r="A234">
        <v>530</v>
      </c>
    </row>
    <row r="235" spans="1:1" x14ac:dyDescent="0.25">
      <c r="A235">
        <v>534</v>
      </c>
    </row>
    <row r="236" spans="1:1" x14ac:dyDescent="0.25">
      <c r="A236">
        <v>539</v>
      </c>
    </row>
    <row r="237" spans="1:1" x14ac:dyDescent="0.25">
      <c r="A237">
        <v>541</v>
      </c>
    </row>
    <row r="238" spans="1:1" x14ac:dyDescent="0.25">
      <c r="A238">
        <v>546</v>
      </c>
    </row>
    <row r="239" spans="1:1" x14ac:dyDescent="0.25">
      <c r="A239">
        <v>548</v>
      </c>
    </row>
    <row r="240" spans="1:1" x14ac:dyDescent="0.25">
      <c r="A240">
        <v>549</v>
      </c>
    </row>
    <row r="241" spans="1:1" x14ac:dyDescent="0.25">
      <c r="A241">
        <v>550</v>
      </c>
    </row>
    <row r="242" spans="1:1" x14ac:dyDescent="0.25">
      <c r="A242">
        <v>551</v>
      </c>
    </row>
    <row r="243" spans="1:1" x14ac:dyDescent="0.25">
      <c r="A243">
        <v>553</v>
      </c>
    </row>
    <row r="244" spans="1:1" x14ac:dyDescent="0.25">
      <c r="A244">
        <v>569</v>
      </c>
    </row>
    <row r="245" spans="1:1" x14ac:dyDescent="0.25">
      <c r="A245">
        <v>574</v>
      </c>
    </row>
    <row r="246" spans="1:1" x14ac:dyDescent="0.25">
      <c r="A246">
        <v>576</v>
      </c>
    </row>
    <row r="247" spans="1:1" x14ac:dyDescent="0.25">
      <c r="A247">
        <v>580</v>
      </c>
    </row>
    <row r="248" spans="1:1" x14ac:dyDescent="0.25">
      <c r="A248">
        <v>581</v>
      </c>
    </row>
    <row r="249" spans="1:1" x14ac:dyDescent="0.25">
      <c r="A249">
        <v>582</v>
      </c>
    </row>
    <row r="250" spans="1:1" x14ac:dyDescent="0.25">
      <c r="A250">
        <v>583</v>
      </c>
    </row>
    <row r="251" spans="1:1" x14ac:dyDescent="0.25">
      <c r="A251">
        <v>586</v>
      </c>
    </row>
    <row r="252" spans="1:1" x14ac:dyDescent="0.25">
      <c r="A252">
        <v>590</v>
      </c>
    </row>
    <row r="253" spans="1:1" x14ac:dyDescent="0.25">
      <c r="A253">
        <v>592</v>
      </c>
    </row>
    <row r="254" spans="1:1" x14ac:dyDescent="0.25">
      <c r="A254">
        <v>593</v>
      </c>
    </row>
    <row r="255" spans="1:1" x14ac:dyDescent="0.25">
      <c r="A255">
        <v>594</v>
      </c>
    </row>
    <row r="256" spans="1:1" x14ac:dyDescent="0.25">
      <c r="A256">
        <v>598</v>
      </c>
    </row>
    <row r="257" spans="1:1" x14ac:dyDescent="0.25">
      <c r="A257">
        <v>599</v>
      </c>
    </row>
    <row r="258" spans="1:1" x14ac:dyDescent="0.25">
      <c r="A258">
        <v>600</v>
      </c>
    </row>
    <row r="259" spans="1:1" x14ac:dyDescent="0.25">
      <c r="A259">
        <v>601</v>
      </c>
    </row>
    <row r="260" spans="1:1" x14ac:dyDescent="0.25">
      <c r="A260">
        <v>604</v>
      </c>
    </row>
    <row r="261" spans="1:1" x14ac:dyDescent="0.25">
      <c r="A261">
        <v>606</v>
      </c>
    </row>
    <row r="262" spans="1:1" x14ac:dyDescent="0.25">
      <c r="A262">
        <v>607</v>
      </c>
    </row>
    <row r="263" spans="1:1" x14ac:dyDescent="0.25">
      <c r="A263">
        <v>610</v>
      </c>
    </row>
    <row r="264" spans="1:1" x14ac:dyDescent="0.25">
      <c r="A264">
        <v>612</v>
      </c>
    </row>
    <row r="265" spans="1:1" x14ac:dyDescent="0.25">
      <c r="A265">
        <v>614</v>
      </c>
    </row>
    <row r="266" spans="1:1" x14ac:dyDescent="0.25">
      <c r="A266">
        <v>615</v>
      </c>
    </row>
    <row r="267" spans="1:1" x14ac:dyDescent="0.25">
      <c r="A267">
        <v>616</v>
      </c>
    </row>
    <row r="268" spans="1:1" x14ac:dyDescent="0.25">
      <c r="A268">
        <v>617</v>
      </c>
    </row>
    <row r="269" spans="1:1" x14ac:dyDescent="0.25">
      <c r="A269">
        <v>621</v>
      </c>
    </row>
    <row r="270" spans="1:1" x14ac:dyDescent="0.25">
      <c r="A270">
        <v>626</v>
      </c>
    </row>
    <row r="271" spans="1:1" x14ac:dyDescent="0.25">
      <c r="A271">
        <v>629</v>
      </c>
    </row>
    <row r="272" spans="1:1" x14ac:dyDescent="0.25">
      <c r="A272">
        <v>631</v>
      </c>
    </row>
    <row r="273" spans="1:1" x14ac:dyDescent="0.25">
      <c r="A273">
        <v>632</v>
      </c>
    </row>
    <row r="274" spans="1:1" x14ac:dyDescent="0.25">
      <c r="A274">
        <v>634</v>
      </c>
    </row>
    <row r="275" spans="1:1" x14ac:dyDescent="0.25">
      <c r="A275">
        <v>635</v>
      </c>
    </row>
    <row r="276" spans="1:1" x14ac:dyDescent="0.25">
      <c r="A276">
        <v>638</v>
      </c>
    </row>
    <row r="277" spans="1:1" x14ac:dyDescent="0.25">
      <c r="A277">
        <v>640</v>
      </c>
    </row>
    <row r="278" spans="1:1" x14ac:dyDescent="0.25">
      <c r="A278">
        <v>642</v>
      </c>
    </row>
    <row r="279" spans="1:1" x14ac:dyDescent="0.25">
      <c r="A279">
        <v>646</v>
      </c>
    </row>
    <row r="280" spans="1:1" x14ac:dyDescent="0.25">
      <c r="A280">
        <v>648</v>
      </c>
    </row>
    <row r="281" spans="1:1" x14ac:dyDescent="0.25">
      <c r="A281">
        <v>649</v>
      </c>
    </row>
    <row r="282" spans="1:1" x14ac:dyDescent="0.25">
      <c r="A282">
        <v>650</v>
      </c>
    </row>
    <row r="283" spans="1:1" x14ac:dyDescent="0.25">
      <c r="A283">
        <v>652</v>
      </c>
    </row>
    <row r="284" spans="1:1" x14ac:dyDescent="0.25">
      <c r="A284">
        <v>653</v>
      </c>
    </row>
    <row r="285" spans="1:1" x14ac:dyDescent="0.25">
      <c r="A285">
        <v>656</v>
      </c>
    </row>
    <row r="286" spans="1:1" x14ac:dyDescent="0.25">
      <c r="A286">
        <v>657</v>
      </c>
    </row>
    <row r="287" spans="1:1" x14ac:dyDescent="0.25">
      <c r="A287">
        <v>659</v>
      </c>
    </row>
    <row r="288" spans="1:1" x14ac:dyDescent="0.25">
      <c r="A288">
        <v>660</v>
      </c>
    </row>
    <row r="289" spans="1:1" x14ac:dyDescent="0.25">
      <c r="A289">
        <v>661</v>
      </c>
    </row>
    <row r="290" spans="1:1" x14ac:dyDescent="0.25">
      <c r="A290">
        <v>664</v>
      </c>
    </row>
    <row r="291" spans="1:1" x14ac:dyDescent="0.25">
      <c r="A291">
        <v>665</v>
      </c>
    </row>
    <row r="292" spans="1:1" x14ac:dyDescent="0.25">
      <c r="A292">
        <v>667</v>
      </c>
    </row>
    <row r="293" spans="1:1" x14ac:dyDescent="0.25">
      <c r="A293">
        <v>672</v>
      </c>
    </row>
    <row r="294" spans="1:1" x14ac:dyDescent="0.25">
      <c r="A294">
        <v>674</v>
      </c>
    </row>
    <row r="295" spans="1:1" x14ac:dyDescent="0.25">
      <c r="A295">
        <v>675</v>
      </c>
    </row>
    <row r="296" spans="1:1" x14ac:dyDescent="0.25">
      <c r="A296">
        <v>676</v>
      </c>
    </row>
    <row r="297" spans="1:1" x14ac:dyDescent="0.25">
      <c r="A297">
        <v>678</v>
      </c>
    </row>
    <row r="298" spans="1:1" x14ac:dyDescent="0.25">
      <c r="A298">
        <v>679</v>
      </c>
    </row>
    <row r="299" spans="1:1" x14ac:dyDescent="0.25">
      <c r="A299">
        <v>680</v>
      </c>
    </row>
    <row r="300" spans="1:1" x14ac:dyDescent="0.25">
      <c r="A300">
        <v>683</v>
      </c>
    </row>
    <row r="301" spans="1:1" x14ac:dyDescent="0.25">
      <c r="A301">
        <v>685</v>
      </c>
    </row>
    <row r="302" spans="1:1" x14ac:dyDescent="0.25">
      <c r="A302">
        <v>687</v>
      </c>
    </row>
    <row r="303" spans="1:1" x14ac:dyDescent="0.25">
      <c r="A303">
        <v>689</v>
      </c>
    </row>
    <row r="304" spans="1:1" x14ac:dyDescent="0.25">
      <c r="A304">
        <v>690</v>
      </c>
    </row>
    <row r="305" spans="1:1" x14ac:dyDescent="0.25">
      <c r="A305">
        <v>691</v>
      </c>
    </row>
    <row r="306" spans="1:1" x14ac:dyDescent="0.25">
      <c r="A306">
        <v>692</v>
      </c>
    </row>
    <row r="307" spans="1:1" x14ac:dyDescent="0.25">
      <c r="A307">
        <v>695</v>
      </c>
    </row>
    <row r="308" spans="1:1" x14ac:dyDescent="0.25">
      <c r="A308">
        <v>696</v>
      </c>
    </row>
    <row r="309" spans="1:1" x14ac:dyDescent="0.25">
      <c r="A309">
        <v>699</v>
      </c>
    </row>
    <row r="310" spans="1:1" x14ac:dyDescent="0.25">
      <c r="A310">
        <v>702</v>
      </c>
    </row>
    <row r="311" spans="1:1" x14ac:dyDescent="0.25">
      <c r="A311">
        <v>703</v>
      </c>
    </row>
    <row r="312" spans="1:1" x14ac:dyDescent="0.25">
      <c r="A312">
        <v>705</v>
      </c>
    </row>
    <row r="313" spans="1:1" x14ac:dyDescent="0.25">
      <c r="A313">
        <v>707</v>
      </c>
    </row>
    <row r="314" spans="1:1" x14ac:dyDescent="0.25">
      <c r="A314">
        <v>708</v>
      </c>
    </row>
    <row r="315" spans="1:1" x14ac:dyDescent="0.25">
      <c r="A315">
        <v>711</v>
      </c>
    </row>
    <row r="316" spans="1:1" x14ac:dyDescent="0.25">
      <c r="A316">
        <v>714</v>
      </c>
    </row>
    <row r="317" spans="1:1" x14ac:dyDescent="0.25">
      <c r="A317">
        <v>715</v>
      </c>
    </row>
    <row r="318" spans="1:1" x14ac:dyDescent="0.25">
      <c r="A318">
        <v>716</v>
      </c>
    </row>
    <row r="319" spans="1:1" x14ac:dyDescent="0.25">
      <c r="A319">
        <v>719</v>
      </c>
    </row>
    <row r="320" spans="1:1" x14ac:dyDescent="0.25">
      <c r="A320">
        <v>722</v>
      </c>
    </row>
    <row r="321" spans="1:1" x14ac:dyDescent="0.25">
      <c r="A321">
        <v>725</v>
      </c>
    </row>
    <row r="322" spans="1:1" x14ac:dyDescent="0.25">
      <c r="A322">
        <v>726</v>
      </c>
    </row>
    <row r="323" spans="1:1" x14ac:dyDescent="0.25">
      <c r="A323">
        <v>728</v>
      </c>
    </row>
    <row r="324" spans="1:1" x14ac:dyDescent="0.25">
      <c r="A324">
        <v>730</v>
      </c>
    </row>
    <row r="325" spans="1:1" x14ac:dyDescent="0.25">
      <c r="A325">
        <v>735</v>
      </c>
    </row>
    <row r="326" spans="1:1" x14ac:dyDescent="0.25">
      <c r="A326">
        <v>739</v>
      </c>
    </row>
    <row r="327" spans="1:1" x14ac:dyDescent="0.25">
      <c r="A327">
        <v>750</v>
      </c>
    </row>
    <row r="328" spans="1:1" x14ac:dyDescent="0.25">
      <c r="A328">
        <v>752</v>
      </c>
    </row>
    <row r="329" spans="1:1" x14ac:dyDescent="0.25">
      <c r="A329">
        <v>753</v>
      </c>
    </row>
    <row r="330" spans="1:1" x14ac:dyDescent="0.25">
      <c r="A330">
        <v>755</v>
      </c>
    </row>
    <row r="331" spans="1:1" x14ac:dyDescent="0.25">
      <c r="A331">
        <v>758</v>
      </c>
    </row>
    <row r="332" spans="1:1" x14ac:dyDescent="0.25">
      <c r="A332">
        <v>764</v>
      </c>
    </row>
    <row r="333" spans="1:1" x14ac:dyDescent="0.25">
      <c r="A333">
        <v>771</v>
      </c>
    </row>
    <row r="334" spans="1:1" x14ac:dyDescent="0.25">
      <c r="A334">
        <v>772</v>
      </c>
    </row>
    <row r="335" spans="1:1" x14ac:dyDescent="0.25">
      <c r="A335">
        <v>775</v>
      </c>
    </row>
    <row r="336" spans="1:1" x14ac:dyDescent="0.25">
      <c r="A336">
        <v>782</v>
      </c>
    </row>
    <row r="337" spans="1:1" x14ac:dyDescent="0.25">
      <c r="A337">
        <v>784</v>
      </c>
    </row>
    <row r="338" spans="1:1" x14ac:dyDescent="0.25">
      <c r="A338">
        <v>788</v>
      </c>
    </row>
    <row r="339" spans="1:1" x14ac:dyDescent="0.25">
      <c r="A339">
        <v>790</v>
      </c>
    </row>
    <row r="340" spans="1:1" x14ac:dyDescent="0.25">
      <c r="A340">
        <v>793</v>
      </c>
    </row>
    <row r="341" spans="1:1" x14ac:dyDescent="0.25">
      <c r="A341">
        <v>807</v>
      </c>
    </row>
    <row r="342" spans="1:1" x14ac:dyDescent="0.25">
      <c r="A342">
        <v>809</v>
      </c>
    </row>
    <row r="343" spans="1:1" x14ac:dyDescent="0.25">
      <c r="A343">
        <v>813</v>
      </c>
    </row>
    <row r="344" spans="1:1" x14ac:dyDescent="0.25">
      <c r="A344">
        <v>817</v>
      </c>
    </row>
    <row r="345" spans="1:1" x14ac:dyDescent="0.25">
      <c r="A345">
        <v>821</v>
      </c>
    </row>
    <row r="346" spans="1:1" x14ac:dyDescent="0.25">
      <c r="A346">
        <v>823</v>
      </c>
    </row>
    <row r="347" spans="1:1" x14ac:dyDescent="0.25">
      <c r="A347">
        <v>831</v>
      </c>
    </row>
    <row r="348" spans="1:1" x14ac:dyDescent="0.25">
      <c r="A348">
        <v>832</v>
      </c>
    </row>
    <row r="349" spans="1:1" x14ac:dyDescent="0.25">
      <c r="A349">
        <v>834</v>
      </c>
    </row>
    <row r="350" spans="1:1" x14ac:dyDescent="0.25">
      <c r="A350">
        <v>841</v>
      </c>
    </row>
    <row r="351" spans="1:1" x14ac:dyDescent="0.25">
      <c r="A351">
        <v>842</v>
      </c>
    </row>
    <row r="352" spans="1:1" x14ac:dyDescent="0.25">
      <c r="A352">
        <v>844</v>
      </c>
    </row>
    <row r="353" spans="1:1" x14ac:dyDescent="0.25">
      <c r="A353">
        <v>852</v>
      </c>
    </row>
    <row r="354" spans="1:1" x14ac:dyDescent="0.25">
      <c r="A354">
        <v>854</v>
      </c>
    </row>
    <row r="355" spans="1:1" x14ac:dyDescent="0.25">
      <c r="A355">
        <v>856</v>
      </c>
    </row>
    <row r="356" spans="1:1" x14ac:dyDescent="0.25">
      <c r="A356">
        <v>857</v>
      </c>
    </row>
    <row r="357" spans="1:1" x14ac:dyDescent="0.25">
      <c r="A357">
        <v>858</v>
      </c>
    </row>
    <row r="358" spans="1:1" x14ac:dyDescent="0.25">
      <c r="A358">
        <v>859</v>
      </c>
    </row>
    <row r="359" spans="1:1" x14ac:dyDescent="0.25">
      <c r="A359">
        <v>860</v>
      </c>
    </row>
    <row r="360" spans="1:1" x14ac:dyDescent="0.25">
      <c r="A360">
        <v>867</v>
      </c>
    </row>
    <row r="361" spans="1:1" x14ac:dyDescent="0.25">
      <c r="A361">
        <v>875</v>
      </c>
    </row>
    <row r="362" spans="1:1" x14ac:dyDescent="0.25">
      <c r="A362">
        <v>890</v>
      </c>
    </row>
    <row r="363" spans="1:1" x14ac:dyDescent="0.25">
      <c r="A363">
        <v>893</v>
      </c>
    </row>
    <row r="364" spans="1:1" x14ac:dyDescent="0.25">
      <c r="A364">
        <v>894</v>
      </c>
    </row>
    <row r="365" spans="1:1" x14ac:dyDescent="0.25">
      <c r="A365">
        <v>897</v>
      </c>
    </row>
    <row r="366" spans="1:1" x14ac:dyDescent="0.25">
      <c r="A366">
        <v>898</v>
      </c>
    </row>
    <row r="367" spans="1:1" x14ac:dyDescent="0.25">
      <c r="A367">
        <v>904</v>
      </c>
    </row>
    <row r="368" spans="1:1" x14ac:dyDescent="0.25">
      <c r="A368">
        <v>906</v>
      </c>
    </row>
    <row r="369" spans="1:1" x14ac:dyDescent="0.25">
      <c r="A369">
        <v>907</v>
      </c>
    </row>
    <row r="370" spans="1:1" x14ac:dyDescent="0.25">
      <c r="A370">
        <v>908</v>
      </c>
    </row>
    <row r="371" spans="1:1" x14ac:dyDescent="0.25">
      <c r="A371">
        <v>911</v>
      </c>
    </row>
    <row r="372" spans="1:1" x14ac:dyDescent="0.25">
      <c r="A372">
        <v>912</v>
      </c>
    </row>
    <row r="373" spans="1:1" x14ac:dyDescent="0.25">
      <c r="A373">
        <v>915</v>
      </c>
    </row>
    <row r="374" spans="1:1" x14ac:dyDescent="0.25">
      <c r="A374">
        <v>922</v>
      </c>
    </row>
    <row r="375" spans="1:1" x14ac:dyDescent="0.25">
      <c r="A375">
        <v>927</v>
      </c>
    </row>
    <row r="376" spans="1:1" x14ac:dyDescent="0.25">
      <c r="A376">
        <v>930</v>
      </c>
    </row>
    <row r="377" spans="1:1" x14ac:dyDescent="0.25">
      <c r="A377">
        <v>940</v>
      </c>
    </row>
    <row r="378" spans="1:1" x14ac:dyDescent="0.25">
      <c r="A378">
        <v>941</v>
      </c>
    </row>
    <row r="379" spans="1:1" x14ac:dyDescent="0.25">
      <c r="A379">
        <v>943</v>
      </c>
    </row>
    <row r="380" spans="1:1" x14ac:dyDescent="0.25">
      <c r="A380">
        <v>945</v>
      </c>
    </row>
    <row r="381" spans="1:1" x14ac:dyDescent="0.25">
      <c r="A381">
        <v>949</v>
      </c>
    </row>
    <row r="382" spans="1:1" x14ac:dyDescent="0.25">
      <c r="A382">
        <v>957</v>
      </c>
    </row>
    <row r="383" spans="1:1" x14ac:dyDescent="0.25">
      <c r="A383">
        <v>962</v>
      </c>
    </row>
    <row r="384" spans="1:1" x14ac:dyDescent="0.25">
      <c r="A384">
        <v>964</v>
      </c>
    </row>
    <row r="385" spans="1:1" x14ac:dyDescent="0.25">
      <c r="A385">
        <v>966</v>
      </c>
    </row>
    <row r="386" spans="1:1" x14ac:dyDescent="0.25">
      <c r="A386">
        <v>967</v>
      </c>
    </row>
    <row r="387" spans="1:1" x14ac:dyDescent="0.25">
      <c r="A387">
        <v>969</v>
      </c>
    </row>
    <row r="388" spans="1:1" x14ac:dyDescent="0.25">
      <c r="A388">
        <v>974</v>
      </c>
    </row>
    <row r="389" spans="1:1" x14ac:dyDescent="0.25">
      <c r="A389">
        <v>975</v>
      </c>
    </row>
    <row r="390" spans="1:1" x14ac:dyDescent="0.25">
      <c r="A390">
        <v>991</v>
      </c>
    </row>
    <row r="391" spans="1:1" x14ac:dyDescent="0.25">
      <c r="A391">
        <v>1011</v>
      </c>
    </row>
    <row r="392" spans="1:1" x14ac:dyDescent="0.25">
      <c r="A392">
        <v>1040</v>
      </c>
    </row>
    <row r="393" spans="1:1" x14ac:dyDescent="0.25">
      <c r="A393">
        <v>1043</v>
      </c>
    </row>
  </sheetData>
  <sortState ref="A2:A2131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131"/>
  <sheetViews>
    <sheetView tabSelected="1" workbookViewId="0">
      <selection activeCell="K5" sqref="K5"/>
    </sheetView>
  </sheetViews>
  <sheetFormatPr defaultRowHeight="15" x14ac:dyDescent="0.25"/>
  <cols>
    <col min="2" max="2" width="14" customWidth="1"/>
    <col min="3" max="3" width="13.7109375" style="4" bestFit="1" customWidth="1"/>
    <col min="4" max="4" width="9.140625" style="79"/>
    <col min="5" max="5" width="16" bestFit="1" customWidth="1"/>
    <col min="6" max="6" width="10.7109375" style="3" bestFit="1" customWidth="1"/>
    <col min="7" max="7" width="17.28515625" customWidth="1"/>
    <col min="8" max="8" width="10.85546875" style="81" bestFit="1" customWidth="1"/>
    <col min="9" max="9" width="9.140625" style="79"/>
    <col min="10" max="10" width="11.85546875" style="20" customWidth="1"/>
    <col min="11" max="11" width="11.42578125" bestFit="1" customWidth="1"/>
    <col min="12" max="12" width="11.5703125" style="4" bestFit="1" customWidth="1"/>
  </cols>
  <sheetData>
    <row r="1" spans="1:12" x14ac:dyDescent="0.25">
      <c r="A1" s="17" t="s">
        <v>397</v>
      </c>
      <c r="B1" s="17" t="s">
        <v>398</v>
      </c>
      <c r="C1" s="82" t="s">
        <v>399</v>
      </c>
      <c r="D1" s="80"/>
      <c r="E1" s="17" t="s">
        <v>0</v>
      </c>
      <c r="F1" s="78" t="s">
        <v>1</v>
      </c>
      <c r="G1" t="s">
        <v>2</v>
      </c>
      <c r="H1" s="81" t="s">
        <v>3</v>
      </c>
      <c r="J1" s="20" t="s">
        <v>6118</v>
      </c>
      <c r="K1" t="s">
        <v>6119</v>
      </c>
      <c r="L1" s="4" t="s">
        <v>6117</v>
      </c>
    </row>
    <row r="2" spans="1:12" x14ac:dyDescent="0.25">
      <c r="A2">
        <v>692</v>
      </c>
      <c r="B2" s="3">
        <v>41631</v>
      </c>
      <c r="C2" s="4">
        <v>718.75</v>
      </c>
      <c r="E2">
        <v>692</v>
      </c>
      <c r="F2" s="3">
        <v>41631</v>
      </c>
      <c r="G2" t="s">
        <v>50</v>
      </c>
      <c r="H2" s="18">
        <v>718.75</v>
      </c>
      <c r="J2" s="20" t="str">
        <f>IF(E2=A2,"","CHECK")</f>
        <v/>
      </c>
      <c r="K2" t="str">
        <f>IF(F2=B2,"","CHECK")</f>
        <v/>
      </c>
      <c r="L2" s="4">
        <f>C2-H2</f>
        <v>0</v>
      </c>
    </row>
    <row r="3" spans="1:12" x14ac:dyDescent="0.25">
      <c r="A3">
        <v>692</v>
      </c>
      <c r="B3" s="3">
        <v>41642</v>
      </c>
      <c r="C3" s="4">
        <v>1500</v>
      </c>
      <c r="E3">
        <v>692</v>
      </c>
      <c r="F3" s="3">
        <v>41642</v>
      </c>
      <c r="G3" t="s">
        <v>50</v>
      </c>
      <c r="H3" s="18">
        <v>1500</v>
      </c>
      <c r="J3" s="20" t="str">
        <f t="shared" ref="J3:J4" si="0">IF(E3=A3,"","CHECK")</f>
        <v/>
      </c>
      <c r="K3" t="str">
        <f t="shared" ref="K3:K66" si="1">IF(F3=B3,"","CHECK")</f>
        <v/>
      </c>
      <c r="L3" s="4">
        <f t="shared" ref="L3:L4" si="2">C3-H3</f>
        <v>0</v>
      </c>
    </row>
    <row r="4" spans="1:12" x14ac:dyDescent="0.25">
      <c r="A4">
        <v>212</v>
      </c>
      <c r="B4" s="3">
        <v>41645</v>
      </c>
      <c r="C4" s="4">
        <v>1926.99</v>
      </c>
      <c r="E4">
        <v>212</v>
      </c>
      <c r="F4" s="3">
        <v>41645</v>
      </c>
      <c r="G4" t="s">
        <v>265</v>
      </c>
      <c r="H4" s="18">
        <v>1927.04</v>
      </c>
      <c r="J4" s="20" t="str">
        <f t="shared" si="0"/>
        <v/>
      </c>
      <c r="K4" t="str">
        <f t="shared" si="1"/>
        <v/>
      </c>
      <c r="L4" s="4">
        <f t="shared" si="2"/>
        <v>-4.9999999999954525E-2</v>
      </c>
    </row>
    <row r="5" spans="1:12" x14ac:dyDescent="0.25">
      <c r="A5">
        <v>831</v>
      </c>
      <c r="B5" s="3">
        <v>41651</v>
      </c>
      <c r="C5" s="4">
        <v>250</v>
      </c>
      <c r="E5">
        <v>831</v>
      </c>
      <c r="F5" s="3">
        <v>41651</v>
      </c>
      <c r="G5" t="s">
        <v>238</v>
      </c>
      <c r="H5" s="18">
        <v>250</v>
      </c>
      <c r="J5" s="20" t="str">
        <f t="shared" ref="J5:J68" si="3">IF(E5=A5,"","CHECK")</f>
        <v/>
      </c>
      <c r="K5" t="str">
        <f t="shared" si="1"/>
        <v/>
      </c>
      <c r="L5" s="4">
        <f t="shared" ref="L5:L68" si="4">C5-H5</f>
        <v>0</v>
      </c>
    </row>
    <row r="6" spans="1:12" x14ac:dyDescent="0.25">
      <c r="A6">
        <v>699</v>
      </c>
      <c r="B6" s="3">
        <v>41652</v>
      </c>
      <c r="C6" s="4">
        <v>1000</v>
      </c>
      <c r="E6">
        <v>699</v>
      </c>
      <c r="F6" s="3">
        <v>41652</v>
      </c>
      <c r="G6" t="s">
        <v>189</v>
      </c>
      <c r="H6" s="18">
        <v>1000</v>
      </c>
      <c r="J6" s="20" t="str">
        <f t="shared" si="3"/>
        <v/>
      </c>
      <c r="K6" t="str">
        <f t="shared" si="1"/>
        <v/>
      </c>
      <c r="L6" s="4">
        <f t="shared" si="4"/>
        <v>0</v>
      </c>
    </row>
    <row r="7" spans="1:12" x14ac:dyDescent="0.25">
      <c r="A7">
        <v>191</v>
      </c>
      <c r="B7" s="3">
        <v>41670</v>
      </c>
      <c r="C7" s="4">
        <v>591.22</v>
      </c>
      <c r="E7">
        <v>191</v>
      </c>
      <c r="F7" s="3">
        <v>41670</v>
      </c>
      <c r="G7" t="s">
        <v>277</v>
      </c>
      <c r="H7" s="18">
        <v>591.22</v>
      </c>
      <c r="J7" s="20" t="str">
        <f t="shared" si="3"/>
        <v/>
      </c>
      <c r="K7" t="str">
        <f t="shared" si="1"/>
        <v/>
      </c>
      <c r="L7" s="4">
        <f t="shared" si="4"/>
        <v>0</v>
      </c>
    </row>
    <row r="8" spans="1:12" x14ac:dyDescent="0.25">
      <c r="A8">
        <v>79</v>
      </c>
      <c r="B8" s="3">
        <v>41691</v>
      </c>
      <c r="C8" s="4">
        <v>900</v>
      </c>
      <c r="E8">
        <v>79</v>
      </c>
      <c r="F8" s="3">
        <v>41691</v>
      </c>
      <c r="G8" t="s">
        <v>372</v>
      </c>
      <c r="H8" s="18">
        <v>900</v>
      </c>
      <c r="J8" s="20" t="str">
        <f t="shared" si="3"/>
        <v/>
      </c>
      <c r="K8" t="str">
        <f t="shared" si="1"/>
        <v/>
      </c>
      <c r="L8" s="4">
        <f t="shared" si="4"/>
        <v>0</v>
      </c>
    </row>
    <row r="9" spans="1:12" x14ac:dyDescent="0.25">
      <c r="A9">
        <v>89</v>
      </c>
      <c r="B9" s="3">
        <v>41691</v>
      </c>
      <c r="C9" s="4">
        <v>375</v>
      </c>
      <c r="E9">
        <v>89</v>
      </c>
      <c r="F9" s="3">
        <v>41691</v>
      </c>
      <c r="G9" t="s">
        <v>390</v>
      </c>
      <c r="H9" s="18">
        <v>375</v>
      </c>
      <c r="J9" s="20" t="str">
        <f t="shared" si="3"/>
        <v/>
      </c>
      <c r="K9" t="str">
        <f t="shared" si="1"/>
        <v/>
      </c>
      <c r="L9" s="4">
        <f t="shared" si="4"/>
        <v>0</v>
      </c>
    </row>
    <row r="10" spans="1:12" x14ac:dyDescent="0.25">
      <c r="A10">
        <v>79</v>
      </c>
      <c r="B10" s="3">
        <v>41698</v>
      </c>
      <c r="C10" s="4">
        <v>3475</v>
      </c>
      <c r="E10">
        <v>79</v>
      </c>
      <c r="F10" s="3">
        <v>41698</v>
      </c>
      <c r="G10" t="s">
        <v>372</v>
      </c>
      <c r="H10" s="18">
        <v>3475</v>
      </c>
      <c r="J10" s="20" t="str">
        <f t="shared" si="3"/>
        <v/>
      </c>
      <c r="K10" t="str">
        <f t="shared" si="1"/>
        <v/>
      </c>
      <c r="L10" s="4">
        <f t="shared" si="4"/>
        <v>0</v>
      </c>
    </row>
    <row r="11" spans="1:12" x14ac:dyDescent="0.25">
      <c r="A11">
        <v>79</v>
      </c>
      <c r="B11" s="3">
        <v>41705</v>
      </c>
      <c r="C11" s="4">
        <v>3000</v>
      </c>
      <c r="E11">
        <v>79</v>
      </c>
      <c r="F11" s="3">
        <v>41705</v>
      </c>
      <c r="G11" t="s">
        <v>372</v>
      </c>
      <c r="H11" s="18">
        <v>3000</v>
      </c>
      <c r="J11" s="20" t="str">
        <f t="shared" si="3"/>
        <v/>
      </c>
      <c r="K11" t="str">
        <f t="shared" si="1"/>
        <v/>
      </c>
      <c r="L11" s="4">
        <f t="shared" si="4"/>
        <v>0</v>
      </c>
    </row>
    <row r="12" spans="1:12" x14ac:dyDescent="0.25">
      <c r="A12">
        <v>110</v>
      </c>
      <c r="B12" s="3">
        <v>41705</v>
      </c>
      <c r="C12" s="4">
        <v>200</v>
      </c>
      <c r="E12">
        <v>110</v>
      </c>
      <c r="F12" s="3">
        <v>41705</v>
      </c>
      <c r="G12" t="s">
        <v>83</v>
      </c>
      <c r="H12" s="18">
        <v>200</v>
      </c>
      <c r="J12" s="20" t="str">
        <f t="shared" si="3"/>
        <v/>
      </c>
      <c r="K12" t="str">
        <f t="shared" si="1"/>
        <v/>
      </c>
      <c r="L12" s="4">
        <f t="shared" si="4"/>
        <v>0</v>
      </c>
    </row>
    <row r="13" spans="1:12" x14ac:dyDescent="0.25">
      <c r="A13">
        <v>373</v>
      </c>
      <c r="B13" s="3">
        <v>41705</v>
      </c>
      <c r="C13" s="4">
        <v>1250</v>
      </c>
      <c r="E13">
        <v>373</v>
      </c>
      <c r="F13" s="3">
        <v>41705</v>
      </c>
      <c r="G13" t="s">
        <v>234</v>
      </c>
      <c r="H13" s="18">
        <v>1250</v>
      </c>
      <c r="J13" s="20" t="str">
        <f t="shared" si="3"/>
        <v/>
      </c>
      <c r="K13" t="str">
        <f t="shared" si="1"/>
        <v/>
      </c>
      <c r="L13" s="4">
        <f t="shared" si="4"/>
        <v>0</v>
      </c>
    </row>
    <row r="14" spans="1:12" x14ac:dyDescent="0.25">
      <c r="A14">
        <v>41</v>
      </c>
      <c r="B14" s="3">
        <v>41712</v>
      </c>
      <c r="C14" s="4">
        <v>1755</v>
      </c>
      <c r="E14">
        <v>41</v>
      </c>
      <c r="F14" s="3">
        <v>41712</v>
      </c>
      <c r="G14" t="s">
        <v>10</v>
      </c>
      <c r="H14" s="18">
        <v>1755</v>
      </c>
      <c r="J14" s="20" t="str">
        <f t="shared" si="3"/>
        <v/>
      </c>
      <c r="K14" t="str">
        <f t="shared" si="1"/>
        <v/>
      </c>
      <c r="L14" s="4">
        <f t="shared" si="4"/>
        <v>0</v>
      </c>
    </row>
    <row r="15" spans="1:12" x14ac:dyDescent="0.25">
      <c r="A15">
        <v>79</v>
      </c>
      <c r="B15" s="3">
        <v>41712</v>
      </c>
      <c r="C15" s="4">
        <v>1750</v>
      </c>
      <c r="E15">
        <v>79</v>
      </c>
      <c r="F15" s="3">
        <v>41712</v>
      </c>
      <c r="G15" t="s">
        <v>372</v>
      </c>
      <c r="H15" s="18">
        <v>1750</v>
      </c>
      <c r="J15" s="20" t="str">
        <f t="shared" si="3"/>
        <v/>
      </c>
      <c r="K15" t="str">
        <f t="shared" si="1"/>
        <v/>
      </c>
      <c r="L15" s="4">
        <f t="shared" si="4"/>
        <v>0</v>
      </c>
    </row>
    <row r="16" spans="1:12" x14ac:dyDescent="0.25">
      <c r="A16">
        <v>89</v>
      </c>
      <c r="B16" s="3">
        <v>41712</v>
      </c>
      <c r="C16" s="4">
        <v>400</v>
      </c>
      <c r="E16">
        <v>89</v>
      </c>
      <c r="F16" s="3">
        <v>41712</v>
      </c>
      <c r="G16" t="s">
        <v>390</v>
      </c>
      <c r="H16" s="18">
        <v>400</v>
      </c>
      <c r="J16" s="20" t="str">
        <f t="shared" si="3"/>
        <v/>
      </c>
      <c r="K16" t="str">
        <f t="shared" si="1"/>
        <v/>
      </c>
      <c r="L16" s="4">
        <f t="shared" si="4"/>
        <v>0</v>
      </c>
    </row>
    <row r="17" spans="1:12" x14ac:dyDescent="0.25">
      <c r="A17">
        <v>110</v>
      </c>
      <c r="B17" s="3">
        <v>41712</v>
      </c>
      <c r="C17" s="4">
        <v>550</v>
      </c>
      <c r="E17">
        <v>110</v>
      </c>
      <c r="F17" s="3">
        <v>41712</v>
      </c>
      <c r="G17" t="s">
        <v>83</v>
      </c>
      <c r="H17" s="18">
        <v>550</v>
      </c>
      <c r="J17" s="20" t="str">
        <f t="shared" si="3"/>
        <v/>
      </c>
      <c r="K17" t="str">
        <f t="shared" si="1"/>
        <v/>
      </c>
      <c r="L17" s="4">
        <f t="shared" si="4"/>
        <v>0</v>
      </c>
    </row>
    <row r="18" spans="1:12" x14ac:dyDescent="0.25">
      <c r="A18">
        <v>130</v>
      </c>
      <c r="B18" s="3">
        <v>41712</v>
      </c>
      <c r="C18" s="4">
        <v>925</v>
      </c>
      <c r="E18">
        <v>130</v>
      </c>
      <c r="F18" s="3">
        <v>41712</v>
      </c>
      <c r="G18" t="s">
        <v>366</v>
      </c>
      <c r="H18" s="18">
        <v>925</v>
      </c>
      <c r="J18" s="20" t="str">
        <f t="shared" si="3"/>
        <v/>
      </c>
      <c r="K18" t="str">
        <f t="shared" si="1"/>
        <v/>
      </c>
      <c r="L18" s="4">
        <f t="shared" si="4"/>
        <v>0</v>
      </c>
    </row>
    <row r="19" spans="1:12" x14ac:dyDescent="0.25">
      <c r="A19">
        <v>41</v>
      </c>
      <c r="B19" s="3">
        <v>41719</v>
      </c>
      <c r="C19" s="4">
        <v>675</v>
      </c>
      <c r="E19">
        <v>41</v>
      </c>
      <c r="F19" s="3">
        <v>41719</v>
      </c>
      <c r="G19" t="s">
        <v>10</v>
      </c>
      <c r="H19" s="18">
        <v>675</v>
      </c>
      <c r="J19" s="20" t="str">
        <f t="shared" si="3"/>
        <v/>
      </c>
      <c r="K19" t="str">
        <f t="shared" si="1"/>
        <v/>
      </c>
      <c r="L19" s="4">
        <f t="shared" si="4"/>
        <v>0</v>
      </c>
    </row>
    <row r="20" spans="1:12" x14ac:dyDescent="0.25">
      <c r="A20">
        <v>79</v>
      </c>
      <c r="B20" s="3">
        <v>41719</v>
      </c>
      <c r="C20" s="4">
        <v>2100</v>
      </c>
      <c r="E20">
        <v>79</v>
      </c>
      <c r="F20" s="3">
        <v>41719</v>
      </c>
      <c r="G20" t="s">
        <v>372</v>
      </c>
      <c r="H20" s="18">
        <v>2100</v>
      </c>
      <c r="J20" s="20" t="str">
        <f t="shared" si="3"/>
        <v/>
      </c>
      <c r="K20" t="str">
        <f t="shared" si="1"/>
        <v/>
      </c>
      <c r="L20" s="4">
        <f t="shared" si="4"/>
        <v>0</v>
      </c>
    </row>
    <row r="21" spans="1:12" x14ac:dyDescent="0.25">
      <c r="A21">
        <v>105</v>
      </c>
      <c r="B21" s="3">
        <v>41719</v>
      </c>
      <c r="C21" s="4">
        <v>575</v>
      </c>
      <c r="E21">
        <v>105</v>
      </c>
      <c r="F21" s="3">
        <v>41719</v>
      </c>
      <c r="G21" t="s">
        <v>290</v>
      </c>
      <c r="H21" s="18">
        <v>575</v>
      </c>
      <c r="J21" s="20" t="str">
        <f t="shared" si="3"/>
        <v/>
      </c>
      <c r="K21" t="str">
        <f t="shared" si="1"/>
        <v/>
      </c>
      <c r="L21" s="4">
        <f t="shared" si="4"/>
        <v>0</v>
      </c>
    </row>
    <row r="22" spans="1:12" x14ac:dyDescent="0.25">
      <c r="A22">
        <v>110</v>
      </c>
      <c r="B22" s="3">
        <v>41719</v>
      </c>
      <c r="C22" s="4">
        <v>1275</v>
      </c>
      <c r="E22">
        <v>110</v>
      </c>
      <c r="F22" s="3">
        <v>41719</v>
      </c>
      <c r="G22" t="s">
        <v>83</v>
      </c>
      <c r="H22" s="18">
        <v>1275</v>
      </c>
      <c r="J22" s="20" t="str">
        <f t="shared" si="3"/>
        <v/>
      </c>
      <c r="K22" t="str">
        <f t="shared" si="1"/>
        <v/>
      </c>
      <c r="L22" s="4">
        <f t="shared" si="4"/>
        <v>0</v>
      </c>
    </row>
    <row r="23" spans="1:12" x14ac:dyDescent="0.25">
      <c r="A23">
        <v>79</v>
      </c>
      <c r="B23" s="3">
        <v>41726</v>
      </c>
      <c r="C23" s="4">
        <v>1750</v>
      </c>
      <c r="E23">
        <v>79</v>
      </c>
      <c r="F23" s="3">
        <v>41726</v>
      </c>
      <c r="G23" t="s">
        <v>372</v>
      </c>
      <c r="H23" s="18">
        <v>1750</v>
      </c>
      <c r="J23" s="20" t="str">
        <f t="shared" si="3"/>
        <v/>
      </c>
      <c r="K23" t="str">
        <f t="shared" si="1"/>
        <v/>
      </c>
      <c r="L23" s="4">
        <f t="shared" si="4"/>
        <v>0</v>
      </c>
    </row>
    <row r="24" spans="1:12" x14ac:dyDescent="0.25">
      <c r="A24">
        <v>110</v>
      </c>
      <c r="B24" s="3">
        <v>41726</v>
      </c>
      <c r="C24" s="4">
        <v>1325</v>
      </c>
      <c r="E24">
        <v>110</v>
      </c>
      <c r="F24" s="3">
        <v>41726</v>
      </c>
      <c r="G24" t="s">
        <v>83</v>
      </c>
      <c r="H24" s="18">
        <v>1325</v>
      </c>
      <c r="J24" s="20" t="str">
        <f t="shared" si="3"/>
        <v/>
      </c>
      <c r="K24" t="str">
        <f t="shared" si="1"/>
        <v/>
      </c>
      <c r="L24" s="4">
        <f t="shared" si="4"/>
        <v>0</v>
      </c>
    </row>
    <row r="25" spans="1:12" x14ac:dyDescent="0.25">
      <c r="A25">
        <v>130</v>
      </c>
      <c r="B25" s="3">
        <v>41726</v>
      </c>
      <c r="C25" s="4">
        <v>625</v>
      </c>
      <c r="E25">
        <v>130</v>
      </c>
      <c r="F25" s="3">
        <v>41726</v>
      </c>
      <c r="G25" t="s">
        <v>366</v>
      </c>
      <c r="H25" s="18">
        <v>625</v>
      </c>
      <c r="J25" s="20" t="str">
        <f t="shared" si="3"/>
        <v/>
      </c>
      <c r="K25" t="str">
        <f t="shared" si="1"/>
        <v/>
      </c>
      <c r="L25" s="4">
        <f t="shared" si="4"/>
        <v>0</v>
      </c>
    </row>
    <row r="26" spans="1:12" x14ac:dyDescent="0.25">
      <c r="A26">
        <v>257</v>
      </c>
      <c r="B26" s="3">
        <v>41726</v>
      </c>
      <c r="C26" s="4">
        <v>975</v>
      </c>
      <c r="E26">
        <v>257</v>
      </c>
      <c r="F26" s="3">
        <v>41726</v>
      </c>
      <c r="G26" t="s">
        <v>393</v>
      </c>
      <c r="H26" s="18">
        <v>975</v>
      </c>
      <c r="J26" s="20" t="str">
        <f t="shared" si="3"/>
        <v/>
      </c>
      <c r="K26" t="str">
        <f t="shared" si="1"/>
        <v/>
      </c>
      <c r="L26" s="4">
        <f t="shared" si="4"/>
        <v>0</v>
      </c>
    </row>
    <row r="27" spans="1:12" x14ac:dyDescent="0.25">
      <c r="A27">
        <v>33</v>
      </c>
      <c r="B27" s="3">
        <v>41732</v>
      </c>
      <c r="C27" s="4">
        <v>593.75</v>
      </c>
      <c r="E27">
        <v>33</v>
      </c>
      <c r="F27" s="3">
        <v>41732</v>
      </c>
      <c r="G27" t="s">
        <v>394</v>
      </c>
      <c r="H27" s="18">
        <v>593.75</v>
      </c>
      <c r="J27" s="20" t="str">
        <f t="shared" si="3"/>
        <v/>
      </c>
      <c r="K27" t="str">
        <f t="shared" si="1"/>
        <v/>
      </c>
      <c r="L27" s="4">
        <f t="shared" si="4"/>
        <v>0</v>
      </c>
    </row>
    <row r="28" spans="1:12" x14ac:dyDescent="0.25">
      <c r="A28">
        <v>89</v>
      </c>
      <c r="B28" s="3">
        <v>41732</v>
      </c>
      <c r="C28" s="4">
        <v>250</v>
      </c>
      <c r="E28">
        <v>89</v>
      </c>
      <c r="F28" s="3">
        <v>41732</v>
      </c>
      <c r="G28" t="s">
        <v>390</v>
      </c>
      <c r="H28" s="18">
        <v>250</v>
      </c>
      <c r="J28" s="20" t="str">
        <f t="shared" si="3"/>
        <v/>
      </c>
      <c r="K28" t="str">
        <f t="shared" si="1"/>
        <v/>
      </c>
      <c r="L28" s="4">
        <f t="shared" si="4"/>
        <v>0</v>
      </c>
    </row>
    <row r="29" spans="1:12" x14ac:dyDescent="0.25">
      <c r="A29">
        <v>257</v>
      </c>
      <c r="B29" s="3">
        <v>41732</v>
      </c>
      <c r="C29" s="4">
        <v>689.5</v>
      </c>
      <c r="E29">
        <v>257</v>
      </c>
      <c r="F29" s="3">
        <v>41732</v>
      </c>
      <c r="G29" t="s">
        <v>393</v>
      </c>
      <c r="H29" s="18">
        <v>689.5</v>
      </c>
      <c r="J29" s="20" t="str">
        <f t="shared" si="3"/>
        <v/>
      </c>
      <c r="K29" t="str">
        <f t="shared" si="1"/>
        <v/>
      </c>
      <c r="L29" s="4">
        <f t="shared" si="4"/>
        <v>0</v>
      </c>
    </row>
    <row r="30" spans="1:12" x14ac:dyDescent="0.25">
      <c r="A30">
        <v>74</v>
      </c>
      <c r="B30" s="3">
        <v>41733</v>
      </c>
      <c r="C30" s="4">
        <v>1000</v>
      </c>
      <c r="E30">
        <v>74</v>
      </c>
      <c r="F30" s="3">
        <v>41733</v>
      </c>
      <c r="G30" t="s">
        <v>328</v>
      </c>
      <c r="H30" s="18">
        <v>1000</v>
      </c>
      <c r="J30" s="20" t="str">
        <f t="shared" si="3"/>
        <v/>
      </c>
      <c r="K30" t="str">
        <f t="shared" si="1"/>
        <v/>
      </c>
      <c r="L30" s="4">
        <f t="shared" si="4"/>
        <v>0</v>
      </c>
    </row>
    <row r="31" spans="1:12" x14ac:dyDescent="0.25">
      <c r="A31">
        <v>79</v>
      </c>
      <c r="B31" s="3">
        <v>41733</v>
      </c>
      <c r="C31" s="4">
        <v>1450</v>
      </c>
      <c r="E31">
        <v>79</v>
      </c>
      <c r="F31" s="3">
        <v>41733</v>
      </c>
      <c r="G31" t="s">
        <v>372</v>
      </c>
      <c r="H31" s="18">
        <v>1450</v>
      </c>
      <c r="J31" s="20" t="str">
        <f t="shared" si="3"/>
        <v/>
      </c>
      <c r="K31" t="str">
        <f t="shared" si="1"/>
        <v/>
      </c>
      <c r="L31" s="4">
        <f t="shared" si="4"/>
        <v>0</v>
      </c>
    </row>
    <row r="32" spans="1:12" x14ac:dyDescent="0.25">
      <c r="A32">
        <v>104</v>
      </c>
      <c r="B32" s="3">
        <v>41733</v>
      </c>
      <c r="C32" s="4">
        <v>675</v>
      </c>
      <c r="E32">
        <v>104</v>
      </c>
      <c r="F32" s="3">
        <v>41733</v>
      </c>
      <c r="G32" t="s">
        <v>210</v>
      </c>
      <c r="H32" s="18">
        <v>675</v>
      </c>
      <c r="J32" s="20" t="str">
        <f t="shared" si="3"/>
        <v/>
      </c>
      <c r="K32" t="str">
        <f t="shared" si="1"/>
        <v/>
      </c>
      <c r="L32" s="4">
        <f t="shared" si="4"/>
        <v>0</v>
      </c>
    </row>
    <row r="33" spans="1:12" x14ac:dyDescent="0.25">
      <c r="A33">
        <v>110</v>
      </c>
      <c r="B33" s="3">
        <v>41733</v>
      </c>
      <c r="C33" s="4">
        <v>2375</v>
      </c>
      <c r="E33">
        <v>110</v>
      </c>
      <c r="F33" s="3">
        <v>41733</v>
      </c>
      <c r="G33" t="s">
        <v>83</v>
      </c>
      <c r="H33" s="18">
        <v>2375</v>
      </c>
      <c r="J33" s="20" t="str">
        <f t="shared" si="3"/>
        <v/>
      </c>
      <c r="K33" t="str">
        <f t="shared" si="1"/>
        <v/>
      </c>
      <c r="L33" s="4">
        <f t="shared" si="4"/>
        <v>0</v>
      </c>
    </row>
    <row r="34" spans="1:12" x14ac:dyDescent="0.25">
      <c r="A34">
        <v>112</v>
      </c>
      <c r="B34" s="3">
        <v>41733</v>
      </c>
      <c r="C34" s="4">
        <v>450</v>
      </c>
      <c r="E34">
        <v>112</v>
      </c>
      <c r="F34" s="3">
        <v>41733</v>
      </c>
      <c r="G34" t="s">
        <v>370</v>
      </c>
      <c r="H34" s="18">
        <v>450</v>
      </c>
      <c r="J34" s="20" t="str">
        <f t="shared" si="3"/>
        <v/>
      </c>
      <c r="K34" t="str">
        <f t="shared" si="1"/>
        <v/>
      </c>
      <c r="L34" s="4">
        <f t="shared" si="4"/>
        <v>0</v>
      </c>
    </row>
    <row r="35" spans="1:12" x14ac:dyDescent="0.25">
      <c r="A35">
        <v>373</v>
      </c>
      <c r="B35" s="3">
        <v>41733</v>
      </c>
      <c r="C35" s="4">
        <v>1000</v>
      </c>
      <c r="E35">
        <v>373</v>
      </c>
      <c r="F35" s="3">
        <v>41733</v>
      </c>
      <c r="G35" t="s">
        <v>234</v>
      </c>
      <c r="H35" s="18">
        <v>1000</v>
      </c>
      <c r="J35" s="20" t="str">
        <f t="shared" si="3"/>
        <v/>
      </c>
      <c r="K35" t="str">
        <f t="shared" si="1"/>
        <v/>
      </c>
      <c r="L35" s="4">
        <f t="shared" si="4"/>
        <v>0</v>
      </c>
    </row>
    <row r="36" spans="1:12" x14ac:dyDescent="0.25">
      <c r="A36">
        <v>100</v>
      </c>
      <c r="B36" s="3">
        <v>41736</v>
      </c>
      <c r="C36" s="4">
        <v>500</v>
      </c>
      <c r="E36">
        <v>100</v>
      </c>
      <c r="F36" s="3">
        <v>41736</v>
      </c>
      <c r="G36" t="s">
        <v>376</v>
      </c>
      <c r="H36" s="18">
        <v>500</v>
      </c>
      <c r="J36" s="20" t="str">
        <f t="shared" si="3"/>
        <v/>
      </c>
      <c r="K36" t="str">
        <f t="shared" si="1"/>
        <v/>
      </c>
      <c r="L36" s="4">
        <f t="shared" si="4"/>
        <v>0</v>
      </c>
    </row>
    <row r="37" spans="1:12" x14ac:dyDescent="0.25">
      <c r="A37">
        <v>79</v>
      </c>
      <c r="B37" s="3">
        <v>41740</v>
      </c>
      <c r="C37" s="4">
        <v>2537.5</v>
      </c>
      <c r="E37">
        <v>79</v>
      </c>
      <c r="F37" s="3">
        <v>41740</v>
      </c>
      <c r="G37" t="s">
        <v>372</v>
      </c>
      <c r="H37" s="18">
        <v>2537.5</v>
      </c>
      <c r="J37" s="20" t="str">
        <f t="shared" si="3"/>
        <v/>
      </c>
      <c r="K37" t="str">
        <f t="shared" si="1"/>
        <v/>
      </c>
      <c r="L37" s="4">
        <f t="shared" si="4"/>
        <v>0</v>
      </c>
    </row>
    <row r="38" spans="1:12" x14ac:dyDescent="0.25">
      <c r="A38">
        <v>82</v>
      </c>
      <c r="B38" s="3">
        <v>41740</v>
      </c>
      <c r="C38" s="4">
        <v>3350</v>
      </c>
      <c r="E38">
        <v>82</v>
      </c>
      <c r="F38" s="3">
        <v>41740</v>
      </c>
      <c r="G38" t="s">
        <v>289</v>
      </c>
      <c r="H38" s="18">
        <v>3350</v>
      </c>
      <c r="J38" s="20" t="str">
        <f t="shared" si="3"/>
        <v/>
      </c>
      <c r="K38" t="str">
        <f t="shared" si="1"/>
        <v/>
      </c>
      <c r="L38" s="4">
        <f t="shared" si="4"/>
        <v>0</v>
      </c>
    </row>
    <row r="39" spans="1:12" x14ac:dyDescent="0.25">
      <c r="A39">
        <v>87</v>
      </c>
      <c r="B39" s="3">
        <v>41740</v>
      </c>
      <c r="C39" s="4">
        <v>600</v>
      </c>
      <c r="E39">
        <v>87</v>
      </c>
      <c r="F39" s="3">
        <v>41740</v>
      </c>
      <c r="G39" t="s">
        <v>329</v>
      </c>
      <c r="H39" s="18">
        <v>600</v>
      </c>
      <c r="J39" s="20" t="str">
        <f t="shared" si="3"/>
        <v/>
      </c>
      <c r="K39" t="str">
        <f t="shared" si="1"/>
        <v/>
      </c>
      <c r="L39" s="4">
        <f t="shared" si="4"/>
        <v>0</v>
      </c>
    </row>
    <row r="40" spans="1:12" x14ac:dyDescent="0.25">
      <c r="A40">
        <v>89</v>
      </c>
      <c r="B40" s="3">
        <v>41740</v>
      </c>
      <c r="C40" s="4">
        <v>1000</v>
      </c>
      <c r="E40">
        <v>89</v>
      </c>
      <c r="F40" s="3">
        <v>41740</v>
      </c>
      <c r="G40" t="s">
        <v>390</v>
      </c>
      <c r="H40" s="18">
        <v>1000</v>
      </c>
      <c r="J40" s="20" t="str">
        <f t="shared" si="3"/>
        <v/>
      </c>
      <c r="K40" t="str">
        <f t="shared" si="1"/>
        <v/>
      </c>
      <c r="L40" s="4">
        <f t="shared" si="4"/>
        <v>0</v>
      </c>
    </row>
    <row r="41" spans="1:12" x14ac:dyDescent="0.25">
      <c r="A41">
        <v>100</v>
      </c>
      <c r="B41" s="3">
        <v>41740</v>
      </c>
      <c r="C41" s="4">
        <v>500</v>
      </c>
      <c r="E41">
        <v>100</v>
      </c>
      <c r="F41" s="3">
        <v>41740</v>
      </c>
      <c r="G41" t="s">
        <v>376</v>
      </c>
      <c r="H41" s="18">
        <v>500</v>
      </c>
      <c r="J41" s="20" t="str">
        <f t="shared" si="3"/>
        <v/>
      </c>
      <c r="K41" t="str">
        <f t="shared" si="1"/>
        <v/>
      </c>
      <c r="L41" s="4">
        <f t="shared" si="4"/>
        <v>0</v>
      </c>
    </row>
    <row r="42" spans="1:12" x14ac:dyDescent="0.25">
      <c r="A42">
        <v>101</v>
      </c>
      <c r="B42" s="3">
        <v>41740</v>
      </c>
      <c r="C42" s="4">
        <v>450</v>
      </c>
      <c r="E42">
        <v>101</v>
      </c>
      <c r="F42" s="3">
        <v>41740</v>
      </c>
      <c r="G42" t="s">
        <v>81</v>
      </c>
      <c r="H42" s="18">
        <v>450</v>
      </c>
      <c r="J42" s="20" t="str">
        <f t="shared" si="3"/>
        <v/>
      </c>
      <c r="K42" t="str">
        <f t="shared" si="1"/>
        <v/>
      </c>
      <c r="L42" s="4">
        <f t="shared" si="4"/>
        <v>0</v>
      </c>
    </row>
    <row r="43" spans="1:12" x14ac:dyDescent="0.25">
      <c r="A43">
        <v>104</v>
      </c>
      <c r="B43" s="3">
        <v>41740</v>
      </c>
      <c r="C43" s="4">
        <v>750</v>
      </c>
      <c r="E43">
        <v>104</v>
      </c>
      <c r="F43" s="3">
        <v>41740</v>
      </c>
      <c r="G43" t="s">
        <v>210</v>
      </c>
      <c r="H43" s="18">
        <v>750</v>
      </c>
      <c r="J43" s="20" t="str">
        <f t="shared" si="3"/>
        <v/>
      </c>
      <c r="K43" t="str">
        <f t="shared" si="1"/>
        <v/>
      </c>
      <c r="L43" s="4">
        <f t="shared" si="4"/>
        <v>0</v>
      </c>
    </row>
    <row r="44" spans="1:12" x14ac:dyDescent="0.25">
      <c r="A44">
        <v>105</v>
      </c>
      <c r="B44" s="3">
        <v>41740</v>
      </c>
      <c r="C44" s="4">
        <v>1550</v>
      </c>
      <c r="E44">
        <v>105</v>
      </c>
      <c r="F44" s="3">
        <v>41740</v>
      </c>
      <c r="G44" t="s">
        <v>290</v>
      </c>
      <c r="H44" s="18">
        <v>1550</v>
      </c>
      <c r="J44" s="20" t="str">
        <f t="shared" si="3"/>
        <v/>
      </c>
      <c r="K44" t="str">
        <f t="shared" si="1"/>
        <v/>
      </c>
      <c r="L44" s="4">
        <f t="shared" si="4"/>
        <v>0</v>
      </c>
    </row>
    <row r="45" spans="1:12" x14ac:dyDescent="0.25">
      <c r="A45">
        <v>110</v>
      </c>
      <c r="B45" s="3">
        <v>41740</v>
      </c>
      <c r="C45" s="4">
        <v>3675</v>
      </c>
      <c r="E45">
        <v>110</v>
      </c>
      <c r="F45" s="3">
        <v>41740</v>
      </c>
      <c r="G45" t="s">
        <v>83</v>
      </c>
      <c r="H45" s="18">
        <v>3675</v>
      </c>
      <c r="J45" s="20" t="str">
        <f t="shared" si="3"/>
        <v/>
      </c>
      <c r="K45" t="str">
        <f t="shared" si="1"/>
        <v/>
      </c>
      <c r="L45" s="4">
        <f t="shared" si="4"/>
        <v>0</v>
      </c>
    </row>
    <row r="46" spans="1:12" x14ac:dyDescent="0.25">
      <c r="A46">
        <v>111</v>
      </c>
      <c r="B46" s="3">
        <v>41740</v>
      </c>
      <c r="C46" s="4">
        <v>750</v>
      </c>
      <c r="E46">
        <v>111</v>
      </c>
      <c r="F46" s="3">
        <v>41740</v>
      </c>
      <c r="G46" t="s">
        <v>388</v>
      </c>
      <c r="H46" s="18">
        <v>750</v>
      </c>
      <c r="J46" s="20" t="str">
        <f t="shared" si="3"/>
        <v/>
      </c>
      <c r="K46" t="str">
        <f t="shared" si="1"/>
        <v/>
      </c>
      <c r="L46" s="4">
        <f t="shared" si="4"/>
        <v>0</v>
      </c>
    </row>
    <row r="47" spans="1:12" x14ac:dyDescent="0.25">
      <c r="A47">
        <v>257</v>
      </c>
      <c r="B47" s="3">
        <v>41740</v>
      </c>
      <c r="C47" s="4">
        <v>375</v>
      </c>
      <c r="E47">
        <v>257</v>
      </c>
      <c r="F47" s="3">
        <v>41740</v>
      </c>
      <c r="G47" t="s">
        <v>393</v>
      </c>
      <c r="H47" s="18">
        <v>375</v>
      </c>
      <c r="J47" s="20" t="str">
        <f t="shared" si="3"/>
        <v/>
      </c>
      <c r="K47" t="str">
        <f t="shared" si="1"/>
        <v/>
      </c>
      <c r="L47" s="4">
        <f t="shared" si="4"/>
        <v>0</v>
      </c>
    </row>
    <row r="48" spans="1:12" x14ac:dyDescent="0.25">
      <c r="A48">
        <v>38</v>
      </c>
      <c r="B48" s="3">
        <v>41746</v>
      </c>
      <c r="C48" s="4">
        <v>1375</v>
      </c>
      <c r="E48">
        <v>38</v>
      </c>
      <c r="F48" s="3">
        <v>41746</v>
      </c>
      <c r="G48" t="s">
        <v>381</v>
      </c>
      <c r="H48" s="18">
        <v>1375</v>
      </c>
      <c r="J48" s="20" t="str">
        <f t="shared" si="3"/>
        <v/>
      </c>
      <c r="K48" t="str">
        <f t="shared" si="1"/>
        <v/>
      </c>
      <c r="L48" s="4">
        <f t="shared" si="4"/>
        <v>0</v>
      </c>
    </row>
    <row r="49" spans="1:12" x14ac:dyDescent="0.25">
      <c r="A49">
        <v>82</v>
      </c>
      <c r="B49" s="3">
        <v>41746</v>
      </c>
      <c r="C49" s="4">
        <v>575</v>
      </c>
      <c r="E49">
        <v>82</v>
      </c>
      <c r="F49" s="3">
        <v>41746</v>
      </c>
      <c r="G49" t="s">
        <v>289</v>
      </c>
      <c r="H49" s="18">
        <v>575</v>
      </c>
      <c r="J49" s="20" t="str">
        <f t="shared" si="3"/>
        <v/>
      </c>
      <c r="K49" t="str">
        <f t="shared" si="1"/>
        <v/>
      </c>
      <c r="L49" s="4">
        <f t="shared" si="4"/>
        <v>0</v>
      </c>
    </row>
    <row r="50" spans="1:12" x14ac:dyDescent="0.25">
      <c r="A50">
        <v>85</v>
      </c>
      <c r="B50" s="3">
        <v>41746</v>
      </c>
      <c r="C50" s="4">
        <v>1750</v>
      </c>
      <c r="E50">
        <v>85</v>
      </c>
      <c r="F50" s="3">
        <v>41746</v>
      </c>
      <c r="G50" t="s">
        <v>79</v>
      </c>
      <c r="H50" s="18">
        <v>1750</v>
      </c>
      <c r="J50" s="20" t="str">
        <f t="shared" si="3"/>
        <v/>
      </c>
      <c r="K50" t="str">
        <f t="shared" si="1"/>
        <v/>
      </c>
      <c r="L50" s="4">
        <f t="shared" si="4"/>
        <v>0</v>
      </c>
    </row>
    <row r="51" spans="1:12" x14ac:dyDescent="0.25">
      <c r="A51">
        <v>88</v>
      </c>
      <c r="B51" s="3">
        <v>41746</v>
      </c>
      <c r="C51" s="4">
        <v>1150</v>
      </c>
      <c r="E51">
        <v>88</v>
      </c>
      <c r="F51" s="3">
        <v>41746</v>
      </c>
      <c r="G51" t="s">
        <v>364</v>
      </c>
      <c r="H51" s="18">
        <v>1150</v>
      </c>
      <c r="J51" s="20" t="str">
        <f t="shared" si="3"/>
        <v/>
      </c>
      <c r="K51" t="str">
        <f t="shared" si="1"/>
        <v/>
      </c>
      <c r="L51" s="4">
        <f t="shared" si="4"/>
        <v>0</v>
      </c>
    </row>
    <row r="52" spans="1:12" x14ac:dyDescent="0.25">
      <c r="A52">
        <v>101</v>
      </c>
      <c r="B52" s="3">
        <v>41746</v>
      </c>
      <c r="C52" s="4">
        <v>1000</v>
      </c>
      <c r="E52">
        <v>101</v>
      </c>
      <c r="F52" s="3">
        <v>41746</v>
      </c>
      <c r="G52" t="s">
        <v>81</v>
      </c>
      <c r="H52" s="18">
        <v>1000</v>
      </c>
      <c r="J52" s="20" t="str">
        <f t="shared" si="3"/>
        <v/>
      </c>
      <c r="K52" t="str">
        <f t="shared" si="1"/>
        <v/>
      </c>
      <c r="L52" s="4">
        <f t="shared" si="4"/>
        <v>0</v>
      </c>
    </row>
    <row r="53" spans="1:12" x14ac:dyDescent="0.25">
      <c r="A53">
        <v>112</v>
      </c>
      <c r="B53" s="3">
        <v>41746</v>
      </c>
      <c r="C53" s="4">
        <v>250</v>
      </c>
      <c r="E53">
        <v>112</v>
      </c>
      <c r="F53" s="3">
        <v>41746</v>
      </c>
      <c r="G53" t="s">
        <v>370</v>
      </c>
      <c r="H53" s="18">
        <v>250</v>
      </c>
      <c r="J53" s="20" t="str">
        <f t="shared" si="3"/>
        <v/>
      </c>
      <c r="K53" t="str">
        <f t="shared" si="1"/>
        <v/>
      </c>
      <c r="L53" s="4">
        <f t="shared" si="4"/>
        <v>0</v>
      </c>
    </row>
    <row r="54" spans="1:12" x14ac:dyDescent="0.25">
      <c r="A54">
        <v>114</v>
      </c>
      <c r="B54" s="3">
        <v>41746</v>
      </c>
      <c r="C54" s="4">
        <v>550</v>
      </c>
      <c r="E54">
        <v>114</v>
      </c>
      <c r="F54" s="3">
        <v>41746</v>
      </c>
      <c r="G54" t="s">
        <v>215</v>
      </c>
      <c r="H54" s="18">
        <v>550</v>
      </c>
      <c r="J54" s="20" t="str">
        <f t="shared" si="3"/>
        <v/>
      </c>
      <c r="K54" t="str">
        <f t="shared" si="1"/>
        <v/>
      </c>
      <c r="L54" s="4">
        <f t="shared" si="4"/>
        <v>0</v>
      </c>
    </row>
    <row r="55" spans="1:12" x14ac:dyDescent="0.25">
      <c r="A55">
        <v>257</v>
      </c>
      <c r="B55" s="3">
        <v>41746</v>
      </c>
      <c r="C55" s="4">
        <v>525</v>
      </c>
      <c r="E55">
        <v>257</v>
      </c>
      <c r="F55" s="3">
        <v>41746</v>
      </c>
      <c r="G55" t="s">
        <v>393</v>
      </c>
      <c r="H55" s="18">
        <v>525</v>
      </c>
      <c r="J55" s="20" t="str">
        <f t="shared" si="3"/>
        <v/>
      </c>
      <c r="K55" t="str">
        <f t="shared" si="1"/>
        <v/>
      </c>
      <c r="L55" s="4">
        <f t="shared" si="4"/>
        <v>0</v>
      </c>
    </row>
    <row r="56" spans="1:12" x14ac:dyDescent="0.25">
      <c r="A56">
        <v>71</v>
      </c>
      <c r="B56" s="3">
        <v>41747</v>
      </c>
      <c r="C56" s="4">
        <v>1375</v>
      </c>
      <c r="E56">
        <v>71</v>
      </c>
      <c r="F56" s="3">
        <v>41747</v>
      </c>
      <c r="G56" t="s">
        <v>374</v>
      </c>
      <c r="H56" s="18">
        <v>1375</v>
      </c>
      <c r="J56" s="20" t="str">
        <f t="shared" si="3"/>
        <v/>
      </c>
      <c r="K56" t="str">
        <f t="shared" si="1"/>
        <v/>
      </c>
      <c r="L56" s="4">
        <f t="shared" si="4"/>
        <v>0</v>
      </c>
    </row>
    <row r="57" spans="1:12" x14ac:dyDescent="0.25">
      <c r="A57">
        <v>79</v>
      </c>
      <c r="B57" s="3">
        <v>41747</v>
      </c>
      <c r="C57" s="4">
        <v>1200</v>
      </c>
      <c r="E57">
        <v>79</v>
      </c>
      <c r="F57" s="3">
        <v>41747</v>
      </c>
      <c r="G57" t="s">
        <v>372</v>
      </c>
      <c r="H57" s="18">
        <v>1200</v>
      </c>
      <c r="J57" s="20" t="str">
        <f t="shared" si="3"/>
        <v/>
      </c>
      <c r="K57" t="str">
        <f t="shared" si="1"/>
        <v/>
      </c>
      <c r="L57" s="4">
        <f t="shared" si="4"/>
        <v>0</v>
      </c>
    </row>
    <row r="58" spans="1:12" x14ac:dyDescent="0.25">
      <c r="A58">
        <v>87</v>
      </c>
      <c r="B58" s="3">
        <v>41747</v>
      </c>
      <c r="C58" s="4">
        <v>1450</v>
      </c>
      <c r="E58">
        <v>87</v>
      </c>
      <c r="F58" s="3">
        <v>41747</v>
      </c>
      <c r="G58" t="s">
        <v>329</v>
      </c>
      <c r="H58" s="18">
        <v>1450</v>
      </c>
      <c r="J58" s="20" t="str">
        <f t="shared" si="3"/>
        <v/>
      </c>
      <c r="K58" t="str">
        <f t="shared" si="1"/>
        <v/>
      </c>
      <c r="L58" s="4">
        <f t="shared" si="4"/>
        <v>0</v>
      </c>
    </row>
    <row r="59" spans="1:12" x14ac:dyDescent="0.25">
      <c r="A59">
        <v>110</v>
      </c>
      <c r="B59" s="3">
        <v>41747</v>
      </c>
      <c r="C59" s="4">
        <v>1600</v>
      </c>
      <c r="E59">
        <v>110</v>
      </c>
      <c r="F59" s="3">
        <v>41747</v>
      </c>
      <c r="G59" t="s">
        <v>83</v>
      </c>
      <c r="H59" s="18">
        <v>1600</v>
      </c>
      <c r="J59" s="20" t="str">
        <f t="shared" si="3"/>
        <v/>
      </c>
      <c r="K59" t="str">
        <f t="shared" si="1"/>
        <v/>
      </c>
      <c r="L59" s="4">
        <f t="shared" si="4"/>
        <v>0</v>
      </c>
    </row>
    <row r="60" spans="1:12" x14ac:dyDescent="0.25">
      <c r="A60">
        <v>27</v>
      </c>
      <c r="B60" s="3">
        <v>41753</v>
      </c>
      <c r="C60" s="4">
        <v>600</v>
      </c>
      <c r="E60">
        <v>27</v>
      </c>
      <c r="F60" s="3">
        <v>41753</v>
      </c>
      <c r="G60" t="s">
        <v>159</v>
      </c>
      <c r="H60" s="18">
        <v>600</v>
      </c>
      <c r="J60" s="20" t="str">
        <f t="shared" si="3"/>
        <v/>
      </c>
      <c r="K60" t="str">
        <f t="shared" si="1"/>
        <v/>
      </c>
      <c r="L60" s="4">
        <f t="shared" si="4"/>
        <v>0</v>
      </c>
    </row>
    <row r="61" spans="1:12" x14ac:dyDescent="0.25">
      <c r="A61">
        <v>38</v>
      </c>
      <c r="B61" s="3">
        <v>41753</v>
      </c>
      <c r="C61" s="4">
        <v>350</v>
      </c>
      <c r="E61">
        <v>38</v>
      </c>
      <c r="F61" s="3">
        <v>41753</v>
      </c>
      <c r="G61" t="s">
        <v>381</v>
      </c>
      <c r="H61" s="18">
        <v>350</v>
      </c>
      <c r="J61" s="20" t="str">
        <f t="shared" si="3"/>
        <v/>
      </c>
      <c r="K61" t="str">
        <f t="shared" si="1"/>
        <v/>
      </c>
      <c r="L61" s="4">
        <f t="shared" si="4"/>
        <v>0</v>
      </c>
    </row>
    <row r="62" spans="1:12" x14ac:dyDescent="0.25">
      <c r="A62">
        <v>41</v>
      </c>
      <c r="B62" s="3">
        <v>41753</v>
      </c>
      <c r="C62" s="4">
        <v>1080</v>
      </c>
      <c r="E62">
        <v>41</v>
      </c>
      <c r="F62" s="3">
        <v>41753</v>
      </c>
      <c r="G62" t="s">
        <v>10</v>
      </c>
      <c r="H62" s="18">
        <v>1080</v>
      </c>
      <c r="J62" s="20" t="str">
        <f t="shared" si="3"/>
        <v/>
      </c>
      <c r="K62" t="str">
        <f t="shared" si="1"/>
        <v/>
      </c>
      <c r="L62" s="4">
        <f t="shared" si="4"/>
        <v>0</v>
      </c>
    </row>
    <row r="63" spans="1:12" x14ac:dyDescent="0.25">
      <c r="A63">
        <v>71</v>
      </c>
      <c r="B63" s="3">
        <v>41753</v>
      </c>
      <c r="C63" s="4">
        <v>350</v>
      </c>
      <c r="E63">
        <v>71</v>
      </c>
      <c r="F63" s="3">
        <v>41753</v>
      </c>
      <c r="G63" t="s">
        <v>374</v>
      </c>
      <c r="H63" s="18">
        <v>350</v>
      </c>
      <c r="J63" s="20" t="str">
        <f t="shared" si="3"/>
        <v/>
      </c>
      <c r="K63" t="str">
        <f t="shared" si="1"/>
        <v/>
      </c>
      <c r="L63" s="4">
        <f t="shared" si="4"/>
        <v>0</v>
      </c>
    </row>
    <row r="64" spans="1:12" x14ac:dyDescent="0.25">
      <c r="A64">
        <v>82</v>
      </c>
      <c r="B64" s="3">
        <v>41753</v>
      </c>
      <c r="C64" s="4">
        <v>1125</v>
      </c>
      <c r="E64">
        <v>82</v>
      </c>
      <c r="F64" s="3">
        <v>41753</v>
      </c>
      <c r="G64" t="s">
        <v>289</v>
      </c>
      <c r="H64" s="18">
        <v>1125</v>
      </c>
      <c r="J64" s="20" t="str">
        <f t="shared" si="3"/>
        <v/>
      </c>
      <c r="K64" t="str">
        <f t="shared" si="1"/>
        <v/>
      </c>
      <c r="L64" s="4">
        <f t="shared" si="4"/>
        <v>0</v>
      </c>
    </row>
    <row r="65" spans="1:12" x14ac:dyDescent="0.25">
      <c r="A65">
        <v>85</v>
      </c>
      <c r="B65" s="3">
        <v>41753</v>
      </c>
      <c r="C65" s="4">
        <v>825</v>
      </c>
      <c r="E65">
        <v>85</v>
      </c>
      <c r="F65" s="3">
        <v>41753</v>
      </c>
      <c r="G65" t="s">
        <v>79</v>
      </c>
      <c r="H65" s="18">
        <v>825</v>
      </c>
      <c r="J65" s="20" t="str">
        <f t="shared" si="3"/>
        <v/>
      </c>
      <c r="K65" t="str">
        <f t="shared" si="1"/>
        <v/>
      </c>
      <c r="L65" s="4">
        <f t="shared" si="4"/>
        <v>0</v>
      </c>
    </row>
    <row r="66" spans="1:12" x14ac:dyDescent="0.25">
      <c r="A66">
        <v>88</v>
      </c>
      <c r="B66" s="3">
        <v>41753</v>
      </c>
      <c r="C66" s="4">
        <v>325</v>
      </c>
      <c r="E66">
        <v>88</v>
      </c>
      <c r="F66" s="3">
        <v>41753</v>
      </c>
      <c r="G66" t="s">
        <v>364</v>
      </c>
      <c r="H66" s="18">
        <v>325</v>
      </c>
      <c r="J66" s="20" t="str">
        <f t="shared" si="3"/>
        <v/>
      </c>
      <c r="K66" t="str">
        <f t="shared" si="1"/>
        <v/>
      </c>
      <c r="L66" s="4">
        <f t="shared" si="4"/>
        <v>0</v>
      </c>
    </row>
    <row r="67" spans="1:12" x14ac:dyDescent="0.25">
      <c r="A67">
        <v>100</v>
      </c>
      <c r="B67" s="3">
        <v>41753</v>
      </c>
      <c r="C67" s="4">
        <v>525</v>
      </c>
      <c r="E67">
        <v>100</v>
      </c>
      <c r="F67" s="3">
        <v>41753</v>
      </c>
      <c r="G67" t="s">
        <v>376</v>
      </c>
      <c r="H67" s="18">
        <v>525</v>
      </c>
      <c r="J67" s="20" t="str">
        <f t="shared" si="3"/>
        <v/>
      </c>
      <c r="K67" t="str">
        <f t="shared" ref="K67:K130" si="5">IF(F67=B67,"","CHECK")</f>
        <v/>
      </c>
      <c r="L67" s="4">
        <f t="shared" si="4"/>
        <v>0</v>
      </c>
    </row>
    <row r="68" spans="1:12" x14ac:dyDescent="0.25">
      <c r="A68">
        <v>110</v>
      </c>
      <c r="B68" s="3">
        <v>41753</v>
      </c>
      <c r="C68" s="4">
        <v>700</v>
      </c>
      <c r="E68">
        <v>110</v>
      </c>
      <c r="F68" s="3">
        <v>41753</v>
      </c>
      <c r="G68" t="s">
        <v>83</v>
      </c>
      <c r="H68" s="18">
        <v>700</v>
      </c>
      <c r="J68" s="20" t="str">
        <f t="shared" si="3"/>
        <v/>
      </c>
      <c r="K68" t="str">
        <f t="shared" si="5"/>
        <v/>
      </c>
      <c r="L68" s="4">
        <f t="shared" si="4"/>
        <v>0</v>
      </c>
    </row>
    <row r="69" spans="1:12" x14ac:dyDescent="0.25">
      <c r="A69">
        <v>111</v>
      </c>
      <c r="B69" s="3">
        <v>41753</v>
      </c>
      <c r="C69" s="4">
        <v>850</v>
      </c>
      <c r="E69">
        <v>111</v>
      </c>
      <c r="F69" s="3">
        <v>41753</v>
      </c>
      <c r="G69" t="s">
        <v>388</v>
      </c>
      <c r="H69" s="18">
        <v>850</v>
      </c>
      <c r="J69" s="20" t="str">
        <f t="shared" ref="J69:J132" si="6">IF(E69=A69,"","CHECK")</f>
        <v/>
      </c>
      <c r="K69" t="str">
        <f t="shared" si="5"/>
        <v/>
      </c>
      <c r="L69" s="4">
        <f t="shared" ref="L69:L132" si="7">C69-H69</f>
        <v>0</v>
      </c>
    </row>
    <row r="70" spans="1:12" x14ac:dyDescent="0.25">
      <c r="A70">
        <v>114</v>
      </c>
      <c r="B70" s="3">
        <v>41753</v>
      </c>
      <c r="C70" s="4">
        <v>2737</v>
      </c>
      <c r="E70">
        <v>114</v>
      </c>
      <c r="F70" s="3">
        <v>41753</v>
      </c>
      <c r="G70" t="s">
        <v>215</v>
      </c>
      <c r="H70" s="18">
        <v>2737</v>
      </c>
      <c r="J70" s="20" t="str">
        <f t="shared" si="6"/>
        <v/>
      </c>
      <c r="K70" t="str">
        <f t="shared" si="5"/>
        <v/>
      </c>
      <c r="L70" s="4">
        <f t="shared" si="7"/>
        <v>0</v>
      </c>
    </row>
    <row r="71" spans="1:12" x14ac:dyDescent="0.25">
      <c r="A71">
        <v>79</v>
      </c>
      <c r="B71" s="3">
        <v>41754</v>
      </c>
      <c r="C71" s="4">
        <v>3450</v>
      </c>
      <c r="E71">
        <v>79</v>
      </c>
      <c r="F71" s="3">
        <v>41754</v>
      </c>
      <c r="G71" t="s">
        <v>372</v>
      </c>
      <c r="H71" s="18">
        <v>3450</v>
      </c>
      <c r="J71" s="20" t="str">
        <f t="shared" si="6"/>
        <v/>
      </c>
      <c r="K71" t="str">
        <f t="shared" si="5"/>
        <v/>
      </c>
      <c r="L71" s="4">
        <f t="shared" si="7"/>
        <v>0</v>
      </c>
    </row>
    <row r="72" spans="1:12" x14ac:dyDescent="0.25">
      <c r="A72">
        <v>104</v>
      </c>
      <c r="B72" s="3">
        <v>41754</v>
      </c>
      <c r="C72" s="4">
        <v>4111.5</v>
      </c>
      <c r="E72">
        <v>104</v>
      </c>
      <c r="F72" s="3">
        <v>41754</v>
      </c>
      <c r="G72" t="s">
        <v>210</v>
      </c>
      <c r="H72" s="18">
        <v>4111.5</v>
      </c>
      <c r="J72" s="20" t="str">
        <f t="shared" si="6"/>
        <v/>
      </c>
      <c r="K72" t="str">
        <f t="shared" si="5"/>
        <v/>
      </c>
      <c r="L72" s="4">
        <f t="shared" si="7"/>
        <v>0</v>
      </c>
    </row>
    <row r="73" spans="1:12" x14ac:dyDescent="0.25">
      <c r="A73">
        <v>113</v>
      </c>
      <c r="B73" s="3">
        <v>41754</v>
      </c>
      <c r="C73" s="4">
        <v>650</v>
      </c>
      <c r="E73">
        <v>113</v>
      </c>
      <c r="F73" s="3">
        <v>41754</v>
      </c>
      <c r="G73" t="s">
        <v>84</v>
      </c>
      <c r="H73" s="18">
        <v>650</v>
      </c>
      <c r="J73" s="20" t="str">
        <f t="shared" si="6"/>
        <v/>
      </c>
      <c r="K73" t="str">
        <f t="shared" si="5"/>
        <v/>
      </c>
      <c r="L73" s="4">
        <f t="shared" si="7"/>
        <v>0</v>
      </c>
    </row>
    <row r="74" spans="1:12" x14ac:dyDescent="0.25">
      <c r="A74">
        <v>27</v>
      </c>
      <c r="B74" s="3">
        <v>41761</v>
      </c>
      <c r="C74" s="4">
        <v>510</v>
      </c>
      <c r="E74">
        <v>27</v>
      </c>
      <c r="F74" s="3">
        <v>41761</v>
      </c>
      <c r="G74" t="s">
        <v>159</v>
      </c>
      <c r="H74" s="18">
        <v>510</v>
      </c>
      <c r="J74" s="20" t="str">
        <f t="shared" si="6"/>
        <v/>
      </c>
      <c r="K74" t="str">
        <f t="shared" si="5"/>
        <v/>
      </c>
      <c r="L74" s="4">
        <f t="shared" si="7"/>
        <v>0</v>
      </c>
    </row>
    <row r="75" spans="1:12" x14ac:dyDescent="0.25">
      <c r="A75">
        <v>58</v>
      </c>
      <c r="B75" s="3">
        <v>41761</v>
      </c>
      <c r="C75" s="4">
        <v>535.5</v>
      </c>
      <c r="E75">
        <v>58</v>
      </c>
      <c r="F75" s="3">
        <v>41761</v>
      </c>
      <c r="G75" t="s">
        <v>391</v>
      </c>
      <c r="H75" s="18">
        <v>535.5</v>
      </c>
      <c r="J75" s="20" t="str">
        <f t="shared" si="6"/>
        <v/>
      </c>
      <c r="K75" t="str">
        <f t="shared" si="5"/>
        <v/>
      </c>
      <c r="L75" s="4">
        <f t="shared" si="7"/>
        <v>0</v>
      </c>
    </row>
    <row r="76" spans="1:12" x14ac:dyDescent="0.25">
      <c r="A76">
        <v>82</v>
      </c>
      <c r="B76" s="3">
        <v>41761</v>
      </c>
      <c r="C76" s="4">
        <v>300</v>
      </c>
      <c r="E76">
        <v>82</v>
      </c>
      <c r="F76" s="3">
        <v>41761</v>
      </c>
      <c r="G76" t="s">
        <v>289</v>
      </c>
      <c r="H76" s="18">
        <v>300</v>
      </c>
      <c r="J76" s="20" t="str">
        <f t="shared" si="6"/>
        <v/>
      </c>
      <c r="K76" t="str">
        <f t="shared" si="5"/>
        <v/>
      </c>
      <c r="L76" s="4">
        <f t="shared" si="7"/>
        <v>0</v>
      </c>
    </row>
    <row r="77" spans="1:12" x14ac:dyDescent="0.25">
      <c r="A77">
        <v>87</v>
      </c>
      <c r="B77" s="3">
        <v>41761</v>
      </c>
      <c r="C77" s="4">
        <v>950</v>
      </c>
      <c r="E77">
        <v>87</v>
      </c>
      <c r="F77" s="3">
        <v>41761</v>
      </c>
      <c r="G77" t="s">
        <v>329</v>
      </c>
      <c r="H77" s="18">
        <v>950</v>
      </c>
      <c r="J77" s="20" t="str">
        <f t="shared" si="6"/>
        <v/>
      </c>
      <c r="K77" t="str">
        <f t="shared" si="5"/>
        <v/>
      </c>
      <c r="L77" s="4">
        <f t="shared" si="7"/>
        <v>0</v>
      </c>
    </row>
    <row r="78" spans="1:12" x14ac:dyDescent="0.25">
      <c r="A78">
        <v>88</v>
      </c>
      <c r="B78" s="3">
        <v>41761</v>
      </c>
      <c r="C78" s="4">
        <v>475</v>
      </c>
      <c r="E78">
        <v>88</v>
      </c>
      <c r="F78" s="3">
        <v>41761</v>
      </c>
      <c r="G78" t="s">
        <v>364</v>
      </c>
      <c r="H78" s="18">
        <v>475</v>
      </c>
      <c r="J78" s="20" t="str">
        <f t="shared" si="6"/>
        <v/>
      </c>
      <c r="K78" t="str">
        <f t="shared" si="5"/>
        <v/>
      </c>
      <c r="L78" s="4">
        <f t="shared" si="7"/>
        <v>0</v>
      </c>
    </row>
    <row r="79" spans="1:12" x14ac:dyDescent="0.25">
      <c r="A79">
        <v>89</v>
      </c>
      <c r="B79" s="3">
        <v>41761</v>
      </c>
      <c r="C79" s="4">
        <v>2025</v>
      </c>
      <c r="E79">
        <v>89</v>
      </c>
      <c r="F79" s="3">
        <v>41761</v>
      </c>
      <c r="G79" t="s">
        <v>390</v>
      </c>
      <c r="H79" s="18">
        <v>2025</v>
      </c>
      <c r="J79" s="20" t="str">
        <f t="shared" si="6"/>
        <v/>
      </c>
      <c r="K79" t="str">
        <f t="shared" si="5"/>
        <v/>
      </c>
      <c r="L79" s="4">
        <f t="shared" si="7"/>
        <v>0</v>
      </c>
    </row>
    <row r="80" spans="1:12" x14ac:dyDescent="0.25">
      <c r="A80">
        <v>95</v>
      </c>
      <c r="B80" s="3">
        <v>41761</v>
      </c>
      <c r="C80" s="4">
        <v>675</v>
      </c>
      <c r="E80">
        <v>95</v>
      </c>
      <c r="F80" s="3">
        <v>41761</v>
      </c>
      <c r="G80" t="s">
        <v>392</v>
      </c>
      <c r="H80" s="18">
        <v>675</v>
      </c>
      <c r="J80" s="20" t="str">
        <f t="shared" si="6"/>
        <v/>
      </c>
      <c r="K80" t="str">
        <f t="shared" si="5"/>
        <v/>
      </c>
      <c r="L80" s="4">
        <f t="shared" si="7"/>
        <v>0</v>
      </c>
    </row>
    <row r="81" spans="1:12" x14ac:dyDescent="0.25">
      <c r="A81">
        <v>110</v>
      </c>
      <c r="B81" s="3">
        <v>41761</v>
      </c>
      <c r="C81" s="4">
        <v>2000</v>
      </c>
      <c r="E81">
        <v>110</v>
      </c>
      <c r="F81" s="3">
        <v>41761</v>
      </c>
      <c r="G81" t="s">
        <v>83</v>
      </c>
      <c r="H81" s="18">
        <v>2000</v>
      </c>
      <c r="J81" s="20" t="str">
        <f t="shared" si="6"/>
        <v/>
      </c>
      <c r="K81" t="str">
        <f t="shared" si="5"/>
        <v/>
      </c>
      <c r="L81" s="4">
        <f t="shared" si="7"/>
        <v>0</v>
      </c>
    </row>
    <row r="82" spans="1:12" x14ac:dyDescent="0.25">
      <c r="A82">
        <v>111</v>
      </c>
      <c r="B82" s="3">
        <v>41761</v>
      </c>
      <c r="C82" s="4">
        <v>1000</v>
      </c>
      <c r="E82">
        <v>111</v>
      </c>
      <c r="F82" s="3">
        <v>41761</v>
      </c>
      <c r="G82" t="s">
        <v>388</v>
      </c>
      <c r="H82" s="18">
        <v>1000</v>
      </c>
      <c r="J82" s="20" t="str">
        <f t="shared" si="6"/>
        <v/>
      </c>
      <c r="K82" t="str">
        <f t="shared" si="5"/>
        <v/>
      </c>
      <c r="L82" s="4">
        <f t="shared" si="7"/>
        <v>0</v>
      </c>
    </row>
    <row r="83" spans="1:12" x14ac:dyDescent="0.25">
      <c r="A83">
        <v>114</v>
      </c>
      <c r="B83" s="3">
        <v>41761</v>
      </c>
      <c r="C83" s="4">
        <v>2800</v>
      </c>
      <c r="E83">
        <v>114</v>
      </c>
      <c r="F83" s="3">
        <v>41761</v>
      </c>
      <c r="G83" t="s">
        <v>215</v>
      </c>
      <c r="H83" s="18">
        <v>2800</v>
      </c>
      <c r="J83" s="20" t="str">
        <f t="shared" si="6"/>
        <v/>
      </c>
      <c r="K83" t="str">
        <f t="shared" si="5"/>
        <v/>
      </c>
      <c r="L83" s="4">
        <f t="shared" si="7"/>
        <v>0</v>
      </c>
    </row>
    <row r="84" spans="1:12" x14ac:dyDescent="0.25">
      <c r="A84">
        <v>38</v>
      </c>
      <c r="B84" s="3">
        <v>41762</v>
      </c>
      <c r="C84" s="4">
        <v>-375</v>
      </c>
      <c r="E84">
        <v>38</v>
      </c>
      <c r="F84" s="3">
        <v>41762</v>
      </c>
      <c r="G84" t="s">
        <v>381</v>
      </c>
      <c r="H84" s="18">
        <v>-375</v>
      </c>
      <c r="J84" s="20" t="str">
        <f t="shared" si="6"/>
        <v/>
      </c>
      <c r="K84" t="str">
        <f t="shared" si="5"/>
        <v/>
      </c>
      <c r="L84" s="4">
        <f t="shared" si="7"/>
        <v>0</v>
      </c>
    </row>
    <row r="85" spans="1:12" x14ac:dyDescent="0.25">
      <c r="A85">
        <v>41</v>
      </c>
      <c r="B85" s="3">
        <v>41762</v>
      </c>
      <c r="C85" s="4">
        <v>926.1</v>
      </c>
      <c r="E85">
        <v>41</v>
      </c>
      <c r="F85" s="3">
        <v>41762</v>
      </c>
      <c r="G85" t="s">
        <v>10</v>
      </c>
      <c r="H85" s="18">
        <v>926.1</v>
      </c>
      <c r="J85" s="20" t="str">
        <f t="shared" si="6"/>
        <v/>
      </c>
      <c r="K85" t="str">
        <f t="shared" si="5"/>
        <v/>
      </c>
      <c r="L85" s="4">
        <f t="shared" si="7"/>
        <v>0</v>
      </c>
    </row>
    <row r="86" spans="1:12" x14ac:dyDescent="0.25">
      <c r="A86">
        <v>79</v>
      </c>
      <c r="B86" s="3">
        <v>41762</v>
      </c>
      <c r="C86" s="4">
        <v>2775</v>
      </c>
      <c r="E86">
        <v>79</v>
      </c>
      <c r="F86" s="3">
        <v>41762</v>
      </c>
      <c r="G86" t="s">
        <v>372</v>
      </c>
      <c r="H86" s="18">
        <v>2775</v>
      </c>
      <c r="J86" s="20" t="str">
        <f t="shared" si="6"/>
        <v/>
      </c>
      <c r="K86" t="str">
        <f t="shared" si="5"/>
        <v/>
      </c>
      <c r="L86" s="4">
        <f t="shared" si="7"/>
        <v>0</v>
      </c>
    </row>
    <row r="87" spans="1:12" x14ac:dyDescent="0.25">
      <c r="A87">
        <v>101</v>
      </c>
      <c r="B87" s="3">
        <v>41762</v>
      </c>
      <c r="C87" s="4">
        <v>1080.5</v>
      </c>
      <c r="E87">
        <v>101</v>
      </c>
      <c r="F87" s="3">
        <v>41762</v>
      </c>
      <c r="G87" t="s">
        <v>81</v>
      </c>
      <c r="H87" s="18">
        <v>1080.5</v>
      </c>
      <c r="J87" s="20" t="str">
        <f t="shared" si="6"/>
        <v/>
      </c>
      <c r="K87" t="str">
        <f t="shared" si="5"/>
        <v/>
      </c>
      <c r="L87" s="4">
        <f t="shared" si="7"/>
        <v>0</v>
      </c>
    </row>
    <row r="88" spans="1:12" x14ac:dyDescent="0.25">
      <c r="A88">
        <v>113</v>
      </c>
      <c r="B88" s="3">
        <v>41762</v>
      </c>
      <c r="C88" s="4">
        <v>1650</v>
      </c>
      <c r="E88">
        <v>113</v>
      </c>
      <c r="F88" s="3">
        <v>41762</v>
      </c>
      <c r="G88" t="s">
        <v>84</v>
      </c>
      <c r="H88" s="18">
        <v>1650</v>
      </c>
      <c r="J88" s="20" t="str">
        <f t="shared" si="6"/>
        <v/>
      </c>
      <c r="K88" t="str">
        <f t="shared" si="5"/>
        <v/>
      </c>
      <c r="L88" s="4">
        <f t="shared" si="7"/>
        <v>0</v>
      </c>
    </row>
    <row r="89" spans="1:12" x14ac:dyDescent="0.25">
      <c r="A89">
        <v>27</v>
      </c>
      <c r="B89" s="3">
        <v>41768</v>
      </c>
      <c r="C89" s="4">
        <v>1616.25</v>
      </c>
      <c r="E89">
        <v>27</v>
      </c>
      <c r="F89" s="3">
        <v>41768</v>
      </c>
      <c r="G89" t="s">
        <v>159</v>
      </c>
      <c r="H89" s="18">
        <v>1616.25</v>
      </c>
      <c r="J89" s="20" t="str">
        <f t="shared" si="6"/>
        <v/>
      </c>
      <c r="K89" t="str">
        <f t="shared" si="5"/>
        <v/>
      </c>
      <c r="L89" s="4">
        <f t="shared" si="7"/>
        <v>0</v>
      </c>
    </row>
    <row r="90" spans="1:12" x14ac:dyDescent="0.25">
      <c r="A90">
        <v>37</v>
      </c>
      <c r="B90" s="3">
        <v>41768</v>
      </c>
      <c r="C90" s="4">
        <v>784.09</v>
      </c>
      <c r="E90">
        <v>37</v>
      </c>
      <c r="F90" s="3">
        <v>41768</v>
      </c>
      <c r="G90" t="s">
        <v>77</v>
      </c>
      <c r="H90" s="18">
        <v>784.09</v>
      </c>
      <c r="J90" s="20" t="str">
        <f t="shared" si="6"/>
        <v/>
      </c>
      <c r="K90" t="str">
        <f t="shared" si="5"/>
        <v/>
      </c>
      <c r="L90" s="4">
        <f t="shared" si="7"/>
        <v>0</v>
      </c>
    </row>
    <row r="91" spans="1:12" x14ac:dyDescent="0.25">
      <c r="A91">
        <v>38</v>
      </c>
      <c r="B91" s="3">
        <v>41768</v>
      </c>
      <c r="C91" s="4">
        <v>1825</v>
      </c>
      <c r="E91">
        <v>38</v>
      </c>
      <c r="F91" s="3">
        <v>41768</v>
      </c>
      <c r="G91" t="s">
        <v>381</v>
      </c>
      <c r="H91" s="18">
        <v>1825</v>
      </c>
      <c r="J91" s="20" t="str">
        <f t="shared" si="6"/>
        <v/>
      </c>
      <c r="K91" t="str">
        <f t="shared" si="5"/>
        <v/>
      </c>
      <c r="L91" s="4">
        <f t="shared" si="7"/>
        <v>0</v>
      </c>
    </row>
    <row r="92" spans="1:12" x14ac:dyDescent="0.25">
      <c r="A92">
        <v>41</v>
      </c>
      <c r="B92" s="3">
        <v>41768</v>
      </c>
      <c r="C92" s="4">
        <v>2099.9299999999998</v>
      </c>
      <c r="E92">
        <v>41</v>
      </c>
      <c r="F92" s="3">
        <v>41768</v>
      </c>
      <c r="G92" t="s">
        <v>10</v>
      </c>
      <c r="H92" s="18">
        <v>2099.9299999999998</v>
      </c>
      <c r="J92" s="20" t="str">
        <f t="shared" si="6"/>
        <v/>
      </c>
      <c r="K92" t="str">
        <f t="shared" si="5"/>
        <v/>
      </c>
      <c r="L92" s="4">
        <f t="shared" si="7"/>
        <v>0</v>
      </c>
    </row>
    <row r="93" spans="1:12" x14ac:dyDescent="0.25">
      <c r="A93">
        <v>71</v>
      </c>
      <c r="B93" s="3">
        <v>41768</v>
      </c>
      <c r="C93" s="4">
        <v>1561</v>
      </c>
      <c r="E93">
        <v>71</v>
      </c>
      <c r="F93" s="3">
        <v>41768</v>
      </c>
      <c r="G93" t="s">
        <v>374</v>
      </c>
      <c r="H93" s="18">
        <v>1561</v>
      </c>
      <c r="J93" s="20" t="str">
        <f t="shared" si="6"/>
        <v/>
      </c>
      <c r="K93" t="str">
        <f t="shared" si="5"/>
        <v/>
      </c>
      <c r="L93" s="4">
        <f t="shared" si="7"/>
        <v>0</v>
      </c>
    </row>
    <row r="94" spans="1:12" x14ac:dyDescent="0.25">
      <c r="A94">
        <v>74</v>
      </c>
      <c r="B94" s="3">
        <v>41768</v>
      </c>
      <c r="C94" s="4">
        <v>535.5</v>
      </c>
      <c r="E94">
        <v>74</v>
      </c>
      <c r="F94" s="3">
        <v>41768</v>
      </c>
      <c r="G94" t="s">
        <v>328</v>
      </c>
      <c r="H94" s="18">
        <v>535.5</v>
      </c>
      <c r="J94" s="20" t="str">
        <f t="shared" si="6"/>
        <v/>
      </c>
      <c r="K94" t="str">
        <f t="shared" si="5"/>
        <v/>
      </c>
      <c r="L94" s="4">
        <f t="shared" si="7"/>
        <v>0</v>
      </c>
    </row>
    <row r="95" spans="1:12" x14ac:dyDescent="0.25">
      <c r="A95">
        <v>84</v>
      </c>
      <c r="B95" s="3">
        <v>41768</v>
      </c>
      <c r="C95" s="4">
        <v>408</v>
      </c>
      <c r="E95">
        <v>84</v>
      </c>
      <c r="F95" s="3">
        <v>41768</v>
      </c>
      <c r="G95" t="s">
        <v>389</v>
      </c>
      <c r="H95" s="18">
        <v>408</v>
      </c>
      <c r="J95" s="20" t="str">
        <f t="shared" si="6"/>
        <v/>
      </c>
      <c r="K95" t="str">
        <f t="shared" si="5"/>
        <v/>
      </c>
      <c r="L95" s="4">
        <f t="shared" si="7"/>
        <v>0</v>
      </c>
    </row>
    <row r="96" spans="1:12" x14ac:dyDescent="0.25">
      <c r="A96">
        <v>85</v>
      </c>
      <c r="B96" s="3">
        <v>41768</v>
      </c>
      <c r="C96" s="4">
        <v>300</v>
      </c>
      <c r="E96">
        <v>85</v>
      </c>
      <c r="F96" s="3">
        <v>41768</v>
      </c>
      <c r="G96" t="s">
        <v>79</v>
      </c>
      <c r="H96" s="18">
        <v>300</v>
      </c>
      <c r="J96" s="20" t="str">
        <f t="shared" si="6"/>
        <v/>
      </c>
      <c r="K96" t="str">
        <f t="shared" si="5"/>
        <v/>
      </c>
      <c r="L96" s="4">
        <f t="shared" si="7"/>
        <v>0</v>
      </c>
    </row>
    <row r="97" spans="1:12" x14ac:dyDescent="0.25">
      <c r="A97">
        <v>88</v>
      </c>
      <c r="B97" s="3">
        <v>41768</v>
      </c>
      <c r="C97" s="4">
        <v>561</v>
      </c>
      <c r="E97">
        <v>88</v>
      </c>
      <c r="F97" s="3">
        <v>41768</v>
      </c>
      <c r="G97" t="s">
        <v>364</v>
      </c>
      <c r="H97" s="18">
        <v>561</v>
      </c>
      <c r="J97" s="20" t="str">
        <f t="shared" si="6"/>
        <v/>
      </c>
      <c r="K97" t="str">
        <f t="shared" si="5"/>
        <v/>
      </c>
      <c r="L97" s="4">
        <f t="shared" si="7"/>
        <v>0</v>
      </c>
    </row>
    <row r="98" spans="1:12" x14ac:dyDescent="0.25">
      <c r="A98">
        <v>89</v>
      </c>
      <c r="B98" s="3">
        <v>41768</v>
      </c>
      <c r="C98" s="4">
        <v>700</v>
      </c>
      <c r="E98">
        <v>89</v>
      </c>
      <c r="F98" s="3">
        <v>41768</v>
      </c>
      <c r="G98" t="s">
        <v>390</v>
      </c>
      <c r="H98" s="18">
        <v>700</v>
      </c>
      <c r="J98" s="20" t="str">
        <f t="shared" si="6"/>
        <v/>
      </c>
      <c r="K98" t="str">
        <f t="shared" si="5"/>
        <v/>
      </c>
      <c r="L98" s="4">
        <f t="shared" si="7"/>
        <v>0</v>
      </c>
    </row>
    <row r="99" spans="1:12" x14ac:dyDescent="0.25">
      <c r="A99">
        <v>112</v>
      </c>
      <c r="B99" s="3">
        <v>41768</v>
      </c>
      <c r="C99" s="4">
        <v>700</v>
      </c>
      <c r="E99">
        <v>112</v>
      </c>
      <c r="F99" s="3">
        <v>41768</v>
      </c>
      <c r="G99" t="s">
        <v>370</v>
      </c>
      <c r="H99" s="18">
        <v>700</v>
      </c>
      <c r="J99" s="20" t="str">
        <f t="shared" si="6"/>
        <v/>
      </c>
      <c r="K99" t="str">
        <f t="shared" si="5"/>
        <v/>
      </c>
      <c r="L99" s="4">
        <f t="shared" si="7"/>
        <v>0</v>
      </c>
    </row>
    <row r="100" spans="1:12" x14ac:dyDescent="0.25">
      <c r="A100">
        <v>113</v>
      </c>
      <c r="B100" s="3">
        <v>41768</v>
      </c>
      <c r="C100" s="4">
        <v>433.5</v>
      </c>
      <c r="E100">
        <v>113</v>
      </c>
      <c r="F100" s="3">
        <v>41768</v>
      </c>
      <c r="G100" t="s">
        <v>84</v>
      </c>
      <c r="H100" s="18">
        <v>433.5</v>
      </c>
      <c r="J100" s="20" t="str">
        <f t="shared" si="6"/>
        <v/>
      </c>
      <c r="K100" t="str">
        <f t="shared" si="5"/>
        <v/>
      </c>
      <c r="L100" s="4">
        <f t="shared" si="7"/>
        <v>0</v>
      </c>
    </row>
    <row r="101" spans="1:12" x14ac:dyDescent="0.25">
      <c r="A101">
        <v>114</v>
      </c>
      <c r="B101" s="3">
        <v>41768</v>
      </c>
      <c r="C101" s="4">
        <v>1599.5</v>
      </c>
      <c r="E101">
        <v>114</v>
      </c>
      <c r="F101" s="3">
        <v>41768</v>
      </c>
      <c r="G101" t="s">
        <v>215</v>
      </c>
      <c r="H101" s="18">
        <v>1599.5</v>
      </c>
      <c r="J101" s="20" t="str">
        <f t="shared" si="6"/>
        <v/>
      </c>
      <c r="K101" t="str">
        <f t="shared" si="5"/>
        <v/>
      </c>
      <c r="L101" s="4">
        <f t="shared" si="7"/>
        <v>0</v>
      </c>
    </row>
    <row r="102" spans="1:12" x14ac:dyDescent="0.25">
      <c r="A102">
        <v>191</v>
      </c>
      <c r="B102" s="3">
        <v>41768</v>
      </c>
      <c r="C102" s="4">
        <v>906.25</v>
      </c>
      <c r="E102">
        <v>191</v>
      </c>
      <c r="F102" s="3">
        <v>41768</v>
      </c>
      <c r="G102" t="s">
        <v>277</v>
      </c>
      <c r="H102" s="18">
        <v>906.25</v>
      </c>
      <c r="J102" s="20" t="str">
        <f t="shared" si="6"/>
        <v/>
      </c>
      <c r="K102" t="str">
        <f t="shared" si="5"/>
        <v/>
      </c>
      <c r="L102" s="4">
        <f t="shared" si="7"/>
        <v>0</v>
      </c>
    </row>
    <row r="103" spans="1:12" x14ac:dyDescent="0.25">
      <c r="A103">
        <v>54</v>
      </c>
      <c r="B103" s="3">
        <v>41771</v>
      </c>
      <c r="C103" s="4">
        <v>4970</v>
      </c>
      <c r="E103">
        <v>54</v>
      </c>
      <c r="F103" s="3">
        <v>41771</v>
      </c>
      <c r="G103" t="s">
        <v>385</v>
      </c>
      <c r="H103" s="18">
        <v>4970</v>
      </c>
      <c r="J103" s="20" t="str">
        <f t="shared" si="6"/>
        <v/>
      </c>
      <c r="K103" t="str">
        <f t="shared" si="5"/>
        <v/>
      </c>
      <c r="L103" s="4">
        <f t="shared" si="7"/>
        <v>0</v>
      </c>
    </row>
    <row r="104" spans="1:12" x14ac:dyDescent="0.25">
      <c r="A104">
        <v>28</v>
      </c>
      <c r="B104" s="3">
        <v>41775</v>
      </c>
      <c r="C104" s="4">
        <v>2983.5</v>
      </c>
      <c r="E104">
        <v>28</v>
      </c>
      <c r="F104" s="3">
        <v>41775</v>
      </c>
      <c r="G104" t="s">
        <v>6</v>
      </c>
      <c r="H104" s="18">
        <v>2983.5</v>
      </c>
      <c r="J104" s="20" t="str">
        <f t="shared" si="6"/>
        <v/>
      </c>
      <c r="K104" t="str">
        <f t="shared" si="5"/>
        <v/>
      </c>
      <c r="L104" s="4">
        <f t="shared" si="7"/>
        <v>0</v>
      </c>
    </row>
    <row r="105" spans="1:12" x14ac:dyDescent="0.25">
      <c r="A105">
        <v>37</v>
      </c>
      <c r="B105" s="3">
        <v>41775</v>
      </c>
      <c r="C105" s="4">
        <v>2218.75</v>
      </c>
      <c r="E105">
        <v>37</v>
      </c>
      <c r="F105" s="3">
        <v>41775</v>
      </c>
      <c r="G105" t="s">
        <v>77</v>
      </c>
      <c r="H105" s="18">
        <v>2218.75</v>
      </c>
      <c r="J105" s="20" t="str">
        <f t="shared" si="6"/>
        <v/>
      </c>
      <c r="K105" t="str">
        <f t="shared" si="5"/>
        <v/>
      </c>
      <c r="L105" s="4">
        <f t="shared" si="7"/>
        <v>0</v>
      </c>
    </row>
    <row r="106" spans="1:12" x14ac:dyDescent="0.25">
      <c r="A106">
        <v>41</v>
      </c>
      <c r="B106" s="3">
        <v>41775</v>
      </c>
      <c r="C106" s="4">
        <v>998.33</v>
      </c>
      <c r="E106">
        <v>41</v>
      </c>
      <c r="F106" s="3">
        <v>41775</v>
      </c>
      <c r="G106" t="s">
        <v>10</v>
      </c>
      <c r="H106" s="18">
        <v>998.32</v>
      </c>
      <c r="J106" s="20" t="str">
        <f t="shared" si="6"/>
        <v/>
      </c>
      <c r="K106" t="str">
        <f t="shared" si="5"/>
        <v/>
      </c>
      <c r="L106" s="4">
        <f t="shared" si="7"/>
        <v>9.9999999999909051E-3</v>
      </c>
    </row>
    <row r="107" spans="1:12" x14ac:dyDescent="0.25">
      <c r="A107">
        <v>71</v>
      </c>
      <c r="B107" s="3">
        <v>41775</v>
      </c>
      <c r="C107" s="4">
        <v>1208</v>
      </c>
      <c r="E107">
        <v>71</v>
      </c>
      <c r="F107" s="3">
        <v>41775</v>
      </c>
      <c r="G107" t="s">
        <v>374</v>
      </c>
      <c r="H107" s="18">
        <v>1208</v>
      </c>
      <c r="J107" s="20" t="str">
        <f t="shared" si="6"/>
        <v/>
      </c>
      <c r="K107" t="str">
        <f t="shared" si="5"/>
        <v/>
      </c>
      <c r="L107" s="4">
        <f t="shared" si="7"/>
        <v>0</v>
      </c>
    </row>
    <row r="108" spans="1:12" x14ac:dyDescent="0.25">
      <c r="A108">
        <v>79</v>
      </c>
      <c r="B108" s="3">
        <v>41775</v>
      </c>
      <c r="C108" s="4">
        <v>1508.5</v>
      </c>
      <c r="E108">
        <v>79</v>
      </c>
      <c r="F108" s="3">
        <v>41775</v>
      </c>
      <c r="G108" t="s">
        <v>372</v>
      </c>
      <c r="H108" s="18">
        <v>1508.5</v>
      </c>
      <c r="J108" s="20" t="str">
        <f t="shared" si="6"/>
        <v/>
      </c>
      <c r="K108" t="str">
        <f t="shared" si="5"/>
        <v/>
      </c>
      <c r="L108" s="4">
        <f t="shared" si="7"/>
        <v>0</v>
      </c>
    </row>
    <row r="109" spans="1:12" x14ac:dyDescent="0.25">
      <c r="A109">
        <v>88</v>
      </c>
      <c r="B109" s="3">
        <v>41775</v>
      </c>
      <c r="C109" s="4">
        <v>1550</v>
      </c>
      <c r="E109">
        <v>88</v>
      </c>
      <c r="F109" s="3">
        <v>41775</v>
      </c>
      <c r="G109" t="s">
        <v>364</v>
      </c>
      <c r="H109" s="18">
        <v>1550</v>
      </c>
      <c r="J109" s="20" t="str">
        <f t="shared" si="6"/>
        <v/>
      </c>
      <c r="K109" t="str">
        <f t="shared" si="5"/>
        <v/>
      </c>
      <c r="L109" s="4">
        <f t="shared" si="7"/>
        <v>0</v>
      </c>
    </row>
    <row r="110" spans="1:12" x14ac:dyDescent="0.25">
      <c r="A110">
        <v>102</v>
      </c>
      <c r="B110" s="3">
        <v>41775</v>
      </c>
      <c r="C110" s="4">
        <v>750</v>
      </c>
      <c r="E110">
        <v>102</v>
      </c>
      <c r="F110" s="3">
        <v>41775</v>
      </c>
      <c r="G110" t="s">
        <v>365</v>
      </c>
      <c r="H110" s="18">
        <v>750</v>
      </c>
      <c r="J110" s="20" t="str">
        <f t="shared" si="6"/>
        <v/>
      </c>
      <c r="K110" t="str">
        <f t="shared" si="5"/>
        <v/>
      </c>
      <c r="L110" s="4">
        <f t="shared" si="7"/>
        <v>0</v>
      </c>
    </row>
    <row r="111" spans="1:12" x14ac:dyDescent="0.25">
      <c r="A111">
        <v>108</v>
      </c>
      <c r="B111" s="3">
        <v>41775</v>
      </c>
      <c r="C111" s="4">
        <v>1518</v>
      </c>
      <c r="E111">
        <v>108</v>
      </c>
      <c r="F111" s="3">
        <v>41775</v>
      </c>
      <c r="G111" t="s">
        <v>160</v>
      </c>
      <c r="H111" s="18">
        <v>1518</v>
      </c>
      <c r="J111" s="20" t="str">
        <f t="shared" si="6"/>
        <v/>
      </c>
      <c r="K111" t="str">
        <f t="shared" si="5"/>
        <v/>
      </c>
      <c r="L111" s="4">
        <f t="shared" si="7"/>
        <v>0</v>
      </c>
    </row>
    <row r="112" spans="1:12" x14ac:dyDescent="0.25">
      <c r="A112">
        <v>109</v>
      </c>
      <c r="B112" s="3">
        <v>41775</v>
      </c>
      <c r="C112" s="4">
        <v>969</v>
      </c>
      <c r="E112">
        <v>109</v>
      </c>
      <c r="F112" s="3">
        <v>41775</v>
      </c>
      <c r="G112" t="s">
        <v>82</v>
      </c>
      <c r="H112" s="18">
        <v>969</v>
      </c>
      <c r="J112" s="20" t="str">
        <f t="shared" si="6"/>
        <v/>
      </c>
      <c r="K112" t="str">
        <f t="shared" si="5"/>
        <v/>
      </c>
      <c r="L112" s="4">
        <f t="shared" si="7"/>
        <v>0</v>
      </c>
    </row>
    <row r="113" spans="1:12" x14ac:dyDescent="0.25">
      <c r="A113">
        <v>112</v>
      </c>
      <c r="B113" s="3">
        <v>41775</v>
      </c>
      <c r="C113" s="4">
        <v>1975</v>
      </c>
      <c r="E113">
        <v>112</v>
      </c>
      <c r="F113" s="3">
        <v>41775</v>
      </c>
      <c r="G113" t="s">
        <v>370</v>
      </c>
      <c r="H113" s="18">
        <v>1975</v>
      </c>
      <c r="J113" s="20" t="str">
        <f t="shared" si="6"/>
        <v/>
      </c>
      <c r="K113" t="str">
        <f t="shared" si="5"/>
        <v/>
      </c>
      <c r="L113" s="4">
        <f t="shared" si="7"/>
        <v>0</v>
      </c>
    </row>
    <row r="114" spans="1:12" x14ac:dyDescent="0.25">
      <c r="A114">
        <v>113</v>
      </c>
      <c r="B114" s="3">
        <v>41775</v>
      </c>
      <c r="C114" s="4">
        <v>1972</v>
      </c>
      <c r="E114">
        <v>113</v>
      </c>
      <c r="F114" s="3">
        <v>41775</v>
      </c>
      <c r="G114" t="s">
        <v>84</v>
      </c>
      <c r="H114" s="18">
        <v>1972</v>
      </c>
      <c r="J114" s="20" t="str">
        <f t="shared" si="6"/>
        <v/>
      </c>
      <c r="K114" t="str">
        <f t="shared" si="5"/>
        <v/>
      </c>
      <c r="L114" s="4">
        <f t="shared" si="7"/>
        <v>0</v>
      </c>
    </row>
    <row r="115" spans="1:12" x14ac:dyDescent="0.25">
      <c r="A115">
        <v>114</v>
      </c>
      <c r="B115" s="3">
        <v>41775</v>
      </c>
      <c r="C115" s="4">
        <v>2400</v>
      </c>
      <c r="E115">
        <v>114</v>
      </c>
      <c r="F115" s="3">
        <v>41775</v>
      </c>
      <c r="G115" t="s">
        <v>215</v>
      </c>
      <c r="H115" s="18">
        <v>2400</v>
      </c>
      <c r="J115" s="20" t="str">
        <f t="shared" si="6"/>
        <v/>
      </c>
      <c r="K115" t="str">
        <f t="shared" si="5"/>
        <v/>
      </c>
      <c r="L115" s="4">
        <f t="shared" si="7"/>
        <v>0</v>
      </c>
    </row>
    <row r="116" spans="1:12" x14ac:dyDescent="0.25">
      <c r="A116">
        <v>116</v>
      </c>
      <c r="B116" s="3">
        <v>41775</v>
      </c>
      <c r="C116" s="4">
        <v>725</v>
      </c>
      <c r="E116">
        <v>116</v>
      </c>
      <c r="F116" s="3">
        <v>41775</v>
      </c>
      <c r="G116" t="s">
        <v>358</v>
      </c>
      <c r="H116" s="18">
        <v>725</v>
      </c>
      <c r="J116" s="20" t="str">
        <f t="shared" si="6"/>
        <v/>
      </c>
      <c r="K116" t="str">
        <f t="shared" si="5"/>
        <v/>
      </c>
      <c r="L116" s="4">
        <f t="shared" si="7"/>
        <v>0</v>
      </c>
    </row>
    <row r="117" spans="1:12" x14ac:dyDescent="0.25">
      <c r="A117">
        <v>117</v>
      </c>
      <c r="B117" s="3">
        <v>41775</v>
      </c>
      <c r="C117" s="4">
        <v>1009.5</v>
      </c>
      <c r="E117">
        <v>117</v>
      </c>
      <c r="F117" s="3">
        <v>41775</v>
      </c>
      <c r="G117" t="s">
        <v>232</v>
      </c>
      <c r="H117" s="18">
        <v>1009.5</v>
      </c>
      <c r="J117" s="20" t="str">
        <f t="shared" si="6"/>
        <v/>
      </c>
      <c r="K117" t="str">
        <f t="shared" si="5"/>
        <v/>
      </c>
      <c r="L117" s="4">
        <f t="shared" si="7"/>
        <v>0</v>
      </c>
    </row>
    <row r="118" spans="1:12" x14ac:dyDescent="0.25">
      <c r="A118">
        <v>139</v>
      </c>
      <c r="B118" s="3">
        <v>41775</v>
      </c>
      <c r="C118" s="4">
        <v>550</v>
      </c>
      <c r="E118">
        <v>139</v>
      </c>
      <c r="F118" s="3">
        <v>41775</v>
      </c>
      <c r="G118" t="s">
        <v>263</v>
      </c>
      <c r="H118" s="18">
        <v>550</v>
      </c>
      <c r="J118" s="20" t="str">
        <f t="shared" si="6"/>
        <v/>
      </c>
      <c r="K118" t="str">
        <f t="shared" si="5"/>
        <v/>
      </c>
      <c r="L118" s="4">
        <f t="shared" si="7"/>
        <v>0</v>
      </c>
    </row>
    <row r="119" spans="1:12" x14ac:dyDescent="0.25">
      <c r="A119">
        <v>28</v>
      </c>
      <c r="B119" s="3">
        <v>41782</v>
      </c>
      <c r="C119" s="4">
        <v>331.5</v>
      </c>
      <c r="E119">
        <v>28</v>
      </c>
      <c r="F119" s="3">
        <v>41782</v>
      </c>
      <c r="G119" t="s">
        <v>6</v>
      </c>
      <c r="H119" s="18">
        <v>331.5</v>
      </c>
      <c r="J119" s="20" t="str">
        <f t="shared" si="6"/>
        <v/>
      </c>
      <c r="K119" t="str">
        <f t="shared" si="5"/>
        <v/>
      </c>
      <c r="L119" s="4">
        <f t="shared" si="7"/>
        <v>0</v>
      </c>
    </row>
    <row r="120" spans="1:12" x14ac:dyDescent="0.25">
      <c r="A120">
        <v>37</v>
      </c>
      <c r="B120" s="3">
        <v>41782</v>
      </c>
      <c r="C120" s="4">
        <v>500</v>
      </c>
      <c r="E120">
        <v>37</v>
      </c>
      <c r="F120" s="3">
        <v>41782</v>
      </c>
      <c r="G120" t="s">
        <v>77</v>
      </c>
      <c r="H120" s="18">
        <v>500</v>
      </c>
      <c r="J120" s="20" t="str">
        <f t="shared" si="6"/>
        <v/>
      </c>
      <c r="K120" t="str">
        <f t="shared" si="5"/>
        <v/>
      </c>
      <c r="L120" s="4">
        <f t="shared" si="7"/>
        <v>0</v>
      </c>
    </row>
    <row r="121" spans="1:12" x14ac:dyDescent="0.25">
      <c r="A121">
        <v>38</v>
      </c>
      <c r="B121" s="3">
        <v>41782</v>
      </c>
      <c r="C121" s="4">
        <v>1550</v>
      </c>
      <c r="E121">
        <v>38</v>
      </c>
      <c r="F121" s="3">
        <v>41782</v>
      </c>
      <c r="G121" t="s">
        <v>381</v>
      </c>
      <c r="H121" s="18">
        <v>1550</v>
      </c>
      <c r="J121" s="20" t="str">
        <f t="shared" si="6"/>
        <v/>
      </c>
      <c r="K121" t="str">
        <f t="shared" si="5"/>
        <v/>
      </c>
      <c r="L121" s="4">
        <f t="shared" si="7"/>
        <v>0</v>
      </c>
    </row>
    <row r="122" spans="1:12" x14ac:dyDescent="0.25">
      <c r="A122">
        <v>41</v>
      </c>
      <c r="B122" s="3">
        <v>41782</v>
      </c>
      <c r="C122" s="4">
        <v>1417.5</v>
      </c>
      <c r="E122">
        <v>41</v>
      </c>
      <c r="F122" s="3">
        <v>41782</v>
      </c>
      <c r="G122" t="s">
        <v>10</v>
      </c>
      <c r="H122" s="18">
        <v>1417.5</v>
      </c>
      <c r="J122" s="20" t="str">
        <f t="shared" si="6"/>
        <v/>
      </c>
      <c r="K122" t="str">
        <f t="shared" si="5"/>
        <v/>
      </c>
      <c r="L122" s="4">
        <f t="shared" si="7"/>
        <v>0</v>
      </c>
    </row>
    <row r="123" spans="1:12" x14ac:dyDescent="0.25">
      <c r="A123">
        <v>55</v>
      </c>
      <c r="B123" s="3">
        <v>41782</v>
      </c>
      <c r="C123" s="4">
        <v>1725</v>
      </c>
      <c r="E123">
        <v>55</v>
      </c>
      <c r="F123" s="3">
        <v>41782</v>
      </c>
      <c r="G123" t="s">
        <v>195</v>
      </c>
      <c r="H123" s="18">
        <v>1725</v>
      </c>
      <c r="J123" s="20" t="str">
        <f t="shared" si="6"/>
        <v/>
      </c>
      <c r="K123" t="str">
        <f t="shared" si="5"/>
        <v/>
      </c>
      <c r="L123" s="4">
        <f t="shared" si="7"/>
        <v>0</v>
      </c>
    </row>
    <row r="124" spans="1:12" x14ac:dyDescent="0.25">
      <c r="A124">
        <v>71</v>
      </c>
      <c r="B124" s="3">
        <v>41782</v>
      </c>
      <c r="C124" s="4">
        <v>400</v>
      </c>
      <c r="E124">
        <v>71</v>
      </c>
      <c r="F124" s="3">
        <v>41782</v>
      </c>
      <c r="G124" t="s">
        <v>374</v>
      </c>
      <c r="H124" s="18">
        <v>400</v>
      </c>
      <c r="J124" s="20" t="str">
        <f t="shared" si="6"/>
        <v/>
      </c>
      <c r="K124" t="str">
        <f t="shared" si="5"/>
        <v/>
      </c>
      <c r="L124" s="4">
        <f t="shared" si="7"/>
        <v>0</v>
      </c>
    </row>
    <row r="125" spans="1:12" x14ac:dyDescent="0.25">
      <c r="A125">
        <v>79</v>
      </c>
      <c r="B125" s="3">
        <v>41782</v>
      </c>
      <c r="C125" s="4">
        <v>896.5</v>
      </c>
      <c r="E125">
        <v>79</v>
      </c>
      <c r="F125" s="3">
        <v>41782</v>
      </c>
      <c r="G125" t="s">
        <v>372</v>
      </c>
      <c r="H125" s="18">
        <v>896.5</v>
      </c>
      <c r="J125" s="20" t="str">
        <f t="shared" si="6"/>
        <v/>
      </c>
      <c r="K125" t="str">
        <f t="shared" si="5"/>
        <v/>
      </c>
      <c r="L125" s="4">
        <f t="shared" si="7"/>
        <v>0</v>
      </c>
    </row>
    <row r="126" spans="1:12" x14ac:dyDescent="0.25">
      <c r="A126">
        <v>84</v>
      </c>
      <c r="B126" s="3">
        <v>41782</v>
      </c>
      <c r="C126" s="4">
        <v>825</v>
      </c>
      <c r="E126">
        <v>84</v>
      </c>
      <c r="F126" s="3">
        <v>41782</v>
      </c>
      <c r="G126" t="s">
        <v>389</v>
      </c>
      <c r="H126" s="18">
        <v>825</v>
      </c>
      <c r="J126" s="20" t="str">
        <f t="shared" si="6"/>
        <v/>
      </c>
      <c r="K126" t="str">
        <f t="shared" si="5"/>
        <v/>
      </c>
      <c r="L126" s="4">
        <f t="shared" si="7"/>
        <v>0</v>
      </c>
    </row>
    <row r="127" spans="1:12" x14ac:dyDescent="0.25">
      <c r="A127">
        <v>85</v>
      </c>
      <c r="B127" s="3">
        <v>41782</v>
      </c>
      <c r="C127" s="4">
        <v>1056</v>
      </c>
      <c r="E127">
        <v>85</v>
      </c>
      <c r="F127" s="3">
        <v>41782</v>
      </c>
      <c r="G127" t="s">
        <v>79</v>
      </c>
      <c r="H127" s="18">
        <v>1056</v>
      </c>
      <c r="J127" s="20" t="str">
        <f t="shared" si="6"/>
        <v/>
      </c>
      <c r="K127" t="str">
        <f t="shared" si="5"/>
        <v/>
      </c>
      <c r="L127" s="4">
        <f t="shared" si="7"/>
        <v>0</v>
      </c>
    </row>
    <row r="128" spans="1:12" x14ac:dyDescent="0.25">
      <c r="A128">
        <v>87</v>
      </c>
      <c r="B128" s="3">
        <v>41782</v>
      </c>
      <c r="C128" s="4">
        <v>600</v>
      </c>
      <c r="E128">
        <v>87</v>
      </c>
      <c r="F128" s="3">
        <v>41782</v>
      </c>
      <c r="G128" t="s">
        <v>329</v>
      </c>
      <c r="H128" s="18">
        <v>600</v>
      </c>
      <c r="J128" s="20" t="str">
        <f t="shared" si="6"/>
        <v/>
      </c>
      <c r="K128" t="str">
        <f t="shared" si="5"/>
        <v/>
      </c>
      <c r="L128" s="4">
        <f t="shared" si="7"/>
        <v>0</v>
      </c>
    </row>
    <row r="129" spans="1:12" x14ac:dyDescent="0.25">
      <c r="A129">
        <v>88</v>
      </c>
      <c r="B129" s="3">
        <v>41782</v>
      </c>
      <c r="C129" s="4">
        <v>91.5</v>
      </c>
      <c r="E129">
        <v>88</v>
      </c>
      <c r="F129" s="3">
        <v>41782</v>
      </c>
      <c r="G129" t="s">
        <v>364</v>
      </c>
      <c r="H129" s="18">
        <v>91.5</v>
      </c>
      <c r="J129" s="20" t="str">
        <f t="shared" si="6"/>
        <v/>
      </c>
      <c r="K129" t="str">
        <f t="shared" si="5"/>
        <v/>
      </c>
      <c r="L129" s="4">
        <f t="shared" si="7"/>
        <v>0</v>
      </c>
    </row>
    <row r="130" spans="1:12" x14ac:dyDescent="0.25">
      <c r="A130">
        <v>94</v>
      </c>
      <c r="B130" s="3">
        <v>41782</v>
      </c>
      <c r="C130" s="4">
        <v>1550</v>
      </c>
      <c r="E130">
        <v>94</v>
      </c>
      <c r="F130" s="3">
        <v>41782</v>
      </c>
      <c r="G130" t="s">
        <v>182</v>
      </c>
      <c r="H130" s="18">
        <v>1550</v>
      </c>
      <c r="J130" s="20" t="str">
        <f t="shared" si="6"/>
        <v/>
      </c>
      <c r="K130" t="str">
        <f t="shared" si="5"/>
        <v/>
      </c>
      <c r="L130" s="4">
        <f t="shared" si="7"/>
        <v>0</v>
      </c>
    </row>
    <row r="131" spans="1:12" x14ac:dyDescent="0.25">
      <c r="A131">
        <v>102</v>
      </c>
      <c r="B131" s="3">
        <v>41782</v>
      </c>
      <c r="C131" s="4">
        <v>331.5</v>
      </c>
      <c r="E131">
        <v>102</v>
      </c>
      <c r="F131" s="3">
        <v>41782</v>
      </c>
      <c r="G131" t="s">
        <v>365</v>
      </c>
      <c r="H131" s="18">
        <v>331.5</v>
      </c>
      <c r="J131" s="20" t="str">
        <f t="shared" si="6"/>
        <v/>
      </c>
      <c r="K131" t="str">
        <f t="shared" ref="K131:K194" si="8">IF(F131=B131,"","CHECK")</f>
        <v/>
      </c>
      <c r="L131" s="4">
        <f t="shared" si="7"/>
        <v>0</v>
      </c>
    </row>
    <row r="132" spans="1:12" x14ac:dyDescent="0.25">
      <c r="A132">
        <v>104</v>
      </c>
      <c r="B132" s="3">
        <v>41782</v>
      </c>
      <c r="C132" s="4">
        <v>325</v>
      </c>
      <c r="E132">
        <v>104</v>
      </c>
      <c r="F132" s="3">
        <v>41782</v>
      </c>
      <c r="G132" t="s">
        <v>210</v>
      </c>
      <c r="H132" s="18">
        <v>325</v>
      </c>
      <c r="J132" s="20" t="str">
        <f t="shared" si="6"/>
        <v/>
      </c>
      <c r="K132" t="str">
        <f t="shared" si="8"/>
        <v/>
      </c>
      <c r="L132" s="4">
        <f t="shared" si="7"/>
        <v>0</v>
      </c>
    </row>
    <row r="133" spans="1:12" x14ac:dyDescent="0.25">
      <c r="A133">
        <v>108</v>
      </c>
      <c r="B133" s="3">
        <v>41782</v>
      </c>
      <c r="C133" s="4">
        <v>3862</v>
      </c>
      <c r="E133">
        <v>108</v>
      </c>
      <c r="F133" s="3">
        <v>41782</v>
      </c>
      <c r="G133" t="s">
        <v>160</v>
      </c>
      <c r="H133" s="18">
        <v>3862</v>
      </c>
      <c r="J133" s="20" t="str">
        <f t="shared" ref="J133:J196" si="9">IF(E133=A133,"","CHECK")</f>
        <v/>
      </c>
      <c r="K133" t="str">
        <f t="shared" si="8"/>
        <v/>
      </c>
      <c r="L133" s="4">
        <f t="shared" ref="L133:L196" si="10">C133-H133</f>
        <v>0</v>
      </c>
    </row>
    <row r="134" spans="1:12" x14ac:dyDescent="0.25">
      <c r="A134">
        <v>109</v>
      </c>
      <c r="B134" s="3">
        <v>41782</v>
      </c>
      <c r="C134" s="4">
        <v>5847.5</v>
      </c>
      <c r="E134">
        <v>109</v>
      </c>
      <c r="F134" s="3">
        <v>41782</v>
      </c>
      <c r="G134" t="s">
        <v>82</v>
      </c>
      <c r="H134" s="18">
        <v>5847.5</v>
      </c>
      <c r="J134" s="20" t="str">
        <f t="shared" si="9"/>
        <v/>
      </c>
      <c r="K134" t="str">
        <f t="shared" si="8"/>
        <v/>
      </c>
      <c r="L134" s="4">
        <f t="shared" si="10"/>
        <v>0</v>
      </c>
    </row>
    <row r="135" spans="1:12" x14ac:dyDescent="0.25">
      <c r="A135">
        <v>114</v>
      </c>
      <c r="B135" s="3">
        <v>41782</v>
      </c>
      <c r="C135" s="4">
        <v>1660.5</v>
      </c>
      <c r="E135">
        <v>114</v>
      </c>
      <c r="F135" s="3">
        <v>41782</v>
      </c>
      <c r="G135" t="s">
        <v>215</v>
      </c>
      <c r="H135" s="18">
        <v>1660.5</v>
      </c>
      <c r="J135" s="20" t="str">
        <f t="shared" si="9"/>
        <v/>
      </c>
      <c r="K135" t="str">
        <f t="shared" si="8"/>
        <v/>
      </c>
      <c r="L135" s="4">
        <f t="shared" si="10"/>
        <v>0</v>
      </c>
    </row>
    <row r="136" spans="1:12" x14ac:dyDescent="0.25">
      <c r="A136">
        <v>116</v>
      </c>
      <c r="B136" s="3">
        <v>41782</v>
      </c>
      <c r="C136" s="4">
        <v>1887</v>
      </c>
      <c r="E136">
        <v>116</v>
      </c>
      <c r="F136" s="3">
        <v>41782</v>
      </c>
      <c r="G136" t="s">
        <v>358</v>
      </c>
      <c r="H136" s="18">
        <v>1887</v>
      </c>
      <c r="J136" s="20" t="str">
        <f t="shared" si="9"/>
        <v/>
      </c>
      <c r="K136" t="str">
        <f t="shared" si="8"/>
        <v/>
      </c>
      <c r="L136" s="4">
        <f t="shared" si="10"/>
        <v>0</v>
      </c>
    </row>
    <row r="137" spans="1:12" x14ac:dyDescent="0.25">
      <c r="A137">
        <v>125</v>
      </c>
      <c r="B137" s="3">
        <v>41782</v>
      </c>
      <c r="C137" s="4">
        <v>1000</v>
      </c>
      <c r="E137">
        <v>125</v>
      </c>
      <c r="F137" s="3">
        <v>41782</v>
      </c>
      <c r="G137" t="s">
        <v>371</v>
      </c>
      <c r="H137" s="18">
        <v>1000</v>
      </c>
      <c r="J137" s="20" t="str">
        <f t="shared" si="9"/>
        <v/>
      </c>
      <c r="K137" t="str">
        <f t="shared" si="8"/>
        <v/>
      </c>
      <c r="L137" s="4">
        <f t="shared" si="10"/>
        <v>0</v>
      </c>
    </row>
    <row r="138" spans="1:12" x14ac:dyDescent="0.25">
      <c r="A138">
        <v>133</v>
      </c>
      <c r="B138" s="3">
        <v>41782</v>
      </c>
      <c r="C138" s="4">
        <v>687.5</v>
      </c>
      <c r="E138">
        <v>133</v>
      </c>
      <c r="F138" s="3">
        <v>41782</v>
      </c>
      <c r="G138" t="s">
        <v>87</v>
      </c>
      <c r="H138" s="18">
        <v>687.5</v>
      </c>
      <c r="J138" s="20" t="str">
        <f t="shared" si="9"/>
        <v/>
      </c>
      <c r="K138" t="str">
        <f t="shared" si="8"/>
        <v/>
      </c>
      <c r="L138" s="4">
        <f t="shared" si="10"/>
        <v>0</v>
      </c>
    </row>
    <row r="139" spans="1:12" x14ac:dyDescent="0.25">
      <c r="A139">
        <v>139</v>
      </c>
      <c r="B139" s="3">
        <v>41782</v>
      </c>
      <c r="C139" s="4">
        <v>825</v>
      </c>
      <c r="E139">
        <v>139</v>
      </c>
      <c r="F139" s="3">
        <v>41782</v>
      </c>
      <c r="G139" t="s">
        <v>263</v>
      </c>
      <c r="H139" s="18">
        <v>825</v>
      </c>
      <c r="J139" s="20" t="str">
        <f t="shared" si="9"/>
        <v/>
      </c>
      <c r="K139" t="str">
        <f t="shared" si="8"/>
        <v/>
      </c>
      <c r="L139" s="4">
        <f t="shared" si="10"/>
        <v>0</v>
      </c>
    </row>
    <row r="140" spans="1:12" x14ac:dyDescent="0.25">
      <c r="A140">
        <v>142</v>
      </c>
      <c r="B140" s="3">
        <v>41782</v>
      </c>
      <c r="C140" s="4">
        <v>700</v>
      </c>
      <c r="E140">
        <v>142</v>
      </c>
      <c r="F140" s="3">
        <v>41782</v>
      </c>
      <c r="G140" t="s">
        <v>324</v>
      </c>
      <c r="H140" s="18">
        <v>700</v>
      </c>
      <c r="J140" s="20" t="str">
        <f t="shared" si="9"/>
        <v/>
      </c>
      <c r="K140" t="str">
        <f t="shared" si="8"/>
        <v/>
      </c>
      <c r="L140" s="4">
        <f t="shared" si="10"/>
        <v>0</v>
      </c>
    </row>
    <row r="141" spans="1:12" x14ac:dyDescent="0.25">
      <c r="A141">
        <v>143</v>
      </c>
      <c r="B141" s="3">
        <v>41782</v>
      </c>
      <c r="C141" s="4">
        <v>3017.5</v>
      </c>
      <c r="E141">
        <v>143</v>
      </c>
      <c r="F141" s="3">
        <v>41782</v>
      </c>
      <c r="G141" t="s">
        <v>359</v>
      </c>
      <c r="H141" s="18">
        <v>3017.5</v>
      </c>
      <c r="J141" s="20" t="str">
        <f t="shared" si="9"/>
        <v/>
      </c>
      <c r="K141" t="str">
        <f t="shared" si="8"/>
        <v/>
      </c>
      <c r="L141" s="4">
        <f t="shared" si="10"/>
        <v>0</v>
      </c>
    </row>
    <row r="142" spans="1:12" x14ac:dyDescent="0.25">
      <c r="A142">
        <v>146</v>
      </c>
      <c r="B142" s="3">
        <v>41782</v>
      </c>
      <c r="C142" s="4">
        <v>586.5</v>
      </c>
      <c r="E142">
        <v>146</v>
      </c>
      <c r="F142" s="3">
        <v>41782</v>
      </c>
      <c r="G142" t="s">
        <v>362</v>
      </c>
      <c r="H142" s="18">
        <v>586.5</v>
      </c>
      <c r="J142" s="20" t="str">
        <f t="shared" si="9"/>
        <v/>
      </c>
      <c r="K142" t="str">
        <f t="shared" si="8"/>
        <v/>
      </c>
      <c r="L142" s="4">
        <f t="shared" si="10"/>
        <v>0</v>
      </c>
    </row>
    <row r="143" spans="1:12" x14ac:dyDescent="0.25">
      <c r="A143">
        <v>27</v>
      </c>
      <c r="B143" s="3">
        <v>41789</v>
      </c>
      <c r="C143" s="4">
        <v>701.25</v>
      </c>
      <c r="E143">
        <v>27</v>
      </c>
      <c r="F143" s="3">
        <v>41789</v>
      </c>
      <c r="G143" t="s">
        <v>159</v>
      </c>
      <c r="H143" s="18">
        <v>701.25</v>
      </c>
      <c r="J143" s="20" t="str">
        <f t="shared" si="9"/>
        <v/>
      </c>
      <c r="K143" t="str">
        <f t="shared" si="8"/>
        <v/>
      </c>
      <c r="L143" s="4">
        <f t="shared" si="10"/>
        <v>0</v>
      </c>
    </row>
    <row r="144" spans="1:12" x14ac:dyDescent="0.25">
      <c r="A144">
        <v>28</v>
      </c>
      <c r="B144" s="3">
        <v>41789</v>
      </c>
      <c r="C144" s="4">
        <v>510</v>
      </c>
      <c r="E144">
        <v>28</v>
      </c>
      <c r="F144" s="3">
        <v>41789</v>
      </c>
      <c r="G144" t="s">
        <v>6</v>
      </c>
      <c r="H144" s="18">
        <v>510</v>
      </c>
      <c r="J144" s="20" t="str">
        <f t="shared" si="9"/>
        <v/>
      </c>
      <c r="K144" t="str">
        <f t="shared" si="8"/>
        <v/>
      </c>
      <c r="L144" s="4">
        <f t="shared" si="10"/>
        <v>0</v>
      </c>
    </row>
    <row r="145" spans="1:12" x14ac:dyDescent="0.25">
      <c r="A145">
        <v>41</v>
      </c>
      <c r="B145" s="3">
        <v>41789</v>
      </c>
      <c r="C145" s="4">
        <v>843.75</v>
      </c>
      <c r="E145">
        <v>41</v>
      </c>
      <c r="F145" s="3">
        <v>41789</v>
      </c>
      <c r="G145" t="s">
        <v>10</v>
      </c>
      <c r="H145" s="18">
        <v>843.75</v>
      </c>
      <c r="J145" s="20" t="str">
        <f t="shared" si="9"/>
        <v/>
      </c>
      <c r="K145" t="str">
        <f t="shared" si="8"/>
        <v/>
      </c>
      <c r="L145" s="4">
        <f t="shared" si="10"/>
        <v>0</v>
      </c>
    </row>
    <row r="146" spans="1:12" x14ac:dyDescent="0.25">
      <c r="A146">
        <v>54</v>
      </c>
      <c r="B146" s="3">
        <v>41789</v>
      </c>
      <c r="C146" s="4">
        <v>6165</v>
      </c>
      <c r="E146">
        <v>54</v>
      </c>
      <c r="F146" s="3">
        <v>41789</v>
      </c>
      <c r="G146" t="s">
        <v>385</v>
      </c>
      <c r="H146" s="18">
        <v>6165</v>
      </c>
      <c r="J146" s="20" t="str">
        <f t="shared" si="9"/>
        <v/>
      </c>
      <c r="K146" t="str">
        <f t="shared" si="8"/>
        <v/>
      </c>
      <c r="L146" s="4">
        <f t="shared" si="10"/>
        <v>0</v>
      </c>
    </row>
    <row r="147" spans="1:12" x14ac:dyDescent="0.25">
      <c r="A147">
        <v>55</v>
      </c>
      <c r="B147" s="3">
        <v>41789</v>
      </c>
      <c r="C147" s="4">
        <v>1525</v>
      </c>
      <c r="E147">
        <v>55</v>
      </c>
      <c r="F147" s="3">
        <v>41789</v>
      </c>
      <c r="G147" t="s">
        <v>195</v>
      </c>
      <c r="H147" s="18">
        <v>1525</v>
      </c>
      <c r="J147" s="20" t="str">
        <f t="shared" si="9"/>
        <v/>
      </c>
      <c r="K147" t="str">
        <f t="shared" si="8"/>
        <v/>
      </c>
      <c r="L147" s="4">
        <f t="shared" si="10"/>
        <v>0</v>
      </c>
    </row>
    <row r="148" spans="1:12" x14ac:dyDescent="0.25">
      <c r="A148">
        <v>63</v>
      </c>
      <c r="B148" s="3">
        <v>41789</v>
      </c>
      <c r="C148" s="4">
        <v>5437.5</v>
      </c>
      <c r="E148">
        <v>63</v>
      </c>
      <c r="F148" s="3">
        <v>41789</v>
      </c>
      <c r="G148" t="s">
        <v>181</v>
      </c>
      <c r="H148" s="18">
        <v>5437.5</v>
      </c>
      <c r="J148" s="20" t="str">
        <f t="shared" si="9"/>
        <v/>
      </c>
      <c r="K148" t="str">
        <f t="shared" si="8"/>
        <v/>
      </c>
      <c r="L148" s="4">
        <f t="shared" si="10"/>
        <v>0</v>
      </c>
    </row>
    <row r="149" spans="1:12" x14ac:dyDescent="0.25">
      <c r="A149">
        <v>79</v>
      </c>
      <c r="B149" s="3">
        <v>41789</v>
      </c>
      <c r="C149" s="4">
        <v>3254</v>
      </c>
      <c r="E149">
        <v>79</v>
      </c>
      <c r="F149" s="3">
        <v>41789</v>
      </c>
      <c r="G149" t="s">
        <v>372</v>
      </c>
      <c r="H149" s="18">
        <v>3254</v>
      </c>
      <c r="J149" s="20" t="str">
        <f t="shared" si="9"/>
        <v/>
      </c>
      <c r="K149" t="str">
        <f t="shared" si="8"/>
        <v/>
      </c>
      <c r="L149" s="4">
        <f t="shared" si="10"/>
        <v>0</v>
      </c>
    </row>
    <row r="150" spans="1:12" x14ac:dyDescent="0.25">
      <c r="A150">
        <v>83</v>
      </c>
      <c r="B150" s="3">
        <v>41789</v>
      </c>
      <c r="C150" s="4">
        <v>350</v>
      </c>
      <c r="E150">
        <v>83</v>
      </c>
      <c r="F150" s="3">
        <v>41789</v>
      </c>
      <c r="G150" t="s">
        <v>351</v>
      </c>
      <c r="H150" s="18">
        <v>350</v>
      </c>
      <c r="J150" s="20" t="str">
        <f t="shared" si="9"/>
        <v/>
      </c>
      <c r="K150" t="str">
        <f t="shared" si="8"/>
        <v/>
      </c>
      <c r="L150" s="4">
        <f t="shared" si="10"/>
        <v>0</v>
      </c>
    </row>
    <row r="151" spans="1:12" x14ac:dyDescent="0.25">
      <c r="A151">
        <v>85</v>
      </c>
      <c r="B151" s="3">
        <v>41789</v>
      </c>
      <c r="C151" s="4">
        <v>494</v>
      </c>
      <c r="E151">
        <v>85</v>
      </c>
      <c r="F151" s="3">
        <v>41789</v>
      </c>
      <c r="G151" t="s">
        <v>79</v>
      </c>
      <c r="H151" s="18">
        <v>494</v>
      </c>
      <c r="J151" s="20" t="str">
        <f t="shared" si="9"/>
        <v/>
      </c>
      <c r="K151" t="str">
        <f t="shared" si="8"/>
        <v/>
      </c>
      <c r="L151" s="4">
        <f t="shared" si="10"/>
        <v>0</v>
      </c>
    </row>
    <row r="152" spans="1:12" x14ac:dyDescent="0.25">
      <c r="A152">
        <v>88</v>
      </c>
      <c r="B152" s="3">
        <v>41789</v>
      </c>
      <c r="C152" s="4">
        <v>400</v>
      </c>
      <c r="E152">
        <v>88</v>
      </c>
      <c r="F152" s="3">
        <v>41789</v>
      </c>
      <c r="G152" t="s">
        <v>364</v>
      </c>
      <c r="H152" s="18">
        <v>400</v>
      </c>
      <c r="J152" s="20" t="str">
        <f t="shared" si="9"/>
        <v/>
      </c>
      <c r="K152" t="str">
        <f t="shared" si="8"/>
        <v/>
      </c>
      <c r="L152" s="4">
        <f t="shared" si="10"/>
        <v>0</v>
      </c>
    </row>
    <row r="153" spans="1:12" x14ac:dyDescent="0.25">
      <c r="A153">
        <v>96</v>
      </c>
      <c r="B153" s="3">
        <v>41789</v>
      </c>
      <c r="C153" s="4">
        <v>167.72</v>
      </c>
      <c r="E153">
        <v>96</v>
      </c>
      <c r="F153" s="3">
        <v>41789</v>
      </c>
      <c r="G153" t="s">
        <v>375</v>
      </c>
      <c r="H153" s="18">
        <v>167.72</v>
      </c>
      <c r="J153" s="20" t="str">
        <f t="shared" si="9"/>
        <v/>
      </c>
      <c r="K153" t="str">
        <f t="shared" si="8"/>
        <v/>
      </c>
      <c r="L153" s="4">
        <f t="shared" si="10"/>
        <v>0</v>
      </c>
    </row>
    <row r="154" spans="1:12" x14ac:dyDescent="0.25">
      <c r="A154">
        <v>100</v>
      </c>
      <c r="B154" s="3">
        <v>41789</v>
      </c>
      <c r="C154" s="4">
        <v>875</v>
      </c>
      <c r="E154">
        <v>100</v>
      </c>
      <c r="F154" s="3">
        <v>41789</v>
      </c>
      <c r="G154" t="s">
        <v>376</v>
      </c>
      <c r="H154" s="18">
        <v>875</v>
      </c>
      <c r="J154" s="20" t="str">
        <f t="shared" si="9"/>
        <v/>
      </c>
      <c r="K154" t="str">
        <f t="shared" si="8"/>
        <v/>
      </c>
      <c r="L154" s="4">
        <f t="shared" si="10"/>
        <v>0</v>
      </c>
    </row>
    <row r="155" spans="1:12" x14ac:dyDescent="0.25">
      <c r="A155">
        <v>104</v>
      </c>
      <c r="B155" s="3">
        <v>41789</v>
      </c>
      <c r="C155" s="4">
        <v>1541.63</v>
      </c>
      <c r="E155">
        <v>104</v>
      </c>
      <c r="F155" s="3">
        <v>41789</v>
      </c>
      <c r="G155" t="s">
        <v>210</v>
      </c>
      <c r="H155" s="18">
        <v>1541.63</v>
      </c>
      <c r="J155" s="20" t="str">
        <f t="shared" si="9"/>
        <v/>
      </c>
      <c r="K155" t="str">
        <f t="shared" si="8"/>
        <v/>
      </c>
      <c r="L155" s="4">
        <f t="shared" si="10"/>
        <v>0</v>
      </c>
    </row>
    <row r="156" spans="1:12" x14ac:dyDescent="0.25">
      <c r="A156">
        <v>108</v>
      </c>
      <c r="B156" s="3">
        <v>41789</v>
      </c>
      <c r="C156" s="4">
        <v>1292.98</v>
      </c>
      <c r="E156">
        <v>108</v>
      </c>
      <c r="F156" s="3">
        <v>41789</v>
      </c>
      <c r="G156" t="s">
        <v>160</v>
      </c>
      <c r="H156" s="18">
        <v>1292.98</v>
      </c>
      <c r="J156" s="20" t="str">
        <f t="shared" si="9"/>
        <v/>
      </c>
      <c r="K156" t="str">
        <f t="shared" si="8"/>
        <v/>
      </c>
      <c r="L156" s="4">
        <f t="shared" si="10"/>
        <v>0</v>
      </c>
    </row>
    <row r="157" spans="1:12" x14ac:dyDescent="0.25">
      <c r="A157">
        <v>109</v>
      </c>
      <c r="B157" s="3">
        <v>41789</v>
      </c>
      <c r="C157" s="4">
        <v>900</v>
      </c>
      <c r="E157">
        <v>109</v>
      </c>
      <c r="F157" s="3">
        <v>41789</v>
      </c>
      <c r="G157" t="s">
        <v>82</v>
      </c>
      <c r="H157" s="18">
        <v>900</v>
      </c>
      <c r="J157" s="20" t="str">
        <f t="shared" si="9"/>
        <v/>
      </c>
      <c r="K157" t="str">
        <f t="shared" si="8"/>
        <v/>
      </c>
      <c r="L157" s="4">
        <f t="shared" si="10"/>
        <v>0</v>
      </c>
    </row>
    <row r="158" spans="1:12" x14ac:dyDescent="0.25">
      <c r="A158">
        <v>111</v>
      </c>
      <c r="B158" s="3">
        <v>41789</v>
      </c>
      <c r="C158" s="4">
        <v>1200</v>
      </c>
      <c r="E158">
        <v>111</v>
      </c>
      <c r="F158" s="3">
        <v>41789</v>
      </c>
      <c r="G158" t="s">
        <v>388</v>
      </c>
      <c r="H158" s="18">
        <v>1200</v>
      </c>
      <c r="J158" s="20" t="str">
        <f t="shared" si="9"/>
        <v/>
      </c>
      <c r="K158" t="str">
        <f t="shared" si="8"/>
        <v/>
      </c>
      <c r="L158" s="4">
        <f t="shared" si="10"/>
        <v>0</v>
      </c>
    </row>
    <row r="159" spans="1:12" x14ac:dyDescent="0.25">
      <c r="A159">
        <v>113</v>
      </c>
      <c r="B159" s="3">
        <v>41789</v>
      </c>
      <c r="C159" s="4">
        <v>575</v>
      </c>
      <c r="E159">
        <v>113</v>
      </c>
      <c r="F159" s="3">
        <v>41789</v>
      </c>
      <c r="G159" t="s">
        <v>84</v>
      </c>
      <c r="H159" s="18">
        <v>575</v>
      </c>
      <c r="J159" s="20" t="str">
        <f t="shared" si="9"/>
        <v/>
      </c>
      <c r="K159" t="str">
        <f t="shared" si="8"/>
        <v/>
      </c>
      <c r="L159" s="4">
        <f t="shared" si="10"/>
        <v>0</v>
      </c>
    </row>
    <row r="160" spans="1:12" x14ac:dyDescent="0.25">
      <c r="A160">
        <v>114</v>
      </c>
      <c r="B160" s="3">
        <v>41789</v>
      </c>
      <c r="C160" s="4">
        <v>3550</v>
      </c>
      <c r="E160">
        <v>114</v>
      </c>
      <c r="F160" s="3">
        <v>41789</v>
      </c>
      <c r="G160" t="s">
        <v>215</v>
      </c>
      <c r="H160" s="18">
        <v>3550</v>
      </c>
      <c r="J160" s="20" t="str">
        <f t="shared" si="9"/>
        <v/>
      </c>
      <c r="K160" t="str">
        <f t="shared" si="8"/>
        <v/>
      </c>
      <c r="L160" s="4">
        <f t="shared" si="10"/>
        <v>0</v>
      </c>
    </row>
    <row r="161" spans="1:12" x14ac:dyDescent="0.25">
      <c r="A161">
        <v>118</v>
      </c>
      <c r="B161" s="3">
        <v>41789</v>
      </c>
      <c r="C161" s="4">
        <v>2790.54</v>
      </c>
      <c r="E161">
        <v>118</v>
      </c>
      <c r="F161" s="3">
        <v>41789</v>
      </c>
      <c r="G161" t="s">
        <v>85</v>
      </c>
      <c r="H161" s="18">
        <v>2790.54</v>
      </c>
      <c r="J161" s="20" t="str">
        <f t="shared" si="9"/>
        <v/>
      </c>
      <c r="K161" t="str">
        <f t="shared" si="8"/>
        <v/>
      </c>
      <c r="L161" s="4">
        <f t="shared" si="10"/>
        <v>0</v>
      </c>
    </row>
    <row r="162" spans="1:12" x14ac:dyDescent="0.25">
      <c r="A162">
        <v>119</v>
      </c>
      <c r="B162" s="3">
        <v>41789</v>
      </c>
      <c r="C162" s="4">
        <v>4305.22</v>
      </c>
      <c r="E162">
        <v>119</v>
      </c>
      <c r="F162" s="3">
        <v>41789</v>
      </c>
      <c r="G162" t="s">
        <v>349</v>
      </c>
      <c r="H162" s="18">
        <v>4305.22</v>
      </c>
      <c r="J162" s="20" t="str">
        <f t="shared" si="9"/>
        <v/>
      </c>
      <c r="K162" t="str">
        <f t="shared" si="8"/>
        <v/>
      </c>
      <c r="L162" s="4">
        <f t="shared" si="10"/>
        <v>0</v>
      </c>
    </row>
    <row r="163" spans="1:12" x14ac:dyDescent="0.25">
      <c r="A163">
        <v>120</v>
      </c>
      <c r="B163" s="3">
        <v>41789</v>
      </c>
      <c r="C163" s="4">
        <v>700</v>
      </c>
      <c r="E163">
        <v>120</v>
      </c>
      <c r="F163" s="3">
        <v>41789</v>
      </c>
      <c r="G163" t="s">
        <v>337</v>
      </c>
      <c r="H163" s="18">
        <v>700</v>
      </c>
      <c r="J163" s="20" t="str">
        <f t="shared" si="9"/>
        <v/>
      </c>
      <c r="K163" t="str">
        <f t="shared" si="8"/>
        <v/>
      </c>
      <c r="L163" s="4">
        <f t="shared" si="10"/>
        <v>0</v>
      </c>
    </row>
    <row r="164" spans="1:12" x14ac:dyDescent="0.25">
      <c r="A164">
        <v>130</v>
      </c>
      <c r="B164" s="3">
        <v>41789</v>
      </c>
      <c r="C164" s="4">
        <v>850</v>
      </c>
      <c r="E164">
        <v>130</v>
      </c>
      <c r="F164" s="3">
        <v>41789</v>
      </c>
      <c r="G164" t="s">
        <v>366</v>
      </c>
      <c r="H164" s="18">
        <v>850</v>
      </c>
      <c r="J164" s="20" t="str">
        <f t="shared" si="9"/>
        <v/>
      </c>
      <c r="K164" t="str">
        <f t="shared" si="8"/>
        <v/>
      </c>
      <c r="L164" s="4">
        <f t="shared" si="10"/>
        <v>0</v>
      </c>
    </row>
    <row r="165" spans="1:12" x14ac:dyDescent="0.25">
      <c r="A165">
        <v>140</v>
      </c>
      <c r="B165" s="3">
        <v>41789</v>
      </c>
      <c r="C165" s="4">
        <v>2391.79</v>
      </c>
      <c r="E165">
        <v>140</v>
      </c>
      <c r="F165" s="3">
        <v>41789</v>
      </c>
      <c r="G165" t="s">
        <v>88</v>
      </c>
      <c r="H165" s="18">
        <v>2391.79</v>
      </c>
      <c r="J165" s="20" t="str">
        <f t="shared" si="9"/>
        <v/>
      </c>
      <c r="K165" t="str">
        <f t="shared" si="8"/>
        <v/>
      </c>
      <c r="L165" s="4">
        <f t="shared" si="10"/>
        <v>0</v>
      </c>
    </row>
    <row r="166" spans="1:12" x14ac:dyDescent="0.25">
      <c r="A166">
        <v>142</v>
      </c>
      <c r="B166" s="3">
        <v>41789</v>
      </c>
      <c r="C166" s="4">
        <v>1886</v>
      </c>
      <c r="E166">
        <v>142</v>
      </c>
      <c r="F166" s="3">
        <v>41789</v>
      </c>
      <c r="G166" t="s">
        <v>324</v>
      </c>
      <c r="H166" s="18">
        <v>1886</v>
      </c>
      <c r="J166" s="20" t="str">
        <f t="shared" si="9"/>
        <v/>
      </c>
      <c r="K166" t="str">
        <f t="shared" si="8"/>
        <v/>
      </c>
      <c r="L166" s="4">
        <f t="shared" si="10"/>
        <v>0</v>
      </c>
    </row>
    <row r="167" spans="1:12" x14ac:dyDescent="0.25">
      <c r="A167">
        <v>175</v>
      </c>
      <c r="B167" s="3">
        <v>41789</v>
      </c>
      <c r="C167" s="4">
        <v>900</v>
      </c>
      <c r="E167">
        <v>175</v>
      </c>
      <c r="F167" s="3">
        <v>41789</v>
      </c>
      <c r="G167" t="s">
        <v>275</v>
      </c>
      <c r="H167" s="18">
        <v>900</v>
      </c>
      <c r="J167" s="20" t="str">
        <f t="shared" si="9"/>
        <v/>
      </c>
      <c r="K167" t="str">
        <f t="shared" si="8"/>
        <v/>
      </c>
      <c r="L167" s="4">
        <f t="shared" si="10"/>
        <v>0</v>
      </c>
    </row>
    <row r="168" spans="1:12" x14ac:dyDescent="0.25">
      <c r="A168">
        <v>180</v>
      </c>
      <c r="B168" s="3">
        <v>41789</v>
      </c>
      <c r="C168" s="4">
        <v>1498.13</v>
      </c>
      <c r="E168">
        <v>180</v>
      </c>
      <c r="F168" s="3">
        <v>41789</v>
      </c>
      <c r="G168" t="s">
        <v>161</v>
      </c>
      <c r="H168" s="18">
        <v>1498.13</v>
      </c>
      <c r="J168" s="20" t="str">
        <f t="shared" si="9"/>
        <v/>
      </c>
      <c r="K168" t="str">
        <f t="shared" si="8"/>
        <v/>
      </c>
      <c r="L168" s="4">
        <f t="shared" si="10"/>
        <v>0</v>
      </c>
    </row>
    <row r="169" spans="1:12" x14ac:dyDescent="0.25">
      <c r="A169">
        <v>27</v>
      </c>
      <c r="B169" s="3">
        <v>41796</v>
      </c>
      <c r="C169" s="4">
        <v>2581.88</v>
      </c>
      <c r="E169">
        <v>27</v>
      </c>
      <c r="F169" s="3">
        <v>41796</v>
      </c>
      <c r="G169" t="s">
        <v>159</v>
      </c>
      <c r="H169" s="18">
        <v>2581.88</v>
      </c>
      <c r="J169" s="20" t="str">
        <f t="shared" si="9"/>
        <v/>
      </c>
      <c r="K169" t="str">
        <f t="shared" si="8"/>
        <v/>
      </c>
      <c r="L169" s="4">
        <f t="shared" si="10"/>
        <v>0</v>
      </c>
    </row>
    <row r="170" spans="1:12" x14ac:dyDescent="0.25">
      <c r="A170">
        <v>28</v>
      </c>
      <c r="B170" s="3">
        <v>41796</v>
      </c>
      <c r="C170" s="4">
        <v>663</v>
      </c>
      <c r="E170">
        <v>28</v>
      </c>
      <c r="F170" s="3">
        <v>41796</v>
      </c>
      <c r="G170" t="s">
        <v>6</v>
      </c>
      <c r="H170" s="18">
        <v>663</v>
      </c>
      <c r="J170" s="20" t="str">
        <f t="shared" si="9"/>
        <v/>
      </c>
      <c r="K170" t="str">
        <f t="shared" si="8"/>
        <v/>
      </c>
      <c r="L170" s="4">
        <f t="shared" si="10"/>
        <v>0</v>
      </c>
    </row>
    <row r="171" spans="1:12" x14ac:dyDescent="0.25">
      <c r="A171">
        <v>38</v>
      </c>
      <c r="B171" s="3">
        <v>41796</v>
      </c>
      <c r="C171" s="4">
        <v>1103.55</v>
      </c>
      <c r="E171">
        <v>38</v>
      </c>
      <c r="F171" s="3">
        <v>41796</v>
      </c>
      <c r="G171" t="s">
        <v>381</v>
      </c>
      <c r="H171" s="18">
        <v>1103.55</v>
      </c>
      <c r="J171" s="20" t="str">
        <f t="shared" si="9"/>
        <v/>
      </c>
      <c r="K171" t="str">
        <f t="shared" si="8"/>
        <v/>
      </c>
      <c r="L171" s="4">
        <f t="shared" si="10"/>
        <v>0</v>
      </c>
    </row>
    <row r="172" spans="1:12" x14ac:dyDescent="0.25">
      <c r="A172">
        <v>41</v>
      </c>
      <c r="B172" s="3">
        <v>41796</v>
      </c>
      <c r="C172" s="4">
        <v>1586.25</v>
      </c>
      <c r="E172">
        <v>41</v>
      </c>
      <c r="F172" s="3">
        <v>41796</v>
      </c>
      <c r="G172" t="s">
        <v>10</v>
      </c>
      <c r="H172" s="18">
        <v>1586.25</v>
      </c>
      <c r="J172" s="20" t="str">
        <f t="shared" si="9"/>
        <v/>
      </c>
      <c r="K172" t="str">
        <f t="shared" si="8"/>
        <v/>
      </c>
      <c r="L172" s="4">
        <f t="shared" si="10"/>
        <v>0</v>
      </c>
    </row>
    <row r="173" spans="1:12" x14ac:dyDescent="0.25">
      <c r="A173">
        <v>45</v>
      </c>
      <c r="B173" s="3">
        <v>41796</v>
      </c>
      <c r="C173" s="4">
        <v>1000</v>
      </c>
      <c r="E173">
        <v>45</v>
      </c>
      <c r="F173" s="3">
        <v>41796</v>
      </c>
      <c r="G173" t="s">
        <v>382</v>
      </c>
      <c r="H173" s="18">
        <v>1000</v>
      </c>
      <c r="J173" s="20" t="str">
        <f t="shared" si="9"/>
        <v/>
      </c>
      <c r="K173" t="str">
        <f t="shared" si="8"/>
        <v/>
      </c>
      <c r="L173" s="4">
        <f t="shared" si="10"/>
        <v>0</v>
      </c>
    </row>
    <row r="174" spans="1:12" x14ac:dyDescent="0.25">
      <c r="A174">
        <v>50</v>
      </c>
      <c r="B174" s="3">
        <v>41796</v>
      </c>
      <c r="C174" s="4">
        <v>1000</v>
      </c>
      <c r="E174">
        <v>50</v>
      </c>
      <c r="F174" s="3">
        <v>41796</v>
      </c>
      <c r="G174" t="s">
        <v>373</v>
      </c>
      <c r="H174" s="18">
        <v>1000</v>
      </c>
      <c r="J174" s="20" t="str">
        <f t="shared" si="9"/>
        <v/>
      </c>
      <c r="K174" t="str">
        <f t="shared" si="8"/>
        <v/>
      </c>
      <c r="L174" s="4">
        <f t="shared" si="10"/>
        <v>0</v>
      </c>
    </row>
    <row r="175" spans="1:12" x14ac:dyDescent="0.25">
      <c r="A175">
        <v>52</v>
      </c>
      <c r="B175" s="3">
        <v>41796</v>
      </c>
      <c r="C175" s="4">
        <v>650</v>
      </c>
      <c r="E175">
        <v>52</v>
      </c>
      <c r="F175" s="3">
        <v>41796</v>
      </c>
      <c r="G175" t="s">
        <v>383</v>
      </c>
      <c r="H175" s="18">
        <v>650</v>
      </c>
      <c r="J175" s="20" t="str">
        <f t="shared" si="9"/>
        <v/>
      </c>
      <c r="K175" t="str">
        <f t="shared" si="8"/>
        <v/>
      </c>
      <c r="L175" s="4">
        <f t="shared" si="10"/>
        <v>0</v>
      </c>
    </row>
    <row r="176" spans="1:12" x14ac:dyDescent="0.25">
      <c r="A176">
        <v>53</v>
      </c>
      <c r="B176" s="3">
        <v>41796</v>
      </c>
      <c r="C176" s="4">
        <v>1000</v>
      </c>
      <c r="E176">
        <v>53</v>
      </c>
      <c r="F176" s="3">
        <v>41796</v>
      </c>
      <c r="G176" t="s">
        <v>384</v>
      </c>
      <c r="H176" s="18">
        <v>1000</v>
      </c>
      <c r="J176" s="20" t="str">
        <f t="shared" si="9"/>
        <v/>
      </c>
      <c r="K176" t="str">
        <f t="shared" si="8"/>
        <v/>
      </c>
      <c r="L176" s="4">
        <f t="shared" si="10"/>
        <v>0</v>
      </c>
    </row>
    <row r="177" spans="1:12" x14ac:dyDescent="0.25">
      <c r="A177">
        <v>54</v>
      </c>
      <c r="B177" s="3">
        <v>41796</v>
      </c>
      <c r="C177" s="4">
        <v>9870</v>
      </c>
      <c r="E177">
        <v>54</v>
      </c>
      <c r="F177" s="3">
        <v>41796</v>
      </c>
      <c r="G177" t="s">
        <v>385</v>
      </c>
      <c r="H177" s="18">
        <v>9870</v>
      </c>
      <c r="J177" s="20" t="str">
        <f t="shared" si="9"/>
        <v/>
      </c>
      <c r="K177" t="str">
        <f t="shared" si="8"/>
        <v/>
      </c>
      <c r="L177" s="4">
        <f t="shared" si="10"/>
        <v>0</v>
      </c>
    </row>
    <row r="178" spans="1:12" x14ac:dyDescent="0.25">
      <c r="A178">
        <v>63</v>
      </c>
      <c r="B178" s="3">
        <v>41796</v>
      </c>
      <c r="C178" s="4">
        <v>3562.5</v>
      </c>
      <c r="E178">
        <v>63</v>
      </c>
      <c r="F178" s="3">
        <v>41796</v>
      </c>
      <c r="G178" t="s">
        <v>181</v>
      </c>
      <c r="H178" s="18">
        <v>3562.5</v>
      </c>
      <c r="J178" s="20" t="str">
        <f t="shared" si="9"/>
        <v/>
      </c>
      <c r="K178" t="str">
        <f t="shared" si="8"/>
        <v/>
      </c>
      <c r="L178" s="4">
        <f t="shared" si="10"/>
        <v>0</v>
      </c>
    </row>
    <row r="179" spans="1:12" x14ac:dyDescent="0.25">
      <c r="A179">
        <v>71</v>
      </c>
      <c r="B179" s="3">
        <v>41796</v>
      </c>
      <c r="C179" s="4">
        <v>550</v>
      </c>
      <c r="E179">
        <v>71</v>
      </c>
      <c r="F179" s="3">
        <v>41796</v>
      </c>
      <c r="G179" t="s">
        <v>374</v>
      </c>
      <c r="H179" s="18">
        <v>550</v>
      </c>
      <c r="J179" s="20" t="str">
        <f t="shared" si="9"/>
        <v/>
      </c>
      <c r="K179" t="str">
        <f t="shared" si="8"/>
        <v/>
      </c>
      <c r="L179" s="4">
        <f t="shared" si="10"/>
        <v>0</v>
      </c>
    </row>
    <row r="180" spans="1:12" x14ac:dyDescent="0.25">
      <c r="A180">
        <v>79</v>
      </c>
      <c r="B180" s="3">
        <v>41796</v>
      </c>
      <c r="C180" s="4">
        <v>2363.5</v>
      </c>
      <c r="E180">
        <v>79</v>
      </c>
      <c r="F180" s="3">
        <v>41796</v>
      </c>
      <c r="G180" t="s">
        <v>372</v>
      </c>
      <c r="H180" s="18">
        <v>2363.5</v>
      </c>
      <c r="J180" s="20" t="str">
        <f t="shared" si="9"/>
        <v/>
      </c>
      <c r="K180" t="str">
        <f t="shared" si="8"/>
        <v/>
      </c>
      <c r="L180" s="4">
        <f t="shared" si="10"/>
        <v>0</v>
      </c>
    </row>
    <row r="181" spans="1:12" x14ac:dyDescent="0.25">
      <c r="A181">
        <v>83</v>
      </c>
      <c r="B181" s="3">
        <v>41796</v>
      </c>
      <c r="C181" s="4">
        <v>2600</v>
      </c>
      <c r="E181">
        <v>83</v>
      </c>
      <c r="F181" s="3">
        <v>41796</v>
      </c>
      <c r="G181" t="s">
        <v>351</v>
      </c>
      <c r="H181" s="18">
        <v>2600</v>
      </c>
      <c r="J181" s="20" t="str">
        <f t="shared" si="9"/>
        <v/>
      </c>
      <c r="K181" t="str">
        <f t="shared" si="8"/>
        <v/>
      </c>
      <c r="L181" s="4">
        <f t="shared" si="10"/>
        <v>0</v>
      </c>
    </row>
    <row r="182" spans="1:12" x14ac:dyDescent="0.25">
      <c r="A182">
        <v>85</v>
      </c>
      <c r="B182" s="3">
        <v>41796</v>
      </c>
      <c r="C182" s="4">
        <v>637.5</v>
      </c>
      <c r="E182">
        <v>85</v>
      </c>
      <c r="F182" s="3">
        <v>41796</v>
      </c>
      <c r="G182" t="s">
        <v>79</v>
      </c>
      <c r="H182" s="18">
        <v>637.5</v>
      </c>
      <c r="J182" s="20" t="str">
        <f t="shared" si="9"/>
        <v/>
      </c>
      <c r="K182" t="str">
        <f t="shared" si="8"/>
        <v/>
      </c>
      <c r="L182" s="4">
        <f t="shared" si="10"/>
        <v>0</v>
      </c>
    </row>
    <row r="183" spans="1:12" x14ac:dyDescent="0.25">
      <c r="A183">
        <v>88</v>
      </c>
      <c r="B183" s="3">
        <v>41796</v>
      </c>
      <c r="C183" s="4">
        <v>2610.5</v>
      </c>
      <c r="E183">
        <v>88</v>
      </c>
      <c r="F183" s="3">
        <v>41796</v>
      </c>
      <c r="G183" t="s">
        <v>364</v>
      </c>
      <c r="H183" s="18">
        <v>2610.5</v>
      </c>
      <c r="J183" s="20" t="str">
        <f t="shared" si="9"/>
        <v/>
      </c>
      <c r="K183" t="str">
        <f t="shared" si="8"/>
        <v/>
      </c>
      <c r="L183" s="4">
        <f t="shared" si="10"/>
        <v>0</v>
      </c>
    </row>
    <row r="184" spans="1:12" x14ac:dyDescent="0.25">
      <c r="A184">
        <v>96</v>
      </c>
      <c r="B184" s="3">
        <v>41796</v>
      </c>
      <c r="C184" s="4">
        <v>750</v>
      </c>
      <c r="E184">
        <v>96</v>
      </c>
      <c r="F184" s="3">
        <v>41796</v>
      </c>
      <c r="G184" t="s">
        <v>375</v>
      </c>
      <c r="H184" s="18">
        <v>750</v>
      </c>
      <c r="J184" s="20" t="str">
        <f t="shared" si="9"/>
        <v/>
      </c>
      <c r="K184" t="str">
        <f t="shared" si="8"/>
        <v/>
      </c>
      <c r="L184" s="4">
        <f t="shared" si="10"/>
        <v>0</v>
      </c>
    </row>
    <row r="185" spans="1:12" x14ac:dyDescent="0.25">
      <c r="A185">
        <v>99</v>
      </c>
      <c r="B185" s="3">
        <v>41796</v>
      </c>
      <c r="C185" s="4">
        <v>2647.95</v>
      </c>
      <c r="E185">
        <v>99</v>
      </c>
      <c r="F185" s="3">
        <v>41796</v>
      </c>
      <c r="G185" t="s">
        <v>240</v>
      </c>
      <c r="H185" s="18">
        <v>2647.95</v>
      </c>
      <c r="J185" s="20" t="str">
        <f t="shared" si="9"/>
        <v/>
      </c>
      <c r="K185" t="str">
        <f t="shared" si="8"/>
        <v/>
      </c>
      <c r="L185" s="4">
        <f t="shared" si="10"/>
        <v>0</v>
      </c>
    </row>
    <row r="186" spans="1:12" x14ac:dyDescent="0.25">
      <c r="A186">
        <v>100</v>
      </c>
      <c r="B186" s="3">
        <v>41796</v>
      </c>
      <c r="C186" s="4">
        <v>1400</v>
      </c>
      <c r="E186">
        <v>100</v>
      </c>
      <c r="F186" s="3">
        <v>41796</v>
      </c>
      <c r="G186" t="s">
        <v>376</v>
      </c>
      <c r="H186" s="18">
        <v>1400</v>
      </c>
      <c r="J186" s="20" t="str">
        <f t="shared" si="9"/>
        <v/>
      </c>
      <c r="K186" t="str">
        <f t="shared" si="8"/>
        <v/>
      </c>
      <c r="L186" s="4">
        <f t="shared" si="10"/>
        <v>0</v>
      </c>
    </row>
    <row r="187" spans="1:12" x14ac:dyDescent="0.25">
      <c r="A187">
        <v>101</v>
      </c>
      <c r="B187" s="3">
        <v>41796</v>
      </c>
      <c r="C187" s="4">
        <v>306</v>
      </c>
      <c r="E187">
        <v>101</v>
      </c>
      <c r="F187" s="3">
        <v>41796</v>
      </c>
      <c r="G187" t="s">
        <v>81</v>
      </c>
      <c r="H187" s="18">
        <v>306</v>
      </c>
      <c r="J187" s="20" t="str">
        <f t="shared" si="9"/>
        <v/>
      </c>
      <c r="K187" t="str">
        <f t="shared" si="8"/>
        <v/>
      </c>
      <c r="L187" s="4">
        <f t="shared" si="10"/>
        <v>0</v>
      </c>
    </row>
    <row r="188" spans="1:12" x14ac:dyDescent="0.25">
      <c r="A188">
        <v>104</v>
      </c>
      <c r="B188" s="3">
        <v>41796</v>
      </c>
      <c r="C188" s="4">
        <v>2741</v>
      </c>
      <c r="E188">
        <v>104</v>
      </c>
      <c r="F188" s="3">
        <v>41796</v>
      </c>
      <c r="G188" t="s">
        <v>210</v>
      </c>
      <c r="H188" s="18">
        <v>2741</v>
      </c>
      <c r="J188" s="20" t="str">
        <f t="shared" si="9"/>
        <v/>
      </c>
      <c r="K188" t="str">
        <f t="shared" si="8"/>
        <v/>
      </c>
      <c r="L188" s="4">
        <f t="shared" si="10"/>
        <v>0</v>
      </c>
    </row>
    <row r="189" spans="1:12" x14ac:dyDescent="0.25">
      <c r="A189">
        <v>108</v>
      </c>
      <c r="B189" s="3">
        <v>41796</v>
      </c>
      <c r="C189" s="4">
        <v>2249.4899999999998</v>
      </c>
      <c r="E189">
        <v>108</v>
      </c>
      <c r="F189" s="3">
        <v>41796</v>
      </c>
      <c r="G189" t="s">
        <v>160</v>
      </c>
      <c r="H189" s="18">
        <v>2249.4899999999998</v>
      </c>
      <c r="J189" s="20" t="str">
        <f t="shared" si="9"/>
        <v/>
      </c>
      <c r="K189" t="str">
        <f t="shared" si="8"/>
        <v/>
      </c>
      <c r="L189" s="4">
        <f t="shared" si="10"/>
        <v>0</v>
      </c>
    </row>
    <row r="190" spans="1:12" x14ac:dyDescent="0.25">
      <c r="A190">
        <v>109</v>
      </c>
      <c r="B190" s="3">
        <v>41796</v>
      </c>
      <c r="C190" s="4">
        <v>3090.5</v>
      </c>
      <c r="E190">
        <v>109</v>
      </c>
      <c r="F190" s="3">
        <v>41796</v>
      </c>
      <c r="G190" t="s">
        <v>82</v>
      </c>
      <c r="H190" s="18">
        <v>3090.5</v>
      </c>
      <c r="J190" s="20" t="str">
        <f t="shared" si="9"/>
        <v/>
      </c>
      <c r="K190" t="str">
        <f t="shared" si="8"/>
        <v/>
      </c>
      <c r="L190" s="4">
        <f t="shared" si="10"/>
        <v>0</v>
      </c>
    </row>
    <row r="191" spans="1:12" x14ac:dyDescent="0.25">
      <c r="A191">
        <v>111</v>
      </c>
      <c r="B191" s="3">
        <v>41796</v>
      </c>
      <c r="C191" s="4">
        <v>700</v>
      </c>
      <c r="E191">
        <v>111</v>
      </c>
      <c r="F191" s="3">
        <v>41796</v>
      </c>
      <c r="G191" t="s">
        <v>388</v>
      </c>
      <c r="H191" s="18">
        <v>700</v>
      </c>
      <c r="J191" s="20" t="str">
        <f t="shared" si="9"/>
        <v/>
      </c>
      <c r="K191" t="str">
        <f t="shared" si="8"/>
        <v/>
      </c>
      <c r="L191" s="4">
        <f t="shared" si="10"/>
        <v>0</v>
      </c>
    </row>
    <row r="192" spans="1:12" x14ac:dyDescent="0.25">
      <c r="A192">
        <v>113</v>
      </c>
      <c r="B192" s="3">
        <v>41796</v>
      </c>
      <c r="C192" s="4">
        <v>1100</v>
      </c>
      <c r="E192">
        <v>113</v>
      </c>
      <c r="F192" s="3">
        <v>41796</v>
      </c>
      <c r="G192" t="s">
        <v>84</v>
      </c>
      <c r="H192" s="18">
        <v>1350</v>
      </c>
      <c r="J192" s="20" t="str">
        <f t="shared" si="9"/>
        <v/>
      </c>
      <c r="K192" t="str">
        <f t="shared" si="8"/>
        <v/>
      </c>
      <c r="L192" s="4">
        <f t="shared" si="10"/>
        <v>-250</v>
      </c>
    </row>
    <row r="193" spans="1:12" x14ac:dyDescent="0.25">
      <c r="A193">
        <v>114</v>
      </c>
      <c r="B193" s="3">
        <v>41796</v>
      </c>
      <c r="C193" s="4">
        <v>1325</v>
      </c>
      <c r="E193">
        <v>114</v>
      </c>
      <c r="F193" s="3">
        <v>41796</v>
      </c>
      <c r="G193" t="s">
        <v>215</v>
      </c>
      <c r="H193" s="18">
        <v>1325</v>
      </c>
      <c r="J193" s="20" t="str">
        <f t="shared" si="9"/>
        <v/>
      </c>
      <c r="K193" t="str">
        <f t="shared" si="8"/>
        <v/>
      </c>
      <c r="L193" s="4">
        <f t="shared" si="10"/>
        <v>0</v>
      </c>
    </row>
    <row r="194" spans="1:12" x14ac:dyDescent="0.25">
      <c r="A194">
        <v>116</v>
      </c>
      <c r="B194" s="3">
        <v>41796</v>
      </c>
      <c r="C194" s="4">
        <v>650</v>
      </c>
      <c r="E194">
        <v>116</v>
      </c>
      <c r="F194" s="3">
        <v>41796</v>
      </c>
      <c r="G194" t="s">
        <v>358</v>
      </c>
      <c r="H194" s="18">
        <v>650</v>
      </c>
      <c r="J194" s="20" t="str">
        <f t="shared" si="9"/>
        <v/>
      </c>
      <c r="K194" t="str">
        <f t="shared" si="8"/>
        <v/>
      </c>
      <c r="L194" s="4">
        <f t="shared" si="10"/>
        <v>0</v>
      </c>
    </row>
    <row r="195" spans="1:12" x14ac:dyDescent="0.25">
      <c r="A195">
        <v>118</v>
      </c>
      <c r="B195" s="3">
        <v>41796</v>
      </c>
      <c r="C195" s="4">
        <v>2065.5</v>
      </c>
      <c r="E195">
        <v>118</v>
      </c>
      <c r="F195" s="3">
        <v>41796</v>
      </c>
      <c r="G195" t="s">
        <v>85</v>
      </c>
      <c r="H195" s="18">
        <v>2065.5</v>
      </c>
      <c r="J195" s="20" t="str">
        <f t="shared" si="9"/>
        <v/>
      </c>
      <c r="K195" t="str">
        <f t="shared" ref="K195:K258" si="11">IF(F195=B195,"","CHECK")</f>
        <v/>
      </c>
      <c r="L195" s="4">
        <f t="shared" si="10"/>
        <v>0</v>
      </c>
    </row>
    <row r="196" spans="1:12" x14ac:dyDescent="0.25">
      <c r="A196">
        <v>119</v>
      </c>
      <c r="B196" s="3">
        <v>41796</v>
      </c>
      <c r="C196" s="4">
        <v>1000</v>
      </c>
      <c r="E196">
        <v>119</v>
      </c>
      <c r="F196" s="3">
        <v>41796</v>
      </c>
      <c r="G196" t="s">
        <v>349</v>
      </c>
      <c r="H196" s="18">
        <v>1000</v>
      </c>
      <c r="J196" s="20" t="str">
        <f t="shared" si="9"/>
        <v/>
      </c>
      <c r="K196" t="str">
        <f t="shared" si="11"/>
        <v/>
      </c>
      <c r="L196" s="4">
        <f t="shared" si="10"/>
        <v>0</v>
      </c>
    </row>
    <row r="197" spans="1:12" x14ac:dyDescent="0.25">
      <c r="A197">
        <v>120</v>
      </c>
      <c r="B197" s="3">
        <v>41796</v>
      </c>
      <c r="C197" s="4">
        <v>1354.81</v>
      </c>
      <c r="E197">
        <v>120</v>
      </c>
      <c r="F197" s="3">
        <v>41796</v>
      </c>
      <c r="G197" t="s">
        <v>337</v>
      </c>
      <c r="H197" s="18">
        <v>1354.81</v>
      </c>
      <c r="J197" s="20" t="str">
        <f t="shared" ref="J197:J260" si="12">IF(E197=A197,"","CHECK")</f>
        <v/>
      </c>
      <c r="K197" t="str">
        <f t="shared" si="11"/>
        <v/>
      </c>
      <c r="L197" s="4">
        <f t="shared" ref="L197:L260" si="13">C197-H197</f>
        <v>0</v>
      </c>
    </row>
    <row r="198" spans="1:12" x14ac:dyDescent="0.25">
      <c r="A198">
        <v>125</v>
      </c>
      <c r="B198" s="3">
        <v>41796</v>
      </c>
      <c r="C198" s="4">
        <v>120.54</v>
      </c>
      <c r="E198">
        <v>125</v>
      </c>
      <c r="F198" s="3">
        <v>41796</v>
      </c>
      <c r="G198" t="s">
        <v>371</v>
      </c>
      <c r="H198" s="18">
        <v>120.54</v>
      </c>
      <c r="J198" s="20" t="str">
        <f t="shared" si="12"/>
        <v/>
      </c>
      <c r="K198" t="str">
        <f t="shared" si="11"/>
        <v/>
      </c>
      <c r="L198" s="4">
        <f t="shared" si="13"/>
        <v>0</v>
      </c>
    </row>
    <row r="199" spans="1:12" x14ac:dyDescent="0.25">
      <c r="A199">
        <v>130</v>
      </c>
      <c r="B199" s="3">
        <v>41796</v>
      </c>
      <c r="C199" s="4">
        <v>2038</v>
      </c>
      <c r="E199">
        <v>130</v>
      </c>
      <c r="F199" s="3">
        <v>41796</v>
      </c>
      <c r="G199" t="s">
        <v>366</v>
      </c>
      <c r="H199" s="18">
        <v>2038</v>
      </c>
      <c r="J199" s="20" t="str">
        <f t="shared" si="12"/>
        <v/>
      </c>
      <c r="K199" t="str">
        <f t="shared" si="11"/>
        <v/>
      </c>
      <c r="L199" s="4">
        <f t="shared" si="13"/>
        <v>0</v>
      </c>
    </row>
    <row r="200" spans="1:12" x14ac:dyDescent="0.25">
      <c r="A200">
        <v>137</v>
      </c>
      <c r="B200" s="3">
        <v>41796</v>
      </c>
      <c r="C200" s="4">
        <v>725</v>
      </c>
      <c r="E200">
        <v>137</v>
      </c>
      <c r="F200" s="3">
        <v>41796</v>
      </c>
      <c r="G200" t="s">
        <v>377</v>
      </c>
      <c r="H200" s="18">
        <v>725</v>
      </c>
      <c r="J200" s="20" t="str">
        <f t="shared" si="12"/>
        <v/>
      </c>
      <c r="K200" t="str">
        <f t="shared" si="11"/>
        <v/>
      </c>
      <c r="L200" s="4">
        <f t="shared" si="13"/>
        <v>0</v>
      </c>
    </row>
    <row r="201" spans="1:12" x14ac:dyDescent="0.25">
      <c r="A201">
        <v>138</v>
      </c>
      <c r="B201" s="3">
        <v>41796</v>
      </c>
      <c r="C201" s="4">
        <v>1933</v>
      </c>
      <c r="E201">
        <v>138</v>
      </c>
      <c r="F201" s="3">
        <v>41796</v>
      </c>
      <c r="G201" t="s">
        <v>16</v>
      </c>
      <c r="H201" s="18">
        <v>1933</v>
      </c>
      <c r="J201" s="20" t="str">
        <f t="shared" si="12"/>
        <v/>
      </c>
      <c r="K201" t="str">
        <f t="shared" si="11"/>
        <v/>
      </c>
      <c r="L201" s="4">
        <f t="shared" si="13"/>
        <v>0</v>
      </c>
    </row>
    <row r="202" spans="1:12" x14ac:dyDescent="0.25">
      <c r="A202">
        <v>139</v>
      </c>
      <c r="B202" s="3">
        <v>41796</v>
      </c>
      <c r="C202" s="4">
        <v>2444.5</v>
      </c>
      <c r="E202">
        <v>139</v>
      </c>
      <c r="F202" s="3">
        <v>41796</v>
      </c>
      <c r="G202" t="s">
        <v>263</v>
      </c>
      <c r="H202" s="18">
        <v>2444.5</v>
      </c>
      <c r="J202" s="20" t="str">
        <f t="shared" si="12"/>
        <v/>
      </c>
      <c r="K202" t="str">
        <f t="shared" si="11"/>
        <v/>
      </c>
      <c r="L202" s="4">
        <f t="shared" si="13"/>
        <v>0</v>
      </c>
    </row>
    <row r="203" spans="1:12" x14ac:dyDescent="0.25">
      <c r="A203">
        <v>140</v>
      </c>
      <c r="B203" s="3">
        <v>41796</v>
      </c>
      <c r="C203" s="4">
        <v>3875</v>
      </c>
      <c r="E203">
        <v>140</v>
      </c>
      <c r="F203" s="3">
        <v>41796</v>
      </c>
      <c r="G203" t="s">
        <v>88</v>
      </c>
      <c r="H203" s="18">
        <v>3875</v>
      </c>
      <c r="J203" s="20" t="str">
        <f t="shared" si="12"/>
        <v/>
      </c>
      <c r="K203" t="str">
        <f t="shared" si="11"/>
        <v/>
      </c>
      <c r="L203" s="4">
        <f t="shared" si="13"/>
        <v>0</v>
      </c>
    </row>
    <row r="204" spans="1:12" x14ac:dyDescent="0.25">
      <c r="A204">
        <v>142</v>
      </c>
      <c r="B204" s="3">
        <v>41796</v>
      </c>
      <c r="C204" s="4">
        <v>3300</v>
      </c>
      <c r="E204">
        <v>142</v>
      </c>
      <c r="F204" s="3">
        <v>41796</v>
      </c>
      <c r="G204" t="s">
        <v>324</v>
      </c>
      <c r="H204" s="18">
        <v>3300</v>
      </c>
      <c r="J204" s="20" t="str">
        <f t="shared" si="12"/>
        <v/>
      </c>
      <c r="K204" t="str">
        <f t="shared" si="11"/>
        <v/>
      </c>
      <c r="L204" s="4">
        <f t="shared" si="13"/>
        <v>0</v>
      </c>
    </row>
    <row r="205" spans="1:12" x14ac:dyDescent="0.25">
      <c r="A205">
        <v>143</v>
      </c>
      <c r="B205" s="3">
        <v>41796</v>
      </c>
      <c r="C205" s="4">
        <v>1442</v>
      </c>
      <c r="E205">
        <v>143</v>
      </c>
      <c r="F205" s="3">
        <v>41796</v>
      </c>
      <c r="G205" t="s">
        <v>359</v>
      </c>
      <c r="H205" s="18">
        <v>1442</v>
      </c>
      <c r="J205" s="20" t="str">
        <f t="shared" si="12"/>
        <v/>
      </c>
      <c r="K205" t="str">
        <f t="shared" si="11"/>
        <v/>
      </c>
      <c r="L205" s="4">
        <f t="shared" si="13"/>
        <v>0</v>
      </c>
    </row>
    <row r="206" spans="1:12" x14ac:dyDescent="0.25">
      <c r="A206">
        <v>147</v>
      </c>
      <c r="B206" s="3">
        <v>41796</v>
      </c>
      <c r="C206" s="4">
        <v>1250</v>
      </c>
      <c r="E206">
        <v>147</v>
      </c>
      <c r="F206" s="3">
        <v>41796</v>
      </c>
      <c r="G206" t="s">
        <v>178</v>
      </c>
      <c r="H206" s="18">
        <v>1250</v>
      </c>
      <c r="J206" s="20" t="str">
        <f t="shared" si="12"/>
        <v/>
      </c>
      <c r="K206" t="str">
        <f t="shared" si="11"/>
        <v/>
      </c>
      <c r="L206" s="4">
        <f t="shared" si="13"/>
        <v>0</v>
      </c>
    </row>
    <row r="207" spans="1:12" x14ac:dyDescent="0.25">
      <c r="A207">
        <v>152</v>
      </c>
      <c r="B207" s="3">
        <v>41796</v>
      </c>
      <c r="C207" s="4">
        <v>625</v>
      </c>
      <c r="E207">
        <v>152</v>
      </c>
      <c r="F207" s="3">
        <v>41796</v>
      </c>
      <c r="G207" t="s">
        <v>90</v>
      </c>
      <c r="H207" s="18">
        <v>625</v>
      </c>
      <c r="J207" s="20" t="str">
        <f t="shared" si="12"/>
        <v/>
      </c>
      <c r="K207" t="str">
        <f t="shared" si="11"/>
        <v/>
      </c>
      <c r="L207" s="4">
        <f t="shared" si="13"/>
        <v>0</v>
      </c>
    </row>
    <row r="208" spans="1:12" x14ac:dyDescent="0.25">
      <c r="A208">
        <v>175</v>
      </c>
      <c r="B208" s="3">
        <v>41796</v>
      </c>
      <c r="C208" s="4">
        <v>1050</v>
      </c>
      <c r="E208">
        <v>175</v>
      </c>
      <c r="F208" s="3">
        <v>41796</v>
      </c>
      <c r="G208" t="s">
        <v>275</v>
      </c>
      <c r="H208" s="18">
        <v>1050</v>
      </c>
      <c r="J208" s="20" t="str">
        <f t="shared" si="12"/>
        <v/>
      </c>
      <c r="K208" t="str">
        <f t="shared" si="11"/>
        <v/>
      </c>
      <c r="L208" s="4">
        <f t="shared" si="13"/>
        <v>0</v>
      </c>
    </row>
    <row r="209" spans="1:12" x14ac:dyDescent="0.25">
      <c r="A209">
        <v>27</v>
      </c>
      <c r="B209" s="3">
        <v>41803</v>
      </c>
      <c r="C209" s="4">
        <v>382.5</v>
      </c>
      <c r="E209">
        <v>27</v>
      </c>
      <c r="F209" s="3">
        <v>41803</v>
      </c>
      <c r="G209" t="s">
        <v>159</v>
      </c>
      <c r="H209" s="18">
        <v>382.51</v>
      </c>
      <c r="J209" s="20" t="str">
        <f t="shared" si="12"/>
        <v/>
      </c>
      <c r="K209" t="str">
        <f t="shared" si="11"/>
        <v/>
      </c>
      <c r="L209" s="4">
        <f t="shared" si="13"/>
        <v>-9.9999999999909051E-3</v>
      </c>
    </row>
    <row r="210" spans="1:12" x14ac:dyDescent="0.25">
      <c r="A210">
        <v>28</v>
      </c>
      <c r="B210" s="3">
        <v>41803</v>
      </c>
      <c r="C210" s="4">
        <v>688.5</v>
      </c>
      <c r="E210">
        <v>28</v>
      </c>
      <c r="F210" s="3">
        <v>41803</v>
      </c>
      <c r="G210" t="s">
        <v>6</v>
      </c>
      <c r="H210" s="18">
        <v>688.5</v>
      </c>
      <c r="J210" s="20" t="str">
        <f t="shared" si="12"/>
        <v/>
      </c>
      <c r="K210" t="str">
        <f t="shared" si="11"/>
        <v/>
      </c>
      <c r="L210" s="4">
        <f t="shared" si="13"/>
        <v>0</v>
      </c>
    </row>
    <row r="211" spans="1:12" x14ac:dyDescent="0.25">
      <c r="A211">
        <v>37</v>
      </c>
      <c r="B211" s="3">
        <v>41803</v>
      </c>
      <c r="C211" s="4">
        <v>7648.85</v>
      </c>
      <c r="E211">
        <v>37</v>
      </c>
      <c r="F211" s="3">
        <v>41803</v>
      </c>
      <c r="G211" t="s">
        <v>77</v>
      </c>
      <c r="H211" s="18">
        <v>7648.85</v>
      </c>
      <c r="J211" s="20" t="str">
        <f t="shared" si="12"/>
        <v/>
      </c>
      <c r="K211" t="str">
        <f t="shared" si="11"/>
        <v/>
      </c>
      <c r="L211" s="4">
        <f t="shared" si="13"/>
        <v>0</v>
      </c>
    </row>
    <row r="212" spans="1:12" x14ac:dyDescent="0.25">
      <c r="A212">
        <v>38</v>
      </c>
      <c r="B212" s="3">
        <v>41803</v>
      </c>
      <c r="C212" s="4">
        <v>1130.5</v>
      </c>
      <c r="E212">
        <v>38</v>
      </c>
      <c r="F212" s="3">
        <v>41803</v>
      </c>
      <c r="G212" t="s">
        <v>381</v>
      </c>
      <c r="H212" s="18">
        <v>1130.5</v>
      </c>
      <c r="J212" s="20" t="str">
        <f t="shared" si="12"/>
        <v/>
      </c>
      <c r="K212" t="str">
        <f t="shared" si="11"/>
        <v/>
      </c>
      <c r="L212" s="4">
        <f t="shared" si="13"/>
        <v>0</v>
      </c>
    </row>
    <row r="213" spans="1:12" x14ac:dyDescent="0.25">
      <c r="A213">
        <v>45</v>
      </c>
      <c r="B213" s="3">
        <v>41803</v>
      </c>
      <c r="C213" s="4">
        <v>2000</v>
      </c>
      <c r="E213">
        <v>45</v>
      </c>
      <c r="F213" s="3">
        <v>41803</v>
      </c>
      <c r="G213" t="s">
        <v>382</v>
      </c>
      <c r="H213" s="18">
        <v>2000</v>
      </c>
      <c r="J213" s="20" t="str">
        <f t="shared" si="12"/>
        <v/>
      </c>
      <c r="K213" t="str">
        <f t="shared" si="11"/>
        <v/>
      </c>
      <c r="L213" s="4">
        <f t="shared" si="13"/>
        <v>0</v>
      </c>
    </row>
    <row r="214" spans="1:12" x14ac:dyDescent="0.25">
      <c r="A214">
        <v>50</v>
      </c>
      <c r="B214" s="3">
        <v>41803</v>
      </c>
      <c r="C214" s="4">
        <v>2625</v>
      </c>
      <c r="E214">
        <v>50</v>
      </c>
      <c r="F214" s="3">
        <v>41803</v>
      </c>
      <c r="G214" t="s">
        <v>373</v>
      </c>
      <c r="H214" s="18">
        <v>2625</v>
      </c>
      <c r="J214" s="20" t="str">
        <f t="shared" si="12"/>
        <v/>
      </c>
      <c r="K214" t="str">
        <f t="shared" si="11"/>
        <v/>
      </c>
      <c r="L214" s="4">
        <f t="shared" si="13"/>
        <v>0</v>
      </c>
    </row>
    <row r="215" spans="1:12" x14ac:dyDescent="0.25">
      <c r="A215">
        <v>52</v>
      </c>
      <c r="B215" s="3">
        <v>41803</v>
      </c>
      <c r="C215" s="4">
        <v>3100</v>
      </c>
      <c r="E215">
        <v>52</v>
      </c>
      <c r="F215" s="3">
        <v>41803</v>
      </c>
      <c r="G215" t="s">
        <v>383</v>
      </c>
      <c r="H215" s="18">
        <v>3100</v>
      </c>
      <c r="J215" s="20" t="str">
        <f t="shared" si="12"/>
        <v/>
      </c>
      <c r="K215" t="str">
        <f t="shared" si="11"/>
        <v/>
      </c>
      <c r="L215" s="4">
        <f t="shared" si="13"/>
        <v>0</v>
      </c>
    </row>
    <row r="216" spans="1:12" x14ac:dyDescent="0.25">
      <c r="A216">
        <v>53</v>
      </c>
      <c r="B216" s="3">
        <v>41803</v>
      </c>
      <c r="C216" s="4">
        <v>1550</v>
      </c>
      <c r="E216">
        <v>53</v>
      </c>
      <c r="F216" s="3">
        <v>41803</v>
      </c>
      <c r="G216" t="s">
        <v>384</v>
      </c>
      <c r="H216" s="18">
        <v>1550</v>
      </c>
      <c r="J216" s="20" t="str">
        <f t="shared" si="12"/>
        <v/>
      </c>
      <c r="K216" t="str">
        <f t="shared" si="11"/>
        <v/>
      </c>
      <c r="L216" s="4">
        <f t="shared" si="13"/>
        <v>0</v>
      </c>
    </row>
    <row r="217" spans="1:12" x14ac:dyDescent="0.25">
      <c r="A217">
        <v>54</v>
      </c>
      <c r="B217" s="3">
        <v>41803</v>
      </c>
      <c r="C217" s="4">
        <v>18690</v>
      </c>
      <c r="E217">
        <v>54</v>
      </c>
      <c r="F217" s="3">
        <v>41803</v>
      </c>
      <c r="G217" t="s">
        <v>385</v>
      </c>
      <c r="H217" s="18">
        <v>18690</v>
      </c>
      <c r="J217" s="20" t="str">
        <f t="shared" si="12"/>
        <v/>
      </c>
      <c r="K217" t="str">
        <f t="shared" si="11"/>
        <v/>
      </c>
      <c r="L217" s="4">
        <f t="shared" si="13"/>
        <v>0</v>
      </c>
    </row>
    <row r="218" spans="1:12" x14ac:dyDescent="0.25">
      <c r="A218">
        <v>55</v>
      </c>
      <c r="B218" s="3">
        <v>41803</v>
      </c>
      <c r="C218" s="4">
        <v>1253.49</v>
      </c>
      <c r="E218">
        <v>55</v>
      </c>
      <c r="F218" s="3">
        <v>41803</v>
      </c>
      <c r="G218" t="s">
        <v>195</v>
      </c>
      <c r="H218" s="18">
        <v>1253.49</v>
      </c>
      <c r="J218" s="20" t="str">
        <f t="shared" si="12"/>
        <v/>
      </c>
      <c r="K218" t="str">
        <f t="shared" si="11"/>
        <v/>
      </c>
      <c r="L218" s="4">
        <f t="shared" si="13"/>
        <v>0</v>
      </c>
    </row>
    <row r="219" spans="1:12" x14ac:dyDescent="0.25">
      <c r="A219">
        <v>63</v>
      </c>
      <c r="B219" s="3">
        <v>41803</v>
      </c>
      <c r="C219" s="4">
        <v>781.25</v>
      </c>
      <c r="E219">
        <v>63</v>
      </c>
      <c r="F219" s="3">
        <v>41803</v>
      </c>
      <c r="G219" t="s">
        <v>181</v>
      </c>
      <c r="H219" s="18">
        <v>781.25</v>
      </c>
      <c r="J219" s="20" t="str">
        <f t="shared" si="12"/>
        <v/>
      </c>
      <c r="K219" t="str">
        <f t="shared" si="11"/>
        <v/>
      </c>
      <c r="L219" s="4">
        <f t="shared" si="13"/>
        <v>0</v>
      </c>
    </row>
    <row r="220" spans="1:12" x14ac:dyDescent="0.25">
      <c r="A220">
        <v>71</v>
      </c>
      <c r="B220" s="3">
        <v>41803</v>
      </c>
      <c r="C220" s="4">
        <v>3450</v>
      </c>
      <c r="E220">
        <v>71</v>
      </c>
      <c r="F220" s="3">
        <v>41803</v>
      </c>
      <c r="G220" t="s">
        <v>374</v>
      </c>
      <c r="H220" s="18">
        <v>3450</v>
      </c>
      <c r="J220" s="20" t="str">
        <f t="shared" si="12"/>
        <v/>
      </c>
      <c r="K220" t="str">
        <f t="shared" si="11"/>
        <v/>
      </c>
      <c r="L220" s="4">
        <f t="shared" si="13"/>
        <v>0</v>
      </c>
    </row>
    <row r="221" spans="1:12" x14ac:dyDescent="0.25">
      <c r="A221">
        <v>79</v>
      </c>
      <c r="B221" s="3">
        <v>41803</v>
      </c>
      <c r="C221" s="4">
        <v>725</v>
      </c>
      <c r="E221">
        <v>79</v>
      </c>
      <c r="F221" s="3">
        <v>41803</v>
      </c>
      <c r="G221" t="s">
        <v>372</v>
      </c>
      <c r="H221" s="18">
        <v>725</v>
      </c>
      <c r="J221" s="20" t="str">
        <f t="shared" si="12"/>
        <v/>
      </c>
      <c r="K221" t="str">
        <f t="shared" si="11"/>
        <v/>
      </c>
      <c r="L221" s="4">
        <f t="shared" si="13"/>
        <v>0</v>
      </c>
    </row>
    <row r="222" spans="1:12" x14ac:dyDescent="0.25">
      <c r="A222">
        <v>83</v>
      </c>
      <c r="B222" s="3">
        <v>41803</v>
      </c>
      <c r="C222" s="4">
        <v>357</v>
      </c>
      <c r="E222">
        <v>83</v>
      </c>
      <c r="F222" s="3">
        <v>41803</v>
      </c>
      <c r="G222" t="s">
        <v>351</v>
      </c>
      <c r="H222" s="18">
        <v>357</v>
      </c>
      <c r="J222" s="20" t="str">
        <f t="shared" si="12"/>
        <v/>
      </c>
      <c r="K222" t="str">
        <f t="shared" si="11"/>
        <v/>
      </c>
      <c r="L222" s="4">
        <f t="shared" si="13"/>
        <v>0</v>
      </c>
    </row>
    <row r="223" spans="1:12" x14ac:dyDescent="0.25">
      <c r="A223">
        <v>94</v>
      </c>
      <c r="B223" s="3">
        <v>41803</v>
      </c>
      <c r="C223" s="4">
        <v>1661</v>
      </c>
      <c r="E223">
        <v>94</v>
      </c>
      <c r="F223" s="3">
        <v>41803</v>
      </c>
      <c r="G223" t="s">
        <v>182</v>
      </c>
      <c r="H223" s="18">
        <v>1661</v>
      </c>
      <c r="J223" s="20" t="str">
        <f t="shared" si="12"/>
        <v/>
      </c>
      <c r="K223" t="str">
        <f t="shared" si="11"/>
        <v/>
      </c>
      <c r="L223" s="4">
        <f t="shared" si="13"/>
        <v>0</v>
      </c>
    </row>
    <row r="224" spans="1:12" x14ac:dyDescent="0.25">
      <c r="A224">
        <v>99</v>
      </c>
      <c r="B224" s="3">
        <v>41803</v>
      </c>
      <c r="C224" s="4">
        <v>625</v>
      </c>
      <c r="E224">
        <v>99</v>
      </c>
      <c r="F224" s="3">
        <v>41803</v>
      </c>
      <c r="G224" t="s">
        <v>240</v>
      </c>
      <c r="H224" s="18">
        <v>625</v>
      </c>
      <c r="J224" s="20" t="str">
        <f t="shared" si="12"/>
        <v/>
      </c>
      <c r="K224" t="str">
        <f t="shared" si="11"/>
        <v/>
      </c>
      <c r="L224" s="4">
        <f t="shared" si="13"/>
        <v>0</v>
      </c>
    </row>
    <row r="225" spans="1:12" x14ac:dyDescent="0.25">
      <c r="A225">
        <v>102</v>
      </c>
      <c r="B225" s="3">
        <v>41803</v>
      </c>
      <c r="C225" s="4">
        <v>1480</v>
      </c>
      <c r="E225">
        <v>102</v>
      </c>
      <c r="F225" s="3">
        <v>41803</v>
      </c>
      <c r="G225" t="s">
        <v>365</v>
      </c>
      <c r="H225" s="18">
        <v>1480</v>
      </c>
      <c r="J225" s="20" t="str">
        <f t="shared" si="12"/>
        <v/>
      </c>
      <c r="K225" t="str">
        <f t="shared" si="11"/>
        <v/>
      </c>
      <c r="L225" s="4">
        <f t="shared" si="13"/>
        <v>0</v>
      </c>
    </row>
    <row r="226" spans="1:12" x14ac:dyDescent="0.25">
      <c r="A226">
        <v>104</v>
      </c>
      <c r="B226" s="3">
        <v>41803</v>
      </c>
      <c r="C226" s="4">
        <v>622</v>
      </c>
      <c r="E226">
        <v>104</v>
      </c>
      <c r="F226" s="3">
        <v>41803</v>
      </c>
      <c r="G226" t="s">
        <v>210</v>
      </c>
      <c r="H226" s="18">
        <v>622</v>
      </c>
      <c r="J226" s="20" t="str">
        <f t="shared" si="12"/>
        <v/>
      </c>
      <c r="K226" t="str">
        <f t="shared" si="11"/>
        <v/>
      </c>
      <c r="L226" s="4">
        <f t="shared" si="13"/>
        <v>0</v>
      </c>
    </row>
    <row r="227" spans="1:12" x14ac:dyDescent="0.25">
      <c r="A227">
        <v>108</v>
      </c>
      <c r="B227" s="3">
        <v>41803</v>
      </c>
      <c r="C227" s="4">
        <v>1244.5</v>
      </c>
      <c r="E227">
        <v>108</v>
      </c>
      <c r="F227" s="3">
        <v>41803</v>
      </c>
      <c r="G227" t="s">
        <v>160</v>
      </c>
      <c r="H227" s="18">
        <v>1244.5</v>
      </c>
      <c r="J227" s="20" t="str">
        <f t="shared" si="12"/>
        <v/>
      </c>
      <c r="K227" t="str">
        <f t="shared" si="11"/>
        <v/>
      </c>
      <c r="L227" s="4">
        <f t="shared" si="13"/>
        <v>0</v>
      </c>
    </row>
    <row r="228" spans="1:12" x14ac:dyDescent="0.25">
      <c r="A228">
        <v>109</v>
      </c>
      <c r="B228" s="3">
        <v>41803</v>
      </c>
      <c r="C228" s="4">
        <v>3450</v>
      </c>
      <c r="E228">
        <v>109</v>
      </c>
      <c r="F228" s="3">
        <v>41803</v>
      </c>
      <c r="G228" t="s">
        <v>82</v>
      </c>
      <c r="H228" s="18">
        <v>3450</v>
      </c>
      <c r="J228" s="20" t="str">
        <f t="shared" si="12"/>
        <v/>
      </c>
      <c r="K228" t="str">
        <f t="shared" si="11"/>
        <v/>
      </c>
      <c r="L228" s="4">
        <f t="shared" si="13"/>
        <v>0</v>
      </c>
    </row>
    <row r="229" spans="1:12" x14ac:dyDescent="0.25">
      <c r="A229">
        <v>113</v>
      </c>
      <c r="B229" s="3">
        <v>41803</v>
      </c>
      <c r="C229" s="4">
        <v>559</v>
      </c>
      <c r="E229">
        <v>113</v>
      </c>
      <c r="F229" s="3">
        <v>41803</v>
      </c>
      <c r="G229" t="s">
        <v>84</v>
      </c>
      <c r="H229" s="18">
        <v>559</v>
      </c>
      <c r="J229" s="20" t="str">
        <f t="shared" si="12"/>
        <v/>
      </c>
      <c r="K229" t="str">
        <f t="shared" si="11"/>
        <v/>
      </c>
      <c r="L229" s="4">
        <f t="shared" si="13"/>
        <v>0</v>
      </c>
    </row>
    <row r="230" spans="1:12" x14ac:dyDescent="0.25">
      <c r="A230">
        <v>114</v>
      </c>
      <c r="B230" s="3">
        <v>41803</v>
      </c>
      <c r="C230" s="4">
        <v>1350</v>
      </c>
      <c r="E230">
        <v>114</v>
      </c>
      <c r="F230" s="3">
        <v>41803</v>
      </c>
      <c r="G230" t="s">
        <v>215</v>
      </c>
      <c r="H230" s="18">
        <v>1350</v>
      </c>
      <c r="J230" s="20" t="str">
        <f t="shared" si="12"/>
        <v/>
      </c>
      <c r="K230" t="str">
        <f t="shared" si="11"/>
        <v/>
      </c>
      <c r="L230" s="4">
        <f t="shared" si="13"/>
        <v>0</v>
      </c>
    </row>
    <row r="231" spans="1:12" x14ac:dyDescent="0.25">
      <c r="A231">
        <v>116</v>
      </c>
      <c r="B231" s="3">
        <v>41803</v>
      </c>
      <c r="C231" s="4">
        <v>575</v>
      </c>
      <c r="E231">
        <v>116</v>
      </c>
      <c r="F231" s="3">
        <v>41803</v>
      </c>
      <c r="G231" t="s">
        <v>358</v>
      </c>
      <c r="H231" s="18">
        <v>575</v>
      </c>
      <c r="J231" s="20" t="str">
        <f t="shared" si="12"/>
        <v/>
      </c>
      <c r="K231" t="str">
        <f t="shared" si="11"/>
        <v/>
      </c>
      <c r="L231" s="4">
        <f t="shared" si="13"/>
        <v>0</v>
      </c>
    </row>
    <row r="232" spans="1:12" x14ac:dyDescent="0.25">
      <c r="A232">
        <v>119</v>
      </c>
      <c r="B232" s="3">
        <v>41803</v>
      </c>
      <c r="C232" s="4">
        <v>2450</v>
      </c>
      <c r="E232">
        <v>119</v>
      </c>
      <c r="F232" s="3">
        <v>41803</v>
      </c>
      <c r="G232" t="s">
        <v>349</v>
      </c>
      <c r="H232" s="18">
        <v>2450</v>
      </c>
      <c r="J232" s="20" t="str">
        <f t="shared" si="12"/>
        <v/>
      </c>
      <c r="K232" t="str">
        <f t="shared" si="11"/>
        <v/>
      </c>
      <c r="L232" s="4">
        <f t="shared" si="13"/>
        <v>0</v>
      </c>
    </row>
    <row r="233" spans="1:12" x14ac:dyDescent="0.25">
      <c r="A233">
        <v>123</v>
      </c>
      <c r="B233" s="3">
        <v>41803</v>
      </c>
      <c r="C233" s="4">
        <v>575</v>
      </c>
      <c r="E233">
        <v>123</v>
      </c>
      <c r="F233" s="3">
        <v>41803</v>
      </c>
      <c r="G233" t="s">
        <v>386</v>
      </c>
      <c r="H233" s="18">
        <v>575</v>
      </c>
      <c r="J233" s="20" t="str">
        <f t="shared" si="12"/>
        <v/>
      </c>
      <c r="K233" t="str">
        <f t="shared" si="11"/>
        <v/>
      </c>
      <c r="L233" s="4">
        <f t="shared" si="13"/>
        <v>0</v>
      </c>
    </row>
    <row r="234" spans="1:12" x14ac:dyDescent="0.25">
      <c r="A234">
        <v>130</v>
      </c>
      <c r="B234" s="3">
        <v>41803</v>
      </c>
      <c r="C234" s="4">
        <v>1305.5</v>
      </c>
      <c r="E234">
        <v>130</v>
      </c>
      <c r="F234" s="3">
        <v>41803</v>
      </c>
      <c r="G234" t="s">
        <v>366</v>
      </c>
      <c r="H234" s="18">
        <v>1305.5</v>
      </c>
      <c r="J234" s="20" t="str">
        <f t="shared" si="12"/>
        <v/>
      </c>
      <c r="K234" t="str">
        <f t="shared" si="11"/>
        <v/>
      </c>
      <c r="L234" s="4">
        <f t="shared" si="13"/>
        <v>0</v>
      </c>
    </row>
    <row r="235" spans="1:12" x14ac:dyDescent="0.25">
      <c r="A235">
        <v>133</v>
      </c>
      <c r="B235" s="3">
        <v>41803</v>
      </c>
      <c r="C235" s="4">
        <v>1243.1300000000001</v>
      </c>
      <c r="E235">
        <v>133</v>
      </c>
      <c r="F235" s="3">
        <v>41803</v>
      </c>
      <c r="G235" t="s">
        <v>87</v>
      </c>
      <c r="H235" s="18">
        <v>1243.1300000000001</v>
      </c>
      <c r="J235" s="20" t="str">
        <f t="shared" si="12"/>
        <v/>
      </c>
      <c r="K235" t="str">
        <f t="shared" si="11"/>
        <v/>
      </c>
      <c r="L235" s="4">
        <f t="shared" si="13"/>
        <v>0</v>
      </c>
    </row>
    <row r="236" spans="1:12" x14ac:dyDescent="0.25">
      <c r="A236">
        <v>134</v>
      </c>
      <c r="B236" s="3">
        <v>41803</v>
      </c>
      <c r="C236" s="4">
        <v>500</v>
      </c>
      <c r="E236">
        <v>134</v>
      </c>
      <c r="F236" s="3">
        <v>41803</v>
      </c>
      <c r="G236" t="s">
        <v>291</v>
      </c>
      <c r="H236" s="18">
        <v>500</v>
      </c>
      <c r="J236" s="20" t="str">
        <f t="shared" si="12"/>
        <v/>
      </c>
      <c r="K236" t="str">
        <f t="shared" si="11"/>
        <v/>
      </c>
      <c r="L236" s="4">
        <f t="shared" si="13"/>
        <v>0</v>
      </c>
    </row>
    <row r="237" spans="1:12" x14ac:dyDescent="0.25">
      <c r="A237">
        <v>137</v>
      </c>
      <c r="B237" s="3">
        <v>41803</v>
      </c>
      <c r="C237" s="4">
        <v>5625</v>
      </c>
      <c r="E237">
        <v>137</v>
      </c>
      <c r="F237" s="3">
        <v>41803</v>
      </c>
      <c r="G237" t="s">
        <v>377</v>
      </c>
      <c r="H237" s="18">
        <v>5625</v>
      </c>
      <c r="J237" s="20" t="str">
        <f t="shared" si="12"/>
        <v/>
      </c>
      <c r="K237" t="str">
        <f t="shared" si="11"/>
        <v/>
      </c>
      <c r="L237" s="4">
        <f t="shared" si="13"/>
        <v>0</v>
      </c>
    </row>
    <row r="238" spans="1:12" x14ac:dyDescent="0.25">
      <c r="A238">
        <v>139</v>
      </c>
      <c r="B238" s="3">
        <v>41803</v>
      </c>
      <c r="C238" s="4">
        <v>550</v>
      </c>
      <c r="E238">
        <v>139</v>
      </c>
      <c r="F238" s="3">
        <v>41803</v>
      </c>
      <c r="G238" t="s">
        <v>263</v>
      </c>
      <c r="H238" s="18">
        <v>550</v>
      </c>
      <c r="J238" s="20" t="str">
        <f t="shared" si="12"/>
        <v/>
      </c>
      <c r="K238" t="str">
        <f t="shared" si="11"/>
        <v/>
      </c>
      <c r="L238" s="4">
        <f t="shared" si="13"/>
        <v>0</v>
      </c>
    </row>
    <row r="239" spans="1:12" x14ac:dyDescent="0.25">
      <c r="A239">
        <v>140</v>
      </c>
      <c r="B239" s="3">
        <v>41803</v>
      </c>
      <c r="C239" s="4">
        <v>1725</v>
      </c>
      <c r="E239">
        <v>140</v>
      </c>
      <c r="F239" s="3">
        <v>41803</v>
      </c>
      <c r="G239" t="s">
        <v>88</v>
      </c>
      <c r="H239" s="18">
        <v>1725</v>
      </c>
      <c r="J239" s="20" t="str">
        <f t="shared" si="12"/>
        <v/>
      </c>
      <c r="K239" t="str">
        <f t="shared" si="11"/>
        <v/>
      </c>
      <c r="L239" s="4">
        <f t="shared" si="13"/>
        <v>0</v>
      </c>
    </row>
    <row r="240" spans="1:12" x14ac:dyDescent="0.25">
      <c r="A240">
        <v>141</v>
      </c>
      <c r="B240" s="3">
        <v>41803</v>
      </c>
      <c r="C240" s="4">
        <v>905</v>
      </c>
      <c r="E240">
        <v>141</v>
      </c>
      <c r="F240" s="3">
        <v>41803</v>
      </c>
      <c r="G240" t="s">
        <v>196</v>
      </c>
      <c r="H240" s="18">
        <v>905</v>
      </c>
      <c r="J240" s="20" t="str">
        <f t="shared" si="12"/>
        <v/>
      </c>
      <c r="K240" t="str">
        <f t="shared" si="11"/>
        <v/>
      </c>
      <c r="L240" s="4">
        <f t="shared" si="13"/>
        <v>0</v>
      </c>
    </row>
    <row r="241" spans="1:12" x14ac:dyDescent="0.25">
      <c r="A241">
        <v>143</v>
      </c>
      <c r="B241" s="3">
        <v>41803</v>
      </c>
      <c r="C241" s="4">
        <v>1575</v>
      </c>
      <c r="E241">
        <v>143</v>
      </c>
      <c r="F241" s="3">
        <v>41803</v>
      </c>
      <c r="G241" t="s">
        <v>359</v>
      </c>
      <c r="H241" s="18">
        <v>1575</v>
      </c>
      <c r="J241" s="20" t="str">
        <f t="shared" si="12"/>
        <v/>
      </c>
      <c r="K241" t="str">
        <f t="shared" si="11"/>
        <v/>
      </c>
      <c r="L241" s="4">
        <f t="shared" si="13"/>
        <v>0</v>
      </c>
    </row>
    <row r="242" spans="1:12" x14ac:dyDescent="0.25">
      <c r="A242">
        <v>146</v>
      </c>
      <c r="B242" s="3">
        <v>41803</v>
      </c>
      <c r="C242" s="4">
        <v>475</v>
      </c>
      <c r="E242">
        <v>146</v>
      </c>
      <c r="F242" s="3">
        <v>41803</v>
      </c>
      <c r="G242" t="s">
        <v>362</v>
      </c>
      <c r="H242" s="18">
        <v>475</v>
      </c>
      <c r="J242" s="20" t="str">
        <f t="shared" si="12"/>
        <v/>
      </c>
      <c r="K242" t="str">
        <f t="shared" si="11"/>
        <v/>
      </c>
      <c r="L242" s="4">
        <f t="shared" si="13"/>
        <v>0</v>
      </c>
    </row>
    <row r="243" spans="1:12" x14ac:dyDescent="0.25">
      <c r="A243">
        <v>147</v>
      </c>
      <c r="B243" s="3">
        <v>41803</v>
      </c>
      <c r="C243" s="4">
        <v>650</v>
      </c>
      <c r="E243">
        <v>147</v>
      </c>
      <c r="F243" s="3">
        <v>41803</v>
      </c>
      <c r="G243" t="s">
        <v>178</v>
      </c>
      <c r="H243" s="18">
        <v>650</v>
      </c>
      <c r="J243" s="20" t="str">
        <f t="shared" si="12"/>
        <v/>
      </c>
      <c r="K243" t="str">
        <f t="shared" si="11"/>
        <v/>
      </c>
      <c r="L243" s="4">
        <f t="shared" si="13"/>
        <v>0</v>
      </c>
    </row>
    <row r="244" spans="1:12" x14ac:dyDescent="0.25">
      <c r="A244">
        <v>149</v>
      </c>
      <c r="B244" s="3">
        <v>41803</v>
      </c>
      <c r="C244" s="4">
        <v>575</v>
      </c>
      <c r="E244">
        <v>149</v>
      </c>
      <c r="F244" s="3">
        <v>41803</v>
      </c>
      <c r="G244" t="s">
        <v>241</v>
      </c>
      <c r="H244" s="18">
        <v>575</v>
      </c>
      <c r="J244" s="20" t="str">
        <f t="shared" si="12"/>
        <v/>
      </c>
      <c r="K244" t="str">
        <f t="shared" si="11"/>
        <v/>
      </c>
      <c r="L244" s="4">
        <f t="shared" si="13"/>
        <v>0</v>
      </c>
    </row>
    <row r="245" spans="1:12" x14ac:dyDescent="0.25">
      <c r="A245">
        <v>150</v>
      </c>
      <c r="B245" s="3">
        <v>41803</v>
      </c>
      <c r="C245" s="4">
        <v>1000</v>
      </c>
      <c r="E245">
        <v>150</v>
      </c>
      <c r="F245" s="3">
        <v>41803</v>
      </c>
      <c r="G245" t="s">
        <v>387</v>
      </c>
      <c r="H245" s="18">
        <v>1000</v>
      </c>
      <c r="J245" s="20" t="str">
        <f t="shared" si="12"/>
        <v/>
      </c>
      <c r="K245" t="str">
        <f t="shared" si="11"/>
        <v/>
      </c>
      <c r="L245" s="4">
        <f t="shared" si="13"/>
        <v>0</v>
      </c>
    </row>
    <row r="246" spans="1:12" x14ac:dyDescent="0.25">
      <c r="A246">
        <v>151</v>
      </c>
      <c r="B246" s="3">
        <v>41803</v>
      </c>
      <c r="C246" s="4">
        <v>1475</v>
      </c>
      <c r="E246">
        <v>151</v>
      </c>
      <c r="F246" s="3">
        <v>41803</v>
      </c>
      <c r="G246" t="s">
        <v>378</v>
      </c>
      <c r="H246" s="18">
        <v>1475</v>
      </c>
      <c r="J246" s="20" t="str">
        <f t="shared" si="12"/>
        <v/>
      </c>
      <c r="K246" t="str">
        <f t="shared" si="11"/>
        <v/>
      </c>
      <c r="L246" s="4">
        <f t="shared" si="13"/>
        <v>0</v>
      </c>
    </row>
    <row r="247" spans="1:12" x14ac:dyDescent="0.25">
      <c r="A247">
        <v>160</v>
      </c>
      <c r="B247" s="3">
        <v>41803</v>
      </c>
      <c r="C247" s="4">
        <v>300</v>
      </c>
      <c r="E247">
        <v>160</v>
      </c>
      <c r="F247" s="3">
        <v>41803</v>
      </c>
      <c r="G247" t="s">
        <v>353</v>
      </c>
      <c r="H247" s="18">
        <v>300</v>
      </c>
      <c r="J247" s="20" t="str">
        <f t="shared" si="12"/>
        <v/>
      </c>
      <c r="K247" t="str">
        <f t="shared" si="11"/>
        <v/>
      </c>
      <c r="L247" s="4">
        <f t="shared" si="13"/>
        <v>0</v>
      </c>
    </row>
    <row r="248" spans="1:12" x14ac:dyDescent="0.25">
      <c r="A248">
        <v>163</v>
      </c>
      <c r="B248" s="3">
        <v>41803</v>
      </c>
      <c r="C248" s="4">
        <v>525</v>
      </c>
      <c r="E248">
        <v>163</v>
      </c>
      <c r="F248" s="3">
        <v>41803</v>
      </c>
      <c r="G248" t="s">
        <v>379</v>
      </c>
      <c r="H248" s="18">
        <v>525</v>
      </c>
      <c r="J248" s="20" t="str">
        <f t="shared" si="12"/>
        <v/>
      </c>
      <c r="K248" t="str">
        <f t="shared" si="11"/>
        <v/>
      </c>
      <c r="L248" s="4">
        <f t="shared" si="13"/>
        <v>0</v>
      </c>
    </row>
    <row r="249" spans="1:12" x14ac:dyDescent="0.25">
      <c r="A249">
        <v>185</v>
      </c>
      <c r="B249" s="3">
        <v>41803</v>
      </c>
      <c r="C249" s="4">
        <v>900</v>
      </c>
      <c r="E249">
        <v>185</v>
      </c>
      <c r="F249" s="3">
        <v>41803</v>
      </c>
      <c r="G249" t="s">
        <v>17</v>
      </c>
      <c r="H249" s="18">
        <v>900</v>
      </c>
      <c r="J249" s="20" t="str">
        <f t="shared" si="12"/>
        <v/>
      </c>
      <c r="K249" t="str">
        <f t="shared" si="11"/>
        <v/>
      </c>
      <c r="L249" s="4">
        <f t="shared" si="13"/>
        <v>0</v>
      </c>
    </row>
    <row r="250" spans="1:12" x14ac:dyDescent="0.25">
      <c r="A250">
        <v>138</v>
      </c>
      <c r="B250" s="3">
        <v>41806</v>
      </c>
      <c r="C250" s="4">
        <v>2675</v>
      </c>
      <c r="E250">
        <v>138</v>
      </c>
      <c r="F250" s="3">
        <v>41806</v>
      </c>
      <c r="G250" t="s">
        <v>16</v>
      </c>
      <c r="H250" s="18">
        <v>2675</v>
      </c>
      <c r="J250" s="20" t="str">
        <f t="shared" si="12"/>
        <v/>
      </c>
      <c r="K250" t="str">
        <f t="shared" si="11"/>
        <v/>
      </c>
      <c r="L250" s="4">
        <f t="shared" si="13"/>
        <v>0</v>
      </c>
    </row>
    <row r="251" spans="1:12" x14ac:dyDescent="0.25">
      <c r="A251">
        <v>164</v>
      </c>
      <c r="B251" s="3">
        <v>41806</v>
      </c>
      <c r="C251" s="4">
        <v>1086</v>
      </c>
      <c r="E251">
        <v>164</v>
      </c>
      <c r="F251" s="3">
        <v>41806</v>
      </c>
      <c r="G251" t="s">
        <v>361</v>
      </c>
      <c r="H251" s="18">
        <v>1086</v>
      </c>
      <c r="J251" s="20" t="str">
        <f t="shared" si="12"/>
        <v/>
      </c>
      <c r="K251" t="str">
        <f t="shared" si="11"/>
        <v/>
      </c>
      <c r="L251" s="4">
        <f t="shared" si="13"/>
        <v>0</v>
      </c>
    </row>
    <row r="252" spans="1:12" x14ac:dyDescent="0.25">
      <c r="A252">
        <v>187</v>
      </c>
      <c r="B252" s="3">
        <v>41806</v>
      </c>
      <c r="C252" s="4">
        <v>1150</v>
      </c>
      <c r="E252">
        <v>187</v>
      </c>
      <c r="F252" s="3">
        <v>41806</v>
      </c>
      <c r="G252" t="s">
        <v>380</v>
      </c>
      <c r="H252" s="18">
        <v>1150</v>
      </c>
      <c r="J252" s="20" t="str">
        <f t="shared" si="12"/>
        <v/>
      </c>
      <c r="K252" t="str">
        <f t="shared" si="11"/>
        <v/>
      </c>
      <c r="L252" s="4">
        <f t="shared" si="13"/>
        <v>0</v>
      </c>
    </row>
    <row r="253" spans="1:12" x14ac:dyDescent="0.25">
      <c r="A253">
        <v>27</v>
      </c>
      <c r="B253" s="3">
        <v>41810</v>
      </c>
      <c r="C253" s="4">
        <v>5147.18</v>
      </c>
      <c r="E253">
        <v>27</v>
      </c>
      <c r="F253" s="3">
        <v>41810</v>
      </c>
      <c r="G253" t="s">
        <v>159</v>
      </c>
      <c r="H253" s="18">
        <v>5147.1899999999996</v>
      </c>
      <c r="J253" s="20" t="str">
        <f t="shared" si="12"/>
        <v/>
      </c>
      <c r="K253" t="str">
        <f t="shared" si="11"/>
        <v/>
      </c>
      <c r="L253" s="4">
        <f t="shared" si="13"/>
        <v>-9.999999999308784E-3</v>
      </c>
    </row>
    <row r="254" spans="1:12" x14ac:dyDescent="0.25">
      <c r="A254">
        <v>37</v>
      </c>
      <c r="B254" s="3">
        <v>41810</v>
      </c>
      <c r="C254" s="4">
        <v>4277.5</v>
      </c>
      <c r="E254">
        <v>37</v>
      </c>
      <c r="F254" s="3">
        <v>41810</v>
      </c>
      <c r="G254" t="s">
        <v>77</v>
      </c>
      <c r="H254" s="18">
        <v>4277.5</v>
      </c>
      <c r="J254" s="20" t="str">
        <f t="shared" si="12"/>
        <v/>
      </c>
      <c r="K254" t="str">
        <f t="shared" si="11"/>
        <v/>
      </c>
      <c r="L254" s="4">
        <f t="shared" si="13"/>
        <v>0</v>
      </c>
    </row>
    <row r="255" spans="1:12" x14ac:dyDescent="0.25">
      <c r="A255">
        <v>41</v>
      </c>
      <c r="B255" s="3">
        <v>41810</v>
      </c>
      <c r="C255" s="4">
        <v>597.41</v>
      </c>
      <c r="E255">
        <v>41</v>
      </c>
      <c r="F255" s="3">
        <v>41810</v>
      </c>
      <c r="G255" t="s">
        <v>10</v>
      </c>
      <c r="H255" s="18">
        <v>597.41</v>
      </c>
      <c r="J255" s="20" t="str">
        <f t="shared" si="12"/>
        <v/>
      </c>
      <c r="K255" t="str">
        <f t="shared" si="11"/>
        <v/>
      </c>
      <c r="L255" s="4">
        <f t="shared" si="13"/>
        <v>0</v>
      </c>
    </row>
    <row r="256" spans="1:12" x14ac:dyDescent="0.25">
      <c r="A256">
        <v>50</v>
      </c>
      <c r="B256" s="3">
        <v>41810</v>
      </c>
      <c r="C256" s="4">
        <v>300</v>
      </c>
      <c r="E256">
        <v>50</v>
      </c>
      <c r="F256" s="3">
        <v>41810</v>
      </c>
      <c r="G256" t="s">
        <v>373</v>
      </c>
      <c r="H256" s="18">
        <v>300</v>
      </c>
      <c r="J256" s="20" t="str">
        <f t="shared" si="12"/>
        <v/>
      </c>
      <c r="K256" t="str">
        <f t="shared" si="11"/>
        <v/>
      </c>
      <c r="L256" s="4">
        <f t="shared" si="13"/>
        <v>0</v>
      </c>
    </row>
    <row r="257" spans="1:12" x14ac:dyDescent="0.25">
      <c r="A257">
        <v>59</v>
      </c>
      <c r="B257" s="3">
        <v>41810</v>
      </c>
      <c r="C257" s="4">
        <v>235.88</v>
      </c>
      <c r="E257">
        <v>59</v>
      </c>
      <c r="F257" s="3">
        <v>41810</v>
      </c>
      <c r="G257" t="s">
        <v>354</v>
      </c>
      <c r="H257" s="18">
        <v>235.88</v>
      </c>
      <c r="J257" s="20" t="str">
        <f t="shared" si="12"/>
        <v/>
      </c>
      <c r="K257" t="str">
        <f t="shared" si="11"/>
        <v/>
      </c>
      <c r="L257" s="4">
        <f t="shared" si="13"/>
        <v>0</v>
      </c>
    </row>
    <row r="258" spans="1:12" x14ac:dyDescent="0.25">
      <c r="A258">
        <v>63</v>
      </c>
      <c r="B258" s="3">
        <v>41810</v>
      </c>
      <c r="C258" s="4">
        <v>1108.53</v>
      </c>
      <c r="E258">
        <v>63</v>
      </c>
      <c r="F258" s="3">
        <v>41810</v>
      </c>
      <c r="G258" t="s">
        <v>181</v>
      </c>
      <c r="H258" s="18">
        <v>1108.53</v>
      </c>
      <c r="J258" s="20" t="str">
        <f t="shared" si="12"/>
        <v/>
      </c>
      <c r="K258" t="str">
        <f t="shared" si="11"/>
        <v/>
      </c>
      <c r="L258" s="4">
        <f t="shared" si="13"/>
        <v>0</v>
      </c>
    </row>
    <row r="259" spans="1:12" x14ac:dyDescent="0.25">
      <c r="A259">
        <v>71</v>
      </c>
      <c r="B259" s="3">
        <v>41810</v>
      </c>
      <c r="C259" s="4">
        <v>2671</v>
      </c>
      <c r="E259">
        <v>71</v>
      </c>
      <c r="F259" s="3">
        <v>41810</v>
      </c>
      <c r="G259" t="s">
        <v>374</v>
      </c>
      <c r="H259" s="18">
        <v>2671</v>
      </c>
      <c r="J259" s="20" t="str">
        <f t="shared" si="12"/>
        <v/>
      </c>
      <c r="K259" t="str">
        <f t="shared" ref="K259:K322" si="14">IF(F259=B259,"","CHECK")</f>
        <v/>
      </c>
      <c r="L259" s="4">
        <f t="shared" si="13"/>
        <v>0</v>
      </c>
    </row>
    <row r="260" spans="1:12" x14ac:dyDescent="0.25">
      <c r="A260">
        <v>83</v>
      </c>
      <c r="B260" s="3">
        <v>41810</v>
      </c>
      <c r="C260" s="4">
        <v>25</v>
      </c>
      <c r="E260">
        <v>83</v>
      </c>
      <c r="F260" s="3">
        <v>41810</v>
      </c>
      <c r="G260" t="s">
        <v>351</v>
      </c>
      <c r="H260" s="18">
        <v>25</v>
      </c>
      <c r="J260" s="20" t="str">
        <f t="shared" si="12"/>
        <v/>
      </c>
      <c r="K260" t="str">
        <f t="shared" si="14"/>
        <v/>
      </c>
      <c r="L260" s="4">
        <f t="shared" si="13"/>
        <v>0</v>
      </c>
    </row>
    <row r="261" spans="1:12" x14ac:dyDescent="0.25">
      <c r="A261">
        <v>85</v>
      </c>
      <c r="B261" s="3">
        <v>41810</v>
      </c>
      <c r="C261" s="4">
        <v>2047.32</v>
      </c>
      <c r="E261">
        <v>85</v>
      </c>
      <c r="F261" s="3">
        <v>41810</v>
      </c>
      <c r="G261" t="s">
        <v>79</v>
      </c>
      <c r="H261" s="18">
        <v>2047.32</v>
      </c>
      <c r="J261" s="20" t="str">
        <f t="shared" ref="J261:J324" si="15">IF(E261=A261,"","CHECK")</f>
        <v/>
      </c>
      <c r="K261" t="str">
        <f t="shared" si="14"/>
        <v/>
      </c>
      <c r="L261" s="4">
        <f t="shared" ref="L261:L324" si="16">C261-H261</f>
        <v>0</v>
      </c>
    </row>
    <row r="262" spans="1:12" x14ac:dyDescent="0.25">
      <c r="A262">
        <v>94</v>
      </c>
      <c r="B262" s="3">
        <v>41810</v>
      </c>
      <c r="C262" s="4">
        <v>819</v>
      </c>
      <c r="E262">
        <v>94</v>
      </c>
      <c r="F262" s="3">
        <v>41810</v>
      </c>
      <c r="G262" t="s">
        <v>182</v>
      </c>
      <c r="H262" s="18">
        <v>819</v>
      </c>
      <c r="J262" s="20" t="str">
        <f t="shared" si="15"/>
        <v/>
      </c>
      <c r="K262" t="str">
        <f t="shared" si="14"/>
        <v/>
      </c>
      <c r="L262" s="4">
        <f t="shared" si="16"/>
        <v>0</v>
      </c>
    </row>
    <row r="263" spans="1:12" x14ac:dyDescent="0.25">
      <c r="A263">
        <v>96</v>
      </c>
      <c r="B263" s="3">
        <v>41810</v>
      </c>
      <c r="C263" s="4">
        <v>125</v>
      </c>
      <c r="E263">
        <v>96</v>
      </c>
      <c r="F263" s="3">
        <v>41810</v>
      </c>
      <c r="G263" t="s">
        <v>375</v>
      </c>
      <c r="H263" s="18">
        <v>125</v>
      </c>
      <c r="J263" s="20" t="str">
        <f t="shared" si="15"/>
        <v/>
      </c>
      <c r="K263" t="str">
        <f t="shared" si="14"/>
        <v/>
      </c>
      <c r="L263" s="4">
        <f t="shared" si="16"/>
        <v>0</v>
      </c>
    </row>
    <row r="264" spans="1:12" x14ac:dyDescent="0.25">
      <c r="A264">
        <v>99</v>
      </c>
      <c r="B264" s="3">
        <v>41810</v>
      </c>
      <c r="C264" s="4">
        <v>2182.14</v>
      </c>
      <c r="E264">
        <v>99</v>
      </c>
      <c r="F264" s="3">
        <v>41810</v>
      </c>
      <c r="G264" t="s">
        <v>240</v>
      </c>
      <c r="H264" s="18">
        <v>2182.14</v>
      </c>
      <c r="J264" s="20" t="str">
        <f t="shared" si="15"/>
        <v/>
      </c>
      <c r="K264" t="str">
        <f t="shared" si="14"/>
        <v/>
      </c>
      <c r="L264" s="4">
        <f t="shared" si="16"/>
        <v>0</v>
      </c>
    </row>
    <row r="265" spans="1:12" x14ac:dyDescent="0.25">
      <c r="A265">
        <v>100</v>
      </c>
      <c r="B265" s="3">
        <v>41810</v>
      </c>
      <c r="C265" s="4">
        <v>150</v>
      </c>
      <c r="E265">
        <v>100</v>
      </c>
      <c r="F265" s="3">
        <v>41810</v>
      </c>
      <c r="G265" t="s">
        <v>376</v>
      </c>
      <c r="H265" s="18">
        <v>150</v>
      </c>
      <c r="J265" s="20" t="str">
        <f t="shared" si="15"/>
        <v/>
      </c>
      <c r="K265" t="str">
        <f t="shared" si="14"/>
        <v/>
      </c>
      <c r="L265" s="4">
        <f t="shared" si="16"/>
        <v>0</v>
      </c>
    </row>
    <row r="266" spans="1:12" x14ac:dyDescent="0.25">
      <c r="A266">
        <v>108</v>
      </c>
      <c r="B266" s="3">
        <v>41810</v>
      </c>
      <c r="C266" s="4">
        <v>2775</v>
      </c>
      <c r="E266">
        <v>108</v>
      </c>
      <c r="F266" s="3">
        <v>41810</v>
      </c>
      <c r="G266" t="s">
        <v>160</v>
      </c>
      <c r="H266" s="18">
        <v>2775</v>
      </c>
      <c r="J266" s="20" t="str">
        <f t="shared" si="15"/>
        <v/>
      </c>
      <c r="K266" t="str">
        <f t="shared" si="14"/>
        <v/>
      </c>
      <c r="L266" s="4">
        <f t="shared" si="16"/>
        <v>0</v>
      </c>
    </row>
    <row r="267" spans="1:12" x14ac:dyDescent="0.25">
      <c r="A267">
        <v>112</v>
      </c>
      <c r="B267" s="3">
        <v>41810</v>
      </c>
      <c r="C267" s="4">
        <v>825</v>
      </c>
      <c r="E267">
        <v>112</v>
      </c>
      <c r="F267" s="3">
        <v>41810</v>
      </c>
      <c r="G267" t="s">
        <v>370</v>
      </c>
      <c r="H267" s="18">
        <v>825</v>
      </c>
      <c r="J267" s="20" t="str">
        <f t="shared" si="15"/>
        <v/>
      </c>
      <c r="K267" t="str">
        <f t="shared" si="14"/>
        <v/>
      </c>
      <c r="L267" s="4">
        <f t="shared" si="16"/>
        <v>0</v>
      </c>
    </row>
    <row r="268" spans="1:12" x14ac:dyDescent="0.25">
      <c r="A268">
        <v>114</v>
      </c>
      <c r="B268" s="3">
        <v>41810</v>
      </c>
      <c r="C268" s="4">
        <v>579.5</v>
      </c>
      <c r="E268">
        <v>114</v>
      </c>
      <c r="F268" s="3">
        <v>41810</v>
      </c>
      <c r="G268" t="s">
        <v>215</v>
      </c>
      <c r="H268" s="18">
        <v>579.5</v>
      </c>
      <c r="J268" s="20" t="str">
        <f t="shared" si="15"/>
        <v/>
      </c>
      <c r="K268" t="str">
        <f t="shared" si="14"/>
        <v/>
      </c>
      <c r="L268" s="4">
        <f t="shared" si="16"/>
        <v>0</v>
      </c>
    </row>
    <row r="269" spans="1:12" x14ac:dyDescent="0.25">
      <c r="A269">
        <v>125</v>
      </c>
      <c r="B269" s="3">
        <v>41810</v>
      </c>
      <c r="C269" s="4">
        <v>225</v>
      </c>
      <c r="E269">
        <v>125</v>
      </c>
      <c r="F269" s="3">
        <v>41810</v>
      </c>
      <c r="G269" t="s">
        <v>371</v>
      </c>
      <c r="H269" s="18">
        <v>225</v>
      </c>
      <c r="J269" s="20" t="str">
        <f t="shared" si="15"/>
        <v/>
      </c>
      <c r="K269" t="str">
        <f t="shared" si="14"/>
        <v/>
      </c>
      <c r="L269" s="4">
        <f t="shared" si="16"/>
        <v>0</v>
      </c>
    </row>
    <row r="270" spans="1:12" x14ac:dyDescent="0.25">
      <c r="A270">
        <v>133</v>
      </c>
      <c r="B270" s="3">
        <v>41810</v>
      </c>
      <c r="C270" s="4">
        <v>1531.25</v>
      </c>
      <c r="E270">
        <v>133</v>
      </c>
      <c r="F270" s="3">
        <v>41810</v>
      </c>
      <c r="G270" t="s">
        <v>87</v>
      </c>
      <c r="H270" s="18">
        <v>1531.25</v>
      </c>
      <c r="J270" s="20" t="str">
        <f t="shared" si="15"/>
        <v/>
      </c>
      <c r="K270" t="str">
        <f t="shared" si="14"/>
        <v/>
      </c>
      <c r="L270" s="4">
        <f t="shared" si="16"/>
        <v>0</v>
      </c>
    </row>
    <row r="271" spans="1:12" x14ac:dyDescent="0.25">
      <c r="A271">
        <v>137</v>
      </c>
      <c r="B271" s="3">
        <v>41810</v>
      </c>
      <c r="C271" s="4">
        <v>923.07</v>
      </c>
      <c r="E271">
        <v>137</v>
      </c>
      <c r="F271" s="3">
        <v>41810</v>
      </c>
      <c r="G271" t="s">
        <v>377</v>
      </c>
      <c r="H271" s="18">
        <v>923.07</v>
      </c>
      <c r="J271" s="20" t="str">
        <f t="shared" si="15"/>
        <v/>
      </c>
      <c r="K271" t="str">
        <f t="shared" si="14"/>
        <v/>
      </c>
      <c r="L271" s="4">
        <f t="shared" si="16"/>
        <v>0</v>
      </c>
    </row>
    <row r="272" spans="1:12" x14ac:dyDescent="0.25">
      <c r="A272">
        <v>138</v>
      </c>
      <c r="B272" s="3">
        <v>41810</v>
      </c>
      <c r="C272" s="4">
        <v>2719.5</v>
      </c>
      <c r="E272">
        <v>138</v>
      </c>
      <c r="F272" s="3">
        <v>41810</v>
      </c>
      <c r="G272" t="s">
        <v>16</v>
      </c>
      <c r="H272" s="18">
        <v>2719.5</v>
      </c>
      <c r="J272" s="20" t="str">
        <f t="shared" si="15"/>
        <v/>
      </c>
      <c r="K272" t="str">
        <f t="shared" si="14"/>
        <v/>
      </c>
      <c r="L272" s="4">
        <f t="shared" si="16"/>
        <v>0</v>
      </c>
    </row>
    <row r="273" spans="1:12" x14ac:dyDescent="0.25">
      <c r="A273">
        <v>139</v>
      </c>
      <c r="B273" s="3">
        <v>41810</v>
      </c>
      <c r="C273" s="4">
        <v>925</v>
      </c>
      <c r="E273">
        <v>139</v>
      </c>
      <c r="F273" s="3">
        <v>41810</v>
      </c>
      <c r="G273" t="s">
        <v>263</v>
      </c>
      <c r="H273" s="18">
        <v>925</v>
      </c>
      <c r="J273" s="20" t="str">
        <f t="shared" si="15"/>
        <v/>
      </c>
      <c r="K273" t="str">
        <f t="shared" si="14"/>
        <v/>
      </c>
      <c r="L273" s="4">
        <f t="shared" si="16"/>
        <v>0</v>
      </c>
    </row>
    <row r="274" spans="1:12" x14ac:dyDescent="0.25">
      <c r="A274">
        <v>140</v>
      </c>
      <c r="B274" s="3">
        <v>41810</v>
      </c>
      <c r="C274" s="4">
        <v>1050</v>
      </c>
      <c r="E274">
        <v>140</v>
      </c>
      <c r="F274" s="3">
        <v>41810</v>
      </c>
      <c r="G274" t="s">
        <v>88</v>
      </c>
      <c r="H274" s="18">
        <v>1050</v>
      </c>
      <c r="J274" s="20" t="str">
        <f t="shared" si="15"/>
        <v/>
      </c>
      <c r="K274" t="str">
        <f t="shared" si="14"/>
        <v/>
      </c>
      <c r="L274" s="4">
        <f t="shared" si="16"/>
        <v>0</v>
      </c>
    </row>
    <row r="275" spans="1:12" x14ac:dyDescent="0.25">
      <c r="A275">
        <v>141</v>
      </c>
      <c r="B275" s="3">
        <v>41810</v>
      </c>
      <c r="C275" s="4">
        <v>2200</v>
      </c>
      <c r="E275">
        <v>141</v>
      </c>
      <c r="F275" s="3">
        <v>41810</v>
      </c>
      <c r="G275" t="s">
        <v>196</v>
      </c>
      <c r="H275" s="18">
        <v>2200</v>
      </c>
      <c r="J275" s="20" t="str">
        <f t="shared" si="15"/>
        <v/>
      </c>
      <c r="K275" t="str">
        <f t="shared" si="14"/>
        <v/>
      </c>
      <c r="L275" s="4">
        <f t="shared" si="16"/>
        <v>0</v>
      </c>
    </row>
    <row r="276" spans="1:12" x14ac:dyDescent="0.25">
      <c r="A276">
        <v>143</v>
      </c>
      <c r="B276" s="3">
        <v>41810</v>
      </c>
      <c r="C276" s="4">
        <v>2350</v>
      </c>
      <c r="E276">
        <v>143</v>
      </c>
      <c r="F276" s="3">
        <v>41810</v>
      </c>
      <c r="G276" t="s">
        <v>359</v>
      </c>
      <c r="H276" s="18">
        <v>2350</v>
      </c>
      <c r="J276" s="20" t="str">
        <f t="shared" si="15"/>
        <v/>
      </c>
      <c r="K276" t="str">
        <f t="shared" si="14"/>
        <v/>
      </c>
      <c r="L276" s="4">
        <f t="shared" si="16"/>
        <v>0</v>
      </c>
    </row>
    <row r="277" spans="1:12" x14ac:dyDescent="0.25">
      <c r="A277">
        <v>146</v>
      </c>
      <c r="B277" s="3">
        <v>41810</v>
      </c>
      <c r="C277" s="4">
        <v>1600</v>
      </c>
      <c r="E277">
        <v>146</v>
      </c>
      <c r="F277" s="3">
        <v>41810</v>
      </c>
      <c r="G277" t="s">
        <v>362</v>
      </c>
      <c r="H277" s="18">
        <v>1600</v>
      </c>
      <c r="J277" s="20" t="str">
        <f t="shared" si="15"/>
        <v/>
      </c>
      <c r="K277" t="str">
        <f t="shared" si="14"/>
        <v/>
      </c>
      <c r="L277" s="4">
        <f t="shared" si="16"/>
        <v>0</v>
      </c>
    </row>
    <row r="278" spans="1:12" x14ac:dyDescent="0.25">
      <c r="A278">
        <v>149</v>
      </c>
      <c r="B278" s="3">
        <v>41810</v>
      </c>
      <c r="C278" s="4">
        <v>1300</v>
      </c>
      <c r="E278">
        <v>149</v>
      </c>
      <c r="F278" s="3">
        <v>41810</v>
      </c>
      <c r="G278" t="s">
        <v>241</v>
      </c>
      <c r="H278" s="18">
        <v>1300</v>
      </c>
      <c r="J278" s="20" t="str">
        <f t="shared" si="15"/>
        <v/>
      </c>
      <c r="K278" t="str">
        <f t="shared" si="14"/>
        <v/>
      </c>
      <c r="L278" s="4">
        <f t="shared" si="16"/>
        <v>0</v>
      </c>
    </row>
    <row r="279" spans="1:12" x14ac:dyDescent="0.25">
      <c r="A279">
        <v>151</v>
      </c>
      <c r="B279" s="3">
        <v>41810</v>
      </c>
      <c r="C279" s="4">
        <v>1400</v>
      </c>
      <c r="E279">
        <v>151</v>
      </c>
      <c r="F279" s="3">
        <v>41810</v>
      </c>
      <c r="G279" t="s">
        <v>378</v>
      </c>
      <c r="H279" s="18">
        <v>1400</v>
      </c>
      <c r="J279" s="20" t="str">
        <f t="shared" si="15"/>
        <v/>
      </c>
      <c r="K279" t="str">
        <f t="shared" si="14"/>
        <v/>
      </c>
      <c r="L279" s="4">
        <f t="shared" si="16"/>
        <v>0</v>
      </c>
    </row>
    <row r="280" spans="1:12" x14ac:dyDescent="0.25">
      <c r="A280">
        <v>152</v>
      </c>
      <c r="B280" s="3">
        <v>41810</v>
      </c>
      <c r="C280" s="4">
        <v>1325</v>
      </c>
      <c r="E280">
        <v>152</v>
      </c>
      <c r="F280" s="3">
        <v>41810</v>
      </c>
      <c r="G280" t="s">
        <v>90</v>
      </c>
      <c r="H280" s="18">
        <v>1325</v>
      </c>
      <c r="J280" s="20" t="str">
        <f t="shared" si="15"/>
        <v/>
      </c>
      <c r="K280" t="str">
        <f t="shared" si="14"/>
        <v/>
      </c>
      <c r="L280" s="4">
        <f t="shared" si="16"/>
        <v>0</v>
      </c>
    </row>
    <row r="281" spans="1:12" x14ac:dyDescent="0.25">
      <c r="A281">
        <v>154</v>
      </c>
      <c r="B281" s="3">
        <v>41810</v>
      </c>
      <c r="C281" s="4">
        <v>353.57</v>
      </c>
      <c r="E281">
        <v>154</v>
      </c>
      <c r="F281" s="3">
        <v>41810</v>
      </c>
      <c r="G281" t="s">
        <v>367</v>
      </c>
      <c r="H281" s="18">
        <v>353.57</v>
      </c>
      <c r="J281" s="20" t="str">
        <f t="shared" si="15"/>
        <v/>
      </c>
      <c r="K281" t="str">
        <f t="shared" si="14"/>
        <v/>
      </c>
      <c r="L281" s="4">
        <f t="shared" si="16"/>
        <v>0</v>
      </c>
    </row>
    <row r="282" spans="1:12" x14ac:dyDescent="0.25">
      <c r="A282">
        <v>156</v>
      </c>
      <c r="B282" s="3">
        <v>41810</v>
      </c>
      <c r="C282" s="4">
        <v>1150</v>
      </c>
      <c r="E282">
        <v>156</v>
      </c>
      <c r="F282" s="3">
        <v>41810</v>
      </c>
      <c r="G282" t="s">
        <v>360</v>
      </c>
      <c r="H282" s="18">
        <v>1150</v>
      </c>
      <c r="J282" s="20" t="str">
        <f t="shared" si="15"/>
        <v/>
      </c>
      <c r="K282" t="str">
        <f t="shared" si="14"/>
        <v/>
      </c>
      <c r="L282" s="4">
        <f t="shared" si="16"/>
        <v>0</v>
      </c>
    </row>
    <row r="283" spans="1:12" x14ac:dyDescent="0.25">
      <c r="A283">
        <v>157</v>
      </c>
      <c r="B283" s="3">
        <v>41810</v>
      </c>
      <c r="C283" s="4">
        <v>639.29</v>
      </c>
      <c r="E283">
        <v>157</v>
      </c>
      <c r="F283" s="3">
        <v>41810</v>
      </c>
      <c r="G283" t="s">
        <v>92</v>
      </c>
      <c r="H283" s="18">
        <v>639.29</v>
      </c>
      <c r="J283" s="20" t="str">
        <f t="shared" si="15"/>
        <v/>
      </c>
      <c r="K283" t="str">
        <f t="shared" si="14"/>
        <v/>
      </c>
      <c r="L283" s="4">
        <f t="shared" si="16"/>
        <v>0</v>
      </c>
    </row>
    <row r="284" spans="1:12" x14ac:dyDescent="0.25">
      <c r="A284">
        <v>159</v>
      </c>
      <c r="B284" s="3">
        <v>41810</v>
      </c>
      <c r="C284" s="4">
        <v>650</v>
      </c>
      <c r="E284">
        <v>159</v>
      </c>
      <c r="F284" s="3">
        <v>41810</v>
      </c>
      <c r="G284" t="s">
        <v>330</v>
      </c>
      <c r="H284" s="18">
        <v>650</v>
      </c>
      <c r="J284" s="20" t="str">
        <f t="shared" si="15"/>
        <v/>
      </c>
      <c r="K284" t="str">
        <f t="shared" si="14"/>
        <v/>
      </c>
      <c r="L284" s="4">
        <f t="shared" si="16"/>
        <v>0</v>
      </c>
    </row>
    <row r="285" spans="1:12" x14ac:dyDescent="0.25">
      <c r="A285">
        <v>160</v>
      </c>
      <c r="B285" s="3">
        <v>41810</v>
      </c>
      <c r="C285" s="4">
        <v>433.5</v>
      </c>
      <c r="E285">
        <v>160</v>
      </c>
      <c r="F285" s="3">
        <v>41810</v>
      </c>
      <c r="G285" t="s">
        <v>353</v>
      </c>
      <c r="H285" s="18">
        <v>433.5</v>
      </c>
      <c r="J285" s="20" t="str">
        <f t="shared" si="15"/>
        <v/>
      </c>
      <c r="K285" t="str">
        <f t="shared" si="14"/>
        <v/>
      </c>
      <c r="L285" s="4">
        <f t="shared" si="16"/>
        <v>0</v>
      </c>
    </row>
    <row r="286" spans="1:12" x14ac:dyDescent="0.25">
      <c r="A286">
        <v>161</v>
      </c>
      <c r="B286" s="3">
        <v>41810</v>
      </c>
      <c r="C286" s="4">
        <v>2650</v>
      </c>
      <c r="E286">
        <v>161</v>
      </c>
      <c r="F286" s="3">
        <v>41810</v>
      </c>
      <c r="G286" t="s">
        <v>183</v>
      </c>
      <c r="H286" s="18">
        <v>2650</v>
      </c>
      <c r="J286" s="20" t="str">
        <f t="shared" si="15"/>
        <v/>
      </c>
      <c r="K286" t="str">
        <f t="shared" si="14"/>
        <v/>
      </c>
      <c r="L286" s="4">
        <f t="shared" si="16"/>
        <v>0</v>
      </c>
    </row>
    <row r="287" spans="1:12" x14ac:dyDescent="0.25">
      <c r="A287">
        <v>163</v>
      </c>
      <c r="B287" s="3">
        <v>41810</v>
      </c>
      <c r="C287" s="4">
        <v>475</v>
      </c>
      <c r="E287">
        <v>163</v>
      </c>
      <c r="F287" s="3">
        <v>41810</v>
      </c>
      <c r="G287" t="s">
        <v>379</v>
      </c>
      <c r="H287" s="18">
        <v>475</v>
      </c>
      <c r="J287" s="20" t="str">
        <f t="shared" si="15"/>
        <v/>
      </c>
      <c r="K287" t="str">
        <f t="shared" si="14"/>
        <v/>
      </c>
      <c r="L287" s="4">
        <f t="shared" si="16"/>
        <v>0</v>
      </c>
    </row>
    <row r="288" spans="1:12" x14ac:dyDescent="0.25">
      <c r="A288">
        <v>164</v>
      </c>
      <c r="B288" s="3">
        <v>41810</v>
      </c>
      <c r="C288" s="4">
        <v>775</v>
      </c>
      <c r="E288">
        <v>164</v>
      </c>
      <c r="F288" s="3">
        <v>41810</v>
      </c>
      <c r="G288" t="s">
        <v>361</v>
      </c>
      <c r="H288" s="18">
        <v>775</v>
      </c>
      <c r="J288" s="20" t="str">
        <f t="shared" si="15"/>
        <v/>
      </c>
      <c r="K288" t="str">
        <f t="shared" si="14"/>
        <v/>
      </c>
      <c r="L288" s="4">
        <f t="shared" si="16"/>
        <v>0</v>
      </c>
    </row>
    <row r="289" spans="1:12" x14ac:dyDescent="0.25">
      <c r="A289">
        <v>184</v>
      </c>
      <c r="B289" s="3">
        <v>41810</v>
      </c>
      <c r="C289" s="4">
        <v>2652</v>
      </c>
      <c r="E289">
        <v>184</v>
      </c>
      <c r="F289" s="3">
        <v>41810</v>
      </c>
      <c r="G289" t="s">
        <v>217</v>
      </c>
      <c r="H289" s="18">
        <v>2652</v>
      </c>
      <c r="J289" s="20" t="str">
        <f t="shared" si="15"/>
        <v/>
      </c>
      <c r="K289" t="str">
        <f t="shared" si="14"/>
        <v/>
      </c>
      <c r="L289" s="4">
        <f t="shared" si="16"/>
        <v>0</v>
      </c>
    </row>
    <row r="290" spans="1:12" x14ac:dyDescent="0.25">
      <c r="A290">
        <v>185</v>
      </c>
      <c r="B290" s="3">
        <v>41810</v>
      </c>
      <c r="C290" s="4">
        <v>1000</v>
      </c>
      <c r="E290">
        <v>185</v>
      </c>
      <c r="F290" s="3">
        <v>41810</v>
      </c>
      <c r="G290" t="s">
        <v>17</v>
      </c>
      <c r="H290" s="18">
        <v>1000</v>
      </c>
      <c r="J290" s="20" t="str">
        <f t="shared" si="15"/>
        <v/>
      </c>
      <c r="K290" t="str">
        <f t="shared" si="14"/>
        <v/>
      </c>
      <c r="L290" s="4">
        <f t="shared" si="16"/>
        <v>0</v>
      </c>
    </row>
    <row r="291" spans="1:12" x14ac:dyDescent="0.25">
      <c r="A291">
        <v>192</v>
      </c>
      <c r="B291" s="3">
        <v>41810</v>
      </c>
      <c r="C291" s="4">
        <v>1000</v>
      </c>
      <c r="E291">
        <v>192</v>
      </c>
      <c r="F291" s="3">
        <v>41810</v>
      </c>
      <c r="G291" t="s">
        <v>94</v>
      </c>
      <c r="H291" s="18">
        <v>1000</v>
      </c>
      <c r="J291" s="20" t="str">
        <f t="shared" si="15"/>
        <v/>
      </c>
      <c r="K291" t="str">
        <f t="shared" si="14"/>
        <v/>
      </c>
      <c r="L291" s="4">
        <f t="shared" si="16"/>
        <v>0</v>
      </c>
    </row>
    <row r="292" spans="1:12" x14ac:dyDescent="0.25">
      <c r="A292">
        <v>204</v>
      </c>
      <c r="B292" s="3">
        <v>41810</v>
      </c>
      <c r="C292" s="4">
        <v>300</v>
      </c>
      <c r="E292">
        <v>204</v>
      </c>
      <c r="F292" s="3">
        <v>41810</v>
      </c>
      <c r="G292" t="s">
        <v>242</v>
      </c>
      <c r="H292" s="18">
        <v>300</v>
      </c>
      <c r="J292" s="20" t="str">
        <f t="shared" si="15"/>
        <v/>
      </c>
      <c r="K292" t="str">
        <f t="shared" si="14"/>
        <v/>
      </c>
      <c r="L292" s="4">
        <f t="shared" si="16"/>
        <v>0</v>
      </c>
    </row>
    <row r="293" spans="1:12" x14ac:dyDescent="0.25">
      <c r="A293">
        <v>218</v>
      </c>
      <c r="B293" s="3">
        <v>41810</v>
      </c>
      <c r="C293" s="4">
        <v>1187.5</v>
      </c>
      <c r="E293">
        <v>218</v>
      </c>
      <c r="F293" s="3">
        <v>41810</v>
      </c>
      <c r="G293" t="s">
        <v>233</v>
      </c>
      <c r="H293" s="18">
        <v>1187.5</v>
      </c>
      <c r="J293" s="20" t="str">
        <f t="shared" si="15"/>
        <v/>
      </c>
      <c r="K293" t="str">
        <f t="shared" si="14"/>
        <v/>
      </c>
      <c r="L293" s="4">
        <f t="shared" si="16"/>
        <v>0</v>
      </c>
    </row>
    <row r="294" spans="1:12" x14ac:dyDescent="0.25">
      <c r="A294">
        <v>223</v>
      </c>
      <c r="B294" s="3">
        <v>41810</v>
      </c>
      <c r="C294" s="4">
        <v>250</v>
      </c>
      <c r="E294">
        <v>223</v>
      </c>
      <c r="F294" s="3">
        <v>41810</v>
      </c>
      <c r="G294" t="s">
        <v>325</v>
      </c>
      <c r="H294" s="18">
        <v>250</v>
      </c>
      <c r="J294" s="20" t="str">
        <f t="shared" si="15"/>
        <v/>
      </c>
      <c r="K294" t="str">
        <f t="shared" si="14"/>
        <v/>
      </c>
      <c r="L294" s="4">
        <f t="shared" si="16"/>
        <v>0</v>
      </c>
    </row>
    <row r="295" spans="1:12" x14ac:dyDescent="0.25">
      <c r="A295">
        <v>225</v>
      </c>
      <c r="B295" s="3">
        <v>41810</v>
      </c>
      <c r="C295" s="4">
        <v>250</v>
      </c>
      <c r="E295">
        <v>225</v>
      </c>
      <c r="F295" s="3">
        <v>41810</v>
      </c>
      <c r="G295" t="s">
        <v>326</v>
      </c>
      <c r="H295" s="18">
        <v>250</v>
      </c>
      <c r="J295" s="20" t="str">
        <f t="shared" si="15"/>
        <v/>
      </c>
      <c r="K295" t="str">
        <f t="shared" si="14"/>
        <v/>
      </c>
      <c r="L295" s="4">
        <f t="shared" si="16"/>
        <v>0</v>
      </c>
    </row>
    <row r="296" spans="1:12" x14ac:dyDescent="0.25">
      <c r="A296">
        <v>227</v>
      </c>
      <c r="B296" s="3">
        <v>41810</v>
      </c>
      <c r="C296" s="4">
        <v>750</v>
      </c>
      <c r="E296">
        <v>227</v>
      </c>
      <c r="F296" s="3">
        <v>41810</v>
      </c>
      <c r="G296" t="s">
        <v>331</v>
      </c>
      <c r="H296" s="18">
        <v>750</v>
      </c>
      <c r="J296" s="20" t="str">
        <f t="shared" si="15"/>
        <v/>
      </c>
      <c r="K296" t="str">
        <f t="shared" si="14"/>
        <v/>
      </c>
      <c r="L296" s="4">
        <f t="shared" si="16"/>
        <v>0</v>
      </c>
    </row>
    <row r="297" spans="1:12" x14ac:dyDescent="0.25">
      <c r="A297">
        <v>230</v>
      </c>
      <c r="B297" s="3">
        <v>41810</v>
      </c>
      <c r="C297" s="4">
        <v>750</v>
      </c>
      <c r="E297">
        <v>230</v>
      </c>
      <c r="F297" s="3">
        <v>41810</v>
      </c>
      <c r="G297" t="s">
        <v>316</v>
      </c>
      <c r="H297" s="18">
        <v>750</v>
      </c>
      <c r="J297" s="20" t="str">
        <f t="shared" si="15"/>
        <v/>
      </c>
      <c r="K297" t="str">
        <f t="shared" si="14"/>
        <v/>
      </c>
      <c r="L297" s="4">
        <f t="shared" si="16"/>
        <v>0</v>
      </c>
    </row>
    <row r="298" spans="1:12" x14ac:dyDescent="0.25">
      <c r="A298">
        <v>79</v>
      </c>
      <c r="B298" s="3">
        <v>41813</v>
      </c>
      <c r="C298" s="4">
        <v>2900</v>
      </c>
      <c r="E298">
        <v>79</v>
      </c>
      <c r="F298" s="3">
        <v>41813</v>
      </c>
      <c r="G298" t="s">
        <v>372</v>
      </c>
      <c r="H298" s="18">
        <v>2900</v>
      </c>
      <c r="J298" s="20" t="str">
        <f t="shared" si="15"/>
        <v/>
      </c>
      <c r="K298" t="str">
        <f t="shared" si="14"/>
        <v/>
      </c>
      <c r="L298" s="4">
        <f t="shared" si="16"/>
        <v>0</v>
      </c>
    </row>
    <row r="299" spans="1:12" x14ac:dyDescent="0.25">
      <c r="A299">
        <v>142</v>
      </c>
      <c r="B299" s="3">
        <v>41813</v>
      </c>
      <c r="C299" s="4">
        <v>500</v>
      </c>
      <c r="E299">
        <v>142</v>
      </c>
      <c r="F299" s="3">
        <v>41813</v>
      </c>
      <c r="G299" t="s">
        <v>324</v>
      </c>
      <c r="H299" s="18">
        <v>500</v>
      </c>
      <c r="J299" s="20" t="str">
        <f t="shared" si="15"/>
        <v/>
      </c>
      <c r="K299" t="str">
        <f t="shared" si="14"/>
        <v/>
      </c>
      <c r="L299" s="4">
        <f t="shared" si="16"/>
        <v>0</v>
      </c>
    </row>
    <row r="300" spans="1:12" x14ac:dyDescent="0.25">
      <c r="A300">
        <v>27</v>
      </c>
      <c r="B300" s="3">
        <v>41817</v>
      </c>
      <c r="C300" s="4">
        <v>199.46</v>
      </c>
      <c r="E300">
        <v>27</v>
      </c>
      <c r="F300" s="3">
        <v>41817</v>
      </c>
      <c r="G300" t="s">
        <v>159</v>
      </c>
      <c r="H300" s="18">
        <v>199.45</v>
      </c>
      <c r="J300" s="20" t="str">
        <f t="shared" si="15"/>
        <v/>
      </c>
      <c r="K300" t="str">
        <f t="shared" si="14"/>
        <v/>
      </c>
      <c r="L300" s="4">
        <f t="shared" si="16"/>
        <v>1.0000000000019327E-2</v>
      </c>
    </row>
    <row r="301" spans="1:12" x14ac:dyDescent="0.25">
      <c r="A301">
        <v>41</v>
      </c>
      <c r="B301" s="3">
        <v>41817</v>
      </c>
      <c r="C301" s="4">
        <v>266.63</v>
      </c>
      <c r="E301">
        <v>41</v>
      </c>
      <c r="F301" s="3">
        <v>41817</v>
      </c>
      <c r="G301" t="s">
        <v>10</v>
      </c>
      <c r="H301" s="18">
        <v>266.63</v>
      </c>
      <c r="J301" s="20" t="str">
        <f t="shared" si="15"/>
        <v/>
      </c>
      <c r="K301" t="str">
        <f t="shared" si="14"/>
        <v/>
      </c>
      <c r="L301" s="4">
        <f t="shared" si="16"/>
        <v>0</v>
      </c>
    </row>
    <row r="302" spans="1:12" x14ac:dyDescent="0.25">
      <c r="A302">
        <v>63</v>
      </c>
      <c r="B302" s="3">
        <v>41817</v>
      </c>
      <c r="C302" s="4">
        <v>1212.5</v>
      </c>
      <c r="E302">
        <v>63</v>
      </c>
      <c r="F302" s="3">
        <v>41817</v>
      </c>
      <c r="G302" t="s">
        <v>181</v>
      </c>
      <c r="H302" s="18">
        <v>1212.5</v>
      </c>
      <c r="J302" s="20" t="str">
        <f t="shared" si="15"/>
        <v/>
      </c>
      <c r="K302" t="str">
        <f t="shared" si="14"/>
        <v/>
      </c>
      <c r="L302" s="4">
        <f t="shared" si="16"/>
        <v>0</v>
      </c>
    </row>
    <row r="303" spans="1:12" x14ac:dyDescent="0.25">
      <c r="A303">
        <v>67</v>
      </c>
      <c r="B303" s="3">
        <v>41817</v>
      </c>
      <c r="C303" s="4">
        <v>750</v>
      </c>
      <c r="E303">
        <v>67</v>
      </c>
      <c r="F303" s="3">
        <v>41817</v>
      </c>
      <c r="G303" t="s">
        <v>355</v>
      </c>
      <c r="H303" s="18">
        <v>750</v>
      </c>
      <c r="J303" s="20" t="str">
        <f t="shared" si="15"/>
        <v/>
      </c>
      <c r="K303" t="str">
        <f t="shared" si="14"/>
        <v/>
      </c>
      <c r="L303" s="4">
        <f t="shared" si="16"/>
        <v>0</v>
      </c>
    </row>
    <row r="304" spans="1:12" x14ac:dyDescent="0.25">
      <c r="A304">
        <v>85</v>
      </c>
      <c r="B304" s="3">
        <v>41817</v>
      </c>
      <c r="C304" s="4">
        <v>1537.5</v>
      </c>
      <c r="E304">
        <v>85</v>
      </c>
      <c r="F304" s="3">
        <v>41817</v>
      </c>
      <c r="G304" t="s">
        <v>79</v>
      </c>
      <c r="H304" s="18">
        <v>1537.5</v>
      </c>
      <c r="J304" s="20" t="str">
        <f t="shared" si="15"/>
        <v/>
      </c>
      <c r="K304" t="str">
        <f t="shared" si="14"/>
        <v/>
      </c>
      <c r="L304" s="4">
        <f t="shared" si="16"/>
        <v>0</v>
      </c>
    </row>
    <row r="305" spans="1:12" x14ac:dyDescent="0.25">
      <c r="A305">
        <v>88</v>
      </c>
      <c r="B305" s="3">
        <v>41817</v>
      </c>
      <c r="C305" s="4">
        <v>407</v>
      </c>
      <c r="E305">
        <v>88</v>
      </c>
      <c r="F305" s="3">
        <v>41817</v>
      </c>
      <c r="G305" t="s">
        <v>364</v>
      </c>
      <c r="H305" s="18">
        <v>407</v>
      </c>
      <c r="J305" s="20" t="str">
        <f t="shared" si="15"/>
        <v/>
      </c>
      <c r="K305" t="str">
        <f t="shared" si="14"/>
        <v/>
      </c>
      <c r="L305" s="4">
        <f t="shared" si="16"/>
        <v>0</v>
      </c>
    </row>
    <row r="306" spans="1:12" x14ac:dyDescent="0.25">
      <c r="A306">
        <v>94</v>
      </c>
      <c r="B306" s="3">
        <v>41817</v>
      </c>
      <c r="C306" s="4">
        <v>200</v>
      </c>
      <c r="E306">
        <v>94</v>
      </c>
      <c r="F306" s="3">
        <v>41817</v>
      </c>
      <c r="G306" t="s">
        <v>182</v>
      </c>
      <c r="H306" s="18">
        <v>200</v>
      </c>
      <c r="J306" s="20" t="str">
        <f t="shared" si="15"/>
        <v/>
      </c>
      <c r="K306" t="str">
        <f t="shared" si="14"/>
        <v/>
      </c>
      <c r="L306" s="4">
        <f t="shared" si="16"/>
        <v>0</v>
      </c>
    </row>
    <row r="307" spans="1:12" x14ac:dyDescent="0.25">
      <c r="A307">
        <v>99</v>
      </c>
      <c r="B307" s="3">
        <v>41817</v>
      </c>
      <c r="C307" s="4">
        <v>200</v>
      </c>
      <c r="E307">
        <v>99</v>
      </c>
      <c r="F307" s="3">
        <v>41817</v>
      </c>
      <c r="G307" t="s">
        <v>240</v>
      </c>
      <c r="H307" s="18">
        <v>200</v>
      </c>
      <c r="J307" s="20" t="str">
        <f t="shared" si="15"/>
        <v/>
      </c>
      <c r="K307" t="str">
        <f t="shared" si="14"/>
        <v/>
      </c>
      <c r="L307" s="4">
        <f t="shared" si="16"/>
        <v>0</v>
      </c>
    </row>
    <row r="308" spans="1:12" x14ac:dyDescent="0.25">
      <c r="A308">
        <v>112</v>
      </c>
      <c r="B308" s="3">
        <v>41817</v>
      </c>
      <c r="C308" s="4">
        <v>1075</v>
      </c>
      <c r="E308">
        <v>112</v>
      </c>
      <c r="F308" s="3">
        <v>41817</v>
      </c>
      <c r="G308" t="s">
        <v>370</v>
      </c>
      <c r="H308" s="18">
        <v>1075</v>
      </c>
      <c r="J308" s="20" t="str">
        <f t="shared" si="15"/>
        <v/>
      </c>
      <c r="K308" t="str">
        <f t="shared" si="14"/>
        <v/>
      </c>
      <c r="L308" s="4">
        <f t="shared" si="16"/>
        <v>0</v>
      </c>
    </row>
    <row r="309" spans="1:12" x14ac:dyDescent="0.25">
      <c r="A309">
        <v>120</v>
      </c>
      <c r="B309" s="3">
        <v>41817</v>
      </c>
      <c r="C309" s="4">
        <v>200</v>
      </c>
      <c r="E309">
        <v>120</v>
      </c>
      <c r="F309" s="3">
        <v>41817</v>
      </c>
      <c r="G309" t="s">
        <v>337</v>
      </c>
      <c r="H309" s="18">
        <v>200</v>
      </c>
      <c r="J309" s="20" t="str">
        <f t="shared" si="15"/>
        <v/>
      </c>
      <c r="K309" t="str">
        <f t="shared" si="14"/>
        <v/>
      </c>
      <c r="L309" s="4">
        <f t="shared" si="16"/>
        <v>0</v>
      </c>
    </row>
    <row r="310" spans="1:12" x14ac:dyDescent="0.25">
      <c r="A310">
        <v>125</v>
      </c>
      <c r="B310" s="3">
        <v>41817</v>
      </c>
      <c r="C310" s="4">
        <v>100</v>
      </c>
      <c r="E310">
        <v>125</v>
      </c>
      <c r="F310" s="3">
        <v>41817</v>
      </c>
      <c r="G310" t="s">
        <v>371</v>
      </c>
      <c r="H310" s="18">
        <v>100</v>
      </c>
      <c r="J310" s="20" t="str">
        <f t="shared" si="15"/>
        <v/>
      </c>
      <c r="K310" t="str">
        <f t="shared" si="14"/>
        <v/>
      </c>
      <c r="L310" s="4">
        <f t="shared" si="16"/>
        <v>0</v>
      </c>
    </row>
    <row r="311" spans="1:12" x14ac:dyDescent="0.25">
      <c r="A311">
        <v>133</v>
      </c>
      <c r="B311" s="3">
        <v>41817</v>
      </c>
      <c r="C311" s="4">
        <v>308.08</v>
      </c>
      <c r="E311">
        <v>133</v>
      </c>
      <c r="F311" s="3">
        <v>41817</v>
      </c>
      <c r="G311" t="s">
        <v>87</v>
      </c>
      <c r="H311" s="18">
        <v>308.08</v>
      </c>
      <c r="J311" s="20" t="str">
        <f t="shared" si="15"/>
        <v/>
      </c>
      <c r="K311" t="str">
        <f t="shared" si="14"/>
        <v/>
      </c>
      <c r="L311" s="4">
        <f t="shared" si="16"/>
        <v>0</v>
      </c>
    </row>
    <row r="312" spans="1:12" x14ac:dyDescent="0.25">
      <c r="A312">
        <v>143</v>
      </c>
      <c r="B312" s="3">
        <v>41817</v>
      </c>
      <c r="C312" s="4">
        <v>-500</v>
      </c>
      <c r="E312">
        <v>143</v>
      </c>
      <c r="F312" s="3">
        <v>41817</v>
      </c>
      <c r="G312" t="s">
        <v>359</v>
      </c>
      <c r="H312" s="18">
        <v>-500</v>
      </c>
      <c r="J312" s="20" t="str">
        <f t="shared" si="15"/>
        <v/>
      </c>
      <c r="K312" t="str">
        <f t="shared" si="14"/>
        <v/>
      </c>
      <c r="L312" s="4">
        <f t="shared" si="16"/>
        <v>0</v>
      </c>
    </row>
    <row r="313" spans="1:12" x14ac:dyDescent="0.25">
      <c r="A313">
        <v>148</v>
      </c>
      <c r="B313" s="3">
        <v>41817</v>
      </c>
      <c r="C313" s="4">
        <v>612</v>
      </c>
      <c r="E313">
        <v>148</v>
      </c>
      <c r="F313" s="3">
        <v>41817</v>
      </c>
      <c r="G313" t="s">
        <v>89</v>
      </c>
      <c r="H313" s="18">
        <v>612</v>
      </c>
      <c r="J313" s="20" t="str">
        <f t="shared" si="15"/>
        <v/>
      </c>
      <c r="K313" t="str">
        <f t="shared" si="14"/>
        <v/>
      </c>
      <c r="L313" s="4">
        <f t="shared" si="16"/>
        <v>0</v>
      </c>
    </row>
    <row r="314" spans="1:12" x14ac:dyDescent="0.25">
      <c r="A314">
        <v>155</v>
      </c>
      <c r="B314" s="3">
        <v>41817</v>
      </c>
      <c r="C314" s="4">
        <v>2108</v>
      </c>
      <c r="E314">
        <v>155</v>
      </c>
      <c r="F314" s="3">
        <v>41817</v>
      </c>
      <c r="G314" t="s">
        <v>91</v>
      </c>
      <c r="H314" s="18">
        <v>2108</v>
      </c>
      <c r="J314" s="20" t="str">
        <f t="shared" si="15"/>
        <v/>
      </c>
      <c r="K314" t="str">
        <f t="shared" si="14"/>
        <v/>
      </c>
      <c r="L314" s="4">
        <f t="shared" si="16"/>
        <v>0</v>
      </c>
    </row>
    <row r="315" spans="1:12" x14ac:dyDescent="0.25">
      <c r="A315">
        <v>175</v>
      </c>
      <c r="B315" s="3">
        <v>41817</v>
      </c>
      <c r="C315" s="4">
        <v>143.75</v>
      </c>
      <c r="E315">
        <v>175</v>
      </c>
      <c r="F315" s="3">
        <v>41817</v>
      </c>
      <c r="G315" t="s">
        <v>275</v>
      </c>
      <c r="H315" s="18">
        <v>143.75</v>
      </c>
      <c r="J315" s="20" t="str">
        <f t="shared" si="15"/>
        <v/>
      </c>
      <c r="K315" t="str">
        <f t="shared" si="14"/>
        <v/>
      </c>
      <c r="L315" s="4">
        <f t="shared" si="16"/>
        <v>0</v>
      </c>
    </row>
    <row r="316" spans="1:12" x14ac:dyDescent="0.25">
      <c r="A316">
        <v>185</v>
      </c>
      <c r="B316" s="3">
        <v>41817</v>
      </c>
      <c r="C316" s="4">
        <v>1000</v>
      </c>
      <c r="E316">
        <v>185</v>
      </c>
      <c r="F316" s="3">
        <v>41817</v>
      </c>
      <c r="G316" t="s">
        <v>17</v>
      </c>
      <c r="H316" s="18">
        <v>1000</v>
      </c>
      <c r="J316" s="20" t="str">
        <f t="shared" si="15"/>
        <v/>
      </c>
      <c r="K316" t="str">
        <f t="shared" si="14"/>
        <v/>
      </c>
      <c r="L316" s="4">
        <f t="shared" si="16"/>
        <v>0</v>
      </c>
    </row>
    <row r="317" spans="1:12" x14ac:dyDescent="0.25">
      <c r="A317">
        <v>214</v>
      </c>
      <c r="B317" s="3">
        <v>41817</v>
      </c>
      <c r="C317" s="4">
        <v>500</v>
      </c>
      <c r="E317">
        <v>214</v>
      </c>
      <c r="F317" s="3">
        <v>41817</v>
      </c>
      <c r="G317" t="s">
        <v>323</v>
      </c>
      <c r="H317" s="18">
        <v>500</v>
      </c>
      <c r="J317" s="20" t="str">
        <f t="shared" si="15"/>
        <v/>
      </c>
      <c r="K317" t="str">
        <f t="shared" si="14"/>
        <v/>
      </c>
      <c r="L317" s="4">
        <f t="shared" si="16"/>
        <v>0</v>
      </c>
    </row>
    <row r="318" spans="1:12" x14ac:dyDescent="0.25">
      <c r="A318">
        <v>217</v>
      </c>
      <c r="B318" s="3">
        <v>41817</v>
      </c>
      <c r="C318" s="4">
        <v>1000</v>
      </c>
      <c r="E318">
        <v>217</v>
      </c>
      <c r="F318" s="3">
        <v>41817</v>
      </c>
      <c r="G318" t="s">
        <v>97</v>
      </c>
      <c r="H318" s="18">
        <v>1000</v>
      </c>
      <c r="J318" s="20" t="str">
        <f t="shared" si="15"/>
        <v/>
      </c>
      <c r="K318" t="str">
        <f t="shared" si="14"/>
        <v/>
      </c>
      <c r="L318" s="4">
        <f t="shared" si="16"/>
        <v>0</v>
      </c>
    </row>
    <row r="319" spans="1:12" x14ac:dyDescent="0.25">
      <c r="A319">
        <v>236</v>
      </c>
      <c r="B319" s="3">
        <v>41817</v>
      </c>
      <c r="C319" s="4">
        <v>719.48</v>
      </c>
      <c r="E319">
        <v>236</v>
      </c>
      <c r="F319" s="3">
        <v>41817</v>
      </c>
      <c r="G319" t="s">
        <v>211</v>
      </c>
      <c r="H319" s="18">
        <v>719.48</v>
      </c>
      <c r="J319" s="20" t="str">
        <f t="shared" si="15"/>
        <v/>
      </c>
      <c r="K319" t="str">
        <f t="shared" si="14"/>
        <v/>
      </c>
      <c r="L319" s="4">
        <f t="shared" si="16"/>
        <v>0</v>
      </c>
    </row>
    <row r="320" spans="1:12" x14ac:dyDescent="0.25">
      <c r="A320">
        <v>156</v>
      </c>
      <c r="B320" s="3">
        <v>41820</v>
      </c>
      <c r="C320" s="4">
        <v>1083</v>
      </c>
      <c r="E320">
        <v>156</v>
      </c>
      <c r="F320" s="3">
        <v>41820</v>
      </c>
      <c r="G320" t="s">
        <v>360</v>
      </c>
      <c r="H320" s="18">
        <v>1083</v>
      </c>
      <c r="J320" s="20" t="str">
        <f t="shared" si="15"/>
        <v/>
      </c>
      <c r="K320" t="str">
        <f t="shared" si="14"/>
        <v/>
      </c>
      <c r="L320" s="4">
        <f t="shared" si="16"/>
        <v>0</v>
      </c>
    </row>
    <row r="321" spans="1:12" x14ac:dyDescent="0.25">
      <c r="A321">
        <v>27</v>
      </c>
      <c r="B321" s="3">
        <v>41823</v>
      </c>
      <c r="C321" s="4">
        <v>1810.5</v>
      </c>
      <c r="E321">
        <v>27</v>
      </c>
      <c r="F321" s="3">
        <v>41823</v>
      </c>
      <c r="G321" t="s">
        <v>159</v>
      </c>
      <c r="H321" s="18">
        <v>1810.5</v>
      </c>
      <c r="J321" s="20" t="str">
        <f t="shared" si="15"/>
        <v/>
      </c>
      <c r="K321" t="str">
        <f t="shared" si="14"/>
        <v/>
      </c>
      <c r="L321" s="4">
        <f t="shared" si="16"/>
        <v>0</v>
      </c>
    </row>
    <row r="322" spans="1:12" x14ac:dyDescent="0.25">
      <c r="A322">
        <v>28</v>
      </c>
      <c r="B322" s="3">
        <v>41823</v>
      </c>
      <c r="C322" s="4">
        <v>433.5</v>
      </c>
      <c r="E322">
        <v>28</v>
      </c>
      <c r="F322" s="3">
        <v>41823</v>
      </c>
      <c r="G322" t="s">
        <v>6</v>
      </c>
      <c r="H322" s="18">
        <v>433.5</v>
      </c>
      <c r="J322" s="20" t="str">
        <f t="shared" si="15"/>
        <v/>
      </c>
      <c r="K322" t="str">
        <f t="shared" si="14"/>
        <v/>
      </c>
      <c r="L322" s="4">
        <f t="shared" si="16"/>
        <v>0</v>
      </c>
    </row>
    <row r="323" spans="1:12" x14ac:dyDescent="0.25">
      <c r="A323">
        <v>83</v>
      </c>
      <c r="B323" s="3">
        <v>41823</v>
      </c>
      <c r="C323" s="4">
        <v>239.5</v>
      </c>
      <c r="E323">
        <v>83</v>
      </c>
      <c r="F323" s="3">
        <v>41823</v>
      </c>
      <c r="G323" t="s">
        <v>351</v>
      </c>
      <c r="H323" s="18">
        <v>239.5</v>
      </c>
      <c r="J323" s="20" t="str">
        <f t="shared" si="15"/>
        <v/>
      </c>
      <c r="K323" t="str">
        <f t="shared" ref="K323:K386" si="17">IF(F323=B323,"","CHECK")</f>
        <v/>
      </c>
      <c r="L323" s="4">
        <f t="shared" si="16"/>
        <v>0</v>
      </c>
    </row>
    <row r="324" spans="1:12" x14ac:dyDescent="0.25">
      <c r="A324">
        <v>120</v>
      </c>
      <c r="B324" s="3">
        <v>41823</v>
      </c>
      <c r="C324" s="4">
        <v>1041.5</v>
      </c>
      <c r="E324">
        <v>120</v>
      </c>
      <c r="F324" s="3">
        <v>41823</v>
      </c>
      <c r="G324" t="s">
        <v>337</v>
      </c>
      <c r="H324" s="18">
        <v>1041.5</v>
      </c>
      <c r="J324" s="20" t="str">
        <f t="shared" si="15"/>
        <v/>
      </c>
      <c r="K324" t="str">
        <f t="shared" si="17"/>
        <v/>
      </c>
      <c r="L324" s="4">
        <f t="shared" si="16"/>
        <v>0</v>
      </c>
    </row>
    <row r="325" spans="1:12" x14ac:dyDescent="0.25">
      <c r="A325">
        <v>134</v>
      </c>
      <c r="B325" s="3">
        <v>41823</v>
      </c>
      <c r="C325" s="4">
        <v>1650</v>
      </c>
      <c r="E325">
        <v>134</v>
      </c>
      <c r="F325" s="3">
        <v>41823</v>
      </c>
      <c r="G325" t="s">
        <v>291</v>
      </c>
      <c r="H325" s="18">
        <v>1650</v>
      </c>
      <c r="J325" s="20" t="str">
        <f t="shared" ref="J325:J388" si="18">IF(E325=A325,"","CHECK")</f>
        <v/>
      </c>
      <c r="K325" t="str">
        <f t="shared" si="17"/>
        <v/>
      </c>
      <c r="L325" s="4">
        <f t="shared" ref="L325:L388" si="19">C325-H325</f>
        <v>0</v>
      </c>
    </row>
    <row r="326" spans="1:12" x14ac:dyDescent="0.25">
      <c r="A326">
        <v>140</v>
      </c>
      <c r="B326" s="3">
        <v>41823</v>
      </c>
      <c r="C326" s="4">
        <v>997.5</v>
      </c>
      <c r="E326">
        <v>140</v>
      </c>
      <c r="F326" s="3">
        <v>41823</v>
      </c>
      <c r="G326" t="s">
        <v>88</v>
      </c>
      <c r="H326" s="18">
        <v>997.5</v>
      </c>
      <c r="J326" s="20" t="str">
        <f t="shared" si="18"/>
        <v/>
      </c>
      <c r="K326" t="str">
        <f t="shared" si="17"/>
        <v/>
      </c>
      <c r="L326" s="4">
        <f t="shared" si="19"/>
        <v>0</v>
      </c>
    </row>
    <row r="327" spans="1:12" x14ac:dyDescent="0.25">
      <c r="A327">
        <v>184</v>
      </c>
      <c r="B327" s="3">
        <v>41823</v>
      </c>
      <c r="C327" s="4">
        <v>535.5</v>
      </c>
      <c r="E327">
        <v>184</v>
      </c>
      <c r="F327" s="3">
        <v>41823</v>
      </c>
      <c r="G327" t="s">
        <v>217</v>
      </c>
      <c r="H327" s="18">
        <v>535.5</v>
      </c>
      <c r="J327" s="20" t="str">
        <f t="shared" si="18"/>
        <v/>
      </c>
      <c r="K327" t="str">
        <f t="shared" si="17"/>
        <v/>
      </c>
      <c r="L327" s="4">
        <f t="shared" si="19"/>
        <v>0</v>
      </c>
    </row>
    <row r="328" spans="1:12" x14ac:dyDescent="0.25">
      <c r="A328">
        <v>185</v>
      </c>
      <c r="B328" s="3">
        <v>41823</v>
      </c>
      <c r="C328" s="4">
        <v>1000</v>
      </c>
      <c r="E328">
        <v>185</v>
      </c>
      <c r="F328" s="3">
        <v>41823</v>
      </c>
      <c r="G328" t="s">
        <v>17</v>
      </c>
      <c r="H328" s="18">
        <v>1000</v>
      </c>
      <c r="J328" s="20" t="str">
        <f t="shared" si="18"/>
        <v/>
      </c>
      <c r="K328" t="str">
        <f t="shared" si="17"/>
        <v/>
      </c>
      <c r="L328" s="4">
        <f t="shared" si="19"/>
        <v>0</v>
      </c>
    </row>
    <row r="329" spans="1:12" x14ac:dyDescent="0.25">
      <c r="A329">
        <v>219</v>
      </c>
      <c r="B329" s="3">
        <v>41823</v>
      </c>
      <c r="C329" s="4">
        <v>46.71</v>
      </c>
      <c r="E329">
        <v>219</v>
      </c>
      <c r="F329" s="3">
        <v>41823</v>
      </c>
      <c r="G329" t="s">
        <v>98</v>
      </c>
      <c r="H329" s="18">
        <v>46.72</v>
      </c>
      <c r="J329" s="20" t="str">
        <f t="shared" si="18"/>
        <v/>
      </c>
      <c r="K329" t="str">
        <f t="shared" si="17"/>
        <v/>
      </c>
      <c r="L329" s="4">
        <f t="shared" si="19"/>
        <v>-9.9999999999980105E-3</v>
      </c>
    </row>
    <row r="330" spans="1:12" x14ac:dyDescent="0.25">
      <c r="A330">
        <v>41</v>
      </c>
      <c r="B330" s="3">
        <v>41824</v>
      </c>
      <c r="C330" s="4">
        <v>939.13</v>
      </c>
      <c r="E330">
        <v>41</v>
      </c>
      <c r="F330" s="3">
        <v>41824</v>
      </c>
      <c r="G330" t="s">
        <v>10</v>
      </c>
      <c r="H330" s="18">
        <v>939.12</v>
      </c>
      <c r="J330" s="20" t="str">
        <f t="shared" si="18"/>
        <v/>
      </c>
      <c r="K330" t="str">
        <f t="shared" si="17"/>
        <v/>
      </c>
      <c r="L330" s="4">
        <f t="shared" si="19"/>
        <v>9.9999999999909051E-3</v>
      </c>
    </row>
    <row r="331" spans="1:12" x14ac:dyDescent="0.25">
      <c r="A331">
        <v>133</v>
      </c>
      <c r="B331" s="3">
        <v>41824</v>
      </c>
      <c r="C331" s="4">
        <v>1633.51</v>
      </c>
      <c r="E331">
        <v>133</v>
      </c>
      <c r="F331" s="3">
        <v>41824</v>
      </c>
      <c r="G331" t="s">
        <v>87</v>
      </c>
      <c r="H331" s="18">
        <v>1633.5</v>
      </c>
      <c r="J331" s="20" t="str">
        <f t="shared" si="18"/>
        <v/>
      </c>
      <c r="K331" t="str">
        <f t="shared" si="17"/>
        <v/>
      </c>
      <c r="L331" s="4">
        <f t="shared" si="19"/>
        <v>9.9999999999909051E-3</v>
      </c>
    </row>
    <row r="332" spans="1:12" x14ac:dyDescent="0.25">
      <c r="A332">
        <v>154</v>
      </c>
      <c r="B332" s="3">
        <v>41824</v>
      </c>
      <c r="C332" s="4">
        <v>280.5</v>
      </c>
      <c r="E332">
        <v>154</v>
      </c>
      <c r="F332" s="3">
        <v>41824</v>
      </c>
      <c r="G332" t="s">
        <v>367</v>
      </c>
      <c r="H332" s="18">
        <v>280.5</v>
      </c>
      <c r="J332" s="20" t="str">
        <f t="shared" si="18"/>
        <v/>
      </c>
      <c r="K332" t="str">
        <f t="shared" si="17"/>
        <v/>
      </c>
      <c r="L332" s="4">
        <f t="shared" si="19"/>
        <v>0</v>
      </c>
    </row>
    <row r="333" spans="1:12" x14ac:dyDescent="0.25">
      <c r="A333">
        <v>167</v>
      </c>
      <c r="B333" s="3">
        <v>41824</v>
      </c>
      <c r="C333" s="4">
        <v>612</v>
      </c>
      <c r="E333">
        <v>167</v>
      </c>
      <c r="F333" s="3">
        <v>41824</v>
      </c>
      <c r="G333" t="s">
        <v>368</v>
      </c>
      <c r="H333" s="18">
        <v>612</v>
      </c>
      <c r="J333" s="20" t="str">
        <f t="shared" si="18"/>
        <v/>
      </c>
      <c r="K333" t="str">
        <f t="shared" si="17"/>
        <v/>
      </c>
      <c r="L333" s="4">
        <f t="shared" si="19"/>
        <v>0</v>
      </c>
    </row>
    <row r="334" spans="1:12" x14ac:dyDescent="0.25">
      <c r="A334">
        <v>168</v>
      </c>
      <c r="B334" s="3">
        <v>41824</v>
      </c>
      <c r="C334" s="4">
        <v>739.5</v>
      </c>
      <c r="E334">
        <v>168</v>
      </c>
      <c r="F334" s="3">
        <v>41824</v>
      </c>
      <c r="G334" t="s">
        <v>369</v>
      </c>
      <c r="H334" s="18">
        <v>739.5</v>
      </c>
      <c r="J334" s="20" t="str">
        <f t="shared" si="18"/>
        <v/>
      </c>
      <c r="K334" t="str">
        <f t="shared" si="17"/>
        <v/>
      </c>
      <c r="L334" s="4">
        <f t="shared" si="19"/>
        <v>0</v>
      </c>
    </row>
    <row r="335" spans="1:12" x14ac:dyDescent="0.25">
      <c r="A335">
        <v>202</v>
      </c>
      <c r="B335" s="3">
        <v>41824</v>
      </c>
      <c r="C335" s="4">
        <v>790.5</v>
      </c>
      <c r="E335">
        <v>202</v>
      </c>
      <c r="F335" s="3">
        <v>41824</v>
      </c>
      <c r="G335" t="s">
        <v>237</v>
      </c>
      <c r="H335" s="18">
        <v>790.5</v>
      </c>
      <c r="J335" s="20" t="str">
        <f t="shared" si="18"/>
        <v/>
      </c>
      <c r="K335" t="str">
        <f t="shared" si="17"/>
        <v/>
      </c>
      <c r="L335" s="4">
        <f t="shared" si="19"/>
        <v>0</v>
      </c>
    </row>
    <row r="336" spans="1:12" x14ac:dyDescent="0.25">
      <c r="A336">
        <v>218</v>
      </c>
      <c r="B336" s="3">
        <v>41824</v>
      </c>
      <c r="C336" s="4">
        <v>200</v>
      </c>
      <c r="E336">
        <v>218</v>
      </c>
      <c r="F336" s="3">
        <v>41824</v>
      </c>
      <c r="G336" t="s">
        <v>233</v>
      </c>
      <c r="H336" s="18">
        <v>200</v>
      </c>
      <c r="J336" s="20" t="str">
        <f t="shared" si="18"/>
        <v/>
      </c>
      <c r="K336" t="str">
        <f t="shared" si="17"/>
        <v/>
      </c>
      <c r="L336" s="4">
        <f t="shared" si="19"/>
        <v>0</v>
      </c>
    </row>
    <row r="337" spans="1:12" x14ac:dyDescent="0.25">
      <c r="A337">
        <v>223</v>
      </c>
      <c r="B337" s="3">
        <v>41824</v>
      </c>
      <c r="C337" s="4">
        <v>650</v>
      </c>
      <c r="E337">
        <v>223</v>
      </c>
      <c r="F337" s="3">
        <v>41824</v>
      </c>
      <c r="G337" t="s">
        <v>325</v>
      </c>
      <c r="H337" s="18">
        <v>650</v>
      </c>
      <c r="J337" s="20" t="str">
        <f t="shared" si="18"/>
        <v/>
      </c>
      <c r="K337" t="str">
        <f t="shared" si="17"/>
        <v/>
      </c>
      <c r="L337" s="4">
        <f t="shared" si="19"/>
        <v>0</v>
      </c>
    </row>
    <row r="338" spans="1:12" x14ac:dyDescent="0.25">
      <c r="A338">
        <v>175</v>
      </c>
      <c r="B338" s="3">
        <v>41828</v>
      </c>
      <c r="C338" s="4">
        <v>1950</v>
      </c>
      <c r="E338">
        <v>175</v>
      </c>
      <c r="F338" s="3">
        <v>41828</v>
      </c>
      <c r="G338" t="s">
        <v>275</v>
      </c>
      <c r="H338" s="18">
        <v>1950</v>
      </c>
      <c r="J338" s="20" t="str">
        <f t="shared" si="18"/>
        <v/>
      </c>
      <c r="K338" t="str">
        <f t="shared" si="17"/>
        <v/>
      </c>
      <c r="L338" s="4">
        <f t="shared" si="19"/>
        <v>0</v>
      </c>
    </row>
    <row r="339" spans="1:12" x14ac:dyDescent="0.25">
      <c r="A339">
        <v>37</v>
      </c>
      <c r="B339" s="3">
        <v>41831</v>
      </c>
      <c r="C339" s="4">
        <v>3962.36</v>
      </c>
      <c r="E339">
        <v>37</v>
      </c>
      <c r="F339" s="3">
        <v>41831</v>
      </c>
      <c r="G339" t="s">
        <v>77</v>
      </c>
      <c r="H339" s="18">
        <v>-12.65</v>
      </c>
      <c r="J339" s="20" t="str">
        <f t="shared" si="18"/>
        <v/>
      </c>
      <c r="K339" t="str">
        <f t="shared" si="17"/>
        <v/>
      </c>
      <c r="L339" s="4">
        <f t="shared" si="19"/>
        <v>3975.01</v>
      </c>
    </row>
    <row r="340" spans="1:12" x14ac:dyDescent="0.25">
      <c r="A340">
        <v>41</v>
      </c>
      <c r="B340" s="3">
        <v>41831</v>
      </c>
      <c r="C340" s="4">
        <v>604.92999999999995</v>
      </c>
      <c r="E340">
        <v>41</v>
      </c>
      <c r="F340" s="3">
        <v>41831</v>
      </c>
      <c r="G340" t="s">
        <v>10</v>
      </c>
      <c r="H340" s="18">
        <v>604.92999999999995</v>
      </c>
      <c r="J340" s="20" t="str">
        <f t="shared" si="18"/>
        <v/>
      </c>
      <c r="K340" t="str">
        <f t="shared" si="17"/>
        <v/>
      </c>
      <c r="L340" s="4">
        <f t="shared" si="19"/>
        <v>0</v>
      </c>
    </row>
    <row r="341" spans="1:12" x14ac:dyDescent="0.25">
      <c r="A341">
        <v>67</v>
      </c>
      <c r="B341" s="3">
        <v>41831</v>
      </c>
      <c r="C341" s="4">
        <v>1250</v>
      </c>
      <c r="E341">
        <v>67</v>
      </c>
      <c r="F341" s="3">
        <v>41831</v>
      </c>
      <c r="G341" t="s">
        <v>355</v>
      </c>
      <c r="H341" s="18">
        <v>0</v>
      </c>
      <c r="J341" s="20" t="str">
        <f t="shared" si="18"/>
        <v/>
      </c>
      <c r="K341" t="str">
        <f t="shared" si="17"/>
        <v/>
      </c>
      <c r="L341" s="4">
        <f t="shared" si="19"/>
        <v>1250</v>
      </c>
    </row>
    <row r="342" spans="1:12" x14ac:dyDescent="0.25">
      <c r="A342">
        <v>83</v>
      </c>
      <c r="B342" s="3">
        <v>41831</v>
      </c>
      <c r="C342" s="4">
        <v>438.5</v>
      </c>
      <c r="E342">
        <v>83</v>
      </c>
      <c r="F342" s="3">
        <v>41831</v>
      </c>
      <c r="G342" t="s">
        <v>351</v>
      </c>
      <c r="H342" s="18">
        <v>438.5</v>
      </c>
      <c r="J342" s="20" t="str">
        <f t="shared" si="18"/>
        <v/>
      </c>
      <c r="K342" t="str">
        <f t="shared" si="17"/>
        <v/>
      </c>
      <c r="L342" s="4">
        <f t="shared" si="19"/>
        <v>0</v>
      </c>
    </row>
    <row r="343" spans="1:12" x14ac:dyDescent="0.25">
      <c r="A343">
        <v>85</v>
      </c>
      <c r="B343" s="3">
        <v>41831</v>
      </c>
      <c r="C343" s="4">
        <v>400</v>
      </c>
      <c r="E343">
        <v>85</v>
      </c>
      <c r="F343" s="3">
        <v>41831</v>
      </c>
      <c r="G343" t="s">
        <v>79</v>
      </c>
      <c r="H343" s="18">
        <v>400</v>
      </c>
      <c r="J343" s="20" t="str">
        <f t="shared" si="18"/>
        <v/>
      </c>
      <c r="K343" t="str">
        <f t="shared" si="17"/>
        <v/>
      </c>
      <c r="L343" s="4">
        <f t="shared" si="19"/>
        <v>0</v>
      </c>
    </row>
    <row r="344" spans="1:12" x14ac:dyDescent="0.25">
      <c r="A344">
        <v>88</v>
      </c>
      <c r="B344" s="3">
        <v>41831</v>
      </c>
      <c r="C344" s="4">
        <v>521</v>
      </c>
      <c r="E344">
        <v>88</v>
      </c>
      <c r="F344" s="3">
        <v>41831</v>
      </c>
      <c r="G344" t="s">
        <v>364</v>
      </c>
      <c r="H344" s="18">
        <v>521</v>
      </c>
      <c r="J344" s="20" t="str">
        <f t="shared" si="18"/>
        <v/>
      </c>
      <c r="K344" t="str">
        <f t="shared" si="17"/>
        <v/>
      </c>
      <c r="L344" s="4">
        <f t="shared" si="19"/>
        <v>0</v>
      </c>
    </row>
    <row r="345" spans="1:12" x14ac:dyDescent="0.25">
      <c r="A345">
        <v>102</v>
      </c>
      <c r="B345" s="3">
        <v>41831</v>
      </c>
      <c r="C345" s="4">
        <v>459</v>
      </c>
      <c r="E345">
        <v>102</v>
      </c>
      <c r="F345" s="3">
        <v>41831</v>
      </c>
      <c r="G345" t="s">
        <v>365</v>
      </c>
      <c r="H345" s="18">
        <v>459</v>
      </c>
      <c r="J345" s="20" t="str">
        <f t="shared" si="18"/>
        <v/>
      </c>
      <c r="K345" t="str">
        <f t="shared" si="17"/>
        <v/>
      </c>
      <c r="L345" s="4">
        <f t="shared" si="19"/>
        <v>0</v>
      </c>
    </row>
    <row r="346" spans="1:12" x14ac:dyDescent="0.25">
      <c r="A346">
        <v>104</v>
      </c>
      <c r="B346" s="3">
        <v>41831</v>
      </c>
      <c r="C346" s="4">
        <v>614.5</v>
      </c>
      <c r="E346">
        <v>104</v>
      </c>
      <c r="F346" s="3">
        <v>41831</v>
      </c>
      <c r="G346" t="s">
        <v>210</v>
      </c>
      <c r="H346" s="18">
        <v>614.5</v>
      </c>
      <c r="J346" s="20" t="str">
        <f t="shared" si="18"/>
        <v/>
      </c>
      <c r="K346" t="str">
        <f t="shared" si="17"/>
        <v/>
      </c>
      <c r="L346" s="4">
        <f t="shared" si="19"/>
        <v>0</v>
      </c>
    </row>
    <row r="347" spans="1:12" x14ac:dyDescent="0.25">
      <c r="A347">
        <v>108</v>
      </c>
      <c r="B347" s="3">
        <v>41831</v>
      </c>
      <c r="C347" s="4">
        <v>500</v>
      </c>
      <c r="E347">
        <v>108</v>
      </c>
      <c r="F347" s="3">
        <v>41831</v>
      </c>
      <c r="G347" t="s">
        <v>160</v>
      </c>
      <c r="H347" s="18">
        <v>500</v>
      </c>
      <c r="J347" s="20" t="str">
        <f t="shared" si="18"/>
        <v/>
      </c>
      <c r="K347" t="str">
        <f t="shared" si="17"/>
        <v/>
      </c>
      <c r="L347" s="4">
        <f t="shared" si="19"/>
        <v>0</v>
      </c>
    </row>
    <row r="348" spans="1:12" x14ac:dyDescent="0.25">
      <c r="A348">
        <v>110</v>
      </c>
      <c r="B348" s="3">
        <v>41831</v>
      </c>
      <c r="C348" s="4">
        <v>575</v>
      </c>
      <c r="E348">
        <v>110</v>
      </c>
      <c r="F348" s="3">
        <v>41831</v>
      </c>
      <c r="G348" t="s">
        <v>83</v>
      </c>
      <c r="H348" s="18">
        <v>575</v>
      </c>
      <c r="J348" s="20" t="str">
        <f t="shared" si="18"/>
        <v/>
      </c>
      <c r="K348" t="str">
        <f t="shared" si="17"/>
        <v/>
      </c>
      <c r="L348" s="4">
        <f t="shared" si="19"/>
        <v>0</v>
      </c>
    </row>
    <row r="349" spans="1:12" x14ac:dyDescent="0.25">
      <c r="A349">
        <v>117</v>
      </c>
      <c r="B349" s="3">
        <v>41831</v>
      </c>
      <c r="C349" s="4">
        <v>1489.89</v>
      </c>
      <c r="E349">
        <v>117</v>
      </c>
      <c r="F349" s="3">
        <v>41831</v>
      </c>
      <c r="G349" t="s">
        <v>232</v>
      </c>
      <c r="H349" s="18">
        <v>1489.89</v>
      </c>
      <c r="J349" s="20" t="str">
        <f t="shared" si="18"/>
        <v/>
      </c>
      <c r="K349" t="str">
        <f t="shared" si="17"/>
        <v/>
      </c>
      <c r="L349" s="4">
        <f t="shared" si="19"/>
        <v>0</v>
      </c>
    </row>
    <row r="350" spans="1:12" x14ac:dyDescent="0.25">
      <c r="A350">
        <v>119</v>
      </c>
      <c r="B350" s="3">
        <v>41831</v>
      </c>
      <c r="C350" s="4">
        <v>248.35</v>
      </c>
      <c r="E350">
        <v>119</v>
      </c>
      <c r="F350" s="3">
        <v>41831</v>
      </c>
      <c r="G350" t="s">
        <v>349</v>
      </c>
      <c r="H350" s="18">
        <v>248.35</v>
      </c>
      <c r="J350" s="20" t="str">
        <f t="shared" si="18"/>
        <v/>
      </c>
      <c r="K350" t="str">
        <f t="shared" si="17"/>
        <v/>
      </c>
      <c r="L350" s="4">
        <f t="shared" si="19"/>
        <v>0</v>
      </c>
    </row>
    <row r="351" spans="1:12" x14ac:dyDescent="0.25">
      <c r="A351">
        <v>130</v>
      </c>
      <c r="B351" s="3">
        <v>41831</v>
      </c>
      <c r="C351" s="4">
        <v>465</v>
      </c>
      <c r="E351">
        <v>130</v>
      </c>
      <c r="F351" s="3">
        <v>41831</v>
      </c>
      <c r="G351" t="s">
        <v>366</v>
      </c>
      <c r="H351" s="18">
        <v>465</v>
      </c>
      <c r="J351" s="20" t="str">
        <f t="shared" si="18"/>
        <v/>
      </c>
      <c r="K351" t="str">
        <f t="shared" si="17"/>
        <v/>
      </c>
      <c r="L351" s="4">
        <f t="shared" si="19"/>
        <v>0</v>
      </c>
    </row>
    <row r="352" spans="1:12" x14ac:dyDescent="0.25">
      <c r="A352">
        <v>133</v>
      </c>
      <c r="B352" s="3">
        <v>41831</v>
      </c>
      <c r="C352" s="4">
        <v>412.05</v>
      </c>
      <c r="E352">
        <v>133</v>
      </c>
      <c r="F352" s="3">
        <v>41831</v>
      </c>
      <c r="G352" t="s">
        <v>87</v>
      </c>
      <c r="H352" s="18">
        <v>412.05</v>
      </c>
      <c r="J352" s="20" t="str">
        <f t="shared" si="18"/>
        <v/>
      </c>
      <c r="K352" t="str">
        <f t="shared" si="17"/>
        <v/>
      </c>
      <c r="L352" s="4">
        <f t="shared" si="19"/>
        <v>0</v>
      </c>
    </row>
    <row r="353" spans="1:12" x14ac:dyDescent="0.25">
      <c r="A353">
        <v>138</v>
      </c>
      <c r="B353" s="3">
        <v>41831</v>
      </c>
      <c r="C353" s="4">
        <v>646</v>
      </c>
      <c r="E353">
        <v>138</v>
      </c>
      <c r="F353" s="3">
        <v>41831</v>
      </c>
      <c r="G353" t="s">
        <v>16</v>
      </c>
      <c r="H353" s="18">
        <v>646</v>
      </c>
      <c r="J353" s="20" t="str">
        <f t="shared" si="18"/>
        <v/>
      </c>
      <c r="K353" t="str">
        <f t="shared" si="17"/>
        <v/>
      </c>
      <c r="L353" s="4">
        <f t="shared" si="19"/>
        <v>0</v>
      </c>
    </row>
    <row r="354" spans="1:12" x14ac:dyDescent="0.25">
      <c r="A354">
        <v>140</v>
      </c>
      <c r="B354" s="3">
        <v>41831</v>
      </c>
      <c r="C354" s="4">
        <v>692.5</v>
      </c>
      <c r="E354">
        <v>140</v>
      </c>
      <c r="F354" s="3">
        <v>41831</v>
      </c>
      <c r="G354" t="s">
        <v>88</v>
      </c>
      <c r="H354" s="18">
        <v>692.5</v>
      </c>
      <c r="J354" s="20" t="str">
        <f t="shared" si="18"/>
        <v/>
      </c>
      <c r="K354" t="str">
        <f t="shared" si="17"/>
        <v/>
      </c>
      <c r="L354" s="4">
        <f t="shared" si="19"/>
        <v>0</v>
      </c>
    </row>
    <row r="355" spans="1:12" x14ac:dyDescent="0.25">
      <c r="A355">
        <v>142</v>
      </c>
      <c r="B355" s="3">
        <v>41831</v>
      </c>
      <c r="C355" s="4">
        <v>500</v>
      </c>
      <c r="E355">
        <v>142</v>
      </c>
      <c r="F355" s="3">
        <v>41831</v>
      </c>
      <c r="G355" t="s">
        <v>324</v>
      </c>
      <c r="H355" s="18">
        <v>500</v>
      </c>
      <c r="J355" s="20" t="str">
        <f t="shared" si="18"/>
        <v/>
      </c>
      <c r="K355" t="str">
        <f t="shared" si="17"/>
        <v/>
      </c>
      <c r="L355" s="4">
        <f t="shared" si="19"/>
        <v>0</v>
      </c>
    </row>
    <row r="356" spans="1:12" x14ac:dyDescent="0.25">
      <c r="A356">
        <v>175</v>
      </c>
      <c r="B356" s="3">
        <v>41831</v>
      </c>
      <c r="C356" s="4">
        <v>930.24</v>
      </c>
      <c r="E356">
        <v>175</v>
      </c>
      <c r="F356" s="3">
        <v>41831</v>
      </c>
      <c r="G356" t="s">
        <v>275</v>
      </c>
      <c r="H356" s="18">
        <v>-319.76</v>
      </c>
      <c r="J356" s="20" t="str">
        <f t="shared" si="18"/>
        <v/>
      </c>
      <c r="K356" t="str">
        <f t="shared" si="17"/>
        <v/>
      </c>
      <c r="L356" s="4">
        <f t="shared" si="19"/>
        <v>1250</v>
      </c>
    </row>
    <row r="357" spans="1:12" x14ac:dyDescent="0.25">
      <c r="A357">
        <v>184</v>
      </c>
      <c r="B357" s="3">
        <v>41831</v>
      </c>
      <c r="C357" s="4">
        <v>1938</v>
      </c>
      <c r="E357">
        <v>184</v>
      </c>
      <c r="F357" s="3">
        <v>41831</v>
      </c>
      <c r="G357" t="s">
        <v>217</v>
      </c>
      <c r="H357" s="18">
        <v>1938</v>
      </c>
      <c r="J357" s="20" t="str">
        <f t="shared" si="18"/>
        <v/>
      </c>
      <c r="K357" t="str">
        <f t="shared" si="17"/>
        <v/>
      </c>
      <c r="L357" s="4">
        <f t="shared" si="19"/>
        <v>0</v>
      </c>
    </row>
    <row r="358" spans="1:12" x14ac:dyDescent="0.25">
      <c r="A358">
        <v>185</v>
      </c>
      <c r="B358" s="3">
        <v>41831</v>
      </c>
      <c r="C358" s="4">
        <v>900</v>
      </c>
      <c r="E358">
        <v>185</v>
      </c>
      <c r="F358" s="3">
        <v>41831</v>
      </c>
      <c r="G358" t="s">
        <v>17</v>
      </c>
      <c r="H358" s="18">
        <v>900</v>
      </c>
      <c r="J358" s="20" t="str">
        <f t="shared" si="18"/>
        <v/>
      </c>
      <c r="K358" t="str">
        <f t="shared" si="17"/>
        <v/>
      </c>
      <c r="L358" s="4">
        <f t="shared" si="19"/>
        <v>0</v>
      </c>
    </row>
    <row r="359" spans="1:12" x14ac:dyDescent="0.25">
      <c r="A359">
        <v>202</v>
      </c>
      <c r="B359" s="3">
        <v>41831</v>
      </c>
      <c r="C359" s="4">
        <v>561</v>
      </c>
      <c r="E359">
        <v>202</v>
      </c>
      <c r="F359" s="3">
        <v>41831</v>
      </c>
      <c r="G359" t="s">
        <v>237</v>
      </c>
      <c r="H359" s="18">
        <v>561</v>
      </c>
      <c r="J359" s="20" t="str">
        <f t="shared" si="18"/>
        <v/>
      </c>
      <c r="K359" t="str">
        <f t="shared" si="17"/>
        <v/>
      </c>
      <c r="L359" s="4">
        <f t="shared" si="19"/>
        <v>0</v>
      </c>
    </row>
    <row r="360" spans="1:12" x14ac:dyDescent="0.25">
      <c r="A360">
        <v>203</v>
      </c>
      <c r="B360" s="3">
        <v>41831</v>
      </c>
      <c r="C360" s="4">
        <v>561</v>
      </c>
      <c r="E360">
        <v>203</v>
      </c>
      <c r="F360" s="3">
        <v>41831</v>
      </c>
      <c r="G360" t="s">
        <v>95</v>
      </c>
      <c r="H360" s="18">
        <v>561</v>
      </c>
      <c r="J360" s="20" t="str">
        <f t="shared" si="18"/>
        <v/>
      </c>
      <c r="K360" t="str">
        <f t="shared" si="17"/>
        <v/>
      </c>
      <c r="L360" s="4">
        <f t="shared" si="19"/>
        <v>0</v>
      </c>
    </row>
    <row r="361" spans="1:12" x14ac:dyDescent="0.25">
      <c r="A361">
        <v>204</v>
      </c>
      <c r="B361" s="3">
        <v>41831</v>
      </c>
      <c r="C361" s="4">
        <v>357</v>
      </c>
      <c r="E361">
        <v>204</v>
      </c>
      <c r="F361" s="3">
        <v>41831</v>
      </c>
      <c r="G361" t="s">
        <v>242</v>
      </c>
      <c r="H361" s="18">
        <v>357</v>
      </c>
      <c r="J361" s="20" t="str">
        <f t="shared" si="18"/>
        <v/>
      </c>
      <c r="K361" t="str">
        <f t="shared" si="17"/>
        <v/>
      </c>
      <c r="L361" s="4">
        <f t="shared" si="19"/>
        <v>0</v>
      </c>
    </row>
    <row r="362" spans="1:12" x14ac:dyDescent="0.25">
      <c r="A362">
        <v>206</v>
      </c>
      <c r="B362" s="3">
        <v>41831</v>
      </c>
      <c r="C362" s="4">
        <v>800</v>
      </c>
      <c r="E362">
        <v>206</v>
      </c>
      <c r="F362" s="3">
        <v>41831</v>
      </c>
      <c r="G362" t="s">
        <v>334</v>
      </c>
      <c r="H362" s="18">
        <v>800</v>
      </c>
      <c r="J362" s="20" t="str">
        <f t="shared" si="18"/>
        <v/>
      </c>
      <c r="K362" t="str">
        <f t="shared" si="17"/>
        <v/>
      </c>
      <c r="L362" s="4">
        <f t="shared" si="19"/>
        <v>0</v>
      </c>
    </row>
    <row r="363" spans="1:12" x14ac:dyDescent="0.25">
      <c r="A363">
        <v>214</v>
      </c>
      <c r="B363" s="3">
        <v>41831</v>
      </c>
      <c r="C363" s="4">
        <v>400</v>
      </c>
      <c r="E363">
        <v>214</v>
      </c>
      <c r="F363" s="3">
        <v>41831</v>
      </c>
      <c r="G363" t="s">
        <v>323</v>
      </c>
      <c r="H363" s="18">
        <v>400</v>
      </c>
      <c r="J363" s="20" t="str">
        <f t="shared" si="18"/>
        <v/>
      </c>
      <c r="K363" t="str">
        <f t="shared" si="17"/>
        <v/>
      </c>
      <c r="L363" s="4">
        <f t="shared" si="19"/>
        <v>0</v>
      </c>
    </row>
    <row r="364" spans="1:12" x14ac:dyDescent="0.25">
      <c r="A364">
        <v>218</v>
      </c>
      <c r="B364" s="3">
        <v>41831</v>
      </c>
      <c r="C364" s="4">
        <v>805.6</v>
      </c>
      <c r="E364">
        <v>218</v>
      </c>
      <c r="F364" s="3">
        <v>41831</v>
      </c>
      <c r="G364" t="s">
        <v>233</v>
      </c>
      <c r="H364" s="18">
        <v>805.61</v>
      </c>
      <c r="J364" s="20" t="str">
        <f t="shared" si="18"/>
        <v/>
      </c>
      <c r="K364" t="str">
        <f t="shared" si="17"/>
        <v/>
      </c>
      <c r="L364" s="4">
        <f t="shared" si="19"/>
        <v>-9.9999999999909051E-3</v>
      </c>
    </row>
    <row r="365" spans="1:12" x14ac:dyDescent="0.25">
      <c r="A365">
        <v>223</v>
      </c>
      <c r="B365" s="3">
        <v>41831</v>
      </c>
      <c r="C365" s="4">
        <v>630.91</v>
      </c>
      <c r="E365">
        <v>223</v>
      </c>
      <c r="F365" s="3">
        <v>41831</v>
      </c>
      <c r="G365" t="s">
        <v>325</v>
      </c>
      <c r="H365" s="18">
        <v>630.91</v>
      </c>
      <c r="J365" s="20" t="str">
        <f t="shared" si="18"/>
        <v/>
      </c>
      <c r="K365" t="str">
        <f t="shared" si="17"/>
        <v/>
      </c>
      <c r="L365" s="4">
        <f t="shared" si="19"/>
        <v>0</v>
      </c>
    </row>
    <row r="366" spans="1:12" x14ac:dyDescent="0.25">
      <c r="A366">
        <v>232</v>
      </c>
      <c r="B366" s="3">
        <v>41831</v>
      </c>
      <c r="C366" s="4">
        <v>-162.24</v>
      </c>
      <c r="E366">
        <v>232</v>
      </c>
      <c r="F366" s="3">
        <v>41831</v>
      </c>
      <c r="G366" t="s">
        <v>100</v>
      </c>
      <c r="H366" s="18">
        <v>-162.24</v>
      </c>
      <c r="J366" s="20" t="str">
        <f t="shared" si="18"/>
        <v/>
      </c>
      <c r="K366" t="str">
        <f t="shared" si="17"/>
        <v/>
      </c>
      <c r="L366" s="4">
        <f t="shared" si="19"/>
        <v>0</v>
      </c>
    </row>
    <row r="367" spans="1:12" x14ac:dyDescent="0.25">
      <c r="A367">
        <v>236</v>
      </c>
      <c r="B367" s="3">
        <v>41831</v>
      </c>
      <c r="C367" s="4">
        <v>718.55</v>
      </c>
      <c r="E367">
        <v>236</v>
      </c>
      <c r="F367" s="3">
        <v>41831</v>
      </c>
      <c r="G367" t="s">
        <v>211</v>
      </c>
      <c r="H367" s="18">
        <v>718.55</v>
      </c>
      <c r="J367" s="20" t="str">
        <f t="shared" si="18"/>
        <v/>
      </c>
      <c r="K367" t="str">
        <f t="shared" si="17"/>
        <v/>
      </c>
      <c r="L367" s="4">
        <f t="shared" si="19"/>
        <v>0</v>
      </c>
    </row>
    <row r="368" spans="1:12" x14ac:dyDescent="0.25">
      <c r="A368">
        <v>242</v>
      </c>
      <c r="B368" s="3">
        <v>41831</v>
      </c>
      <c r="C368" s="4">
        <v>625</v>
      </c>
      <c r="E368">
        <v>242</v>
      </c>
      <c r="F368" s="3">
        <v>41831</v>
      </c>
      <c r="G368" t="s">
        <v>339</v>
      </c>
      <c r="H368" s="18">
        <v>625</v>
      </c>
      <c r="J368" s="20" t="str">
        <f t="shared" si="18"/>
        <v/>
      </c>
      <c r="K368" t="str">
        <f t="shared" si="17"/>
        <v/>
      </c>
      <c r="L368" s="4">
        <f t="shared" si="19"/>
        <v>0</v>
      </c>
    </row>
    <row r="369" spans="1:12" x14ac:dyDescent="0.25">
      <c r="A369">
        <v>245</v>
      </c>
      <c r="B369" s="3">
        <v>41831</v>
      </c>
      <c r="C369" s="4">
        <v>2339.5700000000002</v>
      </c>
      <c r="E369">
        <v>245</v>
      </c>
      <c r="F369" s="3">
        <v>41831</v>
      </c>
      <c r="G369" t="s">
        <v>340</v>
      </c>
      <c r="H369" s="18">
        <v>2339.5700000000002</v>
      </c>
      <c r="J369" s="20" t="str">
        <f t="shared" si="18"/>
        <v/>
      </c>
      <c r="K369" t="str">
        <f t="shared" si="17"/>
        <v/>
      </c>
      <c r="L369" s="4">
        <f t="shared" si="19"/>
        <v>0</v>
      </c>
    </row>
    <row r="370" spans="1:12" x14ac:dyDescent="0.25">
      <c r="A370">
        <v>268</v>
      </c>
      <c r="B370" s="3">
        <v>41831</v>
      </c>
      <c r="C370" s="4">
        <v>280.5</v>
      </c>
      <c r="E370">
        <v>268</v>
      </c>
      <c r="F370" s="3">
        <v>41831</v>
      </c>
      <c r="G370" t="s">
        <v>162</v>
      </c>
      <c r="H370" s="18">
        <v>280.5</v>
      </c>
      <c r="J370" s="20" t="str">
        <f t="shared" si="18"/>
        <v/>
      </c>
      <c r="K370" t="str">
        <f t="shared" si="17"/>
        <v/>
      </c>
      <c r="L370" s="4">
        <f t="shared" si="19"/>
        <v>0</v>
      </c>
    </row>
    <row r="371" spans="1:12" x14ac:dyDescent="0.25">
      <c r="A371">
        <v>269</v>
      </c>
      <c r="B371" s="3">
        <v>41831</v>
      </c>
      <c r="C371" s="4">
        <v>525</v>
      </c>
      <c r="E371">
        <v>269</v>
      </c>
      <c r="F371" s="3">
        <v>41831</v>
      </c>
      <c r="G371" t="s">
        <v>254</v>
      </c>
      <c r="H371" s="18">
        <v>525</v>
      </c>
      <c r="J371" s="20" t="str">
        <f t="shared" si="18"/>
        <v/>
      </c>
      <c r="K371" t="str">
        <f t="shared" si="17"/>
        <v/>
      </c>
      <c r="L371" s="4">
        <f t="shared" si="19"/>
        <v>0</v>
      </c>
    </row>
    <row r="372" spans="1:12" x14ac:dyDescent="0.25">
      <c r="A372">
        <v>276</v>
      </c>
      <c r="B372" s="3">
        <v>41831</v>
      </c>
      <c r="C372" s="4">
        <v>2675</v>
      </c>
      <c r="E372">
        <v>276</v>
      </c>
      <c r="F372" s="3">
        <v>41831</v>
      </c>
      <c r="G372" t="s">
        <v>342</v>
      </c>
      <c r="H372" s="18">
        <v>0</v>
      </c>
      <c r="J372" s="20" t="str">
        <f t="shared" si="18"/>
        <v/>
      </c>
      <c r="K372" t="str">
        <f t="shared" si="17"/>
        <v/>
      </c>
      <c r="L372" s="4">
        <f t="shared" si="19"/>
        <v>2675</v>
      </c>
    </row>
    <row r="373" spans="1:12" x14ac:dyDescent="0.25">
      <c r="A373">
        <v>396</v>
      </c>
      <c r="B373" s="3">
        <v>41831</v>
      </c>
      <c r="C373" s="4">
        <v>459</v>
      </c>
      <c r="E373">
        <v>396</v>
      </c>
      <c r="F373" s="3">
        <v>41831</v>
      </c>
      <c r="G373" t="s">
        <v>357</v>
      </c>
      <c r="H373" s="18">
        <v>459</v>
      </c>
      <c r="J373" s="20" t="str">
        <f t="shared" si="18"/>
        <v/>
      </c>
      <c r="K373" t="str">
        <f t="shared" si="17"/>
        <v/>
      </c>
      <c r="L373" s="4">
        <f t="shared" si="19"/>
        <v>0</v>
      </c>
    </row>
    <row r="374" spans="1:12" x14ac:dyDescent="0.25">
      <c r="A374">
        <v>183</v>
      </c>
      <c r="B374" s="3">
        <v>41834</v>
      </c>
      <c r="C374" s="4">
        <v>1100</v>
      </c>
      <c r="E374">
        <v>183</v>
      </c>
      <c r="F374" s="3">
        <v>41834</v>
      </c>
      <c r="G374" t="s">
        <v>264</v>
      </c>
      <c r="H374" s="18">
        <v>1100</v>
      </c>
      <c r="J374" s="20" t="str">
        <f t="shared" si="18"/>
        <v/>
      </c>
      <c r="K374" t="str">
        <f t="shared" si="17"/>
        <v/>
      </c>
      <c r="L374" s="4">
        <f t="shared" si="19"/>
        <v>0</v>
      </c>
    </row>
    <row r="375" spans="1:12" x14ac:dyDescent="0.25">
      <c r="A375">
        <v>236</v>
      </c>
      <c r="B375" s="3">
        <v>41834</v>
      </c>
      <c r="C375" s="4">
        <v>681.45</v>
      </c>
      <c r="E375">
        <v>236</v>
      </c>
      <c r="F375" s="3">
        <v>41834</v>
      </c>
      <c r="G375" t="s">
        <v>211</v>
      </c>
      <c r="H375" s="18">
        <v>681.45</v>
      </c>
      <c r="J375" s="20" t="str">
        <f t="shared" si="18"/>
        <v/>
      </c>
      <c r="K375" t="str">
        <f t="shared" si="17"/>
        <v/>
      </c>
      <c r="L375" s="4">
        <f t="shared" si="19"/>
        <v>0</v>
      </c>
    </row>
    <row r="376" spans="1:12" x14ac:dyDescent="0.25">
      <c r="A376">
        <v>250</v>
      </c>
      <c r="B376" s="3">
        <v>41835</v>
      </c>
      <c r="C376" s="4">
        <v>100</v>
      </c>
      <c r="E376">
        <v>250</v>
      </c>
      <c r="F376" s="3">
        <v>41835</v>
      </c>
      <c r="G376" t="s">
        <v>212</v>
      </c>
      <c r="H376" s="18">
        <v>100</v>
      </c>
      <c r="J376" s="20" t="str">
        <f t="shared" si="18"/>
        <v/>
      </c>
      <c r="K376" t="str">
        <f t="shared" si="17"/>
        <v/>
      </c>
      <c r="L376" s="4">
        <f t="shared" si="19"/>
        <v>0</v>
      </c>
    </row>
    <row r="377" spans="1:12" x14ac:dyDescent="0.25">
      <c r="A377">
        <v>27</v>
      </c>
      <c r="B377" s="3">
        <v>41838</v>
      </c>
      <c r="C377" s="4">
        <v>1834.38</v>
      </c>
      <c r="E377">
        <v>27</v>
      </c>
      <c r="F377" s="3">
        <v>41838</v>
      </c>
      <c r="G377" t="s">
        <v>159</v>
      </c>
      <c r="H377" s="18">
        <v>1834.37</v>
      </c>
      <c r="J377" s="20" t="str">
        <f t="shared" si="18"/>
        <v/>
      </c>
      <c r="K377" t="str">
        <f t="shared" si="17"/>
        <v/>
      </c>
      <c r="L377" s="4">
        <f t="shared" si="19"/>
        <v>1.0000000000218279E-2</v>
      </c>
    </row>
    <row r="378" spans="1:12" x14ac:dyDescent="0.25">
      <c r="A378">
        <v>41</v>
      </c>
      <c r="B378" s="3">
        <v>41838</v>
      </c>
      <c r="C378" s="4">
        <v>5872.53</v>
      </c>
      <c r="E378">
        <v>41</v>
      </c>
      <c r="F378" s="3">
        <v>41838</v>
      </c>
      <c r="G378" t="s">
        <v>10</v>
      </c>
      <c r="H378" s="18">
        <v>5872.53</v>
      </c>
      <c r="J378" s="20" t="str">
        <f t="shared" si="18"/>
        <v/>
      </c>
      <c r="K378" t="str">
        <f t="shared" si="17"/>
        <v/>
      </c>
      <c r="L378" s="4">
        <f t="shared" si="19"/>
        <v>0</v>
      </c>
    </row>
    <row r="379" spans="1:12" x14ac:dyDescent="0.25">
      <c r="A379">
        <v>83</v>
      </c>
      <c r="B379" s="3">
        <v>41838</v>
      </c>
      <c r="C379" s="4">
        <v>2600</v>
      </c>
      <c r="E379">
        <v>83</v>
      </c>
      <c r="F379" s="3">
        <v>41838</v>
      </c>
      <c r="G379" t="s">
        <v>351</v>
      </c>
      <c r="H379" s="18">
        <v>2600</v>
      </c>
      <c r="J379" s="20" t="str">
        <f t="shared" si="18"/>
        <v/>
      </c>
      <c r="K379" t="str">
        <f t="shared" si="17"/>
        <v/>
      </c>
      <c r="L379" s="4">
        <f t="shared" si="19"/>
        <v>0</v>
      </c>
    </row>
    <row r="380" spans="1:12" x14ac:dyDescent="0.25">
      <c r="A380">
        <v>85</v>
      </c>
      <c r="B380" s="3">
        <v>41838</v>
      </c>
      <c r="C380" s="4">
        <v>565</v>
      </c>
      <c r="E380">
        <v>85</v>
      </c>
      <c r="F380" s="3">
        <v>41838</v>
      </c>
      <c r="G380" t="s">
        <v>79</v>
      </c>
      <c r="H380" s="18">
        <v>565</v>
      </c>
      <c r="J380" s="20" t="str">
        <f t="shared" si="18"/>
        <v/>
      </c>
      <c r="K380" t="str">
        <f t="shared" si="17"/>
        <v/>
      </c>
      <c r="L380" s="4">
        <f t="shared" si="19"/>
        <v>0</v>
      </c>
    </row>
    <row r="381" spans="1:12" x14ac:dyDescent="0.25">
      <c r="A381">
        <v>110</v>
      </c>
      <c r="B381" s="3">
        <v>41838</v>
      </c>
      <c r="C381" s="4">
        <v>400</v>
      </c>
      <c r="E381">
        <v>110</v>
      </c>
      <c r="F381" s="3">
        <v>41838</v>
      </c>
      <c r="G381" t="s">
        <v>83</v>
      </c>
      <c r="H381" s="18">
        <v>400</v>
      </c>
      <c r="J381" s="20" t="str">
        <f t="shared" si="18"/>
        <v/>
      </c>
      <c r="K381" t="str">
        <f t="shared" si="17"/>
        <v/>
      </c>
      <c r="L381" s="4">
        <f t="shared" si="19"/>
        <v>0</v>
      </c>
    </row>
    <row r="382" spans="1:12" x14ac:dyDescent="0.25">
      <c r="A382">
        <v>117</v>
      </c>
      <c r="B382" s="3">
        <v>41838</v>
      </c>
      <c r="C382" s="4">
        <v>133.33000000000001</v>
      </c>
      <c r="E382">
        <v>117</v>
      </c>
      <c r="F382" s="3">
        <v>41838</v>
      </c>
      <c r="G382" t="s">
        <v>232</v>
      </c>
      <c r="H382" s="18">
        <v>133.33000000000001</v>
      </c>
      <c r="J382" s="20" t="str">
        <f t="shared" si="18"/>
        <v/>
      </c>
      <c r="K382" t="str">
        <f t="shared" si="17"/>
        <v/>
      </c>
      <c r="L382" s="4">
        <f t="shared" si="19"/>
        <v>0</v>
      </c>
    </row>
    <row r="383" spans="1:12" x14ac:dyDescent="0.25">
      <c r="A383">
        <v>133</v>
      </c>
      <c r="B383" s="3">
        <v>41838</v>
      </c>
      <c r="C383" s="4">
        <v>434.4</v>
      </c>
      <c r="E383">
        <v>133</v>
      </c>
      <c r="F383" s="3">
        <v>41838</v>
      </c>
      <c r="G383" t="s">
        <v>87</v>
      </c>
      <c r="H383" s="18">
        <v>434.4</v>
      </c>
      <c r="J383" s="20" t="str">
        <f t="shared" si="18"/>
        <v/>
      </c>
      <c r="K383" t="str">
        <f t="shared" si="17"/>
        <v/>
      </c>
      <c r="L383" s="4">
        <f t="shared" si="19"/>
        <v>0</v>
      </c>
    </row>
    <row r="384" spans="1:12" x14ac:dyDescent="0.25">
      <c r="A384">
        <v>138</v>
      </c>
      <c r="B384" s="3">
        <v>41838</v>
      </c>
      <c r="C384" s="4">
        <v>2040</v>
      </c>
      <c r="E384">
        <v>138</v>
      </c>
      <c r="F384" s="3">
        <v>41838</v>
      </c>
      <c r="G384" t="s">
        <v>16</v>
      </c>
      <c r="H384" s="18">
        <v>2040</v>
      </c>
      <c r="J384" s="20" t="str">
        <f t="shared" si="18"/>
        <v/>
      </c>
      <c r="K384" t="str">
        <f t="shared" si="17"/>
        <v/>
      </c>
      <c r="L384" s="4">
        <f t="shared" si="19"/>
        <v>0</v>
      </c>
    </row>
    <row r="385" spans="1:12" x14ac:dyDescent="0.25">
      <c r="A385">
        <v>142</v>
      </c>
      <c r="B385" s="3">
        <v>41838</v>
      </c>
      <c r="C385" s="4">
        <v>486.5</v>
      </c>
      <c r="E385">
        <v>142</v>
      </c>
      <c r="F385" s="3">
        <v>41838</v>
      </c>
      <c r="G385" t="s">
        <v>324</v>
      </c>
      <c r="H385" s="18">
        <v>486.5</v>
      </c>
      <c r="J385" s="20" t="str">
        <f t="shared" si="18"/>
        <v/>
      </c>
      <c r="K385" t="str">
        <f t="shared" si="17"/>
        <v/>
      </c>
      <c r="L385" s="4">
        <f t="shared" si="19"/>
        <v>0</v>
      </c>
    </row>
    <row r="386" spans="1:12" x14ac:dyDescent="0.25">
      <c r="A386">
        <v>146</v>
      </c>
      <c r="B386" s="3">
        <v>41838</v>
      </c>
      <c r="C386" s="4">
        <v>500</v>
      </c>
      <c r="E386">
        <v>146</v>
      </c>
      <c r="F386" s="3">
        <v>41838</v>
      </c>
      <c r="G386" t="s">
        <v>362</v>
      </c>
      <c r="H386" s="18">
        <v>500</v>
      </c>
      <c r="J386" s="20" t="str">
        <f t="shared" si="18"/>
        <v/>
      </c>
      <c r="K386" t="str">
        <f t="shared" si="17"/>
        <v/>
      </c>
      <c r="L386" s="4">
        <f t="shared" si="19"/>
        <v>0</v>
      </c>
    </row>
    <row r="387" spans="1:12" x14ac:dyDescent="0.25">
      <c r="A387">
        <v>148</v>
      </c>
      <c r="B387" s="3">
        <v>41838</v>
      </c>
      <c r="C387" s="4">
        <v>459</v>
      </c>
      <c r="E387">
        <v>148</v>
      </c>
      <c r="F387" s="3">
        <v>41838</v>
      </c>
      <c r="G387" t="s">
        <v>89</v>
      </c>
      <c r="H387" s="18">
        <v>459</v>
      </c>
      <c r="J387" s="20" t="str">
        <f t="shared" si="18"/>
        <v/>
      </c>
      <c r="K387" t="str">
        <f t="shared" ref="K387:K450" si="20">IF(F387=B387,"","CHECK")</f>
        <v/>
      </c>
      <c r="L387" s="4">
        <f t="shared" si="19"/>
        <v>0</v>
      </c>
    </row>
    <row r="388" spans="1:12" x14ac:dyDescent="0.25">
      <c r="A388">
        <v>185</v>
      </c>
      <c r="B388" s="3">
        <v>41838</v>
      </c>
      <c r="C388" s="4">
        <v>1146.6300000000001</v>
      </c>
      <c r="E388">
        <v>185</v>
      </c>
      <c r="F388" s="3">
        <v>41838</v>
      </c>
      <c r="G388" t="s">
        <v>17</v>
      </c>
      <c r="H388" s="18">
        <v>1146.6300000000001</v>
      </c>
      <c r="J388" s="20" t="str">
        <f t="shared" si="18"/>
        <v/>
      </c>
      <c r="K388" t="str">
        <f t="shared" si="20"/>
        <v/>
      </c>
      <c r="L388" s="4">
        <f t="shared" si="19"/>
        <v>0</v>
      </c>
    </row>
    <row r="389" spans="1:12" x14ac:dyDescent="0.25">
      <c r="A389">
        <v>189</v>
      </c>
      <c r="B389" s="3">
        <v>41838</v>
      </c>
      <c r="C389" s="4">
        <v>586.5</v>
      </c>
      <c r="E389">
        <v>189</v>
      </c>
      <c r="F389" s="3">
        <v>41838</v>
      </c>
      <c r="G389" t="s">
        <v>350</v>
      </c>
      <c r="H389" s="18">
        <v>586.5</v>
      </c>
      <c r="J389" s="20" t="str">
        <f t="shared" ref="J389:J452" si="21">IF(E389=A389,"","CHECK")</f>
        <v/>
      </c>
      <c r="K389" t="str">
        <f t="shared" si="20"/>
        <v/>
      </c>
      <c r="L389" s="4">
        <f t="shared" ref="L389:L452" si="22">C389-H389</f>
        <v>0</v>
      </c>
    </row>
    <row r="390" spans="1:12" x14ac:dyDescent="0.25">
      <c r="A390">
        <v>202</v>
      </c>
      <c r="B390" s="3">
        <v>41838</v>
      </c>
      <c r="C390" s="4">
        <v>3064</v>
      </c>
      <c r="E390">
        <v>202</v>
      </c>
      <c r="F390" s="3">
        <v>41838</v>
      </c>
      <c r="G390" t="s">
        <v>237</v>
      </c>
      <c r="H390" s="18">
        <v>3064</v>
      </c>
      <c r="J390" s="20" t="str">
        <f t="shared" si="21"/>
        <v/>
      </c>
      <c r="K390" t="str">
        <f t="shared" si="20"/>
        <v/>
      </c>
      <c r="L390" s="4">
        <f t="shared" si="22"/>
        <v>0</v>
      </c>
    </row>
    <row r="391" spans="1:12" x14ac:dyDescent="0.25">
      <c r="A391">
        <v>203</v>
      </c>
      <c r="B391" s="3">
        <v>41838</v>
      </c>
      <c r="C391" s="4">
        <v>2525</v>
      </c>
      <c r="E391">
        <v>203</v>
      </c>
      <c r="F391" s="3">
        <v>41838</v>
      </c>
      <c r="G391" t="s">
        <v>95</v>
      </c>
      <c r="H391" s="18">
        <v>2525</v>
      </c>
      <c r="J391" s="20" t="str">
        <f t="shared" si="21"/>
        <v/>
      </c>
      <c r="K391" t="str">
        <f t="shared" si="20"/>
        <v/>
      </c>
      <c r="L391" s="4">
        <f t="shared" si="22"/>
        <v>0</v>
      </c>
    </row>
    <row r="392" spans="1:12" x14ac:dyDescent="0.25">
      <c r="A392">
        <v>206</v>
      </c>
      <c r="B392" s="3">
        <v>41838</v>
      </c>
      <c r="C392" s="4">
        <v>2100</v>
      </c>
      <c r="E392">
        <v>206</v>
      </c>
      <c r="F392" s="3">
        <v>41838</v>
      </c>
      <c r="G392" t="s">
        <v>334</v>
      </c>
      <c r="H392" s="18">
        <v>2100</v>
      </c>
      <c r="J392" s="20" t="str">
        <f t="shared" si="21"/>
        <v/>
      </c>
      <c r="K392" t="str">
        <f t="shared" si="20"/>
        <v/>
      </c>
      <c r="L392" s="4">
        <f t="shared" si="22"/>
        <v>0</v>
      </c>
    </row>
    <row r="393" spans="1:12" x14ac:dyDescent="0.25">
      <c r="A393">
        <v>214</v>
      </c>
      <c r="B393" s="3">
        <v>41838</v>
      </c>
      <c r="C393" s="4">
        <v>1100</v>
      </c>
      <c r="E393">
        <v>214</v>
      </c>
      <c r="F393" s="3">
        <v>41838</v>
      </c>
      <c r="G393" t="s">
        <v>323</v>
      </c>
      <c r="H393" s="18">
        <v>1100</v>
      </c>
      <c r="J393" s="20" t="str">
        <f t="shared" si="21"/>
        <v/>
      </c>
      <c r="K393" t="str">
        <f t="shared" si="20"/>
        <v/>
      </c>
      <c r="L393" s="4">
        <f t="shared" si="22"/>
        <v>0</v>
      </c>
    </row>
    <row r="394" spans="1:12" x14ac:dyDescent="0.25">
      <c r="A394">
        <v>218</v>
      </c>
      <c r="B394" s="3">
        <v>41838</v>
      </c>
      <c r="C394" s="4">
        <v>202.5</v>
      </c>
      <c r="E394">
        <v>218</v>
      </c>
      <c r="F394" s="3">
        <v>41838</v>
      </c>
      <c r="G394" t="s">
        <v>233</v>
      </c>
      <c r="H394" s="18">
        <v>202.5</v>
      </c>
      <c r="J394" s="20" t="str">
        <f t="shared" si="21"/>
        <v/>
      </c>
      <c r="K394" t="str">
        <f t="shared" si="20"/>
        <v/>
      </c>
      <c r="L394" s="4">
        <f t="shared" si="22"/>
        <v>0</v>
      </c>
    </row>
    <row r="395" spans="1:12" x14ac:dyDescent="0.25">
      <c r="A395">
        <v>223</v>
      </c>
      <c r="B395" s="3">
        <v>41838</v>
      </c>
      <c r="C395" s="4">
        <v>500</v>
      </c>
      <c r="E395">
        <v>223</v>
      </c>
      <c r="F395" s="3">
        <v>41838</v>
      </c>
      <c r="G395" t="s">
        <v>325</v>
      </c>
      <c r="H395" s="18">
        <v>500</v>
      </c>
      <c r="J395" s="20" t="str">
        <f t="shared" si="21"/>
        <v/>
      </c>
      <c r="K395" t="str">
        <f t="shared" si="20"/>
        <v/>
      </c>
      <c r="L395" s="4">
        <f t="shared" si="22"/>
        <v>0</v>
      </c>
    </row>
    <row r="396" spans="1:12" x14ac:dyDescent="0.25">
      <c r="A396">
        <v>224</v>
      </c>
      <c r="B396" s="3">
        <v>41838</v>
      </c>
      <c r="C396" s="4">
        <v>518.24</v>
      </c>
      <c r="E396">
        <v>224</v>
      </c>
      <c r="F396" s="3">
        <v>41838</v>
      </c>
      <c r="G396" t="s">
        <v>335</v>
      </c>
      <c r="H396" s="18">
        <v>518.24</v>
      </c>
      <c r="J396" s="20" t="str">
        <f t="shared" si="21"/>
        <v/>
      </c>
      <c r="K396" t="str">
        <f t="shared" si="20"/>
        <v/>
      </c>
      <c r="L396" s="4">
        <f t="shared" si="22"/>
        <v>0</v>
      </c>
    </row>
    <row r="397" spans="1:12" x14ac:dyDescent="0.25">
      <c r="A397">
        <v>228</v>
      </c>
      <c r="B397" s="3">
        <v>41838</v>
      </c>
      <c r="C397" s="4">
        <v>650</v>
      </c>
      <c r="E397">
        <v>228</v>
      </c>
      <c r="F397" s="3">
        <v>41838</v>
      </c>
      <c r="G397" t="s">
        <v>99</v>
      </c>
      <c r="H397" s="18">
        <v>650</v>
      </c>
      <c r="J397" s="20" t="str">
        <f t="shared" si="21"/>
        <v/>
      </c>
      <c r="K397" t="str">
        <f t="shared" si="20"/>
        <v/>
      </c>
      <c r="L397" s="4">
        <f t="shared" si="22"/>
        <v>0</v>
      </c>
    </row>
    <row r="398" spans="1:12" x14ac:dyDescent="0.25">
      <c r="A398">
        <v>231</v>
      </c>
      <c r="B398" s="3">
        <v>41838</v>
      </c>
      <c r="C398" s="4">
        <v>530.6</v>
      </c>
      <c r="E398">
        <v>231</v>
      </c>
      <c r="F398" s="3">
        <v>41838</v>
      </c>
      <c r="G398" t="s">
        <v>310</v>
      </c>
      <c r="H398" s="18">
        <v>530.61</v>
      </c>
      <c r="J398" s="20" t="str">
        <f t="shared" si="21"/>
        <v/>
      </c>
      <c r="K398" t="str">
        <f t="shared" si="20"/>
        <v/>
      </c>
      <c r="L398" s="4">
        <f t="shared" si="22"/>
        <v>-9.9999999999909051E-3</v>
      </c>
    </row>
    <row r="399" spans="1:12" x14ac:dyDescent="0.25">
      <c r="A399">
        <v>232</v>
      </c>
      <c r="B399" s="3">
        <v>41838</v>
      </c>
      <c r="C399" s="4">
        <v>300</v>
      </c>
      <c r="E399">
        <v>232</v>
      </c>
      <c r="F399" s="3">
        <v>41838</v>
      </c>
      <c r="G399" t="s">
        <v>100</v>
      </c>
      <c r="H399" s="18">
        <v>300</v>
      </c>
      <c r="J399" s="20" t="str">
        <f t="shared" si="21"/>
        <v/>
      </c>
      <c r="K399" t="str">
        <f t="shared" si="20"/>
        <v/>
      </c>
      <c r="L399" s="4">
        <f t="shared" si="22"/>
        <v>0</v>
      </c>
    </row>
    <row r="400" spans="1:12" x14ac:dyDescent="0.25">
      <c r="A400">
        <v>247</v>
      </c>
      <c r="B400" s="3">
        <v>41838</v>
      </c>
      <c r="C400" s="4">
        <v>500</v>
      </c>
      <c r="E400">
        <v>247</v>
      </c>
      <c r="F400" s="3">
        <v>41838</v>
      </c>
      <c r="G400" t="s">
        <v>341</v>
      </c>
      <c r="H400" s="18">
        <v>500</v>
      </c>
      <c r="J400" s="20" t="str">
        <f t="shared" si="21"/>
        <v/>
      </c>
      <c r="K400" t="str">
        <f t="shared" si="20"/>
        <v/>
      </c>
      <c r="L400" s="4">
        <f t="shared" si="22"/>
        <v>0</v>
      </c>
    </row>
    <row r="401" spans="1:12" x14ac:dyDescent="0.25">
      <c r="A401">
        <v>250</v>
      </c>
      <c r="B401" s="3">
        <v>41838</v>
      </c>
      <c r="C401" s="4">
        <v>100</v>
      </c>
      <c r="E401">
        <v>250</v>
      </c>
      <c r="F401" s="3">
        <v>41838</v>
      </c>
      <c r="G401" t="s">
        <v>212</v>
      </c>
      <c r="H401" s="18">
        <v>100</v>
      </c>
      <c r="J401" s="20" t="str">
        <f t="shared" si="21"/>
        <v/>
      </c>
      <c r="K401" t="str">
        <f t="shared" si="20"/>
        <v/>
      </c>
      <c r="L401" s="4">
        <f t="shared" si="22"/>
        <v>0</v>
      </c>
    </row>
    <row r="402" spans="1:12" x14ac:dyDescent="0.25">
      <c r="A402">
        <v>255</v>
      </c>
      <c r="B402" s="3">
        <v>41838</v>
      </c>
      <c r="C402" s="4">
        <v>612</v>
      </c>
      <c r="E402">
        <v>255</v>
      </c>
      <c r="F402" s="3">
        <v>41838</v>
      </c>
      <c r="G402" t="s">
        <v>21</v>
      </c>
      <c r="H402" s="18">
        <v>612</v>
      </c>
      <c r="J402" s="20" t="str">
        <f t="shared" si="21"/>
        <v/>
      </c>
      <c r="K402" t="str">
        <f t="shared" si="20"/>
        <v/>
      </c>
      <c r="L402" s="4">
        <f t="shared" si="22"/>
        <v>0</v>
      </c>
    </row>
    <row r="403" spans="1:12" x14ac:dyDescent="0.25">
      <c r="A403">
        <v>260</v>
      </c>
      <c r="B403" s="3">
        <v>41838</v>
      </c>
      <c r="C403" s="4">
        <v>510</v>
      </c>
      <c r="E403">
        <v>260</v>
      </c>
      <c r="F403" s="3">
        <v>41838</v>
      </c>
      <c r="G403" t="s">
        <v>327</v>
      </c>
      <c r="H403" s="18">
        <v>510</v>
      </c>
      <c r="J403" s="20" t="str">
        <f t="shared" si="21"/>
        <v/>
      </c>
      <c r="K403" t="str">
        <f t="shared" si="20"/>
        <v/>
      </c>
      <c r="L403" s="4">
        <f t="shared" si="22"/>
        <v>0</v>
      </c>
    </row>
    <row r="404" spans="1:12" x14ac:dyDescent="0.25">
      <c r="A404">
        <v>263</v>
      </c>
      <c r="B404" s="3">
        <v>41838</v>
      </c>
      <c r="C404" s="4">
        <v>306</v>
      </c>
      <c r="E404">
        <v>263</v>
      </c>
      <c r="F404" s="3">
        <v>41838</v>
      </c>
      <c r="G404" t="s">
        <v>363</v>
      </c>
      <c r="H404" s="18">
        <v>306</v>
      </c>
      <c r="J404" s="20" t="str">
        <f t="shared" si="21"/>
        <v/>
      </c>
      <c r="K404" t="str">
        <f t="shared" si="20"/>
        <v/>
      </c>
      <c r="L404" s="4">
        <f t="shared" si="22"/>
        <v>0</v>
      </c>
    </row>
    <row r="405" spans="1:12" x14ac:dyDescent="0.25">
      <c r="A405">
        <v>379</v>
      </c>
      <c r="B405" s="3">
        <v>41838</v>
      </c>
      <c r="C405" s="4">
        <v>500</v>
      </c>
      <c r="E405">
        <v>379</v>
      </c>
      <c r="F405" s="3">
        <v>41838</v>
      </c>
      <c r="G405" t="s">
        <v>30</v>
      </c>
      <c r="H405" s="18">
        <v>500</v>
      </c>
      <c r="J405" s="20" t="str">
        <f t="shared" si="21"/>
        <v/>
      </c>
      <c r="K405" t="str">
        <f t="shared" si="20"/>
        <v/>
      </c>
      <c r="L405" s="4">
        <f t="shared" si="22"/>
        <v>0</v>
      </c>
    </row>
    <row r="406" spans="1:12" x14ac:dyDescent="0.25">
      <c r="A406">
        <v>28</v>
      </c>
      <c r="B406" s="3">
        <v>41841</v>
      </c>
      <c r="C406" s="4">
        <v>1116.5</v>
      </c>
      <c r="E406">
        <v>28</v>
      </c>
      <c r="F406" s="3">
        <v>41841</v>
      </c>
      <c r="G406" t="s">
        <v>6</v>
      </c>
      <c r="H406" s="18">
        <v>1116.5</v>
      </c>
      <c r="J406" s="20" t="str">
        <f t="shared" si="21"/>
        <v/>
      </c>
      <c r="K406" t="str">
        <f t="shared" si="20"/>
        <v/>
      </c>
      <c r="L406" s="4">
        <f t="shared" si="22"/>
        <v>0</v>
      </c>
    </row>
    <row r="407" spans="1:12" x14ac:dyDescent="0.25">
      <c r="A407">
        <v>179</v>
      </c>
      <c r="B407" s="3">
        <v>41841</v>
      </c>
      <c r="C407" s="4">
        <v>1796.5</v>
      </c>
      <c r="E407">
        <v>179</v>
      </c>
      <c r="F407" s="3">
        <v>41841</v>
      </c>
      <c r="G407" t="s">
        <v>197</v>
      </c>
      <c r="H407" s="18">
        <v>1796.5</v>
      </c>
      <c r="J407" s="20" t="str">
        <f t="shared" si="21"/>
        <v/>
      </c>
      <c r="K407" t="str">
        <f t="shared" si="20"/>
        <v/>
      </c>
      <c r="L407" s="4">
        <f t="shared" si="22"/>
        <v>0</v>
      </c>
    </row>
    <row r="408" spans="1:12" x14ac:dyDescent="0.25">
      <c r="A408">
        <v>244</v>
      </c>
      <c r="B408" s="3">
        <v>41841</v>
      </c>
      <c r="C408" s="4">
        <v>500</v>
      </c>
      <c r="E408">
        <v>244</v>
      </c>
      <c r="F408" s="3">
        <v>41841</v>
      </c>
      <c r="G408" t="s">
        <v>311</v>
      </c>
      <c r="H408" s="18">
        <v>500</v>
      </c>
      <c r="J408" s="20" t="str">
        <f t="shared" si="21"/>
        <v/>
      </c>
      <c r="K408" t="str">
        <f t="shared" si="20"/>
        <v/>
      </c>
      <c r="L408" s="4">
        <f t="shared" si="22"/>
        <v>0</v>
      </c>
    </row>
    <row r="409" spans="1:12" x14ac:dyDescent="0.25">
      <c r="A409">
        <v>324</v>
      </c>
      <c r="B409" s="3">
        <v>41841</v>
      </c>
      <c r="C409" s="4">
        <v>726</v>
      </c>
      <c r="E409">
        <v>324</v>
      </c>
      <c r="F409" s="3">
        <v>41841</v>
      </c>
      <c r="G409" t="s">
        <v>106</v>
      </c>
      <c r="H409" s="18">
        <v>726</v>
      </c>
      <c r="J409" s="20" t="str">
        <f t="shared" si="21"/>
        <v/>
      </c>
      <c r="K409" t="str">
        <f t="shared" si="20"/>
        <v/>
      </c>
      <c r="L409" s="4">
        <f t="shared" si="22"/>
        <v>0</v>
      </c>
    </row>
    <row r="410" spans="1:12" x14ac:dyDescent="0.25">
      <c r="A410">
        <v>373</v>
      </c>
      <c r="B410" s="3">
        <v>41843</v>
      </c>
      <c r="C410" s="4">
        <v>1000</v>
      </c>
      <c r="E410">
        <v>373</v>
      </c>
      <c r="F410" s="3">
        <v>41843</v>
      </c>
      <c r="G410" t="s">
        <v>234</v>
      </c>
      <c r="H410" s="18">
        <v>1000</v>
      </c>
      <c r="J410" s="20" t="str">
        <f t="shared" si="21"/>
        <v/>
      </c>
      <c r="K410" t="str">
        <f t="shared" si="20"/>
        <v/>
      </c>
      <c r="L410" s="4">
        <f t="shared" si="22"/>
        <v>0</v>
      </c>
    </row>
    <row r="411" spans="1:12" x14ac:dyDescent="0.25">
      <c r="A411">
        <v>28</v>
      </c>
      <c r="B411" s="3">
        <v>41845</v>
      </c>
      <c r="C411" s="4">
        <v>1175</v>
      </c>
      <c r="E411">
        <v>28</v>
      </c>
      <c r="F411" s="3">
        <v>41845</v>
      </c>
      <c r="G411" t="s">
        <v>6</v>
      </c>
      <c r="H411" s="18">
        <v>1175</v>
      </c>
      <c r="J411" s="20" t="str">
        <f t="shared" si="21"/>
        <v/>
      </c>
      <c r="K411" t="str">
        <f t="shared" si="20"/>
        <v/>
      </c>
      <c r="L411" s="4">
        <f t="shared" si="22"/>
        <v>0</v>
      </c>
    </row>
    <row r="412" spans="1:12" x14ac:dyDescent="0.25">
      <c r="A412">
        <v>41</v>
      </c>
      <c r="B412" s="3">
        <v>41845</v>
      </c>
      <c r="C412" s="4">
        <v>2326.25</v>
      </c>
      <c r="E412">
        <v>41</v>
      </c>
      <c r="F412" s="3">
        <v>41845</v>
      </c>
      <c r="G412" t="s">
        <v>10</v>
      </c>
      <c r="H412" s="18">
        <v>2326.25</v>
      </c>
      <c r="J412" s="20" t="str">
        <f t="shared" si="21"/>
        <v/>
      </c>
      <c r="K412" t="str">
        <f t="shared" si="20"/>
        <v/>
      </c>
      <c r="L412" s="4">
        <f t="shared" si="22"/>
        <v>0</v>
      </c>
    </row>
    <row r="413" spans="1:12" x14ac:dyDescent="0.25">
      <c r="A413">
        <v>94</v>
      </c>
      <c r="B413" s="3">
        <v>41845</v>
      </c>
      <c r="C413" s="4">
        <v>500</v>
      </c>
      <c r="E413">
        <v>94</v>
      </c>
      <c r="F413" s="3">
        <v>41845</v>
      </c>
      <c r="G413" t="s">
        <v>182</v>
      </c>
      <c r="H413" s="18">
        <v>500</v>
      </c>
      <c r="J413" s="20" t="str">
        <f t="shared" si="21"/>
        <v/>
      </c>
      <c r="K413" t="str">
        <f t="shared" si="20"/>
        <v/>
      </c>
      <c r="L413" s="4">
        <f t="shared" si="22"/>
        <v>0</v>
      </c>
    </row>
    <row r="414" spans="1:12" x14ac:dyDescent="0.25">
      <c r="A414">
        <v>99</v>
      </c>
      <c r="B414" s="3">
        <v>41845</v>
      </c>
      <c r="C414" s="4">
        <v>-675</v>
      </c>
      <c r="E414">
        <v>99</v>
      </c>
      <c r="F414" s="3">
        <v>41845</v>
      </c>
      <c r="G414" t="s">
        <v>240</v>
      </c>
      <c r="H414" s="18">
        <v>-675</v>
      </c>
      <c r="J414" s="20" t="str">
        <f t="shared" si="21"/>
        <v/>
      </c>
      <c r="K414" t="str">
        <f t="shared" si="20"/>
        <v/>
      </c>
      <c r="L414" s="4">
        <f t="shared" si="22"/>
        <v>0</v>
      </c>
    </row>
    <row r="415" spans="1:12" x14ac:dyDescent="0.25">
      <c r="A415">
        <v>108</v>
      </c>
      <c r="B415" s="3">
        <v>41845</v>
      </c>
      <c r="C415" s="4">
        <v>759.73</v>
      </c>
      <c r="E415">
        <v>108</v>
      </c>
      <c r="F415" s="3">
        <v>41845</v>
      </c>
      <c r="G415" t="s">
        <v>160</v>
      </c>
      <c r="H415" s="18">
        <v>759.72</v>
      </c>
      <c r="J415" s="20" t="str">
        <f t="shared" si="21"/>
        <v/>
      </c>
      <c r="K415" t="str">
        <f t="shared" si="20"/>
        <v/>
      </c>
      <c r="L415" s="4">
        <f t="shared" si="22"/>
        <v>9.9999999999909051E-3</v>
      </c>
    </row>
    <row r="416" spans="1:12" x14ac:dyDescent="0.25">
      <c r="A416">
        <v>116</v>
      </c>
      <c r="B416" s="3">
        <v>41845</v>
      </c>
      <c r="C416" s="4">
        <v>900</v>
      </c>
      <c r="E416">
        <v>116</v>
      </c>
      <c r="F416" s="3">
        <v>41845</v>
      </c>
      <c r="G416" t="s">
        <v>358</v>
      </c>
      <c r="H416" s="18">
        <v>900</v>
      </c>
      <c r="J416" s="20" t="str">
        <f t="shared" si="21"/>
        <v/>
      </c>
      <c r="K416" t="str">
        <f t="shared" si="20"/>
        <v/>
      </c>
      <c r="L416" s="4">
        <f t="shared" si="22"/>
        <v>0</v>
      </c>
    </row>
    <row r="417" spans="1:12" x14ac:dyDescent="0.25">
      <c r="A417">
        <v>133</v>
      </c>
      <c r="B417" s="3">
        <v>41845</v>
      </c>
      <c r="C417" s="4">
        <v>1068.96</v>
      </c>
      <c r="E417">
        <v>133</v>
      </c>
      <c r="F417" s="3">
        <v>41845</v>
      </c>
      <c r="G417" t="s">
        <v>87</v>
      </c>
      <c r="H417" s="18">
        <v>1068.96</v>
      </c>
      <c r="J417" s="20" t="str">
        <f t="shared" si="21"/>
        <v/>
      </c>
      <c r="K417" t="str">
        <f t="shared" si="20"/>
        <v/>
      </c>
      <c r="L417" s="4">
        <f t="shared" si="22"/>
        <v>0</v>
      </c>
    </row>
    <row r="418" spans="1:12" x14ac:dyDescent="0.25">
      <c r="A418">
        <v>134</v>
      </c>
      <c r="B418" s="3">
        <v>41845</v>
      </c>
      <c r="C418" s="4">
        <v>550</v>
      </c>
      <c r="E418">
        <v>134</v>
      </c>
      <c r="F418" s="3">
        <v>41845</v>
      </c>
      <c r="G418" t="s">
        <v>291</v>
      </c>
      <c r="H418" s="18">
        <v>550</v>
      </c>
      <c r="J418" s="20" t="str">
        <f t="shared" si="21"/>
        <v/>
      </c>
      <c r="K418" t="str">
        <f t="shared" si="20"/>
        <v/>
      </c>
      <c r="L418" s="4">
        <f t="shared" si="22"/>
        <v>0</v>
      </c>
    </row>
    <row r="419" spans="1:12" x14ac:dyDescent="0.25">
      <c r="A419">
        <v>138</v>
      </c>
      <c r="B419" s="3">
        <v>41845</v>
      </c>
      <c r="C419" s="4">
        <v>1050</v>
      </c>
      <c r="E419">
        <v>138</v>
      </c>
      <c r="F419" s="3">
        <v>41845</v>
      </c>
      <c r="G419" t="s">
        <v>16</v>
      </c>
      <c r="H419" s="18">
        <v>1050</v>
      </c>
      <c r="J419" s="20" t="str">
        <f t="shared" si="21"/>
        <v/>
      </c>
      <c r="K419" t="str">
        <f t="shared" si="20"/>
        <v/>
      </c>
      <c r="L419" s="4">
        <f t="shared" si="22"/>
        <v>0</v>
      </c>
    </row>
    <row r="420" spans="1:12" x14ac:dyDescent="0.25">
      <c r="A420">
        <v>143</v>
      </c>
      <c r="B420" s="3">
        <v>41845</v>
      </c>
      <c r="C420" s="4">
        <v>1063</v>
      </c>
      <c r="E420">
        <v>143</v>
      </c>
      <c r="F420" s="3">
        <v>41845</v>
      </c>
      <c r="G420" t="s">
        <v>359</v>
      </c>
      <c r="H420" s="18">
        <v>1063</v>
      </c>
      <c r="J420" s="20" t="str">
        <f t="shared" si="21"/>
        <v/>
      </c>
      <c r="K420" t="str">
        <f t="shared" si="20"/>
        <v/>
      </c>
      <c r="L420" s="4">
        <f t="shared" si="22"/>
        <v>0</v>
      </c>
    </row>
    <row r="421" spans="1:12" x14ac:dyDescent="0.25">
      <c r="A421">
        <v>152</v>
      </c>
      <c r="B421" s="3">
        <v>41845</v>
      </c>
      <c r="C421" s="4">
        <v>1424</v>
      </c>
      <c r="E421">
        <v>152</v>
      </c>
      <c r="F421" s="3">
        <v>41845</v>
      </c>
      <c r="G421" t="s">
        <v>90</v>
      </c>
      <c r="H421" s="18">
        <v>1424</v>
      </c>
      <c r="J421" s="20" t="str">
        <f t="shared" si="21"/>
        <v/>
      </c>
      <c r="K421" t="str">
        <f t="shared" si="20"/>
        <v/>
      </c>
      <c r="L421" s="4">
        <f t="shared" si="22"/>
        <v>0</v>
      </c>
    </row>
    <row r="422" spans="1:12" x14ac:dyDescent="0.25">
      <c r="A422">
        <v>156</v>
      </c>
      <c r="B422" s="3">
        <v>41845</v>
      </c>
      <c r="C422" s="4">
        <v>-675</v>
      </c>
      <c r="E422">
        <v>156</v>
      </c>
      <c r="F422" s="3">
        <v>41845</v>
      </c>
      <c r="G422" t="s">
        <v>360</v>
      </c>
      <c r="H422" s="18">
        <v>-675</v>
      </c>
      <c r="J422" s="20" t="str">
        <f t="shared" si="21"/>
        <v/>
      </c>
      <c r="K422" t="str">
        <f t="shared" si="20"/>
        <v/>
      </c>
      <c r="L422" s="4">
        <f t="shared" si="22"/>
        <v>0</v>
      </c>
    </row>
    <row r="423" spans="1:12" x14ac:dyDescent="0.25">
      <c r="A423">
        <v>157</v>
      </c>
      <c r="B423" s="3">
        <v>41845</v>
      </c>
      <c r="C423" s="4">
        <v>500</v>
      </c>
      <c r="E423">
        <v>157</v>
      </c>
      <c r="F423" s="3">
        <v>41845</v>
      </c>
      <c r="G423" t="s">
        <v>92</v>
      </c>
      <c r="H423" s="18">
        <v>500</v>
      </c>
      <c r="J423" s="20" t="str">
        <f t="shared" si="21"/>
        <v/>
      </c>
      <c r="K423" t="str">
        <f t="shared" si="20"/>
        <v/>
      </c>
      <c r="L423" s="4">
        <f t="shared" si="22"/>
        <v>0</v>
      </c>
    </row>
    <row r="424" spans="1:12" x14ac:dyDescent="0.25">
      <c r="A424">
        <v>164</v>
      </c>
      <c r="B424" s="3">
        <v>41845</v>
      </c>
      <c r="C424" s="4">
        <v>459</v>
      </c>
      <c r="E424">
        <v>164</v>
      </c>
      <c r="F424" s="3">
        <v>41845</v>
      </c>
      <c r="G424" t="s">
        <v>361</v>
      </c>
      <c r="H424" s="18">
        <v>459</v>
      </c>
      <c r="J424" s="20" t="str">
        <f t="shared" si="21"/>
        <v/>
      </c>
      <c r="K424" t="str">
        <f t="shared" si="20"/>
        <v/>
      </c>
      <c r="L424" s="4">
        <f t="shared" si="22"/>
        <v>0</v>
      </c>
    </row>
    <row r="425" spans="1:12" x14ac:dyDescent="0.25">
      <c r="A425">
        <v>175</v>
      </c>
      <c r="B425" s="3">
        <v>41845</v>
      </c>
      <c r="C425" s="4">
        <v>950.36</v>
      </c>
      <c r="E425">
        <v>175</v>
      </c>
      <c r="F425" s="3">
        <v>41845</v>
      </c>
      <c r="G425" t="s">
        <v>275</v>
      </c>
      <c r="H425" s="18">
        <v>-899.64</v>
      </c>
      <c r="J425" s="20" t="str">
        <f t="shared" si="21"/>
        <v/>
      </c>
      <c r="K425" t="str">
        <f t="shared" si="20"/>
        <v/>
      </c>
      <c r="L425" s="4">
        <f t="shared" si="22"/>
        <v>1850</v>
      </c>
    </row>
    <row r="426" spans="1:12" x14ac:dyDescent="0.25">
      <c r="A426">
        <v>183</v>
      </c>
      <c r="B426" s="3">
        <v>41845</v>
      </c>
      <c r="C426" s="4">
        <v>1224.0899999999999</v>
      </c>
      <c r="E426">
        <v>183</v>
      </c>
      <c r="F426" s="3">
        <v>41845</v>
      </c>
      <c r="G426" t="s">
        <v>264</v>
      </c>
      <c r="H426" s="18">
        <v>1224.0999999999999</v>
      </c>
      <c r="J426" s="20" t="str">
        <f t="shared" si="21"/>
        <v/>
      </c>
      <c r="K426" t="str">
        <f t="shared" si="20"/>
        <v/>
      </c>
      <c r="L426" s="4">
        <f t="shared" si="22"/>
        <v>-9.9999999999909051E-3</v>
      </c>
    </row>
    <row r="427" spans="1:12" x14ac:dyDescent="0.25">
      <c r="A427">
        <v>185</v>
      </c>
      <c r="B427" s="3">
        <v>41845</v>
      </c>
      <c r="C427" s="4">
        <v>1000</v>
      </c>
      <c r="E427">
        <v>185</v>
      </c>
      <c r="F427" s="3">
        <v>41845</v>
      </c>
      <c r="G427" t="s">
        <v>17</v>
      </c>
      <c r="H427" s="18">
        <v>1000</v>
      </c>
      <c r="J427" s="20" t="str">
        <f t="shared" si="21"/>
        <v/>
      </c>
      <c r="K427" t="str">
        <f t="shared" si="20"/>
        <v/>
      </c>
      <c r="L427" s="4">
        <f t="shared" si="22"/>
        <v>0</v>
      </c>
    </row>
    <row r="428" spans="1:12" x14ac:dyDescent="0.25">
      <c r="A428">
        <v>191</v>
      </c>
      <c r="B428" s="3">
        <v>41845</v>
      </c>
      <c r="C428" s="4">
        <v>1000</v>
      </c>
      <c r="E428">
        <v>191</v>
      </c>
      <c r="F428" s="3">
        <v>41845</v>
      </c>
      <c r="G428" t="s">
        <v>277</v>
      </c>
      <c r="H428" s="18">
        <v>1000</v>
      </c>
      <c r="J428" s="20" t="str">
        <f t="shared" si="21"/>
        <v/>
      </c>
      <c r="K428" t="str">
        <f t="shared" si="20"/>
        <v/>
      </c>
      <c r="L428" s="4">
        <f t="shared" si="22"/>
        <v>0</v>
      </c>
    </row>
    <row r="429" spans="1:12" x14ac:dyDescent="0.25">
      <c r="A429">
        <v>202</v>
      </c>
      <c r="B429" s="3">
        <v>41845</v>
      </c>
      <c r="C429" s="4">
        <v>428.5</v>
      </c>
      <c r="E429">
        <v>202</v>
      </c>
      <c r="F429" s="3">
        <v>41845</v>
      </c>
      <c r="G429" t="s">
        <v>237</v>
      </c>
      <c r="H429" s="18">
        <v>428.5</v>
      </c>
      <c r="J429" s="20" t="str">
        <f t="shared" si="21"/>
        <v/>
      </c>
      <c r="K429" t="str">
        <f t="shared" si="20"/>
        <v/>
      </c>
      <c r="L429" s="4">
        <f t="shared" si="22"/>
        <v>0</v>
      </c>
    </row>
    <row r="430" spans="1:12" x14ac:dyDescent="0.25">
      <c r="A430">
        <v>213</v>
      </c>
      <c r="B430" s="3">
        <v>41845</v>
      </c>
      <c r="C430" s="4">
        <v>400</v>
      </c>
      <c r="E430">
        <v>213</v>
      </c>
      <c r="F430" s="3">
        <v>41845</v>
      </c>
      <c r="G430" t="s">
        <v>338</v>
      </c>
      <c r="H430" s="18">
        <v>400</v>
      </c>
      <c r="J430" s="20" t="str">
        <f t="shared" si="21"/>
        <v/>
      </c>
      <c r="K430" t="str">
        <f t="shared" si="20"/>
        <v/>
      </c>
      <c r="L430" s="4">
        <f t="shared" si="22"/>
        <v>0</v>
      </c>
    </row>
    <row r="431" spans="1:12" x14ac:dyDescent="0.25">
      <c r="A431">
        <v>217</v>
      </c>
      <c r="B431" s="3">
        <v>41845</v>
      </c>
      <c r="C431" s="4">
        <v>550</v>
      </c>
      <c r="E431">
        <v>217</v>
      </c>
      <c r="F431" s="3">
        <v>41845</v>
      </c>
      <c r="G431" t="s">
        <v>97</v>
      </c>
      <c r="H431" s="18">
        <v>550</v>
      </c>
      <c r="J431" s="20" t="str">
        <f t="shared" si="21"/>
        <v/>
      </c>
      <c r="K431" t="str">
        <f t="shared" si="20"/>
        <v/>
      </c>
      <c r="L431" s="4">
        <f t="shared" si="22"/>
        <v>0</v>
      </c>
    </row>
    <row r="432" spans="1:12" x14ac:dyDescent="0.25">
      <c r="A432">
        <v>218</v>
      </c>
      <c r="B432" s="3">
        <v>41845</v>
      </c>
      <c r="C432" s="4">
        <v>1150.51</v>
      </c>
      <c r="E432">
        <v>218</v>
      </c>
      <c r="F432" s="3">
        <v>41845</v>
      </c>
      <c r="G432" t="s">
        <v>233</v>
      </c>
      <c r="H432" s="18">
        <v>1150.52</v>
      </c>
      <c r="J432" s="20" t="str">
        <f t="shared" si="21"/>
        <v/>
      </c>
      <c r="K432" t="str">
        <f t="shared" si="20"/>
        <v/>
      </c>
      <c r="L432" s="4">
        <f t="shared" si="22"/>
        <v>-9.9999999999909051E-3</v>
      </c>
    </row>
    <row r="433" spans="1:12" x14ac:dyDescent="0.25">
      <c r="A433">
        <v>225</v>
      </c>
      <c r="B433" s="3">
        <v>41845</v>
      </c>
      <c r="C433" s="4">
        <v>300</v>
      </c>
      <c r="E433">
        <v>225</v>
      </c>
      <c r="F433" s="3">
        <v>41845</v>
      </c>
      <c r="G433" t="s">
        <v>326</v>
      </c>
      <c r="H433" s="18">
        <v>300</v>
      </c>
      <c r="J433" s="20" t="str">
        <f t="shared" si="21"/>
        <v/>
      </c>
      <c r="K433" t="str">
        <f t="shared" si="20"/>
        <v/>
      </c>
      <c r="L433" s="4">
        <f t="shared" si="22"/>
        <v>0</v>
      </c>
    </row>
    <row r="434" spans="1:12" x14ac:dyDescent="0.25">
      <c r="A434">
        <v>230</v>
      </c>
      <c r="B434" s="3">
        <v>41845</v>
      </c>
      <c r="C434" s="4">
        <v>256.12</v>
      </c>
      <c r="E434">
        <v>230</v>
      </c>
      <c r="F434" s="3">
        <v>41845</v>
      </c>
      <c r="G434" t="s">
        <v>316</v>
      </c>
      <c r="H434" s="18">
        <v>356.13</v>
      </c>
      <c r="J434" s="20" t="str">
        <f t="shared" si="21"/>
        <v/>
      </c>
      <c r="K434" t="str">
        <f t="shared" si="20"/>
        <v/>
      </c>
      <c r="L434" s="4">
        <f t="shared" si="22"/>
        <v>-100.00999999999999</v>
      </c>
    </row>
    <row r="435" spans="1:12" x14ac:dyDescent="0.25">
      <c r="A435">
        <v>234</v>
      </c>
      <c r="B435" s="3">
        <v>41845</v>
      </c>
      <c r="C435" s="4">
        <v>525</v>
      </c>
      <c r="E435">
        <v>234</v>
      </c>
      <c r="F435" s="3">
        <v>41845</v>
      </c>
      <c r="G435" t="s">
        <v>259</v>
      </c>
      <c r="H435" s="18">
        <v>525</v>
      </c>
      <c r="J435" s="20" t="str">
        <f t="shared" si="21"/>
        <v/>
      </c>
      <c r="K435" t="str">
        <f t="shared" si="20"/>
        <v/>
      </c>
      <c r="L435" s="4">
        <f t="shared" si="22"/>
        <v>0</v>
      </c>
    </row>
    <row r="436" spans="1:12" x14ac:dyDescent="0.25">
      <c r="A436">
        <v>236</v>
      </c>
      <c r="B436" s="3">
        <v>41845</v>
      </c>
      <c r="C436" s="4">
        <v>500</v>
      </c>
      <c r="E436">
        <v>236</v>
      </c>
      <c r="F436" s="3">
        <v>41845</v>
      </c>
      <c r="G436" t="s">
        <v>211</v>
      </c>
      <c r="H436" s="18">
        <v>500</v>
      </c>
      <c r="J436" s="20" t="str">
        <f t="shared" si="21"/>
        <v/>
      </c>
      <c r="K436" t="str">
        <f t="shared" si="20"/>
        <v/>
      </c>
      <c r="L436" s="4">
        <f t="shared" si="22"/>
        <v>0</v>
      </c>
    </row>
    <row r="437" spans="1:12" x14ac:dyDescent="0.25">
      <c r="A437">
        <v>244</v>
      </c>
      <c r="B437" s="3">
        <v>41845</v>
      </c>
      <c r="C437" s="4">
        <v>192.07</v>
      </c>
      <c r="E437">
        <v>244</v>
      </c>
      <c r="F437" s="3">
        <v>41845</v>
      </c>
      <c r="G437" t="s">
        <v>311</v>
      </c>
      <c r="H437" s="18">
        <v>192.07</v>
      </c>
      <c r="J437" s="20" t="str">
        <f t="shared" si="21"/>
        <v/>
      </c>
      <c r="K437" t="str">
        <f t="shared" si="20"/>
        <v/>
      </c>
      <c r="L437" s="4">
        <f t="shared" si="22"/>
        <v>0</v>
      </c>
    </row>
    <row r="438" spans="1:12" x14ac:dyDescent="0.25">
      <c r="A438">
        <v>247</v>
      </c>
      <c r="B438" s="3">
        <v>41845</v>
      </c>
      <c r="C438" s="4">
        <v>1100</v>
      </c>
      <c r="E438">
        <v>247</v>
      </c>
      <c r="F438" s="3">
        <v>41845</v>
      </c>
      <c r="G438" t="s">
        <v>341</v>
      </c>
      <c r="H438" s="18">
        <v>1100</v>
      </c>
      <c r="J438" s="20" t="str">
        <f t="shared" si="21"/>
        <v/>
      </c>
      <c r="K438" t="str">
        <f t="shared" si="20"/>
        <v/>
      </c>
      <c r="L438" s="4">
        <f t="shared" si="22"/>
        <v>0</v>
      </c>
    </row>
    <row r="439" spans="1:12" x14ac:dyDescent="0.25">
      <c r="A439">
        <v>248</v>
      </c>
      <c r="B439" s="3">
        <v>41845</v>
      </c>
      <c r="C439" s="4">
        <v>1687</v>
      </c>
      <c r="E439">
        <v>248</v>
      </c>
      <c r="F439" s="3">
        <v>41845</v>
      </c>
      <c r="G439" t="s">
        <v>19</v>
      </c>
      <c r="H439" s="18">
        <v>1687</v>
      </c>
      <c r="J439" s="20" t="str">
        <f t="shared" si="21"/>
        <v/>
      </c>
      <c r="K439" t="str">
        <f t="shared" si="20"/>
        <v/>
      </c>
      <c r="L439" s="4">
        <f t="shared" si="22"/>
        <v>0</v>
      </c>
    </row>
    <row r="440" spans="1:12" x14ac:dyDescent="0.25">
      <c r="A440">
        <v>249</v>
      </c>
      <c r="B440" s="3">
        <v>41845</v>
      </c>
      <c r="C440" s="4">
        <v>816</v>
      </c>
      <c r="E440">
        <v>249</v>
      </c>
      <c r="F440" s="3">
        <v>41845</v>
      </c>
      <c r="G440" t="s">
        <v>260</v>
      </c>
      <c r="H440" s="18">
        <v>816</v>
      </c>
      <c r="J440" s="20" t="str">
        <f t="shared" si="21"/>
        <v/>
      </c>
      <c r="K440" t="str">
        <f t="shared" si="20"/>
        <v/>
      </c>
      <c r="L440" s="4">
        <f t="shared" si="22"/>
        <v>0</v>
      </c>
    </row>
    <row r="441" spans="1:12" x14ac:dyDescent="0.25">
      <c r="A441">
        <v>255</v>
      </c>
      <c r="B441" s="3">
        <v>41845</v>
      </c>
      <c r="C441" s="4">
        <v>1075</v>
      </c>
      <c r="E441">
        <v>255</v>
      </c>
      <c r="F441" s="3">
        <v>41845</v>
      </c>
      <c r="G441" t="s">
        <v>21</v>
      </c>
      <c r="H441" s="18">
        <v>1075</v>
      </c>
      <c r="J441" s="20" t="str">
        <f t="shared" si="21"/>
        <v/>
      </c>
      <c r="K441" t="str">
        <f t="shared" si="20"/>
        <v/>
      </c>
      <c r="L441" s="4">
        <f t="shared" si="22"/>
        <v>0</v>
      </c>
    </row>
    <row r="442" spans="1:12" x14ac:dyDescent="0.25">
      <c r="A442">
        <v>261</v>
      </c>
      <c r="B442" s="3">
        <v>41845</v>
      </c>
      <c r="C442" s="4">
        <v>1889</v>
      </c>
      <c r="E442">
        <v>261</v>
      </c>
      <c r="F442" s="3">
        <v>41845</v>
      </c>
      <c r="G442" t="s">
        <v>22</v>
      </c>
      <c r="H442" s="18">
        <v>1889</v>
      </c>
      <c r="J442" s="20" t="str">
        <f t="shared" si="21"/>
        <v/>
      </c>
      <c r="K442" t="str">
        <f t="shared" si="20"/>
        <v/>
      </c>
      <c r="L442" s="4">
        <f t="shared" si="22"/>
        <v>0</v>
      </c>
    </row>
    <row r="443" spans="1:12" x14ac:dyDescent="0.25">
      <c r="A443">
        <v>282</v>
      </c>
      <c r="B443" s="3">
        <v>41845</v>
      </c>
      <c r="C443" s="4">
        <v>1122</v>
      </c>
      <c r="E443">
        <v>282</v>
      </c>
      <c r="F443" s="3">
        <v>41845</v>
      </c>
      <c r="G443" t="s">
        <v>23</v>
      </c>
      <c r="H443" s="18">
        <v>1122</v>
      </c>
      <c r="J443" s="20" t="str">
        <f t="shared" si="21"/>
        <v/>
      </c>
      <c r="K443" t="str">
        <f t="shared" si="20"/>
        <v/>
      </c>
      <c r="L443" s="4">
        <f t="shared" si="22"/>
        <v>0</v>
      </c>
    </row>
    <row r="444" spans="1:12" x14ac:dyDescent="0.25">
      <c r="A444">
        <v>324</v>
      </c>
      <c r="B444" s="3">
        <v>41845</v>
      </c>
      <c r="C444" s="4">
        <v>971</v>
      </c>
      <c r="E444">
        <v>324</v>
      </c>
      <c r="F444" s="3">
        <v>41845</v>
      </c>
      <c r="G444" t="s">
        <v>106</v>
      </c>
      <c r="H444" s="18">
        <v>971</v>
      </c>
      <c r="J444" s="20" t="str">
        <f t="shared" si="21"/>
        <v/>
      </c>
      <c r="K444" t="str">
        <f t="shared" si="20"/>
        <v/>
      </c>
      <c r="L444" s="4">
        <f t="shared" si="22"/>
        <v>0</v>
      </c>
    </row>
    <row r="445" spans="1:12" x14ac:dyDescent="0.25">
      <c r="A445">
        <v>396</v>
      </c>
      <c r="B445" s="3">
        <v>41845</v>
      </c>
      <c r="C445" s="4">
        <v>727.93</v>
      </c>
      <c r="E445">
        <v>396</v>
      </c>
      <c r="F445" s="3">
        <v>41845</v>
      </c>
      <c r="G445" t="s">
        <v>357</v>
      </c>
      <c r="H445" s="18">
        <v>727.93</v>
      </c>
      <c r="J445" s="20" t="str">
        <f t="shared" si="21"/>
        <v/>
      </c>
      <c r="K445" t="str">
        <f t="shared" si="20"/>
        <v/>
      </c>
      <c r="L445" s="4">
        <f t="shared" si="22"/>
        <v>0</v>
      </c>
    </row>
    <row r="446" spans="1:12" x14ac:dyDescent="0.25">
      <c r="A446">
        <v>63</v>
      </c>
      <c r="B446" s="3">
        <v>41849</v>
      </c>
      <c r="C446" s="4">
        <v>4165</v>
      </c>
      <c r="E446">
        <v>63</v>
      </c>
      <c r="F446" s="3">
        <v>41849</v>
      </c>
      <c r="G446" t="s">
        <v>181</v>
      </c>
      <c r="H446" s="18">
        <v>4165</v>
      </c>
      <c r="J446" s="20" t="str">
        <f t="shared" si="21"/>
        <v/>
      </c>
      <c r="K446" t="str">
        <f t="shared" si="20"/>
        <v/>
      </c>
      <c r="L446" s="4">
        <f t="shared" si="22"/>
        <v>0</v>
      </c>
    </row>
    <row r="447" spans="1:12" x14ac:dyDescent="0.25">
      <c r="A447">
        <v>175</v>
      </c>
      <c r="B447" s="3">
        <v>41849</v>
      </c>
      <c r="C447" s="4">
        <v>2365</v>
      </c>
      <c r="E447">
        <v>175</v>
      </c>
      <c r="F447" s="3">
        <v>41849</v>
      </c>
      <c r="G447" t="s">
        <v>275</v>
      </c>
      <c r="H447" s="18">
        <v>2365</v>
      </c>
      <c r="J447" s="20" t="str">
        <f t="shared" si="21"/>
        <v/>
      </c>
      <c r="K447" t="str">
        <f t="shared" si="20"/>
        <v/>
      </c>
      <c r="L447" s="4">
        <f t="shared" si="22"/>
        <v>0</v>
      </c>
    </row>
    <row r="448" spans="1:12" x14ac:dyDescent="0.25">
      <c r="A448">
        <v>27</v>
      </c>
      <c r="B448" s="3">
        <v>41851</v>
      </c>
      <c r="C448" s="4">
        <v>363.45</v>
      </c>
      <c r="E448">
        <v>27</v>
      </c>
      <c r="F448" s="3">
        <v>41851</v>
      </c>
      <c r="G448" t="s">
        <v>159</v>
      </c>
      <c r="H448" s="18">
        <v>-1621.55</v>
      </c>
      <c r="J448" s="20" t="str">
        <f t="shared" si="21"/>
        <v/>
      </c>
      <c r="K448" t="str">
        <f t="shared" si="20"/>
        <v/>
      </c>
      <c r="L448" s="4">
        <f t="shared" si="22"/>
        <v>1985</v>
      </c>
    </row>
    <row r="449" spans="1:12" x14ac:dyDescent="0.25">
      <c r="A449">
        <v>28</v>
      </c>
      <c r="B449" s="3">
        <v>41851</v>
      </c>
      <c r="C449" s="4">
        <v>675</v>
      </c>
      <c r="E449">
        <v>28</v>
      </c>
      <c r="F449" s="3">
        <v>41851</v>
      </c>
      <c r="G449" t="s">
        <v>6</v>
      </c>
      <c r="H449" s="18">
        <v>675</v>
      </c>
      <c r="J449" s="20" t="str">
        <f t="shared" si="21"/>
        <v/>
      </c>
      <c r="K449" t="str">
        <f t="shared" si="20"/>
        <v/>
      </c>
      <c r="L449" s="4">
        <f t="shared" si="22"/>
        <v>0</v>
      </c>
    </row>
    <row r="450" spans="1:12" x14ac:dyDescent="0.25">
      <c r="A450">
        <v>37</v>
      </c>
      <c r="B450" s="3">
        <v>41851</v>
      </c>
      <c r="C450" s="4">
        <v>1045</v>
      </c>
      <c r="E450">
        <v>37</v>
      </c>
      <c r="F450" s="3">
        <v>41851</v>
      </c>
      <c r="G450" t="s">
        <v>77</v>
      </c>
      <c r="H450" s="18">
        <v>0</v>
      </c>
      <c r="J450" s="20" t="str">
        <f t="shared" si="21"/>
        <v/>
      </c>
      <c r="K450" t="str">
        <f t="shared" si="20"/>
        <v/>
      </c>
      <c r="L450" s="4">
        <f t="shared" si="22"/>
        <v>1045</v>
      </c>
    </row>
    <row r="451" spans="1:12" x14ac:dyDescent="0.25">
      <c r="A451">
        <v>41</v>
      </c>
      <c r="B451" s="3">
        <v>41851</v>
      </c>
      <c r="C451" s="4">
        <v>1037.55</v>
      </c>
      <c r="E451">
        <v>41</v>
      </c>
      <c r="F451" s="3">
        <v>41851</v>
      </c>
      <c r="G451" t="s">
        <v>10</v>
      </c>
      <c r="H451" s="18">
        <v>1037.55</v>
      </c>
      <c r="J451" s="20" t="str">
        <f t="shared" si="21"/>
        <v/>
      </c>
      <c r="K451" t="str">
        <f t="shared" ref="K451:K514" si="23">IF(F451=B451,"","CHECK")</f>
        <v/>
      </c>
      <c r="L451" s="4">
        <f t="shared" si="22"/>
        <v>0</v>
      </c>
    </row>
    <row r="452" spans="1:12" x14ac:dyDescent="0.25">
      <c r="A452">
        <v>59</v>
      </c>
      <c r="B452" s="3">
        <v>41851</v>
      </c>
      <c r="C452" s="4">
        <v>1500</v>
      </c>
      <c r="E452">
        <v>59</v>
      </c>
      <c r="F452" s="3">
        <v>41851</v>
      </c>
      <c r="G452" t="s">
        <v>354</v>
      </c>
      <c r="H452" s="18">
        <v>1500</v>
      </c>
      <c r="J452" s="20" t="str">
        <f t="shared" si="21"/>
        <v/>
      </c>
      <c r="K452" t="str">
        <f t="shared" si="23"/>
        <v/>
      </c>
      <c r="L452" s="4">
        <f t="shared" si="22"/>
        <v>0</v>
      </c>
    </row>
    <row r="453" spans="1:12" x14ac:dyDescent="0.25">
      <c r="A453">
        <v>67</v>
      </c>
      <c r="B453" s="3">
        <v>41851</v>
      </c>
      <c r="C453" s="4">
        <v>245</v>
      </c>
      <c r="E453">
        <v>67</v>
      </c>
      <c r="F453" s="3">
        <v>41851</v>
      </c>
      <c r="G453" t="s">
        <v>355</v>
      </c>
      <c r="H453" s="18">
        <v>0</v>
      </c>
      <c r="J453" s="20" t="str">
        <f t="shared" ref="J453:J516" si="24">IF(E453=A453,"","CHECK")</f>
        <v/>
      </c>
      <c r="K453" t="str">
        <f t="shared" si="23"/>
        <v/>
      </c>
      <c r="L453" s="4">
        <f t="shared" ref="L453:L516" si="25">C453-H453</f>
        <v>245</v>
      </c>
    </row>
    <row r="454" spans="1:12" x14ac:dyDescent="0.25">
      <c r="A454">
        <v>133</v>
      </c>
      <c r="B454" s="3">
        <v>41851</v>
      </c>
      <c r="C454" s="4">
        <v>2249.09</v>
      </c>
      <c r="E454">
        <v>133</v>
      </c>
      <c r="F454" s="3">
        <v>41851</v>
      </c>
      <c r="G454" t="s">
        <v>87</v>
      </c>
      <c r="H454" s="18">
        <v>2249.1</v>
      </c>
      <c r="J454" s="20" t="str">
        <f t="shared" si="24"/>
        <v/>
      </c>
      <c r="K454" t="str">
        <f t="shared" si="23"/>
        <v/>
      </c>
      <c r="L454" s="4">
        <f t="shared" si="25"/>
        <v>-9.9999999997635314E-3</v>
      </c>
    </row>
    <row r="455" spans="1:12" x14ac:dyDescent="0.25">
      <c r="A455">
        <v>134</v>
      </c>
      <c r="B455" s="3">
        <v>41851</v>
      </c>
      <c r="C455" s="4">
        <v>961.14</v>
      </c>
      <c r="E455">
        <v>134</v>
      </c>
      <c r="F455" s="3">
        <v>41851</v>
      </c>
      <c r="G455" t="s">
        <v>291</v>
      </c>
      <c r="H455" s="18">
        <v>961.15</v>
      </c>
      <c r="J455" s="20" t="str">
        <f t="shared" si="24"/>
        <v/>
      </c>
      <c r="K455" t="str">
        <f t="shared" si="23"/>
        <v/>
      </c>
      <c r="L455" s="4">
        <f t="shared" si="25"/>
        <v>-9.9999999999909051E-3</v>
      </c>
    </row>
    <row r="456" spans="1:12" x14ac:dyDescent="0.25">
      <c r="A456">
        <v>138</v>
      </c>
      <c r="B456" s="3">
        <v>41851</v>
      </c>
      <c r="C456" s="4">
        <v>893</v>
      </c>
      <c r="E456">
        <v>138</v>
      </c>
      <c r="F456" s="3">
        <v>41851</v>
      </c>
      <c r="G456" t="s">
        <v>16</v>
      </c>
      <c r="H456" s="18">
        <v>893</v>
      </c>
      <c r="J456" s="20" t="str">
        <f t="shared" si="24"/>
        <v/>
      </c>
      <c r="K456" t="str">
        <f t="shared" si="23"/>
        <v/>
      </c>
      <c r="L456" s="4">
        <f t="shared" si="25"/>
        <v>0</v>
      </c>
    </row>
    <row r="457" spans="1:12" x14ac:dyDescent="0.25">
      <c r="A457">
        <v>140</v>
      </c>
      <c r="B457" s="3">
        <v>41851</v>
      </c>
      <c r="C457" s="4">
        <v>50</v>
      </c>
      <c r="E457">
        <v>140</v>
      </c>
      <c r="F457" s="3">
        <v>41851</v>
      </c>
      <c r="G457" t="s">
        <v>88</v>
      </c>
      <c r="H457" s="18">
        <v>50</v>
      </c>
      <c r="J457" s="20" t="str">
        <f t="shared" si="24"/>
        <v/>
      </c>
      <c r="K457" t="str">
        <f t="shared" si="23"/>
        <v/>
      </c>
      <c r="L457" s="4">
        <f t="shared" si="25"/>
        <v>0</v>
      </c>
    </row>
    <row r="458" spans="1:12" x14ac:dyDescent="0.25">
      <c r="A458">
        <v>141</v>
      </c>
      <c r="B458" s="3">
        <v>41851</v>
      </c>
      <c r="C458" s="4">
        <v>676</v>
      </c>
      <c r="E458">
        <v>141</v>
      </c>
      <c r="F458" s="3">
        <v>41851</v>
      </c>
      <c r="G458" t="s">
        <v>196</v>
      </c>
      <c r="H458" s="18">
        <v>676</v>
      </c>
      <c r="J458" s="20" t="str">
        <f t="shared" si="24"/>
        <v/>
      </c>
      <c r="K458" t="str">
        <f t="shared" si="23"/>
        <v/>
      </c>
      <c r="L458" s="4">
        <f t="shared" si="25"/>
        <v>0</v>
      </c>
    </row>
    <row r="459" spans="1:12" x14ac:dyDescent="0.25">
      <c r="A459">
        <v>155</v>
      </c>
      <c r="B459" s="3">
        <v>41851</v>
      </c>
      <c r="C459" s="4">
        <v>1150</v>
      </c>
      <c r="E459">
        <v>155</v>
      </c>
      <c r="F459" s="3">
        <v>41851</v>
      </c>
      <c r="G459" t="s">
        <v>91</v>
      </c>
      <c r="H459" s="18">
        <v>1150</v>
      </c>
      <c r="J459" s="20" t="str">
        <f t="shared" si="24"/>
        <v/>
      </c>
      <c r="K459" t="str">
        <f t="shared" si="23"/>
        <v/>
      </c>
      <c r="L459" s="4">
        <f t="shared" si="25"/>
        <v>0</v>
      </c>
    </row>
    <row r="460" spans="1:12" x14ac:dyDescent="0.25">
      <c r="A460">
        <v>157</v>
      </c>
      <c r="B460" s="3">
        <v>41851</v>
      </c>
      <c r="C460" s="4">
        <v>300</v>
      </c>
      <c r="E460">
        <v>157</v>
      </c>
      <c r="F460" s="3">
        <v>41851</v>
      </c>
      <c r="G460" t="s">
        <v>92</v>
      </c>
      <c r="H460" s="18">
        <v>300</v>
      </c>
      <c r="J460" s="20" t="str">
        <f t="shared" si="24"/>
        <v/>
      </c>
      <c r="K460" t="str">
        <f t="shared" si="23"/>
        <v/>
      </c>
      <c r="L460" s="4">
        <f t="shared" si="25"/>
        <v>0</v>
      </c>
    </row>
    <row r="461" spans="1:12" x14ac:dyDescent="0.25">
      <c r="A461">
        <v>179</v>
      </c>
      <c r="B461" s="3">
        <v>41851</v>
      </c>
      <c r="C461" s="4">
        <v>550</v>
      </c>
      <c r="E461">
        <v>179</v>
      </c>
      <c r="F461" s="3">
        <v>41851</v>
      </c>
      <c r="G461" t="s">
        <v>197</v>
      </c>
      <c r="H461" s="18">
        <v>550</v>
      </c>
      <c r="J461" s="20" t="str">
        <f t="shared" si="24"/>
        <v/>
      </c>
      <c r="K461" t="str">
        <f t="shared" si="23"/>
        <v/>
      </c>
      <c r="L461" s="4">
        <f t="shared" si="25"/>
        <v>0</v>
      </c>
    </row>
    <row r="462" spans="1:12" x14ac:dyDescent="0.25">
      <c r="A462">
        <v>184</v>
      </c>
      <c r="B462" s="3">
        <v>41851</v>
      </c>
      <c r="C462" s="4">
        <v>750</v>
      </c>
      <c r="E462">
        <v>184</v>
      </c>
      <c r="F462" s="3">
        <v>41851</v>
      </c>
      <c r="G462" t="s">
        <v>217</v>
      </c>
      <c r="H462" s="18">
        <v>750</v>
      </c>
      <c r="J462" s="20" t="str">
        <f t="shared" si="24"/>
        <v/>
      </c>
      <c r="K462" t="str">
        <f t="shared" si="23"/>
        <v/>
      </c>
      <c r="L462" s="4">
        <f t="shared" si="25"/>
        <v>0</v>
      </c>
    </row>
    <row r="463" spans="1:12" x14ac:dyDescent="0.25">
      <c r="A463">
        <v>192</v>
      </c>
      <c r="B463" s="3">
        <v>41851</v>
      </c>
      <c r="C463" s="4">
        <v>739.5</v>
      </c>
      <c r="E463">
        <v>192</v>
      </c>
      <c r="F463" s="3">
        <v>41851</v>
      </c>
      <c r="G463" t="s">
        <v>94</v>
      </c>
      <c r="H463" s="18">
        <v>739.5</v>
      </c>
      <c r="J463" s="20" t="str">
        <f t="shared" si="24"/>
        <v/>
      </c>
      <c r="K463" t="str">
        <f t="shared" si="23"/>
        <v/>
      </c>
      <c r="L463" s="4">
        <f t="shared" si="25"/>
        <v>0</v>
      </c>
    </row>
    <row r="464" spans="1:12" x14ac:dyDescent="0.25">
      <c r="A464">
        <v>203</v>
      </c>
      <c r="B464" s="3">
        <v>41851</v>
      </c>
      <c r="C464" s="4">
        <v>3224.66</v>
      </c>
      <c r="E464">
        <v>203</v>
      </c>
      <c r="F464" s="3">
        <v>41851</v>
      </c>
      <c r="G464" t="s">
        <v>95</v>
      </c>
      <c r="H464" s="18">
        <v>3224.66</v>
      </c>
      <c r="J464" s="20" t="str">
        <f t="shared" si="24"/>
        <v/>
      </c>
      <c r="K464" t="str">
        <f t="shared" si="23"/>
        <v/>
      </c>
      <c r="L464" s="4">
        <f t="shared" si="25"/>
        <v>0</v>
      </c>
    </row>
    <row r="465" spans="1:12" x14ac:dyDescent="0.25">
      <c r="A465">
        <v>213</v>
      </c>
      <c r="B465" s="3">
        <v>41851</v>
      </c>
      <c r="C465" s="4">
        <v>532.24</v>
      </c>
      <c r="E465">
        <v>213</v>
      </c>
      <c r="F465" s="3">
        <v>41851</v>
      </c>
      <c r="G465" t="s">
        <v>338</v>
      </c>
      <c r="H465" s="18">
        <v>532.26</v>
      </c>
      <c r="J465" s="20" t="str">
        <f t="shared" si="24"/>
        <v/>
      </c>
      <c r="K465" t="str">
        <f t="shared" si="23"/>
        <v/>
      </c>
      <c r="L465" s="4">
        <f t="shared" si="25"/>
        <v>-1.999999999998181E-2</v>
      </c>
    </row>
    <row r="466" spans="1:12" x14ac:dyDescent="0.25">
      <c r="A466">
        <v>214</v>
      </c>
      <c r="B466" s="3">
        <v>41851</v>
      </c>
      <c r="C466" s="4">
        <v>500</v>
      </c>
      <c r="E466">
        <v>214</v>
      </c>
      <c r="F466" s="3">
        <v>41851</v>
      </c>
      <c r="G466" t="s">
        <v>323</v>
      </c>
      <c r="H466" s="18">
        <v>500</v>
      </c>
      <c r="J466" s="20" t="str">
        <f t="shared" si="24"/>
        <v/>
      </c>
      <c r="K466" t="str">
        <f t="shared" si="23"/>
        <v/>
      </c>
      <c r="L466" s="4">
        <f t="shared" si="25"/>
        <v>0</v>
      </c>
    </row>
    <row r="467" spans="1:12" x14ac:dyDescent="0.25">
      <c r="A467">
        <v>218</v>
      </c>
      <c r="B467" s="3">
        <v>41851</v>
      </c>
      <c r="C467" s="4">
        <v>1162.76</v>
      </c>
      <c r="E467">
        <v>218</v>
      </c>
      <c r="F467" s="3">
        <v>41851</v>
      </c>
      <c r="G467" t="s">
        <v>233</v>
      </c>
      <c r="H467" s="18">
        <v>1162.76</v>
      </c>
      <c r="J467" s="20" t="str">
        <f t="shared" si="24"/>
        <v/>
      </c>
      <c r="K467" t="str">
        <f t="shared" si="23"/>
        <v/>
      </c>
      <c r="L467" s="4">
        <f t="shared" si="25"/>
        <v>0</v>
      </c>
    </row>
    <row r="468" spans="1:12" x14ac:dyDescent="0.25">
      <c r="A468">
        <v>219</v>
      </c>
      <c r="B468" s="3">
        <v>41851</v>
      </c>
      <c r="C468" s="4">
        <v>561</v>
      </c>
      <c r="E468">
        <v>219</v>
      </c>
      <c r="F468" s="3">
        <v>41851</v>
      </c>
      <c r="G468" t="s">
        <v>98</v>
      </c>
      <c r="H468" s="18">
        <v>561</v>
      </c>
      <c r="J468" s="20" t="str">
        <f t="shared" si="24"/>
        <v/>
      </c>
      <c r="K468" t="str">
        <f t="shared" si="23"/>
        <v/>
      </c>
      <c r="L468" s="4">
        <f t="shared" si="25"/>
        <v>0</v>
      </c>
    </row>
    <row r="469" spans="1:12" x14ac:dyDescent="0.25">
      <c r="A469">
        <v>223</v>
      </c>
      <c r="B469" s="3">
        <v>41851</v>
      </c>
      <c r="C469" s="4">
        <v>298.18</v>
      </c>
      <c r="E469">
        <v>223</v>
      </c>
      <c r="F469" s="3">
        <v>41851</v>
      </c>
      <c r="G469" t="s">
        <v>325</v>
      </c>
      <c r="H469" s="18">
        <v>298.18</v>
      </c>
      <c r="J469" s="20" t="str">
        <f t="shared" si="24"/>
        <v/>
      </c>
      <c r="K469" t="str">
        <f t="shared" si="23"/>
        <v/>
      </c>
      <c r="L469" s="4">
        <f t="shared" si="25"/>
        <v>0</v>
      </c>
    </row>
    <row r="470" spans="1:12" x14ac:dyDescent="0.25">
      <c r="A470">
        <v>230</v>
      </c>
      <c r="B470" s="3">
        <v>41851</v>
      </c>
      <c r="C470" s="4">
        <v>3662.76</v>
      </c>
      <c r="E470">
        <v>230</v>
      </c>
      <c r="F470" s="3">
        <v>41851</v>
      </c>
      <c r="G470" t="s">
        <v>316</v>
      </c>
      <c r="H470" s="18">
        <v>3662.76</v>
      </c>
      <c r="J470" s="20" t="str">
        <f t="shared" si="24"/>
        <v/>
      </c>
      <c r="K470" t="str">
        <f t="shared" si="23"/>
        <v/>
      </c>
      <c r="L470" s="4">
        <f t="shared" si="25"/>
        <v>0</v>
      </c>
    </row>
    <row r="471" spans="1:12" x14ac:dyDescent="0.25">
      <c r="A471">
        <v>231</v>
      </c>
      <c r="B471" s="3">
        <v>41851</v>
      </c>
      <c r="C471" s="4">
        <v>2713.27</v>
      </c>
      <c r="E471">
        <v>231</v>
      </c>
      <c r="F471" s="3">
        <v>41851</v>
      </c>
      <c r="G471" t="s">
        <v>310</v>
      </c>
      <c r="H471" s="18">
        <v>2713.28</v>
      </c>
      <c r="J471" s="20" t="str">
        <f t="shared" si="24"/>
        <v/>
      </c>
      <c r="K471" t="str">
        <f t="shared" si="23"/>
        <v/>
      </c>
      <c r="L471" s="4">
        <f t="shared" si="25"/>
        <v>-1.0000000000218279E-2</v>
      </c>
    </row>
    <row r="472" spans="1:12" x14ac:dyDescent="0.25">
      <c r="A472">
        <v>232</v>
      </c>
      <c r="B472" s="3">
        <v>41851</v>
      </c>
      <c r="C472" s="4">
        <v>25</v>
      </c>
      <c r="E472">
        <v>232</v>
      </c>
      <c r="F472" s="3">
        <v>41851</v>
      </c>
      <c r="G472" t="s">
        <v>100</v>
      </c>
      <c r="H472" s="18">
        <v>25</v>
      </c>
      <c r="J472" s="20" t="str">
        <f t="shared" si="24"/>
        <v/>
      </c>
      <c r="K472" t="str">
        <f t="shared" si="23"/>
        <v/>
      </c>
      <c r="L472" s="4">
        <f t="shared" si="25"/>
        <v>0</v>
      </c>
    </row>
    <row r="473" spans="1:12" x14ac:dyDescent="0.25">
      <c r="A473">
        <v>233</v>
      </c>
      <c r="B473" s="3">
        <v>41851</v>
      </c>
      <c r="C473" s="4">
        <v>1143.8800000000001</v>
      </c>
      <c r="E473">
        <v>233</v>
      </c>
      <c r="F473" s="3">
        <v>41851</v>
      </c>
      <c r="G473" t="s">
        <v>294</v>
      </c>
      <c r="H473" s="18">
        <v>1143.8800000000001</v>
      </c>
      <c r="J473" s="20" t="str">
        <f t="shared" si="24"/>
        <v/>
      </c>
      <c r="K473" t="str">
        <f t="shared" si="23"/>
        <v/>
      </c>
      <c r="L473" s="4">
        <f t="shared" si="25"/>
        <v>0</v>
      </c>
    </row>
    <row r="474" spans="1:12" x14ac:dyDescent="0.25">
      <c r="A474">
        <v>234</v>
      </c>
      <c r="B474" s="3">
        <v>41851</v>
      </c>
      <c r="C474" s="4">
        <v>400</v>
      </c>
      <c r="E474">
        <v>234</v>
      </c>
      <c r="F474" s="3">
        <v>41851</v>
      </c>
      <c r="G474" t="s">
        <v>259</v>
      </c>
      <c r="H474" s="18">
        <v>400</v>
      </c>
      <c r="J474" s="20" t="str">
        <f t="shared" si="24"/>
        <v/>
      </c>
      <c r="K474" t="str">
        <f t="shared" si="23"/>
        <v/>
      </c>
      <c r="L474" s="4">
        <f t="shared" si="25"/>
        <v>0</v>
      </c>
    </row>
    <row r="475" spans="1:12" x14ac:dyDescent="0.25">
      <c r="A475">
        <v>237</v>
      </c>
      <c r="B475" s="3">
        <v>41851</v>
      </c>
      <c r="C475" s="4">
        <v>500</v>
      </c>
      <c r="E475">
        <v>237</v>
      </c>
      <c r="F475" s="3">
        <v>41851</v>
      </c>
      <c r="G475" t="s">
        <v>336</v>
      </c>
      <c r="H475" s="18">
        <v>500</v>
      </c>
      <c r="J475" s="20" t="str">
        <f t="shared" si="24"/>
        <v/>
      </c>
      <c r="K475" t="str">
        <f t="shared" si="23"/>
        <v/>
      </c>
      <c r="L475" s="4">
        <f t="shared" si="25"/>
        <v>0</v>
      </c>
    </row>
    <row r="476" spans="1:12" x14ac:dyDescent="0.25">
      <c r="A476">
        <v>239</v>
      </c>
      <c r="B476" s="3">
        <v>41851</v>
      </c>
      <c r="C476" s="4">
        <v>688.5</v>
      </c>
      <c r="E476">
        <v>239</v>
      </c>
      <c r="F476" s="3">
        <v>41851</v>
      </c>
      <c r="G476" t="s">
        <v>356</v>
      </c>
      <c r="H476" s="18">
        <v>688.5</v>
      </c>
      <c r="J476" s="20" t="str">
        <f t="shared" si="24"/>
        <v/>
      </c>
      <c r="K476" t="str">
        <f t="shared" si="23"/>
        <v/>
      </c>
      <c r="L476" s="4">
        <f t="shared" si="25"/>
        <v>0</v>
      </c>
    </row>
    <row r="477" spans="1:12" x14ac:dyDescent="0.25">
      <c r="A477">
        <v>250</v>
      </c>
      <c r="B477" s="3">
        <v>41851</v>
      </c>
      <c r="C477" s="4">
        <v>1045.5</v>
      </c>
      <c r="E477">
        <v>250</v>
      </c>
      <c r="F477" s="3">
        <v>41851</v>
      </c>
      <c r="G477" t="s">
        <v>212</v>
      </c>
      <c r="H477" s="18">
        <v>1045.5</v>
      </c>
      <c r="J477" s="20" t="str">
        <f t="shared" si="24"/>
        <v/>
      </c>
      <c r="K477" t="str">
        <f t="shared" si="23"/>
        <v/>
      </c>
      <c r="L477" s="4">
        <f t="shared" si="25"/>
        <v>0</v>
      </c>
    </row>
    <row r="478" spans="1:12" x14ac:dyDescent="0.25">
      <c r="A478">
        <v>255</v>
      </c>
      <c r="B478" s="3">
        <v>41851</v>
      </c>
      <c r="C478" s="4">
        <v>1250</v>
      </c>
      <c r="E478">
        <v>255</v>
      </c>
      <c r="F478" s="3">
        <v>41851</v>
      </c>
      <c r="G478" t="s">
        <v>21</v>
      </c>
      <c r="H478" s="18">
        <v>1250</v>
      </c>
      <c r="J478" s="20" t="str">
        <f t="shared" si="24"/>
        <v/>
      </c>
      <c r="K478" t="str">
        <f t="shared" si="23"/>
        <v/>
      </c>
      <c r="L478" s="4">
        <f t="shared" si="25"/>
        <v>0</v>
      </c>
    </row>
    <row r="479" spans="1:12" x14ac:dyDescent="0.25">
      <c r="A479">
        <v>295</v>
      </c>
      <c r="B479" s="3">
        <v>41851</v>
      </c>
      <c r="C479" s="4">
        <v>650</v>
      </c>
      <c r="E479">
        <v>295</v>
      </c>
      <c r="F479" s="3">
        <v>41851</v>
      </c>
      <c r="G479" t="s">
        <v>103</v>
      </c>
      <c r="H479" s="18">
        <v>650</v>
      </c>
      <c r="J479" s="20" t="str">
        <f t="shared" si="24"/>
        <v/>
      </c>
      <c r="K479" t="str">
        <f t="shared" si="23"/>
        <v/>
      </c>
      <c r="L479" s="4">
        <f t="shared" si="25"/>
        <v>0</v>
      </c>
    </row>
    <row r="480" spans="1:12" x14ac:dyDescent="0.25">
      <c r="A480">
        <v>328</v>
      </c>
      <c r="B480" s="3">
        <v>41851</v>
      </c>
      <c r="C480" s="4">
        <v>2075</v>
      </c>
      <c r="E480">
        <v>328</v>
      </c>
      <c r="F480" s="3">
        <v>41851</v>
      </c>
      <c r="G480" t="s">
        <v>26</v>
      </c>
      <c r="H480" s="18">
        <v>2075</v>
      </c>
      <c r="J480" s="20" t="str">
        <f t="shared" si="24"/>
        <v/>
      </c>
      <c r="K480" t="str">
        <f t="shared" si="23"/>
        <v/>
      </c>
      <c r="L480" s="4">
        <f t="shared" si="25"/>
        <v>0</v>
      </c>
    </row>
    <row r="481" spans="1:12" x14ac:dyDescent="0.25">
      <c r="A481">
        <v>379</v>
      </c>
      <c r="B481" s="3">
        <v>41851</v>
      </c>
      <c r="C481" s="4">
        <v>375</v>
      </c>
      <c r="E481">
        <v>379</v>
      </c>
      <c r="F481" s="3">
        <v>41851</v>
      </c>
      <c r="G481" t="s">
        <v>30</v>
      </c>
      <c r="H481" s="18">
        <v>-335</v>
      </c>
      <c r="J481" s="20" t="str">
        <f t="shared" si="24"/>
        <v/>
      </c>
      <c r="K481" t="str">
        <f t="shared" si="23"/>
        <v/>
      </c>
      <c r="L481" s="4">
        <f t="shared" si="25"/>
        <v>710</v>
      </c>
    </row>
    <row r="482" spans="1:12" x14ac:dyDescent="0.25">
      <c r="A482">
        <v>396</v>
      </c>
      <c r="B482" s="3">
        <v>41851</v>
      </c>
      <c r="C482" s="4">
        <v>231.5</v>
      </c>
      <c r="E482">
        <v>396</v>
      </c>
      <c r="F482" s="3">
        <v>41851</v>
      </c>
      <c r="G482" t="s">
        <v>357</v>
      </c>
      <c r="H482" s="18">
        <v>231.5</v>
      </c>
      <c r="J482" s="20" t="str">
        <f t="shared" si="24"/>
        <v/>
      </c>
      <c r="K482" t="str">
        <f t="shared" si="23"/>
        <v/>
      </c>
      <c r="L482" s="4">
        <f t="shared" si="25"/>
        <v>0</v>
      </c>
    </row>
    <row r="483" spans="1:12" x14ac:dyDescent="0.25">
      <c r="A483">
        <v>185</v>
      </c>
      <c r="B483" s="3">
        <v>41852</v>
      </c>
      <c r="C483" s="4">
        <v>900</v>
      </c>
      <c r="E483">
        <v>185</v>
      </c>
      <c r="F483" s="3">
        <v>41852</v>
      </c>
      <c r="G483" t="s">
        <v>17</v>
      </c>
      <c r="H483" s="18">
        <v>900</v>
      </c>
      <c r="J483" s="20" t="str">
        <f t="shared" si="24"/>
        <v/>
      </c>
      <c r="K483" t="str">
        <f t="shared" si="23"/>
        <v/>
      </c>
      <c r="L483" s="4">
        <f t="shared" si="25"/>
        <v>0</v>
      </c>
    </row>
    <row r="484" spans="1:12" x14ac:dyDescent="0.25">
      <c r="A484">
        <v>99</v>
      </c>
      <c r="B484" s="3">
        <v>41853</v>
      </c>
      <c r="C484" s="4">
        <v>154.5</v>
      </c>
      <c r="E484">
        <v>99</v>
      </c>
      <c r="F484" s="3">
        <v>41853</v>
      </c>
      <c r="G484" t="s">
        <v>240</v>
      </c>
      <c r="H484" s="18">
        <v>154.5</v>
      </c>
      <c r="J484" s="20" t="str">
        <f t="shared" si="24"/>
        <v/>
      </c>
      <c r="K484" t="str">
        <f t="shared" si="23"/>
        <v/>
      </c>
      <c r="L484" s="4">
        <f t="shared" si="25"/>
        <v>0</v>
      </c>
    </row>
    <row r="485" spans="1:12" x14ac:dyDescent="0.25">
      <c r="A485">
        <v>224</v>
      </c>
      <c r="B485" s="3">
        <v>41853</v>
      </c>
      <c r="C485" s="4">
        <v>750</v>
      </c>
      <c r="E485">
        <v>224</v>
      </c>
      <c r="F485" s="3">
        <v>41853</v>
      </c>
      <c r="G485" t="s">
        <v>335</v>
      </c>
      <c r="H485" s="18">
        <v>750</v>
      </c>
      <c r="J485" s="20" t="str">
        <f t="shared" si="24"/>
        <v/>
      </c>
      <c r="K485" t="str">
        <f t="shared" si="23"/>
        <v/>
      </c>
      <c r="L485" s="4">
        <f t="shared" si="25"/>
        <v>0</v>
      </c>
    </row>
    <row r="486" spans="1:12" x14ac:dyDescent="0.25">
      <c r="A486">
        <v>227</v>
      </c>
      <c r="B486" s="3">
        <v>41853</v>
      </c>
      <c r="C486" s="4">
        <v>975</v>
      </c>
      <c r="E486">
        <v>227</v>
      </c>
      <c r="F486" s="3">
        <v>41853</v>
      </c>
      <c r="G486" t="s">
        <v>331</v>
      </c>
      <c r="H486" s="18">
        <v>975</v>
      </c>
      <c r="J486" s="20" t="str">
        <f t="shared" si="24"/>
        <v/>
      </c>
      <c r="K486" t="str">
        <f t="shared" si="23"/>
        <v/>
      </c>
      <c r="L486" s="4">
        <f t="shared" si="25"/>
        <v>0</v>
      </c>
    </row>
    <row r="487" spans="1:12" x14ac:dyDescent="0.25">
      <c r="A487">
        <v>261</v>
      </c>
      <c r="B487" s="3">
        <v>41853</v>
      </c>
      <c r="C487" s="4">
        <v>1125</v>
      </c>
      <c r="E487">
        <v>261</v>
      </c>
      <c r="F487" s="3">
        <v>41853</v>
      </c>
      <c r="G487" t="s">
        <v>22</v>
      </c>
      <c r="H487" s="18">
        <v>1125</v>
      </c>
      <c r="J487" s="20" t="str">
        <f t="shared" si="24"/>
        <v/>
      </c>
      <c r="K487" t="str">
        <f t="shared" si="23"/>
        <v/>
      </c>
      <c r="L487" s="4">
        <f t="shared" si="25"/>
        <v>0</v>
      </c>
    </row>
    <row r="488" spans="1:12" x14ac:dyDescent="0.25">
      <c r="A488">
        <v>268</v>
      </c>
      <c r="B488" s="3">
        <v>41853</v>
      </c>
      <c r="C488" s="4">
        <v>1050</v>
      </c>
      <c r="E488">
        <v>268</v>
      </c>
      <c r="F488" s="3">
        <v>41853</v>
      </c>
      <c r="G488" t="s">
        <v>162</v>
      </c>
      <c r="H488" s="18">
        <v>1050</v>
      </c>
      <c r="J488" s="20" t="str">
        <f t="shared" si="24"/>
        <v/>
      </c>
      <c r="K488" t="str">
        <f t="shared" si="23"/>
        <v/>
      </c>
      <c r="L488" s="4">
        <f t="shared" si="25"/>
        <v>0</v>
      </c>
    </row>
    <row r="489" spans="1:12" x14ac:dyDescent="0.25">
      <c r="A489">
        <v>276</v>
      </c>
      <c r="B489" s="3">
        <v>41853</v>
      </c>
      <c r="C489" s="4">
        <v>740</v>
      </c>
      <c r="E489">
        <v>276</v>
      </c>
      <c r="F489" s="3">
        <v>41853</v>
      </c>
      <c r="G489" t="s">
        <v>342</v>
      </c>
      <c r="H489" s="18">
        <v>0</v>
      </c>
      <c r="J489" s="20" t="str">
        <f t="shared" si="24"/>
        <v/>
      </c>
      <c r="K489" t="str">
        <f t="shared" si="23"/>
        <v/>
      </c>
      <c r="L489" s="4">
        <f t="shared" si="25"/>
        <v>740</v>
      </c>
    </row>
    <row r="490" spans="1:12" x14ac:dyDescent="0.25">
      <c r="A490">
        <v>285</v>
      </c>
      <c r="B490" s="3">
        <v>41853</v>
      </c>
      <c r="C490" s="4">
        <v>255</v>
      </c>
      <c r="E490">
        <v>285</v>
      </c>
      <c r="F490" s="3">
        <v>41853</v>
      </c>
      <c r="G490" t="s">
        <v>102</v>
      </c>
      <c r="H490" s="18">
        <v>510</v>
      </c>
      <c r="J490" s="20" t="str">
        <f t="shared" si="24"/>
        <v/>
      </c>
      <c r="K490" t="str">
        <f t="shared" si="23"/>
        <v/>
      </c>
      <c r="L490" s="4">
        <f t="shared" si="25"/>
        <v>-255</v>
      </c>
    </row>
    <row r="491" spans="1:12" x14ac:dyDescent="0.25">
      <c r="A491">
        <v>322</v>
      </c>
      <c r="B491" s="3">
        <v>41853</v>
      </c>
      <c r="C491" s="4">
        <v>550</v>
      </c>
      <c r="E491">
        <v>322</v>
      </c>
      <c r="F491" s="3">
        <v>41853</v>
      </c>
      <c r="G491" t="s">
        <v>198</v>
      </c>
      <c r="H491" s="18">
        <v>550</v>
      </c>
      <c r="J491" s="20" t="str">
        <f t="shared" si="24"/>
        <v/>
      </c>
      <c r="K491" t="str">
        <f t="shared" si="23"/>
        <v/>
      </c>
      <c r="L491" s="4">
        <f t="shared" si="25"/>
        <v>0</v>
      </c>
    </row>
    <row r="492" spans="1:12" x14ac:dyDescent="0.25">
      <c r="A492">
        <v>363</v>
      </c>
      <c r="B492" s="3">
        <v>41853</v>
      </c>
      <c r="C492" s="4">
        <v>925</v>
      </c>
      <c r="E492">
        <v>363</v>
      </c>
      <c r="F492" s="3">
        <v>41853</v>
      </c>
      <c r="G492" t="s">
        <v>318</v>
      </c>
      <c r="H492" s="18">
        <v>925</v>
      </c>
      <c r="J492" s="20" t="str">
        <f t="shared" si="24"/>
        <v/>
      </c>
      <c r="K492" t="str">
        <f t="shared" si="23"/>
        <v/>
      </c>
      <c r="L492" s="4">
        <f t="shared" si="25"/>
        <v>0</v>
      </c>
    </row>
    <row r="493" spans="1:12" x14ac:dyDescent="0.25">
      <c r="A493">
        <v>160</v>
      </c>
      <c r="B493" s="3">
        <v>41855</v>
      </c>
      <c r="C493" s="4">
        <v>357</v>
      </c>
      <c r="E493">
        <v>160</v>
      </c>
      <c r="F493" s="3">
        <v>41855</v>
      </c>
      <c r="G493" t="s">
        <v>353</v>
      </c>
      <c r="H493" s="18">
        <v>357</v>
      </c>
      <c r="J493" s="20" t="str">
        <f t="shared" si="24"/>
        <v/>
      </c>
      <c r="K493" t="str">
        <f t="shared" si="23"/>
        <v/>
      </c>
      <c r="L493" s="4">
        <f t="shared" si="25"/>
        <v>0</v>
      </c>
    </row>
    <row r="494" spans="1:12" x14ac:dyDescent="0.25">
      <c r="A494">
        <v>211</v>
      </c>
      <c r="B494" s="3">
        <v>41855</v>
      </c>
      <c r="C494" s="4">
        <v>1632</v>
      </c>
      <c r="E494">
        <v>211</v>
      </c>
      <c r="F494" s="3">
        <v>41855</v>
      </c>
      <c r="G494" t="s">
        <v>96</v>
      </c>
      <c r="H494" s="18">
        <v>1632</v>
      </c>
      <c r="J494" s="20" t="str">
        <f t="shared" si="24"/>
        <v/>
      </c>
      <c r="K494" t="str">
        <f t="shared" si="23"/>
        <v/>
      </c>
      <c r="L494" s="4">
        <f t="shared" si="25"/>
        <v>0</v>
      </c>
    </row>
    <row r="495" spans="1:12" x14ac:dyDescent="0.25">
      <c r="A495">
        <v>236</v>
      </c>
      <c r="B495" s="3">
        <v>41855</v>
      </c>
      <c r="C495" s="4">
        <v>2300</v>
      </c>
      <c r="E495">
        <v>236</v>
      </c>
      <c r="F495" s="3">
        <v>41855</v>
      </c>
      <c r="G495" t="s">
        <v>211</v>
      </c>
      <c r="H495" s="18">
        <v>2300</v>
      </c>
      <c r="J495" s="20" t="str">
        <f t="shared" si="24"/>
        <v/>
      </c>
      <c r="K495" t="str">
        <f t="shared" si="23"/>
        <v/>
      </c>
      <c r="L495" s="4">
        <f t="shared" si="25"/>
        <v>0</v>
      </c>
    </row>
    <row r="496" spans="1:12" x14ac:dyDescent="0.25">
      <c r="A496">
        <v>304</v>
      </c>
      <c r="B496" s="3">
        <v>41855</v>
      </c>
      <c r="C496" s="4">
        <v>1150</v>
      </c>
      <c r="E496">
        <v>304</v>
      </c>
      <c r="F496" s="3">
        <v>41855</v>
      </c>
      <c r="G496" t="s">
        <v>295</v>
      </c>
      <c r="H496" s="18">
        <v>1150</v>
      </c>
      <c r="J496" s="20" t="str">
        <f t="shared" si="24"/>
        <v/>
      </c>
      <c r="K496" t="str">
        <f t="shared" si="23"/>
        <v/>
      </c>
      <c r="L496" s="4">
        <f t="shared" si="25"/>
        <v>0</v>
      </c>
    </row>
    <row r="497" spans="1:12" x14ac:dyDescent="0.25">
      <c r="A497">
        <v>365</v>
      </c>
      <c r="B497" s="3">
        <v>41855</v>
      </c>
      <c r="C497" s="4">
        <v>375</v>
      </c>
      <c r="E497">
        <v>365</v>
      </c>
      <c r="F497" s="3">
        <v>41855</v>
      </c>
      <c r="G497" t="s">
        <v>29</v>
      </c>
      <c r="H497" s="18">
        <v>375</v>
      </c>
      <c r="J497" s="20" t="str">
        <f t="shared" si="24"/>
        <v/>
      </c>
      <c r="K497" t="str">
        <f t="shared" si="23"/>
        <v/>
      </c>
      <c r="L497" s="4">
        <f t="shared" si="25"/>
        <v>0</v>
      </c>
    </row>
    <row r="498" spans="1:12" x14ac:dyDescent="0.25">
      <c r="A498">
        <v>37</v>
      </c>
      <c r="B498" s="3">
        <v>41858</v>
      </c>
      <c r="C498" s="4">
        <v>900</v>
      </c>
      <c r="E498">
        <v>37</v>
      </c>
      <c r="F498" s="3">
        <v>41858</v>
      </c>
      <c r="G498" t="s">
        <v>77</v>
      </c>
      <c r="H498" s="18">
        <v>0</v>
      </c>
      <c r="J498" s="20" t="str">
        <f t="shared" si="24"/>
        <v/>
      </c>
      <c r="K498" t="str">
        <f t="shared" si="23"/>
        <v/>
      </c>
      <c r="L498" s="4">
        <f t="shared" si="25"/>
        <v>900</v>
      </c>
    </row>
    <row r="499" spans="1:12" x14ac:dyDescent="0.25">
      <c r="A499">
        <v>153</v>
      </c>
      <c r="B499" s="3">
        <v>41858</v>
      </c>
      <c r="C499" s="4">
        <v>495.74</v>
      </c>
      <c r="E499">
        <v>153</v>
      </c>
      <c r="F499" s="3">
        <v>41858</v>
      </c>
      <c r="G499" t="s">
        <v>216</v>
      </c>
      <c r="H499" s="18">
        <v>495.74</v>
      </c>
      <c r="J499" s="20" t="str">
        <f t="shared" si="24"/>
        <v/>
      </c>
      <c r="K499" t="str">
        <f t="shared" si="23"/>
        <v/>
      </c>
      <c r="L499" s="4">
        <f t="shared" si="25"/>
        <v>0</v>
      </c>
    </row>
    <row r="500" spans="1:12" x14ac:dyDescent="0.25">
      <c r="A500">
        <v>183</v>
      </c>
      <c r="B500" s="3">
        <v>41858</v>
      </c>
      <c r="C500" s="4">
        <v>650</v>
      </c>
      <c r="E500">
        <v>183</v>
      </c>
      <c r="F500" s="3">
        <v>41858</v>
      </c>
      <c r="G500" t="s">
        <v>264</v>
      </c>
      <c r="H500" s="18">
        <v>650</v>
      </c>
      <c r="J500" s="20" t="str">
        <f t="shared" si="24"/>
        <v/>
      </c>
      <c r="K500" t="str">
        <f t="shared" si="23"/>
        <v/>
      </c>
      <c r="L500" s="4">
        <f t="shared" si="25"/>
        <v>0</v>
      </c>
    </row>
    <row r="501" spans="1:12" x14ac:dyDescent="0.25">
      <c r="A501">
        <v>184</v>
      </c>
      <c r="B501" s="3">
        <v>41858</v>
      </c>
      <c r="C501" s="4">
        <v>2400</v>
      </c>
      <c r="E501">
        <v>184</v>
      </c>
      <c r="F501" s="3">
        <v>41858</v>
      </c>
      <c r="G501" t="s">
        <v>217</v>
      </c>
      <c r="H501" s="18">
        <v>2400</v>
      </c>
      <c r="J501" s="20" t="str">
        <f t="shared" si="24"/>
        <v/>
      </c>
      <c r="K501" t="str">
        <f t="shared" si="23"/>
        <v/>
      </c>
      <c r="L501" s="4">
        <f t="shared" si="25"/>
        <v>0</v>
      </c>
    </row>
    <row r="502" spans="1:12" x14ac:dyDescent="0.25">
      <c r="A502">
        <v>203</v>
      </c>
      <c r="B502" s="3">
        <v>41858</v>
      </c>
      <c r="C502" s="4">
        <v>1000</v>
      </c>
      <c r="E502">
        <v>203</v>
      </c>
      <c r="F502" s="3">
        <v>41858</v>
      </c>
      <c r="G502" t="s">
        <v>95</v>
      </c>
      <c r="H502" s="18">
        <v>1000</v>
      </c>
      <c r="J502" s="20" t="str">
        <f t="shared" si="24"/>
        <v/>
      </c>
      <c r="K502" t="str">
        <f t="shared" si="23"/>
        <v/>
      </c>
      <c r="L502" s="4">
        <f t="shared" si="25"/>
        <v>0</v>
      </c>
    </row>
    <row r="503" spans="1:12" x14ac:dyDescent="0.25">
      <c r="A503">
        <v>211</v>
      </c>
      <c r="B503" s="3">
        <v>41858</v>
      </c>
      <c r="C503" s="4">
        <v>2275</v>
      </c>
      <c r="E503">
        <v>211</v>
      </c>
      <c r="F503" s="3">
        <v>41858</v>
      </c>
      <c r="G503" t="s">
        <v>96</v>
      </c>
      <c r="H503" s="18">
        <v>3200</v>
      </c>
      <c r="J503" s="20" t="str">
        <f t="shared" si="24"/>
        <v/>
      </c>
      <c r="K503" t="str">
        <f t="shared" si="23"/>
        <v/>
      </c>
      <c r="L503" s="4">
        <f t="shared" si="25"/>
        <v>-925</v>
      </c>
    </row>
    <row r="504" spans="1:12" x14ac:dyDescent="0.25">
      <c r="A504">
        <v>213</v>
      </c>
      <c r="B504" s="3">
        <v>41858</v>
      </c>
      <c r="C504" s="4">
        <v>1444.38</v>
      </c>
      <c r="E504">
        <v>213</v>
      </c>
      <c r="F504" s="3">
        <v>41858</v>
      </c>
      <c r="G504" t="s">
        <v>338</v>
      </c>
      <c r="H504" s="18">
        <v>1444.38</v>
      </c>
      <c r="J504" s="20" t="str">
        <f t="shared" si="24"/>
        <v/>
      </c>
      <c r="K504" t="str">
        <f t="shared" si="23"/>
        <v/>
      </c>
      <c r="L504" s="4">
        <f t="shared" si="25"/>
        <v>0</v>
      </c>
    </row>
    <row r="505" spans="1:12" x14ac:dyDescent="0.25">
      <c r="A505">
        <v>214</v>
      </c>
      <c r="B505" s="3">
        <v>41858</v>
      </c>
      <c r="C505" s="4">
        <v>500</v>
      </c>
      <c r="E505">
        <v>214</v>
      </c>
      <c r="F505" s="3">
        <v>41858</v>
      </c>
      <c r="G505" t="s">
        <v>323</v>
      </c>
      <c r="H505" s="18">
        <v>500</v>
      </c>
      <c r="J505" s="20" t="str">
        <f t="shared" si="24"/>
        <v/>
      </c>
      <c r="K505" t="str">
        <f t="shared" si="23"/>
        <v/>
      </c>
      <c r="L505" s="4">
        <f t="shared" si="25"/>
        <v>0</v>
      </c>
    </row>
    <row r="506" spans="1:12" x14ac:dyDescent="0.25">
      <c r="A506">
        <v>217</v>
      </c>
      <c r="B506" s="3">
        <v>41858</v>
      </c>
      <c r="C506" s="4">
        <v>625</v>
      </c>
      <c r="E506">
        <v>217</v>
      </c>
      <c r="F506" s="3">
        <v>41858</v>
      </c>
      <c r="G506" t="s">
        <v>97</v>
      </c>
      <c r="H506" s="18">
        <v>625</v>
      </c>
      <c r="J506" s="20" t="str">
        <f t="shared" si="24"/>
        <v/>
      </c>
      <c r="K506" t="str">
        <f t="shared" si="23"/>
        <v/>
      </c>
      <c r="L506" s="4">
        <f t="shared" si="25"/>
        <v>0</v>
      </c>
    </row>
    <row r="507" spans="1:12" x14ac:dyDescent="0.25">
      <c r="A507">
        <v>224</v>
      </c>
      <c r="B507" s="3">
        <v>41858</v>
      </c>
      <c r="C507" s="4">
        <v>500</v>
      </c>
      <c r="E507">
        <v>224</v>
      </c>
      <c r="F507" s="3">
        <v>41858</v>
      </c>
      <c r="G507" t="s">
        <v>335</v>
      </c>
      <c r="H507" s="18">
        <v>500</v>
      </c>
      <c r="J507" s="20" t="str">
        <f t="shared" si="24"/>
        <v/>
      </c>
      <c r="K507" t="str">
        <f t="shared" si="23"/>
        <v/>
      </c>
      <c r="L507" s="4">
        <f t="shared" si="25"/>
        <v>0</v>
      </c>
    </row>
    <row r="508" spans="1:12" x14ac:dyDescent="0.25">
      <c r="A508">
        <v>225</v>
      </c>
      <c r="B508" s="3">
        <v>41858</v>
      </c>
      <c r="C508" s="4">
        <v>500</v>
      </c>
      <c r="E508">
        <v>225</v>
      </c>
      <c r="F508" s="3">
        <v>41858</v>
      </c>
      <c r="G508" t="s">
        <v>326</v>
      </c>
      <c r="H508" s="18">
        <v>500</v>
      </c>
      <c r="J508" s="20" t="str">
        <f t="shared" si="24"/>
        <v/>
      </c>
      <c r="K508" t="str">
        <f t="shared" si="23"/>
        <v/>
      </c>
      <c r="L508" s="4">
        <f t="shared" si="25"/>
        <v>0</v>
      </c>
    </row>
    <row r="509" spans="1:12" x14ac:dyDescent="0.25">
      <c r="A509">
        <v>227</v>
      </c>
      <c r="B509" s="3">
        <v>41858</v>
      </c>
      <c r="C509" s="4">
        <v>500</v>
      </c>
      <c r="E509">
        <v>227</v>
      </c>
      <c r="F509" s="3">
        <v>41858</v>
      </c>
      <c r="G509" t="s">
        <v>331</v>
      </c>
      <c r="H509" s="18">
        <v>500</v>
      </c>
      <c r="J509" s="20" t="str">
        <f t="shared" si="24"/>
        <v/>
      </c>
      <c r="K509" t="str">
        <f t="shared" si="23"/>
        <v/>
      </c>
      <c r="L509" s="4">
        <f t="shared" si="25"/>
        <v>0</v>
      </c>
    </row>
    <row r="510" spans="1:12" x14ac:dyDescent="0.25">
      <c r="A510">
        <v>230</v>
      </c>
      <c r="B510" s="3">
        <v>41858</v>
      </c>
      <c r="C510" s="4">
        <v>500</v>
      </c>
      <c r="E510">
        <v>230</v>
      </c>
      <c r="F510" s="3">
        <v>41858</v>
      </c>
      <c r="G510" t="s">
        <v>316</v>
      </c>
      <c r="H510" s="18">
        <v>500</v>
      </c>
      <c r="J510" s="20" t="str">
        <f t="shared" si="24"/>
        <v/>
      </c>
      <c r="K510" t="str">
        <f t="shared" si="23"/>
        <v/>
      </c>
      <c r="L510" s="4">
        <f t="shared" si="25"/>
        <v>0</v>
      </c>
    </row>
    <row r="511" spans="1:12" x14ac:dyDescent="0.25">
      <c r="A511">
        <v>231</v>
      </c>
      <c r="B511" s="3">
        <v>41858</v>
      </c>
      <c r="C511" s="4">
        <v>500</v>
      </c>
      <c r="E511">
        <v>231</v>
      </c>
      <c r="F511" s="3">
        <v>41858</v>
      </c>
      <c r="G511" t="s">
        <v>310</v>
      </c>
      <c r="H511" s="18">
        <v>500</v>
      </c>
      <c r="J511" s="20" t="str">
        <f t="shared" si="24"/>
        <v/>
      </c>
      <c r="K511" t="str">
        <f t="shared" si="23"/>
        <v/>
      </c>
      <c r="L511" s="4">
        <f t="shared" si="25"/>
        <v>0</v>
      </c>
    </row>
    <row r="512" spans="1:12" x14ac:dyDescent="0.25">
      <c r="A512">
        <v>232</v>
      </c>
      <c r="B512" s="3">
        <v>41858</v>
      </c>
      <c r="C512" s="4">
        <v>500</v>
      </c>
      <c r="E512">
        <v>232</v>
      </c>
      <c r="F512" s="3">
        <v>41858</v>
      </c>
      <c r="G512" t="s">
        <v>100</v>
      </c>
      <c r="H512" s="18">
        <v>500</v>
      </c>
      <c r="J512" s="20" t="str">
        <f t="shared" si="24"/>
        <v/>
      </c>
      <c r="K512" t="str">
        <f t="shared" si="23"/>
        <v/>
      </c>
      <c r="L512" s="4">
        <f t="shared" si="25"/>
        <v>0</v>
      </c>
    </row>
    <row r="513" spans="1:12" x14ac:dyDescent="0.25">
      <c r="A513">
        <v>233</v>
      </c>
      <c r="B513" s="3">
        <v>41858</v>
      </c>
      <c r="C513" s="4">
        <v>500</v>
      </c>
      <c r="E513">
        <v>233</v>
      </c>
      <c r="F513" s="3">
        <v>41858</v>
      </c>
      <c r="G513" t="s">
        <v>294</v>
      </c>
      <c r="H513" s="18">
        <v>500</v>
      </c>
      <c r="J513" s="20" t="str">
        <f t="shared" si="24"/>
        <v/>
      </c>
      <c r="K513" t="str">
        <f t="shared" si="23"/>
        <v/>
      </c>
      <c r="L513" s="4">
        <f t="shared" si="25"/>
        <v>0</v>
      </c>
    </row>
    <row r="514" spans="1:12" x14ac:dyDescent="0.25">
      <c r="A514">
        <v>236</v>
      </c>
      <c r="B514" s="3">
        <v>41858</v>
      </c>
      <c r="C514" s="4">
        <v>500</v>
      </c>
      <c r="E514">
        <v>236</v>
      </c>
      <c r="F514" s="3">
        <v>41858</v>
      </c>
      <c r="G514" t="s">
        <v>211</v>
      </c>
      <c r="H514" s="18">
        <v>500</v>
      </c>
      <c r="J514" s="20" t="str">
        <f t="shared" si="24"/>
        <v/>
      </c>
      <c r="K514" t="str">
        <f t="shared" si="23"/>
        <v/>
      </c>
      <c r="L514" s="4">
        <f t="shared" si="25"/>
        <v>0</v>
      </c>
    </row>
    <row r="515" spans="1:12" x14ac:dyDescent="0.25">
      <c r="A515">
        <v>237</v>
      </c>
      <c r="B515" s="3">
        <v>41858</v>
      </c>
      <c r="C515" s="4">
        <v>500</v>
      </c>
      <c r="E515">
        <v>237</v>
      </c>
      <c r="F515" s="3">
        <v>41858</v>
      </c>
      <c r="G515" t="s">
        <v>336</v>
      </c>
      <c r="H515" s="18">
        <v>500</v>
      </c>
      <c r="J515" s="20" t="str">
        <f t="shared" si="24"/>
        <v/>
      </c>
      <c r="K515" t="str">
        <f t="shared" ref="K515:K578" si="26">IF(F515=B515,"","CHECK")</f>
        <v/>
      </c>
      <c r="L515" s="4">
        <f t="shared" si="25"/>
        <v>0</v>
      </c>
    </row>
    <row r="516" spans="1:12" x14ac:dyDescent="0.25">
      <c r="A516">
        <v>245</v>
      </c>
      <c r="B516" s="3">
        <v>41858</v>
      </c>
      <c r="C516" s="4">
        <v>1275</v>
      </c>
      <c r="E516">
        <v>245</v>
      </c>
      <c r="F516" s="3">
        <v>41858</v>
      </c>
      <c r="G516" t="s">
        <v>340</v>
      </c>
      <c r="H516" s="18">
        <v>1275</v>
      </c>
      <c r="J516" s="20" t="str">
        <f t="shared" si="24"/>
        <v/>
      </c>
      <c r="K516" t="str">
        <f t="shared" si="26"/>
        <v/>
      </c>
      <c r="L516" s="4">
        <f t="shared" si="25"/>
        <v>0</v>
      </c>
    </row>
    <row r="517" spans="1:12" x14ac:dyDescent="0.25">
      <c r="A517">
        <v>286</v>
      </c>
      <c r="B517" s="3">
        <v>41858</v>
      </c>
      <c r="C517" s="4">
        <v>306</v>
      </c>
      <c r="E517">
        <v>286</v>
      </c>
      <c r="F517" s="3">
        <v>41858</v>
      </c>
      <c r="G517" t="s">
        <v>266</v>
      </c>
      <c r="H517" s="18">
        <v>918</v>
      </c>
      <c r="J517" s="20" t="str">
        <f t="shared" ref="J517:J580" si="27">IF(E517=A517,"","CHECK")</f>
        <v/>
      </c>
      <c r="K517" t="str">
        <f t="shared" si="26"/>
        <v/>
      </c>
      <c r="L517" s="4">
        <f t="shared" ref="L517:L580" si="28">C517-H517</f>
        <v>-612</v>
      </c>
    </row>
    <row r="518" spans="1:12" x14ac:dyDescent="0.25">
      <c r="A518">
        <v>324</v>
      </c>
      <c r="B518" s="3">
        <v>41858</v>
      </c>
      <c r="C518" s="4">
        <v>180.5</v>
      </c>
      <c r="E518">
        <v>324</v>
      </c>
      <c r="F518" s="3">
        <v>41858</v>
      </c>
      <c r="G518" t="s">
        <v>106</v>
      </c>
      <c r="H518" s="18">
        <v>180.5</v>
      </c>
      <c r="J518" s="20" t="str">
        <f t="shared" si="27"/>
        <v/>
      </c>
      <c r="K518" t="str">
        <f t="shared" si="26"/>
        <v/>
      </c>
      <c r="L518" s="4">
        <f t="shared" si="28"/>
        <v>0</v>
      </c>
    </row>
    <row r="519" spans="1:12" x14ac:dyDescent="0.25">
      <c r="A519">
        <v>328</v>
      </c>
      <c r="B519" s="3">
        <v>41858</v>
      </c>
      <c r="C519" s="4">
        <v>255</v>
      </c>
      <c r="E519">
        <v>328</v>
      </c>
      <c r="F519" s="3">
        <v>41858</v>
      </c>
      <c r="G519" t="s">
        <v>26</v>
      </c>
      <c r="H519" s="18">
        <v>255</v>
      </c>
      <c r="J519" s="20" t="str">
        <f t="shared" si="27"/>
        <v/>
      </c>
      <c r="K519" t="str">
        <f t="shared" si="26"/>
        <v/>
      </c>
      <c r="L519" s="4">
        <f t="shared" si="28"/>
        <v>0</v>
      </c>
    </row>
    <row r="520" spans="1:12" x14ac:dyDescent="0.25">
      <c r="A520">
        <v>358</v>
      </c>
      <c r="B520" s="3">
        <v>41858</v>
      </c>
      <c r="C520" s="4">
        <v>2000</v>
      </c>
      <c r="E520">
        <v>358</v>
      </c>
      <c r="F520" s="3">
        <v>41858</v>
      </c>
      <c r="G520" t="s">
        <v>179</v>
      </c>
      <c r="H520" s="18">
        <v>2000</v>
      </c>
      <c r="J520" s="20" t="str">
        <f t="shared" si="27"/>
        <v/>
      </c>
      <c r="K520" t="str">
        <f t="shared" si="26"/>
        <v/>
      </c>
      <c r="L520" s="4">
        <f t="shared" si="28"/>
        <v>0</v>
      </c>
    </row>
    <row r="521" spans="1:12" x14ac:dyDescent="0.25">
      <c r="A521">
        <v>365</v>
      </c>
      <c r="B521" s="3">
        <v>41858</v>
      </c>
      <c r="C521" s="4">
        <v>1200</v>
      </c>
      <c r="E521">
        <v>365</v>
      </c>
      <c r="F521" s="3">
        <v>41858</v>
      </c>
      <c r="G521" t="s">
        <v>29</v>
      </c>
      <c r="H521" s="18">
        <v>1200</v>
      </c>
      <c r="J521" s="20" t="str">
        <f t="shared" si="27"/>
        <v/>
      </c>
      <c r="K521" t="str">
        <f t="shared" si="26"/>
        <v/>
      </c>
      <c r="L521" s="4">
        <f t="shared" si="28"/>
        <v>0</v>
      </c>
    </row>
    <row r="522" spans="1:12" x14ac:dyDescent="0.25">
      <c r="A522">
        <v>378</v>
      </c>
      <c r="B522" s="3">
        <v>41858</v>
      </c>
      <c r="C522" s="4">
        <v>1950</v>
      </c>
      <c r="E522">
        <v>378</v>
      </c>
      <c r="F522" s="3">
        <v>41858</v>
      </c>
      <c r="G522" t="s">
        <v>109</v>
      </c>
      <c r="H522" s="18">
        <v>1950</v>
      </c>
      <c r="J522" s="20" t="str">
        <f t="shared" si="27"/>
        <v/>
      </c>
      <c r="K522" t="str">
        <f t="shared" si="26"/>
        <v/>
      </c>
      <c r="L522" s="4">
        <f t="shared" si="28"/>
        <v>0</v>
      </c>
    </row>
    <row r="523" spans="1:12" x14ac:dyDescent="0.25">
      <c r="A523">
        <v>383</v>
      </c>
      <c r="B523" s="3">
        <v>41858</v>
      </c>
      <c r="C523" s="4">
        <v>425</v>
      </c>
      <c r="E523">
        <v>383</v>
      </c>
      <c r="F523" s="3">
        <v>41858</v>
      </c>
      <c r="G523" t="s">
        <v>220</v>
      </c>
      <c r="H523" s="18">
        <v>425</v>
      </c>
      <c r="J523" s="20" t="str">
        <f t="shared" si="27"/>
        <v/>
      </c>
      <c r="K523" t="str">
        <f t="shared" si="26"/>
        <v/>
      </c>
      <c r="L523" s="4">
        <f t="shared" si="28"/>
        <v>0</v>
      </c>
    </row>
    <row r="524" spans="1:12" x14ac:dyDescent="0.25">
      <c r="A524">
        <v>41</v>
      </c>
      <c r="B524" s="3">
        <v>41859</v>
      </c>
      <c r="C524" s="4">
        <v>-865.51</v>
      </c>
      <c r="E524">
        <v>41</v>
      </c>
      <c r="F524" s="3">
        <v>41859</v>
      </c>
      <c r="G524" t="s">
        <v>10</v>
      </c>
      <c r="H524" s="18">
        <v>-865.51</v>
      </c>
      <c r="J524" s="20" t="str">
        <f t="shared" si="27"/>
        <v/>
      </c>
      <c r="K524" t="str">
        <f t="shared" si="26"/>
        <v/>
      </c>
      <c r="L524" s="4">
        <f t="shared" si="28"/>
        <v>0</v>
      </c>
    </row>
    <row r="525" spans="1:12" x14ac:dyDescent="0.25">
      <c r="A525">
        <v>83</v>
      </c>
      <c r="B525" s="3">
        <v>41859</v>
      </c>
      <c r="C525" s="4">
        <v>1861.5</v>
      </c>
      <c r="E525">
        <v>83</v>
      </c>
      <c r="F525" s="3">
        <v>41859</v>
      </c>
      <c r="G525" t="s">
        <v>351</v>
      </c>
      <c r="H525" s="18">
        <v>1861.5</v>
      </c>
      <c r="J525" s="20" t="str">
        <f t="shared" si="27"/>
        <v/>
      </c>
      <c r="K525" t="str">
        <f t="shared" si="26"/>
        <v/>
      </c>
      <c r="L525" s="4">
        <f t="shared" si="28"/>
        <v>0</v>
      </c>
    </row>
    <row r="526" spans="1:12" x14ac:dyDescent="0.25">
      <c r="A526">
        <v>85</v>
      </c>
      <c r="B526" s="3">
        <v>41859</v>
      </c>
      <c r="C526" s="4">
        <v>355</v>
      </c>
      <c r="E526">
        <v>85</v>
      </c>
      <c r="F526" s="3">
        <v>41859</v>
      </c>
      <c r="G526" t="s">
        <v>79</v>
      </c>
      <c r="H526" s="18">
        <v>355</v>
      </c>
      <c r="J526" s="20" t="str">
        <f t="shared" si="27"/>
        <v/>
      </c>
      <c r="K526" t="str">
        <f t="shared" si="26"/>
        <v/>
      </c>
      <c r="L526" s="4">
        <f t="shared" si="28"/>
        <v>0</v>
      </c>
    </row>
    <row r="527" spans="1:12" x14ac:dyDescent="0.25">
      <c r="A527">
        <v>119</v>
      </c>
      <c r="B527" s="3">
        <v>41859</v>
      </c>
      <c r="C527" s="4">
        <v>1000</v>
      </c>
      <c r="E527">
        <v>119</v>
      </c>
      <c r="F527" s="3">
        <v>41859</v>
      </c>
      <c r="G527" t="s">
        <v>349</v>
      </c>
      <c r="H527" s="18">
        <v>1000</v>
      </c>
      <c r="J527" s="20" t="str">
        <f t="shared" si="27"/>
        <v/>
      </c>
      <c r="K527" t="str">
        <f t="shared" si="26"/>
        <v/>
      </c>
      <c r="L527" s="4">
        <f t="shared" si="28"/>
        <v>0</v>
      </c>
    </row>
    <row r="528" spans="1:12" x14ac:dyDescent="0.25">
      <c r="A528">
        <v>152</v>
      </c>
      <c r="B528" s="3">
        <v>41859</v>
      </c>
      <c r="C528" s="4">
        <v>-171.43</v>
      </c>
      <c r="E528">
        <v>152</v>
      </c>
      <c r="F528" s="3">
        <v>41859</v>
      </c>
      <c r="G528" t="s">
        <v>90</v>
      </c>
      <c r="H528" s="18">
        <v>-171.43</v>
      </c>
      <c r="J528" s="20" t="str">
        <f t="shared" si="27"/>
        <v/>
      </c>
      <c r="K528" t="str">
        <f t="shared" si="26"/>
        <v/>
      </c>
      <c r="L528" s="4">
        <f t="shared" si="28"/>
        <v>0</v>
      </c>
    </row>
    <row r="529" spans="1:12" x14ac:dyDescent="0.25">
      <c r="A529">
        <v>153</v>
      </c>
      <c r="B529" s="3">
        <v>41859</v>
      </c>
      <c r="C529" s="4">
        <v>28.57</v>
      </c>
      <c r="E529">
        <v>153</v>
      </c>
      <c r="F529" s="3">
        <v>41859</v>
      </c>
      <c r="G529" t="s">
        <v>216</v>
      </c>
      <c r="H529" s="18">
        <v>28.57</v>
      </c>
      <c r="J529" s="20" t="str">
        <f t="shared" si="27"/>
        <v/>
      </c>
      <c r="K529" t="str">
        <f t="shared" si="26"/>
        <v/>
      </c>
      <c r="L529" s="4">
        <f t="shared" si="28"/>
        <v>0</v>
      </c>
    </row>
    <row r="530" spans="1:12" x14ac:dyDescent="0.25">
      <c r="A530">
        <v>185</v>
      </c>
      <c r="B530" s="3">
        <v>41859</v>
      </c>
      <c r="C530" s="4">
        <v>1000</v>
      </c>
      <c r="E530">
        <v>185</v>
      </c>
      <c r="F530" s="3">
        <v>41859</v>
      </c>
      <c r="G530" t="s">
        <v>17</v>
      </c>
      <c r="H530" s="18">
        <v>1000</v>
      </c>
      <c r="J530" s="20" t="str">
        <f t="shared" si="27"/>
        <v/>
      </c>
      <c r="K530" t="str">
        <f t="shared" si="26"/>
        <v/>
      </c>
      <c r="L530" s="4">
        <f t="shared" si="28"/>
        <v>0</v>
      </c>
    </row>
    <row r="531" spans="1:12" x14ac:dyDescent="0.25">
      <c r="A531">
        <v>214</v>
      </c>
      <c r="B531" s="3">
        <v>41859</v>
      </c>
      <c r="C531" s="4">
        <v>1625</v>
      </c>
      <c r="E531">
        <v>214</v>
      </c>
      <c r="F531" s="3">
        <v>41859</v>
      </c>
      <c r="G531" t="s">
        <v>323</v>
      </c>
      <c r="H531" s="18">
        <v>1625</v>
      </c>
      <c r="J531" s="20" t="str">
        <f t="shared" si="27"/>
        <v/>
      </c>
      <c r="K531" t="str">
        <f t="shared" si="26"/>
        <v/>
      </c>
      <c r="L531" s="4">
        <f t="shared" si="28"/>
        <v>0</v>
      </c>
    </row>
    <row r="532" spans="1:12" x14ac:dyDescent="0.25">
      <c r="A532">
        <v>218</v>
      </c>
      <c r="B532" s="3">
        <v>41859</v>
      </c>
      <c r="C532" s="4">
        <v>1225</v>
      </c>
      <c r="E532">
        <v>218</v>
      </c>
      <c r="F532" s="3">
        <v>41859</v>
      </c>
      <c r="G532" t="s">
        <v>233</v>
      </c>
      <c r="H532" s="18">
        <v>1225</v>
      </c>
      <c r="J532" s="20" t="str">
        <f t="shared" si="27"/>
        <v/>
      </c>
      <c r="K532" t="str">
        <f t="shared" si="26"/>
        <v/>
      </c>
      <c r="L532" s="4">
        <f t="shared" si="28"/>
        <v>0</v>
      </c>
    </row>
    <row r="533" spans="1:12" x14ac:dyDescent="0.25">
      <c r="A533">
        <v>227</v>
      </c>
      <c r="B533" s="3">
        <v>41859</v>
      </c>
      <c r="C533" s="4">
        <v>800</v>
      </c>
      <c r="E533">
        <v>227</v>
      </c>
      <c r="F533" s="3">
        <v>41859</v>
      </c>
      <c r="G533" t="s">
        <v>331</v>
      </c>
      <c r="H533" s="18">
        <v>800</v>
      </c>
      <c r="J533" s="20" t="str">
        <f t="shared" si="27"/>
        <v/>
      </c>
      <c r="K533" t="str">
        <f t="shared" si="26"/>
        <v/>
      </c>
      <c r="L533" s="4">
        <f t="shared" si="28"/>
        <v>0</v>
      </c>
    </row>
    <row r="534" spans="1:12" x14ac:dyDescent="0.25">
      <c r="A534">
        <v>230</v>
      </c>
      <c r="B534" s="3">
        <v>41859</v>
      </c>
      <c r="C534" s="4">
        <v>1100</v>
      </c>
      <c r="E534">
        <v>230</v>
      </c>
      <c r="F534" s="3">
        <v>41859</v>
      </c>
      <c r="G534" t="s">
        <v>316</v>
      </c>
      <c r="H534" s="18">
        <v>1100</v>
      </c>
      <c r="J534" s="20" t="str">
        <f t="shared" si="27"/>
        <v/>
      </c>
      <c r="K534" t="str">
        <f t="shared" si="26"/>
        <v/>
      </c>
      <c r="L534" s="4">
        <f t="shared" si="28"/>
        <v>0</v>
      </c>
    </row>
    <row r="535" spans="1:12" x14ac:dyDescent="0.25">
      <c r="A535">
        <v>231</v>
      </c>
      <c r="B535" s="3">
        <v>41859</v>
      </c>
      <c r="C535" s="4">
        <v>3500</v>
      </c>
      <c r="E535">
        <v>231</v>
      </c>
      <c r="F535" s="3">
        <v>41859</v>
      </c>
      <c r="G535" t="s">
        <v>310</v>
      </c>
      <c r="H535" s="18">
        <v>3500</v>
      </c>
      <c r="J535" s="20" t="str">
        <f t="shared" si="27"/>
        <v/>
      </c>
      <c r="K535" t="str">
        <f t="shared" si="26"/>
        <v/>
      </c>
      <c r="L535" s="4">
        <f t="shared" si="28"/>
        <v>0</v>
      </c>
    </row>
    <row r="536" spans="1:12" x14ac:dyDescent="0.25">
      <c r="A536">
        <v>232</v>
      </c>
      <c r="B536" s="3">
        <v>41859</v>
      </c>
      <c r="C536" s="4">
        <v>2025</v>
      </c>
      <c r="E536">
        <v>232</v>
      </c>
      <c r="F536" s="3">
        <v>41859</v>
      </c>
      <c r="G536" t="s">
        <v>100</v>
      </c>
      <c r="H536" s="18">
        <v>2025</v>
      </c>
      <c r="J536" s="20" t="str">
        <f t="shared" si="27"/>
        <v/>
      </c>
      <c r="K536" t="str">
        <f t="shared" si="26"/>
        <v/>
      </c>
      <c r="L536" s="4">
        <f t="shared" si="28"/>
        <v>0</v>
      </c>
    </row>
    <row r="537" spans="1:12" x14ac:dyDescent="0.25">
      <c r="A537">
        <v>233</v>
      </c>
      <c r="B537" s="3">
        <v>41859</v>
      </c>
      <c r="C537" s="4">
        <v>3675</v>
      </c>
      <c r="E537">
        <v>233</v>
      </c>
      <c r="F537" s="3">
        <v>41859</v>
      </c>
      <c r="G537" t="s">
        <v>294</v>
      </c>
      <c r="H537" s="18">
        <v>3675</v>
      </c>
      <c r="J537" s="20" t="str">
        <f t="shared" si="27"/>
        <v/>
      </c>
      <c r="K537" t="str">
        <f t="shared" si="26"/>
        <v/>
      </c>
      <c r="L537" s="4">
        <f t="shared" si="28"/>
        <v>0</v>
      </c>
    </row>
    <row r="538" spans="1:12" x14ac:dyDescent="0.25">
      <c r="A538">
        <v>234</v>
      </c>
      <c r="B538" s="3">
        <v>41859</v>
      </c>
      <c r="C538" s="4">
        <v>500</v>
      </c>
      <c r="E538">
        <v>234</v>
      </c>
      <c r="F538" s="3">
        <v>41859</v>
      </c>
      <c r="G538" t="s">
        <v>259</v>
      </c>
      <c r="H538" s="18">
        <v>500</v>
      </c>
      <c r="J538" s="20" t="str">
        <f t="shared" si="27"/>
        <v/>
      </c>
      <c r="K538" t="str">
        <f t="shared" si="26"/>
        <v/>
      </c>
      <c r="L538" s="4">
        <f t="shared" si="28"/>
        <v>0</v>
      </c>
    </row>
    <row r="539" spans="1:12" x14ac:dyDescent="0.25">
      <c r="A539">
        <v>236</v>
      </c>
      <c r="B539" s="3">
        <v>41859</v>
      </c>
      <c r="C539" s="4">
        <v>2400</v>
      </c>
      <c r="E539">
        <v>236</v>
      </c>
      <c r="F539" s="3">
        <v>41859</v>
      </c>
      <c r="G539" t="s">
        <v>211</v>
      </c>
      <c r="H539" s="18">
        <v>2400</v>
      </c>
      <c r="J539" s="20" t="str">
        <f t="shared" si="27"/>
        <v/>
      </c>
      <c r="K539" t="str">
        <f t="shared" si="26"/>
        <v/>
      </c>
      <c r="L539" s="4">
        <f t="shared" si="28"/>
        <v>0</v>
      </c>
    </row>
    <row r="540" spans="1:12" x14ac:dyDescent="0.25">
      <c r="A540">
        <v>237</v>
      </c>
      <c r="B540" s="3">
        <v>41859</v>
      </c>
      <c r="C540" s="4">
        <v>425</v>
      </c>
      <c r="E540">
        <v>237</v>
      </c>
      <c r="F540" s="3">
        <v>41859</v>
      </c>
      <c r="G540" t="s">
        <v>336</v>
      </c>
      <c r="H540" s="18">
        <v>425</v>
      </c>
      <c r="J540" s="20" t="str">
        <f t="shared" si="27"/>
        <v/>
      </c>
      <c r="K540" t="str">
        <f t="shared" si="26"/>
        <v/>
      </c>
      <c r="L540" s="4">
        <f t="shared" si="28"/>
        <v>0</v>
      </c>
    </row>
    <row r="541" spans="1:12" x14ac:dyDescent="0.25">
      <c r="A541">
        <v>248</v>
      </c>
      <c r="B541" s="3">
        <v>41859</v>
      </c>
      <c r="C541" s="4">
        <v>1508.5</v>
      </c>
      <c r="E541">
        <v>248</v>
      </c>
      <c r="F541" s="3">
        <v>41859</v>
      </c>
      <c r="G541" t="s">
        <v>19</v>
      </c>
      <c r="H541" s="18">
        <v>1508.5</v>
      </c>
      <c r="J541" s="20" t="str">
        <f t="shared" si="27"/>
        <v/>
      </c>
      <c r="K541" t="str">
        <f t="shared" si="26"/>
        <v/>
      </c>
      <c r="L541" s="4">
        <f t="shared" si="28"/>
        <v>0</v>
      </c>
    </row>
    <row r="542" spans="1:12" x14ac:dyDescent="0.25">
      <c r="A542">
        <v>261</v>
      </c>
      <c r="B542" s="3">
        <v>41859</v>
      </c>
      <c r="C542" s="4">
        <v>1975</v>
      </c>
      <c r="E542">
        <v>261</v>
      </c>
      <c r="F542" s="3">
        <v>41859</v>
      </c>
      <c r="G542" t="s">
        <v>22</v>
      </c>
      <c r="H542" s="18">
        <v>1975</v>
      </c>
      <c r="J542" s="20" t="str">
        <f t="shared" si="27"/>
        <v/>
      </c>
      <c r="K542" t="str">
        <f t="shared" si="26"/>
        <v/>
      </c>
      <c r="L542" s="4">
        <f t="shared" si="28"/>
        <v>0</v>
      </c>
    </row>
    <row r="543" spans="1:12" x14ac:dyDescent="0.25">
      <c r="A543">
        <v>276</v>
      </c>
      <c r="B543" s="3">
        <v>41859</v>
      </c>
      <c r="C543" s="4">
        <v>1575</v>
      </c>
      <c r="E543">
        <v>276</v>
      </c>
      <c r="F543" s="3">
        <v>41859</v>
      </c>
      <c r="G543" t="s">
        <v>342</v>
      </c>
      <c r="H543" s="18">
        <v>0</v>
      </c>
      <c r="J543" s="20" t="str">
        <f t="shared" si="27"/>
        <v/>
      </c>
      <c r="K543" t="str">
        <f t="shared" si="26"/>
        <v/>
      </c>
      <c r="L543" s="4">
        <f t="shared" si="28"/>
        <v>1575</v>
      </c>
    </row>
    <row r="544" spans="1:12" x14ac:dyDescent="0.25">
      <c r="A544">
        <v>295</v>
      </c>
      <c r="B544" s="3">
        <v>41859</v>
      </c>
      <c r="C544" s="4">
        <v>1475</v>
      </c>
      <c r="E544">
        <v>295</v>
      </c>
      <c r="F544" s="3">
        <v>41859</v>
      </c>
      <c r="G544" t="s">
        <v>103</v>
      </c>
      <c r="H544" s="18">
        <v>1475</v>
      </c>
      <c r="J544" s="20" t="str">
        <f t="shared" si="27"/>
        <v/>
      </c>
      <c r="K544" t="str">
        <f t="shared" si="26"/>
        <v/>
      </c>
      <c r="L544" s="4">
        <f t="shared" si="28"/>
        <v>0</v>
      </c>
    </row>
    <row r="545" spans="1:12" x14ac:dyDescent="0.25">
      <c r="A545">
        <v>319</v>
      </c>
      <c r="B545" s="3">
        <v>41859</v>
      </c>
      <c r="C545" s="4">
        <v>550</v>
      </c>
      <c r="E545">
        <v>319</v>
      </c>
      <c r="F545" s="3">
        <v>41859</v>
      </c>
      <c r="G545" t="s">
        <v>352</v>
      </c>
      <c r="H545" s="18">
        <v>550</v>
      </c>
      <c r="J545" s="20" t="str">
        <f t="shared" si="27"/>
        <v/>
      </c>
      <c r="K545" t="str">
        <f t="shared" si="26"/>
        <v/>
      </c>
      <c r="L545" s="4">
        <f t="shared" si="28"/>
        <v>0</v>
      </c>
    </row>
    <row r="546" spans="1:12" x14ac:dyDescent="0.25">
      <c r="A546">
        <v>322</v>
      </c>
      <c r="B546" s="3">
        <v>41859</v>
      </c>
      <c r="C546" s="4">
        <v>1550</v>
      </c>
      <c r="E546">
        <v>322</v>
      </c>
      <c r="F546" s="3">
        <v>41859</v>
      </c>
      <c r="G546" t="s">
        <v>198</v>
      </c>
      <c r="H546" s="18">
        <v>1550</v>
      </c>
      <c r="J546" s="20" t="str">
        <f t="shared" si="27"/>
        <v/>
      </c>
      <c r="K546" t="str">
        <f t="shared" si="26"/>
        <v/>
      </c>
      <c r="L546" s="4">
        <f t="shared" si="28"/>
        <v>0</v>
      </c>
    </row>
    <row r="547" spans="1:12" x14ac:dyDescent="0.25">
      <c r="A547">
        <v>370</v>
      </c>
      <c r="B547" s="3">
        <v>41859</v>
      </c>
      <c r="C547" s="4">
        <v>382.5</v>
      </c>
      <c r="E547">
        <v>370</v>
      </c>
      <c r="F547" s="3">
        <v>41859</v>
      </c>
      <c r="G547" t="s">
        <v>180</v>
      </c>
      <c r="H547" s="18">
        <v>382.5</v>
      </c>
      <c r="J547" s="20" t="str">
        <f t="shared" si="27"/>
        <v/>
      </c>
      <c r="K547" t="str">
        <f t="shared" si="26"/>
        <v/>
      </c>
      <c r="L547" s="4">
        <f t="shared" si="28"/>
        <v>0</v>
      </c>
    </row>
    <row r="548" spans="1:12" x14ac:dyDescent="0.25">
      <c r="A548">
        <v>382</v>
      </c>
      <c r="B548" s="3">
        <v>41859</v>
      </c>
      <c r="C548" s="4">
        <v>800</v>
      </c>
      <c r="E548">
        <v>382</v>
      </c>
      <c r="F548" s="3">
        <v>41859</v>
      </c>
      <c r="G548" t="s">
        <v>164</v>
      </c>
      <c r="H548" s="18">
        <v>800</v>
      </c>
      <c r="J548" s="20" t="str">
        <f t="shared" si="27"/>
        <v/>
      </c>
      <c r="K548" t="str">
        <f t="shared" si="26"/>
        <v/>
      </c>
      <c r="L548" s="4">
        <f t="shared" si="28"/>
        <v>0</v>
      </c>
    </row>
    <row r="549" spans="1:12" x14ac:dyDescent="0.25">
      <c r="A549">
        <v>389</v>
      </c>
      <c r="B549" s="3">
        <v>41859</v>
      </c>
      <c r="C549" s="4">
        <v>3300.5</v>
      </c>
      <c r="E549">
        <v>389</v>
      </c>
      <c r="F549" s="3">
        <v>41859</v>
      </c>
      <c r="G549" t="s">
        <v>31</v>
      </c>
      <c r="H549" s="18">
        <v>3300.5</v>
      </c>
      <c r="J549" s="20" t="str">
        <f t="shared" si="27"/>
        <v/>
      </c>
      <c r="K549" t="str">
        <f t="shared" si="26"/>
        <v/>
      </c>
      <c r="L549" s="4">
        <f t="shared" si="28"/>
        <v>0</v>
      </c>
    </row>
    <row r="550" spans="1:12" x14ac:dyDescent="0.25">
      <c r="A550">
        <v>391</v>
      </c>
      <c r="B550" s="3">
        <v>41859</v>
      </c>
      <c r="C550" s="4">
        <v>1650</v>
      </c>
      <c r="E550">
        <v>391</v>
      </c>
      <c r="F550" s="3">
        <v>41859</v>
      </c>
      <c r="G550" t="s">
        <v>319</v>
      </c>
      <c r="H550" s="18">
        <v>1650</v>
      </c>
      <c r="J550" s="20" t="str">
        <f t="shared" si="27"/>
        <v/>
      </c>
      <c r="K550" t="str">
        <f t="shared" si="26"/>
        <v/>
      </c>
      <c r="L550" s="4">
        <f t="shared" si="28"/>
        <v>0</v>
      </c>
    </row>
    <row r="551" spans="1:12" x14ac:dyDescent="0.25">
      <c r="A551">
        <v>37</v>
      </c>
      <c r="B551" s="3">
        <v>41862</v>
      </c>
      <c r="C551" s="4">
        <v>5000</v>
      </c>
      <c r="E551">
        <v>37</v>
      </c>
      <c r="F551" s="3">
        <v>41862</v>
      </c>
      <c r="G551" t="s">
        <v>77</v>
      </c>
      <c r="H551" s="18">
        <v>5000</v>
      </c>
      <c r="J551" s="20" t="str">
        <f t="shared" si="27"/>
        <v/>
      </c>
      <c r="K551" t="str">
        <f t="shared" si="26"/>
        <v/>
      </c>
      <c r="L551" s="4">
        <f t="shared" si="28"/>
        <v>0</v>
      </c>
    </row>
    <row r="552" spans="1:12" x14ac:dyDescent="0.25">
      <c r="A552">
        <v>202</v>
      </c>
      <c r="B552" s="3">
        <v>41862</v>
      </c>
      <c r="C552" s="4">
        <v>425</v>
      </c>
      <c r="E552">
        <v>202</v>
      </c>
      <c r="F552" s="3">
        <v>41862</v>
      </c>
      <c r="G552" t="s">
        <v>237</v>
      </c>
      <c r="H552" s="18">
        <v>425</v>
      </c>
      <c r="J552" s="20" t="str">
        <f t="shared" si="27"/>
        <v/>
      </c>
      <c r="K552" t="str">
        <f t="shared" si="26"/>
        <v/>
      </c>
      <c r="L552" s="4">
        <f t="shared" si="28"/>
        <v>0</v>
      </c>
    </row>
    <row r="553" spans="1:12" x14ac:dyDescent="0.25">
      <c r="A553">
        <v>373</v>
      </c>
      <c r="B553" s="3">
        <v>41862</v>
      </c>
      <c r="C553" s="4">
        <v>1500</v>
      </c>
      <c r="E553">
        <v>373</v>
      </c>
      <c r="F553" s="3">
        <v>41862</v>
      </c>
      <c r="G553" t="s">
        <v>234</v>
      </c>
      <c r="H553" s="18">
        <v>1500</v>
      </c>
      <c r="J553" s="20" t="str">
        <f t="shared" si="27"/>
        <v/>
      </c>
      <c r="K553" t="str">
        <f t="shared" si="26"/>
        <v/>
      </c>
      <c r="L553" s="4">
        <f t="shared" si="28"/>
        <v>0</v>
      </c>
    </row>
    <row r="554" spans="1:12" x14ac:dyDescent="0.25">
      <c r="A554">
        <v>383</v>
      </c>
      <c r="B554" s="3">
        <v>41862</v>
      </c>
      <c r="C554" s="4">
        <v>400</v>
      </c>
      <c r="E554">
        <v>383</v>
      </c>
      <c r="F554" s="3">
        <v>41862</v>
      </c>
      <c r="G554" t="s">
        <v>220</v>
      </c>
      <c r="H554" s="18">
        <v>400</v>
      </c>
      <c r="J554" s="20" t="str">
        <f t="shared" si="27"/>
        <v/>
      </c>
      <c r="K554" t="str">
        <f t="shared" si="26"/>
        <v/>
      </c>
      <c r="L554" s="4">
        <f t="shared" si="28"/>
        <v>0</v>
      </c>
    </row>
    <row r="555" spans="1:12" x14ac:dyDescent="0.25">
      <c r="A555">
        <v>94</v>
      </c>
      <c r="B555" s="3">
        <v>41865</v>
      </c>
      <c r="C555" s="4">
        <v>847</v>
      </c>
      <c r="E555">
        <v>94</v>
      </c>
      <c r="F555" s="3">
        <v>41865</v>
      </c>
      <c r="G555" t="s">
        <v>182</v>
      </c>
      <c r="H555" s="18">
        <v>847</v>
      </c>
      <c r="J555" s="20" t="str">
        <f t="shared" si="27"/>
        <v/>
      </c>
      <c r="K555" t="str">
        <f t="shared" si="26"/>
        <v/>
      </c>
      <c r="L555" s="4">
        <f t="shared" si="28"/>
        <v>0</v>
      </c>
    </row>
    <row r="556" spans="1:12" x14ac:dyDescent="0.25">
      <c r="A556">
        <v>183</v>
      </c>
      <c r="B556" s="3">
        <v>41865</v>
      </c>
      <c r="C556" s="4">
        <v>1086.1400000000001</v>
      </c>
      <c r="E556">
        <v>183</v>
      </c>
      <c r="F556" s="3">
        <v>41865</v>
      </c>
      <c r="G556" t="s">
        <v>264</v>
      </c>
      <c r="H556" s="18">
        <v>1186.1500000000001</v>
      </c>
      <c r="J556" s="20" t="str">
        <f t="shared" si="27"/>
        <v/>
      </c>
      <c r="K556" t="str">
        <f t="shared" si="26"/>
        <v/>
      </c>
      <c r="L556" s="4">
        <f t="shared" si="28"/>
        <v>-100.00999999999999</v>
      </c>
    </row>
    <row r="557" spans="1:12" x14ac:dyDescent="0.25">
      <c r="A557">
        <v>189</v>
      </c>
      <c r="B557" s="3">
        <v>41865</v>
      </c>
      <c r="C557" s="4">
        <v>1122</v>
      </c>
      <c r="E557">
        <v>189</v>
      </c>
      <c r="F557" s="3">
        <v>41865</v>
      </c>
      <c r="G557" t="s">
        <v>350</v>
      </c>
      <c r="H557" s="18">
        <v>1122</v>
      </c>
      <c r="J557" s="20" t="str">
        <f t="shared" si="27"/>
        <v/>
      </c>
      <c r="K557" t="str">
        <f t="shared" si="26"/>
        <v/>
      </c>
      <c r="L557" s="4">
        <f t="shared" si="28"/>
        <v>0</v>
      </c>
    </row>
    <row r="558" spans="1:12" x14ac:dyDescent="0.25">
      <c r="A558">
        <v>202</v>
      </c>
      <c r="B558" s="3">
        <v>41865</v>
      </c>
      <c r="C558" s="4">
        <v>160</v>
      </c>
      <c r="E558">
        <v>202</v>
      </c>
      <c r="F558" s="3">
        <v>41865</v>
      </c>
      <c r="G558" t="s">
        <v>237</v>
      </c>
      <c r="H558" s="18">
        <v>160</v>
      </c>
      <c r="J558" s="20" t="str">
        <f t="shared" si="27"/>
        <v/>
      </c>
      <c r="K558" t="str">
        <f t="shared" si="26"/>
        <v/>
      </c>
      <c r="L558" s="4">
        <f t="shared" si="28"/>
        <v>0</v>
      </c>
    </row>
    <row r="559" spans="1:12" x14ac:dyDescent="0.25">
      <c r="A559">
        <v>203</v>
      </c>
      <c r="B559" s="3">
        <v>41865</v>
      </c>
      <c r="C559" s="4">
        <v>500</v>
      </c>
      <c r="E559">
        <v>203</v>
      </c>
      <c r="F559" s="3">
        <v>41865</v>
      </c>
      <c r="G559" t="s">
        <v>95</v>
      </c>
      <c r="H559" s="18">
        <v>500</v>
      </c>
      <c r="J559" s="20" t="str">
        <f t="shared" si="27"/>
        <v/>
      </c>
      <c r="K559" t="str">
        <f t="shared" si="26"/>
        <v/>
      </c>
      <c r="L559" s="4">
        <f t="shared" si="28"/>
        <v>0</v>
      </c>
    </row>
    <row r="560" spans="1:12" x14ac:dyDescent="0.25">
      <c r="A560">
        <v>211</v>
      </c>
      <c r="B560" s="3">
        <v>41865</v>
      </c>
      <c r="C560" s="4">
        <v>1786</v>
      </c>
      <c r="E560">
        <v>211</v>
      </c>
      <c r="F560" s="3">
        <v>41865</v>
      </c>
      <c r="G560" t="s">
        <v>96</v>
      </c>
      <c r="H560" s="18">
        <v>1786</v>
      </c>
      <c r="J560" s="20" t="str">
        <f t="shared" si="27"/>
        <v/>
      </c>
      <c r="K560" t="str">
        <f t="shared" si="26"/>
        <v/>
      </c>
      <c r="L560" s="4">
        <f t="shared" si="28"/>
        <v>0</v>
      </c>
    </row>
    <row r="561" spans="1:12" x14ac:dyDescent="0.25">
      <c r="A561">
        <v>213</v>
      </c>
      <c r="B561" s="3">
        <v>41865</v>
      </c>
      <c r="C561" s="4">
        <v>267.38</v>
      </c>
      <c r="E561">
        <v>213</v>
      </c>
      <c r="F561" s="3">
        <v>41865</v>
      </c>
      <c r="G561" t="s">
        <v>338</v>
      </c>
      <c r="H561" s="18">
        <v>267.38</v>
      </c>
      <c r="J561" s="20" t="str">
        <f t="shared" si="27"/>
        <v/>
      </c>
      <c r="K561" t="str">
        <f t="shared" si="26"/>
        <v/>
      </c>
      <c r="L561" s="4">
        <f t="shared" si="28"/>
        <v>0</v>
      </c>
    </row>
    <row r="562" spans="1:12" x14ac:dyDescent="0.25">
      <c r="A562">
        <v>218</v>
      </c>
      <c r="B562" s="3">
        <v>41865</v>
      </c>
      <c r="C562" s="4">
        <v>110</v>
      </c>
      <c r="E562">
        <v>218</v>
      </c>
      <c r="F562" s="3">
        <v>41865</v>
      </c>
      <c r="G562" t="s">
        <v>233</v>
      </c>
      <c r="H562" s="18">
        <v>110</v>
      </c>
      <c r="J562" s="20" t="str">
        <f t="shared" si="27"/>
        <v/>
      </c>
      <c r="K562" t="str">
        <f t="shared" si="26"/>
        <v/>
      </c>
      <c r="L562" s="4">
        <f t="shared" si="28"/>
        <v>0</v>
      </c>
    </row>
    <row r="563" spans="1:12" x14ac:dyDescent="0.25">
      <c r="A563">
        <v>228</v>
      </c>
      <c r="B563" s="3">
        <v>41865</v>
      </c>
      <c r="C563" s="4">
        <v>600</v>
      </c>
      <c r="E563">
        <v>228</v>
      </c>
      <c r="F563" s="3">
        <v>41865</v>
      </c>
      <c r="G563" t="s">
        <v>99</v>
      </c>
      <c r="H563" s="18">
        <v>600</v>
      </c>
      <c r="J563" s="20" t="str">
        <f t="shared" si="27"/>
        <v/>
      </c>
      <c r="K563" t="str">
        <f t="shared" si="26"/>
        <v/>
      </c>
      <c r="L563" s="4">
        <f t="shared" si="28"/>
        <v>0</v>
      </c>
    </row>
    <row r="564" spans="1:12" x14ac:dyDescent="0.25">
      <c r="A564">
        <v>231</v>
      </c>
      <c r="B564" s="3">
        <v>41865</v>
      </c>
      <c r="C564" s="4">
        <v>500</v>
      </c>
      <c r="E564">
        <v>231</v>
      </c>
      <c r="F564" s="3">
        <v>41865</v>
      </c>
      <c r="G564" t="s">
        <v>310</v>
      </c>
      <c r="H564" s="18">
        <v>500</v>
      </c>
      <c r="J564" s="20" t="str">
        <f t="shared" si="27"/>
        <v/>
      </c>
      <c r="K564" t="str">
        <f t="shared" si="26"/>
        <v/>
      </c>
      <c r="L564" s="4">
        <f t="shared" si="28"/>
        <v>0</v>
      </c>
    </row>
    <row r="565" spans="1:12" x14ac:dyDescent="0.25">
      <c r="A565">
        <v>232</v>
      </c>
      <c r="B565" s="3">
        <v>41865</v>
      </c>
      <c r="C565" s="4">
        <v>412.76</v>
      </c>
      <c r="E565">
        <v>232</v>
      </c>
      <c r="F565" s="3">
        <v>41865</v>
      </c>
      <c r="G565" t="s">
        <v>100</v>
      </c>
      <c r="H565" s="18">
        <v>412.76</v>
      </c>
      <c r="J565" s="20" t="str">
        <f t="shared" si="27"/>
        <v/>
      </c>
      <c r="K565" t="str">
        <f t="shared" si="26"/>
        <v/>
      </c>
      <c r="L565" s="4">
        <f t="shared" si="28"/>
        <v>0</v>
      </c>
    </row>
    <row r="566" spans="1:12" x14ac:dyDescent="0.25">
      <c r="A566">
        <v>244</v>
      </c>
      <c r="B566" s="3">
        <v>41865</v>
      </c>
      <c r="C566" s="4">
        <v>25</v>
      </c>
      <c r="E566">
        <v>244</v>
      </c>
      <c r="F566" s="3">
        <v>41865</v>
      </c>
      <c r="G566" t="s">
        <v>311</v>
      </c>
      <c r="H566" s="18">
        <v>25</v>
      </c>
      <c r="J566" s="20" t="str">
        <f t="shared" si="27"/>
        <v/>
      </c>
      <c r="K566" t="str">
        <f t="shared" si="26"/>
        <v/>
      </c>
      <c r="L566" s="4">
        <f t="shared" si="28"/>
        <v>0</v>
      </c>
    </row>
    <row r="567" spans="1:12" x14ac:dyDescent="0.25">
      <c r="A567">
        <v>245</v>
      </c>
      <c r="B567" s="3">
        <v>41865</v>
      </c>
      <c r="C567" s="4">
        <v>450</v>
      </c>
      <c r="E567">
        <v>245</v>
      </c>
      <c r="F567" s="3">
        <v>41865</v>
      </c>
      <c r="G567" t="s">
        <v>340</v>
      </c>
      <c r="H567" s="18">
        <v>450</v>
      </c>
      <c r="J567" s="20" t="str">
        <f t="shared" si="27"/>
        <v/>
      </c>
      <c r="K567" t="str">
        <f t="shared" si="26"/>
        <v/>
      </c>
      <c r="L567" s="4">
        <f t="shared" si="28"/>
        <v>0</v>
      </c>
    </row>
    <row r="568" spans="1:12" x14ac:dyDescent="0.25">
      <c r="A568">
        <v>282</v>
      </c>
      <c r="B568" s="3">
        <v>41865</v>
      </c>
      <c r="C568" s="4">
        <v>1403</v>
      </c>
      <c r="E568">
        <v>282</v>
      </c>
      <c r="F568" s="3">
        <v>41865</v>
      </c>
      <c r="G568" t="s">
        <v>23</v>
      </c>
      <c r="H568" s="18">
        <v>1403</v>
      </c>
      <c r="J568" s="20" t="str">
        <f t="shared" si="27"/>
        <v/>
      </c>
      <c r="K568" t="str">
        <f t="shared" si="26"/>
        <v/>
      </c>
      <c r="L568" s="4">
        <f t="shared" si="28"/>
        <v>0</v>
      </c>
    </row>
    <row r="569" spans="1:12" x14ac:dyDescent="0.25">
      <c r="A569">
        <v>302</v>
      </c>
      <c r="B569" s="3">
        <v>41865</v>
      </c>
      <c r="C569" s="4">
        <v>625</v>
      </c>
      <c r="E569">
        <v>302</v>
      </c>
      <c r="F569" s="3">
        <v>41865</v>
      </c>
      <c r="G569" t="s">
        <v>104</v>
      </c>
      <c r="H569" s="18">
        <v>625</v>
      </c>
      <c r="J569" s="20" t="str">
        <f t="shared" si="27"/>
        <v/>
      </c>
      <c r="K569" t="str">
        <f t="shared" si="26"/>
        <v/>
      </c>
      <c r="L569" s="4">
        <f t="shared" si="28"/>
        <v>0</v>
      </c>
    </row>
    <row r="570" spans="1:12" x14ac:dyDescent="0.25">
      <c r="A570">
        <v>304</v>
      </c>
      <c r="B570" s="3">
        <v>41865</v>
      </c>
      <c r="C570" s="4">
        <v>1050</v>
      </c>
      <c r="E570">
        <v>304</v>
      </c>
      <c r="F570" s="3">
        <v>41865</v>
      </c>
      <c r="G570" t="s">
        <v>295</v>
      </c>
      <c r="H570" s="18">
        <v>1050</v>
      </c>
      <c r="J570" s="20" t="str">
        <f t="shared" si="27"/>
        <v/>
      </c>
      <c r="K570" t="str">
        <f t="shared" si="26"/>
        <v/>
      </c>
      <c r="L570" s="4">
        <f t="shared" si="28"/>
        <v>0</v>
      </c>
    </row>
    <row r="571" spans="1:12" x14ac:dyDescent="0.25">
      <c r="A571">
        <v>324</v>
      </c>
      <c r="B571" s="3">
        <v>41865</v>
      </c>
      <c r="C571" s="4">
        <v>1025</v>
      </c>
      <c r="E571">
        <v>324</v>
      </c>
      <c r="F571" s="3">
        <v>41865</v>
      </c>
      <c r="G571" t="s">
        <v>106</v>
      </c>
      <c r="H571" s="18">
        <v>1025</v>
      </c>
      <c r="J571" s="20" t="str">
        <f t="shared" si="27"/>
        <v/>
      </c>
      <c r="K571" t="str">
        <f t="shared" si="26"/>
        <v/>
      </c>
      <c r="L571" s="4">
        <f t="shared" si="28"/>
        <v>0</v>
      </c>
    </row>
    <row r="572" spans="1:12" x14ac:dyDescent="0.25">
      <c r="A572">
        <v>373</v>
      </c>
      <c r="B572" s="3">
        <v>41865</v>
      </c>
      <c r="C572" s="4">
        <v>1200</v>
      </c>
      <c r="E572">
        <v>373</v>
      </c>
      <c r="F572" s="3">
        <v>41865</v>
      </c>
      <c r="G572" t="s">
        <v>234</v>
      </c>
      <c r="H572" s="18">
        <v>1200</v>
      </c>
      <c r="J572" s="20" t="str">
        <f t="shared" si="27"/>
        <v/>
      </c>
      <c r="K572" t="str">
        <f t="shared" si="26"/>
        <v/>
      </c>
      <c r="L572" s="4">
        <f t="shared" si="28"/>
        <v>0</v>
      </c>
    </row>
    <row r="573" spans="1:12" x14ac:dyDescent="0.25">
      <c r="A573">
        <v>378</v>
      </c>
      <c r="B573" s="3">
        <v>41865</v>
      </c>
      <c r="C573" s="4">
        <v>2181</v>
      </c>
      <c r="E573">
        <v>378</v>
      </c>
      <c r="F573" s="3">
        <v>41865</v>
      </c>
      <c r="G573" t="s">
        <v>109</v>
      </c>
      <c r="H573" s="18">
        <v>2181</v>
      </c>
      <c r="J573" s="20" t="str">
        <f t="shared" si="27"/>
        <v/>
      </c>
      <c r="K573" t="str">
        <f t="shared" si="26"/>
        <v/>
      </c>
      <c r="L573" s="4">
        <f t="shared" si="28"/>
        <v>0</v>
      </c>
    </row>
    <row r="574" spans="1:12" x14ac:dyDescent="0.25">
      <c r="A574">
        <v>383</v>
      </c>
      <c r="B574" s="3">
        <v>41865</v>
      </c>
      <c r="C574" s="4">
        <v>350</v>
      </c>
      <c r="E574">
        <v>383</v>
      </c>
      <c r="F574" s="3">
        <v>41865</v>
      </c>
      <c r="G574" t="s">
        <v>220</v>
      </c>
      <c r="H574" s="18">
        <v>350</v>
      </c>
      <c r="J574" s="20" t="str">
        <f t="shared" si="27"/>
        <v/>
      </c>
      <c r="K574" t="str">
        <f t="shared" si="26"/>
        <v/>
      </c>
      <c r="L574" s="4">
        <f t="shared" si="28"/>
        <v>0</v>
      </c>
    </row>
    <row r="575" spans="1:12" x14ac:dyDescent="0.25">
      <c r="A575">
        <v>392</v>
      </c>
      <c r="B575" s="3">
        <v>41865</v>
      </c>
      <c r="C575" s="4">
        <v>1375</v>
      </c>
      <c r="E575">
        <v>392</v>
      </c>
      <c r="F575" s="3">
        <v>41865</v>
      </c>
      <c r="G575" t="s">
        <v>111</v>
      </c>
      <c r="H575" s="18">
        <v>1375</v>
      </c>
      <c r="J575" s="20" t="str">
        <f t="shared" si="27"/>
        <v/>
      </c>
      <c r="K575" t="str">
        <f t="shared" si="26"/>
        <v/>
      </c>
      <c r="L575" s="4">
        <f t="shared" si="28"/>
        <v>0</v>
      </c>
    </row>
    <row r="576" spans="1:12" x14ac:dyDescent="0.25">
      <c r="A576">
        <v>27</v>
      </c>
      <c r="B576" s="3">
        <v>41866</v>
      </c>
      <c r="C576" s="4">
        <v>2119.88</v>
      </c>
      <c r="E576">
        <v>27</v>
      </c>
      <c r="F576" s="3">
        <v>41866</v>
      </c>
      <c r="G576" t="s">
        <v>159</v>
      </c>
      <c r="H576" s="18">
        <v>2119.88</v>
      </c>
      <c r="J576" s="20" t="str">
        <f t="shared" si="27"/>
        <v/>
      </c>
      <c r="K576" t="str">
        <f t="shared" si="26"/>
        <v/>
      </c>
      <c r="L576" s="4">
        <f t="shared" si="28"/>
        <v>0</v>
      </c>
    </row>
    <row r="577" spans="1:12" x14ac:dyDescent="0.25">
      <c r="A577">
        <v>28</v>
      </c>
      <c r="B577" s="3">
        <v>41866</v>
      </c>
      <c r="C577" s="4">
        <v>500</v>
      </c>
      <c r="E577">
        <v>28</v>
      </c>
      <c r="F577" s="3">
        <v>41866</v>
      </c>
      <c r="G577" t="s">
        <v>6</v>
      </c>
      <c r="H577" s="18">
        <v>500</v>
      </c>
      <c r="J577" s="20" t="str">
        <f t="shared" si="27"/>
        <v/>
      </c>
      <c r="K577" t="str">
        <f t="shared" si="26"/>
        <v/>
      </c>
      <c r="L577" s="4">
        <f t="shared" si="28"/>
        <v>0</v>
      </c>
    </row>
    <row r="578" spans="1:12" x14ac:dyDescent="0.25">
      <c r="A578">
        <v>37</v>
      </c>
      <c r="B578" s="3">
        <v>41866</v>
      </c>
      <c r="C578" s="4">
        <v>2971.6</v>
      </c>
      <c r="E578">
        <v>37</v>
      </c>
      <c r="F578" s="3">
        <v>41866</v>
      </c>
      <c r="G578" t="s">
        <v>77</v>
      </c>
      <c r="H578" s="18">
        <v>2971.6</v>
      </c>
      <c r="J578" s="20" t="str">
        <f t="shared" si="27"/>
        <v/>
      </c>
      <c r="K578" t="str">
        <f t="shared" si="26"/>
        <v/>
      </c>
      <c r="L578" s="4">
        <f t="shared" si="28"/>
        <v>0</v>
      </c>
    </row>
    <row r="579" spans="1:12" x14ac:dyDescent="0.25">
      <c r="A579">
        <v>41</v>
      </c>
      <c r="B579" s="3">
        <v>41866</v>
      </c>
      <c r="C579" s="4">
        <v>1260.3800000000001</v>
      </c>
      <c r="E579">
        <v>41</v>
      </c>
      <c r="F579" s="3">
        <v>41866</v>
      </c>
      <c r="G579" t="s">
        <v>10</v>
      </c>
      <c r="H579" s="18">
        <v>1260.3800000000001</v>
      </c>
      <c r="J579" s="20" t="str">
        <f t="shared" si="27"/>
        <v/>
      </c>
      <c r="K579" t="str">
        <f t="shared" ref="K579:K642" si="29">IF(F579=B579,"","CHECK")</f>
        <v/>
      </c>
      <c r="L579" s="4">
        <f t="shared" si="28"/>
        <v>0</v>
      </c>
    </row>
    <row r="580" spans="1:12" x14ac:dyDescent="0.25">
      <c r="A580">
        <v>74</v>
      </c>
      <c r="B580" s="3">
        <v>41866</v>
      </c>
      <c r="C580" s="4">
        <v>1000</v>
      </c>
      <c r="E580">
        <v>74</v>
      </c>
      <c r="F580" s="3">
        <v>41866</v>
      </c>
      <c r="G580" t="s">
        <v>328</v>
      </c>
      <c r="H580" s="18">
        <v>1000</v>
      </c>
      <c r="J580" s="20" t="str">
        <f t="shared" si="27"/>
        <v/>
      </c>
      <c r="K580" t="str">
        <f t="shared" si="29"/>
        <v/>
      </c>
      <c r="L580" s="4">
        <f t="shared" si="28"/>
        <v>0</v>
      </c>
    </row>
    <row r="581" spans="1:12" x14ac:dyDescent="0.25">
      <c r="A581">
        <v>85</v>
      </c>
      <c r="B581" s="3">
        <v>41866</v>
      </c>
      <c r="C581" s="4">
        <v>4243.6000000000004</v>
      </c>
      <c r="E581">
        <v>85</v>
      </c>
      <c r="F581" s="3">
        <v>41866</v>
      </c>
      <c r="G581" t="s">
        <v>79</v>
      </c>
      <c r="H581" s="18">
        <v>4243.6000000000004</v>
      </c>
      <c r="J581" s="20" t="str">
        <f t="shared" ref="J581:J598" si="30">IF(E581=A581,"","CHECK")</f>
        <v/>
      </c>
      <c r="K581" t="str">
        <f t="shared" si="29"/>
        <v/>
      </c>
      <c r="L581" s="4">
        <f t="shared" ref="L581:L598" si="31">C581-H581</f>
        <v>0</v>
      </c>
    </row>
    <row r="582" spans="1:12" x14ac:dyDescent="0.25">
      <c r="A582">
        <v>117</v>
      </c>
      <c r="B582" s="3">
        <v>41866</v>
      </c>
      <c r="C582" s="4">
        <v>45</v>
      </c>
      <c r="E582">
        <v>117</v>
      </c>
      <c r="F582" s="3">
        <v>41866</v>
      </c>
      <c r="G582" t="s">
        <v>232</v>
      </c>
      <c r="H582" s="18">
        <v>45</v>
      </c>
      <c r="J582" s="20" t="str">
        <f t="shared" si="30"/>
        <v/>
      </c>
      <c r="K582" t="str">
        <f t="shared" si="29"/>
        <v/>
      </c>
      <c r="L582" s="4">
        <f t="shared" si="31"/>
        <v>0</v>
      </c>
    </row>
    <row r="583" spans="1:12" x14ac:dyDescent="0.25">
      <c r="A583">
        <v>119</v>
      </c>
      <c r="B583" s="3">
        <v>41866</v>
      </c>
      <c r="C583" s="4">
        <v>399.52</v>
      </c>
      <c r="E583">
        <v>119</v>
      </c>
      <c r="F583" s="3">
        <v>41866</v>
      </c>
      <c r="G583" t="s">
        <v>349</v>
      </c>
      <c r="H583" s="18">
        <v>399.52</v>
      </c>
      <c r="J583" s="20" t="str">
        <f t="shared" si="30"/>
        <v/>
      </c>
      <c r="K583" t="str">
        <f t="shared" si="29"/>
        <v/>
      </c>
      <c r="L583" s="4">
        <f t="shared" si="31"/>
        <v>0</v>
      </c>
    </row>
    <row r="584" spans="1:12" x14ac:dyDescent="0.25">
      <c r="A584">
        <v>133</v>
      </c>
      <c r="B584" s="3">
        <v>41866</v>
      </c>
      <c r="C584" s="4">
        <v>3407.5</v>
      </c>
      <c r="E584">
        <v>133</v>
      </c>
      <c r="F584" s="3">
        <v>41866</v>
      </c>
      <c r="G584" t="s">
        <v>87</v>
      </c>
      <c r="H584" s="18">
        <v>3407.5</v>
      </c>
      <c r="J584" s="20" t="str">
        <f t="shared" si="30"/>
        <v/>
      </c>
      <c r="K584" t="str">
        <f t="shared" si="29"/>
        <v/>
      </c>
      <c r="L584" s="4">
        <f t="shared" si="31"/>
        <v>0</v>
      </c>
    </row>
    <row r="585" spans="1:12" x14ac:dyDescent="0.25">
      <c r="A585">
        <v>140</v>
      </c>
      <c r="B585" s="3">
        <v>41866</v>
      </c>
      <c r="C585" s="4">
        <v>127.13</v>
      </c>
      <c r="E585">
        <v>140</v>
      </c>
      <c r="F585" s="3">
        <v>41866</v>
      </c>
      <c r="G585" t="s">
        <v>88</v>
      </c>
      <c r="H585" s="18">
        <v>127.13</v>
      </c>
      <c r="J585" s="20" t="str">
        <f t="shared" si="30"/>
        <v/>
      </c>
      <c r="K585" t="str">
        <f t="shared" si="29"/>
        <v/>
      </c>
      <c r="L585" s="4">
        <f t="shared" si="31"/>
        <v>0</v>
      </c>
    </row>
    <row r="586" spans="1:12" x14ac:dyDescent="0.25">
      <c r="A586">
        <v>157</v>
      </c>
      <c r="B586" s="3">
        <v>41866</v>
      </c>
      <c r="C586" s="4">
        <v>900</v>
      </c>
      <c r="E586">
        <v>157</v>
      </c>
      <c r="F586" s="3">
        <v>41866</v>
      </c>
      <c r="G586" t="s">
        <v>92</v>
      </c>
      <c r="H586" s="18">
        <v>900</v>
      </c>
      <c r="J586" s="20" t="str">
        <f t="shared" si="30"/>
        <v/>
      </c>
      <c r="K586" t="str">
        <f t="shared" si="29"/>
        <v/>
      </c>
      <c r="L586" s="4">
        <f t="shared" si="31"/>
        <v>0</v>
      </c>
    </row>
    <row r="587" spans="1:12" x14ac:dyDescent="0.25">
      <c r="A587">
        <v>180</v>
      </c>
      <c r="B587" s="3">
        <v>41866</v>
      </c>
      <c r="C587" s="4">
        <v>295</v>
      </c>
      <c r="E587">
        <v>180</v>
      </c>
      <c r="F587" s="3">
        <v>41866</v>
      </c>
      <c r="G587" t="s">
        <v>161</v>
      </c>
      <c r="H587" s="18">
        <v>295</v>
      </c>
      <c r="J587" s="20" t="str">
        <f t="shared" si="30"/>
        <v/>
      </c>
      <c r="K587" t="str">
        <f t="shared" si="29"/>
        <v/>
      </c>
      <c r="L587" s="4">
        <f t="shared" si="31"/>
        <v>0</v>
      </c>
    </row>
    <row r="588" spans="1:12" x14ac:dyDescent="0.25">
      <c r="A588">
        <v>185</v>
      </c>
      <c r="B588" s="3">
        <v>41866</v>
      </c>
      <c r="C588" s="4">
        <v>383.78</v>
      </c>
      <c r="E588">
        <v>185</v>
      </c>
      <c r="F588" s="3">
        <v>41866</v>
      </c>
      <c r="G588" t="s">
        <v>17</v>
      </c>
      <c r="H588" s="18">
        <v>383.78</v>
      </c>
      <c r="J588" s="20" t="str">
        <f t="shared" si="30"/>
        <v/>
      </c>
      <c r="K588" t="str">
        <f t="shared" si="29"/>
        <v/>
      </c>
      <c r="L588" s="4">
        <f t="shared" si="31"/>
        <v>0</v>
      </c>
    </row>
    <row r="589" spans="1:12" x14ac:dyDescent="0.25">
      <c r="A589">
        <v>202</v>
      </c>
      <c r="B589" s="3">
        <v>41866</v>
      </c>
      <c r="C589" s="4">
        <v>2602.35</v>
      </c>
      <c r="E589">
        <v>202</v>
      </c>
      <c r="F589" s="3">
        <v>41866</v>
      </c>
      <c r="G589" t="s">
        <v>237</v>
      </c>
      <c r="H589" s="18">
        <v>2602.35</v>
      </c>
      <c r="J589" s="20" t="str">
        <f t="shared" si="30"/>
        <v/>
      </c>
      <c r="K589" t="str">
        <f t="shared" si="29"/>
        <v/>
      </c>
      <c r="L589" s="4">
        <f t="shared" si="31"/>
        <v>0</v>
      </c>
    </row>
    <row r="590" spans="1:12" x14ac:dyDescent="0.25">
      <c r="A590">
        <v>203</v>
      </c>
      <c r="B590" s="3">
        <v>41866</v>
      </c>
      <c r="C590" s="4">
        <v>2464.25</v>
      </c>
      <c r="E590">
        <v>203</v>
      </c>
      <c r="F590" s="3">
        <v>41866</v>
      </c>
      <c r="G590" t="s">
        <v>95</v>
      </c>
      <c r="H590" s="18">
        <v>2464.25</v>
      </c>
      <c r="J590" s="20" t="str">
        <f t="shared" si="30"/>
        <v/>
      </c>
      <c r="K590" t="str">
        <f t="shared" si="29"/>
        <v/>
      </c>
      <c r="L590" s="4">
        <f t="shared" si="31"/>
        <v>0</v>
      </c>
    </row>
    <row r="591" spans="1:12" x14ac:dyDescent="0.25">
      <c r="A591">
        <v>217</v>
      </c>
      <c r="B591" s="3">
        <v>41866</v>
      </c>
      <c r="C591" s="4">
        <v>1336.8</v>
      </c>
      <c r="E591">
        <v>217</v>
      </c>
      <c r="F591" s="3">
        <v>41866</v>
      </c>
      <c r="G591" t="s">
        <v>97</v>
      </c>
      <c r="H591" s="18">
        <v>1336.8</v>
      </c>
      <c r="J591" s="20" t="str">
        <f t="shared" si="30"/>
        <v/>
      </c>
      <c r="K591" t="str">
        <f t="shared" si="29"/>
        <v/>
      </c>
      <c r="L591" s="4">
        <f t="shared" si="31"/>
        <v>0</v>
      </c>
    </row>
    <row r="592" spans="1:12" x14ac:dyDescent="0.25">
      <c r="A592">
        <v>218</v>
      </c>
      <c r="B592" s="3">
        <v>41866</v>
      </c>
      <c r="C592" s="4">
        <v>3072.5</v>
      </c>
      <c r="E592">
        <v>218</v>
      </c>
      <c r="F592" s="3">
        <v>41866</v>
      </c>
      <c r="G592" t="s">
        <v>233</v>
      </c>
      <c r="H592" s="18">
        <v>3072.5</v>
      </c>
      <c r="J592" s="20" t="str">
        <f t="shared" si="30"/>
        <v/>
      </c>
      <c r="K592" t="str">
        <f t="shared" si="29"/>
        <v/>
      </c>
      <c r="L592" s="4">
        <f t="shared" si="31"/>
        <v>0</v>
      </c>
    </row>
    <row r="593" spans="1:12" x14ac:dyDescent="0.25">
      <c r="A593">
        <v>236</v>
      </c>
      <c r="B593" s="3">
        <v>41866</v>
      </c>
      <c r="C593" s="4">
        <v>21.25</v>
      </c>
      <c r="E593">
        <v>236</v>
      </c>
      <c r="F593" s="3">
        <v>41866</v>
      </c>
      <c r="G593" t="s">
        <v>211</v>
      </c>
      <c r="H593" s="18">
        <v>21.25</v>
      </c>
      <c r="J593" s="20" t="str">
        <f t="shared" si="30"/>
        <v/>
      </c>
      <c r="K593" t="str">
        <f t="shared" si="29"/>
        <v/>
      </c>
      <c r="L593" s="4">
        <f t="shared" si="31"/>
        <v>0</v>
      </c>
    </row>
    <row r="594" spans="1:12" x14ac:dyDescent="0.25">
      <c r="A594">
        <v>244</v>
      </c>
      <c r="B594" s="3">
        <v>41866</v>
      </c>
      <c r="C594" s="4">
        <v>289.3</v>
      </c>
      <c r="E594">
        <v>244</v>
      </c>
      <c r="F594" s="3">
        <v>41866</v>
      </c>
      <c r="G594" t="s">
        <v>311</v>
      </c>
      <c r="H594" s="18">
        <v>289.3</v>
      </c>
      <c r="J594" s="20" t="str">
        <f t="shared" si="30"/>
        <v/>
      </c>
      <c r="K594" t="str">
        <f t="shared" si="29"/>
        <v/>
      </c>
      <c r="L594" s="4">
        <f t="shared" si="31"/>
        <v>0</v>
      </c>
    </row>
    <row r="595" spans="1:12" x14ac:dyDescent="0.25">
      <c r="A595">
        <v>261</v>
      </c>
      <c r="B595" s="3">
        <v>41866</v>
      </c>
      <c r="C595" s="4">
        <v>800</v>
      </c>
      <c r="E595">
        <v>261</v>
      </c>
      <c r="F595" s="3">
        <v>41866</v>
      </c>
      <c r="G595" t="s">
        <v>22</v>
      </c>
      <c r="H595" s="18">
        <v>800</v>
      </c>
      <c r="J595" s="20" t="str">
        <f t="shared" si="30"/>
        <v/>
      </c>
      <c r="K595" t="str">
        <f t="shared" si="29"/>
        <v/>
      </c>
      <c r="L595" s="4">
        <f t="shared" si="31"/>
        <v>0</v>
      </c>
    </row>
    <row r="596" spans="1:12" x14ac:dyDescent="0.25">
      <c r="A596">
        <v>285</v>
      </c>
      <c r="B596" s="3">
        <v>41866</v>
      </c>
      <c r="C596" s="4">
        <v>76.5</v>
      </c>
      <c r="E596">
        <v>285</v>
      </c>
      <c r="F596" s="3">
        <v>41866</v>
      </c>
      <c r="G596" t="s">
        <v>102</v>
      </c>
      <c r="H596" s="18">
        <v>76.5</v>
      </c>
      <c r="J596" s="20" t="str">
        <f t="shared" si="30"/>
        <v/>
      </c>
      <c r="K596" t="str">
        <f t="shared" si="29"/>
        <v/>
      </c>
      <c r="L596" s="4">
        <f t="shared" si="31"/>
        <v>0</v>
      </c>
    </row>
    <row r="597" spans="1:12" x14ac:dyDescent="0.25">
      <c r="A597">
        <v>379</v>
      </c>
      <c r="B597" s="3">
        <v>41866</v>
      </c>
      <c r="C597" s="4">
        <v>2435</v>
      </c>
      <c r="E597">
        <v>379</v>
      </c>
      <c r="F597" s="3">
        <v>41866</v>
      </c>
      <c r="G597" t="s">
        <v>30</v>
      </c>
      <c r="H597" s="18">
        <v>0</v>
      </c>
      <c r="J597" s="20" t="str">
        <f t="shared" si="30"/>
        <v/>
      </c>
      <c r="K597" t="str">
        <f t="shared" si="29"/>
        <v/>
      </c>
      <c r="L597" s="4">
        <f t="shared" si="31"/>
        <v>2435</v>
      </c>
    </row>
    <row r="598" spans="1:12" x14ac:dyDescent="0.25">
      <c r="A598">
        <v>389</v>
      </c>
      <c r="B598" s="3">
        <v>41866</v>
      </c>
      <c r="C598" s="4">
        <v>1117.5</v>
      </c>
      <c r="E598">
        <v>389</v>
      </c>
      <c r="F598" s="3">
        <v>41866</v>
      </c>
      <c r="G598" t="s">
        <v>31</v>
      </c>
      <c r="H598" s="18">
        <v>1117.5</v>
      </c>
      <c r="J598" s="20" t="str">
        <f t="shared" si="30"/>
        <v/>
      </c>
      <c r="K598" t="str">
        <f t="shared" si="29"/>
        <v/>
      </c>
      <c r="L598" s="4">
        <f t="shared" si="31"/>
        <v>0</v>
      </c>
    </row>
    <row r="599" spans="1:12" x14ac:dyDescent="0.25">
      <c r="A599">
        <v>185</v>
      </c>
      <c r="B599" s="3">
        <v>41872</v>
      </c>
      <c r="C599" s="4">
        <v>1000</v>
      </c>
      <c r="E599">
        <v>185</v>
      </c>
      <c r="F599" s="3">
        <v>41872</v>
      </c>
      <c r="G599" t="s">
        <v>17</v>
      </c>
      <c r="H599" s="18">
        <v>1000</v>
      </c>
      <c r="J599" s="20" t="str">
        <f t="shared" ref="J599:J662" si="32">IF(E599=A599,"","CHECK")</f>
        <v/>
      </c>
      <c r="K599" t="str">
        <f t="shared" si="29"/>
        <v/>
      </c>
      <c r="L599" s="4">
        <f t="shared" ref="L599:L662" si="33">C599-H599</f>
        <v>0</v>
      </c>
    </row>
    <row r="600" spans="1:12" x14ac:dyDescent="0.25">
      <c r="A600">
        <v>28</v>
      </c>
      <c r="B600" s="3">
        <v>41873</v>
      </c>
      <c r="C600" s="4">
        <v>2872</v>
      </c>
      <c r="H600" s="18"/>
      <c r="J600" s="20" t="str">
        <f t="shared" si="32"/>
        <v>CHECK</v>
      </c>
      <c r="K600" t="str">
        <f t="shared" si="29"/>
        <v>CHECK</v>
      </c>
      <c r="L600" s="4">
        <f t="shared" si="33"/>
        <v>2872</v>
      </c>
    </row>
    <row r="601" spans="1:12" x14ac:dyDescent="0.25">
      <c r="A601">
        <v>41</v>
      </c>
      <c r="B601" s="3">
        <v>41873</v>
      </c>
      <c r="C601" s="4">
        <v>1566.3</v>
      </c>
      <c r="E601">
        <v>41</v>
      </c>
      <c r="F601" s="3">
        <v>41873</v>
      </c>
      <c r="G601" t="s">
        <v>10</v>
      </c>
      <c r="H601" s="18">
        <v>1566.3</v>
      </c>
      <c r="J601" s="20" t="str">
        <f t="shared" si="32"/>
        <v/>
      </c>
      <c r="K601" t="str">
        <f t="shared" si="29"/>
        <v/>
      </c>
      <c r="L601" s="4">
        <f t="shared" si="33"/>
        <v>0</v>
      </c>
    </row>
    <row r="602" spans="1:12" x14ac:dyDescent="0.25">
      <c r="A602">
        <v>63</v>
      </c>
      <c r="B602" s="3">
        <v>41873</v>
      </c>
      <c r="C602" s="4">
        <v>2985.08</v>
      </c>
      <c r="E602">
        <v>63</v>
      </c>
      <c r="F602" s="3">
        <v>41873</v>
      </c>
      <c r="G602" t="s">
        <v>181</v>
      </c>
      <c r="H602" s="18">
        <v>-663.68</v>
      </c>
      <c r="J602" s="20" t="str">
        <f t="shared" si="32"/>
        <v/>
      </c>
      <c r="K602" t="str">
        <f t="shared" si="29"/>
        <v/>
      </c>
      <c r="L602" s="4">
        <f t="shared" si="33"/>
        <v>3648.7599999999998</v>
      </c>
    </row>
    <row r="603" spans="1:12" x14ac:dyDescent="0.25">
      <c r="A603">
        <v>94</v>
      </c>
      <c r="B603" s="3">
        <v>41873</v>
      </c>
      <c r="C603" s="4">
        <v>1100</v>
      </c>
      <c r="E603">
        <v>94</v>
      </c>
      <c r="F603" s="3">
        <v>41873</v>
      </c>
      <c r="G603" t="s">
        <v>182</v>
      </c>
      <c r="H603" s="18">
        <v>1100</v>
      </c>
      <c r="J603" s="20" t="str">
        <f t="shared" si="32"/>
        <v/>
      </c>
      <c r="K603" t="str">
        <f t="shared" si="29"/>
        <v/>
      </c>
      <c r="L603" s="4">
        <f t="shared" si="33"/>
        <v>0</v>
      </c>
    </row>
    <row r="604" spans="1:12" x14ac:dyDescent="0.25">
      <c r="A604">
        <v>120</v>
      </c>
      <c r="B604" s="3">
        <v>41873</v>
      </c>
      <c r="C604" s="4">
        <v>1200</v>
      </c>
      <c r="E604">
        <v>120</v>
      </c>
      <c r="F604" s="3">
        <v>41873</v>
      </c>
      <c r="G604" t="s">
        <v>337</v>
      </c>
      <c r="H604" s="18">
        <v>1200</v>
      </c>
      <c r="J604" s="20" t="str">
        <f t="shared" si="32"/>
        <v/>
      </c>
      <c r="K604" t="str">
        <f t="shared" si="29"/>
        <v/>
      </c>
      <c r="L604" s="4">
        <f t="shared" si="33"/>
        <v>0</v>
      </c>
    </row>
    <row r="605" spans="1:12" x14ac:dyDescent="0.25">
      <c r="A605">
        <v>133</v>
      </c>
      <c r="B605" s="3">
        <v>41873</v>
      </c>
      <c r="C605" s="4">
        <v>1683.05</v>
      </c>
      <c r="E605">
        <v>133</v>
      </c>
      <c r="F605" s="3">
        <v>41873</v>
      </c>
      <c r="G605" t="s">
        <v>87</v>
      </c>
      <c r="H605" s="18">
        <v>1683.05</v>
      </c>
      <c r="J605" s="20" t="str">
        <f t="shared" si="32"/>
        <v/>
      </c>
      <c r="K605" t="str">
        <f t="shared" si="29"/>
        <v/>
      </c>
      <c r="L605" s="4">
        <f t="shared" si="33"/>
        <v>0</v>
      </c>
    </row>
    <row r="606" spans="1:12" x14ac:dyDescent="0.25">
      <c r="A606">
        <v>141</v>
      </c>
      <c r="B606" s="3">
        <v>41873</v>
      </c>
      <c r="C606" s="4">
        <v>306</v>
      </c>
      <c r="E606">
        <v>141</v>
      </c>
      <c r="F606" s="3">
        <v>41873</v>
      </c>
      <c r="G606" t="s">
        <v>196</v>
      </c>
      <c r="H606" s="18">
        <v>306</v>
      </c>
      <c r="J606" s="20" t="str">
        <f t="shared" si="32"/>
        <v/>
      </c>
      <c r="K606" t="str">
        <f t="shared" si="29"/>
        <v/>
      </c>
      <c r="L606" s="4">
        <f t="shared" si="33"/>
        <v>0</v>
      </c>
    </row>
    <row r="607" spans="1:12" x14ac:dyDescent="0.25">
      <c r="A607">
        <v>152</v>
      </c>
      <c r="B607" s="3">
        <v>41873</v>
      </c>
      <c r="C607" s="4">
        <v>1428</v>
      </c>
      <c r="E607">
        <v>152</v>
      </c>
      <c r="F607" s="3">
        <v>41873</v>
      </c>
      <c r="G607" t="s">
        <v>90</v>
      </c>
      <c r="H607" s="18">
        <v>1428</v>
      </c>
      <c r="J607" s="20" t="str">
        <f t="shared" si="32"/>
        <v/>
      </c>
      <c r="K607" t="str">
        <f t="shared" si="29"/>
        <v/>
      </c>
      <c r="L607" s="4">
        <f t="shared" si="33"/>
        <v>0</v>
      </c>
    </row>
    <row r="608" spans="1:12" x14ac:dyDescent="0.25">
      <c r="A608">
        <v>191</v>
      </c>
      <c r="B608" s="3">
        <v>41873</v>
      </c>
      <c r="C608" s="4">
        <v>-591.22</v>
      </c>
      <c r="E608">
        <v>191</v>
      </c>
      <c r="F608" s="3">
        <v>41873</v>
      </c>
      <c r="G608" t="s">
        <v>277</v>
      </c>
      <c r="H608" s="18">
        <v>-591.22</v>
      </c>
      <c r="J608" s="20" t="str">
        <f t="shared" si="32"/>
        <v/>
      </c>
      <c r="K608" t="str">
        <f t="shared" si="29"/>
        <v/>
      </c>
      <c r="L608" s="4">
        <f t="shared" si="33"/>
        <v>0</v>
      </c>
    </row>
    <row r="609" spans="1:12" x14ac:dyDescent="0.25">
      <c r="A609">
        <v>206</v>
      </c>
      <c r="B609" s="3">
        <v>41873</v>
      </c>
      <c r="C609" s="4">
        <v>568</v>
      </c>
      <c r="E609">
        <v>206</v>
      </c>
      <c r="F609" s="3">
        <v>41873</v>
      </c>
      <c r="G609" t="s">
        <v>334</v>
      </c>
      <c r="H609" s="18">
        <v>568</v>
      </c>
      <c r="J609" s="20" t="str">
        <f t="shared" si="32"/>
        <v/>
      </c>
      <c r="K609" t="str">
        <f t="shared" si="29"/>
        <v/>
      </c>
      <c r="L609" s="4">
        <f t="shared" si="33"/>
        <v>0</v>
      </c>
    </row>
    <row r="610" spans="1:12" x14ac:dyDescent="0.25">
      <c r="A610">
        <v>211</v>
      </c>
      <c r="B610" s="3">
        <v>41873</v>
      </c>
      <c r="C610" s="4">
        <v>75</v>
      </c>
      <c r="E610">
        <v>211</v>
      </c>
      <c r="F610" s="3">
        <v>41873</v>
      </c>
      <c r="G610" t="s">
        <v>96</v>
      </c>
      <c r="H610" s="18">
        <v>-850</v>
      </c>
      <c r="J610" s="20" t="str">
        <f t="shared" si="32"/>
        <v/>
      </c>
      <c r="K610" t="str">
        <f t="shared" si="29"/>
        <v/>
      </c>
      <c r="L610" s="4">
        <f t="shared" si="33"/>
        <v>925</v>
      </c>
    </row>
    <row r="611" spans="1:12" x14ac:dyDescent="0.25">
      <c r="A611">
        <v>213</v>
      </c>
      <c r="B611" s="3">
        <v>41873</v>
      </c>
      <c r="C611" s="4">
        <v>139.88</v>
      </c>
      <c r="E611">
        <v>213</v>
      </c>
      <c r="F611" s="3">
        <v>41873</v>
      </c>
      <c r="G611" t="s">
        <v>338</v>
      </c>
      <c r="H611" s="18">
        <v>139.88</v>
      </c>
      <c r="J611" s="20" t="str">
        <f t="shared" si="32"/>
        <v/>
      </c>
      <c r="K611" t="str">
        <f t="shared" si="29"/>
        <v/>
      </c>
      <c r="L611" s="4">
        <f t="shared" si="33"/>
        <v>0</v>
      </c>
    </row>
    <row r="612" spans="1:12" x14ac:dyDescent="0.25">
      <c r="A612">
        <v>214</v>
      </c>
      <c r="B612" s="3">
        <v>41873</v>
      </c>
      <c r="C612" s="4">
        <v>500</v>
      </c>
      <c r="E612">
        <v>214</v>
      </c>
      <c r="F612" s="3">
        <v>41873</v>
      </c>
      <c r="G612" t="s">
        <v>323</v>
      </c>
      <c r="H612" s="18">
        <v>500</v>
      </c>
      <c r="J612" s="20" t="str">
        <f t="shared" si="32"/>
        <v/>
      </c>
      <c r="K612" t="str">
        <f t="shared" si="29"/>
        <v/>
      </c>
      <c r="L612" s="4">
        <f t="shared" si="33"/>
        <v>0</v>
      </c>
    </row>
    <row r="613" spans="1:12" x14ac:dyDescent="0.25">
      <c r="A613">
        <v>218</v>
      </c>
      <c r="B613" s="3">
        <v>41873</v>
      </c>
      <c r="C613" s="4">
        <v>1263.27</v>
      </c>
      <c r="E613">
        <v>218</v>
      </c>
      <c r="F613" s="3">
        <v>41873</v>
      </c>
      <c r="G613" t="s">
        <v>233</v>
      </c>
      <c r="H613" s="18">
        <v>1263.28</v>
      </c>
      <c r="J613" s="20" t="str">
        <f t="shared" si="32"/>
        <v/>
      </c>
      <c r="K613" t="str">
        <f t="shared" si="29"/>
        <v/>
      </c>
      <c r="L613" s="4">
        <f t="shared" si="33"/>
        <v>-9.9999999999909051E-3</v>
      </c>
    </row>
    <row r="614" spans="1:12" x14ac:dyDescent="0.25">
      <c r="A614">
        <v>224</v>
      </c>
      <c r="B614" s="3">
        <v>41873</v>
      </c>
      <c r="C614" s="4">
        <v>400</v>
      </c>
      <c r="E614">
        <v>224</v>
      </c>
      <c r="F614" s="3">
        <v>41873</v>
      </c>
      <c r="G614" t="s">
        <v>335</v>
      </c>
      <c r="H614" s="18">
        <v>400</v>
      </c>
      <c r="J614" s="20" t="str">
        <f t="shared" si="32"/>
        <v/>
      </c>
      <c r="K614" t="str">
        <f t="shared" si="29"/>
        <v/>
      </c>
      <c r="L614" s="4">
        <f t="shared" si="33"/>
        <v>0</v>
      </c>
    </row>
    <row r="615" spans="1:12" x14ac:dyDescent="0.25">
      <c r="A615">
        <v>227</v>
      </c>
      <c r="B615" s="3">
        <v>41873</v>
      </c>
      <c r="C615" s="4">
        <v>750</v>
      </c>
      <c r="E615">
        <v>227</v>
      </c>
      <c r="F615" s="3">
        <v>41873</v>
      </c>
      <c r="G615" t="s">
        <v>331</v>
      </c>
      <c r="H615" s="18">
        <v>750</v>
      </c>
      <c r="J615" s="20" t="str">
        <f t="shared" si="32"/>
        <v/>
      </c>
      <c r="K615" t="str">
        <f t="shared" si="29"/>
        <v/>
      </c>
      <c r="L615" s="4">
        <f t="shared" si="33"/>
        <v>0</v>
      </c>
    </row>
    <row r="616" spans="1:12" x14ac:dyDescent="0.25">
      <c r="A616">
        <v>230</v>
      </c>
      <c r="B616" s="3">
        <v>41873</v>
      </c>
      <c r="C616" s="4">
        <v>900</v>
      </c>
      <c r="E616">
        <v>230</v>
      </c>
      <c r="F616" s="3">
        <v>41873</v>
      </c>
      <c r="G616" t="s">
        <v>316</v>
      </c>
      <c r="H616" s="18">
        <v>900</v>
      </c>
      <c r="J616" s="20" t="str">
        <f t="shared" si="32"/>
        <v/>
      </c>
      <c r="K616" t="str">
        <f t="shared" si="29"/>
        <v/>
      </c>
      <c r="L616" s="4">
        <f t="shared" si="33"/>
        <v>0</v>
      </c>
    </row>
    <row r="617" spans="1:12" x14ac:dyDescent="0.25">
      <c r="A617">
        <v>231</v>
      </c>
      <c r="B617" s="3">
        <v>41873</v>
      </c>
      <c r="C617" s="4">
        <v>475</v>
      </c>
      <c r="E617">
        <v>231</v>
      </c>
      <c r="F617" s="3">
        <v>41873</v>
      </c>
      <c r="G617" t="s">
        <v>310</v>
      </c>
      <c r="H617" s="18">
        <v>475</v>
      </c>
      <c r="J617" s="20" t="str">
        <f t="shared" si="32"/>
        <v/>
      </c>
      <c r="K617" t="str">
        <f t="shared" si="29"/>
        <v/>
      </c>
      <c r="L617" s="4">
        <f t="shared" si="33"/>
        <v>0</v>
      </c>
    </row>
    <row r="618" spans="1:12" x14ac:dyDescent="0.25">
      <c r="A618">
        <v>232</v>
      </c>
      <c r="B618" s="3">
        <v>41873</v>
      </c>
      <c r="C618" s="4">
        <v>737.76</v>
      </c>
      <c r="E618">
        <v>232</v>
      </c>
      <c r="F618" s="3">
        <v>41873</v>
      </c>
      <c r="G618" t="s">
        <v>100</v>
      </c>
      <c r="H618" s="18">
        <v>737.76</v>
      </c>
      <c r="J618" s="20" t="str">
        <f t="shared" si="32"/>
        <v/>
      </c>
      <c r="K618" t="str">
        <f t="shared" si="29"/>
        <v/>
      </c>
      <c r="L618" s="4">
        <f t="shared" si="33"/>
        <v>0</v>
      </c>
    </row>
    <row r="619" spans="1:12" x14ac:dyDescent="0.25">
      <c r="A619">
        <v>233</v>
      </c>
      <c r="B619" s="3">
        <v>41873</v>
      </c>
      <c r="C619" s="4">
        <v>1700</v>
      </c>
      <c r="E619">
        <v>233</v>
      </c>
      <c r="F619" s="3">
        <v>41873</v>
      </c>
      <c r="G619" t="s">
        <v>294</v>
      </c>
      <c r="H619" s="18">
        <v>1700</v>
      </c>
      <c r="J619" s="20" t="str">
        <f t="shared" si="32"/>
        <v/>
      </c>
      <c r="K619" t="str">
        <f t="shared" si="29"/>
        <v/>
      </c>
      <c r="L619" s="4">
        <f t="shared" si="33"/>
        <v>0</v>
      </c>
    </row>
    <row r="620" spans="1:12" x14ac:dyDescent="0.25">
      <c r="A620">
        <v>234</v>
      </c>
      <c r="B620" s="3">
        <v>41873</v>
      </c>
      <c r="C620" s="4">
        <v>950</v>
      </c>
      <c r="E620">
        <v>234</v>
      </c>
      <c r="F620" s="3">
        <v>41873</v>
      </c>
      <c r="G620" t="s">
        <v>259</v>
      </c>
      <c r="H620" s="18">
        <v>950</v>
      </c>
      <c r="J620" s="20" t="str">
        <f t="shared" si="32"/>
        <v/>
      </c>
      <c r="K620" t="str">
        <f t="shared" si="29"/>
        <v/>
      </c>
      <c r="L620" s="4">
        <f t="shared" si="33"/>
        <v>0</v>
      </c>
    </row>
    <row r="621" spans="1:12" x14ac:dyDescent="0.25">
      <c r="A621">
        <v>236</v>
      </c>
      <c r="B621" s="3">
        <v>41873</v>
      </c>
      <c r="C621" s="4">
        <v>925</v>
      </c>
      <c r="E621">
        <v>236</v>
      </c>
      <c r="F621" s="3">
        <v>41873</v>
      </c>
      <c r="G621" t="s">
        <v>211</v>
      </c>
      <c r="H621" s="18">
        <v>925</v>
      </c>
      <c r="J621" s="20" t="str">
        <f t="shared" si="32"/>
        <v/>
      </c>
      <c r="K621" t="str">
        <f t="shared" si="29"/>
        <v/>
      </c>
      <c r="L621" s="4">
        <f t="shared" si="33"/>
        <v>0</v>
      </c>
    </row>
    <row r="622" spans="1:12" x14ac:dyDescent="0.25">
      <c r="A622">
        <v>242</v>
      </c>
      <c r="B622" s="3">
        <v>41873</v>
      </c>
      <c r="C622" s="4">
        <v>408</v>
      </c>
      <c r="E622">
        <v>242</v>
      </c>
      <c r="F622" s="3">
        <v>41873</v>
      </c>
      <c r="G622" t="s">
        <v>339</v>
      </c>
      <c r="H622" s="18">
        <v>408</v>
      </c>
      <c r="J622" s="20" t="str">
        <f t="shared" si="32"/>
        <v/>
      </c>
      <c r="K622" t="str">
        <f t="shared" si="29"/>
        <v/>
      </c>
      <c r="L622" s="4">
        <f t="shared" si="33"/>
        <v>0</v>
      </c>
    </row>
    <row r="623" spans="1:12" x14ac:dyDescent="0.25">
      <c r="A623">
        <v>244</v>
      </c>
      <c r="B623" s="3">
        <v>41873</v>
      </c>
      <c r="C623" s="4">
        <v>571.42999999999995</v>
      </c>
      <c r="E623">
        <v>244</v>
      </c>
      <c r="F623" s="3">
        <v>41873</v>
      </c>
      <c r="G623" t="s">
        <v>311</v>
      </c>
      <c r="H623" s="18">
        <v>571.42999999999995</v>
      </c>
      <c r="J623" s="20" t="str">
        <f t="shared" si="32"/>
        <v/>
      </c>
      <c r="K623" t="str">
        <f t="shared" si="29"/>
        <v/>
      </c>
      <c r="L623" s="4">
        <f t="shared" si="33"/>
        <v>0</v>
      </c>
    </row>
    <row r="624" spans="1:12" x14ac:dyDescent="0.25">
      <c r="A624">
        <v>245</v>
      </c>
      <c r="B624" s="3">
        <v>41873</v>
      </c>
      <c r="C624" s="4">
        <v>1171.43</v>
      </c>
      <c r="E624">
        <v>245</v>
      </c>
      <c r="F624" s="3">
        <v>41873</v>
      </c>
      <c r="G624" t="s">
        <v>340</v>
      </c>
      <c r="H624" s="18">
        <v>1171.43</v>
      </c>
      <c r="J624" s="20" t="str">
        <f t="shared" si="32"/>
        <v/>
      </c>
      <c r="K624" t="str">
        <f t="shared" si="29"/>
        <v/>
      </c>
      <c r="L624" s="4">
        <f t="shared" si="33"/>
        <v>0</v>
      </c>
    </row>
    <row r="625" spans="1:12" x14ac:dyDescent="0.25">
      <c r="A625">
        <v>247</v>
      </c>
      <c r="B625" s="3">
        <v>41873</v>
      </c>
      <c r="C625" s="4">
        <v>1000</v>
      </c>
      <c r="E625">
        <v>247</v>
      </c>
      <c r="F625" s="3">
        <v>41873</v>
      </c>
      <c r="G625" t="s">
        <v>341</v>
      </c>
      <c r="H625" s="18">
        <v>2000</v>
      </c>
      <c r="J625" s="20" t="str">
        <f t="shared" si="32"/>
        <v/>
      </c>
      <c r="K625" t="str">
        <f t="shared" si="29"/>
        <v/>
      </c>
      <c r="L625" s="4">
        <f t="shared" si="33"/>
        <v>-1000</v>
      </c>
    </row>
    <row r="626" spans="1:12" x14ac:dyDescent="0.25">
      <c r="A626">
        <v>248</v>
      </c>
      <c r="B626" s="3">
        <v>41873</v>
      </c>
      <c r="C626" s="4">
        <v>790.5</v>
      </c>
      <c r="E626">
        <v>248</v>
      </c>
      <c r="F626" s="3">
        <v>41873</v>
      </c>
      <c r="G626" t="s">
        <v>19</v>
      </c>
      <c r="H626" s="18">
        <v>1938</v>
      </c>
      <c r="J626" s="20" t="str">
        <f t="shared" si="32"/>
        <v/>
      </c>
      <c r="K626" t="str">
        <f t="shared" si="29"/>
        <v/>
      </c>
      <c r="L626" s="4">
        <f t="shared" si="33"/>
        <v>-1147.5</v>
      </c>
    </row>
    <row r="627" spans="1:12" x14ac:dyDescent="0.25">
      <c r="A627">
        <v>250</v>
      </c>
      <c r="B627" s="3">
        <v>41873</v>
      </c>
      <c r="C627" s="4">
        <v>625</v>
      </c>
      <c r="E627">
        <v>250</v>
      </c>
      <c r="F627" s="3">
        <v>41873</v>
      </c>
      <c r="G627" t="s">
        <v>212</v>
      </c>
      <c r="H627" s="18">
        <v>625</v>
      </c>
      <c r="J627" s="20" t="str">
        <f t="shared" si="32"/>
        <v/>
      </c>
      <c r="K627" t="str">
        <f t="shared" si="29"/>
        <v/>
      </c>
      <c r="L627" s="4">
        <f t="shared" si="33"/>
        <v>0</v>
      </c>
    </row>
    <row r="628" spans="1:12" x14ac:dyDescent="0.25">
      <c r="A628">
        <v>254</v>
      </c>
      <c r="B628" s="3">
        <v>41873</v>
      </c>
      <c r="C628" s="4">
        <v>3575</v>
      </c>
      <c r="E628">
        <v>254</v>
      </c>
      <c r="F628" s="3">
        <v>41873</v>
      </c>
      <c r="G628" t="s">
        <v>317</v>
      </c>
      <c r="H628" s="18">
        <v>3575</v>
      </c>
      <c r="J628" s="20" t="str">
        <f t="shared" si="32"/>
        <v/>
      </c>
      <c r="K628" t="str">
        <f t="shared" si="29"/>
        <v/>
      </c>
      <c r="L628" s="4">
        <f t="shared" si="33"/>
        <v>0</v>
      </c>
    </row>
    <row r="629" spans="1:12" x14ac:dyDescent="0.25">
      <c r="A629">
        <v>260</v>
      </c>
      <c r="B629" s="3">
        <v>41873</v>
      </c>
      <c r="C629" s="4">
        <v>575</v>
      </c>
      <c r="E629">
        <v>260</v>
      </c>
      <c r="F629" s="3">
        <v>41873</v>
      </c>
      <c r="G629" t="s">
        <v>327</v>
      </c>
      <c r="H629" s="18">
        <v>575</v>
      </c>
      <c r="J629" s="20" t="str">
        <f t="shared" si="32"/>
        <v/>
      </c>
      <c r="K629" t="str">
        <f t="shared" si="29"/>
        <v/>
      </c>
      <c r="L629" s="4">
        <f t="shared" si="33"/>
        <v>0</v>
      </c>
    </row>
    <row r="630" spans="1:12" x14ac:dyDescent="0.25">
      <c r="A630">
        <v>261</v>
      </c>
      <c r="B630" s="3">
        <v>41873</v>
      </c>
      <c r="C630" s="4">
        <v>500</v>
      </c>
      <c r="E630">
        <v>261</v>
      </c>
      <c r="F630" s="3">
        <v>41873</v>
      </c>
      <c r="G630" t="s">
        <v>22</v>
      </c>
      <c r="H630" s="18">
        <v>500</v>
      </c>
      <c r="J630" s="20" t="str">
        <f t="shared" si="32"/>
        <v/>
      </c>
      <c r="K630" t="str">
        <f t="shared" si="29"/>
        <v/>
      </c>
      <c r="L630" s="4">
        <f t="shared" si="33"/>
        <v>0</v>
      </c>
    </row>
    <row r="631" spans="1:12" x14ac:dyDescent="0.25">
      <c r="A631">
        <v>269</v>
      </c>
      <c r="B631" s="3">
        <v>41873</v>
      </c>
      <c r="C631" s="4">
        <v>1000</v>
      </c>
      <c r="E631">
        <v>269</v>
      </c>
      <c r="F631" s="3">
        <v>41873</v>
      </c>
      <c r="G631" t="s">
        <v>254</v>
      </c>
      <c r="H631" s="18">
        <v>1000</v>
      </c>
      <c r="J631" s="20" t="str">
        <f t="shared" si="32"/>
        <v/>
      </c>
      <c r="K631" t="str">
        <f t="shared" si="29"/>
        <v/>
      </c>
      <c r="L631" s="4">
        <f t="shared" si="33"/>
        <v>0</v>
      </c>
    </row>
    <row r="632" spans="1:12" x14ac:dyDescent="0.25">
      <c r="A632">
        <v>276</v>
      </c>
      <c r="B632" s="3">
        <v>41873</v>
      </c>
      <c r="C632" s="4">
        <v>2836</v>
      </c>
      <c r="E632">
        <v>276</v>
      </c>
      <c r="F632" s="3">
        <v>41873</v>
      </c>
      <c r="G632" t="s">
        <v>342</v>
      </c>
      <c r="H632" s="18">
        <v>0</v>
      </c>
      <c r="J632" s="20" t="str">
        <f t="shared" si="32"/>
        <v/>
      </c>
      <c r="K632" t="str">
        <f t="shared" si="29"/>
        <v/>
      </c>
      <c r="L632" s="4">
        <f t="shared" si="33"/>
        <v>2836</v>
      </c>
    </row>
    <row r="633" spans="1:12" x14ac:dyDescent="0.25">
      <c r="A633">
        <v>282</v>
      </c>
      <c r="B633" s="3">
        <v>41873</v>
      </c>
      <c r="C633" s="4">
        <v>25</v>
      </c>
      <c r="E633">
        <v>282</v>
      </c>
      <c r="F633" s="3">
        <v>41873</v>
      </c>
      <c r="G633" t="s">
        <v>23</v>
      </c>
      <c r="H633" s="18">
        <v>25</v>
      </c>
      <c r="J633" s="20" t="str">
        <f t="shared" si="32"/>
        <v/>
      </c>
      <c r="K633" t="str">
        <f t="shared" si="29"/>
        <v/>
      </c>
      <c r="L633" s="4">
        <f t="shared" si="33"/>
        <v>0</v>
      </c>
    </row>
    <row r="634" spans="1:12" x14ac:dyDescent="0.25">
      <c r="A634">
        <v>286</v>
      </c>
      <c r="B634" s="3">
        <v>41873</v>
      </c>
      <c r="C634" s="4">
        <v>45</v>
      </c>
      <c r="E634">
        <v>286</v>
      </c>
      <c r="F634" s="3">
        <v>41873</v>
      </c>
      <c r="G634" t="s">
        <v>266</v>
      </c>
      <c r="H634" s="18">
        <v>45</v>
      </c>
      <c r="J634" s="20" t="str">
        <f t="shared" si="32"/>
        <v/>
      </c>
      <c r="K634" t="str">
        <f t="shared" si="29"/>
        <v/>
      </c>
      <c r="L634" s="4">
        <f t="shared" si="33"/>
        <v>0</v>
      </c>
    </row>
    <row r="635" spans="1:12" x14ac:dyDescent="0.25">
      <c r="A635">
        <v>295</v>
      </c>
      <c r="B635" s="3">
        <v>41873</v>
      </c>
      <c r="C635" s="4">
        <v>1000</v>
      </c>
      <c r="E635">
        <v>295</v>
      </c>
      <c r="F635" s="3">
        <v>41873</v>
      </c>
      <c r="G635" t="s">
        <v>103</v>
      </c>
      <c r="H635" s="18">
        <v>1000</v>
      </c>
      <c r="J635" s="20" t="str">
        <f t="shared" si="32"/>
        <v/>
      </c>
      <c r="K635" t="str">
        <f t="shared" si="29"/>
        <v/>
      </c>
      <c r="L635" s="4">
        <f t="shared" si="33"/>
        <v>0</v>
      </c>
    </row>
    <row r="636" spans="1:12" x14ac:dyDescent="0.25">
      <c r="A636">
        <v>302</v>
      </c>
      <c r="B636" s="3">
        <v>41873</v>
      </c>
      <c r="C636" s="4">
        <v>800</v>
      </c>
      <c r="E636">
        <v>302</v>
      </c>
      <c r="F636" s="3">
        <v>41873</v>
      </c>
      <c r="G636" t="s">
        <v>104</v>
      </c>
      <c r="H636" s="18">
        <v>800</v>
      </c>
      <c r="J636" s="20" t="str">
        <f t="shared" si="32"/>
        <v/>
      </c>
      <c r="K636" t="str">
        <f t="shared" si="29"/>
        <v/>
      </c>
      <c r="L636" s="4">
        <f t="shared" si="33"/>
        <v>0</v>
      </c>
    </row>
    <row r="637" spans="1:12" x14ac:dyDescent="0.25">
      <c r="A637">
        <v>324</v>
      </c>
      <c r="B637" s="3">
        <v>41873</v>
      </c>
      <c r="C637" s="4">
        <v>700</v>
      </c>
      <c r="E637">
        <v>324</v>
      </c>
      <c r="F637" s="3">
        <v>41873</v>
      </c>
      <c r="G637" t="s">
        <v>106</v>
      </c>
      <c r="H637" s="18">
        <v>700</v>
      </c>
      <c r="J637" s="20" t="str">
        <f t="shared" si="32"/>
        <v/>
      </c>
      <c r="K637" t="str">
        <f t="shared" si="29"/>
        <v/>
      </c>
      <c r="L637" s="4">
        <f t="shared" si="33"/>
        <v>0</v>
      </c>
    </row>
    <row r="638" spans="1:12" x14ac:dyDescent="0.25">
      <c r="A638">
        <v>352</v>
      </c>
      <c r="B638" s="3">
        <v>41873</v>
      </c>
      <c r="C638" s="4">
        <v>250</v>
      </c>
      <c r="E638">
        <v>352</v>
      </c>
      <c r="F638" s="3">
        <v>41873</v>
      </c>
      <c r="G638" t="s">
        <v>278</v>
      </c>
      <c r="H638" s="18">
        <v>250</v>
      </c>
      <c r="J638" s="20" t="str">
        <f t="shared" si="32"/>
        <v/>
      </c>
      <c r="K638" t="str">
        <f t="shared" si="29"/>
        <v/>
      </c>
      <c r="L638" s="4">
        <f t="shared" si="33"/>
        <v>0</v>
      </c>
    </row>
    <row r="639" spans="1:12" x14ac:dyDescent="0.25">
      <c r="A639">
        <v>360</v>
      </c>
      <c r="B639" s="3">
        <v>41873</v>
      </c>
      <c r="C639" s="4">
        <v>300</v>
      </c>
      <c r="E639">
        <v>360</v>
      </c>
      <c r="F639" s="3">
        <v>41873</v>
      </c>
      <c r="G639" t="s">
        <v>343</v>
      </c>
      <c r="H639" s="18">
        <v>300</v>
      </c>
      <c r="J639" s="20" t="str">
        <f t="shared" si="32"/>
        <v/>
      </c>
      <c r="K639" t="str">
        <f t="shared" si="29"/>
        <v/>
      </c>
      <c r="L639" s="4">
        <f t="shared" si="33"/>
        <v>0</v>
      </c>
    </row>
    <row r="640" spans="1:12" x14ac:dyDescent="0.25">
      <c r="A640">
        <v>368</v>
      </c>
      <c r="B640" s="3">
        <v>41873</v>
      </c>
      <c r="C640" s="4">
        <v>841.5</v>
      </c>
      <c r="E640">
        <v>368</v>
      </c>
      <c r="F640" s="3">
        <v>41873</v>
      </c>
      <c r="G640" t="s">
        <v>344</v>
      </c>
      <c r="H640" s="18">
        <v>841.5</v>
      </c>
      <c r="J640" s="20" t="str">
        <f t="shared" si="32"/>
        <v/>
      </c>
      <c r="K640" t="str">
        <f t="shared" si="29"/>
        <v/>
      </c>
      <c r="L640" s="4">
        <f t="shared" si="33"/>
        <v>0</v>
      </c>
    </row>
    <row r="641" spans="1:12" x14ac:dyDescent="0.25">
      <c r="A641">
        <v>370</v>
      </c>
      <c r="B641" s="3">
        <v>41873</v>
      </c>
      <c r="C641" s="4">
        <v>382.5</v>
      </c>
      <c r="E641">
        <v>370</v>
      </c>
      <c r="F641" s="3">
        <v>41873</v>
      </c>
      <c r="G641" t="s">
        <v>180</v>
      </c>
      <c r="H641" s="18">
        <v>382.5</v>
      </c>
      <c r="J641" s="20" t="str">
        <f t="shared" si="32"/>
        <v/>
      </c>
      <c r="K641" t="str">
        <f t="shared" si="29"/>
        <v/>
      </c>
      <c r="L641" s="4">
        <f t="shared" si="33"/>
        <v>0</v>
      </c>
    </row>
    <row r="642" spans="1:12" x14ac:dyDescent="0.25">
      <c r="A642">
        <v>389</v>
      </c>
      <c r="B642" s="3">
        <v>41873</v>
      </c>
      <c r="C642" s="4">
        <v>1125</v>
      </c>
      <c r="E642">
        <v>389</v>
      </c>
      <c r="F642" s="3">
        <v>41873</v>
      </c>
      <c r="G642" t="s">
        <v>31</v>
      </c>
      <c r="H642" s="18">
        <v>1125</v>
      </c>
      <c r="J642" s="20" t="str">
        <f t="shared" si="32"/>
        <v/>
      </c>
      <c r="K642" t="str">
        <f t="shared" si="29"/>
        <v/>
      </c>
      <c r="L642" s="4">
        <f t="shared" si="33"/>
        <v>0</v>
      </c>
    </row>
    <row r="643" spans="1:12" x14ac:dyDescent="0.25">
      <c r="A643">
        <v>395</v>
      </c>
      <c r="B643" s="3">
        <v>41873</v>
      </c>
      <c r="C643" s="4">
        <v>500</v>
      </c>
      <c r="E643">
        <v>395</v>
      </c>
      <c r="F643" s="3">
        <v>41873</v>
      </c>
      <c r="G643" t="s">
        <v>332</v>
      </c>
      <c r="H643" s="18">
        <v>500</v>
      </c>
      <c r="J643" s="20" t="str">
        <f t="shared" si="32"/>
        <v/>
      </c>
      <c r="K643" t="str">
        <f t="shared" ref="K643:K706" si="34">IF(F643=B643,"","CHECK")</f>
        <v/>
      </c>
      <c r="L643" s="4">
        <f t="shared" si="33"/>
        <v>0</v>
      </c>
    </row>
    <row r="644" spans="1:12" x14ac:dyDescent="0.25">
      <c r="A644">
        <v>397</v>
      </c>
      <c r="B644" s="3">
        <v>41873</v>
      </c>
      <c r="C644" s="4">
        <v>500</v>
      </c>
      <c r="E644">
        <v>397</v>
      </c>
      <c r="F644" s="3">
        <v>41873</v>
      </c>
      <c r="G644" t="s">
        <v>287</v>
      </c>
      <c r="H644" s="18">
        <v>500</v>
      </c>
      <c r="J644" s="20" t="str">
        <f t="shared" si="32"/>
        <v/>
      </c>
      <c r="K644" t="str">
        <f t="shared" si="34"/>
        <v/>
      </c>
      <c r="L644" s="4">
        <f t="shared" si="33"/>
        <v>0</v>
      </c>
    </row>
    <row r="645" spans="1:12" x14ac:dyDescent="0.25">
      <c r="A645">
        <v>401</v>
      </c>
      <c r="B645" s="3">
        <v>41873</v>
      </c>
      <c r="C645" s="4">
        <v>1175</v>
      </c>
      <c r="E645">
        <v>401</v>
      </c>
      <c r="F645" s="3">
        <v>41873</v>
      </c>
      <c r="G645" t="s">
        <v>184</v>
      </c>
      <c r="H645" s="18">
        <v>1175</v>
      </c>
      <c r="J645" s="20" t="str">
        <f t="shared" si="32"/>
        <v/>
      </c>
      <c r="K645" t="str">
        <f t="shared" si="34"/>
        <v/>
      </c>
      <c r="L645" s="4">
        <f t="shared" si="33"/>
        <v>0</v>
      </c>
    </row>
    <row r="646" spans="1:12" x14ac:dyDescent="0.25">
      <c r="A646">
        <v>404</v>
      </c>
      <c r="B646" s="3">
        <v>41873</v>
      </c>
      <c r="C646" s="4">
        <v>400</v>
      </c>
      <c r="E646">
        <v>404</v>
      </c>
      <c r="F646" s="3">
        <v>41873</v>
      </c>
      <c r="G646" t="s">
        <v>308</v>
      </c>
      <c r="H646" s="18">
        <v>400</v>
      </c>
      <c r="J646" s="20" t="str">
        <f t="shared" si="32"/>
        <v/>
      </c>
      <c r="K646" t="str">
        <f t="shared" si="34"/>
        <v/>
      </c>
      <c r="L646" s="4">
        <f t="shared" si="33"/>
        <v>0</v>
      </c>
    </row>
    <row r="647" spans="1:12" x14ac:dyDescent="0.25">
      <c r="A647">
        <v>405</v>
      </c>
      <c r="B647" s="3">
        <v>41873</v>
      </c>
      <c r="C647" s="4">
        <v>650</v>
      </c>
      <c r="E647">
        <v>405</v>
      </c>
      <c r="F647" s="3">
        <v>41873</v>
      </c>
      <c r="G647" t="s">
        <v>112</v>
      </c>
      <c r="H647" s="18">
        <v>650</v>
      </c>
      <c r="J647" s="20" t="str">
        <f t="shared" si="32"/>
        <v/>
      </c>
      <c r="K647" t="str">
        <f t="shared" si="34"/>
        <v/>
      </c>
      <c r="L647" s="4">
        <f t="shared" si="33"/>
        <v>0</v>
      </c>
    </row>
    <row r="648" spans="1:12" x14ac:dyDescent="0.25">
      <c r="A648">
        <v>407</v>
      </c>
      <c r="B648" s="3">
        <v>41873</v>
      </c>
      <c r="C648" s="4">
        <v>333.86</v>
      </c>
      <c r="E648">
        <v>407</v>
      </c>
      <c r="F648" s="3">
        <v>41873</v>
      </c>
      <c r="G648" t="s">
        <v>113</v>
      </c>
      <c r="H648" s="18">
        <v>333.86</v>
      </c>
      <c r="J648" s="20" t="str">
        <f t="shared" si="32"/>
        <v/>
      </c>
      <c r="K648" t="str">
        <f t="shared" si="34"/>
        <v/>
      </c>
      <c r="L648" s="4">
        <f t="shared" si="33"/>
        <v>0</v>
      </c>
    </row>
    <row r="649" spans="1:12" x14ac:dyDescent="0.25">
      <c r="A649">
        <v>415</v>
      </c>
      <c r="B649" s="3">
        <v>41873</v>
      </c>
      <c r="C649" s="4">
        <v>875</v>
      </c>
      <c r="E649">
        <v>415</v>
      </c>
      <c r="F649" s="3">
        <v>41873</v>
      </c>
      <c r="G649" t="s">
        <v>345</v>
      </c>
      <c r="H649" s="18">
        <v>875</v>
      </c>
      <c r="J649" s="20" t="str">
        <f t="shared" si="32"/>
        <v/>
      </c>
      <c r="K649" t="str">
        <f t="shared" si="34"/>
        <v/>
      </c>
      <c r="L649" s="4">
        <f t="shared" si="33"/>
        <v>0</v>
      </c>
    </row>
    <row r="650" spans="1:12" x14ac:dyDescent="0.25">
      <c r="A650">
        <v>418</v>
      </c>
      <c r="B650" s="3">
        <v>41873</v>
      </c>
      <c r="C650" s="4">
        <v>1555.5</v>
      </c>
      <c r="E650">
        <v>418</v>
      </c>
      <c r="F650" s="3">
        <v>41873</v>
      </c>
      <c r="G650" t="s">
        <v>346</v>
      </c>
      <c r="H650" s="18">
        <v>1555.5</v>
      </c>
      <c r="J650" s="20" t="str">
        <f t="shared" si="32"/>
        <v/>
      </c>
      <c r="K650" t="str">
        <f t="shared" si="34"/>
        <v/>
      </c>
      <c r="L650" s="4">
        <f t="shared" si="33"/>
        <v>0</v>
      </c>
    </row>
    <row r="651" spans="1:12" x14ac:dyDescent="0.25">
      <c r="A651">
        <v>465</v>
      </c>
      <c r="B651" s="3">
        <v>41873</v>
      </c>
      <c r="C651" s="4">
        <v>1050</v>
      </c>
      <c r="E651">
        <v>465</v>
      </c>
      <c r="F651" s="3">
        <v>41873</v>
      </c>
      <c r="G651" t="s">
        <v>119</v>
      </c>
      <c r="H651" s="18">
        <v>1050</v>
      </c>
      <c r="J651" s="20" t="str">
        <f t="shared" si="32"/>
        <v/>
      </c>
      <c r="K651" t="str">
        <f t="shared" si="34"/>
        <v/>
      </c>
      <c r="L651" s="4">
        <f t="shared" si="33"/>
        <v>0</v>
      </c>
    </row>
    <row r="652" spans="1:12" x14ac:dyDescent="0.25">
      <c r="A652">
        <v>472</v>
      </c>
      <c r="B652" s="3">
        <v>41873</v>
      </c>
      <c r="C652" s="4">
        <v>205</v>
      </c>
      <c r="E652">
        <v>472</v>
      </c>
      <c r="F652" s="3">
        <v>41873</v>
      </c>
      <c r="G652" t="s">
        <v>279</v>
      </c>
      <c r="H652" s="18">
        <v>205</v>
      </c>
      <c r="J652" s="20" t="str">
        <f t="shared" si="32"/>
        <v/>
      </c>
      <c r="K652" t="str">
        <f t="shared" si="34"/>
        <v/>
      </c>
      <c r="L652" s="4">
        <f t="shared" si="33"/>
        <v>0</v>
      </c>
    </row>
    <row r="653" spans="1:12" x14ac:dyDescent="0.25">
      <c r="A653">
        <v>480</v>
      </c>
      <c r="B653" s="3">
        <v>41873</v>
      </c>
      <c r="C653" s="4">
        <v>1500</v>
      </c>
      <c r="E653">
        <v>480</v>
      </c>
      <c r="F653" s="3">
        <v>41873</v>
      </c>
      <c r="G653" t="s">
        <v>34</v>
      </c>
      <c r="H653" s="18">
        <v>1500</v>
      </c>
      <c r="J653" s="20" t="str">
        <f t="shared" si="32"/>
        <v/>
      </c>
      <c r="K653" t="str">
        <f t="shared" si="34"/>
        <v/>
      </c>
      <c r="L653" s="4">
        <f t="shared" si="33"/>
        <v>0</v>
      </c>
    </row>
    <row r="654" spans="1:12" x14ac:dyDescent="0.25">
      <c r="A654">
        <v>574</v>
      </c>
      <c r="B654" s="3">
        <v>41873</v>
      </c>
      <c r="C654" s="4">
        <v>50</v>
      </c>
      <c r="E654">
        <v>574</v>
      </c>
      <c r="F654" s="3">
        <v>41873</v>
      </c>
      <c r="G654" t="s">
        <v>298</v>
      </c>
      <c r="H654" s="18">
        <v>50</v>
      </c>
      <c r="J654" s="20" t="str">
        <f t="shared" si="32"/>
        <v/>
      </c>
      <c r="K654" t="str">
        <f t="shared" si="34"/>
        <v/>
      </c>
      <c r="L654" s="4">
        <f t="shared" si="33"/>
        <v>0</v>
      </c>
    </row>
    <row r="655" spans="1:12" x14ac:dyDescent="0.25">
      <c r="A655">
        <v>580</v>
      </c>
      <c r="B655" s="3">
        <v>41873</v>
      </c>
      <c r="C655" s="4">
        <v>210</v>
      </c>
      <c r="E655">
        <v>580</v>
      </c>
      <c r="F655" s="3">
        <v>41873</v>
      </c>
      <c r="G655" t="s">
        <v>37</v>
      </c>
      <c r="H655" s="18">
        <v>210</v>
      </c>
      <c r="J655" s="20" t="str">
        <f t="shared" si="32"/>
        <v/>
      </c>
      <c r="K655" t="str">
        <f t="shared" si="34"/>
        <v/>
      </c>
      <c r="L655" s="4">
        <f t="shared" si="33"/>
        <v>0</v>
      </c>
    </row>
    <row r="656" spans="1:12" x14ac:dyDescent="0.25">
      <c r="A656">
        <v>640</v>
      </c>
      <c r="B656" s="3">
        <v>41873</v>
      </c>
      <c r="C656" s="4">
        <v>90</v>
      </c>
      <c r="E656">
        <v>640</v>
      </c>
      <c r="F656" s="3">
        <v>41873</v>
      </c>
      <c r="G656" t="s">
        <v>347</v>
      </c>
      <c r="H656" s="18">
        <v>90</v>
      </c>
      <c r="J656" s="20" t="str">
        <f t="shared" si="32"/>
        <v/>
      </c>
      <c r="K656" t="str">
        <f t="shared" si="34"/>
        <v/>
      </c>
      <c r="L656" s="4">
        <f t="shared" si="33"/>
        <v>0</v>
      </c>
    </row>
    <row r="657" spans="1:12" x14ac:dyDescent="0.25">
      <c r="A657">
        <v>667</v>
      </c>
      <c r="B657" s="3">
        <v>41873</v>
      </c>
      <c r="C657" s="4">
        <v>105</v>
      </c>
      <c r="E657">
        <v>667</v>
      </c>
      <c r="F657" s="3">
        <v>41873</v>
      </c>
      <c r="G657" t="s">
        <v>348</v>
      </c>
      <c r="H657" s="18">
        <v>105</v>
      </c>
      <c r="J657" s="20" t="str">
        <f t="shared" si="32"/>
        <v/>
      </c>
      <c r="K657" t="str">
        <f t="shared" si="34"/>
        <v/>
      </c>
      <c r="L657" s="4">
        <f t="shared" si="33"/>
        <v>0</v>
      </c>
    </row>
    <row r="658" spans="1:12" x14ac:dyDescent="0.25">
      <c r="A658">
        <v>46</v>
      </c>
      <c r="B658" s="3">
        <v>41876</v>
      </c>
      <c r="C658" s="4">
        <v>278.49</v>
      </c>
      <c r="E658">
        <v>46</v>
      </c>
      <c r="F658" s="3">
        <v>41876</v>
      </c>
      <c r="G658" t="s">
        <v>78</v>
      </c>
      <c r="H658" s="18">
        <v>278.49</v>
      </c>
      <c r="J658" s="20" t="str">
        <f t="shared" si="32"/>
        <v/>
      </c>
      <c r="K658" t="str">
        <f t="shared" si="34"/>
        <v/>
      </c>
      <c r="L658" s="4">
        <f t="shared" si="33"/>
        <v>0</v>
      </c>
    </row>
    <row r="659" spans="1:12" x14ac:dyDescent="0.25">
      <c r="A659">
        <v>185</v>
      </c>
      <c r="B659" s="3">
        <v>41876</v>
      </c>
      <c r="C659" s="4">
        <v>616.23</v>
      </c>
      <c r="E659">
        <v>185</v>
      </c>
      <c r="F659" s="3">
        <v>41876</v>
      </c>
      <c r="G659" t="s">
        <v>17</v>
      </c>
      <c r="H659" s="18">
        <v>616.23</v>
      </c>
      <c r="J659" s="20" t="str">
        <f t="shared" si="32"/>
        <v/>
      </c>
      <c r="K659" t="str">
        <f t="shared" si="34"/>
        <v/>
      </c>
      <c r="L659" s="4">
        <f t="shared" si="33"/>
        <v>0</v>
      </c>
    </row>
    <row r="660" spans="1:12" x14ac:dyDescent="0.25">
      <c r="A660">
        <v>379</v>
      </c>
      <c r="B660" s="3">
        <v>41876</v>
      </c>
      <c r="C660" s="4">
        <v>850</v>
      </c>
      <c r="E660">
        <v>379</v>
      </c>
      <c r="F660" s="3">
        <v>41876</v>
      </c>
      <c r="G660" t="s">
        <v>30</v>
      </c>
      <c r="H660" s="18">
        <v>0</v>
      </c>
      <c r="J660" s="20" t="str">
        <f t="shared" si="32"/>
        <v/>
      </c>
      <c r="K660" t="str">
        <f t="shared" si="34"/>
        <v/>
      </c>
      <c r="L660" s="4">
        <f t="shared" si="33"/>
        <v>850</v>
      </c>
    </row>
    <row r="661" spans="1:12" x14ac:dyDescent="0.25">
      <c r="A661">
        <v>383</v>
      </c>
      <c r="B661" s="3">
        <v>41876</v>
      </c>
      <c r="C661" s="4">
        <v>1350</v>
      </c>
      <c r="E661">
        <v>383</v>
      </c>
      <c r="F661" s="3">
        <v>41876</v>
      </c>
      <c r="G661" t="s">
        <v>220</v>
      </c>
      <c r="H661" s="18">
        <v>1350</v>
      </c>
      <c r="J661" s="20" t="str">
        <f t="shared" si="32"/>
        <v/>
      </c>
      <c r="K661" t="str">
        <f t="shared" si="34"/>
        <v/>
      </c>
      <c r="L661" s="4">
        <f t="shared" si="33"/>
        <v>0</v>
      </c>
    </row>
    <row r="662" spans="1:12" x14ac:dyDescent="0.25">
      <c r="A662">
        <v>134</v>
      </c>
      <c r="B662" s="3">
        <v>41877</v>
      </c>
      <c r="C662" s="4">
        <v>1000</v>
      </c>
      <c r="E662">
        <v>134</v>
      </c>
      <c r="F662" s="3">
        <v>41877</v>
      </c>
      <c r="G662" t="s">
        <v>291</v>
      </c>
      <c r="H662" s="18">
        <v>1000</v>
      </c>
      <c r="J662" s="20" t="str">
        <f t="shared" si="32"/>
        <v/>
      </c>
      <c r="K662" t="str">
        <f t="shared" si="34"/>
        <v/>
      </c>
      <c r="L662" s="4">
        <f t="shared" si="33"/>
        <v>0</v>
      </c>
    </row>
    <row r="663" spans="1:12" x14ac:dyDescent="0.25">
      <c r="A663">
        <v>47</v>
      </c>
      <c r="B663" s="3">
        <v>41879</v>
      </c>
      <c r="C663" s="4">
        <v>900</v>
      </c>
      <c r="E663">
        <v>47</v>
      </c>
      <c r="F663" s="3">
        <v>41879</v>
      </c>
      <c r="G663" t="s">
        <v>239</v>
      </c>
      <c r="H663" s="18">
        <v>900</v>
      </c>
      <c r="J663" s="20" t="str">
        <f t="shared" ref="J663:J703" si="35">IF(E663=A663,"","CHECK")</f>
        <v/>
      </c>
      <c r="K663" t="str">
        <f t="shared" si="34"/>
        <v/>
      </c>
      <c r="L663" s="4">
        <f t="shared" ref="L663:L703" si="36">C663-H663</f>
        <v>0</v>
      </c>
    </row>
    <row r="664" spans="1:12" x14ac:dyDescent="0.25">
      <c r="A664">
        <v>94</v>
      </c>
      <c r="B664" s="3">
        <v>41879</v>
      </c>
      <c r="C664" s="4">
        <v>1100</v>
      </c>
      <c r="E664">
        <v>94</v>
      </c>
      <c r="F664" s="3">
        <v>41879</v>
      </c>
      <c r="G664" t="s">
        <v>182</v>
      </c>
      <c r="H664" s="18">
        <v>1100</v>
      </c>
      <c r="J664" s="20" t="str">
        <f t="shared" si="35"/>
        <v/>
      </c>
      <c r="K664" t="str">
        <f t="shared" si="34"/>
        <v/>
      </c>
      <c r="L664" s="4">
        <f t="shared" si="36"/>
        <v>0</v>
      </c>
    </row>
    <row r="665" spans="1:12" x14ac:dyDescent="0.25">
      <c r="A665">
        <v>104</v>
      </c>
      <c r="B665" s="3">
        <v>41879</v>
      </c>
      <c r="C665" s="4">
        <v>3462.29</v>
      </c>
      <c r="E665">
        <v>104</v>
      </c>
      <c r="F665" s="3">
        <v>41879</v>
      </c>
      <c r="G665" t="s">
        <v>210</v>
      </c>
      <c r="H665" s="18">
        <v>4839.29</v>
      </c>
      <c r="J665" s="20" t="str">
        <f t="shared" si="35"/>
        <v/>
      </c>
      <c r="K665" t="str">
        <f t="shared" si="34"/>
        <v/>
      </c>
      <c r="L665" s="4">
        <f t="shared" si="36"/>
        <v>-1377</v>
      </c>
    </row>
    <row r="666" spans="1:12" x14ac:dyDescent="0.25">
      <c r="A666">
        <v>133</v>
      </c>
      <c r="B666" s="3">
        <v>41879</v>
      </c>
      <c r="C666" s="4">
        <v>3113.19</v>
      </c>
      <c r="E666">
        <v>133</v>
      </c>
      <c r="F666" s="3">
        <v>41879</v>
      </c>
      <c r="G666" t="s">
        <v>87</v>
      </c>
      <c r="H666" s="18">
        <v>3113.19</v>
      </c>
      <c r="J666" s="20" t="str">
        <f t="shared" si="35"/>
        <v/>
      </c>
      <c r="K666" t="str">
        <f t="shared" si="34"/>
        <v/>
      </c>
      <c r="L666" s="4">
        <f t="shared" si="36"/>
        <v>0</v>
      </c>
    </row>
    <row r="667" spans="1:12" x14ac:dyDescent="0.25">
      <c r="A667">
        <v>152</v>
      </c>
      <c r="B667" s="3">
        <v>41879</v>
      </c>
      <c r="C667" s="4">
        <v>484.5</v>
      </c>
      <c r="E667">
        <v>152</v>
      </c>
      <c r="F667" s="3">
        <v>41879</v>
      </c>
      <c r="G667" t="s">
        <v>90</v>
      </c>
      <c r="H667" s="18">
        <v>484.5</v>
      </c>
      <c r="J667" s="20" t="str">
        <f t="shared" si="35"/>
        <v/>
      </c>
      <c r="K667" t="str">
        <f t="shared" si="34"/>
        <v/>
      </c>
      <c r="L667" s="4">
        <f t="shared" si="36"/>
        <v>0</v>
      </c>
    </row>
    <row r="668" spans="1:12" x14ac:dyDescent="0.25">
      <c r="A668">
        <v>157</v>
      </c>
      <c r="B668" s="3">
        <v>41879</v>
      </c>
      <c r="C668" s="4">
        <v>357</v>
      </c>
      <c r="E668">
        <v>157</v>
      </c>
      <c r="F668" s="3">
        <v>41879</v>
      </c>
      <c r="G668" t="s">
        <v>92</v>
      </c>
      <c r="H668" s="18">
        <v>357</v>
      </c>
      <c r="J668" s="20" t="str">
        <f t="shared" si="35"/>
        <v/>
      </c>
      <c r="K668" t="str">
        <f t="shared" si="34"/>
        <v/>
      </c>
      <c r="L668" s="4">
        <f t="shared" si="36"/>
        <v>0</v>
      </c>
    </row>
    <row r="669" spans="1:12" x14ac:dyDescent="0.25">
      <c r="A669">
        <v>206</v>
      </c>
      <c r="B669" s="3">
        <v>41879</v>
      </c>
      <c r="C669" s="4">
        <v>841.5</v>
      </c>
      <c r="E669">
        <v>206</v>
      </c>
      <c r="F669" s="3">
        <v>41879</v>
      </c>
      <c r="G669" t="s">
        <v>334</v>
      </c>
      <c r="H669" s="18">
        <v>841.5</v>
      </c>
      <c r="J669" s="20" t="str">
        <f t="shared" si="35"/>
        <v/>
      </c>
      <c r="K669" t="str">
        <f t="shared" si="34"/>
        <v/>
      </c>
      <c r="L669" s="4">
        <f t="shared" si="36"/>
        <v>0</v>
      </c>
    </row>
    <row r="670" spans="1:12" x14ac:dyDescent="0.25">
      <c r="A670">
        <v>214</v>
      </c>
      <c r="B670" s="3">
        <v>41879</v>
      </c>
      <c r="C670" s="4">
        <v>500</v>
      </c>
      <c r="E670">
        <v>214</v>
      </c>
      <c r="F670" s="3">
        <v>41879</v>
      </c>
      <c r="G670" t="s">
        <v>323</v>
      </c>
      <c r="H670" s="18">
        <v>500</v>
      </c>
      <c r="J670" s="20" t="str">
        <f t="shared" si="35"/>
        <v/>
      </c>
      <c r="K670" t="str">
        <f t="shared" si="34"/>
        <v/>
      </c>
      <c r="L670" s="4">
        <f t="shared" si="36"/>
        <v>0</v>
      </c>
    </row>
    <row r="671" spans="1:12" x14ac:dyDescent="0.25">
      <c r="A671">
        <v>218</v>
      </c>
      <c r="B671" s="3">
        <v>41879</v>
      </c>
      <c r="C671" s="4">
        <v>500</v>
      </c>
      <c r="E671">
        <v>218</v>
      </c>
      <c r="F671" s="3">
        <v>41879</v>
      </c>
      <c r="G671" t="s">
        <v>233</v>
      </c>
      <c r="H671" s="18">
        <v>500</v>
      </c>
      <c r="J671" s="20" t="str">
        <f t="shared" si="35"/>
        <v/>
      </c>
      <c r="K671" t="str">
        <f t="shared" si="34"/>
        <v/>
      </c>
      <c r="L671" s="4">
        <f t="shared" si="36"/>
        <v>0</v>
      </c>
    </row>
    <row r="672" spans="1:12" x14ac:dyDescent="0.25">
      <c r="A672">
        <v>224</v>
      </c>
      <c r="B672" s="3">
        <v>41879</v>
      </c>
      <c r="C672" s="4">
        <v>500</v>
      </c>
      <c r="E672">
        <v>224</v>
      </c>
      <c r="F672" s="3">
        <v>41879</v>
      </c>
      <c r="G672" t="s">
        <v>335</v>
      </c>
      <c r="H672" s="18">
        <v>500</v>
      </c>
      <c r="J672" s="20" t="str">
        <f t="shared" si="35"/>
        <v/>
      </c>
      <c r="K672" t="str">
        <f t="shared" si="34"/>
        <v/>
      </c>
      <c r="L672" s="4">
        <f t="shared" si="36"/>
        <v>0</v>
      </c>
    </row>
    <row r="673" spans="1:12" x14ac:dyDescent="0.25">
      <c r="A673">
        <v>230</v>
      </c>
      <c r="B673" s="3">
        <v>41879</v>
      </c>
      <c r="C673" s="4">
        <v>500</v>
      </c>
      <c r="E673">
        <v>230</v>
      </c>
      <c r="F673" s="3">
        <v>41879</v>
      </c>
      <c r="G673" t="s">
        <v>316</v>
      </c>
      <c r="H673" s="18">
        <v>500</v>
      </c>
      <c r="J673" s="20" t="str">
        <f t="shared" si="35"/>
        <v/>
      </c>
      <c r="K673" t="str">
        <f t="shared" si="34"/>
        <v/>
      </c>
      <c r="L673" s="4">
        <f t="shared" si="36"/>
        <v>0</v>
      </c>
    </row>
    <row r="674" spans="1:12" x14ac:dyDescent="0.25">
      <c r="A674">
        <v>232</v>
      </c>
      <c r="B674" s="3">
        <v>41879</v>
      </c>
      <c r="C674" s="4">
        <v>6.63</v>
      </c>
      <c r="E674">
        <v>232</v>
      </c>
      <c r="F674" s="3">
        <v>41879</v>
      </c>
      <c r="G674" t="s">
        <v>100</v>
      </c>
      <c r="H674" s="18">
        <v>6.65</v>
      </c>
      <c r="J674" s="20" t="str">
        <f t="shared" si="35"/>
        <v/>
      </c>
      <c r="K674" t="str">
        <f t="shared" si="34"/>
        <v/>
      </c>
      <c r="L674" s="4">
        <f t="shared" si="36"/>
        <v>-2.0000000000000462E-2</v>
      </c>
    </row>
    <row r="675" spans="1:12" x14ac:dyDescent="0.25">
      <c r="A675">
        <v>234</v>
      </c>
      <c r="B675" s="3">
        <v>41879</v>
      </c>
      <c r="C675" s="4">
        <v>500</v>
      </c>
      <c r="E675">
        <v>234</v>
      </c>
      <c r="F675" s="3">
        <v>41879</v>
      </c>
      <c r="G675" t="s">
        <v>259</v>
      </c>
      <c r="H675" s="18">
        <v>500</v>
      </c>
      <c r="J675" s="20" t="str">
        <f t="shared" si="35"/>
        <v/>
      </c>
      <c r="K675" t="str">
        <f t="shared" si="34"/>
        <v/>
      </c>
      <c r="L675" s="4">
        <f t="shared" si="36"/>
        <v>0</v>
      </c>
    </row>
    <row r="676" spans="1:12" x14ac:dyDescent="0.25">
      <c r="A676">
        <v>237</v>
      </c>
      <c r="B676" s="3">
        <v>41879</v>
      </c>
      <c r="C676" s="4">
        <v>500</v>
      </c>
      <c r="E676">
        <v>237</v>
      </c>
      <c r="F676" s="3">
        <v>41879</v>
      </c>
      <c r="G676" t="s">
        <v>336</v>
      </c>
      <c r="H676" s="18">
        <v>500</v>
      </c>
      <c r="J676" s="20" t="str">
        <f t="shared" si="35"/>
        <v/>
      </c>
      <c r="K676" t="str">
        <f t="shared" si="34"/>
        <v/>
      </c>
      <c r="L676" s="4">
        <f t="shared" si="36"/>
        <v>0</v>
      </c>
    </row>
    <row r="677" spans="1:12" x14ac:dyDescent="0.25">
      <c r="A677">
        <v>248</v>
      </c>
      <c r="B677" s="3">
        <v>41879</v>
      </c>
      <c r="C677" s="4">
        <v>1602.5</v>
      </c>
      <c r="E677">
        <v>248</v>
      </c>
      <c r="F677" s="3">
        <v>41879</v>
      </c>
      <c r="G677" t="s">
        <v>19</v>
      </c>
      <c r="H677" s="18">
        <v>1602.5</v>
      </c>
      <c r="J677" s="20" t="str">
        <f t="shared" si="35"/>
        <v/>
      </c>
      <c r="K677" t="str">
        <f t="shared" si="34"/>
        <v/>
      </c>
      <c r="L677" s="4">
        <f t="shared" si="36"/>
        <v>0</v>
      </c>
    </row>
    <row r="678" spans="1:12" x14ac:dyDescent="0.25">
      <c r="A678">
        <v>260</v>
      </c>
      <c r="B678" s="3">
        <v>41879</v>
      </c>
      <c r="C678" s="4">
        <v>825</v>
      </c>
      <c r="E678">
        <v>260</v>
      </c>
      <c r="F678" s="3">
        <v>41879</v>
      </c>
      <c r="G678" t="s">
        <v>327</v>
      </c>
      <c r="H678" s="18">
        <v>825</v>
      </c>
      <c r="J678" s="20" t="str">
        <f t="shared" si="35"/>
        <v/>
      </c>
      <c r="K678" t="str">
        <f t="shared" si="34"/>
        <v/>
      </c>
      <c r="L678" s="4">
        <f t="shared" si="36"/>
        <v>0</v>
      </c>
    </row>
    <row r="679" spans="1:12" x14ac:dyDescent="0.25">
      <c r="A679">
        <v>302</v>
      </c>
      <c r="B679" s="3">
        <v>41879</v>
      </c>
      <c r="C679" s="4">
        <v>600</v>
      </c>
      <c r="E679">
        <v>302</v>
      </c>
      <c r="F679" s="3">
        <v>41879</v>
      </c>
      <c r="G679" t="s">
        <v>104</v>
      </c>
      <c r="H679" s="18">
        <v>600</v>
      </c>
      <c r="J679" s="20" t="str">
        <f t="shared" si="35"/>
        <v/>
      </c>
      <c r="K679" t="str">
        <f t="shared" si="34"/>
        <v/>
      </c>
      <c r="L679" s="4">
        <f t="shared" si="36"/>
        <v>0</v>
      </c>
    </row>
    <row r="680" spans="1:12" x14ac:dyDescent="0.25">
      <c r="A680">
        <v>304</v>
      </c>
      <c r="B680" s="3">
        <v>41879</v>
      </c>
      <c r="C680" s="4">
        <v>600</v>
      </c>
      <c r="E680">
        <v>304</v>
      </c>
      <c r="F680" s="3">
        <v>41879</v>
      </c>
      <c r="G680" t="s">
        <v>295</v>
      </c>
      <c r="H680" s="18">
        <v>600</v>
      </c>
      <c r="J680" s="20" t="str">
        <f t="shared" si="35"/>
        <v/>
      </c>
      <c r="K680" t="str">
        <f t="shared" si="34"/>
        <v/>
      </c>
      <c r="L680" s="4">
        <f t="shared" si="36"/>
        <v>0</v>
      </c>
    </row>
    <row r="681" spans="1:12" x14ac:dyDescent="0.25">
      <c r="A681">
        <v>328</v>
      </c>
      <c r="B681" s="3">
        <v>41879</v>
      </c>
      <c r="C681" s="4">
        <v>250</v>
      </c>
      <c r="E681">
        <v>328</v>
      </c>
      <c r="F681" s="3">
        <v>41879</v>
      </c>
      <c r="G681" t="s">
        <v>26</v>
      </c>
      <c r="H681" s="18">
        <v>250</v>
      </c>
      <c r="J681" s="20" t="str">
        <f t="shared" si="35"/>
        <v/>
      </c>
      <c r="K681" t="str">
        <f t="shared" si="34"/>
        <v/>
      </c>
      <c r="L681" s="4">
        <f t="shared" si="36"/>
        <v>0</v>
      </c>
    </row>
    <row r="682" spans="1:12" x14ac:dyDescent="0.25">
      <c r="A682">
        <v>358</v>
      </c>
      <c r="B682" s="3">
        <v>41879</v>
      </c>
      <c r="C682" s="4">
        <v>2500</v>
      </c>
      <c r="E682">
        <v>358</v>
      </c>
      <c r="F682" s="3">
        <v>41879</v>
      </c>
      <c r="G682" t="s">
        <v>179</v>
      </c>
      <c r="H682" s="18">
        <v>2500</v>
      </c>
      <c r="J682" s="20" t="str">
        <f t="shared" si="35"/>
        <v/>
      </c>
      <c r="K682" t="str">
        <f t="shared" si="34"/>
        <v/>
      </c>
      <c r="L682" s="4">
        <f t="shared" si="36"/>
        <v>0</v>
      </c>
    </row>
    <row r="683" spans="1:12" x14ac:dyDescent="0.25">
      <c r="A683">
        <v>382</v>
      </c>
      <c r="B683" s="3">
        <v>41879</v>
      </c>
      <c r="C683" s="4">
        <v>1825</v>
      </c>
      <c r="E683">
        <v>382</v>
      </c>
      <c r="F683" s="3">
        <v>41879</v>
      </c>
      <c r="G683" t="s">
        <v>164</v>
      </c>
      <c r="H683" s="18">
        <v>1825</v>
      </c>
      <c r="J683" s="20" t="str">
        <f t="shared" si="35"/>
        <v/>
      </c>
      <c r="K683" t="str">
        <f t="shared" si="34"/>
        <v/>
      </c>
      <c r="L683" s="4">
        <f t="shared" si="36"/>
        <v>0</v>
      </c>
    </row>
    <row r="684" spans="1:12" x14ac:dyDescent="0.25">
      <c r="A684">
        <v>391</v>
      </c>
      <c r="B684" s="3">
        <v>41879</v>
      </c>
      <c r="C684" s="4">
        <v>1100</v>
      </c>
      <c r="E684">
        <v>391</v>
      </c>
      <c r="F684" s="3">
        <v>41879</v>
      </c>
      <c r="G684" t="s">
        <v>319</v>
      </c>
      <c r="H684" s="18">
        <v>1100</v>
      </c>
      <c r="J684" s="20" t="str">
        <f t="shared" si="35"/>
        <v/>
      </c>
      <c r="K684" t="str">
        <f t="shared" si="34"/>
        <v/>
      </c>
      <c r="L684" s="4">
        <f t="shared" si="36"/>
        <v>0</v>
      </c>
    </row>
    <row r="685" spans="1:12" x14ac:dyDescent="0.25">
      <c r="A685">
        <v>392</v>
      </c>
      <c r="B685" s="3">
        <v>41879</v>
      </c>
      <c r="C685" s="4">
        <v>2125</v>
      </c>
      <c r="E685">
        <v>392</v>
      </c>
      <c r="F685" s="3">
        <v>41879</v>
      </c>
      <c r="G685" t="s">
        <v>111</v>
      </c>
      <c r="H685" s="18">
        <v>2125</v>
      </c>
      <c r="J685" s="20" t="str">
        <f t="shared" si="35"/>
        <v/>
      </c>
      <c r="K685" t="str">
        <f t="shared" si="34"/>
        <v/>
      </c>
      <c r="L685" s="4">
        <f t="shared" si="36"/>
        <v>0</v>
      </c>
    </row>
    <row r="686" spans="1:12" x14ac:dyDescent="0.25">
      <c r="A686">
        <v>41</v>
      </c>
      <c r="B686" s="3">
        <v>41880</v>
      </c>
      <c r="C686" s="4">
        <v>3993.1</v>
      </c>
      <c r="E686">
        <v>41</v>
      </c>
      <c r="F686" s="3">
        <v>41880</v>
      </c>
      <c r="G686" t="s">
        <v>10</v>
      </c>
      <c r="H686" s="18">
        <v>3993.1</v>
      </c>
      <c r="J686" s="20" t="str">
        <f t="shared" si="35"/>
        <v/>
      </c>
      <c r="K686" t="str">
        <f t="shared" si="34"/>
        <v/>
      </c>
      <c r="L686" s="4">
        <f t="shared" si="36"/>
        <v>0</v>
      </c>
    </row>
    <row r="687" spans="1:12" x14ac:dyDescent="0.25">
      <c r="A687">
        <v>46</v>
      </c>
      <c r="B687" s="3">
        <v>41880</v>
      </c>
      <c r="C687" s="4">
        <v>1000</v>
      </c>
      <c r="E687">
        <v>46</v>
      </c>
      <c r="F687" s="3">
        <v>41880</v>
      </c>
      <c r="G687" t="s">
        <v>78</v>
      </c>
      <c r="H687" s="18">
        <v>1000</v>
      </c>
      <c r="J687" s="20" t="str">
        <f t="shared" si="35"/>
        <v/>
      </c>
      <c r="K687" t="str">
        <f t="shared" si="34"/>
        <v/>
      </c>
      <c r="L687" s="4">
        <f t="shared" si="36"/>
        <v>0</v>
      </c>
    </row>
    <row r="688" spans="1:12" x14ac:dyDescent="0.25">
      <c r="A688">
        <v>74</v>
      </c>
      <c r="B688" s="3">
        <v>41880</v>
      </c>
      <c r="C688" s="4">
        <v>1000</v>
      </c>
      <c r="E688">
        <v>74</v>
      </c>
      <c r="F688" s="3">
        <v>41880</v>
      </c>
      <c r="G688" t="s">
        <v>328</v>
      </c>
      <c r="H688" s="18">
        <v>1000</v>
      </c>
      <c r="J688" s="20" t="str">
        <f t="shared" si="35"/>
        <v/>
      </c>
      <c r="K688" t="str">
        <f t="shared" si="34"/>
        <v/>
      </c>
      <c r="L688" s="4">
        <f t="shared" si="36"/>
        <v>0</v>
      </c>
    </row>
    <row r="689" spans="1:12" x14ac:dyDescent="0.25">
      <c r="A689">
        <v>87</v>
      </c>
      <c r="B689" s="3">
        <v>41880</v>
      </c>
      <c r="C689" s="4">
        <v>500</v>
      </c>
      <c r="E689">
        <v>87</v>
      </c>
      <c r="F689" s="3">
        <v>41880</v>
      </c>
      <c r="G689" t="s">
        <v>329</v>
      </c>
      <c r="H689" s="18">
        <v>500</v>
      </c>
      <c r="J689" s="20" t="str">
        <f t="shared" si="35"/>
        <v/>
      </c>
      <c r="K689" t="str">
        <f t="shared" si="34"/>
        <v/>
      </c>
      <c r="L689" s="4">
        <f t="shared" si="36"/>
        <v>0</v>
      </c>
    </row>
    <row r="690" spans="1:12" x14ac:dyDescent="0.25">
      <c r="A690">
        <v>149</v>
      </c>
      <c r="B690" s="3">
        <v>41880</v>
      </c>
      <c r="C690" s="4">
        <v>-725</v>
      </c>
      <c r="E690">
        <v>149</v>
      </c>
      <c r="F690" s="3">
        <v>41880</v>
      </c>
      <c r="G690" t="s">
        <v>241</v>
      </c>
      <c r="H690" s="18">
        <v>-725</v>
      </c>
      <c r="J690" s="20" t="str">
        <f t="shared" si="35"/>
        <v/>
      </c>
      <c r="K690" t="str">
        <f t="shared" si="34"/>
        <v/>
      </c>
      <c r="L690" s="4">
        <f t="shared" si="36"/>
        <v>0</v>
      </c>
    </row>
    <row r="691" spans="1:12" x14ac:dyDescent="0.25">
      <c r="A691">
        <v>159</v>
      </c>
      <c r="B691" s="3">
        <v>41880</v>
      </c>
      <c r="C691" s="4">
        <v>600</v>
      </c>
      <c r="E691">
        <v>159</v>
      </c>
      <c r="F691" s="3">
        <v>41880</v>
      </c>
      <c r="G691" t="s">
        <v>330</v>
      </c>
      <c r="H691" s="18">
        <v>600</v>
      </c>
      <c r="J691" s="20" t="str">
        <f t="shared" si="35"/>
        <v/>
      </c>
      <c r="K691" t="str">
        <f t="shared" si="34"/>
        <v/>
      </c>
      <c r="L691" s="4">
        <f t="shared" si="36"/>
        <v>0</v>
      </c>
    </row>
    <row r="692" spans="1:12" x14ac:dyDescent="0.25">
      <c r="A692">
        <v>227</v>
      </c>
      <c r="B692" s="3">
        <v>41880</v>
      </c>
      <c r="C692" s="4">
        <v>500</v>
      </c>
      <c r="E692">
        <v>227</v>
      </c>
      <c r="F692" s="3">
        <v>41880</v>
      </c>
      <c r="G692" t="s">
        <v>331</v>
      </c>
      <c r="H692" s="18">
        <v>500</v>
      </c>
      <c r="J692" s="20" t="str">
        <f t="shared" si="35"/>
        <v/>
      </c>
      <c r="K692" t="str">
        <f t="shared" si="34"/>
        <v/>
      </c>
      <c r="L692" s="4">
        <f t="shared" si="36"/>
        <v>0</v>
      </c>
    </row>
    <row r="693" spans="1:12" x14ac:dyDescent="0.25">
      <c r="A693">
        <v>231</v>
      </c>
      <c r="B693" s="3">
        <v>41880</v>
      </c>
      <c r="C693" s="4">
        <v>775</v>
      </c>
      <c r="E693">
        <v>231</v>
      </c>
      <c r="F693" s="3">
        <v>41880</v>
      </c>
      <c r="G693" t="s">
        <v>310</v>
      </c>
      <c r="H693" s="18">
        <v>775</v>
      </c>
      <c r="J693" s="20" t="str">
        <f t="shared" si="35"/>
        <v/>
      </c>
      <c r="K693" t="str">
        <f t="shared" si="34"/>
        <v/>
      </c>
      <c r="L693" s="4">
        <f t="shared" si="36"/>
        <v>0</v>
      </c>
    </row>
    <row r="694" spans="1:12" x14ac:dyDescent="0.25">
      <c r="A694">
        <v>232</v>
      </c>
      <c r="B694" s="3">
        <v>41880</v>
      </c>
      <c r="C694" s="4">
        <v>1718.38</v>
      </c>
      <c r="E694">
        <v>232</v>
      </c>
      <c r="F694" s="3">
        <v>41880</v>
      </c>
      <c r="G694" t="s">
        <v>100</v>
      </c>
      <c r="H694" s="18">
        <v>1718.38</v>
      </c>
      <c r="J694" s="20" t="str">
        <f t="shared" si="35"/>
        <v/>
      </c>
      <c r="K694" t="str">
        <f t="shared" si="34"/>
        <v/>
      </c>
      <c r="L694" s="4">
        <f t="shared" si="36"/>
        <v>0</v>
      </c>
    </row>
    <row r="695" spans="1:12" x14ac:dyDescent="0.25">
      <c r="A695">
        <v>233</v>
      </c>
      <c r="B695" s="3">
        <v>41880</v>
      </c>
      <c r="C695" s="4">
        <v>575</v>
      </c>
      <c r="E695">
        <v>233</v>
      </c>
      <c r="F695" s="3">
        <v>41880</v>
      </c>
      <c r="G695" t="s">
        <v>294</v>
      </c>
      <c r="H695" s="18">
        <v>575</v>
      </c>
      <c r="J695" s="20" t="str">
        <f t="shared" si="35"/>
        <v/>
      </c>
      <c r="K695" t="str">
        <f t="shared" si="34"/>
        <v/>
      </c>
      <c r="L695" s="4">
        <f t="shared" si="36"/>
        <v>0</v>
      </c>
    </row>
    <row r="696" spans="1:12" x14ac:dyDescent="0.25">
      <c r="A696">
        <v>236</v>
      </c>
      <c r="B696" s="3">
        <v>41880</v>
      </c>
      <c r="C696" s="4">
        <v>800</v>
      </c>
      <c r="E696">
        <v>236</v>
      </c>
      <c r="F696" s="3">
        <v>41880</v>
      </c>
      <c r="G696" t="s">
        <v>211</v>
      </c>
      <c r="H696" s="18">
        <v>800</v>
      </c>
      <c r="J696" s="20" t="str">
        <f t="shared" si="35"/>
        <v/>
      </c>
      <c r="K696" t="str">
        <f t="shared" si="34"/>
        <v/>
      </c>
      <c r="L696" s="4">
        <f t="shared" si="36"/>
        <v>0</v>
      </c>
    </row>
    <row r="697" spans="1:12" x14ac:dyDescent="0.25">
      <c r="A697">
        <v>254</v>
      </c>
      <c r="B697" s="3">
        <v>41880</v>
      </c>
      <c r="C697" s="4">
        <v>3925</v>
      </c>
      <c r="E697">
        <v>254</v>
      </c>
      <c r="F697" s="3">
        <v>41880</v>
      </c>
      <c r="G697" t="s">
        <v>317</v>
      </c>
      <c r="H697" s="18">
        <v>3925</v>
      </c>
      <c r="J697" s="20" t="str">
        <f t="shared" si="35"/>
        <v/>
      </c>
      <c r="K697" t="str">
        <f t="shared" si="34"/>
        <v/>
      </c>
      <c r="L697" s="4">
        <f t="shared" si="36"/>
        <v>0</v>
      </c>
    </row>
    <row r="698" spans="1:12" x14ac:dyDescent="0.25">
      <c r="A698">
        <v>261</v>
      </c>
      <c r="B698" s="3">
        <v>41880</v>
      </c>
      <c r="C698" s="4">
        <v>1825</v>
      </c>
      <c r="E698">
        <v>261</v>
      </c>
      <c r="F698" s="3">
        <v>41880</v>
      </c>
      <c r="G698" t="s">
        <v>22</v>
      </c>
      <c r="H698" s="18">
        <v>1825</v>
      </c>
      <c r="J698" s="20" t="str">
        <f t="shared" si="35"/>
        <v/>
      </c>
      <c r="K698" t="str">
        <f t="shared" si="34"/>
        <v/>
      </c>
      <c r="L698" s="4">
        <f t="shared" si="36"/>
        <v>0</v>
      </c>
    </row>
    <row r="699" spans="1:12" x14ac:dyDescent="0.25">
      <c r="A699">
        <v>268</v>
      </c>
      <c r="B699" s="3">
        <v>41880</v>
      </c>
      <c r="C699" s="4">
        <v>1344.5</v>
      </c>
      <c r="E699">
        <v>268</v>
      </c>
      <c r="F699" s="3">
        <v>41880</v>
      </c>
      <c r="G699" t="s">
        <v>162</v>
      </c>
      <c r="H699" s="18">
        <v>1344.5</v>
      </c>
      <c r="J699" s="20" t="str">
        <f t="shared" si="35"/>
        <v/>
      </c>
      <c r="K699" t="str">
        <f t="shared" si="34"/>
        <v/>
      </c>
      <c r="L699" s="4">
        <f t="shared" si="36"/>
        <v>0</v>
      </c>
    </row>
    <row r="700" spans="1:12" x14ac:dyDescent="0.25">
      <c r="A700">
        <v>321</v>
      </c>
      <c r="B700" s="3">
        <v>41880</v>
      </c>
      <c r="C700" s="4">
        <v>775</v>
      </c>
      <c r="E700">
        <v>321</v>
      </c>
      <c r="F700" s="3">
        <v>41880</v>
      </c>
      <c r="G700" t="s">
        <v>105</v>
      </c>
      <c r="H700" s="18">
        <v>775</v>
      </c>
      <c r="J700" s="20" t="str">
        <f t="shared" si="35"/>
        <v/>
      </c>
      <c r="K700" t="str">
        <f t="shared" si="34"/>
        <v/>
      </c>
      <c r="L700" s="4">
        <f t="shared" si="36"/>
        <v>0</v>
      </c>
    </row>
    <row r="701" spans="1:12" x14ac:dyDescent="0.25">
      <c r="A701">
        <v>325</v>
      </c>
      <c r="B701" s="3">
        <v>41880</v>
      </c>
      <c r="C701" s="4">
        <v>1450</v>
      </c>
      <c r="E701">
        <v>325</v>
      </c>
      <c r="F701" s="3">
        <v>41880</v>
      </c>
      <c r="G701" t="s">
        <v>107</v>
      </c>
      <c r="H701" s="18">
        <v>1450</v>
      </c>
      <c r="J701" s="20" t="str">
        <f t="shared" si="35"/>
        <v/>
      </c>
      <c r="K701" t="str">
        <f t="shared" si="34"/>
        <v/>
      </c>
      <c r="L701" s="4">
        <f t="shared" si="36"/>
        <v>0</v>
      </c>
    </row>
    <row r="702" spans="1:12" x14ac:dyDescent="0.25">
      <c r="A702">
        <v>326</v>
      </c>
      <c r="B702" s="3">
        <v>41880</v>
      </c>
      <c r="C702" s="4">
        <v>1975</v>
      </c>
      <c r="E702">
        <v>326</v>
      </c>
      <c r="F702" s="3">
        <v>41880</v>
      </c>
      <c r="G702" t="s">
        <v>25</v>
      </c>
      <c r="H702" s="18">
        <v>1975</v>
      </c>
      <c r="J702" s="20" t="str">
        <f t="shared" si="35"/>
        <v/>
      </c>
      <c r="K702" t="str">
        <f t="shared" si="34"/>
        <v/>
      </c>
      <c r="L702" s="4">
        <f t="shared" si="36"/>
        <v>0</v>
      </c>
    </row>
    <row r="703" spans="1:12" x14ac:dyDescent="0.25">
      <c r="A703">
        <v>329</v>
      </c>
      <c r="B703" s="3">
        <v>41880</v>
      </c>
      <c r="C703" s="4">
        <v>1198.5</v>
      </c>
      <c r="E703">
        <v>329</v>
      </c>
      <c r="F703" s="3">
        <v>41880</v>
      </c>
      <c r="G703" t="s">
        <v>199</v>
      </c>
      <c r="H703" s="18">
        <v>1198.5</v>
      </c>
      <c r="J703" s="20" t="str">
        <f t="shared" si="35"/>
        <v/>
      </c>
      <c r="K703" t="str">
        <f t="shared" si="34"/>
        <v/>
      </c>
      <c r="L703" s="4">
        <f t="shared" si="36"/>
        <v>0</v>
      </c>
    </row>
    <row r="704" spans="1:12" x14ac:dyDescent="0.25">
      <c r="A704">
        <v>332</v>
      </c>
      <c r="B704" s="3">
        <v>41880</v>
      </c>
      <c r="C704" s="4">
        <v>2601</v>
      </c>
      <c r="E704">
        <v>332</v>
      </c>
      <c r="F704" s="3">
        <v>41880</v>
      </c>
      <c r="G704" t="s">
        <v>27</v>
      </c>
      <c r="H704" s="18">
        <v>2601</v>
      </c>
      <c r="J704" s="20" t="str">
        <f t="shared" ref="J704:J737" si="37">IF(E704=A704,"","CHECK")</f>
        <v/>
      </c>
      <c r="K704" t="str">
        <f t="shared" si="34"/>
        <v/>
      </c>
      <c r="L704" s="4">
        <f t="shared" ref="L704:L737" si="38">C704-H704</f>
        <v>0</v>
      </c>
    </row>
    <row r="705" spans="1:12" x14ac:dyDescent="0.25">
      <c r="A705">
        <v>347</v>
      </c>
      <c r="B705" s="3">
        <v>41880</v>
      </c>
      <c r="C705" s="4">
        <v>663</v>
      </c>
      <c r="E705">
        <v>347</v>
      </c>
      <c r="F705" s="3">
        <v>41880</v>
      </c>
      <c r="G705" t="s">
        <v>313</v>
      </c>
      <c r="H705" s="18">
        <v>663</v>
      </c>
      <c r="J705" s="20" t="str">
        <f t="shared" si="37"/>
        <v/>
      </c>
      <c r="K705" t="str">
        <f t="shared" si="34"/>
        <v/>
      </c>
      <c r="L705" s="4">
        <f t="shared" si="38"/>
        <v>0</v>
      </c>
    </row>
    <row r="706" spans="1:12" x14ac:dyDescent="0.25">
      <c r="B706" s="3"/>
      <c r="E706">
        <v>355</v>
      </c>
      <c r="F706" s="3">
        <v>41880</v>
      </c>
      <c r="G706" t="s">
        <v>108</v>
      </c>
      <c r="H706" s="18">
        <v>0</v>
      </c>
      <c r="J706" s="20" t="str">
        <f t="shared" si="37"/>
        <v>CHECK</v>
      </c>
      <c r="K706" t="str">
        <f t="shared" si="34"/>
        <v>CHECK</v>
      </c>
      <c r="L706" s="4">
        <f t="shared" si="38"/>
        <v>0</v>
      </c>
    </row>
    <row r="707" spans="1:12" x14ac:dyDescent="0.25">
      <c r="A707">
        <v>389</v>
      </c>
      <c r="B707" s="3">
        <v>41880</v>
      </c>
      <c r="C707" s="4">
        <v>5950</v>
      </c>
      <c r="E707">
        <v>389</v>
      </c>
      <c r="F707" s="3">
        <v>41880</v>
      </c>
      <c r="G707" t="s">
        <v>31</v>
      </c>
      <c r="H707" s="18">
        <v>5950</v>
      </c>
      <c r="J707" s="20" t="str">
        <f t="shared" si="37"/>
        <v/>
      </c>
      <c r="K707" t="str">
        <f t="shared" ref="K707:K770" si="39">IF(F707=B707,"","CHECK")</f>
        <v/>
      </c>
      <c r="L707" s="4">
        <f t="shared" si="38"/>
        <v>0</v>
      </c>
    </row>
    <row r="708" spans="1:12" x14ac:dyDescent="0.25">
      <c r="A708">
        <v>395</v>
      </c>
      <c r="B708" s="3">
        <v>41880</v>
      </c>
      <c r="C708" s="4">
        <v>500</v>
      </c>
      <c r="E708">
        <v>395</v>
      </c>
      <c r="F708" s="3">
        <v>41880</v>
      </c>
      <c r="G708" t="s">
        <v>332</v>
      </c>
      <c r="H708" s="18">
        <v>500</v>
      </c>
      <c r="J708" s="20" t="str">
        <f t="shared" si="37"/>
        <v/>
      </c>
      <c r="K708" t="str">
        <f t="shared" si="39"/>
        <v/>
      </c>
      <c r="L708" s="4">
        <f t="shared" si="38"/>
        <v>0</v>
      </c>
    </row>
    <row r="709" spans="1:12" x14ac:dyDescent="0.25">
      <c r="A709">
        <v>397</v>
      </c>
      <c r="B709" s="3">
        <v>41880</v>
      </c>
      <c r="C709" s="4">
        <v>500</v>
      </c>
      <c r="E709">
        <v>397</v>
      </c>
      <c r="F709" s="3">
        <v>41880</v>
      </c>
      <c r="G709" t="s">
        <v>287</v>
      </c>
      <c r="H709" s="18">
        <v>500</v>
      </c>
      <c r="J709" s="20" t="str">
        <f t="shared" si="37"/>
        <v/>
      </c>
      <c r="K709" t="str">
        <f t="shared" si="39"/>
        <v/>
      </c>
      <c r="L709" s="4">
        <f t="shared" si="38"/>
        <v>0</v>
      </c>
    </row>
    <row r="710" spans="1:12" x14ac:dyDescent="0.25">
      <c r="A710">
        <v>410</v>
      </c>
      <c r="B710" s="3">
        <v>41880</v>
      </c>
      <c r="C710" s="4">
        <v>1200</v>
      </c>
      <c r="E710">
        <v>410</v>
      </c>
      <c r="F710" s="3">
        <v>41880</v>
      </c>
      <c r="G710" t="s">
        <v>32</v>
      </c>
      <c r="H710" s="18">
        <v>1200</v>
      </c>
      <c r="J710" s="20" t="str">
        <f t="shared" si="37"/>
        <v/>
      </c>
      <c r="K710" t="str">
        <f t="shared" si="39"/>
        <v/>
      </c>
      <c r="L710" s="4">
        <f t="shared" si="38"/>
        <v>0</v>
      </c>
    </row>
    <row r="711" spans="1:12" x14ac:dyDescent="0.25">
      <c r="A711">
        <v>429</v>
      </c>
      <c r="B711" s="3">
        <v>41880</v>
      </c>
      <c r="C711" s="4">
        <v>1125</v>
      </c>
      <c r="E711">
        <v>429</v>
      </c>
      <c r="F711" s="3">
        <v>41880</v>
      </c>
      <c r="G711" t="s">
        <v>296</v>
      </c>
      <c r="H711" s="18">
        <v>1125</v>
      </c>
      <c r="J711" s="20" t="str">
        <f t="shared" si="37"/>
        <v/>
      </c>
      <c r="K711" t="str">
        <f t="shared" si="39"/>
        <v/>
      </c>
      <c r="L711" s="4">
        <f t="shared" si="38"/>
        <v>0</v>
      </c>
    </row>
    <row r="712" spans="1:12" x14ac:dyDescent="0.25">
      <c r="A712">
        <v>430</v>
      </c>
      <c r="B712" s="3">
        <v>41880</v>
      </c>
      <c r="C712" s="4">
        <v>841.5</v>
      </c>
      <c r="E712">
        <v>430</v>
      </c>
      <c r="F712" s="3">
        <v>41880</v>
      </c>
      <c r="G712" t="s">
        <v>114</v>
      </c>
      <c r="H712" s="18">
        <v>841.5</v>
      </c>
      <c r="J712" s="20" t="str">
        <f t="shared" si="37"/>
        <v/>
      </c>
      <c r="K712" t="str">
        <f t="shared" si="39"/>
        <v/>
      </c>
      <c r="L712" s="4">
        <f t="shared" si="38"/>
        <v>0</v>
      </c>
    </row>
    <row r="713" spans="1:12" x14ac:dyDescent="0.25">
      <c r="A713">
        <v>443</v>
      </c>
      <c r="B713" s="3">
        <v>41880</v>
      </c>
      <c r="C713" s="4">
        <v>275</v>
      </c>
      <c r="E713">
        <v>443</v>
      </c>
      <c r="F713" s="3">
        <v>41880</v>
      </c>
      <c r="G713" t="s">
        <v>300</v>
      </c>
      <c r="H713" s="18">
        <v>275</v>
      </c>
      <c r="J713" s="20" t="str">
        <f t="shared" si="37"/>
        <v/>
      </c>
      <c r="K713" t="str">
        <f t="shared" si="39"/>
        <v/>
      </c>
      <c r="L713" s="4">
        <f t="shared" si="38"/>
        <v>0</v>
      </c>
    </row>
    <row r="714" spans="1:12" x14ac:dyDescent="0.25">
      <c r="A714">
        <v>472</v>
      </c>
      <c r="B714" s="3">
        <v>41880</v>
      </c>
      <c r="C714" s="4">
        <v>500</v>
      </c>
      <c r="E714">
        <v>472</v>
      </c>
      <c r="F714" s="3">
        <v>41880</v>
      </c>
      <c r="G714" t="s">
        <v>279</v>
      </c>
      <c r="H714" s="18">
        <v>500</v>
      </c>
      <c r="J714" s="20" t="str">
        <f t="shared" si="37"/>
        <v/>
      </c>
      <c r="K714" t="str">
        <f t="shared" si="39"/>
        <v/>
      </c>
      <c r="L714" s="4">
        <f t="shared" si="38"/>
        <v>0</v>
      </c>
    </row>
    <row r="715" spans="1:12" x14ac:dyDescent="0.25">
      <c r="A715">
        <v>580</v>
      </c>
      <c r="B715" s="3">
        <v>41880</v>
      </c>
      <c r="C715" s="4">
        <v>500</v>
      </c>
      <c r="E715">
        <v>580</v>
      </c>
      <c r="F715" s="3">
        <v>41880</v>
      </c>
      <c r="G715" t="s">
        <v>37</v>
      </c>
      <c r="H715" s="18">
        <v>500</v>
      </c>
      <c r="J715" s="20" t="str">
        <f t="shared" si="37"/>
        <v/>
      </c>
      <c r="K715" t="str">
        <f t="shared" si="39"/>
        <v/>
      </c>
      <c r="L715" s="4">
        <f t="shared" si="38"/>
        <v>0</v>
      </c>
    </row>
    <row r="716" spans="1:12" x14ac:dyDescent="0.25">
      <c r="A716">
        <v>642</v>
      </c>
      <c r="B716" s="3">
        <v>41880</v>
      </c>
      <c r="C716" s="4">
        <v>80</v>
      </c>
      <c r="E716">
        <v>642</v>
      </c>
      <c r="F716" s="3">
        <v>41880</v>
      </c>
      <c r="G716" t="s">
        <v>333</v>
      </c>
      <c r="H716" s="18">
        <v>80</v>
      </c>
      <c r="J716" s="20" t="str">
        <f t="shared" si="37"/>
        <v/>
      </c>
      <c r="K716" t="str">
        <f t="shared" si="39"/>
        <v/>
      </c>
      <c r="L716" s="4">
        <f t="shared" si="38"/>
        <v>0</v>
      </c>
    </row>
    <row r="717" spans="1:12" x14ac:dyDescent="0.25">
      <c r="A717">
        <v>269</v>
      </c>
      <c r="B717" s="3">
        <v>41884</v>
      </c>
      <c r="C717" s="4">
        <v>1000</v>
      </c>
      <c r="E717">
        <v>269</v>
      </c>
      <c r="F717" s="3">
        <v>41884</v>
      </c>
      <c r="G717" t="s">
        <v>254</v>
      </c>
      <c r="H717" s="18">
        <v>1000</v>
      </c>
      <c r="J717" s="20" t="str">
        <f t="shared" si="37"/>
        <v/>
      </c>
      <c r="K717" t="str">
        <f t="shared" si="39"/>
        <v/>
      </c>
      <c r="L717" s="4">
        <f t="shared" si="38"/>
        <v>0</v>
      </c>
    </row>
    <row r="718" spans="1:12" x14ac:dyDescent="0.25">
      <c r="A718">
        <v>41</v>
      </c>
      <c r="B718" s="3">
        <v>41886</v>
      </c>
      <c r="C718" s="4">
        <v>560</v>
      </c>
      <c r="E718">
        <v>41</v>
      </c>
      <c r="F718" s="3">
        <v>41886</v>
      </c>
      <c r="G718" t="s">
        <v>10</v>
      </c>
      <c r="H718" s="18">
        <v>560</v>
      </c>
      <c r="J718" s="20" t="str">
        <f t="shared" si="37"/>
        <v/>
      </c>
      <c r="K718" t="str">
        <f t="shared" si="39"/>
        <v/>
      </c>
      <c r="L718" s="4">
        <f t="shared" si="38"/>
        <v>0</v>
      </c>
    </row>
    <row r="719" spans="1:12" x14ac:dyDescent="0.25">
      <c r="A719">
        <v>85</v>
      </c>
      <c r="B719" s="3">
        <v>41886</v>
      </c>
      <c r="C719" s="4">
        <v>325</v>
      </c>
      <c r="E719">
        <v>85</v>
      </c>
      <c r="F719" s="3">
        <v>41886</v>
      </c>
      <c r="G719" t="s">
        <v>79</v>
      </c>
      <c r="H719" s="18">
        <v>325</v>
      </c>
      <c r="J719" s="20" t="str">
        <f t="shared" si="37"/>
        <v/>
      </c>
      <c r="K719" t="str">
        <f t="shared" si="39"/>
        <v/>
      </c>
      <c r="L719" s="4">
        <f t="shared" si="38"/>
        <v>0</v>
      </c>
    </row>
    <row r="720" spans="1:12" x14ac:dyDescent="0.25">
      <c r="A720">
        <v>133</v>
      </c>
      <c r="B720" s="3">
        <v>41886</v>
      </c>
      <c r="C720" s="4">
        <v>354.05</v>
      </c>
      <c r="E720">
        <v>133</v>
      </c>
      <c r="F720" s="3">
        <v>41886</v>
      </c>
      <c r="G720" t="s">
        <v>87</v>
      </c>
      <c r="H720" s="18">
        <v>354.05</v>
      </c>
      <c r="J720" s="20" t="str">
        <f t="shared" si="37"/>
        <v/>
      </c>
      <c r="K720" t="str">
        <f t="shared" si="39"/>
        <v/>
      </c>
      <c r="L720" s="4">
        <f t="shared" si="38"/>
        <v>0</v>
      </c>
    </row>
    <row r="721" spans="1:12" x14ac:dyDescent="0.25">
      <c r="A721">
        <v>142</v>
      </c>
      <c r="B721" s="3">
        <v>41886</v>
      </c>
      <c r="C721" s="4">
        <v>787.7</v>
      </c>
      <c r="E721">
        <v>142</v>
      </c>
      <c r="F721" s="3">
        <v>41886</v>
      </c>
      <c r="G721" t="s">
        <v>324</v>
      </c>
      <c r="H721" s="18">
        <v>787.7</v>
      </c>
      <c r="J721" s="20" t="str">
        <f t="shared" si="37"/>
        <v/>
      </c>
      <c r="K721" t="str">
        <f t="shared" si="39"/>
        <v/>
      </c>
      <c r="L721" s="4">
        <f t="shared" si="38"/>
        <v>0</v>
      </c>
    </row>
    <row r="722" spans="1:12" x14ac:dyDescent="0.25">
      <c r="A722">
        <v>185</v>
      </c>
      <c r="B722" s="3">
        <v>41886</v>
      </c>
      <c r="C722" s="4">
        <v>1000</v>
      </c>
      <c r="E722">
        <v>185</v>
      </c>
      <c r="F722" s="3">
        <v>41886</v>
      </c>
      <c r="G722" t="s">
        <v>17</v>
      </c>
      <c r="H722" s="18">
        <v>1000</v>
      </c>
      <c r="J722" s="20" t="str">
        <f t="shared" si="37"/>
        <v/>
      </c>
      <c r="K722" t="str">
        <f t="shared" si="39"/>
        <v/>
      </c>
      <c r="L722" s="4">
        <f t="shared" si="38"/>
        <v>0</v>
      </c>
    </row>
    <row r="723" spans="1:12" x14ac:dyDescent="0.25">
      <c r="A723">
        <v>203</v>
      </c>
      <c r="B723" s="3">
        <v>41886</v>
      </c>
      <c r="C723" s="4">
        <v>464</v>
      </c>
      <c r="E723">
        <v>203</v>
      </c>
      <c r="F723" s="3">
        <v>41886</v>
      </c>
      <c r="G723" t="s">
        <v>95</v>
      </c>
      <c r="H723" s="18">
        <v>-36</v>
      </c>
      <c r="J723" s="20" t="str">
        <f t="shared" si="37"/>
        <v/>
      </c>
      <c r="K723" t="str">
        <f t="shared" si="39"/>
        <v/>
      </c>
      <c r="L723" s="4">
        <f t="shared" si="38"/>
        <v>500</v>
      </c>
    </row>
    <row r="724" spans="1:12" x14ac:dyDescent="0.25">
      <c r="A724">
        <v>217</v>
      </c>
      <c r="B724" s="3">
        <v>41886</v>
      </c>
      <c r="C724" s="4">
        <v>900</v>
      </c>
      <c r="E724">
        <v>217</v>
      </c>
      <c r="F724" s="3">
        <v>41886</v>
      </c>
      <c r="G724" t="s">
        <v>97</v>
      </c>
      <c r="H724" s="18">
        <v>900</v>
      </c>
      <c r="J724" s="20" t="str">
        <f t="shared" si="37"/>
        <v/>
      </c>
      <c r="K724" t="str">
        <f t="shared" si="39"/>
        <v/>
      </c>
      <c r="L724" s="4">
        <f t="shared" si="38"/>
        <v>0</v>
      </c>
    </row>
    <row r="725" spans="1:12" x14ac:dyDescent="0.25">
      <c r="A725">
        <v>218</v>
      </c>
      <c r="B725" s="3">
        <v>41886</v>
      </c>
      <c r="C725" s="4">
        <v>1150</v>
      </c>
      <c r="E725">
        <v>218</v>
      </c>
      <c r="F725" s="3">
        <v>41886</v>
      </c>
      <c r="G725" t="s">
        <v>233</v>
      </c>
      <c r="H725" s="18">
        <v>1150</v>
      </c>
      <c r="J725" s="20" t="str">
        <f t="shared" si="37"/>
        <v/>
      </c>
      <c r="K725" t="str">
        <f t="shared" si="39"/>
        <v/>
      </c>
      <c r="L725" s="4">
        <f t="shared" si="38"/>
        <v>0</v>
      </c>
    </row>
    <row r="726" spans="1:12" x14ac:dyDescent="0.25">
      <c r="A726">
        <v>223</v>
      </c>
      <c r="B726" s="3">
        <v>41886</v>
      </c>
      <c r="C726" s="4">
        <v>393.5</v>
      </c>
      <c r="E726">
        <v>223</v>
      </c>
      <c r="F726" s="3">
        <v>41886</v>
      </c>
      <c r="G726" t="s">
        <v>325</v>
      </c>
      <c r="H726" s="18">
        <v>393.5</v>
      </c>
      <c r="J726" s="20" t="str">
        <f t="shared" si="37"/>
        <v/>
      </c>
      <c r="K726" t="str">
        <f t="shared" si="39"/>
        <v/>
      </c>
      <c r="L726" s="4">
        <f t="shared" si="38"/>
        <v>0</v>
      </c>
    </row>
    <row r="727" spans="1:12" x14ac:dyDescent="0.25">
      <c r="A727">
        <v>225</v>
      </c>
      <c r="B727" s="3">
        <v>41886</v>
      </c>
      <c r="C727" s="4">
        <v>500</v>
      </c>
      <c r="E727">
        <v>225</v>
      </c>
      <c r="F727" s="3">
        <v>41886</v>
      </c>
      <c r="G727" t="s">
        <v>326</v>
      </c>
      <c r="H727" s="18">
        <v>500</v>
      </c>
      <c r="J727" s="20" t="str">
        <f t="shared" si="37"/>
        <v/>
      </c>
      <c r="K727" t="str">
        <f t="shared" si="39"/>
        <v/>
      </c>
      <c r="L727" s="4">
        <f t="shared" si="38"/>
        <v>0</v>
      </c>
    </row>
    <row r="728" spans="1:12" x14ac:dyDescent="0.25">
      <c r="A728">
        <v>230</v>
      </c>
      <c r="B728" s="3">
        <v>41886</v>
      </c>
      <c r="C728" s="4">
        <v>1425</v>
      </c>
      <c r="E728">
        <v>230</v>
      </c>
      <c r="F728" s="3">
        <v>41886</v>
      </c>
      <c r="G728" t="s">
        <v>316</v>
      </c>
      <c r="H728" s="18">
        <v>1425</v>
      </c>
      <c r="J728" s="20" t="str">
        <f t="shared" si="37"/>
        <v/>
      </c>
      <c r="K728" t="str">
        <f t="shared" si="39"/>
        <v/>
      </c>
      <c r="L728" s="4">
        <f t="shared" si="38"/>
        <v>0</v>
      </c>
    </row>
    <row r="729" spans="1:12" x14ac:dyDescent="0.25">
      <c r="A729">
        <v>231</v>
      </c>
      <c r="B729" s="3">
        <v>41886</v>
      </c>
      <c r="C729" s="4">
        <v>500</v>
      </c>
      <c r="E729">
        <v>231</v>
      </c>
      <c r="F729" s="3">
        <v>41886</v>
      </c>
      <c r="G729" t="s">
        <v>310</v>
      </c>
      <c r="H729" s="18">
        <v>500</v>
      </c>
      <c r="J729" s="20" t="str">
        <f t="shared" si="37"/>
        <v/>
      </c>
      <c r="K729" t="str">
        <f t="shared" si="39"/>
        <v/>
      </c>
      <c r="L729" s="4">
        <f t="shared" si="38"/>
        <v>0</v>
      </c>
    </row>
    <row r="730" spans="1:12" x14ac:dyDescent="0.25">
      <c r="A730">
        <v>232</v>
      </c>
      <c r="B730" s="3">
        <v>41886</v>
      </c>
      <c r="C730" s="4">
        <v>1950</v>
      </c>
      <c r="E730">
        <v>232</v>
      </c>
      <c r="F730" s="3">
        <v>41886</v>
      </c>
      <c r="G730" t="s">
        <v>100</v>
      </c>
      <c r="H730" s="18">
        <v>1950</v>
      </c>
      <c r="J730" s="20" t="str">
        <f t="shared" si="37"/>
        <v/>
      </c>
      <c r="K730" t="str">
        <f t="shared" si="39"/>
        <v/>
      </c>
      <c r="L730" s="4">
        <f t="shared" si="38"/>
        <v>0</v>
      </c>
    </row>
    <row r="731" spans="1:12" x14ac:dyDescent="0.25">
      <c r="A731">
        <v>233</v>
      </c>
      <c r="B731" s="3">
        <v>41886</v>
      </c>
      <c r="C731" s="4">
        <v>1275</v>
      </c>
      <c r="E731">
        <v>233</v>
      </c>
      <c r="F731" s="3">
        <v>41886</v>
      </c>
      <c r="G731" t="s">
        <v>294</v>
      </c>
      <c r="H731" s="18">
        <v>1275</v>
      </c>
      <c r="J731" s="20" t="str">
        <f t="shared" si="37"/>
        <v/>
      </c>
      <c r="K731" t="str">
        <f t="shared" si="39"/>
        <v/>
      </c>
      <c r="L731" s="4">
        <f t="shared" si="38"/>
        <v>0</v>
      </c>
    </row>
    <row r="732" spans="1:12" x14ac:dyDescent="0.25">
      <c r="A732">
        <v>236</v>
      </c>
      <c r="B732" s="3">
        <v>41886</v>
      </c>
      <c r="C732" s="4">
        <v>900</v>
      </c>
      <c r="E732">
        <v>236</v>
      </c>
      <c r="F732" s="3">
        <v>41886</v>
      </c>
      <c r="G732" t="s">
        <v>211</v>
      </c>
      <c r="H732" s="18">
        <v>900</v>
      </c>
      <c r="J732" s="20" t="str">
        <f t="shared" si="37"/>
        <v/>
      </c>
      <c r="K732" t="str">
        <f t="shared" si="39"/>
        <v/>
      </c>
      <c r="L732" s="4">
        <f t="shared" si="38"/>
        <v>0</v>
      </c>
    </row>
    <row r="733" spans="1:12" x14ac:dyDescent="0.25">
      <c r="A733">
        <v>248</v>
      </c>
      <c r="B733" s="3">
        <v>41886</v>
      </c>
      <c r="C733" s="4">
        <v>816</v>
      </c>
      <c r="E733">
        <v>248</v>
      </c>
      <c r="F733" s="3">
        <v>41886</v>
      </c>
      <c r="G733" t="s">
        <v>19</v>
      </c>
      <c r="H733" s="18">
        <v>816</v>
      </c>
      <c r="J733" s="20" t="str">
        <f t="shared" si="37"/>
        <v/>
      </c>
      <c r="K733" t="str">
        <f t="shared" si="39"/>
        <v/>
      </c>
      <c r="L733" s="4">
        <f t="shared" si="38"/>
        <v>0</v>
      </c>
    </row>
    <row r="734" spans="1:12" x14ac:dyDescent="0.25">
      <c r="A734">
        <v>250</v>
      </c>
      <c r="B734" s="3">
        <v>41886</v>
      </c>
      <c r="C734" s="4">
        <v>433.5</v>
      </c>
      <c r="E734">
        <v>250</v>
      </c>
      <c r="F734" s="3">
        <v>41886</v>
      </c>
      <c r="G734" t="s">
        <v>212</v>
      </c>
      <c r="H734" s="18">
        <v>433.5</v>
      </c>
      <c r="J734" s="20" t="str">
        <f t="shared" si="37"/>
        <v/>
      </c>
      <c r="K734" t="str">
        <f t="shared" si="39"/>
        <v/>
      </c>
      <c r="L734" s="4">
        <f t="shared" si="38"/>
        <v>0</v>
      </c>
    </row>
    <row r="735" spans="1:12" x14ac:dyDescent="0.25">
      <c r="A735">
        <v>260</v>
      </c>
      <c r="B735" s="3">
        <v>41886</v>
      </c>
      <c r="C735" s="4">
        <v>425</v>
      </c>
      <c r="E735">
        <v>260</v>
      </c>
      <c r="F735" s="3">
        <v>41886</v>
      </c>
      <c r="G735" t="s">
        <v>327</v>
      </c>
      <c r="H735" s="18">
        <v>425</v>
      </c>
      <c r="J735" s="20" t="str">
        <f t="shared" si="37"/>
        <v/>
      </c>
      <c r="K735" t="str">
        <f t="shared" si="39"/>
        <v/>
      </c>
      <c r="L735" s="4">
        <f t="shared" si="38"/>
        <v>0</v>
      </c>
    </row>
    <row r="736" spans="1:12" x14ac:dyDescent="0.25">
      <c r="A736">
        <v>269</v>
      </c>
      <c r="B736" s="3">
        <v>41886</v>
      </c>
      <c r="C736" s="4">
        <v>1000</v>
      </c>
      <c r="E736">
        <v>269</v>
      </c>
      <c r="F736" s="3">
        <v>41886</v>
      </c>
      <c r="G736" t="s">
        <v>254</v>
      </c>
      <c r="H736" s="18">
        <v>1000</v>
      </c>
      <c r="J736" s="20" t="str">
        <f t="shared" si="37"/>
        <v/>
      </c>
      <c r="K736" t="str">
        <f t="shared" si="39"/>
        <v/>
      </c>
      <c r="L736" s="4">
        <f t="shared" si="38"/>
        <v>0</v>
      </c>
    </row>
    <row r="737" spans="1:12" x14ac:dyDescent="0.25">
      <c r="A737">
        <v>325</v>
      </c>
      <c r="B737" s="3">
        <v>41886</v>
      </c>
      <c r="C737" s="4">
        <v>675</v>
      </c>
      <c r="E737">
        <v>325</v>
      </c>
      <c r="F737" s="3">
        <v>41886</v>
      </c>
      <c r="G737" t="s">
        <v>107</v>
      </c>
      <c r="H737" s="18">
        <v>675</v>
      </c>
      <c r="J737" s="20" t="str">
        <f t="shared" si="37"/>
        <v/>
      </c>
      <c r="K737" t="str">
        <f t="shared" si="39"/>
        <v/>
      </c>
      <c r="L737" s="4">
        <f t="shared" si="38"/>
        <v>0</v>
      </c>
    </row>
    <row r="738" spans="1:12" x14ac:dyDescent="0.25">
      <c r="A738">
        <v>326</v>
      </c>
      <c r="B738" s="3">
        <v>41886</v>
      </c>
      <c r="C738" s="4">
        <v>1175</v>
      </c>
      <c r="E738">
        <v>326</v>
      </c>
      <c r="F738" s="3">
        <v>41886</v>
      </c>
      <c r="G738" t="s">
        <v>25</v>
      </c>
      <c r="H738" s="18">
        <v>1175</v>
      </c>
      <c r="J738" s="20" t="str">
        <f t="shared" ref="J738:J797" si="40">IF(E738=A738,"","CHECK")</f>
        <v/>
      </c>
      <c r="K738" t="str">
        <f t="shared" si="39"/>
        <v/>
      </c>
      <c r="L738" s="4">
        <f t="shared" ref="L738:L797" si="41">C738-H738</f>
        <v>0</v>
      </c>
    </row>
    <row r="739" spans="1:12" x14ac:dyDescent="0.25">
      <c r="B739" s="3"/>
      <c r="E739">
        <v>355</v>
      </c>
      <c r="F739" s="3">
        <v>41886</v>
      </c>
      <c r="G739" t="s">
        <v>108</v>
      </c>
      <c r="H739" s="18">
        <v>0</v>
      </c>
      <c r="J739" s="20" t="str">
        <f t="shared" si="40"/>
        <v>CHECK</v>
      </c>
      <c r="K739" t="str">
        <f t="shared" si="39"/>
        <v>CHECK</v>
      </c>
      <c r="L739" s="4">
        <f t="shared" si="41"/>
        <v>0</v>
      </c>
    </row>
    <row r="740" spans="1:12" x14ac:dyDescent="0.25">
      <c r="A740">
        <v>383</v>
      </c>
      <c r="B740" s="3">
        <v>41886</v>
      </c>
      <c r="C740" s="4">
        <v>1425</v>
      </c>
      <c r="E740">
        <v>383</v>
      </c>
      <c r="F740" s="3">
        <v>41886</v>
      </c>
      <c r="G740" t="s">
        <v>220</v>
      </c>
      <c r="H740" s="18">
        <v>1425</v>
      </c>
      <c r="J740" s="20" t="str">
        <f t="shared" si="40"/>
        <v/>
      </c>
      <c r="K740" t="str">
        <f t="shared" si="39"/>
        <v/>
      </c>
      <c r="L740" s="4">
        <f t="shared" si="41"/>
        <v>0</v>
      </c>
    </row>
    <row r="741" spans="1:12" x14ac:dyDescent="0.25">
      <c r="A741">
        <v>391</v>
      </c>
      <c r="B741" s="3">
        <v>41886</v>
      </c>
      <c r="C741" s="4">
        <v>900</v>
      </c>
      <c r="E741">
        <v>391</v>
      </c>
      <c r="F741" s="3">
        <v>41886</v>
      </c>
      <c r="G741" t="s">
        <v>319</v>
      </c>
      <c r="H741" s="18">
        <v>900</v>
      </c>
      <c r="J741" s="20" t="str">
        <f t="shared" si="40"/>
        <v/>
      </c>
      <c r="K741" t="str">
        <f t="shared" si="39"/>
        <v/>
      </c>
      <c r="L741" s="4">
        <f t="shared" si="41"/>
        <v>0</v>
      </c>
    </row>
    <row r="742" spans="1:12" x14ac:dyDescent="0.25">
      <c r="A742">
        <v>392</v>
      </c>
      <c r="B742" s="3">
        <v>41886</v>
      </c>
      <c r="C742" s="4">
        <v>1300</v>
      </c>
      <c r="E742">
        <v>392</v>
      </c>
      <c r="F742" s="3">
        <v>41886</v>
      </c>
      <c r="G742" t="s">
        <v>111</v>
      </c>
      <c r="H742" s="18">
        <v>1300</v>
      </c>
      <c r="J742" s="20" t="str">
        <f t="shared" si="40"/>
        <v/>
      </c>
      <c r="K742" t="str">
        <f t="shared" si="39"/>
        <v/>
      </c>
      <c r="L742" s="4">
        <f t="shared" si="41"/>
        <v>0</v>
      </c>
    </row>
    <row r="743" spans="1:12" x14ac:dyDescent="0.25">
      <c r="A743">
        <v>397</v>
      </c>
      <c r="B743" s="3">
        <v>41886</v>
      </c>
      <c r="C743" s="4">
        <v>500</v>
      </c>
      <c r="E743">
        <v>397</v>
      </c>
      <c r="F743" s="3">
        <v>41886</v>
      </c>
      <c r="G743" t="s">
        <v>287</v>
      </c>
      <c r="H743" s="18">
        <v>500</v>
      </c>
      <c r="J743" s="20" t="str">
        <f t="shared" si="40"/>
        <v/>
      </c>
      <c r="K743" t="str">
        <f t="shared" si="39"/>
        <v/>
      </c>
      <c r="L743" s="4">
        <f t="shared" si="41"/>
        <v>0</v>
      </c>
    </row>
    <row r="744" spans="1:12" x14ac:dyDescent="0.25">
      <c r="A744">
        <v>401</v>
      </c>
      <c r="B744" s="3">
        <v>41886</v>
      </c>
      <c r="C744" s="4">
        <v>900</v>
      </c>
      <c r="E744">
        <v>401</v>
      </c>
      <c r="F744" s="3">
        <v>41886</v>
      </c>
      <c r="G744" t="s">
        <v>184</v>
      </c>
      <c r="H744" s="18">
        <v>900</v>
      </c>
      <c r="J744" s="20" t="str">
        <f t="shared" si="40"/>
        <v/>
      </c>
      <c r="K744" t="str">
        <f t="shared" si="39"/>
        <v/>
      </c>
      <c r="L744" s="4">
        <f t="shared" si="41"/>
        <v>0</v>
      </c>
    </row>
    <row r="745" spans="1:12" x14ac:dyDescent="0.25">
      <c r="A745">
        <v>429</v>
      </c>
      <c r="B745" s="3">
        <v>41886</v>
      </c>
      <c r="C745" s="4">
        <v>525</v>
      </c>
      <c r="E745">
        <v>429</v>
      </c>
      <c r="F745" s="3">
        <v>41886</v>
      </c>
      <c r="G745" t="s">
        <v>296</v>
      </c>
      <c r="H745" s="18">
        <v>525</v>
      </c>
      <c r="J745" s="20" t="str">
        <f t="shared" si="40"/>
        <v/>
      </c>
      <c r="K745" t="str">
        <f t="shared" si="39"/>
        <v/>
      </c>
      <c r="L745" s="4">
        <f t="shared" si="41"/>
        <v>0</v>
      </c>
    </row>
    <row r="746" spans="1:12" x14ac:dyDescent="0.25">
      <c r="A746">
        <v>472</v>
      </c>
      <c r="B746" s="3">
        <v>41886</v>
      </c>
      <c r="C746" s="4">
        <v>500</v>
      </c>
      <c r="E746">
        <v>472</v>
      </c>
      <c r="F746" s="3">
        <v>41886</v>
      </c>
      <c r="G746" t="s">
        <v>279</v>
      </c>
      <c r="H746" s="18">
        <v>500</v>
      </c>
      <c r="J746" s="20" t="str">
        <f t="shared" si="40"/>
        <v/>
      </c>
      <c r="K746" t="str">
        <f t="shared" si="39"/>
        <v/>
      </c>
      <c r="L746" s="4">
        <f t="shared" si="41"/>
        <v>0</v>
      </c>
    </row>
    <row r="747" spans="1:12" x14ac:dyDescent="0.25">
      <c r="A747">
        <v>580</v>
      </c>
      <c r="B747" s="3">
        <v>41886</v>
      </c>
      <c r="C747" s="4">
        <v>500</v>
      </c>
      <c r="E747">
        <v>580</v>
      </c>
      <c r="F747" s="3">
        <v>41886</v>
      </c>
      <c r="G747" t="s">
        <v>37</v>
      </c>
      <c r="H747" s="18">
        <v>500</v>
      </c>
      <c r="J747" s="20" t="str">
        <f t="shared" si="40"/>
        <v/>
      </c>
      <c r="K747" t="str">
        <f t="shared" si="39"/>
        <v/>
      </c>
      <c r="L747" s="4">
        <f t="shared" si="41"/>
        <v>0</v>
      </c>
    </row>
    <row r="748" spans="1:12" x14ac:dyDescent="0.25">
      <c r="A748">
        <v>41</v>
      </c>
      <c r="B748" s="3">
        <v>41887</v>
      </c>
      <c r="C748" s="4">
        <v>1463.7</v>
      </c>
      <c r="E748">
        <v>41</v>
      </c>
      <c r="F748" s="3">
        <v>41887</v>
      </c>
      <c r="G748" t="s">
        <v>10</v>
      </c>
      <c r="H748" s="18">
        <v>1463.7</v>
      </c>
      <c r="J748" s="20" t="str">
        <f t="shared" si="40"/>
        <v/>
      </c>
      <c r="K748" t="str">
        <f t="shared" si="39"/>
        <v/>
      </c>
      <c r="L748" s="4">
        <f t="shared" si="41"/>
        <v>0</v>
      </c>
    </row>
    <row r="749" spans="1:12" x14ac:dyDescent="0.25">
      <c r="A749">
        <v>63</v>
      </c>
      <c r="B749" s="3">
        <v>41887</v>
      </c>
      <c r="C749" s="4">
        <v>787.5</v>
      </c>
      <c r="E749">
        <v>63</v>
      </c>
      <c r="F749" s="3">
        <v>41887</v>
      </c>
      <c r="G749" t="s">
        <v>181</v>
      </c>
      <c r="H749" s="18">
        <v>0</v>
      </c>
      <c r="J749" s="20" t="str">
        <f t="shared" si="40"/>
        <v/>
      </c>
      <c r="K749" t="str">
        <f t="shared" si="39"/>
        <v/>
      </c>
      <c r="L749" s="4">
        <f t="shared" si="41"/>
        <v>787.5</v>
      </c>
    </row>
    <row r="750" spans="1:12" x14ac:dyDescent="0.25">
      <c r="A750">
        <v>85</v>
      </c>
      <c r="B750" s="3">
        <v>41887</v>
      </c>
      <c r="C750" s="4">
        <v>1218.75</v>
      </c>
      <c r="E750">
        <v>85</v>
      </c>
      <c r="F750" s="3">
        <v>41887</v>
      </c>
      <c r="G750" t="s">
        <v>79</v>
      </c>
      <c r="H750" s="18">
        <v>1218.75</v>
      </c>
      <c r="J750" s="20" t="str">
        <f t="shared" si="40"/>
        <v/>
      </c>
      <c r="K750" t="str">
        <f t="shared" si="39"/>
        <v/>
      </c>
      <c r="L750" s="4">
        <f t="shared" si="41"/>
        <v>0</v>
      </c>
    </row>
    <row r="751" spans="1:12" x14ac:dyDescent="0.25">
      <c r="A751">
        <v>157</v>
      </c>
      <c r="B751" s="3">
        <v>41887</v>
      </c>
      <c r="C751" s="4">
        <v>114.75</v>
      </c>
      <c r="E751">
        <v>157</v>
      </c>
      <c r="F751" s="3">
        <v>41887</v>
      </c>
      <c r="G751" t="s">
        <v>92</v>
      </c>
      <c r="H751" s="18">
        <v>114.75</v>
      </c>
      <c r="J751" s="20" t="str">
        <f t="shared" si="40"/>
        <v/>
      </c>
      <c r="K751" t="str">
        <f t="shared" si="39"/>
        <v/>
      </c>
      <c r="L751" s="4">
        <f t="shared" si="41"/>
        <v>0</v>
      </c>
    </row>
    <row r="752" spans="1:12" x14ac:dyDescent="0.25">
      <c r="A752">
        <v>203</v>
      </c>
      <c r="B752" s="3">
        <v>41887</v>
      </c>
      <c r="C752" s="4">
        <v>812.2</v>
      </c>
      <c r="E752">
        <v>203</v>
      </c>
      <c r="F752" s="3">
        <v>41887</v>
      </c>
      <c r="G752" t="s">
        <v>95</v>
      </c>
      <c r="H752" s="18">
        <v>812.2</v>
      </c>
      <c r="J752" s="20" t="str">
        <f t="shared" si="40"/>
        <v/>
      </c>
      <c r="K752" t="str">
        <f t="shared" si="39"/>
        <v/>
      </c>
      <c r="L752" s="4">
        <f t="shared" si="41"/>
        <v>0</v>
      </c>
    </row>
    <row r="753" spans="1:12" x14ac:dyDescent="0.25">
      <c r="A753">
        <v>214</v>
      </c>
      <c r="B753" s="3">
        <v>41887</v>
      </c>
      <c r="C753" s="4">
        <v>1500</v>
      </c>
      <c r="E753">
        <v>214</v>
      </c>
      <c r="F753" s="3">
        <v>41887</v>
      </c>
      <c r="G753" t="s">
        <v>323</v>
      </c>
      <c r="H753" s="18">
        <v>1500</v>
      </c>
      <c r="J753" s="20" t="str">
        <f t="shared" si="40"/>
        <v/>
      </c>
      <c r="K753" t="str">
        <f t="shared" si="39"/>
        <v/>
      </c>
      <c r="L753" s="4">
        <f t="shared" si="41"/>
        <v>0</v>
      </c>
    </row>
    <row r="754" spans="1:12" x14ac:dyDescent="0.25">
      <c r="A754">
        <v>254</v>
      </c>
      <c r="B754" s="3">
        <v>41887</v>
      </c>
      <c r="C754" s="4">
        <v>4428</v>
      </c>
      <c r="E754">
        <v>254</v>
      </c>
      <c r="F754" s="3">
        <v>41887</v>
      </c>
      <c r="G754" t="s">
        <v>317</v>
      </c>
      <c r="H754" s="18">
        <v>4428</v>
      </c>
      <c r="J754" s="20" t="str">
        <f t="shared" si="40"/>
        <v/>
      </c>
      <c r="K754" t="str">
        <f t="shared" si="39"/>
        <v/>
      </c>
      <c r="L754" s="4">
        <f t="shared" si="41"/>
        <v>0</v>
      </c>
    </row>
    <row r="755" spans="1:12" x14ac:dyDescent="0.25">
      <c r="A755">
        <v>261</v>
      </c>
      <c r="B755" s="3">
        <v>41887</v>
      </c>
      <c r="C755" s="4">
        <v>4150</v>
      </c>
      <c r="E755">
        <v>261</v>
      </c>
      <c r="F755" s="3">
        <v>41887</v>
      </c>
      <c r="G755" t="s">
        <v>22</v>
      </c>
      <c r="H755" s="18">
        <v>4150</v>
      </c>
      <c r="J755" s="20" t="str">
        <f t="shared" si="40"/>
        <v/>
      </c>
      <c r="K755" t="str">
        <f t="shared" si="39"/>
        <v/>
      </c>
      <c r="L755" s="4">
        <f t="shared" si="41"/>
        <v>0</v>
      </c>
    </row>
    <row r="756" spans="1:12" x14ac:dyDescent="0.25">
      <c r="A756">
        <v>268</v>
      </c>
      <c r="B756" s="3">
        <v>41887</v>
      </c>
      <c r="C756" s="4">
        <v>675</v>
      </c>
      <c r="E756">
        <v>268</v>
      </c>
      <c r="F756" s="3">
        <v>41887</v>
      </c>
      <c r="G756" t="s">
        <v>162</v>
      </c>
      <c r="H756" s="18">
        <v>675</v>
      </c>
      <c r="J756" s="20" t="str">
        <f t="shared" si="40"/>
        <v/>
      </c>
      <c r="K756" t="str">
        <f t="shared" si="39"/>
        <v/>
      </c>
      <c r="L756" s="4">
        <f t="shared" si="41"/>
        <v>0</v>
      </c>
    </row>
    <row r="757" spans="1:12" x14ac:dyDescent="0.25">
      <c r="A757">
        <v>321</v>
      </c>
      <c r="B757" s="3">
        <v>41887</v>
      </c>
      <c r="C757" s="4">
        <v>1400</v>
      </c>
      <c r="E757">
        <v>321</v>
      </c>
      <c r="F757" s="3">
        <v>41887</v>
      </c>
      <c r="G757" t="s">
        <v>105</v>
      </c>
      <c r="H757" s="18">
        <v>1400</v>
      </c>
      <c r="J757" s="20" t="str">
        <f t="shared" si="40"/>
        <v/>
      </c>
      <c r="K757" t="str">
        <f t="shared" si="39"/>
        <v/>
      </c>
      <c r="L757" s="4">
        <f t="shared" si="41"/>
        <v>0</v>
      </c>
    </row>
    <row r="758" spans="1:12" x14ac:dyDescent="0.25">
      <c r="A758">
        <v>341</v>
      </c>
      <c r="B758" s="3">
        <v>41887</v>
      </c>
      <c r="C758" s="4">
        <v>650</v>
      </c>
      <c r="E758">
        <v>341</v>
      </c>
      <c r="F758" s="3">
        <v>41887</v>
      </c>
      <c r="G758" t="s">
        <v>307</v>
      </c>
      <c r="H758" s="18">
        <v>650</v>
      </c>
      <c r="J758" s="20" t="str">
        <f t="shared" si="40"/>
        <v/>
      </c>
      <c r="K758" t="str">
        <f t="shared" si="39"/>
        <v/>
      </c>
      <c r="L758" s="4">
        <f t="shared" si="41"/>
        <v>0</v>
      </c>
    </row>
    <row r="759" spans="1:12" x14ac:dyDescent="0.25">
      <c r="A759">
        <v>373</v>
      </c>
      <c r="B759" s="3">
        <v>41887</v>
      </c>
      <c r="C759" s="4">
        <v>-1888.37</v>
      </c>
      <c r="E759">
        <v>373</v>
      </c>
      <c r="F759" s="3">
        <v>41887</v>
      </c>
      <c r="G759" t="s">
        <v>234</v>
      </c>
      <c r="H759" s="18">
        <v>-1888.37</v>
      </c>
      <c r="J759" s="20" t="str">
        <f t="shared" si="40"/>
        <v/>
      </c>
      <c r="K759" t="str">
        <f t="shared" si="39"/>
        <v/>
      </c>
      <c r="L759" s="4">
        <f t="shared" si="41"/>
        <v>0</v>
      </c>
    </row>
    <row r="760" spans="1:12" x14ac:dyDescent="0.25">
      <c r="A760">
        <v>389</v>
      </c>
      <c r="B760" s="3">
        <v>41887</v>
      </c>
      <c r="C760" s="4">
        <v>550</v>
      </c>
      <c r="E760">
        <v>389</v>
      </c>
      <c r="F760" s="3">
        <v>41887</v>
      </c>
      <c r="G760" t="s">
        <v>31</v>
      </c>
      <c r="H760" s="18">
        <v>550</v>
      </c>
      <c r="J760" s="20" t="str">
        <f t="shared" si="40"/>
        <v/>
      </c>
      <c r="K760" t="str">
        <f t="shared" si="39"/>
        <v/>
      </c>
      <c r="L760" s="4">
        <f t="shared" si="41"/>
        <v>0</v>
      </c>
    </row>
    <row r="761" spans="1:12" x14ac:dyDescent="0.25">
      <c r="A761">
        <v>438</v>
      </c>
      <c r="B761" s="3">
        <v>41887</v>
      </c>
      <c r="C761" s="4">
        <v>2175</v>
      </c>
      <c r="E761">
        <v>438</v>
      </c>
      <c r="F761" s="3">
        <v>41887</v>
      </c>
      <c r="G761" t="s">
        <v>115</v>
      </c>
      <c r="H761" s="18">
        <v>2175</v>
      </c>
      <c r="J761" s="20" t="str">
        <f t="shared" si="40"/>
        <v/>
      </c>
      <c r="K761" t="str">
        <f t="shared" si="39"/>
        <v/>
      </c>
      <c r="L761" s="4">
        <f t="shared" si="41"/>
        <v>0</v>
      </c>
    </row>
    <row r="762" spans="1:12" x14ac:dyDescent="0.25">
      <c r="A762">
        <v>446</v>
      </c>
      <c r="B762" s="3">
        <v>41887</v>
      </c>
      <c r="C762" s="4">
        <v>225</v>
      </c>
      <c r="E762">
        <v>446</v>
      </c>
      <c r="F762" s="3">
        <v>41887</v>
      </c>
      <c r="G762" t="s">
        <v>116</v>
      </c>
      <c r="H762" s="18">
        <v>225</v>
      </c>
      <c r="J762" s="20" t="str">
        <f t="shared" si="40"/>
        <v/>
      </c>
      <c r="K762" t="str">
        <f t="shared" si="39"/>
        <v/>
      </c>
      <c r="L762" s="4">
        <f t="shared" si="41"/>
        <v>0</v>
      </c>
    </row>
    <row r="763" spans="1:12" x14ac:dyDescent="0.25">
      <c r="A763">
        <v>458</v>
      </c>
      <c r="B763" s="3">
        <v>41887</v>
      </c>
      <c r="C763" s="4">
        <v>775</v>
      </c>
      <c r="E763">
        <v>458</v>
      </c>
      <c r="F763" s="3">
        <v>41887</v>
      </c>
      <c r="G763" t="s">
        <v>185</v>
      </c>
      <c r="H763" s="18">
        <v>775</v>
      </c>
      <c r="J763" s="20" t="str">
        <f t="shared" si="40"/>
        <v/>
      </c>
      <c r="K763" t="str">
        <f t="shared" si="39"/>
        <v/>
      </c>
      <c r="L763" s="4">
        <f t="shared" si="41"/>
        <v>0</v>
      </c>
    </row>
    <row r="764" spans="1:12" x14ac:dyDescent="0.25">
      <c r="A764">
        <v>487</v>
      </c>
      <c r="B764" s="3">
        <v>41887</v>
      </c>
      <c r="C764" s="4">
        <v>1132.5</v>
      </c>
      <c r="E764">
        <v>487</v>
      </c>
      <c r="F764" s="3">
        <v>41887</v>
      </c>
      <c r="G764" t="s">
        <v>303</v>
      </c>
      <c r="H764" s="18">
        <v>1132.5</v>
      </c>
      <c r="J764" s="20" t="str">
        <f t="shared" si="40"/>
        <v/>
      </c>
      <c r="K764" t="str">
        <f t="shared" si="39"/>
        <v/>
      </c>
      <c r="L764" s="4">
        <f t="shared" si="41"/>
        <v>0</v>
      </c>
    </row>
    <row r="765" spans="1:12" x14ac:dyDescent="0.25">
      <c r="A765">
        <v>41</v>
      </c>
      <c r="B765" s="3">
        <v>41888</v>
      </c>
      <c r="C765" s="4">
        <v>1071</v>
      </c>
      <c r="E765">
        <v>41</v>
      </c>
      <c r="F765" s="3">
        <v>41888</v>
      </c>
      <c r="G765" t="s">
        <v>10</v>
      </c>
      <c r="H765" s="18">
        <v>1071</v>
      </c>
      <c r="J765" s="20" t="str">
        <f t="shared" si="40"/>
        <v/>
      </c>
      <c r="K765" t="str">
        <f t="shared" si="39"/>
        <v/>
      </c>
      <c r="L765" s="4">
        <f t="shared" si="41"/>
        <v>0</v>
      </c>
    </row>
    <row r="766" spans="1:12" x14ac:dyDescent="0.25">
      <c r="A766">
        <v>41</v>
      </c>
      <c r="B766" s="3">
        <v>41889</v>
      </c>
      <c r="C766" s="4">
        <v>1428</v>
      </c>
      <c r="E766">
        <v>41</v>
      </c>
      <c r="F766" s="3">
        <v>41889</v>
      </c>
      <c r="G766" t="s">
        <v>10</v>
      </c>
      <c r="H766" s="18">
        <v>1428</v>
      </c>
      <c r="J766" s="20" t="str">
        <f t="shared" si="40"/>
        <v/>
      </c>
      <c r="K766" t="str">
        <f t="shared" si="39"/>
        <v/>
      </c>
      <c r="L766" s="4">
        <f t="shared" si="41"/>
        <v>0</v>
      </c>
    </row>
    <row r="767" spans="1:12" x14ac:dyDescent="0.25">
      <c r="A767">
        <v>41</v>
      </c>
      <c r="B767" s="3">
        <v>41890</v>
      </c>
      <c r="C767" s="4">
        <v>1856.4</v>
      </c>
      <c r="E767">
        <v>41</v>
      </c>
      <c r="F767" s="3">
        <v>41890</v>
      </c>
      <c r="G767" t="s">
        <v>10</v>
      </c>
      <c r="H767" s="18">
        <v>1856.4</v>
      </c>
      <c r="J767" s="20" t="str">
        <f t="shared" si="40"/>
        <v/>
      </c>
      <c r="K767" t="str">
        <f t="shared" si="39"/>
        <v/>
      </c>
      <c r="L767" s="4">
        <f t="shared" si="41"/>
        <v>0</v>
      </c>
    </row>
    <row r="768" spans="1:12" x14ac:dyDescent="0.25">
      <c r="A768">
        <v>27</v>
      </c>
      <c r="B768" s="3">
        <v>41891</v>
      </c>
      <c r="C768" s="4">
        <v>500</v>
      </c>
      <c r="E768">
        <v>27</v>
      </c>
      <c r="F768" s="3">
        <v>41891</v>
      </c>
      <c r="G768" t="s">
        <v>159</v>
      </c>
      <c r="H768" s="18">
        <v>500</v>
      </c>
      <c r="J768" s="20" t="str">
        <f t="shared" si="40"/>
        <v/>
      </c>
      <c r="K768" t="str">
        <f t="shared" si="39"/>
        <v/>
      </c>
      <c r="L768" s="4">
        <f t="shared" si="41"/>
        <v>0</v>
      </c>
    </row>
    <row r="769" spans="1:12" x14ac:dyDescent="0.25">
      <c r="A769">
        <v>41</v>
      </c>
      <c r="B769" s="3">
        <v>41891</v>
      </c>
      <c r="C769" s="4">
        <v>1428</v>
      </c>
      <c r="E769">
        <v>41</v>
      </c>
      <c r="F769" s="3">
        <v>41891</v>
      </c>
      <c r="G769" t="s">
        <v>10</v>
      </c>
      <c r="H769" s="18">
        <v>1428</v>
      </c>
      <c r="J769" s="20" t="str">
        <f t="shared" si="40"/>
        <v/>
      </c>
      <c r="K769" t="str">
        <f t="shared" si="39"/>
        <v/>
      </c>
      <c r="L769" s="4">
        <f t="shared" si="41"/>
        <v>0</v>
      </c>
    </row>
    <row r="770" spans="1:12" x14ac:dyDescent="0.25">
      <c r="A770">
        <v>282</v>
      </c>
      <c r="B770" s="3">
        <v>41891</v>
      </c>
      <c r="C770" s="4">
        <v>975</v>
      </c>
      <c r="E770">
        <v>282</v>
      </c>
      <c r="F770" s="3">
        <v>41891</v>
      </c>
      <c r="G770" t="s">
        <v>23</v>
      </c>
      <c r="H770" s="18">
        <v>975</v>
      </c>
      <c r="J770" s="20" t="str">
        <f t="shared" si="40"/>
        <v/>
      </c>
      <c r="K770" t="str">
        <f t="shared" si="39"/>
        <v/>
      </c>
      <c r="L770" s="4">
        <f t="shared" si="41"/>
        <v>0</v>
      </c>
    </row>
    <row r="771" spans="1:12" x14ac:dyDescent="0.25">
      <c r="A771">
        <v>383</v>
      </c>
      <c r="B771" s="3">
        <v>41891</v>
      </c>
      <c r="C771" s="4">
        <v>3000</v>
      </c>
      <c r="E771">
        <v>383</v>
      </c>
      <c r="F771" s="3">
        <v>41891</v>
      </c>
      <c r="G771" t="s">
        <v>220</v>
      </c>
      <c r="H771" s="18">
        <v>3000</v>
      </c>
      <c r="J771" s="20" t="str">
        <f t="shared" si="40"/>
        <v/>
      </c>
      <c r="K771" t="str">
        <f t="shared" ref="K771:K834" si="42">IF(F771=B771,"","CHECK")</f>
        <v/>
      </c>
      <c r="L771" s="4">
        <f t="shared" si="41"/>
        <v>0</v>
      </c>
    </row>
    <row r="772" spans="1:12" x14ac:dyDescent="0.25">
      <c r="A772">
        <v>480</v>
      </c>
      <c r="B772" s="3">
        <v>41891</v>
      </c>
      <c r="C772" s="4">
        <v>2000</v>
      </c>
      <c r="E772">
        <v>480</v>
      </c>
      <c r="F772" s="3">
        <v>41891</v>
      </c>
      <c r="G772" t="s">
        <v>34</v>
      </c>
      <c r="H772" s="18">
        <v>2000</v>
      </c>
      <c r="J772" s="20" t="str">
        <f t="shared" si="40"/>
        <v/>
      </c>
      <c r="K772" t="str">
        <f t="shared" si="42"/>
        <v/>
      </c>
      <c r="L772" s="4">
        <f t="shared" si="41"/>
        <v>0</v>
      </c>
    </row>
    <row r="773" spans="1:12" x14ac:dyDescent="0.25">
      <c r="A773">
        <v>41</v>
      </c>
      <c r="B773" s="3">
        <v>41892</v>
      </c>
      <c r="C773" s="4">
        <v>-510</v>
      </c>
      <c r="E773">
        <v>41</v>
      </c>
      <c r="F773" s="3">
        <v>41892</v>
      </c>
      <c r="G773" t="s">
        <v>10</v>
      </c>
      <c r="H773" s="18">
        <v>-510</v>
      </c>
      <c r="J773" s="20" t="str">
        <f t="shared" si="40"/>
        <v/>
      </c>
      <c r="K773" t="str">
        <f t="shared" si="42"/>
        <v/>
      </c>
      <c r="L773" s="4">
        <f t="shared" si="41"/>
        <v>0</v>
      </c>
    </row>
    <row r="774" spans="1:12" x14ac:dyDescent="0.25">
      <c r="A774">
        <v>41</v>
      </c>
      <c r="B774" s="3">
        <v>41893</v>
      </c>
      <c r="C774" s="4">
        <v>-135.69999999999999</v>
      </c>
      <c r="E774">
        <v>41</v>
      </c>
      <c r="F774" s="3">
        <v>41893</v>
      </c>
      <c r="G774" t="s">
        <v>10</v>
      </c>
      <c r="H774" s="18">
        <v>-135.69999999999999</v>
      </c>
      <c r="J774" s="20" t="str">
        <f t="shared" si="40"/>
        <v/>
      </c>
      <c r="K774" t="str">
        <f t="shared" si="42"/>
        <v/>
      </c>
      <c r="L774" s="4">
        <f t="shared" si="41"/>
        <v>0</v>
      </c>
    </row>
    <row r="775" spans="1:12" x14ac:dyDescent="0.25">
      <c r="A775">
        <v>41</v>
      </c>
      <c r="B775" s="3">
        <v>41894</v>
      </c>
      <c r="C775" s="4">
        <v>619.38</v>
      </c>
      <c r="E775">
        <v>41</v>
      </c>
      <c r="F775" s="3">
        <v>41894</v>
      </c>
      <c r="G775" t="s">
        <v>10</v>
      </c>
      <c r="H775" s="18">
        <v>619.37</v>
      </c>
      <c r="J775" s="20" t="str">
        <f t="shared" si="40"/>
        <v/>
      </c>
      <c r="K775" t="str">
        <f t="shared" si="42"/>
        <v/>
      </c>
      <c r="L775" s="4">
        <f t="shared" si="41"/>
        <v>9.9999999999909051E-3</v>
      </c>
    </row>
    <row r="776" spans="1:12" x14ac:dyDescent="0.25">
      <c r="A776">
        <v>77</v>
      </c>
      <c r="B776" s="3">
        <v>41894</v>
      </c>
      <c r="C776" s="4">
        <v>2625</v>
      </c>
      <c r="E776">
        <v>77</v>
      </c>
      <c r="F776" s="3">
        <v>41894</v>
      </c>
      <c r="G776" t="s">
        <v>11</v>
      </c>
      <c r="H776" s="18">
        <v>2625</v>
      </c>
      <c r="J776" s="20" t="str">
        <f t="shared" si="40"/>
        <v/>
      </c>
      <c r="K776" t="str">
        <f t="shared" si="42"/>
        <v/>
      </c>
      <c r="L776" s="4">
        <f t="shared" si="41"/>
        <v>0</v>
      </c>
    </row>
    <row r="777" spans="1:12" x14ac:dyDescent="0.25">
      <c r="A777">
        <v>85</v>
      </c>
      <c r="B777" s="3">
        <v>41894</v>
      </c>
      <c r="C777" s="4">
        <v>1218.75</v>
      </c>
      <c r="E777">
        <v>85</v>
      </c>
      <c r="F777" s="3">
        <v>41894</v>
      </c>
      <c r="G777" t="s">
        <v>79</v>
      </c>
      <c r="H777" s="18">
        <v>1218.75</v>
      </c>
      <c r="J777" s="20" t="str">
        <f t="shared" si="40"/>
        <v/>
      </c>
      <c r="K777" t="str">
        <f t="shared" si="42"/>
        <v/>
      </c>
      <c r="L777" s="4">
        <f t="shared" si="41"/>
        <v>0</v>
      </c>
    </row>
    <row r="778" spans="1:12" x14ac:dyDescent="0.25">
      <c r="A778">
        <v>157</v>
      </c>
      <c r="B778" s="3">
        <v>41894</v>
      </c>
      <c r="C778" s="4">
        <v>446.25</v>
      </c>
      <c r="E778">
        <v>157</v>
      </c>
      <c r="F778" s="3">
        <v>41894</v>
      </c>
      <c r="G778" t="s">
        <v>92</v>
      </c>
      <c r="H778" s="18">
        <v>892.5</v>
      </c>
      <c r="J778" s="20" t="str">
        <f t="shared" si="40"/>
        <v/>
      </c>
      <c r="K778" t="str">
        <f t="shared" si="42"/>
        <v/>
      </c>
      <c r="L778" s="4">
        <f t="shared" si="41"/>
        <v>-446.25</v>
      </c>
    </row>
    <row r="779" spans="1:12" x14ac:dyDescent="0.25">
      <c r="A779">
        <v>175</v>
      </c>
      <c r="B779" s="3">
        <v>41894</v>
      </c>
      <c r="C779" s="4">
        <v>3150</v>
      </c>
      <c r="E779">
        <v>175</v>
      </c>
      <c r="F779" s="3">
        <v>41894</v>
      </c>
      <c r="G779" t="s">
        <v>275</v>
      </c>
      <c r="H779" s="18">
        <v>3150</v>
      </c>
      <c r="J779" s="20" t="str">
        <f t="shared" si="40"/>
        <v/>
      </c>
      <c r="K779" t="str">
        <f t="shared" si="42"/>
        <v/>
      </c>
      <c r="L779" s="4">
        <f t="shared" si="41"/>
        <v>0</v>
      </c>
    </row>
    <row r="780" spans="1:12" x14ac:dyDescent="0.25">
      <c r="A780">
        <v>185</v>
      </c>
      <c r="B780" s="3">
        <v>41894</v>
      </c>
      <c r="C780" s="4">
        <v>1000</v>
      </c>
      <c r="E780">
        <v>185</v>
      </c>
      <c r="F780" s="3">
        <v>41894</v>
      </c>
      <c r="G780" t="s">
        <v>17</v>
      </c>
      <c r="H780" s="18">
        <v>1000</v>
      </c>
      <c r="J780" s="20" t="str">
        <f t="shared" si="40"/>
        <v/>
      </c>
      <c r="K780" t="str">
        <f t="shared" si="42"/>
        <v/>
      </c>
      <c r="L780" s="4">
        <f t="shared" si="41"/>
        <v>0</v>
      </c>
    </row>
    <row r="781" spans="1:12" x14ac:dyDescent="0.25">
      <c r="A781">
        <v>203</v>
      </c>
      <c r="B781" s="3">
        <v>41894</v>
      </c>
      <c r="C781" s="4">
        <v>2051</v>
      </c>
      <c r="E781">
        <v>203</v>
      </c>
      <c r="F781" s="3">
        <v>41894</v>
      </c>
      <c r="G781" t="s">
        <v>95</v>
      </c>
      <c r="H781" s="18">
        <v>2051</v>
      </c>
      <c r="J781" s="20" t="str">
        <f t="shared" si="40"/>
        <v/>
      </c>
      <c r="K781" t="str">
        <f t="shared" si="42"/>
        <v/>
      </c>
      <c r="L781" s="4">
        <f t="shared" si="41"/>
        <v>0</v>
      </c>
    </row>
    <row r="782" spans="1:12" x14ac:dyDescent="0.25">
      <c r="A782">
        <v>217</v>
      </c>
      <c r="B782" s="3">
        <v>41894</v>
      </c>
      <c r="C782" s="4">
        <v>280.5</v>
      </c>
      <c r="E782">
        <v>217</v>
      </c>
      <c r="F782" s="3">
        <v>41894</v>
      </c>
      <c r="G782" t="s">
        <v>97</v>
      </c>
      <c r="H782" s="18">
        <v>280.5</v>
      </c>
      <c r="J782" s="20" t="str">
        <f t="shared" si="40"/>
        <v/>
      </c>
      <c r="K782" t="str">
        <f t="shared" si="42"/>
        <v/>
      </c>
      <c r="L782" s="4">
        <f t="shared" si="41"/>
        <v>0</v>
      </c>
    </row>
    <row r="783" spans="1:12" x14ac:dyDescent="0.25">
      <c r="A783">
        <v>230</v>
      </c>
      <c r="B783" s="3">
        <v>41894</v>
      </c>
      <c r="C783" s="4">
        <v>1350</v>
      </c>
      <c r="E783">
        <v>230</v>
      </c>
      <c r="F783" s="3">
        <v>41894</v>
      </c>
      <c r="G783" t="s">
        <v>316</v>
      </c>
      <c r="H783" s="18">
        <v>1350</v>
      </c>
      <c r="J783" s="20" t="str">
        <f t="shared" si="40"/>
        <v/>
      </c>
      <c r="K783" t="str">
        <f t="shared" si="42"/>
        <v/>
      </c>
      <c r="L783" s="4">
        <f t="shared" si="41"/>
        <v>0</v>
      </c>
    </row>
    <row r="784" spans="1:12" x14ac:dyDescent="0.25">
      <c r="A784">
        <v>231</v>
      </c>
      <c r="B784" s="3">
        <v>41894</v>
      </c>
      <c r="C784" s="4">
        <v>2241.5</v>
      </c>
      <c r="E784">
        <v>231</v>
      </c>
      <c r="F784" s="3">
        <v>41894</v>
      </c>
      <c r="G784" t="s">
        <v>310</v>
      </c>
      <c r="H784" s="18">
        <v>2241.5</v>
      </c>
      <c r="J784" s="20" t="str">
        <f t="shared" si="40"/>
        <v/>
      </c>
      <c r="K784" t="str">
        <f t="shared" si="42"/>
        <v/>
      </c>
      <c r="L784" s="4">
        <f t="shared" si="41"/>
        <v>0</v>
      </c>
    </row>
    <row r="785" spans="1:12" x14ac:dyDescent="0.25">
      <c r="A785">
        <v>232</v>
      </c>
      <c r="B785" s="3">
        <v>41894</v>
      </c>
      <c r="C785" s="4">
        <v>3253.23</v>
      </c>
      <c r="E785">
        <v>232</v>
      </c>
      <c r="F785" s="3">
        <v>41894</v>
      </c>
      <c r="G785" t="s">
        <v>100</v>
      </c>
      <c r="H785" s="18">
        <v>3253.23</v>
      </c>
      <c r="J785" s="20" t="str">
        <f t="shared" si="40"/>
        <v/>
      </c>
      <c r="K785" t="str">
        <f t="shared" si="42"/>
        <v/>
      </c>
      <c r="L785" s="4">
        <f t="shared" si="41"/>
        <v>0</v>
      </c>
    </row>
    <row r="786" spans="1:12" x14ac:dyDescent="0.25">
      <c r="A786">
        <v>233</v>
      </c>
      <c r="B786" s="3">
        <v>41894</v>
      </c>
      <c r="C786" s="4">
        <v>1291.5</v>
      </c>
      <c r="E786">
        <v>233</v>
      </c>
      <c r="F786" s="3">
        <v>41894</v>
      </c>
      <c r="G786" t="s">
        <v>294</v>
      </c>
      <c r="H786" s="18">
        <v>691.5</v>
      </c>
      <c r="J786" s="20" t="str">
        <f t="shared" si="40"/>
        <v/>
      </c>
      <c r="K786" t="str">
        <f t="shared" si="42"/>
        <v/>
      </c>
      <c r="L786" s="4">
        <f t="shared" si="41"/>
        <v>600</v>
      </c>
    </row>
    <row r="787" spans="1:12" x14ac:dyDescent="0.25">
      <c r="A787">
        <v>248</v>
      </c>
      <c r="B787" s="3">
        <v>41894</v>
      </c>
      <c r="C787" s="4">
        <v>357</v>
      </c>
      <c r="E787">
        <v>248</v>
      </c>
      <c r="F787" s="3">
        <v>41894</v>
      </c>
      <c r="G787" t="s">
        <v>19</v>
      </c>
      <c r="H787" s="18">
        <v>357</v>
      </c>
      <c r="J787" s="20" t="str">
        <f t="shared" si="40"/>
        <v/>
      </c>
      <c r="K787" t="str">
        <f t="shared" si="42"/>
        <v/>
      </c>
      <c r="L787" s="4">
        <f t="shared" si="41"/>
        <v>0</v>
      </c>
    </row>
    <row r="788" spans="1:12" x14ac:dyDescent="0.25">
      <c r="A788">
        <v>254</v>
      </c>
      <c r="B788" s="3">
        <v>41894</v>
      </c>
      <c r="C788" s="4">
        <v>1350</v>
      </c>
      <c r="E788">
        <v>254</v>
      </c>
      <c r="F788" s="3">
        <v>41894</v>
      </c>
      <c r="G788" t="s">
        <v>317</v>
      </c>
      <c r="H788" s="18">
        <v>1350</v>
      </c>
      <c r="J788" s="20" t="str">
        <f t="shared" si="40"/>
        <v/>
      </c>
      <c r="K788" t="str">
        <f t="shared" si="42"/>
        <v/>
      </c>
      <c r="L788" s="4">
        <f t="shared" si="41"/>
        <v>0</v>
      </c>
    </row>
    <row r="789" spans="1:12" x14ac:dyDescent="0.25">
      <c r="A789">
        <v>261</v>
      </c>
      <c r="B789" s="3">
        <v>41894</v>
      </c>
      <c r="C789" s="4">
        <v>2975</v>
      </c>
      <c r="E789">
        <v>261</v>
      </c>
      <c r="F789" s="3">
        <v>41894</v>
      </c>
      <c r="G789" t="s">
        <v>22</v>
      </c>
      <c r="H789" s="18">
        <v>2975</v>
      </c>
      <c r="J789" s="20" t="str">
        <f t="shared" si="40"/>
        <v/>
      </c>
      <c r="K789" t="str">
        <f t="shared" si="42"/>
        <v/>
      </c>
      <c r="L789" s="4">
        <f t="shared" si="41"/>
        <v>0</v>
      </c>
    </row>
    <row r="790" spans="1:12" x14ac:dyDescent="0.25">
      <c r="A790">
        <v>268</v>
      </c>
      <c r="B790" s="3">
        <v>41894</v>
      </c>
      <c r="C790" s="4">
        <v>3200</v>
      </c>
      <c r="E790">
        <v>268</v>
      </c>
      <c r="F790" s="3">
        <v>41894</v>
      </c>
      <c r="G790" t="s">
        <v>162</v>
      </c>
      <c r="H790" s="18">
        <v>3200</v>
      </c>
      <c r="J790" s="20" t="str">
        <f t="shared" si="40"/>
        <v/>
      </c>
      <c r="K790" t="str">
        <f t="shared" si="42"/>
        <v/>
      </c>
      <c r="L790" s="4">
        <f t="shared" si="41"/>
        <v>0</v>
      </c>
    </row>
    <row r="791" spans="1:12" x14ac:dyDescent="0.25">
      <c r="A791">
        <v>269</v>
      </c>
      <c r="B791" s="3">
        <v>41894</v>
      </c>
      <c r="C791" s="4">
        <v>1000</v>
      </c>
      <c r="E791">
        <v>269</v>
      </c>
      <c r="F791" s="3">
        <v>41894</v>
      </c>
      <c r="G791" t="s">
        <v>254</v>
      </c>
      <c r="H791" s="18">
        <v>1000</v>
      </c>
      <c r="J791" s="20" t="str">
        <f t="shared" si="40"/>
        <v/>
      </c>
      <c r="K791" t="str">
        <f t="shared" si="42"/>
        <v/>
      </c>
      <c r="L791" s="4">
        <f t="shared" si="41"/>
        <v>0</v>
      </c>
    </row>
    <row r="792" spans="1:12" x14ac:dyDescent="0.25">
      <c r="A792">
        <v>282</v>
      </c>
      <c r="B792" s="3">
        <v>41894</v>
      </c>
      <c r="C792" s="4">
        <v>2425</v>
      </c>
      <c r="E792">
        <v>282</v>
      </c>
      <c r="F792" s="3">
        <v>41894</v>
      </c>
      <c r="G792" t="s">
        <v>23</v>
      </c>
      <c r="H792" s="18">
        <v>2425</v>
      </c>
      <c r="J792" s="20" t="str">
        <f t="shared" si="40"/>
        <v/>
      </c>
      <c r="K792" t="str">
        <f t="shared" si="42"/>
        <v/>
      </c>
      <c r="L792" s="4">
        <f t="shared" si="41"/>
        <v>0</v>
      </c>
    </row>
    <row r="793" spans="1:12" x14ac:dyDescent="0.25">
      <c r="A793">
        <v>285</v>
      </c>
      <c r="B793" s="3">
        <v>41894</v>
      </c>
      <c r="C793" s="4">
        <v>994.5</v>
      </c>
      <c r="E793">
        <v>285</v>
      </c>
      <c r="F793" s="3">
        <v>41894</v>
      </c>
      <c r="G793" t="s">
        <v>102</v>
      </c>
      <c r="H793" s="18">
        <v>994.5</v>
      </c>
      <c r="J793" s="20" t="str">
        <f t="shared" si="40"/>
        <v/>
      </c>
      <c r="K793" t="str">
        <f t="shared" si="42"/>
        <v/>
      </c>
      <c r="L793" s="4">
        <f t="shared" si="41"/>
        <v>0</v>
      </c>
    </row>
    <row r="794" spans="1:12" x14ac:dyDescent="0.25">
      <c r="A794">
        <v>321</v>
      </c>
      <c r="B794" s="3">
        <v>41894</v>
      </c>
      <c r="C794" s="4">
        <v>2650</v>
      </c>
      <c r="E794">
        <v>321</v>
      </c>
      <c r="F794" s="3">
        <v>41894</v>
      </c>
      <c r="G794" t="s">
        <v>105</v>
      </c>
      <c r="H794" s="18">
        <v>4250</v>
      </c>
      <c r="J794" s="20" t="str">
        <f t="shared" si="40"/>
        <v/>
      </c>
      <c r="K794" t="str">
        <f t="shared" si="42"/>
        <v/>
      </c>
      <c r="L794" s="4">
        <f t="shared" si="41"/>
        <v>-1600</v>
      </c>
    </row>
    <row r="795" spans="1:12" x14ac:dyDescent="0.25">
      <c r="A795">
        <v>326</v>
      </c>
      <c r="B795" s="3">
        <v>41894</v>
      </c>
      <c r="C795" s="4">
        <v>900</v>
      </c>
      <c r="E795">
        <v>326</v>
      </c>
      <c r="F795" s="3">
        <v>41894</v>
      </c>
      <c r="G795" t="s">
        <v>25</v>
      </c>
      <c r="H795" s="18">
        <v>900</v>
      </c>
      <c r="J795" s="20" t="str">
        <f t="shared" si="40"/>
        <v/>
      </c>
      <c r="K795" t="str">
        <f t="shared" si="42"/>
        <v/>
      </c>
      <c r="L795" s="4">
        <f t="shared" si="41"/>
        <v>0</v>
      </c>
    </row>
    <row r="796" spans="1:12" x14ac:dyDescent="0.25">
      <c r="A796">
        <v>329</v>
      </c>
      <c r="B796" s="3">
        <v>41894</v>
      </c>
      <c r="C796" s="4">
        <v>1759.5</v>
      </c>
      <c r="E796">
        <v>329</v>
      </c>
      <c r="F796" s="3">
        <v>41894</v>
      </c>
      <c r="G796" t="s">
        <v>199</v>
      </c>
      <c r="H796" s="18">
        <v>1759.5</v>
      </c>
      <c r="J796" s="20" t="str">
        <f t="shared" si="40"/>
        <v/>
      </c>
      <c r="K796" t="str">
        <f t="shared" si="42"/>
        <v/>
      </c>
      <c r="L796" s="4">
        <f t="shared" si="41"/>
        <v>0</v>
      </c>
    </row>
    <row r="797" spans="1:12" x14ac:dyDescent="0.25">
      <c r="A797">
        <v>341</v>
      </c>
      <c r="B797" s="3">
        <v>41894</v>
      </c>
      <c r="C797" s="4">
        <v>725</v>
      </c>
      <c r="E797">
        <v>341</v>
      </c>
      <c r="F797" s="3">
        <v>41894</v>
      </c>
      <c r="G797" t="s">
        <v>307</v>
      </c>
      <c r="H797" s="18">
        <v>725</v>
      </c>
      <c r="J797" s="20" t="str">
        <f t="shared" si="40"/>
        <v/>
      </c>
      <c r="K797" t="str">
        <f t="shared" si="42"/>
        <v/>
      </c>
      <c r="L797" s="4">
        <f t="shared" si="41"/>
        <v>0</v>
      </c>
    </row>
    <row r="798" spans="1:12" x14ac:dyDescent="0.25">
      <c r="A798">
        <v>347</v>
      </c>
      <c r="B798" s="3">
        <v>41894</v>
      </c>
      <c r="C798" s="4">
        <v>357</v>
      </c>
      <c r="E798">
        <v>347</v>
      </c>
      <c r="F798" s="3">
        <v>41894</v>
      </c>
      <c r="G798" t="s">
        <v>313</v>
      </c>
      <c r="H798" s="18">
        <v>357</v>
      </c>
      <c r="J798" s="20" t="str">
        <f t="shared" ref="J798:J853" si="43">IF(E798=A798,"","CHECK")</f>
        <v/>
      </c>
      <c r="K798" t="str">
        <f t="shared" si="42"/>
        <v/>
      </c>
      <c r="L798" s="4">
        <f t="shared" ref="L798:L853" si="44">C798-H798</f>
        <v>0</v>
      </c>
    </row>
    <row r="799" spans="1:12" x14ac:dyDescent="0.25">
      <c r="A799">
        <v>352</v>
      </c>
      <c r="B799" s="3">
        <v>41894</v>
      </c>
      <c r="C799" s="4">
        <v>2000</v>
      </c>
      <c r="E799">
        <v>352</v>
      </c>
      <c r="F799" s="3">
        <v>41894</v>
      </c>
      <c r="G799" t="s">
        <v>278</v>
      </c>
      <c r="H799" s="18">
        <v>2000</v>
      </c>
      <c r="J799" s="20" t="str">
        <f t="shared" si="43"/>
        <v/>
      </c>
      <c r="K799" t="str">
        <f t="shared" si="42"/>
        <v/>
      </c>
      <c r="L799" s="4">
        <f t="shared" si="44"/>
        <v>0</v>
      </c>
    </row>
    <row r="800" spans="1:12" x14ac:dyDescent="0.25">
      <c r="B800" s="3"/>
      <c r="E800">
        <v>355</v>
      </c>
      <c r="F800" s="3">
        <v>41894</v>
      </c>
      <c r="G800" t="s">
        <v>108</v>
      </c>
      <c r="H800" s="18">
        <v>0</v>
      </c>
      <c r="J800" s="20" t="str">
        <f t="shared" si="43"/>
        <v>CHECK</v>
      </c>
      <c r="K800" t="str">
        <f t="shared" si="42"/>
        <v>CHECK</v>
      </c>
      <c r="L800" s="4">
        <f t="shared" si="44"/>
        <v>0</v>
      </c>
    </row>
    <row r="801" spans="1:12" x14ac:dyDescent="0.25">
      <c r="A801">
        <v>358</v>
      </c>
      <c r="B801" s="3">
        <v>41894</v>
      </c>
      <c r="C801" s="4">
        <v>1525</v>
      </c>
      <c r="E801">
        <v>358</v>
      </c>
      <c r="F801" s="3">
        <v>41894</v>
      </c>
      <c r="G801" t="s">
        <v>179</v>
      </c>
      <c r="H801" s="18">
        <v>1525</v>
      </c>
      <c r="J801" s="20" t="str">
        <f t="shared" si="43"/>
        <v/>
      </c>
      <c r="K801" t="str">
        <f t="shared" si="42"/>
        <v/>
      </c>
      <c r="L801" s="4">
        <f t="shared" si="44"/>
        <v>0</v>
      </c>
    </row>
    <row r="802" spans="1:12" x14ac:dyDescent="0.25">
      <c r="A802">
        <v>363</v>
      </c>
      <c r="B802" s="3">
        <v>41894</v>
      </c>
      <c r="C802" s="4">
        <v>375</v>
      </c>
      <c r="E802">
        <v>363</v>
      </c>
      <c r="F802" s="3">
        <v>41894</v>
      </c>
      <c r="G802" t="s">
        <v>318</v>
      </c>
      <c r="H802" s="18">
        <v>375</v>
      </c>
      <c r="J802" s="20" t="str">
        <f t="shared" si="43"/>
        <v/>
      </c>
      <c r="K802" t="str">
        <f t="shared" si="42"/>
        <v/>
      </c>
      <c r="L802" s="4">
        <f t="shared" si="44"/>
        <v>0</v>
      </c>
    </row>
    <row r="803" spans="1:12" x14ac:dyDescent="0.25">
      <c r="A803">
        <v>365</v>
      </c>
      <c r="B803" s="3">
        <v>41894</v>
      </c>
      <c r="C803" s="4">
        <v>2600</v>
      </c>
      <c r="E803">
        <v>365</v>
      </c>
      <c r="F803" s="3">
        <v>41894</v>
      </c>
      <c r="G803" t="s">
        <v>29</v>
      </c>
      <c r="H803" s="18">
        <v>2600</v>
      </c>
      <c r="J803" s="20" t="str">
        <f t="shared" si="43"/>
        <v/>
      </c>
      <c r="K803" t="str">
        <f t="shared" si="42"/>
        <v/>
      </c>
      <c r="L803" s="4">
        <f t="shared" si="44"/>
        <v>0</v>
      </c>
    </row>
    <row r="804" spans="1:12" x14ac:dyDescent="0.25">
      <c r="A804">
        <v>373</v>
      </c>
      <c r="B804" s="3">
        <v>41894</v>
      </c>
      <c r="C804" s="4">
        <v>-452.79</v>
      </c>
      <c r="E804">
        <v>373</v>
      </c>
      <c r="F804" s="3">
        <v>41894</v>
      </c>
      <c r="G804" t="s">
        <v>234</v>
      </c>
      <c r="H804" s="18">
        <v>-452.79</v>
      </c>
      <c r="J804" s="20" t="str">
        <f t="shared" si="43"/>
        <v/>
      </c>
      <c r="K804" t="str">
        <f t="shared" si="42"/>
        <v/>
      </c>
      <c r="L804" s="4">
        <f t="shared" si="44"/>
        <v>0</v>
      </c>
    </row>
    <row r="805" spans="1:12" x14ac:dyDescent="0.25">
      <c r="A805">
        <v>378</v>
      </c>
      <c r="B805" s="3">
        <v>41894</v>
      </c>
      <c r="C805" s="4">
        <v>850</v>
      </c>
      <c r="E805">
        <v>378</v>
      </c>
      <c r="F805" s="3">
        <v>41894</v>
      </c>
      <c r="G805" t="s">
        <v>109</v>
      </c>
      <c r="H805" s="18">
        <v>850</v>
      </c>
      <c r="J805" s="20" t="str">
        <f t="shared" si="43"/>
        <v/>
      </c>
      <c r="K805" t="str">
        <f t="shared" si="42"/>
        <v/>
      </c>
      <c r="L805" s="4">
        <f t="shared" si="44"/>
        <v>0</v>
      </c>
    </row>
    <row r="806" spans="1:12" x14ac:dyDescent="0.25">
      <c r="A806">
        <v>389</v>
      </c>
      <c r="B806" s="3">
        <v>41894</v>
      </c>
      <c r="C806" s="4">
        <v>6000</v>
      </c>
      <c r="E806">
        <v>389</v>
      </c>
      <c r="F806" s="3">
        <v>41894</v>
      </c>
      <c r="G806" t="s">
        <v>31</v>
      </c>
      <c r="H806" s="18">
        <v>6000</v>
      </c>
      <c r="J806" s="20" t="str">
        <f t="shared" si="43"/>
        <v/>
      </c>
      <c r="K806" t="str">
        <f t="shared" si="42"/>
        <v/>
      </c>
      <c r="L806" s="4">
        <f t="shared" si="44"/>
        <v>0</v>
      </c>
    </row>
    <row r="807" spans="1:12" x14ac:dyDescent="0.25">
      <c r="A807">
        <v>391</v>
      </c>
      <c r="B807" s="3">
        <v>41894</v>
      </c>
      <c r="C807" s="4">
        <v>950</v>
      </c>
      <c r="E807">
        <v>391</v>
      </c>
      <c r="F807" s="3">
        <v>41894</v>
      </c>
      <c r="G807" t="s">
        <v>319</v>
      </c>
      <c r="H807" s="18">
        <v>950</v>
      </c>
      <c r="J807" s="20" t="str">
        <f t="shared" si="43"/>
        <v/>
      </c>
      <c r="K807" t="str">
        <f t="shared" si="42"/>
        <v/>
      </c>
      <c r="L807" s="4">
        <f t="shared" si="44"/>
        <v>0</v>
      </c>
    </row>
    <row r="808" spans="1:12" x14ac:dyDescent="0.25">
      <c r="A808">
        <v>392</v>
      </c>
      <c r="B808" s="3">
        <v>41894</v>
      </c>
      <c r="C808" s="4">
        <v>1850</v>
      </c>
      <c r="E808">
        <v>392</v>
      </c>
      <c r="F808" s="3">
        <v>41894</v>
      </c>
      <c r="G808" t="s">
        <v>111</v>
      </c>
      <c r="H808" s="18">
        <v>1850</v>
      </c>
      <c r="J808" s="20" t="str">
        <f t="shared" si="43"/>
        <v/>
      </c>
      <c r="K808" t="str">
        <f t="shared" si="42"/>
        <v/>
      </c>
      <c r="L808" s="4">
        <f t="shared" si="44"/>
        <v>0</v>
      </c>
    </row>
    <row r="809" spans="1:12" x14ac:dyDescent="0.25">
      <c r="A809">
        <v>397</v>
      </c>
      <c r="B809" s="3">
        <v>41894</v>
      </c>
      <c r="C809" s="4">
        <v>500</v>
      </c>
      <c r="E809">
        <v>397</v>
      </c>
      <c r="F809" s="3">
        <v>41894</v>
      </c>
      <c r="G809" t="s">
        <v>287</v>
      </c>
      <c r="H809" s="18">
        <v>500</v>
      </c>
      <c r="J809" s="20" t="str">
        <f t="shared" si="43"/>
        <v/>
      </c>
      <c r="K809" t="str">
        <f t="shared" si="42"/>
        <v/>
      </c>
      <c r="L809" s="4">
        <f t="shared" si="44"/>
        <v>0</v>
      </c>
    </row>
    <row r="810" spans="1:12" x14ac:dyDescent="0.25">
      <c r="A810">
        <v>401</v>
      </c>
      <c r="B810" s="3">
        <v>41894</v>
      </c>
      <c r="C810" s="4">
        <v>950</v>
      </c>
      <c r="E810">
        <v>401</v>
      </c>
      <c r="F810" s="3">
        <v>41894</v>
      </c>
      <c r="G810" t="s">
        <v>184</v>
      </c>
      <c r="H810" s="18">
        <v>950</v>
      </c>
      <c r="J810" s="20" t="str">
        <f t="shared" si="43"/>
        <v/>
      </c>
      <c r="K810" t="str">
        <f t="shared" si="42"/>
        <v/>
      </c>
      <c r="L810" s="4">
        <f t="shared" si="44"/>
        <v>0</v>
      </c>
    </row>
    <row r="811" spans="1:12" x14ac:dyDescent="0.25">
      <c r="A811">
        <v>403</v>
      </c>
      <c r="B811" s="3">
        <v>41894</v>
      </c>
      <c r="C811" s="4">
        <v>330.01</v>
      </c>
      <c r="E811">
        <v>403</v>
      </c>
      <c r="F811" s="3">
        <v>41894</v>
      </c>
      <c r="G811" t="s">
        <v>221</v>
      </c>
      <c r="H811" s="18">
        <v>330.01</v>
      </c>
      <c r="J811" s="20" t="str">
        <f t="shared" si="43"/>
        <v/>
      </c>
      <c r="K811" t="str">
        <f t="shared" si="42"/>
        <v/>
      </c>
      <c r="L811" s="4">
        <f t="shared" si="44"/>
        <v>0</v>
      </c>
    </row>
    <row r="812" spans="1:12" x14ac:dyDescent="0.25">
      <c r="A812">
        <v>404</v>
      </c>
      <c r="B812" s="3">
        <v>41894</v>
      </c>
      <c r="C812" s="4">
        <v>400</v>
      </c>
      <c r="E812">
        <v>404</v>
      </c>
      <c r="F812" s="3">
        <v>41894</v>
      </c>
      <c r="G812" t="s">
        <v>308</v>
      </c>
      <c r="H812" s="18">
        <v>400</v>
      </c>
      <c r="J812" s="20" t="str">
        <f t="shared" si="43"/>
        <v/>
      </c>
      <c r="K812" t="str">
        <f t="shared" si="42"/>
        <v/>
      </c>
      <c r="L812" s="4">
        <f t="shared" si="44"/>
        <v>0</v>
      </c>
    </row>
    <row r="813" spans="1:12" x14ac:dyDescent="0.25">
      <c r="A813">
        <v>405</v>
      </c>
      <c r="B813" s="3">
        <v>41894</v>
      </c>
      <c r="C813" s="4">
        <v>400</v>
      </c>
      <c r="E813">
        <v>405</v>
      </c>
      <c r="F813" s="3">
        <v>41894</v>
      </c>
      <c r="G813" t="s">
        <v>112</v>
      </c>
      <c r="H813" s="18">
        <v>400</v>
      </c>
      <c r="J813" s="20" t="str">
        <f t="shared" si="43"/>
        <v/>
      </c>
      <c r="K813" t="str">
        <f t="shared" si="42"/>
        <v/>
      </c>
      <c r="L813" s="4">
        <f t="shared" si="44"/>
        <v>0</v>
      </c>
    </row>
    <row r="814" spans="1:12" x14ac:dyDescent="0.25">
      <c r="A814">
        <v>407</v>
      </c>
      <c r="B814" s="3">
        <v>41894</v>
      </c>
      <c r="C814" s="4">
        <v>295</v>
      </c>
      <c r="E814">
        <v>407</v>
      </c>
      <c r="F814" s="3">
        <v>41894</v>
      </c>
      <c r="G814" t="s">
        <v>113</v>
      </c>
      <c r="H814" s="18">
        <v>295</v>
      </c>
      <c r="J814" s="20" t="str">
        <f t="shared" si="43"/>
        <v/>
      </c>
      <c r="K814" t="str">
        <f t="shared" si="42"/>
        <v/>
      </c>
      <c r="L814" s="4">
        <f t="shared" si="44"/>
        <v>0</v>
      </c>
    </row>
    <row r="815" spans="1:12" x14ac:dyDescent="0.25">
      <c r="A815">
        <v>410</v>
      </c>
      <c r="B815" s="3">
        <v>41894</v>
      </c>
      <c r="C815" s="4">
        <v>1000</v>
      </c>
      <c r="E815">
        <v>410</v>
      </c>
      <c r="F815" s="3">
        <v>41894</v>
      </c>
      <c r="G815" t="s">
        <v>32</v>
      </c>
      <c r="H815" s="18">
        <v>1000</v>
      </c>
      <c r="J815" s="20" t="str">
        <f t="shared" si="43"/>
        <v/>
      </c>
      <c r="K815" t="str">
        <f t="shared" si="42"/>
        <v/>
      </c>
      <c r="L815" s="4">
        <f t="shared" si="44"/>
        <v>0</v>
      </c>
    </row>
    <row r="816" spans="1:12" x14ac:dyDescent="0.25">
      <c r="A816">
        <v>422</v>
      </c>
      <c r="B816" s="3">
        <v>41894</v>
      </c>
      <c r="C816" s="4">
        <v>625</v>
      </c>
      <c r="E816">
        <v>422</v>
      </c>
      <c r="F816" s="3">
        <v>41894</v>
      </c>
      <c r="G816" t="s">
        <v>165</v>
      </c>
      <c r="H816" s="18">
        <v>625</v>
      </c>
      <c r="J816" s="20" t="str">
        <f t="shared" si="43"/>
        <v/>
      </c>
      <c r="K816" t="str">
        <f t="shared" si="42"/>
        <v/>
      </c>
      <c r="L816" s="4">
        <f t="shared" si="44"/>
        <v>0</v>
      </c>
    </row>
    <row r="817" spans="1:12" x14ac:dyDescent="0.25">
      <c r="A817">
        <v>428</v>
      </c>
      <c r="B817" s="3">
        <v>41894</v>
      </c>
      <c r="C817" s="4">
        <v>2075</v>
      </c>
      <c r="E817">
        <v>428</v>
      </c>
      <c r="F817" s="3">
        <v>41894</v>
      </c>
      <c r="G817" t="s">
        <v>213</v>
      </c>
      <c r="H817" s="18">
        <v>2075</v>
      </c>
      <c r="J817" s="20" t="str">
        <f t="shared" si="43"/>
        <v/>
      </c>
      <c r="K817" t="str">
        <f t="shared" si="42"/>
        <v/>
      </c>
      <c r="L817" s="4">
        <f t="shared" si="44"/>
        <v>0</v>
      </c>
    </row>
    <row r="818" spans="1:12" x14ac:dyDescent="0.25">
      <c r="A818">
        <v>443</v>
      </c>
      <c r="B818" s="3">
        <v>41894</v>
      </c>
      <c r="C818" s="4">
        <v>300</v>
      </c>
      <c r="E818">
        <v>443</v>
      </c>
      <c r="F818" s="3">
        <v>41894</v>
      </c>
      <c r="G818" t="s">
        <v>300</v>
      </c>
      <c r="H818" s="18">
        <v>300</v>
      </c>
      <c r="J818" s="20" t="str">
        <f t="shared" si="43"/>
        <v/>
      </c>
      <c r="K818" t="str">
        <f t="shared" si="42"/>
        <v/>
      </c>
      <c r="L818" s="4">
        <f t="shared" si="44"/>
        <v>0</v>
      </c>
    </row>
    <row r="819" spans="1:12" x14ac:dyDescent="0.25">
      <c r="A819">
        <v>446</v>
      </c>
      <c r="B819" s="3">
        <v>41894</v>
      </c>
      <c r="C819" s="4">
        <v>225</v>
      </c>
      <c r="E819">
        <v>446</v>
      </c>
      <c r="F819" s="3">
        <v>41894</v>
      </c>
      <c r="G819" t="s">
        <v>116</v>
      </c>
      <c r="H819" s="18">
        <v>225</v>
      </c>
      <c r="J819" s="20" t="str">
        <f t="shared" si="43"/>
        <v/>
      </c>
      <c r="K819" t="str">
        <f t="shared" si="42"/>
        <v/>
      </c>
      <c r="L819" s="4">
        <f t="shared" si="44"/>
        <v>0</v>
      </c>
    </row>
    <row r="820" spans="1:12" x14ac:dyDescent="0.25">
      <c r="A820">
        <v>472</v>
      </c>
      <c r="B820" s="3">
        <v>41894</v>
      </c>
      <c r="C820" s="4">
        <v>500</v>
      </c>
      <c r="E820">
        <v>472</v>
      </c>
      <c r="F820" s="3">
        <v>41894</v>
      </c>
      <c r="G820" t="s">
        <v>279</v>
      </c>
      <c r="H820" s="18">
        <v>500</v>
      </c>
      <c r="J820" s="20" t="str">
        <f t="shared" si="43"/>
        <v/>
      </c>
      <c r="K820" t="str">
        <f t="shared" si="42"/>
        <v/>
      </c>
      <c r="L820" s="4">
        <f t="shared" si="44"/>
        <v>0</v>
      </c>
    </row>
    <row r="821" spans="1:12" x14ac:dyDescent="0.25">
      <c r="A821">
        <v>473</v>
      </c>
      <c r="B821" s="3">
        <v>41894</v>
      </c>
      <c r="C821" s="4">
        <v>1650</v>
      </c>
      <c r="E821">
        <v>473</v>
      </c>
      <c r="F821" s="3">
        <v>41894</v>
      </c>
      <c r="G821" t="s">
        <v>320</v>
      </c>
      <c r="H821" s="18">
        <v>1650</v>
      </c>
      <c r="J821" s="20" t="str">
        <f t="shared" si="43"/>
        <v/>
      </c>
      <c r="K821" t="str">
        <f t="shared" si="42"/>
        <v/>
      </c>
      <c r="L821" s="4">
        <f t="shared" si="44"/>
        <v>0</v>
      </c>
    </row>
    <row r="822" spans="1:12" x14ac:dyDescent="0.25">
      <c r="A822">
        <v>498</v>
      </c>
      <c r="B822" s="3">
        <v>41894</v>
      </c>
      <c r="C822" s="4">
        <v>400</v>
      </c>
      <c r="E822">
        <v>498</v>
      </c>
      <c r="F822" s="3">
        <v>41894</v>
      </c>
      <c r="G822" t="s">
        <v>186</v>
      </c>
      <c r="H822" s="18">
        <v>400</v>
      </c>
      <c r="J822" s="20" t="str">
        <f t="shared" si="43"/>
        <v/>
      </c>
      <c r="K822" t="str">
        <f t="shared" si="42"/>
        <v/>
      </c>
      <c r="L822" s="4">
        <f t="shared" si="44"/>
        <v>0</v>
      </c>
    </row>
    <row r="823" spans="1:12" x14ac:dyDescent="0.25">
      <c r="A823">
        <v>530</v>
      </c>
      <c r="B823" s="3">
        <v>41894</v>
      </c>
      <c r="C823" s="4">
        <v>2950</v>
      </c>
      <c r="E823">
        <v>530</v>
      </c>
      <c r="F823" s="3">
        <v>41894</v>
      </c>
      <c r="G823" t="s">
        <v>35</v>
      </c>
      <c r="H823" s="18">
        <v>2950</v>
      </c>
      <c r="J823" s="20" t="str">
        <f t="shared" si="43"/>
        <v/>
      </c>
      <c r="K823" t="str">
        <f t="shared" si="42"/>
        <v/>
      </c>
      <c r="L823" s="4">
        <f t="shared" si="44"/>
        <v>0</v>
      </c>
    </row>
    <row r="824" spans="1:12" x14ac:dyDescent="0.25">
      <c r="A824">
        <v>534</v>
      </c>
      <c r="B824" s="3">
        <v>41894</v>
      </c>
      <c r="C824" s="4">
        <v>1325</v>
      </c>
      <c r="E824">
        <v>534</v>
      </c>
      <c r="F824" s="3">
        <v>41894</v>
      </c>
      <c r="G824" t="s">
        <v>285</v>
      </c>
      <c r="H824" s="18">
        <v>1325</v>
      </c>
      <c r="J824" s="20" t="str">
        <f t="shared" si="43"/>
        <v/>
      </c>
      <c r="K824" t="str">
        <f t="shared" si="42"/>
        <v/>
      </c>
      <c r="L824" s="4">
        <f t="shared" si="44"/>
        <v>0</v>
      </c>
    </row>
    <row r="825" spans="1:12" x14ac:dyDescent="0.25">
      <c r="A825">
        <v>539</v>
      </c>
      <c r="B825" s="3">
        <v>41894</v>
      </c>
      <c r="C825" s="4">
        <v>1571.22</v>
      </c>
      <c r="E825">
        <v>539</v>
      </c>
      <c r="F825" s="3">
        <v>41894</v>
      </c>
      <c r="G825" t="s">
        <v>122</v>
      </c>
      <c r="H825" s="18">
        <v>1571.22</v>
      </c>
      <c r="J825" s="20" t="str">
        <f t="shared" si="43"/>
        <v/>
      </c>
      <c r="K825" t="str">
        <f t="shared" si="42"/>
        <v/>
      </c>
      <c r="L825" s="4">
        <f t="shared" si="44"/>
        <v>0</v>
      </c>
    </row>
    <row r="826" spans="1:12" x14ac:dyDescent="0.25">
      <c r="A826">
        <v>541</v>
      </c>
      <c r="B826" s="3">
        <v>41894</v>
      </c>
      <c r="C826" s="4">
        <v>360.61</v>
      </c>
      <c r="E826">
        <v>541</v>
      </c>
      <c r="F826" s="3">
        <v>41894</v>
      </c>
      <c r="G826" t="s">
        <v>321</v>
      </c>
      <c r="H826" s="18">
        <v>360.61</v>
      </c>
      <c r="J826" s="20" t="str">
        <f t="shared" si="43"/>
        <v/>
      </c>
      <c r="K826" t="str">
        <f t="shared" si="42"/>
        <v/>
      </c>
      <c r="L826" s="4">
        <f t="shared" si="44"/>
        <v>0</v>
      </c>
    </row>
    <row r="827" spans="1:12" x14ac:dyDescent="0.25">
      <c r="A827">
        <v>549</v>
      </c>
      <c r="B827" s="3">
        <v>41894</v>
      </c>
      <c r="C827" s="4">
        <v>3050</v>
      </c>
      <c r="E827">
        <v>549</v>
      </c>
      <c r="F827" s="3">
        <v>41894</v>
      </c>
      <c r="G827" t="s">
        <v>280</v>
      </c>
      <c r="H827" s="18">
        <v>3050</v>
      </c>
      <c r="J827" s="20" t="str">
        <f t="shared" si="43"/>
        <v/>
      </c>
      <c r="K827" t="str">
        <f t="shared" si="42"/>
        <v/>
      </c>
      <c r="L827" s="4">
        <f t="shared" si="44"/>
        <v>0</v>
      </c>
    </row>
    <row r="828" spans="1:12" x14ac:dyDescent="0.25">
      <c r="A828">
        <v>550</v>
      </c>
      <c r="B828" s="3">
        <v>41894</v>
      </c>
      <c r="C828" s="4">
        <v>1600</v>
      </c>
      <c r="E828">
        <v>550</v>
      </c>
      <c r="F828" s="3">
        <v>41894</v>
      </c>
      <c r="G828" t="s">
        <v>297</v>
      </c>
      <c r="H828" s="18">
        <v>1600</v>
      </c>
      <c r="J828" s="20" t="str">
        <f t="shared" si="43"/>
        <v/>
      </c>
      <c r="K828" t="str">
        <f t="shared" si="42"/>
        <v/>
      </c>
      <c r="L828" s="4">
        <f t="shared" si="44"/>
        <v>0</v>
      </c>
    </row>
    <row r="829" spans="1:12" x14ac:dyDescent="0.25">
      <c r="A829">
        <v>551</v>
      </c>
      <c r="B829" s="3">
        <v>41894</v>
      </c>
      <c r="C829" s="4">
        <v>1375</v>
      </c>
      <c r="E829">
        <v>551</v>
      </c>
      <c r="F829" s="3">
        <v>41894</v>
      </c>
      <c r="G829" t="s">
        <v>166</v>
      </c>
      <c r="H829" s="18">
        <v>1375</v>
      </c>
      <c r="J829" s="20" t="str">
        <f t="shared" si="43"/>
        <v/>
      </c>
      <c r="K829" t="str">
        <f t="shared" si="42"/>
        <v/>
      </c>
      <c r="L829" s="4">
        <f t="shared" si="44"/>
        <v>0</v>
      </c>
    </row>
    <row r="830" spans="1:12" x14ac:dyDescent="0.25">
      <c r="A830">
        <v>553</v>
      </c>
      <c r="B830" s="3">
        <v>41894</v>
      </c>
      <c r="C830" s="4">
        <v>650</v>
      </c>
      <c r="E830">
        <v>553</v>
      </c>
      <c r="F830" s="3">
        <v>41894</v>
      </c>
      <c r="G830" t="s">
        <v>281</v>
      </c>
      <c r="H830" s="18">
        <v>650</v>
      </c>
      <c r="J830" s="20" t="str">
        <f t="shared" si="43"/>
        <v/>
      </c>
      <c r="K830" t="str">
        <f t="shared" si="42"/>
        <v/>
      </c>
      <c r="L830" s="4">
        <f t="shared" si="44"/>
        <v>0</v>
      </c>
    </row>
    <row r="831" spans="1:12" x14ac:dyDescent="0.25">
      <c r="A831">
        <v>576</v>
      </c>
      <c r="B831" s="3">
        <v>41894</v>
      </c>
      <c r="C831" s="4">
        <v>1000</v>
      </c>
      <c r="E831">
        <v>576</v>
      </c>
      <c r="F831" s="3">
        <v>41894</v>
      </c>
      <c r="G831" t="s">
        <v>36</v>
      </c>
      <c r="H831" s="18">
        <v>1000</v>
      </c>
      <c r="J831" s="20" t="str">
        <f t="shared" si="43"/>
        <v/>
      </c>
      <c r="K831" t="str">
        <f t="shared" si="42"/>
        <v/>
      </c>
      <c r="L831" s="4">
        <f t="shared" si="44"/>
        <v>0</v>
      </c>
    </row>
    <row r="832" spans="1:12" x14ac:dyDescent="0.25">
      <c r="A832">
        <v>580</v>
      </c>
      <c r="B832" s="3">
        <v>41894</v>
      </c>
      <c r="C832" s="4">
        <v>500</v>
      </c>
      <c r="E832">
        <v>580</v>
      </c>
      <c r="F832" s="3">
        <v>41894</v>
      </c>
      <c r="G832" t="s">
        <v>37</v>
      </c>
      <c r="H832" s="18">
        <v>500</v>
      </c>
      <c r="J832" s="20" t="str">
        <f t="shared" si="43"/>
        <v/>
      </c>
      <c r="K832" t="str">
        <f t="shared" si="42"/>
        <v/>
      </c>
      <c r="L832" s="4">
        <f t="shared" si="44"/>
        <v>0</v>
      </c>
    </row>
    <row r="833" spans="1:12" x14ac:dyDescent="0.25">
      <c r="A833">
        <v>581</v>
      </c>
      <c r="B833" s="3">
        <v>41894</v>
      </c>
      <c r="C833" s="4">
        <v>1000</v>
      </c>
      <c r="E833">
        <v>581</v>
      </c>
      <c r="F833" s="3">
        <v>41894</v>
      </c>
      <c r="G833" t="s">
        <v>322</v>
      </c>
      <c r="H833" s="18">
        <v>1000</v>
      </c>
      <c r="J833" s="20" t="str">
        <f t="shared" si="43"/>
        <v/>
      </c>
      <c r="K833" t="str">
        <f t="shared" si="42"/>
        <v/>
      </c>
      <c r="L833" s="4">
        <f t="shared" si="44"/>
        <v>0</v>
      </c>
    </row>
    <row r="834" spans="1:12" x14ac:dyDescent="0.25">
      <c r="A834">
        <v>63</v>
      </c>
      <c r="B834" s="3">
        <v>41897</v>
      </c>
      <c r="C834" s="4">
        <v>306.25</v>
      </c>
      <c r="E834">
        <v>63</v>
      </c>
      <c r="F834" s="3">
        <v>41897</v>
      </c>
      <c r="G834" t="s">
        <v>181</v>
      </c>
      <c r="H834" s="18">
        <v>306.25</v>
      </c>
      <c r="J834" s="20" t="str">
        <f t="shared" si="43"/>
        <v/>
      </c>
      <c r="K834" t="str">
        <f t="shared" si="42"/>
        <v/>
      </c>
      <c r="L834" s="4">
        <f t="shared" si="44"/>
        <v>0</v>
      </c>
    </row>
    <row r="835" spans="1:12" x14ac:dyDescent="0.25">
      <c r="A835">
        <v>347</v>
      </c>
      <c r="B835" s="3">
        <v>41897</v>
      </c>
      <c r="C835" s="4">
        <v>357</v>
      </c>
      <c r="E835">
        <v>347</v>
      </c>
      <c r="F835" s="3">
        <v>41897</v>
      </c>
      <c r="G835" t="s">
        <v>313</v>
      </c>
      <c r="H835" s="18">
        <v>357</v>
      </c>
      <c r="J835" s="20" t="str">
        <f t="shared" si="43"/>
        <v/>
      </c>
      <c r="K835" t="str">
        <f t="shared" ref="K835:K898" si="45">IF(F835=B835,"","CHECK")</f>
        <v/>
      </c>
      <c r="L835" s="4">
        <f t="shared" si="44"/>
        <v>0</v>
      </c>
    </row>
    <row r="836" spans="1:12" x14ac:dyDescent="0.25">
      <c r="A836">
        <v>488</v>
      </c>
      <c r="B836" s="3">
        <v>41897</v>
      </c>
      <c r="C836" s="4">
        <v>650</v>
      </c>
      <c r="E836">
        <v>488</v>
      </c>
      <c r="F836" s="3">
        <v>41897</v>
      </c>
      <c r="G836" t="s">
        <v>314</v>
      </c>
      <c r="H836" s="18">
        <v>650</v>
      </c>
      <c r="J836" s="20" t="str">
        <f t="shared" si="43"/>
        <v/>
      </c>
      <c r="K836" t="str">
        <f t="shared" si="45"/>
        <v/>
      </c>
      <c r="L836" s="4">
        <f t="shared" si="44"/>
        <v>0</v>
      </c>
    </row>
    <row r="837" spans="1:12" x14ac:dyDescent="0.25">
      <c r="A837">
        <v>617</v>
      </c>
      <c r="B837" s="3">
        <v>41897</v>
      </c>
      <c r="C837" s="4">
        <v>350</v>
      </c>
      <c r="E837">
        <v>617</v>
      </c>
      <c r="F837" s="3">
        <v>41897</v>
      </c>
      <c r="G837" t="s">
        <v>315</v>
      </c>
      <c r="H837" s="18">
        <v>350</v>
      </c>
      <c r="J837" s="20" t="str">
        <f t="shared" si="43"/>
        <v/>
      </c>
      <c r="K837" t="str">
        <f t="shared" si="45"/>
        <v/>
      </c>
      <c r="L837" s="4">
        <f t="shared" si="44"/>
        <v>0</v>
      </c>
    </row>
    <row r="838" spans="1:12" x14ac:dyDescent="0.25">
      <c r="A838">
        <v>27</v>
      </c>
      <c r="B838" s="3">
        <v>41901</v>
      </c>
      <c r="C838" s="4">
        <v>4916.38</v>
      </c>
      <c r="E838">
        <v>27</v>
      </c>
      <c r="F838" s="3">
        <v>41901</v>
      </c>
      <c r="G838" t="s">
        <v>159</v>
      </c>
      <c r="H838" s="18">
        <v>4916.38</v>
      </c>
      <c r="J838" s="20" t="str">
        <f t="shared" si="43"/>
        <v/>
      </c>
      <c r="K838" t="str">
        <f t="shared" si="45"/>
        <v/>
      </c>
      <c r="L838" s="4">
        <f t="shared" si="44"/>
        <v>0</v>
      </c>
    </row>
    <row r="839" spans="1:12" x14ac:dyDescent="0.25">
      <c r="A839">
        <v>37</v>
      </c>
      <c r="B839" s="3">
        <v>41901</v>
      </c>
      <c r="C839" s="4">
        <v>748.28</v>
      </c>
      <c r="E839">
        <v>37</v>
      </c>
      <c r="F839" s="3">
        <v>41901</v>
      </c>
      <c r="G839" t="s">
        <v>77</v>
      </c>
      <c r="H839" s="18">
        <v>-201.72</v>
      </c>
      <c r="J839" s="20" t="str">
        <f t="shared" si="43"/>
        <v/>
      </c>
      <c r="K839" t="str">
        <f t="shared" si="45"/>
        <v/>
      </c>
      <c r="L839" s="4">
        <f t="shared" si="44"/>
        <v>950</v>
      </c>
    </row>
    <row r="840" spans="1:12" x14ac:dyDescent="0.25">
      <c r="A840">
        <v>41</v>
      </c>
      <c r="B840" s="3">
        <v>41901</v>
      </c>
      <c r="C840" s="4">
        <v>3612.98</v>
      </c>
      <c r="E840">
        <v>41</v>
      </c>
      <c r="F840" s="3">
        <v>41901</v>
      </c>
      <c r="G840" t="s">
        <v>10</v>
      </c>
      <c r="H840" s="18">
        <v>3612.98</v>
      </c>
      <c r="J840" s="20" t="str">
        <f t="shared" si="43"/>
        <v/>
      </c>
      <c r="K840" t="str">
        <f t="shared" si="45"/>
        <v/>
      </c>
      <c r="L840" s="4">
        <f t="shared" si="44"/>
        <v>0</v>
      </c>
    </row>
    <row r="841" spans="1:12" x14ac:dyDescent="0.25">
      <c r="A841">
        <v>63</v>
      </c>
      <c r="B841" s="3">
        <v>41901</v>
      </c>
      <c r="C841" s="4">
        <v>4261.25</v>
      </c>
      <c r="E841">
        <v>63</v>
      </c>
      <c r="F841" s="3">
        <v>41901</v>
      </c>
      <c r="G841" t="s">
        <v>181</v>
      </c>
      <c r="H841" s="18">
        <v>0</v>
      </c>
      <c r="J841" s="20" t="str">
        <f t="shared" si="43"/>
        <v/>
      </c>
      <c r="K841" t="str">
        <f t="shared" si="45"/>
        <v/>
      </c>
      <c r="L841" s="4">
        <f t="shared" si="44"/>
        <v>4261.25</v>
      </c>
    </row>
    <row r="842" spans="1:12" x14ac:dyDescent="0.25">
      <c r="A842">
        <v>77</v>
      </c>
      <c r="B842" s="3">
        <v>41901</v>
      </c>
      <c r="C842" s="4">
        <v>50</v>
      </c>
      <c r="E842">
        <v>77</v>
      </c>
      <c r="F842" s="3">
        <v>41901</v>
      </c>
      <c r="G842" t="s">
        <v>11</v>
      </c>
      <c r="H842" s="18">
        <v>50</v>
      </c>
      <c r="J842" s="20" t="str">
        <f t="shared" si="43"/>
        <v/>
      </c>
      <c r="K842" t="str">
        <f t="shared" si="45"/>
        <v/>
      </c>
      <c r="L842" s="4">
        <f t="shared" si="44"/>
        <v>0</v>
      </c>
    </row>
    <row r="843" spans="1:12" x14ac:dyDescent="0.25">
      <c r="A843">
        <v>85</v>
      </c>
      <c r="B843" s="3">
        <v>41901</v>
      </c>
      <c r="C843" s="4">
        <v>4913.3999999999996</v>
      </c>
      <c r="E843">
        <v>85</v>
      </c>
      <c r="F843" s="3">
        <v>41901</v>
      </c>
      <c r="G843" t="s">
        <v>79</v>
      </c>
      <c r="H843" s="18">
        <v>4913.3999999999996</v>
      </c>
      <c r="J843" s="20" t="str">
        <f t="shared" si="43"/>
        <v/>
      </c>
      <c r="K843" t="str">
        <f t="shared" si="45"/>
        <v/>
      </c>
      <c r="L843" s="4">
        <f t="shared" si="44"/>
        <v>0</v>
      </c>
    </row>
    <row r="844" spans="1:12" x14ac:dyDescent="0.25">
      <c r="A844">
        <v>133</v>
      </c>
      <c r="B844" s="3">
        <v>41901</v>
      </c>
      <c r="C844" s="4">
        <v>1420.6</v>
      </c>
      <c r="E844">
        <v>133</v>
      </c>
      <c r="F844" s="3">
        <v>41901</v>
      </c>
      <c r="G844" t="s">
        <v>87</v>
      </c>
      <c r="H844" s="18">
        <v>1420.6</v>
      </c>
      <c r="J844" s="20" t="str">
        <f t="shared" si="43"/>
        <v/>
      </c>
      <c r="K844" t="str">
        <f t="shared" si="45"/>
        <v/>
      </c>
      <c r="L844" s="4">
        <f t="shared" si="44"/>
        <v>0</v>
      </c>
    </row>
    <row r="845" spans="1:12" x14ac:dyDescent="0.25">
      <c r="A845">
        <v>180</v>
      </c>
      <c r="B845" s="3">
        <v>41901</v>
      </c>
      <c r="C845" s="4">
        <v>2335.5700000000002</v>
      </c>
      <c r="E845">
        <v>180</v>
      </c>
      <c r="F845" s="3">
        <v>41901</v>
      </c>
      <c r="G845" t="s">
        <v>161</v>
      </c>
      <c r="H845" s="18">
        <v>2335.5700000000002</v>
      </c>
      <c r="J845" s="20" t="str">
        <f t="shared" si="43"/>
        <v/>
      </c>
      <c r="K845" t="str">
        <f t="shared" si="45"/>
        <v/>
      </c>
      <c r="L845" s="4">
        <f t="shared" si="44"/>
        <v>0</v>
      </c>
    </row>
    <row r="846" spans="1:12" x14ac:dyDescent="0.25">
      <c r="A846">
        <v>203</v>
      </c>
      <c r="B846" s="3">
        <v>41901</v>
      </c>
      <c r="C846" s="4">
        <v>4040</v>
      </c>
      <c r="E846">
        <v>203</v>
      </c>
      <c r="F846" s="3">
        <v>41901</v>
      </c>
      <c r="G846" t="s">
        <v>95</v>
      </c>
      <c r="H846" s="18">
        <v>4040</v>
      </c>
      <c r="J846" s="20" t="str">
        <f t="shared" si="43"/>
        <v/>
      </c>
      <c r="K846" t="str">
        <f t="shared" si="45"/>
        <v/>
      </c>
      <c r="L846" s="4">
        <f t="shared" si="44"/>
        <v>0</v>
      </c>
    </row>
    <row r="847" spans="1:12" x14ac:dyDescent="0.25">
      <c r="A847">
        <v>217</v>
      </c>
      <c r="B847" s="3">
        <v>41901</v>
      </c>
      <c r="C847" s="4">
        <v>2616.25</v>
      </c>
      <c r="E847">
        <v>217</v>
      </c>
      <c r="F847" s="3">
        <v>41901</v>
      </c>
      <c r="G847" t="s">
        <v>97</v>
      </c>
      <c r="H847" s="18">
        <v>2616.25</v>
      </c>
      <c r="J847" s="20" t="str">
        <f t="shared" si="43"/>
        <v/>
      </c>
      <c r="K847" t="str">
        <f t="shared" si="45"/>
        <v/>
      </c>
      <c r="L847" s="4">
        <f t="shared" si="44"/>
        <v>0</v>
      </c>
    </row>
    <row r="848" spans="1:12" x14ac:dyDescent="0.25">
      <c r="A848">
        <v>218</v>
      </c>
      <c r="B848" s="3">
        <v>41901</v>
      </c>
      <c r="C848" s="4">
        <v>1737.13</v>
      </c>
      <c r="E848">
        <v>218</v>
      </c>
      <c r="F848" s="3">
        <v>41901</v>
      </c>
      <c r="G848" t="s">
        <v>233</v>
      </c>
      <c r="H848" s="18">
        <v>1737.13</v>
      </c>
      <c r="J848" s="20" t="str">
        <f t="shared" si="43"/>
        <v/>
      </c>
      <c r="K848" t="str">
        <f t="shared" si="45"/>
        <v/>
      </c>
      <c r="L848" s="4">
        <f t="shared" si="44"/>
        <v>0</v>
      </c>
    </row>
    <row r="849" spans="1:12" x14ac:dyDescent="0.25">
      <c r="A849">
        <v>232</v>
      </c>
      <c r="B849" s="3">
        <v>41901</v>
      </c>
      <c r="C849" s="4">
        <v>680.25</v>
      </c>
      <c r="E849">
        <v>232</v>
      </c>
      <c r="F849" s="3">
        <v>41901</v>
      </c>
      <c r="G849" t="s">
        <v>100</v>
      </c>
      <c r="H849" s="18">
        <v>5.25</v>
      </c>
      <c r="J849" s="20" t="str">
        <f t="shared" si="43"/>
        <v/>
      </c>
      <c r="K849" t="str">
        <f t="shared" si="45"/>
        <v/>
      </c>
      <c r="L849" s="4">
        <f t="shared" si="44"/>
        <v>675</v>
      </c>
    </row>
    <row r="850" spans="1:12" x14ac:dyDescent="0.25">
      <c r="A850">
        <v>233</v>
      </c>
      <c r="B850" s="3">
        <v>41901</v>
      </c>
      <c r="C850" s="4">
        <v>1280.25</v>
      </c>
      <c r="E850">
        <v>233</v>
      </c>
      <c r="F850" s="3">
        <v>41901</v>
      </c>
      <c r="G850" t="s">
        <v>294</v>
      </c>
      <c r="H850" s="18">
        <v>1280.25</v>
      </c>
      <c r="J850" s="20" t="str">
        <f t="shared" si="43"/>
        <v/>
      </c>
      <c r="K850" t="str">
        <f t="shared" si="45"/>
        <v/>
      </c>
      <c r="L850" s="4">
        <f t="shared" si="44"/>
        <v>0</v>
      </c>
    </row>
    <row r="851" spans="1:12" x14ac:dyDescent="0.25">
      <c r="A851">
        <v>244</v>
      </c>
      <c r="B851" s="3">
        <v>41901</v>
      </c>
      <c r="C851" s="4">
        <v>22.5</v>
      </c>
      <c r="E851">
        <v>244</v>
      </c>
      <c r="F851" s="3">
        <v>41901</v>
      </c>
      <c r="G851" t="s">
        <v>311</v>
      </c>
      <c r="H851" s="18">
        <v>22.5</v>
      </c>
      <c r="J851" s="20" t="str">
        <f t="shared" si="43"/>
        <v/>
      </c>
      <c r="K851" t="str">
        <f t="shared" si="45"/>
        <v/>
      </c>
      <c r="L851" s="4">
        <f t="shared" si="44"/>
        <v>0</v>
      </c>
    </row>
    <row r="852" spans="1:12" x14ac:dyDescent="0.25">
      <c r="A852">
        <v>248</v>
      </c>
      <c r="B852" s="3">
        <v>41901</v>
      </c>
      <c r="C852" s="4">
        <v>561</v>
      </c>
      <c r="E852">
        <v>248</v>
      </c>
      <c r="F852" s="3">
        <v>41901</v>
      </c>
      <c r="G852" t="s">
        <v>19</v>
      </c>
      <c r="H852" s="18">
        <v>561</v>
      </c>
      <c r="J852" s="20" t="str">
        <f t="shared" si="43"/>
        <v/>
      </c>
      <c r="K852" t="str">
        <f t="shared" si="45"/>
        <v/>
      </c>
      <c r="L852" s="4">
        <f t="shared" si="44"/>
        <v>0</v>
      </c>
    </row>
    <row r="853" spans="1:12" x14ac:dyDescent="0.25">
      <c r="A853">
        <v>261</v>
      </c>
      <c r="B853" s="3">
        <v>41901</v>
      </c>
      <c r="C853" s="4">
        <v>2650</v>
      </c>
      <c r="E853">
        <v>261</v>
      </c>
      <c r="F853" s="3">
        <v>41901</v>
      </c>
      <c r="G853" t="s">
        <v>22</v>
      </c>
      <c r="H853" s="18">
        <v>2650</v>
      </c>
      <c r="J853" s="20" t="str">
        <f t="shared" si="43"/>
        <v/>
      </c>
      <c r="K853" t="str">
        <f t="shared" si="45"/>
        <v/>
      </c>
      <c r="L853" s="4">
        <f t="shared" si="44"/>
        <v>0</v>
      </c>
    </row>
    <row r="854" spans="1:12" x14ac:dyDescent="0.25">
      <c r="A854">
        <v>269</v>
      </c>
      <c r="B854" s="3">
        <v>41901</v>
      </c>
      <c r="C854" s="4">
        <v>1000</v>
      </c>
      <c r="E854">
        <v>269</v>
      </c>
      <c r="F854" s="3">
        <v>41901</v>
      </c>
      <c r="G854" t="s">
        <v>254</v>
      </c>
      <c r="H854" s="18">
        <v>1000</v>
      </c>
      <c r="J854" s="20" t="str">
        <f t="shared" ref="J854:J868" si="46">IF(E854=A854,"","CHECK")</f>
        <v/>
      </c>
      <c r="K854" t="str">
        <f t="shared" si="45"/>
        <v/>
      </c>
      <c r="L854" s="4">
        <f t="shared" ref="L854:L868" si="47">C854-H854</f>
        <v>0</v>
      </c>
    </row>
    <row r="855" spans="1:12" x14ac:dyDescent="0.25">
      <c r="A855">
        <v>282</v>
      </c>
      <c r="B855" s="3">
        <v>41901</v>
      </c>
      <c r="C855" s="4">
        <v>1200</v>
      </c>
      <c r="E855">
        <v>282</v>
      </c>
      <c r="F855" s="3">
        <v>41901</v>
      </c>
      <c r="G855" t="s">
        <v>23</v>
      </c>
      <c r="H855" s="18">
        <v>1200</v>
      </c>
      <c r="J855" s="20" t="str">
        <f t="shared" si="46"/>
        <v/>
      </c>
      <c r="K855" t="str">
        <f t="shared" si="45"/>
        <v/>
      </c>
      <c r="L855" s="4">
        <f t="shared" si="47"/>
        <v>0</v>
      </c>
    </row>
    <row r="856" spans="1:12" x14ac:dyDescent="0.25">
      <c r="B856" s="3"/>
      <c r="E856">
        <v>355</v>
      </c>
      <c r="F856" s="3">
        <v>41901</v>
      </c>
      <c r="G856" t="s">
        <v>108</v>
      </c>
      <c r="H856" s="18">
        <v>0</v>
      </c>
      <c r="J856" s="20" t="str">
        <f t="shared" si="46"/>
        <v>CHECK</v>
      </c>
      <c r="K856" t="str">
        <f t="shared" si="45"/>
        <v>CHECK</v>
      </c>
      <c r="L856" s="4">
        <f t="shared" si="47"/>
        <v>0</v>
      </c>
    </row>
    <row r="857" spans="1:12" x14ac:dyDescent="0.25">
      <c r="A857">
        <v>365</v>
      </c>
      <c r="B857" s="3">
        <v>41901</v>
      </c>
      <c r="C857" s="4">
        <v>1125</v>
      </c>
      <c r="E857">
        <v>365</v>
      </c>
      <c r="F857" s="3">
        <v>41901</v>
      </c>
      <c r="G857" t="s">
        <v>29</v>
      </c>
      <c r="H857" s="18">
        <v>1125</v>
      </c>
      <c r="J857" s="20" t="str">
        <f t="shared" si="46"/>
        <v/>
      </c>
      <c r="K857" t="str">
        <f t="shared" si="45"/>
        <v/>
      </c>
      <c r="L857" s="4">
        <f t="shared" si="47"/>
        <v>0</v>
      </c>
    </row>
    <row r="858" spans="1:12" x14ac:dyDescent="0.25">
      <c r="A858">
        <v>373</v>
      </c>
      <c r="B858" s="3">
        <v>41901</v>
      </c>
      <c r="C858" s="4">
        <v>-452.79</v>
      </c>
      <c r="E858">
        <v>373</v>
      </c>
      <c r="F858" s="3">
        <v>41901</v>
      </c>
      <c r="G858" t="s">
        <v>234</v>
      </c>
      <c r="H858" s="18">
        <v>-452.79</v>
      </c>
      <c r="J858" s="20" t="str">
        <f t="shared" si="46"/>
        <v/>
      </c>
      <c r="K858" t="str">
        <f t="shared" si="45"/>
        <v/>
      </c>
      <c r="L858" s="4">
        <f t="shared" si="47"/>
        <v>0</v>
      </c>
    </row>
    <row r="859" spans="1:12" x14ac:dyDescent="0.25">
      <c r="A859">
        <v>379</v>
      </c>
      <c r="B859" s="3">
        <v>41901</v>
      </c>
      <c r="C859" s="4">
        <v>390</v>
      </c>
      <c r="E859">
        <v>379</v>
      </c>
      <c r="F859" s="3">
        <v>41901</v>
      </c>
      <c r="G859" t="s">
        <v>30</v>
      </c>
      <c r="H859" s="18">
        <v>390</v>
      </c>
      <c r="J859" s="20" t="str">
        <f t="shared" si="46"/>
        <v/>
      </c>
      <c r="K859" t="str">
        <f t="shared" si="45"/>
        <v/>
      </c>
      <c r="L859" s="4">
        <f t="shared" si="47"/>
        <v>0</v>
      </c>
    </row>
    <row r="860" spans="1:12" x14ac:dyDescent="0.25">
      <c r="A860">
        <v>383</v>
      </c>
      <c r="B860" s="3">
        <v>41901</v>
      </c>
      <c r="C860" s="4">
        <v>1500</v>
      </c>
      <c r="E860">
        <v>383</v>
      </c>
      <c r="F860" s="3">
        <v>41901</v>
      </c>
      <c r="G860" t="s">
        <v>220</v>
      </c>
      <c r="H860" s="18">
        <v>1500</v>
      </c>
      <c r="J860" s="20" t="str">
        <f t="shared" si="46"/>
        <v/>
      </c>
      <c r="K860" t="str">
        <f t="shared" si="45"/>
        <v/>
      </c>
      <c r="L860" s="4">
        <f t="shared" si="47"/>
        <v>0</v>
      </c>
    </row>
    <row r="861" spans="1:12" x14ac:dyDescent="0.25">
      <c r="A861">
        <v>389</v>
      </c>
      <c r="B861" s="3">
        <v>41901</v>
      </c>
      <c r="C861" s="4">
        <v>1200</v>
      </c>
      <c r="E861">
        <v>389</v>
      </c>
      <c r="F861" s="3">
        <v>41901</v>
      </c>
      <c r="G861" t="s">
        <v>31</v>
      </c>
      <c r="H861" s="18">
        <v>1200</v>
      </c>
      <c r="J861" s="20" t="str">
        <f t="shared" si="46"/>
        <v/>
      </c>
      <c r="K861" t="str">
        <f t="shared" si="45"/>
        <v/>
      </c>
      <c r="L861" s="4">
        <f t="shared" si="47"/>
        <v>0</v>
      </c>
    </row>
    <row r="862" spans="1:12" x14ac:dyDescent="0.25">
      <c r="A862">
        <v>397</v>
      </c>
      <c r="B862" s="3">
        <v>41901</v>
      </c>
      <c r="C862" s="4">
        <v>500</v>
      </c>
      <c r="E862">
        <v>397</v>
      </c>
      <c r="F862" s="3">
        <v>41901</v>
      </c>
      <c r="G862" t="s">
        <v>287</v>
      </c>
      <c r="H862" s="18">
        <v>500</v>
      </c>
      <c r="J862" s="20" t="str">
        <f t="shared" si="46"/>
        <v/>
      </c>
      <c r="K862" t="str">
        <f t="shared" si="45"/>
        <v/>
      </c>
      <c r="L862" s="4">
        <f t="shared" si="47"/>
        <v>0</v>
      </c>
    </row>
    <row r="863" spans="1:12" x14ac:dyDescent="0.25">
      <c r="A863">
        <v>401</v>
      </c>
      <c r="B863" s="3">
        <v>41901</v>
      </c>
      <c r="C863" s="4">
        <v>450</v>
      </c>
      <c r="E863">
        <v>401</v>
      </c>
      <c r="F863" s="3">
        <v>41901</v>
      </c>
      <c r="G863" t="s">
        <v>184</v>
      </c>
      <c r="H863" s="18">
        <v>450</v>
      </c>
      <c r="J863" s="20" t="str">
        <f t="shared" si="46"/>
        <v/>
      </c>
      <c r="K863" t="str">
        <f t="shared" si="45"/>
        <v/>
      </c>
      <c r="L863" s="4">
        <f t="shared" si="47"/>
        <v>0</v>
      </c>
    </row>
    <row r="864" spans="1:12" x14ac:dyDescent="0.25">
      <c r="A864">
        <v>410</v>
      </c>
      <c r="B864" s="3">
        <v>41901</v>
      </c>
      <c r="C864" s="4">
        <v>1500</v>
      </c>
      <c r="E864">
        <v>410</v>
      </c>
      <c r="F864" s="3">
        <v>41901</v>
      </c>
      <c r="G864" t="s">
        <v>32</v>
      </c>
      <c r="H864" s="18">
        <v>1500</v>
      </c>
      <c r="J864" s="20" t="str">
        <f t="shared" si="46"/>
        <v/>
      </c>
      <c r="K864" t="str">
        <f t="shared" si="45"/>
        <v/>
      </c>
      <c r="L864" s="4">
        <f t="shared" si="47"/>
        <v>0</v>
      </c>
    </row>
    <row r="865" spans="1:12" x14ac:dyDescent="0.25">
      <c r="A865">
        <v>422</v>
      </c>
      <c r="B865" s="3">
        <v>41901</v>
      </c>
      <c r="C865" s="4">
        <v>925</v>
      </c>
      <c r="E865">
        <v>422</v>
      </c>
      <c r="F865" s="3">
        <v>41901</v>
      </c>
      <c r="G865" t="s">
        <v>165</v>
      </c>
      <c r="H865" s="18">
        <v>925</v>
      </c>
      <c r="J865" s="20" t="str">
        <f t="shared" si="46"/>
        <v/>
      </c>
      <c r="K865" t="str">
        <f t="shared" si="45"/>
        <v/>
      </c>
      <c r="L865" s="4">
        <f t="shared" si="47"/>
        <v>0</v>
      </c>
    </row>
    <row r="866" spans="1:12" x14ac:dyDescent="0.25">
      <c r="A866">
        <v>438</v>
      </c>
      <c r="B866" s="3">
        <v>41901</v>
      </c>
      <c r="C866" s="4">
        <v>925</v>
      </c>
      <c r="E866">
        <v>438</v>
      </c>
      <c r="F866" s="3">
        <v>41901</v>
      </c>
      <c r="G866" t="s">
        <v>115</v>
      </c>
      <c r="H866" s="18">
        <v>925</v>
      </c>
      <c r="J866" s="20" t="str">
        <f t="shared" si="46"/>
        <v/>
      </c>
      <c r="K866" t="str">
        <f t="shared" si="45"/>
        <v/>
      </c>
      <c r="L866" s="4">
        <f t="shared" si="47"/>
        <v>0</v>
      </c>
    </row>
    <row r="867" spans="1:12" x14ac:dyDescent="0.25">
      <c r="A867">
        <v>472</v>
      </c>
      <c r="B867" s="3">
        <v>41901</v>
      </c>
      <c r="C867" s="4">
        <v>500</v>
      </c>
      <c r="E867">
        <v>472</v>
      </c>
      <c r="F867" s="3">
        <v>41901</v>
      </c>
      <c r="G867" t="s">
        <v>279</v>
      </c>
      <c r="H867" s="18">
        <v>500</v>
      </c>
      <c r="J867" s="20" t="str">
        <f t="shared" si="46"/>
        <v/>
      </c>
      <c r="K867" t="str">
        <f t="shared" si="45"/>
        <v/>
      </c>
      <c r="L867" s="4">
        <f t="shared" si="47"/>
        <v>0</v>
      </c>
    </row>
    <row r="868" spans="1:12" x14ac:dyDescent="0.25">
      <c r="A868">
        <v>487</v>
      </c>
      <c r="B868" s="3">
        <v>41901</v>
      </c>
      <c r="C868" s="4">
        <v>459</v>
      </c>
      <c r="E868">
        <v>487</v>
      </c>
      <c r="F868" s="3">
        <v>41901</v>
      </c>
      <c r="G868" t="s">
        <v>303</v>
      </c>
      <c r="H868" s="18">
        <v>459</v>
      </c>
      <c r="J868" s="20" t="str">
        <f t="shared" si="46"/>
        <v/>
      </c>
      <c r="K868" t="str">
        <f t="shared" si="45"/>
        <v/>
      </c>
      <c r="L868" s="4">
        <f t="shared" si="47"/>
        <v>0</v>
      </c>
    </row>
    <row r="869" spans="1:12" x14ac:dyDescent="0.25">
      <c r="A869">
        <v>548</v>
      </c>
      <c r="B869" s="3">
        <v>41901</v>
      </c>
      <c r="C869" s="4">
        <v>750</v>
      </c>
      <c r="E869">
        <v>548</v>
      </c>
      <c r="F869" s="3">
        <v>41901</v>
      </c>
      <c r="G869" t="s">
        <v>312</v>
      </c>
      <c r="H869" s="18">
        <v>750</v>
      </c>
      <c r="J869" s="20" t="str">
        <f t="shared" ref="J869:J897" si="48">IF(E869=A869,"","CHECK")</f>
        <v/>
      </c>
      <c r="K869" t="str">
        <f t="shared" si="45"/>
        <v/>
      </c>
      <c r="L869" s="4">
        <f t="shared" ref="L869:L897" si="49">C869-H869</f>
        <v>0</v>
      </c>
    </row>
    <row r="870" spans="1:12" x14ac:dyDescent="0.25">
      <c r="A870">
        <v>550</v>
      </c>
      <c r="B870" s="3">
        <v>41901</v>
      </c>
      <c r="C870" s="4">
        <v>1259</v>
      </c>
      <c r="E870">
        <v>550</v>
      </c>
      <c r="F870" s="3">
        <v>41901</v>
      </c>
      <c r="G870" t="s">
        <v>297</v>
      </c>
      <c r="H870" s="18">
        <v>1259</v>
      </c>
      <c r="J870" s="20" t="str">
        <f t="shared" si="48"/>
        <v/>
      </c>
      <c r="K870" t="str">
        <f t="shared" si="45"/>
        <v/>
      </c>
      <c r="L870" s="4">
        <f t="shared" si="49"/>
        <v>0</v>
      </c>
    </row>
    <row r="871" spans="1:12" x14ac:dyDescent="0.25">
      <c r="B871" s="3"/>
      <c r="E871">
        <v>574</v>
      </c>
      <c r="F871" s="3">
        <v>41901</v>
      </c>
      <c r="G871" t="s">
        <v>298</v>
      </c>
      <c r="H871" s="18">
        <v>0</v>
      </c>
      <c r="J871" s="20" t="str">
        <f t="shared" si="48"/>
        <v>CHECK</v>
      </c>
      <c r="K871" t="str">
        <f t="shared" si="45"/>
        <v>CHECK</v>
      </c>
      <c r="L871" s="4">
        <f t="shared" si="49"/>
        <v>0</v>
      </c>
    </row>
    <row r="872" spans="1:12" x14ac:dyDescent="0.25">
      <c r="A872">
        <v>580</v>
      </c>
      <c r="B872" s="3">
        <v>41901</v>
      </c>
      <c r="C872" s="4">
        <v>500</v>
      </c>
      <c r="E872">
        <v>580</v>
      </c>
      <c r="F872" s="3">
        <v>41901</v>
      </c>
      <c r="G872" t="s">
        <v>37</v>
      </c>
      <c r="H872" s="18">
        <v>500</v>
      </c>
      <c r="J872" s="20" t="str">
        <f t="shared" si="48"/>
        <v/>
      </c>
      <c r="K872" t="str">
        <f t="shared" si="45"/>
        <v/>
      </c>
      <c r="L872" s="4">
        <f t="shared" si="49"/>
        <v>0</v>
      </c>
    </row>
    <row r="873" spans="1:12" x14ac:dyDescent="0.25">
      <c r="A873">
        <v>202</v>
      </c>
      <c r="B873" s="3">
        <v>41904</v>
      </c>
      <c r="C873" s="4">
        <v>402.75</v>
      </c>
      <c r="E873">
        <v>202</v>
      </c>
      <c r="F873" s="3">
        <v>41904</v>
      </c>
      <c r="G873" t="s">
        <v>237</v>
      </c>
      <c r="H873" s="18">
        <v>-999.75</v>
      </c>
      <c r="J873" s="20" t="str">
        <f t="shared" si="48"/>
        <v/>
      </c>
      <c r="K873" t="str">
        <f t="shared" si="45"/>
        <v/>
      </c>
      <c r="L873" s="4">
        <f t="shared" si="49"/>
        <v>1402.5</v>
      </c>
    </row>
    <row r="874" spans="1:12" x14ac:dyDescent="0.25">
      <c r="A874">
        <v>231</v>
      </c>
      <c r="B874" s="3">
        <v>41904</v>
      </c>
      <c r="C874" s="4">
        <v>500</v>
      </c>
      <c r="E874">
        <v>231</v>
      </c>
      <c r="F874" s="3">
        <v>41904</v>
      </c>
      <c r="G874" t="s">
        <v>310</v>
      </c>
      <c r="H874" s="18">
        <v>500</v>
      </c>
      <c r="J874" s="20" t="str">
        <f t="shared" si="48"/>
        <v/>
      </c>
      <c r="K874" t="str">
        <f t="shared" si="45"/>
        <v/>
      </c>
      <c r="L874" s="4">
        <f t="shared" si="49"/>
        <v>0</v>
      </c>
    </row>
    <row r="875" spans="1:12" x14ac:dyDescent="0.25">
      <c r="A875">
        <v>255</v>
      </c>
      <c r="B875" s="3">
        <v>41904</v>
      </c>
      <c r="C875" s="4">
        <v>50</v>
      </c>
      <c r="E875">
        <v>255</v>
      </c>
      <c r="F875" s="3">
        <v>41904</v>
      </c>
      <c r="G875" t="s">
        <v>21</v>
      </c>
      <c r="H875" s="18">
        <v>50</v>
      </c>
      <c r="J875" s="20" t="str">
        <f t="shared" si="48"/>
        <v/>
      </c>
      <c r="K875" t="str">
        <f t="shared" si="45"/>
        <v/>
      </c>
      <c r="L875" s="4">
        <f t="shared" si="49"/>
        <v>0</v>
      </c>
    </row>
    <row r="876" spans="1:12" x14ac:dyDescent="0.25">
      <c r="A876">
        <v>379</v>
      </c>
      <c r="B876" s="3">
        <v>41904</v>
      </c>
      <c r="C876" s="4">
        <v>625</v>
      </c>
      <c r="E876">
        <v>379</v>
      </c>
      <c r="F876" s="3">
        <v>41904</v>
      </c>
      <c r="G876" t="s">
        <v>30</v>
      </c>
      <c r="H876" s="18">
        <v>625</v>
      </c>
      <c r="J876" s="20" t="str">
        <f t="shared" si="48"/>
        <v/>
      </c>
      <c r="K876" t="str">
        <f t="shared" si="45"/>
        <v/>
      </c>
      <c r="L876" s="4">
        <f t="shared" si="49"/>
        <v>0</v>
      </c>
    </row>
    <row r="877" spans="1:12" x14ac:dyDescent="0.25">
      <c r="A877">
        <v>582</v>
      </c>
      <c r="B877" s="3">
        <v>41904</v>
      </c>
      <c r="C877" s="4">
        <v>500</v>
      </c>
      <c r="E877">
        <v>582</v>
      </c>
      <c r="F877" s="3">
        <v>41904</v>
      </c>
      <c r="G877" t="s">
        <v>123</v>
      </c>
      <c r="H877" s="18">
        <v>500</v>
      </c>
      <c r="J877" s="20" t="str">
        <f t="shared" si="48"/>
        <v/>
      </c>
      <c r="K877" t="str">
        <f t="shared" si="45"/>
        <v/>
      </c>
      <c r="L877" s="4">
        <f t="shared" si="49"/>
        <v>0</v>
      </c>
    </row>
    <row r="878" spans="1:12" x14ac:dyDescent="0.25">
      <c r="A878">
        <v>383</v>
      </c>
      <c r="B878" s="3">
        <v>41905</v>
      </c>
      <c r="C878" s="4">
        <v>1025</v>
      </c>
      <c r="E878">
        <v>383</v>
      </c>
      <c r="F878" s="3">
        <v>41905</v>
      </c>
      <c r="G878" t="s">
        <v>220</v>
      </c>
      <c r="H878" s="18">
        <v>1025</v>
      </c>
      <c r="J878" s="20" t="str">
        <f t="shared" si="48"/>
        <v/>
      </c>
      <c r="K878" t="str">
        <f t="shared" si="45"/>
        <v/>
      </c>
      <c r="L878" s="4">
        <f t="shared" si="49"/>
        <v>0</v>
      </c>
    </row>
    <row r="879" spans="1:12" x14ac:dyDescent="0.25">
      <c r="A879">
        <v>303</v>
      </c>
      <c r="B879" s="3">
        <v>41906</v>
      </c>
      <c r="C879" s="4">
        <v>1275</v>
      </c>
      <c r="E879">
        <v>303</v>
      </c>
      <c r="F879" s="3">
        <v>41906</v>
      </c>
      <c r="G879" t="s">
        <v>218</v>
      </c>
      <c r="H879" s="18">
        <v>575</v>
      </c>
      <c r="J879" s="20" t="str">
        <f t="shared" si="48"/>
        <v/>
      </c>
      <c r="K879" t="str">
        <f t="shared" si="45"/>
        <v/>
      </c>
      <c r="L879" s="4">
        <f t="shared" si="49"/>
        <v>700</v>
      </c>
    </row>
    <row r="880" spans="1:12" x14ac:dyDescent="0.25">
      <c r="A880">
        <v>37</v>
      </c>
      <c r="B880" s="3">
        <v>41907</v>
      </c>
      <c r="C880" s="4">
        <v>3093.04</v>
      </c>
      <c r="E880">
        <v>37</v>
      </c>
      <c r="F880" s="3">
        <v>41907</v>
      </c>
      <c r="G880" t="s">
        <v>77</v>
      </c>
      <c r="H880" s="18">
        <v>3093.03</v>
      </c>
      <c r="J880" s="20" t="str">
        <f t="shared" si="48"/>
        <v/>
      </c>
      <c r="K880" t="str">
        <f t="shared" si="45"/>
        <v/>
      </c>
      <c r="L880" s="4">
        <f t="shared" si="49"/>
        <v>9.9999999997635314E-3</v>
      </c>
    </row>
    <row r="881" spans="1:12" x14ac:dyDescent="0.25">
      <c r="A881">
        <v>77</v>
      </c>
      <c r="B881" s="3">
        <v>41907</v>
      </c>
      <c r="C881" s="4">
        <v>1025</v>
      </c>
      <c r="E881">
        <v>77</v>
      </c>
      <c r="F881" s="3">
        <v>41907</v>
      </c>
      <c r="G881" t="s">
        <v>11</v>
      </c>
      <c r="H881" s="18">
        <v>1025</v>
      </c>
      <c r="J881" s="20" t="str">
        <f t="shared" si="48"/>
        <v/>
      </c>
      <c r="K881" t="str">
        <f t="shared" si="45"/>
        <v/>
      </c>
      <c r="L881" s="4">
        <f t="shared" si="49"/>
        <v>0</v>
      </c>
    </row>
    <row r="882" spans="1:12" x14ac:dyDescent="0.25">
      <c r="A882">
        <v>133</v>
      </c>
      <c r="B882" s="3">
        <v>41907</v>
      </c>
      <c r="C882" s="4">
        <v>162.94999999999999</v>
      </c>
      <c r="E882">
        <v>133</v>
      </c>
      <c r="F882" s="3">
        <v>41907</v>
      </c>
      <c r="G882" t="s">
        <v>87</v>
      </c>
      <c r="H882" s="18">
        <v>162.94999999999999</v>
      </c>
      <c r="J882" s="20" t="str">
        <f t="shared" si="48"/>
        <v/>
      </c>
      <c r="K882" t="str">
        <f t="shared" si="45"/>
        <v/>
      </c>
      <c r="L882" s="4">
        <f t="shared" si="49"/>
        <v>0</v>
      </c>
    </row>
    <row r="883" spans="1:12" x14ac:dyDescent="0.25">
      <c r="A883">
        <v>203</v>
      </c>
      <c r="B883" s="3">
        <v>41907</v>
      </c>
      <c r="C883" s="4">
        <v>358.75</v>
      </c>
      <c r="E883">
        <v>203</v>
      </c>
      <c r="F883" s="3">
        <v>41907</v>
      </c>
      <c r="G883" t="s">
        <v>95</v>
      </c>
      <c r="H883" s="18">
        <v>358.75</v>
      </c>
      <c r="J883" s="20" t="str">
        <f t="shared" si="48"/>
        <v/>
      </c>
      <c r="K883" t="str">
        <f t="shared" si="45"/>
        <v/>
      </c>
      <c r="L883" s="4">
        <f t="shared" si="49"/>
        <v>0</v>
      </c>
    </row>
    <row r="884" spans="1:12" x14ac:dyDescent="0.25">
      <c r="A884">
        <v>248</v>
      </c>
      <c r="B884" s="3">
        <v>41907</v>
      </c>
      <c r="C884" s="4">
        <v>-612</v>
      </c>
      <c r="E884">
        <v>248</v>
      </c>
      <c r="F884" s="3">
        <v>41907</v>
      </c>
      <c r="G884" t="s">
        <v>19</v>
      </c>
      <c r="H884" s="18">
        <v>-612</v>
      </c>
      <c r="J884" s="20" t="str">
        <f t="shared" si="48"/>
        <v/>
      </c>
      <c r="K884" t="str">
        <f t="shared" si="45"/>
        <v/>
      </c>
      <c r="L884" s="4">
        <f t="shared" si="49"/>
        <v>0</v>
      </c>
    </row>
    <row r="885" spans="1:12" x14ac:dyDescent="0.25">
      <c r="A885">
        <v>261</v>
      </c>
      <c r="B885" s="3">
        <v>41907</v>
      </c>
      <c r="C885" s="4">
        <v>885</v>
      </c>
      <c r="E885">
        <v>261</v>
      </c>
      <c r="F885" s="3">
        <v>41907</v>
      </c>
      <c r="G885" t="s">
        <v>22</v>
      </c>
      <c r="H885" s="18">
        <v>885</v>
      </c>
      <c r="J885" s="20" t="str">
        <f t="shared" si="48"/>
        <v/>
      </c>
      <c r="K885" t="str">
        <f t="shared" si="45"/>
        <v/>
      </c>
      <c r="L885" s="4">
        <f t="shared" si="49"/>
        <v>0</v>
      </c>
    </row>
    <row r="886" spans="1:12" x14ac:dyDescent="0.25">
      <c r="A886">
        <v>268</v>
      </c>
      <c r="B886" s="3">
        <v>41907</v>
      </c>
      <c r="C886" s="4">
        <v>1500</v>
      </c>
      <c r="E886">
        <v>268</v>
      </c>
      <c r="F886" s="3">
        <v>41907</v>
      </c>
      <c r="G886" t="s">
        <v>162</v>
      </c>
      <c r="H886" s="18">
        <v>1500</v>
      </c>
      <c r="J886" s="20" t="str">
        <f t="shared" si="48"/>
        <v/>
      </c>
      <c r="K886" t="str">
        <f t="shared" si="45"/>
        <v/>
      </c>
      <c r="L886" s="4">
        <f t="shared" si="49"/>
        <v>0</v>
      </c>
    </row>
    <row r="887" spans="1:12" x14ac:dyDescent="0.25">
      <c r="A887">
        <v>269</v>
      </c>
      <c r="B887" s="3">
        <v>41907</v>
      </c>
      <c r="C887" s="4">
        <v>1000</v>
      </c>
      <c r="E887">
        <v>269</v>
      </c>
      <c r="F887" s="3">
        <v>41907</v>
      </c>
      <c r="G887" t="s">
        <v>254</v>
      </c>
      <c r="H887" s="18">
        <v>1000</v>
      </c>
      <c r="J887" s="20" t="str">
        <f t="shared" si="48"/>
        <v/>
      </c>
      <c r="K887" t="str">
        <f t="shared" si="45"/>
        <v/>
      </c>
      <c r="L887" s="4">
        <f t="shared" si="49"/>
        <v>0</v>
      </c>
    </row>
    <row r="888" spans="1:12" x14ac:dyDescent="0.25">
      <c r="A888">
        <v>295</v>
      </c>
      <c r="B888" s="3">
        <v>41907</v>
      </c>
      <c r="C888" s="4">
        <v>1300</v>
      </c>
      <c r="E888">
        <v>295</v>
      </c>
      <c r="F888" s="3">
        <v>41907</v>
      </c>
      <c r="G888" t="s">
        <v>103</v>
      </c>
      <c r="H888" s="18">
        <v>1300</v>
      </c>
      <c r="J888" s="20" t="str">
        <f t="shared" si="48"/>
        <v/>
      </c>
      <c r="K888" t="str">
        <f t="shared" si="45"/>
        <v/>
      </c>
      <c r="L888" s="4">
        <f t="shared" si="49"/>
        <v>0</v>
      </c>
    </row>
    <row r="889" spans="1:12" x14ac:dyDescent="0.25">
      <c r="A889">
        <v>321</v>
      </c>
      <c r="B889" s="3">
        <v>41907</v>
      </c>
      <c r="C889" s="4">
        <v>350</v>
      </c>
      <c r="E889">
        <v>321</v>
      </c>
      <c r="F889" s="3">
        <v>41907</v>
      </c>
      <c r="G889" t="s">
        <v>105</v>
      </c>
      <c r="H889" s="18">
        <v>350</v>
      </c>
      <c r="J889" s="20" t="str">
        <f t="shared" si="48"/>
        <v/>
      </c>
      <c r="K889" t="str">
        <f t="shared" si="45"/>
        <v/>
      </c>
      <c r="L889" s="4">
        <f t="shared" si="49"/>
        <v>0</v>
      </c>
    </row>
    <row r="890" spans="1:12" x14ac:dyDescent="0.25">
      <c r="A890">
        <v>341</v>
      </c>
      <c r="B890" s="3">
        <v>41907</v>
      </c>
      <c r="C890" s="4">
        <v>450</v>
      </c>
      <c r="E890">
        <v>341</v>
      </c>
      <c r="F890" s="3">
        <v>41907</v>
      </c>
      <c r="G890" t="s">
        <v>307</v>
      </c>
      <c r="H890" s="18">
        <v>450</v>
      </c>
      <c r="J890" s="20" t="str">
        <f t="shared" si="48"/>
        <v/>
      </c>
      <c r="K890" t="str">
        <f t="shared" si="45"/>
        <v/>
      </c>
      <c r="L890" s="4">
        <f t="shared" si="49"/>
        <v>0</v>
      </c>
    </row>
    <row r="891" spans="1:12" x14ac:dyDescent="0.25">
      <c r="A891">
        <v>352</v>
      </c>
      <c r="B891" s="3">
        <v>41907</v>
      </c>
      <c r="C891" s="4">
        <v>32.5</v>
      </c>
      <c r="E891">
        <v>352</v>
      </c>
      <c r="F891" s="3">
        <v>41907</v>
      </c>
      <c r="G891" t="s">
        <v>278</v>
      </c>
      <c r="H891" s="18">
        <v>32.5</v>
      </c>
      <c r="J891" s="20" t="str">
        <f t="shared" si="48"/>
        <v/>
      </c>
      <c r="K891" t="str">
        <f t="shared" si="45"/>
        <v/>
      </c>
      <c r="L891" s="4">
        <f t="shared" si="49"/>
        <v>0</v>
      </c>
    </row>
    <row r="892" spans="1:12" x14ac:dyDescent="0.25">
      <c r="A892">
        <v>373</v>
      </c>
      <c r="B892" s="3">
        <v>41907</v>
      </c>
      <c r="C892" s="4">
        <v>-452.79</v>
      </c>
      <c r="E892">
        <v>373</v>
      </c>
      <c r="F892" s="3">
        <v>41907</v>
      </c>
      <c r="G892" t="s">
        <v>234</v>
      </c>
      <c r="H892" s="18">
        <v>-452.79</v>
      </c>
      <c r="J892" s="20" t="str">
        <f t="shared" si="48"/>
        <v/>
      </c>
      <c r="K892" t="str">
        <f t="shared" si="45"/>
        <v/>
      </c>
      <c r="L892" s="4">
        <f t="shared" si="49"/>
        <v>0</v>
      </c>
    </row>
    <row r="893" spans="1:12" x14ac:dyDescent="0.25">
      <c r="A893">
        <v>379</v>
      </c>
      <c r="B893" s="3">
        <v>41907</v>
      </c>
      <c r="C893" s="4">
        <v>625</v>
      </c>
      <c r="E893">
        <v>379</v>
      </c>
      <c r="F893" s="3">
        <v>41907</v>
      </c>
      <c r="G893" t="s">
        <v>30</v>
      </c>
      <c r="H893" s="18">
        <v>625</v>
      </c>
      <c r="J893" s="20" t="str">
        <f t="shared" si="48"/>
        <v/>
      </c>
      <c r="K893" t="str">
        <f t="shared" si="45"/>
        <v/>
      </c>
      <c r="L893" s="4">
        <f t="shared" si="49"/>
        <v>0</v>
      </c>
    </row>
    <row r="894" spans="1:12" x14ac:dyDescent="0.25">
      <c r="A894">
        <v>389</v>
      </c>
      <c r="B894" s="3">
        <v>41907</v>
      </c>
      <c r="C894" s="4">
        <v>505</v>
      </c>
      <c r="E894">
        <v>389</v>
      </c>
      <c r="F894" s="3">
        <v>41907</v>
      </c>
      <c r="G894" t="s">
        <v>31</v>
      </c>
      <c r="H894" s="18">
        <v>505</v>
      </c>
      <c r="J894" s="20" t="str">
        <f t="shared" si="48"/>
        <v/>
      </c>
      <c r="K894" t="str">
        <f t="shared" si="45"/>
        <v/>
      </c>
      <c r="L894" s="4">
        <f t="shared" si="49"/>
        <v>0</v>
      </c>
    </row>
    <row r="895" spans="1:12" x14ac:dyDescent="0.25">
      <c r="A895">
        <v>397</v>
      </c>
      <c r="B895" s="3">
        <v>41907</v>
      </c>
      <c r="C895" s="4">
        <v>500</v>
      </c>
      <c r="E895">
        <v>397</v>
      </c>
      <c r="F895" s="3">
        <v>41907</v>
      </c>
      <c r="G895" t="s">
        <v>287</v>
      </c>
      <c r="H895" s="18">
        <v>500</v>
      </c>
      <c r="J895" s="20" t="str">
        <f t="shared" si="48"/>
        <v/>
      </c>
      <c r="K895" t="str">
        <f t="shared" si="45"/>
        <v/>
      </c>
      <c r="L895" s="4">
        <f t="shared" si="49"/>
        <v>0</v>
      </c>
    </row>
    <row r="896" spans="1:12" x14ac:dyDescent="0.25">
      <c r="A896">
        <v>401</v>
      </c>
      <c r="B896" s="3">
        <v>41907</v>
      </c>
      <c r="C896" s="4">
        <v>1300</v>
      </c>
      <c r="E896">
        <v>401</v>
      </c>
      <c r="F896" s="3">
        <v>41907</v>
      </c>
      <c r="G896" t="s">
        <v>184</v>
      </c>
      <c r="H896" s="18">
        <v>1300</v>
      </c>
      <c r="J896" s="20" t="str">
        <f t="shared" si="48"/>
        <v/>
      </c>
      <c r="K896" t="str">
        <f t="shared" si="45"/>
        <v/>
      </c>
      <c r="L896" s="4">
        <f t="shared" si="49"/>
        <v>0</v>
      </c>
    </row>
    <row r="897" spans="1:12" x14ac:dyDescent="0.25">
      <c r="A897">
        <v>404</v>
      </c>
      <c r="B897" s="3">
        <v>41907</v>
      </c>
      <c r="C897" s="4">
        <v>1000</v>
      </c>
      <c r="E897">
        <v>404</v>
      </c>
      <c r="F897" s="3">
        <v>41907</v>
      </c>
      <c r="G897" t="s">
        <v>308</v>
      </c>
      <c r="H897" s="18">
        <v>1000</v>
      </c>
      <c r="J897" s="20" t="str">
        <f t="shared" si="48"/>
        <v/>
      </c>
      <c r="K897" t="str">
        <f t="shared" si="45"/>
        <v/>
      </c>
      <c r="L897" s="4">
        <f t="shared" si="49"/>
        <v>0</v>
      </c>
    </row>
    <row r="898" spans="1:12" x14ac:dyDescent="0.25">
      <c r="A898">
        <v>407</v>
      </c>
      <c r="B898" s="3">
        <v>41907</v>
      </c>
      <c r="C898" s="4">
        <v>225.02</v>
      </c>
      <c r="E898">
        <v>407</v>
      </c>
      <c r="F898" s="3">
        <v>41907</v>
      </c>
      <c r="G898" t="s">
        <v>113</v>
      </c>
      <c r="H898" s="18">
        <v>225.02</v>
      </c>
      <c r="J898" s="20" t="str">
        <f t="shared" ref="J898:J909" si="50">IF(E898=A898,"","CHECK")</f>
        <v/>
      </c>
      <c r="K898" t="str">
        <f t="shared" si="45"/>
        <v/>
      </c>
      <c r="L898" s="4">
        <f t="shared" ref="L898:L909" si="51">C898-H898</f>
        <v>0</v>
      </c>
    </row>
    <row r="899" spans="1:12" x14ac:dyDescent="0.25">
      <c r="A899">
        <v>422</v>
      </c>
      <c r="B899" s="3">
        <v>41907</v>
      </c>
      <c r="C899" s="4">
        <v>775</v>
      </c>
      <c r="E899">
        <v>422</v>
      </c>
      <c r="F899" s="3">
        <v>41907</v>
      </c>
      <c r="G899" t="s">
        <v>165</v>
      </c>
      <c r="H899" s="18">
        <v>775</v>
      </c>
      <c r="J899" s="20" t="str">
        <f t="shared" si="50"/>
        <v/>
      </c>
      <c r="K899" t="str">
        <f t="shared" ref="K899:K962" si="52">IF(F899=B899,"","CHECK")</f>
        <v/>
      </c>
      <c r="L899" s="4">
        <f t="shared" si="51"/>
        <v>0</v>
      </c>
    </row>
    <row r="900" spans="1:12" x14ac:dyDescent="0.25">
      <c r="B900" s="3"/>
      <c r="E900">
        <v>437</v>
      </c>
      <c r="F900" s="3">
        <v>41907</v>
      </c>
      <c r="G900" t="s">
        <v>309</v>
      </c>
      <c r="H900" s="18">
        <v>-750</v>
      </c>
      <c r="J900" s="20" t="str">
        <f t="shared" si="50"/>
        <v>CHECK</v>
      </c>
      <c r="K900" t="str">
        <f t="shared" si="52"/>
        <v>CHECK</v>
      </c>
      <c r="L900" s="4">
        <f t="shared" si="51"/>
        <v>750</v>
      </c>
    </row>
    <row r="901" spans="1:12" x14ac:dyDescent="0.25">
      <c r="A901">
        <v>438</v>
      </c>
      <c r="B901" s="3">
        <v>41907</v>
      </c>
      <c r="C901" s="4">
        <v>675</v>
      </c>
      <c r="E901">
        <v>438</v>
      </c>
      <c r="F901" s="3">
        <v>41907</v>
      </c>
      <c r="G901" t="s">
        <v>115</v>
      </c>
      <c r="H901" s="18">
        <v>675</v>
      </c>
      <c r="J901" s="20" t="str">
        <f t="shared" si="50"/>
        <v/>
      </c>
      <c r="K901" t="str">
        <f t="shared" si="52"/>
        <v/>
      </c>
      <c r="L901" s="4">
        <f t="shared" si="51"/>
        <v>0</v>
      </c>
    </row>
    <row r="902" spans="1:12" x14ac:dyDescent="0.25">
      <c r="A902">
        <v>443</v>
      </c>
      <c r="B902" s="3">
        <v>41907</v>
      </c>
      <c r="C902" s="4">
        <v>475</v>
      </c>
      <c r="E902">
        <v>443</v>
      </c>
      <c r="F902" s="3">
        <v>41907</v>
      </c>
      <c r="G902" t="s">
        <v>300</v>
      </c>
      <c r="H902" s="18">
        <v>475</v>
      </c>
      <c r="J902" s="20" t="str">
        <f t="shared" si="50"/>
        <v/>
      </c>
      <c r="K902" t="str">
        <f t="shared" si="52"/>
        <v/>
      </c>
      <c r="L902" s="4">
        <f t="shared" si="51"/>
        <v>0</v>
      </c>
    </row>
    <row r="903" spans="1:12" x14ac:dyDescent="0.25">
      <c r="A903">
        <v>458</v>
      </c>
      <c r="B903" s="3">
        <v>41907</v>
      </c>
      <c r="C903" s="4">
        <v>1075</v>
      </c>
      <c r="E903">
        <v>458</v>
      </c>
      <c r="F903" s="3">
        <v>41907</v>
      </c>
      <c r="G903" t="s">
        <v>185</v>
      </c>
      <c r="H903" s="18">
        <v>1075</v>
      </c>
      <c r="J903" s="20" t="str">
        <f t="shared" si="50"/>
        <v/>
      </c>
      <c r="K903" t="str">
        <f t="shared" si="52"/>
        <v/>
      </c>
      <c r="L903" s="4">
        <f t="shared" si="51"/>
        <v>0</v>
      </c>
    </row>
    <row r="904" spans="1:12" x14ac:dyDescent="0.25">
      <c r="A904">
        <v>472</v>
      </c>
      <c r="B904" s="3">
        <v>41907</v>
      </c>
      <c r="C904" s="4">
        <v>1596.5</v>
      </c>
      <c r="E904">
        <v>472</v>
      </c>
      <c r="F904" s="3">
        <v>41907</v>
      </c>
      <c r="G904" t="s">
        <v>279</v>
      </c>
      <c r="H904" s="18">
        <v>1596.5</v>
      </c>
      <c r="J904" s="20" t="str">
        <f t="shared" si="50"/>
        <v/>
      </c>
      <c r="K904" t="str">
        <f t="shared" si="52"/>
        <v/>
      </c>
      <c r="L904" s="4">
        <f t="shared" si="51"/>
        <v>0</v>
      </c>
    </row>
    <row r="905" spans="1:12" x14ac:dyDescent="0.25">
      <c r="A905">
        <v>477</v>
      </c>
      <c r="B905" s="3">
        <v>41907</v>
      </c>
      <c r="C905" s="4">
        <v>1500</v>
      </c>
      <c r="E905">
        <v>477</v>
      </c>
      <c r="F905" s="3">
        <v>41907</v>
      </c>
      <c r="G905" t="s">
        <v>284</v>
      </c>
      <c r="H905" s="18">
        <v>1500</v>
      </c>
      <c r="J905" s="20" t="str">
        <f t="shared" si="50"/>
        <v/>
      </c>
      <c r="K905" t="str">
        <f t="shared" si="52"/>
        <v/>
      </c>
      <c r="L905" s="4">
        <f t="shared" si="51"/>
        <v>0</v>
      </c>
    </row>
    <row r="906" spans="1:12" x14ac:dyDescent="0.25">
      <c r="A906">
        <v>487</v>
      </c>
      <c r="B906" s="3">
        <v>41907</v>
      </c>
      <c r="C906" s="4">
        <v>1078</v>
      </c>
      <c r="E906">
        <v>487</v>
      </c>
      <c r="F906" s="3">
        <v>41907</v>
      </c>
      <c r="G906" t="s">
        <v>303</v>
      </c>
      <c r="H906" s="18">
        <v>1078</v>
      </c>
      <c r="J906" s="20" t="str">
        <f t="shared" si="50"/>
        <v/>
      </c>
      <c r="K906" t="str">
        <f t="shared" si="52"/>
        <v/>
      </c>
      <c r="L906" s="4">
        <f t="shared" si="51"/>
        <v>0</v>
      </c>
    </row>
    <row r="907" spans="1:12" x14ac:dyDescent="0.25">
      <c r="A907">
        <v>539</v>
      </c>
      <c r="B907" s="3">
        <v>41907</v>
      </c>
      <c r="C907" s="4">
        <v>1846.22</v>
      </c>
      <c r="E907">
        <v>539</v>
      </c>
      <c r="F907" s="3">
        <v>41907</v>
      </c>
      <c r="G907" t="s">
        <v>122</v>
      </c>
      <c r="H907" s="18">
        <v>1846.22</v>
      </c>
      <c r="J907" s="20" t="str">
        <f t="shared" si="50"/>
        <v/>
      </c>
      <c r="K907" t="str">
        <f t="shared" si="52"/>
        <v/>
      </c>
      <c r="L907" s="4">
        <f t="shared" si="51"/>
        <v>0</v>
      </c>
    </row>
    <row r="908" spans="1:12" x14ac:dyDescent="0.25">
      <c r="A908">
        <v>549</v>
      </c>
      <c r="B908" s="3">
        <v>41907</v>
      </c>
      <c r="C908" s="4">
        <v>375</v>
      </c>
      <c r="E908">
        <v>549</v>
      </c>
      <c r="F908" s="3">
        <v>41907</v>
      </c>
      <c r="G908" t="s">
        <v>280</v>
      </c>
      <c r="H908" s="18">
        <v>375</v>
      </c>
      <c r="J908" s="20" t="str">
        <f t="shared" si="50"/>
        <v/>
      </c>
      <c r="K908" t="str">
        <f t="shared" si="52"/>
        <v/>
      </c>
      <c r="L908" s="4">
        <f t="shared" si="51"/>
        <v>0</v>
      </c>
    </row>
    <row r="909" spans="1:12" x14ac:dyDescent="0.25">
      <c r="A909">
        <v>551</v>
      </c>
      <c r="B909" s="3">
        <v>41907</v>
      </c>
      <c r="C909" s="4">
        <v>500</v>
      </c>
      <c r="E909">
        <v>551</v>
      </c>
      <c r="F909" s="3">
        <v>41907</v>
      </c>
      <c r="G909" t="s">
        <v>166</v>
      </c>
      <c r="H909" s="18">
        <v>500</v>
      </c>
      <c r="J909" s="20" t="str">
        <f t="shared" si="50"/>
        <v/>
      </c>
      <c r="K909" t="str">
        <f t="shared" si="52"/>
        <v/>
      </c>
      <c r="L909" s="4">
        <f t="shared" si="51"/>
        <v>0</v>
      </c>
    </row>
    <row r="910" spans="1:12" x14ac:dyDescent="0.25">
      <c r="A910">
        <v>569</v>
      </c>
      <c r="B910" s="3">
        <v>41907</v>
      </c>
      <c r="C910" s="4">
        <v>900</v>
      </c>
      <c r="E910">
        <v>569</v>
      </c>
      <c r="F910" s="3">
        <v>41907</v>
      </c>
      <c r="G910" t="s">
        <v>301</v>
      </c>
      <c r="H910" s="18">
        <v>900</v>
      </c>
      <c r="J910" s="20" t="str">
        <f t="shared" ref="J910:J925" si="53">IF(E910=A910,"","CHECK")</f>
        <v/>
      </c>
      <c r="K910" t="str">
        <f t="shared" si="52"/>
        <v/>
      </c>
      <c r="L910" s="4">
        <f t="shared" ref="L910:L925" si="54">C910-H910</f>
        <v>0</v>
      </c>
    </row>
    <row r="911" spans="1:12" x14ac:dyDescent="0.25">
      <c r="B911" s="3"/>
      <c r="E911">
        <v>574</v>
      </c>
      <c r="F911" s="3">
        <v>41907</v>
      </c>
      <c r="G911" t="s">
        <v>298</v>
      </c>
      <c r="H911" s="18">
        <v>0</v>
      </c>
      <c r="J911" s="20" t="str">
        <f t="shared" si="53"/>
        <v>CHECK</v>
      </c>
      <c r="K911" t="str">
        <f t="shared" si="52"/>
        <v>CHECK</v>
      </c>
      <c r="L911" s="4">
        <f t="shared" si="54"/>
        <v>0</v>
      </c>
    </row>
    <row r="912" spans="1:12" x14ac:dyDescent="0.25">
      <c r="A912">
        <v>580</v>
      </c>
      <c r="B912" s="3">
        <v>41907</v>
      </c>
      <c r="C912" s="4">
        <v>500</v>
      </c>
      <c r="E912">
        <v>580</v>
      </c>
      <c r="F912" s="3">
        <v>41907</v>
      </c>
      <c r="G912" t="s">
        <v>37</v>
      </c>
      <c r="H912" s="18">
        <v>500</v>
      </c>
      <c r="J912" s="20" t="str">
        <f t="shared" si="53"/>
        <v/>
      </c>
      <c r="K912" t="str">
        <f t="shared" si="52"/>
        <v/>
      </c>
      <c r="L912" s="4">
        <f t="shared" si="54"/>
        <v>0</v>
      </c>
    </row>
    <row r="913" spans="1:12" x14ac:dyDescent="0.25">
      <c r="A913">
        <v>582</v>
      </c>
      <c r="B913" s="3">
        <v>41907</v>
      </c>
      <c r="C913" s="4">
        <v>2055.5</v>
      </c>
      <c r="E913">
        <v>582</v>
      </c>
      <c r="F913" s="3">
        <v>41907</v>
      </c>
      <c r="G913" t="s">
        <v>123</v>
      </c>
      <c r="H913" s="18">
        <v>2055.5</v>
      </c>
      <c r="J913" s="20" t="str">
        <f t="shared" si="53"/>
        <v/>
      </c>
      <c r="K913" t="str">
        <f t="shared" si="52"/>
        <v/>
      </c>
      <c r="L913" s="4">
        <f t="shared" si="54"/>
        <v>0</v>
      </c>
    </row>
    <row r="914" spans="1:12" x14ac:dyDescent="0.25">
      <c r="A914">
        <v>590</v>
      </c>
      <c r="B914" s="3">
        <v>41907</v>
      </c>
      <c r="C914" s="4">
        <v>1000</v>
      </c>
      <c r="E914">
        <v>590</v>
      </c>
      <c r="F914" s="3">
        <v>41907</v>
      </c>
      <c r="G914" t="s">
        <v>282</v>
      </c>
      <c r="H914" s="18">
        <v>1000</v>
      </c>
      <c r="J914" s="20" t="str">
        <f t="shared" si="53"/>
        <v/>
      </c>
      <c r="K914" t="str">
        <f t="shared" si="52"/>
        <v/>
      </c>
      <c r="L914" s="4">
        <f t="shared" si="54"/>
        <v>0</v>
      </c>
    </row>
    <row r="915" spans="1:12" x14ac:dyDescent="0.25">
      <c r="A915">
        <v>594</v>
      </c>
      <c r="B915" s="3">
        <v>41907</v>
      </c>
      <c r="C915" s="4">
        <v>850</v>
      </c>
      <c r="E915">
        <v>594</v>
      </c>
      <c r="F915" s="3">
        <v>41907</v>
      </c>
      <c r="G915" t="s">
        <v>223</v>
      </c>
      <c r="H915" s="18">
        <v>850</v>
      </c>
      <c r="J915" s="20" t="str">
        <f t="shared" si="53"/>
        <v/>
      </c>
      <c r="K915" t="str">
        <f t="shared" si="52"/>
        <v/>
      </c>
      <c r="L915" s="4">
        <f t="shared" si="54"/>
        <v>0</v>
      </c>
    </row>
    <row r="916" spans="1:12" x14ac:dyDescent="0.25">
      <c r="A916">
        <v>604</v>
      </c>
      <c r="B916" s="3">
        <v>41907</v>
      </c>
      <c r="C916" s="4">
        <v>1125</v>
      </c>
      <c r="E916">
        <v>604</v>
      </c>
      <c r="F916" s="3">
        <v>41907</v>
      </c>
      <c r="G916" t="s">
        <v>127</v>
      </c>
      <c r="H916" s="18">
        <v>1125</v>
      </c>
      <c r="J916" s="20" t="str">
        <f t="shared" si="53"/>
        <v/>
      </c>
      <c r="K916" t="str">
        <f t="shared" si="52"/>
        <v/>
      </c>
      <c r="L916" s="4">
        <f t="shared" si="54"/>
        <v>0</v>
      </c>
    </row>
    <row r="917" spans="1:12" x14ac:dyDescent="0.25">
      <c r="A917">
        <v>615</v>
      </c>
      <c r="B917" s="3">
        <v>41907</v>
      </c>
      <c r="C917" s="4">
        <v>457.28</v>
      </c>
      <c r="E917">
        <v>615</v>
      </c>
      <c r="F917" s="3">
        <v>41907</v>
      </c>
      <c r="G917" t="s">
        <v>201</v>
      </c>
      <c r="H917" s="18">
        <v>457.27</v>
      </c>
      <c r="J917" s="20" t="str">
        <f t="shared" si="53"/>
        <v/>
      </c>
      <c r="K917" t="str">
        <f t="shared" si="52"/>
        <v/>
      </c>
      <c r="L917" s="4">
        <f t="shared" si="54"/>
        <v>9.9999999999909051E-3</v>
      </c>
    </row>
    <row r="918" spans="1:12" x14ac:dyDescent="0.25">
      <c r="A918">
        <v>268</v>
      </c>
      <c r="B918" s="3">
        <v>41908</v>
      </c>
      <c r="C918" s="4">
        <v>400</v>
      </c>
      <c r="E918">
        <v>268</v>
      </c>
      <c r="F918" s="3">
        <v>41908</v>
      </c>
      <c r="G918" t="s">
        <v>162</v>
      </c>
      <c r="H918" s="18">
        <v>400</v>
      </c>
      <c r="J918" s="20" t="str">
        <f t="shared" si="53"/>
        <v/>
      </c>
      <c r="K918" t="str">
        <f t="shared" si="52"/>
        <v/>
      </c>
      <c r="L918" s="4">
        <f t="shared" si="54"/>
        <v>0</v>
      </c>
    </row>
    <row r="919" spans="1:12" x14ac:dyDescent="0.25">
      <c r="A919">
        <v>293</v>
      </c>
      <c r="B919" s="3">
        <v>41908</v>
      </c>
      <c r="C919" s="4">
        <v>575</v>
      </c>
      <c r="E919">
        <v>293</v>
      </c>
      <c r="F919" s="3">
        <v>41908</v>
      </c>
      <c r="G919" t="s">
        <v>305</v>
      </c>
      <c r="H919" s="18">
        <v>575</v>
      </c>
      <c r="J919" s="20" t="str">
        <f t="shared" si="53"/>
        <v/>
      </c>
      <c r="K919" t="str">
        <f t="shared" si="52"/>
        <v/>
      </c>
      <c r="L919" s="4">
        <f t="shared" si="54"/>
        <v>0</v>
      </c>
    </row>
    <row r="920" spans="1:12" x14ac:dyDescent="0.25">
      <c r="A920">
        <v>390</v>
      </c>
      <c r="B920" s="3">
        <v>41908</v>
      </c>
      <c r="C920" s="4">
        <v>850</v>
      </c>
      <c r="E920">
        <v>390</v>
      </c>
      <c r="F920" s="3">
        <v>41908</v>
      </c>
      <c r="G920" t="s">
        <v>306</v>
      </c>
      <c r="H920" s="18">
        <v>850</v>
      </c>
      <c r="J920" s="20" t="str">
        <f t="shared" si="53"/>
        <v/>
      </c>
      <c r="K920" t="str">
        <f t="shared" si="52"/>
        <v/>
      </c>
      <c r="L920" s="4">
        <f t="shared" si="54"/>
        <v>0</v>
      </c>
    </row>
    <row r="921" spans="1:12" x14ac:dyDescent="0.25">
      <c r="A921">
        <v>429</v>
      </c>
      <c r="B921" s="3">
        <v>41908</v>
      </c>
      <c r="C921" s="4">
        <v>500</v>
      </c>
      <c r="E921">
        <v>429</v>
      </c>
      <c r="F921" s="3">
        <v>41908</v>
      </c>
      <c r="G921" t="s">
        <v>296</v>
      </c>
      <c r="H921" s="18">
        <v>500</v>
      </c>
      <c r="J921" s="20" t="str">
        <f t="shared" si="53"/>
        <v/>
      </c>
      <c r="K921" t="str">
        <f t="shared" si="52"/>
        <v/>
      </c>
      <c r="L921" s="4">
        <f t="shared" si="54"/>
        <v>0</v>
      </c>
    </row>
    <row r="922" spans="1:12" x14ac:dyDescent="0.25">
      <c r="A922">
        <v>458</v>
      </c>
      <c r="B922" s="3">
        <v>41908</v>
      </c>
      <c r="C922" s="4">
        <v>400</v>
      </c>
      <c r="E922">
        <v>458</v>
      </c>
      <c r="F922" s="3">
        <v>41908</v>
      </c>
      <c r="G922" t="s">
        <v>185</v>
      </c>
      <c r="H922" s="18">
        <v>400</v>
      </c>
      <c r="J922" s="20" t="str">
        <f t="shared" si="53"/>
        <v/>
      </c>
      <c r="K922" t="str">
        <f t="shared" si="52"/>
        <v/>
      </c>
      <c r="L922" s="4">
        <f t="shared" si="54"/>
        <v>0</v>
      </c>
    </row>
    <row r="923" spans="1:12" x14ac:dyDescent="0.25">
      <c r="A923">
        <v>464</v>
      </c>
      <c r="B923" s="3">
        <v>41908</v>
      </c>
      <c r="C923" s="4">
        <v>625</v>
      </c>
      <c r="E923">
        <v>464</v>
      </c>
      <c r="F923" s="3">
        <v>41908</v>
      </c>
      <c r="G923" t="s">
        <v>118</v>
      </c>
      <c r="H923" s="18">
        <v>625</v>
      </c>
      <c r="J923" s="20" t="str">
        <f t="shared" si="53"/>
        <v/>
      </c>
      <c r="K923" t="str">
        <f t="shared" si="52"/>
        <v/>
      </c>
      <c r="L923" s="4">
        <f t="shared" si="54"/>
        <v>0</v>
      </c>
    </row>
    <row r="924" spans="1:12" x14ac:dyDescent="0.25">
      <c r="A924">
        <v>202</v>
      </c>
      <c r="B924" s="3">
        <v>41911</v>
      </c>
      <c r="C924" s="4">
        <v>5175</v>
      </c>
      <c r="E924">
        <v>202</v>
      </c>
      <c r="F924" s="3">
        <v>41911</v>
      </c>
      <c r="G924" t="s">
        <v>237</v>
      </c>
      <c r="H924" s="18">
        <v>5175</v>
      </c>
      <c r="J924" s="20" t="str">
        <f t="shared" si="53"/>
        <v/>
      </c>
      <c r="K924" t="str">
        <f t="shared" si="52"/>
        <v/>
      </c>
      <c r="L924" s="4">
        <f t="shared" si="54"/>
        <v>0</v>
      </c>
    </row>
    <row r="925" spans="1:12" x14ac:dyDescent="0.25">
      <c r="A925">
        <v>218</v>
      </c>
      <c r="B925" s="3">
        <v>41911</v>
      </c>
      <c r="C925" s="4">
        <v>500</v>
      </c>
      <c r="E925">
        <v>218</v>
      </c>
      <c r="F925" s="3">
        <v>41911</v>
      </c>
      <c r="G925" t="s">
        <v>233</v>
      </c>
      <c r="H925" s="18">
        <v>500</v>
      </c>
      <c r="J925" s="20" t="str">
        <f t="shared" si="53"/>
        <v/>
      </c>
      <c r="K925" t="str">
        <f t="shared" si="52"/>
        <v/>
      </c>
      <c r="L925" s="4">
        <f t="shared" si="54"/>
        <v>0</v>
      </c>
    </row>
    <row r="926" spans="1:12" x14ac:dyDescent="0.25">
      <c r="A926">
        <v>334</v>
      </c>
      <c r="B926" s="3">
        <v>41911</v>
      </c>
      <c r="C926" s="4">
        <v>994.5</v>
      </c>
      <c r="E926">
        <v>334</v>
      </c>
      <c r="F926" s="3">
        <v>41911</v>
      </c>
      <c r="G926" t="s">
        <v>267</v>
      </c>
      <c r="H926" s="18">
        <v>1989</v>
      </c>
      <c r="J926" s="20" t="str">
        <f t="shared" ref="J926:J959" si="55">IF(E926=A926,"","CHECK")</f>
        <v/>
      </c>
      <c r="K926" t="str">
        <f t="shared" si="52"/>
        <v/>
      </c>
      <c r="L926" s="4">
        <f t="shared" ref="L926:L959" si="56">C926-H926</f>
        <v>-994.5</v>
      </c>
    </row>
    <row r="927" spans="1:12" x14ac:dyDescent="0.25">
      <c r="A927">
        <v>335</v>
      </c>
      <c r="B927" s="3">
        <v>41911</v>
      </c>
      <c r="C927" s="4">
        <v>175</v>
      </c>
      <c r="E927">
        <v>335</v>
      </c>
      <c r="F927" s="3">
        <v>41911</v>
      </c>
      <c r="G927" t="s">
        <v>304</v>
      </c>
      <c r="H927" s="18">
        <v>175</v>
      </c>
      <c r="J927" s="20" t="str">
        <f t="shared" si="55"/>
        <v/>
      </c>
      <c r="K927" t="str">
        <f t="shared" si="52"/>
        <v/>
      </c>
      <c r="L927" s="4">
        <f t="shared" si="56"/>
        <v>0</v>
      </c>
    </row>
    <row r="928" spans="1:12" x14ac:dyDescent="0.25">
      <c r="B928" s="3"/>
      <c r="E928">
        <v>355</v>
      </c>
      <c r="F928" s="3">
        <v>41911</v>
      </c>
      <c r="G928" t="s">
        <v>108</v>
      </c>
      <c r="H928" s="18">
        <v>0</v>
      </c>
      <c r="J928" s="20" t="str">
        <f t="shared" si="55"/>
        <v>CHECK</v>
      </c>
      <c r="K928" t="str">
        <f t="shared" si="52"/>
        <v>CHECK</v>
      </c>
      <c r="L928" s="4">
        <f t="shared" si="56"/>
        <v>0</v>
      </c>
    </row>
    <row r="929" spans="1:12" x14ac:dyDescent="0.25">
      <c r="A929">
        <v>383</v>
      </c>
      <c r="B929" s="3">
        <v>41913</v>
      </c>
      <c r="C929" s="4">
        <v>300</v>
      </c>
      <c r="E929">
        <v>383</v>
      </c>
      <c r="F929" s="3">
        <v>41913</v>
      </c>
      <c r="G929" t="s">
        <v>220</v>
      </c>
      <c r="H929" s="18">
        <v>300</v>
      </c>
      <c r="J929" s="20" t="str">
        <f t="shared" si="55"/>
        <v/>
      </c>
      <c r="K929" t="str">
        <f t="shared" si="52"/>
        <v/>
      </c>
      <c r="L929" s="4">
        <f t="shared" si="56"/>
        <v>0</v>
      </c>
    </row>
    <row r="930" spans="1:12" x14ac:dyDescent="0.25">
      <c r="A930">
        <v>692</v>
      </c>
      <c r="B930" s="3">
        <v>41913</v>
      </c>
      <c r="C930" s="4">
        <v>1061</v>
      </c>
      <c r="E930">
        <v>692</v>
      </c>
      <c r="F930" s="3">
        <v>41913</v>
      </c>
      <c r="G930" t="s">
        <v>50</v>
      </c>
      <c r="H930" s="18">
        <v>1061</v>
      </c>
      <c r="J930" s="20" t="str">
        <f t="shared" si="55"/>
        <v/>
      </c>
      <c r="K930" t="str">
        <f t="shared" si="52"/>
        <v/>
      </c>
      <c r="L930" s="4">
        <f t="shared" si="56"/>
        <v>0</v>
      </c>
    </row>
    <row r="931" spans="1:12" x14ac:dyDescent="0.25">
      <c r="A931">
        <v>37</v>
      </c>
      <c r="B931" s="3">
        <v>41915</v>
      </c>
      <c r="C931" s="4">
        <v>2768.19</v>
      </c>
      <c r="E931">
        <v>37</v>
      </c>
      <c r="F931" s="3">
        <v>41915</v>
      </c>
      <c r="G931" t="s">
        <v>77</v>
      </c>
      <c r="H931" s="18">
        <v>2768.19</v>
      </c>
      <c r="J931" s="20" t="str">
        <f t="shared" si="55"/>
        <v/>
      </c>
      <c r="K931" t="str">
        <f t="shared" si="52"/>
        <v/>
      </c>
      <c r="L931" s="4">
        <f t="shared" si="56"/>
        <v>0</v>
      </c>
    </row>
    <row r="932" spans="1:12" x14ac:dyDescent="0.25">
      <c r="A932">
        <v>77</v>
      </c>
      <c r="B932" s="3">
        <v>41915</v>
      </c>
      <c r="C932" s="4">
        <v>425</v>
      </c>
      <c r="E932">
        <v>77</v>
      </c>
      <c r="F932" s="3">
        <v>41915</v>
      </c>
      <c r="G932" t="s">
        <v>11</v>
      </c>
      <c r="H932" s="18">
        <v>425</v>
      </c>
      <c r="J932" s="20" t="str">
        <f t="shared" si="55"/>
        <v/>
      </c>
      <c r="K932" t="str">
        <f t="shared" si="52"/>
        <v/>
      </c>
      <c r="L932" s="4">
        <f t="shared" si="56"/>
        <v>0</v>
      </c>
    </row>
    <row r="933" spans="1:12" x14ac:dyDescent="0.25">
      <c r="A933">
        <v>248</v>
      </c>
      <c r="B933" s="3">
        <v>41915</v>
      </c>
      <c r="C933" s="4">
        <v>1555.5</v>
      </c>
      <c r="E933">
        <v>248</v>
      </c>
      <c r="F933" s="3">
        <v>41915</v>
      </c>
      <c r="G933" t="s">
        <v>19</v>
      </c>
      <c r="H933" s="18">
        <v>1555.5</v>
      </c>
      <c r="J933" s="20" t="str">
        <f t="shared" si="55"/>
        <v/>
      </c>
      <c r="K933" t="str">
        <f t="shared" si="52"/>
        <v/>
      </c>
      <c r="L933" s="4">
        <f t="shared" si="56"/>
        <v>0</v>
      </c>
    </row>
    <row r="934" spans="1:12" x14ac:dyDescent="0.25">
      <c r="A934">
        <v>261</v>
      </c>
      <c r="B934" s="3">
        <v>41915</v>
      </c>
      <c r="C934" s="4">
        <v>1975</v>
      </c>
      <c r="E934">
        <v>261</v>
      </c>
      <c r="F934" s="3">
        <v>41915</v>
      </c>
      <c r="G934" t="s">
        <v>22</v>
      </c>
      <c r="H934" s="18">
        <v>1975</v>
      </c>
      <c r="J934" s="20" t="str">
        <f t="shared" si="55"/>
        <v/>
      </c>
      <c r="K934" t="str">
        <f t="shared" si="52"/>
        <v/>
      </c>
      <c r="L934" s="4">
        <f t="shared" si="56"/>
        <v>0</v>
      </c>
    </row>
    <row r="935" spans="1:12" x14ac:dyDescent="0.25">
      <c r="A935">
        <v>321</v>
      </c>
      <c r="B935" s="3">
        <v>41915</v>
      </c>
      <c r="C935" s="4">
        <v>500</v>
      </c>
      <c r="E935">
        <v>321</v>
      </c>
      <c r="F935" s="3">
        <v>41915</v>
      </c>
      <c r="G935" t="s">
        <v>105</v>
      </c>
      <c r="H935" s="18">
        <v>500</v>
      </c>
      <c r="J935" s="20" t="str">
        <f t="shared" si="55"/>
        <v/>
      </c>
      <c r="K935" t="str">
        <f t="shared" si="52"/>
        <v/>
      </c>
      <c r="L935" s="4">
        <f t="shared" si="56"/>
        <v>0</v>
      </c>
    </row>
    <row r="936" spans="1:12" x14ac:dyDescent="0.25">
      <c r="A936">
        <v>373</v>
      </c>
      <c r="B936" s="3">
        <v>41915</v>
      </c>
      <c r="C936" s="4">
        <v>-442.36</v>
      </c>
      <c r="E936">
        <v>373</v>
      </c>
      <c r="F936" s="3">
        <v>41915</v>
      </c>
      <c r="G936" t="s">
        <v>234</v>
      </c>
      <c r="H936" s="18">
        <v>-442.36</v>
      </c>
      <c r="J936" s="20" t="str">
        <f t="shared" si="55"/>
        <v/>
      </c>
      <c r="K936" t="str">
        <f t="shared" si="52"/>
        <v/>
      </c>
      <c r="L936" s="4">
        <f t="shared" si="56"/>
        <v>0</v>
      </c>
    </row>
    <row r="937" spans="1:12" x14ac:dyDescent="0.25">
      <c r="A937">
        <v>389</v>
      </c>
      <c r="B937" s="3">
        <v>41915</v>
      </c>
      <c r="C937" s="4">
        <v>2000</v>
      </c>
      <c r="E937">
        <v>389</v>
      </c>
      <c r="F937" s="3">
        <v>41915</v>
      </c>
      <c r="G937" t="s">
        <v>31</v>
      </c>
      <c r="H937" s="18">
        <v>2000</v>
      </c>
      <c r="J937" s="20" t="str">
        <f t="shared" si="55"/>
        <v/>
      </c>
      <c r="K937" t="str">
        <f t="shared" si="52"/>
        <v/>
      </c>
      <c r="L937" s="4">
        <f t="shared" si="56"/>
        <v>0</v>
      </c>
    </row>
    <row r="938" spans="1:12" x14ac:dyDescent="0.25">
      <c r="A938">
        <v>428</v>
      </c>
      <c r="B938" s="3">
        <v>41915</v>
      </c>
      <c r="C938" s="4">
        <v>400</v>
      </c>
      <c r="E938">
        <v>428</v>
      </c>
      <c r="F938" s="3">
        <v>41915</v>
      </c>
      <c r="G938" t="s">
        <v>213</v>
      </c>
      <c r="H938" s="18">
        <v>400</v>
      </c>
      <c r="J938" s="20" t="str">
        <f t="shared" si="55"/>
        <v/>
      </c>
      <c r="K938" t="str">
        <f t="shared" si="52"/>
        <v/>
      </c>
      <c r="L938" s="4">
        <f t="shared" si="56"/>
        <v>0</v>
      </c>
    </row>
    <row r="939" spans="1:12" x14ac:dyDescent="0.25">
      <c r="A939">
        <v>436</v>
      </c>
      <c r="B939" s="3">
        <v>41915</v>
      </c>
      <c r="C939" s="4">
        <v>800</v>
      </c>
      <c r="E939">
        <v>436</v>
      </c>
      <c r="F939" s="3">
        <v>41915</v>
      </c>
      <c r="G939" t="s">
        <v>302</v>
      </c>
      <c r="H939" s="18">
        <v>800</v>
      </c>
      <c r="J939" s="20" t="str">
        <f t="shared" si="55"/>
        <v/>
      </c>
      <c r="K939" t="str">
        <f t="shared" si="52"/>
        <v/>
      </c>
      <c r="L939" s="4">
        <f t="shared" si="56"/>
        <v>0</v>
      </c>
    </row>
    <row r="940" spans="1:12" x14ac:dyDescent="0.25">
      <c r="A940">
        <v>438</v>
      </c>
      <c r="B940" s="3">
        <v>41915</v>
      </c>
      <c r="C940" s="4">
        <v>1275</v>
      </c>
      <c r="E940">
        <v>438</v>
      </c>
      <c r="F940" s="3">
        <v>41915</v>
      </c>
      <c r="G940" t="s">
        <v>115</v>
      </c>
      <c r="H940" s="18">
        <v>1275</v>
      </c>
      <c r="J940" s="20" t="str">
        <f t="shared" si="55"/>
        <v/>
      </c>
      <c r="K940" t="str">
        <f t="shared" si="52"/>
        <v/>
      </c>
      <c r="L940" s="4">
        <f t="shared" si="56"/>
        <v>0</v>
      </c>
    </row>
    <row r="941" spans="1:12" x14ac:dyDescent="0.25">
      <c r="A941">
        <v>458</v>
      </c>
      <c r="B941" s="3">
        <v>41915</v>
      </c>
      <c r="C941" s="4">
        <v>675</v>
      </c>
      <c r="E941">
        <v>458</v>
      </c>
      <c r="F941" s="3">
        <v>41915</v>
      </c>
      <c r="G941" t="s">
        <v>185</v>
      </c>
      <c r="H941" s="18">
        <v>675</v>
      </c>
      <c r="J941" s="20" t="str">
        <f t="shared" si="55"/>
        <v/>
      </c>
      <c r="K941" t="str">
        <f t="shared" si="52"/>
        <v/>
      </c>
      <c r="L941" s="4">
        <f t="shared" si="56"/>
        <v>0</v>
      </c>
    </row>
    <row r="942" spans="1:12" x14ac:dyDescent="0.25">
      <c r="A942">
        <v>487</v>
      </c>
      <c r="B942" s="3">
        <v>41915</v>
      </c>
      <c r="C942" s="4">
        <v>1096.5</v>
      </c>
      <c r="E942">
        <v>487</v>
      </c>
      <c r="F942" s="3">
        <v>41915</v>
      </c>
      <c r="G942" t="s">
        <v>303</v>
      </c>
      <c r="H942" s="18">
        <v>1096.5</v>
      </c>
      <c r="J942" s="20" t="str">
        <f t="shared" si="55"/>
        <v/>
      </c>
      <c r="K942" t="str">
        <f t="shared" si="52"/>
        <v/>
      </c>
      <c r="L942" s="4">
        <f t="shared" si="56"/>
        <v>0</v>
      </c>
    </row>
    <row r="943" spans="1:12" x14ac:dyDescent="0.25">
      <c r="A943">
        <v>583</v>
      </c>
      <c r="B943" s="3">
        <v>41915</v>
      </c>
      <c r="C943" s="4">
        <v>500</v>
      </c>
      <c r="E943">
        <v>583</v>
      </c>
      <c r="F943" s="3">
        <v>41915</v>
      </c>
      <c r="G943" t="s">
        <v>124</v>
      </c>
      <c r="H943" s="18">
        <v>500</v>
      </c>
      <c r="J943" s="20" t="str">
        <f t="shared" si="55"/>
        <v/>
      </c>
      <c r="K943" t="str">
        <f t="shared" si="52"/>
        <v/>
      </c>
      <c r="L943" s="4">
        <f t="shared" si="56"/>
        <v>0</v>
      </c>
    </row>
    <row r="944" spans="1:12" x14ac:dyDescent="0.25">
      <c r="A944">
        <v>594</v>
      </c>
      <c r="B944" s="3">
        <v>41915</v>
      </c>
      <c r="C944" s="4">
        <v>600</v>
      </c>
      <c r="E944">
        <v>594</v>
      </c>
      <c r="F944" s="3">
        <v>41915</v>
      </c>
      <c r="G944" t="s">
        <v>223</v>
      </c>
      <c r="H944" s="18">
        <v>600</v>
      </c>
      <c r="J944" s="20" t="str">
        <f t="shared" si="55"/>
        <v/>
      </c>
      <c r="K944" t="str">
        <f t="shared" si="52"/>
        <v/>
      </c>
      <c r="L944" s="4">
        <f t="shared" si="56"/>
        <v>0</v>
      </c>
    </row>
    <row r="945" spans="1:12" x14ac:dyDescent="0.25">
      <c r="A945">
        <v>626</v>
      </c>
      <c r="B945" s="3">
        <v>41915</v>
      </c>
      <c r="C945" s="4">
        <v>1224</v>
      </c>
      <c r="E945">
        <v>626</v>
      </c>
      <c r="F945" s="3">
        <v>41915</v>
      </c>
      <c r="G945" t="s">
        <v>187</v>
      </c>
      <c r="H945" s="18">
        <v>2448</v>
      </c>
      <c r="J945" s="20" t="str">
        <f t="shared" si="55"/>
        <v/>
      </c>
      <c r="K945" t="str">
        <f t="shared" si="52"/>
        <v/>
      </c>
      <c r="L945" s="4">
        <f t="shared" si="56"/>
        <v>-1224</v>
      </c>
    </row>
    <row r="946" spans="1:12" x14ac:dyDescent="0.25">
      <c r="A946">
        <v>28</v>
      </c>
      <c r="B946" s="3">
        <v>41918</v>
      </c>
      <c r="C946" s="4">
        <v>1825</v>
      </c>
      <c r="E946">
        <v>28</v>
      </c>
      <c r="F946" s="3">
        <v>41918</v>
      </c>
      <c r="G946" t="s">
        <v>6</v>
      </c>
      <c r="H946" s="18">
        <v>1825</v>
      </c>
      <c r="J946" s="20" t="str">
        <f t="shared" si="55"/>
        <v/>
      </c>
      <c r="K946" t="str">
        <f t="shared" si="52"/>
        <v/>
      </c>
      <c r="L946" s="4">
        <f t="shared" si="56"/>
        <v>0</v>
      </c>
    </row>
    <row r="947" spans="1:12" x14ac:dyDescent="0.25">
      <c r="A947">
        <v>41</v>
      </c>
      <c r="B947" s="3">
        <v>41918</v>
      </c>
      <c r="C947" s="4">
        <v>175</v>
      </c>
      <c r="E947">
        <v>41</v>
      </c>
      <c r="F947" s="3">
        <v>41918</v>
      </c>
      <c r="G947" t="s">
        <v>10</v>
      </c>
      <c r="H947" s="18">
        <v>175</v>
      </c>
      <c r="J947" s="20" t="str">
        <f t="shared" si="55"/>
        <v/>
      </c>
      <c r="K947" t="str">
        <f t="shared" si="52"/>
        <v/>
      </c>
      <c r="L947" s="4">
        <f t="shared" si="56"/>
        <v>0</v>
      </c>
    </row>
    <row r="948" spans="1:12" x14ac:dyDescent="0.25">
      <c r="A948">
        <v>94</v>
      </c>
      <c r="B948" s="3">
        <v>41918</v>
      </c>
      <c r="C948" s="4">
        <v>900</v>
      </c>
      <c r="E948">
        <v>94</v>
      </c>
      <c r="F948" s="3">
        <v>41918</v>
      </c>
      <c r="G948" t="s">
        <v>182</v>
      </c>
      <c r="H948" s="18">
        <v>900</v>
      </c>
      <c r="J948" s="20" t="str">
        <f t="shared" si="55"/>
        <v/>
      </c>
      <c r="K948" t="str">
        <f t="shared" si="52"/>
        <v/>
      </c>
      <c r="L948" s="4">
        <f t="shared" si="56"/>
        <v>0</v>
      </c>
    </row>
    <row r="949" spans="1:12" x14ac:dyDescent="0.25">
      <c r="A949">
        <v>133</v>
      </c>
      <c r="B949" s="3">
        <v>41918</v>
      </c>
      <c r="C949" s="4">
        <v>775</v>
      </c>
      <c r="E949">
        <v>133</v>
      </c>
      <c r="F949" s="3">
        <v>41918</v>
      </c>
      <c r="G949" t="s">
        <v>87</v>
      </c>
      <c r="H949" s="18">
        <v>775</v>
      </c>
      <c r="J949" s="20" t="str">
        <f t="shared" si="55"/>
        <v/>
      </c>
      <c r="K949" t="str">
        <f t="shared" si="52"/>
        <v/>
      </c>
      <c r="L949" s="4">
        <f t="shared" si="56"/>
        <v>0</v>
      </c>
    </row>
    <row r="950" spans="1:12" x14ac:dyDescent="0.25">
      <c r="A950">
        <v>185</v>
      </c>
      <c r="B950" s="3">
        <v>41918</v>
      </c>
      <c r="C950" s="4">
        <v>250</v>
      </c>
      <c r="E950">
        <v>185</v>
      </c>
      <c r="F950" s="3">
        <v>41918</v>
      </c>
      <c r="G950" t="s">
        <v>17</v>
      </c>
      <c r="H950" s="18">
        <v>250</v>
      </c>
      <c r="J950" s="20" t="str">
        <f t="shared" si="55"/>
        <v/>
      </c>
      <c r="K950" t="str">
        <f t="shared" si="52"/>
        <v/>
      </c>
      <c r="L950" s="4">
        <f t="shared" si="56"/>
        <v>0</v>
      </c>
    </row>
    <row r="951" spans="1:12" x14ac:dyDescent="0.25">
      <c r="A951">
        <v>218</v>
      </c>
      <c r="B951" s="3">
        <v>41918</v>
      </c>
      <c r="C951" s="4">
        <v>1000</v>
      </c>
      <c r="E951">
        <v>218</v>
      </c>
      <c r="F951" s="3">
        <v>41918</v>
      </c>
      <c r="G951" t="s">
        <v>233</v>
      </c>
      <c r="H951" s="18">
        <v>1000</v>
      </c>
      <c r="J951" s="20" t="str">
        <f t="shared" si="55"/>
        <v/>
      </c>
      <c r="K951" t="str">
        <f t="shared" si="52"/>
        <v/>
      </c>
      <c r="L951" s="4">
        <f t="shared" si="56"/>
        <v>0</v>
      </c>
    </row>
    <row r="952" spans="1:12" x14ac:dyDescent="0.25">
      <c r="A952">
        <v>234</v>
      </c>
      <c r="B952" s="3">
        <v>41918</v>
      </c>
      <c r="C952" s="4">
        <v>525</v>
      </c>
      <c r="E952">
        <v>234</v>
      </c>
      <c r="F952" s="3">
        <v>41918</v>
      </c>
      <c r="G952" t="s">
        <v>259</v>
      </c>
      <c r="H952" s="18">
        <v>525</v>
      </c>
      <c r="J952" s="20" t="str">
        <f t="shared" si="55"/>
        <v/>
      </c>
      <c r="K952" t="str">
        <f t="shared" si="52"/>
        <v/>
      </c>
      <c r="L952" s="4">
        <f t="shared" si="56"/>
        <v>0</v>
      </c>
    </row>
    <row r="953" spans="1:12" x14ac:dyDescent="0.25">
      <c r="A953">
        <v>268</v>
      </c>
      <c r="B953" s="3">
        <v>41918</v>
      </c>
      <c r="C953" s="4">
        <v>675</v>
      </c>
      <c r="E953">
        <v>268</v>
      </c>
      <c r="F953" s="3">
        <v>41918</v>
      </c>
      <c r="G953" t="s">
        <v>162</v>
      </c>
      <c r="H953" s="18">
        <v>675</v>
      </c>
      <c r="J953" s="20" t="str">
        <f t="shared" si="55"/>
        <v/>
      </c>
      <c r="K953" t="str">
        <f t="shared" si="52"/>
        <v/>
      </c>
      <c r="L953" s="4">
        <f t="shared" si="56"/>
        <v>0</v>
      </c>
    </row>
    <row r="954" spans="1:12" x14ac:dyDescent="0.25">
      <c r="A954">
        <v>269</v>
      </c>
      <c r="B954" s="3">
        <v>41918</v>
      </c>
      <c r="C954" s="4">
        <v>1000</v>
      </c>
      <c r="E954">
        <v>269</v>
      </c>
      <c r="F954" s="3">
        <v>41918</v>
      </c>
      <c r="G954" t="s">
        <v>254</v>
      </c>
      <c r="H954" s="18">
        <v>1000</v>
      </c>
      <c r="J954" s="20" t="str">
        <f t="shared" si="55"/>
        <v/>
      </c>
      <c r="K954" t="str">
        <f t="shared" si="52"/>
        <v/>
      </c>
      <c r="L954" s="4">
        <f t="shared" si="56"/>
        <v>0</v>
      </c>
    </row>
    <row r="955" spans="1:12" x14ac:dyDescent="0.25">
      <c r="A955">
        <v>282</v>
      </c>
      <c r="B955" s="3">
        <v>41918</v>
      </c>
      <c r="C955" s="4">
        <v>300</v>
      </c>
      <c r="E955">
        <v>282</v>
      </c>
      <c r="F955" s="3">
        <v>41918</v>
      </c>
      <c r="G955" t="s">
        <v>23</v>
      </c>
      <c r="H955" s="18">
        <v>300</v>
      </c>
      <c r="J955" s="20" t="str">
        <f t="shared" si="55"/>
        <v/>
      </c>
      <c r="K955" t="str">
        <f t="shared" si="52"/>
        <v/>
      </c>
      <c r="L955" s="4">
        <f t="shared" si="56"/>
        <v>0</v>
      </c>
    </row>
    <row r="956" spans="1:12" x14ac:dyDescent="0.25">
      <c r="A956">
        <v>295</v>
      </c>
      <c r="B956" s="3">
        <v>41918</v>
      </c>
      <c r="C956" s="4">
        <v>875</v>
      </c>
      <c r="E956">
        <v>295</v>
      </c>
      <c r="F956" s="3">
        <v>41918</v>
      </c>
      <c r="G956" t="s">
        <v>103</v>
      </c>
      <c r="H956" s="18">
        <v>875</v>
      </c>
      <c r="J956" s="20" t="str">
        <f t="shared" si="55"/>
        <v/>
      </c>
      <c r="K956" t="str">
        <f t="shared" si="52"/>
        <v/>
      </c>
      <c r="L956" s="4">
        <f t="shared" si="56"/>
        <v>0</v>
      </c>
    </row>
    <row r="957" spans="1:12" x14ac:dyDescent="0.25">
      <c r="A957">
        <v>326</v>
      </c>
      <c r="B957" s="3">
        <v>41918</v>
      </c>
      <c r="C957" s="4">
        <v>600</v>
      </c>
      <c r="E957">
        <v>326</v>
      </c>
      <c r="F957" s="3">
        <v>41918</v>
      </c>
      <c r="G957" t="s">
        <v>25</v>
      </c>
      <c r="H957" s="18">
        <v>600</v>
      </c>
      <c r="J957" s="20" t="str">
        <f t="shared" si="55"/>
        <v/>
      </c>
      <c r="K957" t="str">
        <f t="shared" si="52"/>
        <v/>
      </c>
      <c r="L957" s="4">
        <f t="shared" si="56"/>
        <v>0</v>
      </c>
    </row>
    <row r="958" spans="1:12" x14ac:dyDescent="0.25">
      <c r="A958">
        <v>328</v>
      </c>
      <c r="B958" s="3">
        <v>41918</v>
      </c>
      <c r="C958" s="4">
        <v>1000</v>
      </c>
      <c r="E958">
        <v>328</v>
      </c>
      <c r="F958" s="3">
        <v>41918</v>
      </c>
      <c r="G958" t="s">
        <v>26</v>
      </c>
      <c r="H958" s="18">
        <v>1000</v>
      </c>
      <c r="J958" s="20" t="str">
        <f t="shared" si="55"/>
        <v/>
      </c>
      <c r="K958" t="str">
        <f t="shared" si="52"/>
        <v/>
      </c>
      <c r="L958" s="4">
        <f t="shared" si="56"/>
        <v>0</v>
      </c>
    </row>
    <row r="959" spans="1:12" x14ac:dyDescent="0.25">
      <c r="A959">
        <v>329</v>
      </c>
      <c r="B959" s="3">
        <v>41918</v>
      </c>
      <c r="C959" s="4">
        <v>709.2</v>
      </c>
      <c r="E959">
        <v>329</v>
      </c>
      <c r="F959" s="3">
        <v>41918</v>
      </c>
      <c r="G959" t="s">
        <v>199</v>
      </c>
      <c r="H959" s="18">
        <v>709.2</v>
      </c>
      <c r="J959" s="20" t="str">
        <f t="shared" si="55"/>
        <v/>
      </c>
      <c r="K959" t="str">
        <f t="shared" si="52"/>
        <v/>
      </c>
      <c r="L959" s="4">
        <f t="shared" si="56"/>
        <v>0</v>
      </c>
    </row>
    <row r="960" spans="1:12" x14ac:dyDescent="0.25">
      <c r="A960">
        <v>343</v>
      </c>
      <c r="B960" s="3">
        <v>41918</v>
      </c>
      <c r="C960" s="4">
        <v>994.5</v>
      </c>
      <c r="E960">
        <v>343</v>
      </c>
      <c r="F960" s="3">
        <v>41918</v>
      </c>
      <c r="G960" t="s">
        <v>28</v>
      </c>
      <c r="H960" s="18">
        <v>994.5</v>
      </c>
      <c r="J960" s="20" t="str">
        <f t="shared" ref="J960:J978" si="57">IF(E960=A960,"","CHECK")</f>
        <v/>
      </c>
      <c r="K960" t="str">
        <f t="shared" si="52"/>
        <v/>
      </c>
      <c r="L960" s="4">
        <f t="shared" ref="L960:L978" si="58">C960-H960</f>
        <v>0</v>
      </c>
    </row>
    <row r="961" spans="1:12" x14ac:dyDescent="0.25">
      <c r="B961" s="3"/>
      <c r="E961">
        <v>355</v>
      </c>
      <c r="F961" s="3">
        <v>41918</v>
      </c>
      <c r="G961" t="s">
        <v>108</v>
      </c>
      <c r="H961" s="18">
        <v>0</v>
      </c>
      <c r="J961" s="20" t="str">
        <f t="shared" si="57"/>
        <v>CHECK</v>
      </c>
      <c r="K961" t="str">
        <f t="shared" si="52"/>
        <v>CHECK</v>
      </c>
      <c r="L961" s="4">
        <f t="shared" si="58"/>
        <v>0</v>
      </c>
    </row>
    <row r="962" spans="1:12" x14ac:dyDescent="0.25">
      <c r="A962">
        <v>365</v>
      </c>
      <c r="B962" s="3">
        <v>41918</v>
      </c>
      <c r="C962" s="4">
        <v>1375</v>
      </c>
      <c r="E962">
        <v>365</v>
      </c>
      <c r="F962" s="3">
        <v>41918</v>
      </c>
      <c r="G962" t="s">
        <v>29</v>
      </c>
      <c r="H962" s="18">
        <v>1375</v>
      </c>
      <c r="J962" s="20" t="str">
        <f t="shared" si="57"/>
        <v/>
      </c>
      <c r="K962" t="str">
        <f t="shared" si="52"/>
        <v/>
      </c>
      <c r="L962" s="4">
        <f t="shared" si="58"/>
        <v>0</v>
      </c>
    </row>
    <row r="963" spans="1:12" x14ac:dyDescent="0.25">
      <c r="A963">
        <v>383</v>
      </c>
      <c r="B963" s="3">
        <v>41918</v>
      </c>
      <c r="C963" s="4">
        <v>1700</v>
      </c>
      <c r="E963">
        <v>383</v>
      </c>
      <c r="F963" s="3">
        <v>41918</v>
      </c>
      <c r="G963" t="s">
        <v>220</v>
      </c>
      <c r="H963" s="18">
        <v>1700</v>
      </c>
      <c r="J963" s="20" t="str">
        <f t="shared" si="57"/>
        <v/>
      </c>
      <c r="K963" t="str">
        <f t="shared" ref="K963:K1026" si="59">IF(F963=B963,"","CHECK")</f>
        <v/>
      </c>
      <c r="L963" s="4">
        <f t="shared" si="58"/>
        <v>0</v>
      </c>
    </row>
    <row r="964" spans="1:12" x14ac:dyDescent="0.25">
      <c r="A964">
        <v>389</v>
      </c>
      <c r="B964" s="3">
        <v>41918</v>
      </c>
      <c r="C964" s="4">
        <v>1750</v>
      </c>
      <c r="E964">
        <v>389</v>
      </c>
      <c r="F964" s="3">
        <v>41918</v>
      </c>
      <c r="G964" t="s">
        <v>31</v>
      </c>
      <c r="H964" s="18">
        <v>1750</v>
      </c>
      <c r="J964" s="20" t="str">
        <f t="shared" si="57"/>
        <v/>
      </c>
      <c r="K964" t="str">
        <f t="shared" si="59"/>
        <v/>
      </c>
      <c r="L964" s="4">
        <f t="shared" si="58"/>
        <v>0</v>
      </c>
    </row>
    <row r="965" spans="1:12" x14ac:dyDescent="0.25">
      <c r="A965">
        <v>392</v>
      </c>
      <c r="B965" s="3">
        <v>41918</v>
      </c>
      <c r="C965" s="4">
        <v>950</v>
      </c>
      <c r="E965">
        <v>392</v>
      </c>
      <c r="F965" s="3">
        <v>41918</v>
      </c>
      <c r="G965" t="s">
        <v>111</v>
      </c>
      <c r="H965" s="18">
        <v>950</v>
      </c>
      <c r="J965" s="20" t="str">
        <f t="shared" si="57"/>
        <v/>
      </c>
      <c r="K965" t="str">
        <f t="shared" si="59"/>
        <v/>
      </c>
      <c r="L965" s="4">
        <f t="shared" si="58"/>
        <v>0</v>
      </c>
    </row>
    <row r="966" spans="1:12" x14ac:dyDescent="0.25">
      <c r="A966">
        <v>397</v>
      </c>
      <c r="B966" s="3">
        <v>41918</v>
      </c>
      <c r="C966" s="4">
        <v>500</v>
      </c>
      <c r="E966">
        <v>397</v>
      </c>
      <c r="F966" s="3">
        <v>41918</v>
      </c>
      <c r="G966" t="s">
        <v>287</v>
      </c>
      <c r="H966" s="18">
        <v>500</v>
      </c>
      <c r="J966" s="20" t="str">
        <f t="shared" si="57"/>
        <v/>
      </c>
      <c r="K966" t="str">
        <f t="shared" si="59"/>
        <v/>
      </c>
      <c r="L966" s="4">
        <f t="shared" si="58"/>
        <v>0</v>
      </c>
    </row>
    <row r="967" spans="1:12" x14ac:dyDescent="0.25">
      <c r="A967">
        <v>443</v>
      </c>
      <c r="B967" s="3">
        <v>41918</v>
      </c>
      <c r="C967" s="4">
        <v>500</v>
      </c>
      <c r="E967">
        <v>443</v>
      </c>
      <c r="F967" s="3">
        <v>41918</v>
      </c>
      <c r="G967" t="s">
        <v>300</v>
      </c>
      <c r="H967" s="18">
        <v>500</v>
      </c>
      <c r="J967" s="20" t="str">
        <f t="shared" si="57"/>
        <v/>
      </c>
      <c r="K967" t="str">
        <f t="shared" si="59"/>
        <v/>
      </c>
      <c r="L967" s="4">
        <f t="shared" si="58"/>
        <v>0</v>
      </c>
    </row>
    <row r="968" spans="1:12" x14ac:dyDescent="0.25">
      <c r="A968">
        <v>464</v>
      </c>
      <c r="B968" s="3">
        <v>41918</v>
      </c>
      <c r="C968" s="4">
        <v>325</v>
      </c>
      <c r="E968">
        <v>464</v>
      </c>
      <c r="F968" s="3">
        <v>41918</v>
      </c>
      <c r="G968" t="s">
        <v>118</v>
      </c>
      <c r="H968" s="18">
        <v>325</v>
      </c>
      <c r="J968" s="20" t="str">
        <f t="shared" si="57"/>
        <v/>
      </c>
      <c r="K968" t="str">
        <f t="shared" si="59"/>
        <v/>
      </c>
      <c r="L968" s="4">
        <f t="shared" si="58"/>
        <v>0</v>
      </c>
    </row>
    <row r="969" spans="1:12" x14ac:dyDescent="0.25">
      <c r="A969">
        <v>472</v>
      </c>
      <c r="B969" s="3">
        <v>41918</v>
      </c>
      <c r="C969" s="4">
        <v>500</v>
      </c>
      <c r="E969">
        <v>472</v>
      </c>
      <c r="F969" s="3">
        <v>41918</v>
      </c>
      <c r="G969" t="s">
        <v>279</v>
      </c>
      <c r="H969" s="18">
        <v>500</v>
      </c>
      <c r="J969" s="20" t="str">
        <f t="shared" si="57"/>
        <v/>
      </c>
      <c r="K969" t="str">
        <f t="shared" si="59"/>
        <v/>
      </c>
      <c r="L969" s="4">
        <f t="shared" si="58"/>
        <v>0</v>
      </c>
    </row>
    <row r="970" spans="1:12" x14ac:dyDescent="0.25">
      <c r="A970">
        <v>530</v>
      </c>
      <c r="B970" s="3">
        <v>41918</v>
      </c>
      <c r="C970" s="4">
        <v>350</v>
      </c>
      <c r="E970">
        <v>530</v>
      </c>
      <c r="F970" s="3">
        <v>41918</v>
      </c>
      <c r="G970" t="s">
        <v>35</v>
      </c>
      <c r="H970" s="18">
        <v>350</v>
      </c>
      <c r="J970" s="20" t="str">
        <f t="shared" si="57"/>
        <v/>
      </c>
      <c r="K970" t="str">
        <f t="shared" si="59"/>
        <v/>
      </c>
      <c r="L970" s="4">
        <f t="shared" si="58"/>
        <v>0</v>
      </c>
    </row>
    <row r="971" spans="1:12" x14ac:dyDescent="0.25">
      <c r="A971">
        <v>550</v>
      </c>
      <c r="B971" s="3">
        <v>41918</v>
      </c>
      <c r="C971" s="4">
        <v>850</v>
      </c>
      <c r="E971">
        <v>550</v>
      </c>
      <c r="F971" s="3">
        <v>41918</v>
      </c>
      <c r="G971" t="s">
        <v>297</v>
      </c>
      <c r="H971" s="18">
        <v>850</v>
      </c>
      <c r="J971" s="20" t="str">
        <f t="shared" si="57"/>
        <v/>
      </c>
      <c r="K971" t="str">
        <f t="shared" si="59"/>
        <v/>
      </c>
      <c r="L971" s="4">
        <f t="shared" si="58"/>
        <v>0</v>
      </c>
    </row>
    <row r="972" spans="1:12" x14ac:dyDescent="0.25">
      <c r="A972">
        <v>551</v>
      </c>
      <c r="B972" s="3">
        <v>41918</v>
      </c>
      <c r="C972" s="4">
        <v>1975</v>
      </c>
      <c r="E972">
        <v>551</v>
      </c>
      <c r="F972" s="3">
        <v>41918</v>
      </c>
      <c r="G972" t="s">
        <v>166</v>
      </c>
      <c r="H972" s="18">
        <v>1975</v>
      </c>
      <c r="J972" s="20" t="str">
        <f t="shared" si="57"/>
        <v/>
      </c>
      <c r="K972" t="str">
        <f t="shared" si="59"/>
        <v/>
      </c>
      <c r="L972" s="4">
        <f t="shared" si="58"/>
        <v>0</v>
      </c>
    </row>
    <row r="973" spans="1:12" x14ac:dyDescent="0.25">
      <c r="A973">
        <v>569</v>
      </c>
      <c r="B973" s="3">
        <v>41918</v>
      </c>
      <c r="C973" s="4">
        <v>975</v>
      </c>
      <c r="E973">
        <v>569</v>
      </c>
      <c r="F973" s="3">
        <v>41918</v>
      </c>
      <c r="G973" t="s">
        <v>301</v>
      </c>
      <c r="H973" s="18">
        <v>975</v>
      </c>
      <c r="J973" s="20" t="str">
        <f t="shared" si="57"/>
        <v/>
      </c>
      <c r="K973" t="str">
        <f t="shared" si="59"/>
        <v/>
      </c>
      <c r="L973" s="4">
        <f t="shared" si="58"/>
        <v>0</v>
      </c>
    </row>
    <row r="974" spans="1:12" x14ac:dyDescent="0.25">
      <c r="A974">
        <v>580</v>
      </c>
      <c r="B974" s="3">
        <v>41918</v>
      </c>
      <c r="C974" s="4">
        <v>500</v>
      </c>
      <c r="E974">
        <v>580</v>
      </c>
      <c r="F974" s="3">
        <v>41918</v>
      </c>
      <c r="G974" t="s">
        <v>37</v>
      </c>
      <c r="H974" s="18">
        <v>500</v>
      </c>
      <c r="J974" s="20" t="str">
        <f t="shared" si="57"/>
        <v/>
      </c>
      <c r="K974" t="str">
        <f t="shared" si="59"/>
        <v/>
      </c>
      <c r="L974" s="4">
        <f t="shared" si="58"/>
        <v>0</v>
      </c>
    </row>
    <row r="975" spans="1:12" x14ac:dyDescent="0.25">
      <c r="A975">
        <v>582</v>
      </c>
      <c r="B975" s="3">
        <v>41918</v>
      </c>
      <c r="C975" s="4">
        <v>500</v>
      </c>
      <c r="E975">
        <v>582</v>
      </c>
      <c r="F975" s="3">
        <v>41918</v>
      </c>
      <c r="G975" t="s">
        <v>123</v>
      </c>
      <c r="H975" s="18">
        <v>500</v>
      </c>
      <c r="J975" s="20" t="str">
        <f t="shared" si="57"/>
        <v/>
      </c>
      <c r="K975" t="str">
        <f t="shared" si="59"/>
        <v/>
      </c>
      <c r="L975" s="4">
        <f t="shared" si="58"/>
        <v>0</v>
      </c>
    </row>
    <row r="976" spans="1:12" x14ac:dyDescent="0.25">
      <c r="A976">
        <v>593</v>
      </c>
      <c r="B976" s="3">
        <v>41918</v>
      </c>
      <c r="C976" s="4">
        <v>250</v>
      </c>
      <c r="E976">
        <v>593</v>
      </c>
      <c r="F976" s="3">
        <v>41918</v>
      </c>
      <c r="G976" t="s">
        <v>38</v>
      </c>
      <c r="H976" s="18">
        <v>250</v>
      </c>
      <c r="J976" s="20" t="str">
        <f t="shared" si="57"/>
        <v/>
      </c>
      <c r="K976" t="str">
        <f t="shared" si="59"/>
        <v/>
      </c>
      <c r="L976" s="4">
        <f t="shared" si="58"/>
        <v>0</v>
      </c>
    </row>
    <row r="977" spans="1:12" x14ac:dyDescent="0.25">
      <c r="A977">
        <v>615</v>
      </c>
      <c r="B977" s="3">
        <v>41918</v>
      </c>
      <c r="C977" s="4">
        <v>966.13</v>
      </c>
      <c r="E977">
        <v>615</v>
      </c>
      <c r="F977" s="3">
        <v>41918</v>
      </c>
      <c r="G977" t="s">
        <v>201</v>
      </c>
      <c r="H977" s="18">
        <v>966.13</v>
      </c>
      <c r="J977" s="20" t="str">
        <f t="shared" si="57"/>
        <v/>
      </c>
      <c r="K977" t="str">
        <f t="shared" si="59"/>
        <v/>
      </c>
      <c r="L977" s="4">
        <f t="shared" si="58"/>
        <v>0</v>
      </c>
    </row>
    <row r="978" spans="1:12" x14ac:dyDescent="0.25">
      <c r="A978">
        <v>634</v>
      </c>
      <c r="B978" s="3">
        <v>41918</v>
      </c>
      <c r="C978" s="4">
        <v>425</v>
      </c>
      <c r="E978">
        <v>634</v>
      </c>
      <c r="F978" s="3">
        <v>41918</v>
      </c>
      <c r="G978" t="s">
        <v>225</v>
      </c>
      <c r="H978" s="18">
        <v>425</v>
      </c>
      <c r="J978" s="20" t="str">
        <f t="shared" si="57"/>
        <v/>
      </c>
      <c r="K978" t="str">
        <f t="shared" si="59"/>
        <v/>
      </c>
      <c r="L978" s="4">
        <f t="shared" si="58"/>
        <v>0</v>
      </c>
    </row>
    <row r="979" spans="1:12" x14ac:dyDescent="0.25">
      <c r="A979">
        <v>389</v>
      </c>
      <c r="B979" s="3">
        <v>41919</v>
      </c>
      <c r="C979" s="4">
        <v>1000</v>
      </c>
      <c r="E979">
        <v>389</v>
      </c>
      <c r="F979" s="3">
        <v>41919</v>
      </c>
      <c r="G979" t="s">
        <v>31</v>
      </c>
      <c r="H979" s="18">
        <v>1000</v>
      </c>
      <c r="J979" s="20" t="str">
        <f t="shared" ref="J979:J995" si="60">IF(E979=A979,"","CHECK")</f>
        <v/>
      </c>
      <c r="K979" t="str">
        <f t="shared" si="59"/>
        <v/>
      </c>
      <c r="L979" s="4">
        <f t="shared" ref="L979:L995" si="61">C979-H979</f>
        <v>0</v>
      </c>
    </row>
    <row r="980" spans="1:12" x14ac:dyDescent="0.25">
      <c r="B980" s="3"/>
      <c r="E980">
        <v>574</v>
      </c>
      <c r="F980" s="3">
        <v>41919</v>
      </c>
      <c r="G980" t="s">
        <v>298</v>
      </c>
      <c r="H980" s="18">
        <v>0</v>
      </c>
      <c r="J980" s="20" t="str">
        <f t="shared" si="60"/>
        <v>CHECK</v>
      </c>
      <c r="K980" t="str">
        <f t="shared" si="59"/>
        <v>CHECK</v>
      </c>
      <c r="L980" s="4">
        <f t="shared" si="61"/>
        <v>0</v>
      </c>
    </row>
    <row r="981" spans="1:12" x14ac:dyDescent="0.25">
      <c r="A981">
        <v>652</v>
      </c>
      <c r="B981" s="3">
        <v>41919</v>
      </c>
      <c r="C981" s="4">
        <v>725</v>
      </c>
      <c r="E981">
        <v>652</v>
      </c>
      <c r="F981" s="3">
        <v>41919</v>
      </c>
      <c r="G981" t="s">
        <v>299</v>
      </c>
      <c r="H981" s="18">
        <v>725</v>
      </c>
      <c r="J981" s="20" t="str">
        <f t="shared" si="60"/>
        <v/>
      </c>
      <c r="K981" t="str">
        <f t="shared" si="59"/>
        <v/>
      </c>
      <c r="L981" s="4">
        <f t="shared" si="61"/>
        <v>0</v>
      </c>
    </row>
    <row r="982" spans="1:12" x14ac:dyDescent="0.25">
      <c r="A982">
        <v>27</v>
      </c>
      <c r="B982" s="3">
        <v>41922</v>
      </c>
      <c r="C982" s="4">
        <v>1699.35</v>
      </c>
      <c r="E982">
        <v>27</v>
      </c>
      <c r="F982" s="3">
        <v>41922</v>
      </c>
      <c r="G982" t="s">
        <v>159</v>
      </c>
      <c r="H982" s="18">
        <v>1699.35</v>
      </c>
      <c r="J982" s="20" t="str">
        <f t="shared" si="60"/>
        <v/>
      </c>
      <c r="K982" t="str">
        <f t="shared" si="59"/>
        <v/>
      </c>
      <c r="L982" s="4">
        <f t="shared" si="61"/>
        <v>0</v>
      </c>
    </row>
    <row r="983" spans="1:12" x14ac:dyDescent="0.25">
      <c r="A983">
        <v>28</v>
      </c>
      <c r="B983" s="3">
        <v>41922</v>
      </c>
      <c r="C983" s="4">
        <v>1000</v>
      </c>
      <c r="E983">
        <v>28</v>
      </c>
      <c r="F983" s="3">
        <v>41922</v>
      </c>
      <c r="G983" t="s">
        <v>6</v>
      </c>
      <c r="H983" s="18">
        <v>1000</v>
      </c>
      <c r="J983" s="20" t="str">
        <f t="shared" si="60"/>
        <v/>
      </c>
      <c r="K983" t="str">
        <f t="shared" si="59"/>
        <v/>
      </c>
      <c r="L983" s="4">
        <f t="shared" si="61"/>
        <v>0</v>
      </c>
    </row>
    <row r="984" spans="1:12" x14ac:dyDescent="0.25">
      <c r="A984">
        <v>63</v>
      </c>
      <c r="B984" s="3">
        <v>41922</v>
      </c>
      <c r="C984" s="4">
        <v>2942.72</v>
      </c>
      <c r="E984">
        <v>63</v>
      </c>
      <c r="F984" s="3">
        <v>41922</v>
      </c>
      <c r="G984" t="s">
        <v>181</v>
      </c>
      <c r="H984" s="18">
        <v>2942.72</v>
      </c>
      <c r="J984" s="20" t="str">
        <f t="shared" si="60"/>
        <v/>
      </c>
      <c r="K984" t="str">
        <f t="shared" si="59"/>
        <v/>
      </c>
      <c r="L984" s="4">
        <f t="shared" si="61"/>
        <v>0</v>
      </c>
    </row>
    <row r="985" spans="1:12" x14ac:dyDescent="0.25">
      <c r="A985">
        <v>77</v>
      </c>
      <c r="B985" s="3">
        <v>41922</v>
      </c>
      <c r="C985" s="4">
        <v>1800</v>
      </c>
      <c r="E985">
        <v>77</v>
      </c>
      <c r="F985" s="3">
        <v>41922</v>
      </c>
      <c r="G985" t="s">
        <v>11</v>
      </c>
      <c r="H985" s="18">
        <v>1800</v>
      </c>
      <c r="J985" s="20" t="str">
        <f t="shared" si="60"/>
        <v/>
      </c>
      <c r="K985" t="str">
        <f t="shared" si="59"/>
        <v/>
      </c>
      <c r="L985" s="4">
        <f t="shared" si="61"/>
        <v>0</v>
      </c>
    </row>
    <row r="986" spans="1:12" x14ac:dyDescent="0.25">
      <c r="A986">
        <v>217</v>
      </c>
      <c r="B986" s="3">
        <v>41922</v>
      </c>
      <c r="C986" s="4">
        <v>294.5</v>
      </c>
      <c r="E986">
        <v>217</v>
      </c>
      <c r="F986" s="3">
        <v>41922</v>
      </c>
      <c r="G986" t="s">
        <v>97</v>
      </c>
      <c r="H986" s="18">
        <v>294.5</v>
      </c>
      <c r="J986" s="20" t="str">
        <f t="shared" si="60"/>
        <v/>
      </c>
      <c r="K986" t="str">
        <f t="shared" si="59"/>
        <v/>
      </c>
      <c r="L986" s="4">
        <f t="shared" si="61"/>
        <v>0</v>
      </c>
    </row>
    <row r="987" spans="1:12" x14ac:dyDescent="0.25">
      <c r="A987">
        <v>233</v>
      </c>
      <c r="B987" s="3">
        <v>41922</v>
      </c>
      <c r="C987" s="4">
        <v>475</v>
      </c>
      <c r="E987">
        <v>233</v>
      </c>
      <c r="F987" s="3">
        <v>41922</v>
      </c>
      <c r="G987" t="s">
        <v>294</v>
      </c>
      <c r="H987" s="18">
        <v>475</v>
      </c>
      <c r="J987" s="20" t="str">
        <f t="shared" si="60"/>
        <v/>
      </c>
      <c r="K987" t="str">
        <f t="shared" si="59"/>
        <v/>
      </c>
      <c r="L987" s="4">
        <f t="shared" si="61"/>
        <v>0</v>
      </c>
    </row>
    <row r="988" spans="1:12" x14ac:dyDescent="0.25">
      <c r="A988">
        <v>255</v>
      </c>
      <c r="B988" s="3">
        <v>41922</v>
      </c>
      <c r="C988" s="4">
        <v>1788</v>
      </c>
      <c r="E988">
        <v>255</v>
      </c>
      <c r="F988" s="3">
        <v>41922</v>
      </c>
      <c r="G988" t="s">
        <v>21</v>
      </c>
      <c r="H988" s="18">
        <v>1788</v>
      </c>
      <c r="J988" s="20" t="str">
        <f t="shared" si="60"/>
        <v/>
      </c>
      <c r="K988" t="str">
        <f t="shared" si="59"/>
        <v/>
      </c>
      <c r="L988" s="4">
        <f t="shared" si="61"/>
        <v>0</v>
      </c>
    </row>
    <row r="989" spans="1:12" x14ac:dyDescent="0.25">
      <c r="A989">
        <v>261</v>
      </c>
      <c r="B989" s="3">
        <v>41922</v>
      </c>
      <c r="C989" s="4">
        <v>2475</v>
      </c>
      <c r="E989">
        <v>261</v>
      </c>
      <c r="F989" s="3">
        <v>41922</v>
      </c>
      <c r="G989" t="s">
        <v>22</v>
      </c>
      <c r="H989" s="18">
        <v>2475</v>
      </c>
      <c r="J989" s="20" t="str">
        <f t="shared" si="60"/>
        <v/>
      </c>
      <c r="K989" t="str">
        <f t="shared" si="59"/>
        <v/>
      </c>
      <c r="L989" s="4">
        <f t="shared" si="61"/>
        <v>0</v>
      </c>
    </row>
    <row r="990" spans="1:12" x14ac:dyDescent="0.25">
      <c r="A990">
        <v>268</v>
      </c>
      <c r="B990" s="3">
        <v>41922</v>
      </c>
      <c r="C990" s="4">
        <v>400</v>
      </c>
      <c r="E990">
        <v>268</v>
      </c>
      <c r="F990" s="3">
        <v>41922</v>
      </c>
      <c r="G990" t="s">
        <v>162</v>
      </c>
      <c r="H990" s="18">
        <v>400</v>
      </c>
      <c r="J990" s="20" t="str">
        <f t="shared" si="60"/>
        <v/>
      </c>
      <c r="K990" t="str">
        <f t="shared" si="59"/>
        <v/>
      </c>
      <c r="L990" s="4">
        <f t="shared" si="61"/>
        <v>0</v>
      </c>
    </row>
    <row r="991" spans="1:12" x14ac:dyDescent="0.25">
      <c r="A991">
        <v>269</v>
      </c>
      <c r="B991" s="3">
        <v>41922</v>
      </c>
      <c r="C991" s="4">
        <v>1000</v>
      </c>
      <c r="E991">
        <v>269</v>
      </c>
      <c r="F991" s="3">
        <v>41922</v>
      </c>
      <c r="G991" t="s">
        <v>254</v>
      </c>
      <c r="H991" s="18">
        <v>1000</v>
      </c>
      <c r="J991" s="20" t="str">
        <f t="shared" si="60"/>
        <v/>
      </c>
      <c r="K991" t="str">
        <f t="shared" si="59"/>
        <v/>
      </c>
      <c r="L991" s="4">
        <f t="shared" si="61"/>
        <v>0</v>
      </c>
    </row>
    <row r="992" spans="1:12" x14ac:dyDescent="0.25">
      <c r="A992">
        <v>285</v>
      </c>
      <c r="B992" s="3">
        <v>41922</v>
      </c>
      <c r="C992" s="4">
        <v>1491.75</v>
      </c>
      <c r="E992">
        <v>285</v>
      </c>
      <c r="F992" s="3">
        <v>41922</v>
      </c>
      <c r="G992" t="s">
        <v>102</v>
      </c>
      <c r="H992" s="18">
        <v>1491.75</v>
      </c>
      <c r="J992" s="20" t="str">
        <f t="shared" si="60"/>
        <v/>
      </c>
      <c r="K992" t="str">
        <f t="shared" si="59"/>
        <v/>
      </c>
      <c r="L992" s="4">
        <f t="shared" si="61"/>
        <v>0</v>
      </c>
    </row>
    <row r="993" spans="1:12" x14ac:dyDescent="0.25">
      <c r="A993">
        <v>295</v>
      </c>
      <c r="B993" s="3">
        <v>41922</v>
      </c>
      <c r="C993" s="4">
        <v>1900</v>
      </c>
      <c r="E993">
        <v>295</v>
      </c>
      <c r="F993" s="3">
        <v>41922</v>
      </c>
      <c r="G993" t="s">
        <v>103</v>
      </c>
      <c r="H993" s="18">
        <v>1900</v>
      </c>
      <c r="J993" s="20" t="str">
        <f t="shared" si="60"/>
        <v/>
      </c>
      <c r="K993" t="str">
        <f t="shared" si="59"/>
        <v/>
      </c>
      <c r="L993" s="4">
        <f t="shared" si="61"/>
        <v>0</v>
      </c>
    </row>
    <row r="994" spans="1:12" x14ac:dyDescent="0.25">
      <c r="A994">
        <v>304</v>
      </c>
      <c r="B994" s="3">
        <v>41922</v>
      </c>
      <c r="C994" s="4">
        <v>1500</v>
      </c>
      <c r="E994">
        <v>304</v>
      </c>
      <c r="F994" s="3">
        <v>41922</v>
      </c>
      <c r="G994" t="s">
        <v>295</v>
      </c>
      <c r="H994" s="18">
        <v>1500</v>
      </c>
      <c r="J994" s="20" t="str">
        <f t="shared" si="60"/>
        <v/>
      </c>
      <c r="K994" t="str">
        <f t="shared" si="59"/>
        <v/>
      </c>
      <c r="L994" s="4">
        <f t="shared" si="61"/>
        <v>0</v>
      </c>
    </row>
    <row r="995" spans="1:12" x14ac:dyDescent="0.25">
      <c r="A995">
        <v>329</v>
      </c>
      <c r="B995" s="3">
        <v>41922</v>
      </c>
      <c r="C995" s="4">
        <v>1759.5</v>
      </c>
      <c r="E995">
        <v>329</v>
      </c>
      <c r="F995" s="3">
        <v>41922</v>
      </c>
      <c r="G995" t="s">
        <v>199</v>
      </c>
      <c r="H995" s="18">
        <v>1759.5</v>
      </c>
      <c r="J995" s="20" t="str">
        <f t="shared" si="60"/>
        <v/>
      </c>
      <c r="K995" t="str">
        <f t="shared" si="59"/>
        <v/>
      </c>
      <c r="L995" s="4">
        <f t="shared" si="61"/>
        <v>0</v>
      </c>
    </row>
    <row r="996" spans="1:12" x14ac:dyDescent="0.25">
      <c r="A996">
        <v>343</v>
      </c>
      <c r="B996" s="3">
        <v>41922</v>
      </c>
      <c r="C996" s="4">
        <v>714</v>
      </c>
      <c r="E996">
        <v>343</v>
      </c>
      <c r="F996" s="3">
        <v>41922</v>
      </c>
      <c r="G996" t="s">
        <v>28</v>
      </c>
      <c r="H996" s="18">
        <v>714</v>
      </c>
      <c r="J996" s="20" t="str">
        <f t="shared" ref="J996:J1008" si="62">IF(E996=A996,"","CHECK")</f>
        <v/>
      </c>
      <c r="K996" t="str">
        <f t="shared" si="59"/>
        <v/>
      </c>
      <c r="L996" s="4">
        <f t="shared" ref="L996:L1008" si="63">C996-H996</f>
        <v>0</v>
      </c>
    </row>
    <row r="997" spans="1:12" x14ac:dyDescent="0.25">
      <c r="A997">
        <v>352</v>
      </c>
      <c r="B997" s="3">
        <v>41922</v>
      </c>
      <c r="C997" s="4">
        <v>1375</v>
      </c>
      <c r="E997">
        <v>352</v>
      </c>
      <c r="F997" s="3">
        <v>41922</v>
      </c>
      <c r="G997" t="s">
        <v>278</v>
      </c>
      <c r="H997" s="18">
        <v>1375</v>
      </c>
      <c r="J997" s="20" t="str">
        <f t="shared" si="62"/>
        <v/>
      </c>
      <c r="K997" t="str">
        <f t="shared" si="59"/>
        <v/>
      </c>
      <c r="L997" s="4">
        <f t="shared" si="63"/>
        <v>0</v>
      </c>
    </row>
    <row r="998" spans="1:12" x14ac:dyDescent="0.25">
      <c r="B998" s="3"/>
      <c r="E998">
        <v>355</v>
      </c>
      <c r="F998" s="3">
        <v>41922</v>
      </c>
      <c r="G998" t="s">
        <v>108</v>
      </c>
      <c r="H998" s="18">
        <v>0</v>
      </c>
      <c r="J998" s="20" t="str">
        <f t="shared" si="62"/>
        <v>CHECK</v>
      </c>
      <c r="K998" t="str">
        <f t="shared" si="59"/>
        <v>CHECK</v>
      </c>
      <c r="L998" s="4">
        <f t="shared" si="63"/>
        <v>0</v>
      </c>
    </row>
    <row r="999" spans="1:12" x14ac:dyDescent="0.25">
      <c r="A999">
        <v>365</v>
      </c>
      <c r="B999" s="3">
        <v>41922</v>
      </c>
      <c r="C999" s="4">
        <v>1025</v>
      </c>
      <c r="E999">
        <v>365</v>
      </c>
      <c r="F999" s="3">
        <v>41922</v>
      </c>
      <c r="G999" t="s">
        <v>29</v>
      </c>
      <c r="H999" s="18">
        <v>1025</v>
      </c>
      <c r="J999" s="20" t="str">
        <f t="shared" si="62"/>
        <v/>
      </c>
      <c r="K999" t="str">
        <f t="shared" si="59"/>
        <v/>
      </c>
      <c r="L999" s="4">
        <f t="shared" si="63"/>
        <v>0</v>
      </c>
    </row>
    <row r="1000" spans="1:12" x14ac:dyDescent="0.25">
      <c r="A1000">
        <v>392</v>
      </c>
      <c r="B1000" s="3">
        <v>41922</v>
      </c>
      <c r="C1000" s="4">
        <v>1875</v>
      </c>
      <c r="E1000">
        <v>392</v>
      </c>
      <c r="F1000" s="3">
        <v>41922</v>
      </c>
      <c r="G1000" t="s">
        <v>111</v>
      </c>
      <c r="H1000" s="18">
        <v>1875</v>
      </c>
      <c r="J1000" s="20" t="str">
        <f t="shared" si="62"/>
        <v/>
      </c>
      <c r="K1000" t="str">
        <f t="shared" si="59"/>
        <v/>
      </c>
      <c r="L1000" s="4">
        <f t="shared" si="63"/>
        <v>0</v>
      </c>
    </row>
    <row r="1001" spans="1:12" x14ac:dyDescent="0.25">
      <c r="A1001">
        <v>397</v>
      </c>
      <c r="B1001" s="3">
        <v>41922</v>
      </c>
      <c r="C1001" s="4">
        <v>500</v>
      </c>
      <c r="E1001">
        <v>397</v>
      </c>
      <c r="F1001" s="3">
        <v>41922</v>
      </c>
      <c r="G1001" t="s">
        <v>287</v>
      </c>
      <c r="H1001" s="18">
        <v>500</v>
      </c>
      <c r="J1001" s="20" t="str">
        <f t="shared" si="62"/>
        <v/>
      </c>
      <c r="K1001" t="str">
        <f t="shared" si="59"/>
        <v/>
      </c>
      <c r="L1001" s="4">
        <f t="shared" si="63"/>
        <v>0</v>
      </c>
    </row>
    <row r="1002" spans="1:12" x14ac:dyDescent="0.25">
      <c r="A1002">
        <v>401</v>
      </c>
      <c r="B1002" s="3">
        <v>41922</v>
      </c>
      <c r="C1002" s="4">
        <v>275</v>
      </c>
      <c r="E1002">
        <v>401</v>
      </c>
      <c r="F1002" s="3">
        <v>41922</v>
      </c>
      <c r="G1002" t="s">
        <v>184</v>
      </c>
      <c r="H1002" s="18">
        <v>275</v>
      </c>
      <c r="J1002" s="20" t="str">
        <f t="shared" si="62"/>
        <v/>
      </c>
      <c r="K1002" t="str">
        <f t="shared" si="59"/>
        <v/>
      </c>
      <c r="L1002" s="4">
        <f t="shared" si="63"/>
        <v>0</v>
      </c>
    </row>
    <row r="1003" spans="1:12" x14ac:dyDescent="0.25">
      <c r="A1003">
        <v>405</v>
      </c>
      <c r="B1003" s="3">
        <v>41922</v>
      </c>
      <c r="C1003" s="4">
        <v>950</v>
      </c>
      <c r="E1003">
        <v>405</v>
      </c>
      <c r="F1003" s="3">
        <v>41922</v>
      </c>
      <c r="G1003" t="s">
        <v>112</v>
      </c>
      <c r="H1003" s="18">
        <v>950</v>
      </c>
      <c r="J1003" s="20" t="str">
        <f t="shared" si="62"/>
        <v/>
      </c>
      <c r="K1003" t="str">
        <f t="shared" si="59"/>
        <v/>
      </c>
      <c r="L1003" s="4">
        <f t="shared" si="63"/>
        <v>0</v>
      </c>
    </row>
    <row r="1004" spans="1:12" x14ac:dyDescent="0.25">
      <c r="A1004">
        <v>410</v>
      </c>
      <c r="B1004" s="3">
        <v>41922</v>
      </c>
      <c r="C1004" s="4">
        <v>1000</v>
      </c>
      <c r="E1004">
        <v>410</v>
      </c>
      <c r="F1004" s="3">
        <v>41922</v>
      </c>
      <c r="G1004" t="s">
        <v>32</v>
      </c>
      <c r="H1004" s="18">
        <v>1000</v>
      </c>
      <c r="J1004" s="20" t="str">
        <f t="shared" si="62"/>
        <v/>
      </c>
      <c r="K1004" t="str">
        <f t="shared" si="59"/>
        <v/>
      </c>
      <c r="L1004" s="4">
        <f t="shared" si="63"/>
        <v>0</v>
      </c>
    </row>
    <row r="1005" spans="1:12" x14ac:dyDescent="0.25">
      <c r="A1005">
        <v>429</v>
      </c>
      <c r="B1005" s="3">
        <v>41922</v>
      </c>
      <c r="C1005" s="4">
        <v>509.49</v>
      </c>
      <c r="E1005">
        <v>429</v>
      </c>
      <c r="F1005" s="3">
        <v>41922</v>
      </c>
      <c r="G1005" t="s">
        <v>296</v>
      </c>
      <c r="H1005" s="18">
        <v>509.49</v>
      </c>
      <c r="J1005" s="20" t="str">
        <f t="shared" si="62"/>
        <v/>
      </c>
      <c r="K1005" t="str">
        <f t="shared" si="59"/>
        <v/>
      </c>
      <c r="L1005" s="4">
        <f t="shared" si="63"/>
        <v>0</v>
      </c>
    </row>
    <row r="1006" spans="1:12" x14ac:dyDescent="0.25">
      <c r="A1006">
        <v>430</v>
      </c>
      <c r="B1006" s="3">
        <v>41922</v>
      </c>
      <c r="C1006" s="4">
        <v>1608.5</v>
      </c>
      <c r="E1006">
        <v>430</v>
      </c>
      <c r="F1006" s="3">
        <v>41922</v>
      </c>
      <c r="G1006" t="s">
        <v>114</v>
      </c>
      <c r="H1006" s="18">
        <v>1608.5</v>
      </c>
      <c r="J1006" s="20" t="str">
        <f t="shared" si="62"/>
        <v/>
      </c>
      <c r="K1006" t="str">
        <f t="shared" si="59"/>
        <v/>
      </c>
      <c r="L1006" s="4">
        <f t="shared" si="63"/>
        <v>0</v>
      </c>
    </row>
    <row r="1007" spans="1:12" x14ac:dyDescent="0.25">
      <c r="A1007">
        <v>438</v>
      </c>
      <c r="B1007" s="3">
        <v>41922</v>
      </c>
      <c r="C1007" s="4">
        <v>650</v>
      </c>
      <c r="E1007">
        <v>438</v>
      </c>
      <c r="F1007" s="3">
        <v>41922</v>
      </c>
      <c r="G1007" t="s">
        <v>115</v>
      </c>
      <c r="H1007" s="18">
        <v>650</v>
      </c>
      <c r="J1007" s="20" t="str">
        <f t="shared" si="62"/>
        <v/>
      </c>
      <c r="K1007" t="str">
        <f t="shared" si="59"/>
        <v/>
      </c>
      <c r="L1007" s="4">
        <f t="shared" si="63"/>
        <v>0</v>
      </c>
    </row>
    <row r="1008" spans="1:12" x14ac:dyDescent="0.25">
      <c r="A1008">
        <v>472</v>
      </c>
      <c r="B1008" s="3">
        <v>41922</v>
      </c>
      <c r="C1008" s="4">
        <v>500</v>
      </c>
      <c r="E1008">
        <v>472</v>
      </c>
      <c r="F1008" s="3">
        <v>41922</v>
      </c>
      <c r="G1008" t="s">
        <v>279</v>
      </c>
      <c r="H1008" s="18">
        <v>500</v>
      </c>
      <c r="J1008" s="20" t="str">
        <f t="shared" si="62"/>
        <v/>
      </c>
      <c r="K1008" t="str">
        <f t="shared" si="59"/>
        <v/>
      </c>
      <c r="L1008" s="4">
        <f t="shared" si="63"/>
        <v>0</v>
      </c>
    </row>
    <row r="1009" spans="1:12" x14ac:dyDescent="0.25">
      <c r="A1009">
        <v>549</v>
      </c>
      <c r="B1009" s="3">
        <v>41922</v>
      </c>
      <c r="C1009" s="4">
        <v>1450</v>
      </c>
      <c r="E1009">
        <v>549</v>
      </c>
      <c r="F1009" s="3">
        <v>41922</v>
      </c>
      <c r="G1009" t="s">
        <v>280</v>
      </c>
      <c r="H1009" s="18">
        <v>1450</v>
      </c>
      <c r="J1009" s="20" t="str">
        <f t="shared" ref="J1009:J1072" si="64">IF(E1009=A1009,"","CHECK")</f>
        <v/>
      </c>
      <c r="K1009" t="str">
        <f t="shared" si="59"/>
        <v/>
      </c>
      <c r="L1009" s="4">
        <f t="shared" ref="L1009:L1072" si="65">C1009-H1009</f>
        <v>0</v>
      </c>
    </row>
    <row r="1010" spans="1:12" x14ac:dyDescent="0.25">
      <c r="A1010">
        <v>550</v>
      </c>
      <c r="B1010" s="3">
        <v>41922</v>
      </c>
      <c r="C1010" s="4">
        <v>875</v>
      </c>
      <c r="E1010">
        <v>550</v>
      </c>
      <c r="F1010" s="3">
        <v>41922</v>
      </c>
      <c r="G1010" t="s">
        <v>297</v>
      </c>
      <c r="H1010" s="18">
        <v>875</v>
      </c>
      <c r="J1010" s="20" t="str">
        <f t="shared" si="64"/>
        <v/>
      </c>
      <c r="K1010" t="str">
        <f t="shared" si="59"/>
        <v/>
      </c>
      <c r="L1010" s="4">
        <f t="shared" si="65"/>
        <v>0</v>
      </c>
    </row>
    <row r="1011" spans="1:12" x14ac:dyDescent="0.25">
      <c r="B1011" s="3"/>
      <c r="E1011">
        <v>574</v>
      </c>
      <c r="F1011" s="3">
        <v>41922</v>
      </c>
      <c r="G1011" t="s">
        <v>298</v>
      </c>
      <c r="H1011" s="18">
        <v>0</v>
      </c>
      <c r="J1011" s="20" t="str">
        <f t="shared" si="64"/>
        <v>CHECK</v>
      </c>
      <c r="K1011" t="str">
        <f t="shared" si="59"/>
        <v>CHECK</v>
      </c>
      <c r="L1011" s="4">
        <f t="shared" si="65"/>
        <v>0</v>
      </c>
    </row>
    <row r="1012" spans="1:12" x14ac:dyDescent="0.25">
      <c r="A1012">
        <v>580</v>
      </c>
      <c r="B1012" s="3">
        <v>41922</v>
      </c>
      <c r="C1012" s="4">
        <v>500</v>
      </c>
      <c r="E1012">
        <v>580</v>
      </c>
      <c r="F1012" s="3">
        <v>41922</v>
      </c>
      <c r="G1012" t="s">
        <v>37</v>
      </c>
      <c r="H1012" s="18">
        <v>500</v>
      </c>
      <c r="J1012" s="20" t="str">
        <f t="shared" si="64"/>
        <v/>
      </c>
      <c r="K1012" t="str">
        <f t="shared" si="59"/>
        <v/>
      </c>
      <c r="L1012" s="4">
        <f t="shared" si="65"/>
        <v>0</v>
      </c>
    </row>
    <row r="1013" spans="1:12" x14ac:dyDescent="0.25">
      <c r="A1013">
        <v>582</v>
      </c>
      <c r="B1013" s="3">
        <v>41922</v>
      </c>
      <c r="C1013" s="4">
        <v>500</v>
      </c>
      <c r="E1013">
        <v>582</v>
      </c>
      <c r="F1013" s="3">
        <v>41922</v>
      </c>
      <c r="G1013" t="s">
        <v>123</v>
      </c>
      <c r="H1013" s="18">
        <v>500</v>
      </c>
      <c r="J1013" s="20" t="str">
        <f t="shared" si="64"/>
        <v/>
      </c>
      <c r="K1013" t="str">
        <f t="shared" si="59"/>
        <v/>
      </c>
      <c r="L1013" s="4">
        <f t="shared" si="65"/>
        <v>0</v>
      </c>
    </row>
    <row r="1014" spans="1:12" x14ac:dyDescent="0.25">
      <c r="A1014">
        <v>590</v>
      </c>
      <c r="B1014" s="3">
        <v>41922</v>
      </c>
      <c r="C1014" s="4">
        <v>525</v>
      </c>
      <c r="E1014">
        <v>590</v>
      </c>
      <c r="F1014" s="3">
        <v>41922</v>
      </c>
      <c r="G1014" t="s">
        <v>282</v>
      </c>
      <c r="H1014" s="18">
        <v>525</v>
      </c>
      <c r="J1014" s="20" t="str">
        <f t="shared" si="64"/>
        <v/>
      </c>
      <c r="K1014" t="str">
        <f t="shared" si="59"/>
        <v/>
      </c>
      <c r="L1014" s="4">
        <f t="shared" si="65"/>
        <v>0</v>
      </c>
    </row>
    <row r="1015" spans="1:12" x14ac:dyDescent="0.25">
      <c r="A1015">
        <v>598</v>
      </c>
      <c r="B1015" s="3">
        <v>41922</v>
      </c>
      <c r="C1015" s="4">
        <v>1625</v>
      </c>
      <c r="E1015">
        <v>598</v>
      </c>
      <c r="F1015" s="3">
        <v>41922</v>
      </c>
      <c r="G1015" t="s">
        <v>247</v>
      </c>
      <c r="H1015" s="18">
        <v>1625</v>
      </c>
      <c r="J1015" s="20" t="str">
        <f t="shared" si="64"/>
        <v/>
      </c>
      <c r="K1015" t="str">
        <f t="shared" si="59"/>
        <v/>
      </c>
      <c r="L1015" s="4">
        <f t="shared" si="65"/>
        <v>0</v>
      </c>
    </row>
    <row r="1016" spans="1:12" x14ac:dyDescent="0.25">
      <c r="A1016">
        <v>600</v>
      </c>
      <c r="B1016" s="3">
        <v>41922</v>
      </c>
      <c r="C1016" s="4">
        <v>561</v>
      </c>
      <c r="E1016">
        <v>600</v>
      </c>
      <c r="F1016" s="3">
        <v>41922</v>
      </c>
      <c r="G1016" t="s">
        <v>244</v>
      </c>
      <c r="H1016" s="18">
        <v>561</v>
      </c>
      <c r="J1016" s="20" t="str">
        <f t="shared" si="64"/>
        <v/>
      </c>
      <c r="K1016" t="str">
        <f t="shared" si="59"/>
        <v/>
      </c>
      <c r="L1016" s="4">
        <f t="shared" si="65"/>
        <v>0</v>
      </c>
    </row>
    <row r="1017" spans="1:12" x14ac:dyDescent="0.25">
      <c r="A1017">
        <v>601</v>
      </c>
      <c r="B1017" s="3">
        <v>41922</v>
      </c>
      <c r="C1017" s="4">
        <v>1377</v>
      </c>
      <c r="E1017">
        <v>601</v>
      </c>
      <c r="F1017" s="3">
        <v>41922</v>
      </c>
      <c r="G1017" t="s">
        <v>126</v>
      </c>
      <c r="H1017" s="18">
        <v>1377</v>
      </c>
      <c r="J1017" s="20" t="str">
        <f t="shared" si="64"/>
        <v/>
      </c>
      <c r="K1017" t="str">
        <f t="shared" si="59"/>
        <v/>
      </c>
      <c r="L1017" s="4">
        <f t="shared" si="65"/>
        <v>0</v>
      </c>
    </row>
    <row r="1018" spans="1:12" x14ac:dyDescent="0.25">
      <c r="A1018">
        <v>612</v>
      </c>
      <c r="B1018" s="3">
        <v>41922</v>
      </c>
      <c r="C1018" s="4">
        <v>925</v>
      </c>
      <c r="E1018">
        <v>612</v>
      </c>
      <c r="F1018" s="3">
        <v>41922</v>
      </c>
      <c r="G1018" t="s">
        <v>245</v>
      </c>
      <c r="H1018" s="18">
        <v>925</v>
      </c>
      <c r="J1018" s="20" t="str">
        <f t="shared" si="64"/>
        <v/>
      </c>
      <c r="K1018" t="str">
        <f t="shared" si="59"/>
        <v/>
      </c>
      <c r="L1018" s="4">
        <f t="shared" si="65"/>
        <v>0</v>
      </c>
    </row>
    <row r="1019" spans="1:12" x14ac:dyDescent="0.25">
      <c r="A1019">
        <v>614</v>
      </c>
      <c r="B1019" s="3">
        <v>41922</v>
      </c>
      <c r="C1019" s="4">
        <v>625</v>
      </c>
      <c r="E1019">
        <v>614</v>
      </c>
      <c r="F1019" s="3">
        <v>41922</v>
      </c>
      <c r="G1019" t="s">
        <v>130</v>
      </c>
      <c r="H1019" s="18">
        <v>625</v>
      </c>
      <c r="J1019" s="20" t="str">
        <f t="shared" si="64"/>
        <v/>
      </c>
      <c r="K1019" t="str">
        <f t="shared" si="59"/>
        <v/>
      </c>
      <c r="L1019" s="4">
        <f t="shared" si="65"/>
        <v>0</v>
      </c>
    </row>
    <row r="1020" spans="1:12" x14ac:dyDescent="0.25">
      <c r="A1020">
        <v>616</v>
      </c>
      <c r="B1020" s="3">
        <v>41922</v>
      </c>
      <c r="C1020" s="4">
        <v>800</v>
      </c>
      <c r="E1020">
        <v>616</v>
      </c>
      <c r="F1020" s="3">
        <v>41922</v>
      </c>
      <c r="G1020" t="s">
        <v>40</v>
      </c>
      <c r="H1020" s="18">
        <v>800</v>
      </c>
      <c r="J1020" s="20" t="str">
        <f t="shared" si="64"/>
        <v/>
      </c>
      <c r="K1020" t="str">
        <f t="shared" si="59"/>
        <v/>
      </c>
      <c r="L1020" s="4">
        <f t="shared" si="65"/>
        <v>0</v>
      </c>
    </row>
    <row r="1021" spans="1:12" x14ac:dyDescent="0.25">
      <c r="A1021">
        <v>626</v>
      </c>
      <c r="B1021" s="3">
        <v>41922</v>
      </c>
      <c r="C1021" s="4">
        <v>701.59</v>
      </c>
      <c r="E1021">
        <v>626</v>
      </c>
      <c r="F1021" s="3">
        <v>41922</v>
      </c>
      <c r="G1021" t="s">
        <v>187</v>
      </c>
      <c r="H1021" s="18">
        <v>701.59</v>
      </c>
      <c r="J1021" s="20" t="str">
        <f t="shared" si="64"/>
        <v/>
      </c>
      <c r="K1021" t="str">
        <f t="shared" si="59"/>
        <v/>
      </c>
      <c r="L1021" s="4">
        <f t="shared" si="65"/>
        <v>0</v>
      </c>
    </row>
    <row r="1022" spans="1:12" x14ac:dyDescent="0.25">
      <c r="A1022">
        <v>646</v>
      </c>
      <c r="B1022" s="3">
        <v>41922</v>
      </c>
      <c r="C1022" s="4">
        <v>775</v>
      </c>
      <c r="E1022">
        <v>646</v>
      </c>
      <c r="F1022" s="3">
        <v>41922</v>
      </c>
      <c r="G1022" t="s">
        <v>203</v>
      </c>
      <c r="H1022" s="18">
        <v>775</v>
      </c>
      <c r="J1022" s="20" t="str">
        <f t="shared" si="64"/>
        <v/>
      </c>
      <c r="K1022" t="str">
        <f t="shared" si="59"/>
        <v/>
      </c>
      <c r="L1022" s="4">
        <f t="shared" si="65"/>
        <v>0</v>
      </c>
    </row>
    <row r="1023" spans="1:12" x14ac:dyDescent="0.25">
      <c r="A1023">
        <v>648</v>
      </c>
      <c r="B1023" s="3">
        <v>41922</v>
      </c>
      <c r="C1023" s="4">
        <v>950</v>
      </c>
      <c r="E1023">
        <v>648</v>
      </c>
      <c r="F1023" s="3">
        <v>41922</v>
      </c>
      <c r="G1023" t="s">
        <v>42</v>
      </c>
      <c r="H1023" s="18">
        <v>950</v>
      </c>
      <c r="J1023" s="20" t="str">
        <f t="shared" si="64"/>
        <v/>
      </c>
      <c r="K1023" t="str">
        <f t="shared" si="59"/>
        <v/>
      </c>
      <c r="L1023" s="4">
        <f t="shared" si="65"/>
        <v>0</v>
      </c>
    </row>
    <row r="1024" spans="1:12" x14ac:dyDescent="0.25">
      <c r="A1024">
        <v>650</v>
      </c>
      <c r="B1024" s="3">
        <v>41922</v>
      </c>
      <c r="C1024" s="4">
        <v>510</v>
      </c>
      <c r="E1024">
        <v>650</v>
      </c>
      <c r="F1024" s="3">
        <v>41922</v>
      </c>
      <c r="G1024" t="s">
        <v>283</v>
      </c>
      <c r="H1024" s="18">
        <v>510</v>
      </c>
      <c r="J1024" s="20" t="str">
        <f t="shared" si="64"/>
        <v/>
      </c>
      <c r="K1024" t="str">
        <f t="shared" si="59"/>
        <v/>
      </c>
      <c r="L1024" s="4">
        <f t="shared" si="65"/>
        <v>0</v>
      </c>
    </row>
    <row r="1025" spans="1:12" x14ac:dyDescent="0.25">
      <c r="A1025">
        <v>652</v>
      </c>
      <c r="B1025" s="3">
        <v>41922</v>
      </c>
      <c r="C1025" s="4">
        <v>725</v>
      </c>
      <c r="E1025">
        <v>652</v>
      </c>
      <c r="F1025" s="3">
        <v>41922</v>
      </c>
      <c r="G1025" t="s">
        <v>299</v>
      </c>
      <c r="H1025" s="18">
        <v>725</v>
      </c>
      <c r="J1025" s="20" t="str">
        <f t="shared" si="64"/>
        <v/>
      </c>
      <c r="K1025" t="str">
        <f t="shared" si="59"/>
        <v/>
      </c>
      <c r="L1025" s="4">
        <f t="shared" si="65"/>
        <v>0</v>
      </c>
    </row>
    <row r="1026" spans="1:12" x14ac:dyDescent="0.25">
      <c r="A1026">
        <v>37</v>
      </c>
      <c r="B1026" s="3">
        <v>41926</v>
      </c>
      <c r="C1026" s="4">
        <v>150</v>
      </c>
      <c r="E1026">
        <v>37</v>
      </c>
      <c r="F1026" s="3">
        <v>41926</v>
      </c>
      <c r="G1026" t="s">
        <v>77</v>
      </c>
      <c r="H1026" s="18">
        <v>150</v>
      </c>
      <c r="J1026" s="20" t="str">
        <f t="shared" si="64"/>
        <v/>
      </c>
      <c r="K1026" t="str">
        <f t="shared" si="59"/>
        <v/>
      </c>
      <c r="L1026" s="4">
        <f t="shared" si="65"/>
        <v>0</v>
      </c>
    </row>
    <row r="1027" spans="1:12" x14ac:dyDescent="0.25">
      <c r="A1027">
        <v>212</v>
      </c>
      <c r="B1027" s="3">
        <v>41926</v>
      </c>
      <c r="C1027" s="4">
        <v>76.069999999999993</v>
      </c>
      <c r="E1027">
        <v>212</v>
      </c>
      <c r="F1027" s="3">
        <v>41926</v>
      </c>
      <c r="G1027" t="s">
        <v>265</v>
      </c>
      <c r="H1027" s="18">
        <v>76.069999999999993</v>
      </c>
      <c r="J1027" s="20" t="str">
        <f t="shared" si="64"/>
        <v/>
      </c>
      <c r="K1027" t="str">
        <f t="shared" ref="K1027:K1090" si="66">IF(F1027=B1027,"","CHECK")</f>
        <v/>
      </c>
      <c r="L1027" s="4">
        <f t="shared" si="65"/>
        <v>0</v>
      </c>
    </row>
    <row r="1028" spans="1:12" x14ac:dyDescent="0.25">
      <c r="A1028">
        <v>383</v>
      </c>
      <c r="B1028" s="3">
        <v>41926</v>
      </c>
      <c r="C1028" s="4">
        <v>500</v>
      </c>
      <c r="E1028">
        <v>383</v>
      </c>
      <c r="F1028" s="3">
        <v>41926</v>
      </c>
      <c r="G1028" t="s">
        <v>220</v>
      </c>
      <c r="H1028" s="18">
        <v>500</v>
      </c>
      <c r="J1028" s="20" t="str">
        <f t="shared" si="64"/>
        <v/>
      </c>
      <c r="K1028" t="str">
        <f t="shared" si="66"/>
        <v/>
      </c>
      <c r="L1028" s="4">
        <f t="shared" si="65"/>
        <v>0</v>
      </c>
    </row>
    <row r="1029" spans="1:12" x14ac:dyDescent="0.25">
      <c r="A1029">
        <v>387</v>
      </c>
      <c r="B1029" s="3">
        <v>41926</v>
      </c>
      <c r="C1029" s="4">
        <v>867</v>
      </c>
      <c r="E1029">
        <v>387</v>
      </c>
      <c r="F1029" s="3">
        <v>41926</v>
      </c>
      <c r="G1029" t="s">
        <v>110</v>
      </c>
      <c r="H1029" s="18">
        <v>867</v>
      </c>
      <c r="J1029" s="20" t="str">
        <f t="shared" si="64"/>
        <v/>
      </c>
      <c r="K1029" t="str">
        <f t="shared" si="66"/>
        <v/>
      </c>
      <c r="L1029" s="4">
        <f t="shared" si="65"/>
        <v>0</v>
      </c>
    </row>
    <row r="1030" spans="1:12" x14ac:dyDescent="0.25">
      <c r="A1030">
        <v>401</v>
      </c>
      <c r="B1030" s="3">
        <v>41926</v>
      </c>
      <c r="C1030" s="4">
        <v>450</v>
      </c>
      <c r="E1030">
        <v>401</v>
      </c>
      <c r="F1030" s="3">
        <v>41926</v>
      </c>
      <c r="G1030" t="s">
        <v>184</v>
      </c>
      <c r="H1030" s="18">
        <v>-500</v>
      </c>
      <c r="J1030" s="20" t="str">
        <f t="shared" si="64"/>
        <v/>
      </c>
      <c r="K1030" t="str">
        <f t="shared" si="66"/>
        <v/>
      </c>
      <c r="L1030" s="4">
        <f t="shared" si="65"/>
        <v>950</v>
      </c>
    </row>
    <row r="1031" spans="1:12" x14ac:dyDescent="0.25">
      <c r="A1031">
        <v>474</v>
      </c>
      <c r="B1031" s="3">
        <v>41926</v>
      </c>
      <c r="C1031" s="4">
        <v>1175</v>
      </c>
      <c r="E1031">
        <v>474</v>
      </c>
      <c r="F1031" s="3">
        <v>41926</v>
      </c>
      <c r="G1031" t="s">
        <v>268</v>
      </c>
      <c r="H1031" s="18">
        <v>1175</v>
      </c>
      <c r="J1031" s="20" t="str">
        <f t="shared" si="64"/>
        <v/>
      </c>
      <c r="K1031" t="str">
        <f t="shared" si="66"/>
        <v/>
      </c>
      <c r="L1031" s="4">
        <f t="shared" si="65"/>
        <v>0</v>
      </c>
    </row>
    <row r="1032" spans="1:12" x14ac:dyDescent="0.25">
      <c r="A1032">
        <v>649</v>
      </c>
      <c r="B1032" s="3">
        <v>41926</v>
      </c>
      <c r="C1032" s="4">
        <v>867</v>
      </c>
      <c r="E1032">
        <v>649</v>
      </c>
      <c r="F1032" s="3">
        <v>41926</v>
      </c>
      <c r="G1032" t="s">
        <v>293</v>
      </c>
      <c r="H1032" s="18">
        <v>867</v>
      </c>
      <c r="J1032" s="20" t="str">
        <f t="shared" si="64"/>
        <v/>
      </c>
      <c r="K1032" t="str">
        <f t="shared" si="66"/>
        <v/>
      </c>
      <c r="L1032" s="4">
        <f t="shared" si="65"/>
        <v>0</v>
      </c>
    </row>
    <row r="1033" spans="1:12" x14ac:dyDescent="0.25">
      <c r="A1033">
        <v>653</v>
      </c>
      <c r="B1033" s="3">
        <v>41926</v>
      </c>
      <c r="C1033" s="4">
        <v>4175</v>
      </c>
      <c r="E1033">
        <v>653</v>
      </c>
      <c r="F1033" s="3">
        <v>41926</v>
      </c>
      <c r="G1033" t="s">
        <v>292</v>
      </c>
      <c r="H1033" s="18">
        <v>4175</v>
      </c>
      <c r="J1033" s="20" t="str">
        <f t="shared" si="64"/>
        <v/>
      </c>
      <c r="K1033" t="str">
        <f t="shared" si="66"/>
        <v/>
      </c>
      <c r="L1033" s="4">
        <f t="shared" si="65"/>
        <v>0</v>
      </c>
    </row>
    <row r="1034" spans="1:12" x14ac:dyDescent="0.25">
      <c r="A1034">
        <v>660</v>
      </c>
      <c r="B1034" s="3">
        <v>41926</v>
      </c>
      <c r="C1034" s="4">
        <v>2014.5</v>
      </c>
      <c r="E1034">
        <v>660</v>
      </c>
      <c r="F1034" s="3">
        <v>41926</v>
      </c>
      <c r="G1034" t="s">
        <v>132</v>
      </c>
      <c r="H1034" s="18">
        <v>2958</v>
      </c>
      <c r="J1034" s="20" t="str">
        <f t="shared" si="64"/>
        <v/>
      </c>
      <c r="K1034" t="str">
        <f t="shared" si="66"/>
        <v/>
      </c>
      <c r="L1034" s="4">
        <f t="shared" si="65"/>
        <v>-943.5</v>
      </c>
    </row>
    <row r="1035" spans="1:12" x14ac:dyDescent="0.25">
      <c r="A1035">
        <v>661</v>
      </c>
      <c r="B1035" s="3">
        <v>41926</v>
      </c>
      <c r="C1035" s="4">
        <v>693</v>
      </c>
      <c r="E1035">
        <v>661</v>
      </c>
      <c r="F1035" s="3">
        <v>41926</v>
      </c>
      <c r="G1035" t="s">
        <v>188</v>
      </c>
      <c r="H1035" s="18">
        <v>693</v>
      </c>
      <c r="J1035" s="20" t="str">
        <f t="shared" si="64"/>
        <v/>
      </c>
      <c r="K1035" t="str">
        <f t="shared" si="66"/>
        <v/>
      </c>
      <c r="L1035" s="4">
        <f t="shared" si="65"/>
        <v>0</v>
      </c>
    </row>
    <row r="1036" spans="1:12" x14ac:dyDescent="0.25">
      <c r="A1036">
        <v>680</v>
      </c>
      <c r="B1036" s="3">
        <v>41926</v>
      </c>
      <c r="C1036" s="4">
        <v>380</v>
      </c>
      <c r="E1036">
        <v>680</v>
      </c>
      <c r="F1036" s="3">
        <v>41926</v>
      </c>
      <c r="G1036" t="s">
        <v>46</v>
      </c>
      <c r="H1036" s="18">
        <v>380</v>
      </c>
      <c r="J1036" s="20" t="str">
        <f t="shared" si="64"/>
        <v/>
      </c>
      <c r="K1036" t="str">
        <f t="shared" si="66"/>
        <v/>
      </c>
      <c r="L1036" s="4">
        <f t="shared" si="65"/>
        <v>0</v>
      </c>
    </row>
    <row r="1037" spans="1:12" x14ac:dyDescent="0.25">
      <c r="A1037">
        <v>27</v>
      </c>
      <c r="B1037" s="3">
        <v>41929</v>
      </c>
      <c r="C1037" s="4">
        <v>7691.5</v>
      </c>
      <c r="E1037">
        <v>27</v>
      </c>
      <c r="F1037" s="3">
        <v>41929</v>
      </c>
      <c r="G1037" t="s">
        <v>159</v>
      </c>
      <c r="H1037" s="18">
        <v>7691.5</v>
      </c>
      <c r="J1037" s="20" t="str">
        <f t="shared" si="64"/>
        <v/>
      </c>
      <c r="K1037" t="str">
        <f t="shared" si="66"/>
        <v/>
      </c>
      <c r="L1037" s="4">
        <f t="shared" si="65"/>
        <v>0</v>
      </c>
    </row>
    <row r="1038" spans="1:12" x14ac:dyDescent="0.25">
      <c r="A1038">
        <v>28</v>
      </c>
      <c r="B1038" s="3">
        <v>41929</v>
      </c>
      <c r="C1038" s="4">
        <v>613</v>
      </c>
      <c r="E1038">
        <v>28</v>
      </c>
      <c r="F1038" s="3">
        <v>41929</v>
      </c>
      <c r="G1038" t="s">
        <v>6</v>
      </c>
      <c r="H1038" s="18">
        <v>613</v>
      </c>
      <c r="J1038" s="20" t="str">
        <f t="shared" si="64"/>
        <v/>
      </c>
      <c r="K1038" t="str">
        <f t="shared" si="66"/>
        <v/>
      </c>
      <c r="L1038" s="4">
        <f t="shared" si="65"/>
        <v>0</v>
      </c>
    </row>
    <row r="1039" spans="1:12" x14ac:dyDescent="0.25">
      <c r="A1039">
        <v>37</v>
      </c>
      <c r="B1039" s="3">
        <v>41929</v>
      </c>
      <c r="C1039" s="4">
        <v>6658.9</v>
      </c>
      <c r="E1039">
        <v>37</v>
      </c>
      <c r="F1039" s="3">
        <v>41929</v>
      </c>
      <c r="G1039" t="s">
        <v>77</v>
      </c>
      <c r="H1039" s="18">
        <v>6658.9</v>
      </c>
      <c r="J1039" s="20" t="str">
        <f t="shared" si="64"/>
        <v/>
      </c>
      <c r="K1039" t="str">
        <f t="shared" si="66"/>
        <v/>
      </c>
      <c r="L1039" s="4">
        <f t="shared" si="65"/>
        <v>0</v>
      </c>
    </row>
    <row r="1040" spans="1:12" x14ac:dyDescent="0.25">
      <c r="A1040">
        <v>41</v>
      </c>
      <c r="B1040" s="3">
        <v>41929</v>
      </c>
      <c r="C1040" s="4">
        <v>606.41999999999996</v>
      </c>
      <c r="E1040">
        <v>41</v>
      </c>
      <c r="F1040" s="3">
        <v>41929</v>
      </c>
      <c r="G1040" t="s">
        <v>10</v>
      </c>
      <c r="H1040" s="18">
        <v>606.41</v>
      </c>
      <c r="J1040" s="20" t="str">
        <f t="shared" si="64"/>
        <v/>
      </c>
      <c r="K1040" t="str">
        <f t="shared" si="66"/>
        <v/>
      </c>
      <c r="L1040" s="4">
        <f t="shared" si="65"/>
        <v>9.9999999999909051E-3</v>
      </c>
    </row>
    <row r="1041" spans="1:12" x14ac:dyDescent="0.25">
      <c r="A1041">
        <v>77</v>
      </c>
      <c r="B1041" s="3">
        <v>41929</v>
      </c>
      <c r="C1041" s="4">
        <v>2175</v>
      </c>
      <c r="E1041">
        <v>77</v>
      </c>
      <c r="F1041" s="3">
        <v>41929</v>
      </c>
      <c r="G1041" t="s">
        <v>11</v>
      </c>
      <c r="H1041" s="18">
        <v>2175</v>
      </c>
      <c r="J1041" s="20" t="str">
        <f t="shared" si="64"/>
        <v/>
      </c>
      <c r="K1041" t="str">
        <f t="shared" si="66"/>
        <v/>
      </c>
      <c r="L1041" s="4">
        <f t="shared" si="65"/>
        <v>0</v>
      </c>
    </row>
    <row r="1042" spans="1:12" x14ac:dyDescent="0.25">
      <c r="A1042">
        <v>82</v>
      </c>
      <c r="B1042" s="3">
        <v>41929</v>
      </c>
      <c r="C1042" s="4">
        <v>387.5</v>
      </c>
      <c r="E1042">
        <v>82</v>
      </c>
      <c r="F1042" s="3">
        <v>41929</v>
      </c>
      <c r="G1042" t="s">
        <v>289</v>
      </c>
      <c r="H1042" s="18">
        <v>387.5</v>
      </c>
      <c r="J1042" s="20" t="str">
        <f t="shared" si="64"/>
        <v/>
      </c>
      <c r="K1042" t="str">
        <f t="shared" si="66"/>
        <v/>
      </c>
      <c r="L1042" s="4">
        <f t="shared" si="65"/>
        <v>0</v>
      </c>
    </row>
    <row r="1043" spans="1:12" x14ac:dyDescent="0.25">
      <c r="A1043">
        <v>85</v>
      </c>
      <c r="B1043" s="3">
        <v>41929</v>
      </c>
      <c r="C1043" s="4">
        <v>3067.5</v>
      </c>
      <c r="E1043">
        <v>85</v>
      </c>
      <c r="F1043" s="3">
        <v>41929</v>
      </c>
      <c r="G1043" t="s">
        <v>79</v>
      </c>
      <c r="H1043" s="18">
        <v>3067.5</v>
      </c>
      <c r="J1043" s="20" t="str">
        <f t="shared" si="64"/>
        <v/>
      </c>
      <c r="K1043" t="str">
        <f t="shared" si="66"/>
        <v/>
      </c>
      <c r="L1043" s="4">
        <f t="shared" si="65"/>
        <v>0</v>
      </c>
    </row>
    <row r="1044" spans="1:12" x14ac:dyDescent="0.25">
      <c r="A1044">
        <v>99</v>
      </c>
      <c r="B1044" s="3">
        <v>41929</v>
      </c>
      <c r="C1044" s="4">
        <v>968</v>
      </c>
      <c r="E1044">
        <v>99</v>
      </c>
      <c r="F1044" s="3">
        <v>41929</v>
      </c>
      <c r="G1044" t="s">
        <v>240</v>
      </c>
      <c r="H1044" s="18">
        <v>968</v>
      </c>
      <c r="J1044" s="20" t="str">
        <f t="shared" si="64"/>
        <v/>
      </c>
      <c r="K1044" t="str">
        <f t="shared" si="66"/>
        <v/>
      </c>
      <c r="L1044" s="4">
        <f t="shared" si="65"/>
        <v>0</v>
      </c>
    </row>
    <row r="1045" spans="1:12" x14ac:dyDescent="0.25">
      <c r="A1045">
        <v>105</v>
      </c>
      <c r="B1045" s="3">
        <v>41929</v>
      </c>
      <c r="C1045" s="4">
        <v>675</v>
      </c>
      <c r="E1045">
        <v>105</v>
      </c>
      <c r="F1045" s="3">
        <v>41929</v>
      </c>
      <c r="G1045" t="s">
        <v>290</v>
      </c>
      <c r="H1045" s="18">
        <v>675</v>
      </c>
      <c r="J1045" s="20" t="str">
        <f t="shared" si="64"/>
        <v/>
      </c>
      <c r="K1045" t="str">
        <f t="shared" si="66"/>
        <v/>
      </c>
      <c r="L1045" s="4">
        <f t="shared" si="65"/>
        <v>0</v>
      </c>
    </row>
    <row r="1046" spans="1:12" x14ac:dyDescent="0.25">
      <c r="A1046">
        <v>114</v>
      </c>
      <c r="B1046" s="3">
        <v>41929</v>
      </c>
      <c r="C1046" s="4">
        <v>31.88</v>
      </c>
      <c r="E1046">
        <v>114</v>
      </c>
      <c r="F1046" s="3">
        <v>41929</v>
      </c>
      <c r="G1046" t="s">
        <v>215</v>
      </c>
      <c r="H1046" s="18">
        <v>31.88</v>
      </c>
      <c r="J1046" s="20" t="str">
        <f t="shared" si="64"/>
        <v/>
      </c>
      <c r="K1046" t="str">
        <f t="shared" si="66"/>
        <v/>
      </c>
      <c r="L1046" s="4">
        <f t="shared" si="65"/>
        <v>0</v>
      </c>
    </row>
    <row r="1047" spans="1:12" x14ac:dyDescent="0.25">
      <c r="A1047">
        <v>117</v>
      </c>
      <c r="B1047" s="3">
        <v>41929</v>
      </c>
      <c r="C1047" s="4">
        <v>415.9</v>
      </c>
      <c r="E1047">
        <v>117</v>
      </c>
      <c r="F1047" s="3">
        <v>41929</v>
      </c>
      <c r="G1047" t="s">
        <v>232</v>
      </c>
      <c r="H1047" s="18">
        <v>415.9</v>
      </c>
      <c r="J1047" s="20" t="str">
        <f t="shared" si="64"/>
        <v/>
      </c>
      <c r="K1047" t="str">
        <f t="shared" si="66"/>
        <v/>
      </c>
      <c r="L1047" s="4">
        <f t="shared" si="65"/>
        <v>0</v>
      </c>
    </row>
    <row r="1048" spans="1:12" x14ac:dyDescent="0.25">
      <c r="A1048">
        <v>134</v>
      </c>
      <c r="B1048" s="3">
        <v>41929</v>
      </c>
      <c r="C1048" s="4">
        <v>254.98</v>
      </c>
      <c r="E1048">
        <v>134</v>
      </c>
      <c r="F1048" s="3">
        <v>41929</v>
      </c>
      <c r="G1048" t="s">
        <v>291</v>
      </c>
      <c r="H1048" s="18">
        <v>254.98</v>
      </c>
      <c r="J1048" s="20" t="str">
        <f t="shared" si="64"/>
        <v/>
      </c>
      <c r="K1048" t="str">
        <f t="shared" si="66"/>
        <v/>
      </c>
      <c r="L1048" s="4">
        <f t="shared" si="65"/>
        <v>0</v>
      </c>
    </row>
    <row r="1049" spans="1:12" x14ac:dyDescent="0.25">
      <c r="A1049">
        <v>202</v>
      </c>
      <c r="B1049" s="3">
        <v>41929</v>
      </c>
      <c r="C1049" s="4">
        <v>1692.93</v>
      </c>
      <c r="E1049">
        <v>202</v>
      </c>
      <c r="F1049" s="3">
        <v>41929</v>
      </c>
      <c r="G1049" t="s">
        <v>237</v>
      </c>
      <c r="H1049" s="18">
        <v>1692.93</v>
      </c>
      <c r="J1049" s="20" t="str">
        <f t="shared" si="64"/>
        <v/>
      </c>
      <c r="K1049" t="str">
        <f t="shared" si="66"/>
        <v/>
      </c>
      <c r="L1049" s="4">
        <f t="shared" si="65"/>
        <v>0</v>
      </c>
    </row>
    <row r="1050" spans="1:12" x14ac:dyDescent="0.25">
      <c r="A1050">
        <v>203</v>
      </c>
      <c r="B1050" s="3">
        <v>41929</v>
      </c>
      <c r="C1050" s="4">
        <v>12118.8</v>
      </c>
      <c r="E1050">
        <v>203</v>
      </c>
      <c r="F1050" s="3">
        <v>41929</v>
      </c>
      <c r="G1050" t="s">
        <v>95</v>
      </c>
      <c r="H1050" s="18">
        <v>12118.8</v>
      </c>
      <c r="J1050" s="20" t="str">
        <f t="shared" si="64"/>
        <v/>
      </c>
      <c r="K1050" t="str">
        <f t="shared" si="66"/>
        <v/>
      </c>
      <c r="L1050" s="4">
        <f t="shared" si="65"/>
        <v>0</v>
      </c>
    </row>
    <row r="1051" spans="1:12" x14ac:dyDescent="0.25">
      <c r="A1051">
        <v>212</v>
      </c>
      <c r="B1051" s="3">
        <v>41929</v>
      </c>
      <c r="C1051" s="4">
        <v>3306</v>
      </c>
      <c r="E1051">
        <v>212</v>
      </c>
      <c r="F1051" s="3">
        <v>41929</v>
      </c>
      <c r="G1051" t="s">
        <v>265</v>
      </c>
      <c r="H1051" s="18">
        <v>3306</v>
      </c>
      <c r="J1051" s="20" t="str">
        <f t="shared" si="64"/>
        <v/>
      </c>
      <c r="K1051" t="str">
        <f t="shared" si="66"/>
        <v/>
      </c>
      <c r="L1051" s="4">
        <f t="shared" si="65"/>
        <v>0</v>
      </c>
    </row>
    <row r="1052" spans="1:12" x14ac:dyDescent="0.25">
      <c r="A1052">
        <v>217</v>
      </c>
      <c r="B1052" s="3">
        <v>41929</v>
      </c>
      <c r="C1052" s="4">
        <v>2210.2800000000002</v>
      </c>
      <c r="E1052">
        <v>217</v>
      </c>
      <c r="F1052" s="3">
        <v>41929</v>
      </c>
      <c r="G1052" t="s">
        <v>97</v>
      </c>
      <c r="H1052" s="18">
        <v>2210.2800000000002</v>
      </c>
      <c r="J1052" s="20" t="str">
        <f t="shared" si="64"/>
        <v/>
      </c>
      <c r="K1052" t="str">
        <f t="shared" si="66"/>
        <v/>
      </c>
      <c r="L1052" s="4">
        <f t="shared" si="65"/>
        <v>0</v>
      </c>
    </row>
    <row r="1053" spans="1:12" x14ac:dyDescent="0.25">
      <c r="A1053">
        <v>248</v>
      </c>
      <c r="B1053" s="3">
        <v>41929</v>
      </c>
      <c r="C1053" s="4">
        <v>586.5</v>
      </c>
      <c r="E1053">
        <v>248</v>
      </c>
      <c r="F1053" s="3">
        <v>41929</v>
      </c>
      <c r="G1053" t="s">
        <v>19</v>
      </c>
      <c r="H1053" s="18">
        <v>586.5</v>
      </c>
      <c r="J1053" s="20" t="str">
        <f t="shared" si="64"/>
        <v/>
      </c>
      <c r="K1053" t="str">
        <f t="shared" si="66"/>
        <v/>
      </c>
      <c r="L1053" s="4">
        <f t="shared" si="65"/>
        <v>0</v>
      </c>
    </row>
    <row r="1054" spans="1:12" x14ac:dyDescent="0.25">
      <c r="A1054">
        <v>250</v>
      </c>
      <c r="B1054" s="3">
        <v>41929</v>
      </c>
      <c r="C1054" s="4">
        <v>433.5</v>
      </c>
      <c r="E1054">
        <v>250</v>
      </c>
      <c r="F1054" s="3">
        <v>41929</v>
      </c>
      <c r="G1054" t="s">
        <v>212</v>
      </c>
      <c r="H1054" s="18">
        <v>433.5</v>
      </c>
      <c r="J1054" s="20" t="str">
        <f t="shared" si="64"/>
        <v/>
      </c>
      <c r="K1054" t="str">
        <f t="shared" si="66"/>
        <v/>
      </c>
      <c r="L1054" s="4">
        <f t="shared" si="65"/>
        <v>0</v>
      </c>
    </row>
    <row r="1055" spans="1:12" x14ac:dyDescent="0.25">
      <c r="A1055">
        <v>261</v>
      </c>
      <c r="B1055" s="3">
        <v>41929</v>
      </c>
      <c r="C1055" s="4">
        <v>2256.8000000000002</v>
      </c>
      <c r="E1055">
        <v>261</v>
      </c>
      <c r="F1055" s="3">
        <v>41929</v>
      </c>
      <c r="G1055" t="s">
        <v>22</v>
      </c>
      <c r="H1055" s="18">
        <v>2256.8000000000002</v>
      </c>
      <c r="J1055" s="20" t="str">
        <f t="shared" si="64"/>
        <v/>
      </c>
      <c r="K1055" t="str">
        <f t="shared" si="66"/>
        <v/>
      </c>
      <c r="L1055" s="4">
        <f t="shared" si="65"/>
        <v>0</v>
      </c>
    </row>
    <row r="1056" spans="1:12" x14ac:dyDescent="0.25">
      <c r="A1056">
        <v>269</v>
      </c>
      <c r="B1056" s="3">
        <v>41929</v>
      </c>
      <c r="C1056" s="4">
        <v>1194.3800000000001</v>
      </c>
      <c r="E1056">
        <v>269</v>
      </c>
      <c r="F1056" s="3">
        <v>41929</v>
      </c>
      <c r="G1056" t="s">
        <v>254</v>
      </c>
      <c r="H1056" s="18">
        <v>1194.3800000000001</v>
      </c>
      <c r="J1056" s="20" t="str">
        <f t="shared" si="64"/>
        <v/>
      </c>
      <c r="K1056" t="str">
        <f t="shared" si="66"/>
        <v/>
      </c>
      <c r="L1056" s="4">
        <f t="shared" si="65"/>
        <v>0</v>
      </c>
    </row>
    <row r="1057" spans="1:12" x14ac:dyDescent="0.25">
      <c r="A1057">
        <v>282</v>
      </c>
      <c r="B1057" s="3">
        <v>41929</v>
      </c>
      <c r="C1057" s="4">
        <v>1175</v>
      </c>
      <c r="E1057">
        <v>282</v>
      </c>
      <c r="F1057" s="3">
        <v>41929</v>
      </c>
      <c r="G1057" t="s">
        <v>23</v>
      </c>
      <c r="H1057" s="18">
        <v>1175</v>
      </c>
      <c r="J1057" s="20" t="str">
        <f t="shared" si="64"/>
        <v/>
      </c>
      <c r="K1057" t="str">
        <f t="shared" si="66"/>
        <v/>
      </c>
      <c r="L1057" s="4">
        <f t="shared" si="65"/>
        <v>0</v>
      </c>
    </row>
    <row r="1058" spans="1:12" x14ac:dyDescent="0.25">
      <c r="A1058">
        <v>329</v>
      </c>
      <c r="B1058" s="3">
        <v>41929</v>
      </c>
      <c r="C1058" s="4">
        <v>1989</v>
      </c>
      <c r="E1058">
        <v>329</v>
      </c>
      <c r="F1058" s="3">
        <v>41929</v>
      </c>
      <c r="G1058" t="s">
        <v>199</v>
      </c>
      <c r="H1058" s="18">
        <v>1989</v>
      </c>
      <c r="J1058" s="20" t="str">
        <f t="shared" si="64"/>
        <v/>
      </c>
      <c r="K1058" t="str">
        <f t="shared" si="66"/>
        <v/>
      </c>
      <c r="L1058" s="4">
        <f t="shared" si="65"/>
        <v>0</v>
      </c>
    </row>
    <row r="1059" spans="1:12" x14ac:dyDescent="0.25">
      <c r="A1059">
        <v>332</v>
      </c>
      <c r="B1059" s="3">
        <v>41929</v>
      </c>
      <c r="C1059" s="4">
        <v>790.5</v>
      </c>
      <c r="E1059">
        <v>332</v>
      </c>
      <c r="F1059" s="3">
        <v>41929</v>
      </c>
      <c r="G1059" t="s">
        <v>27</v>
      </c>
      <c r="H1059" s="18">
        <v>790.5</v>
      </c>
      <c r="J1059" s="20" t="str">
        <f t="shared" si="64"/>
        <v/>
      </c>
      <c r="K1059" t="str">
        <f t="shared" si="66"/>
        <v/>
      </c>
      <c r="L1059" s="4">
        <f t="shared" si="65"/>
        <v>0</v>
      </c>
    </row>
    <row r="1060" spans="1:12" x14ac:dyDescent="0.25">
      <c r="A1060">
        <v>343</v>
      </c>
      <c r="B1060" s="3">
        <v>41929</v>
      </c>
      <c r="C1060" s="4">
        <v>1122</v>
      </c>
      <c r="E1060">
        <v>343</v>
      </c>
      <c r="F1060" s="3">
        <v>41929</v>
      </c>
      <c r="G1060" t="s">
        <v>28</v>
      </c>
      <c r="H1060" s="18">
        <v>1122</v>
      </c>
      <c r="J1060" s="20" t="str">
        <f t="shared" si="64"/>
        <v/>
      </c>
      <c r="K1060" t="str">
        <f t="shared" si="66"/>
        <v/>
      </c>
      <c r="L1060" s="4">
        <f t="shared" si="65"/>
        <v>0</v>
      </c>
    </row>
    <row r="1061" spans="1:12" x14ac:dyDescent="0.25">
      <c r="A1061">
        <v>355</v>
      </c>
      <c r="B1061" s="3">
        <v>41929</v>
      </c>
      <c r="C1061" s="4">
        <v>72</v>
      </c>
      <c r="E1061">
        <v>355</v>
      </c>
      <c r="F1061" s="3">
        <v>41929</v>
      </c>
      <c r="G1061" t="s">
        <v>108</v>
      </c>
      <c r="H1061" s="18">
        <v>72</v>
      </c>
      <c r="J1061" s="20" t="str">
        <f t="shared" si="64"/>
        <v/>
      </c>
      <c r="K1061" t="str">
        <f t="shared" si="66"/>
        <v/>
      </c>
      <c r="L1061" s="4">
        <f t="shared" si="65"/>
        <v>0</v>
      </c>
    </row>
    <row r="1062" spans="1:12" x14ac:dyDescent="0.25">
      <c r="A1062">
        <v>365</v>
      </c>
      <c r="B1062" s="3">
        <v>41929</v>
      </c>
      <c r="C1062" s="4">
        <v>1400</v>
      </c>
      <c r="E1062">
        <v>365</v>
      </c>
      <c r="F1062" s="3">
        <v>41929</v>
      </c>
      <c r="G1062" t="s">
        <v>29</v>
      </c>
      <c r="H1062" s="18">
        <v>1400</v>
      </c>
      <c r="J1062" s="20" t="str">
        <f t="shared" si="64"/>
        <v/>
      </c>
      <c r="K1062" t="str">
        <f t="shared" si="66"/>
        <v/>
      </c>
      <c r="L1062" s="4">
        <f t="shared" si="65"/>
        <v>0</v>
      </c>
    </row>
    <row r="1063" spans="1:12" x14ac:dyDescent="0.25">
      <c r="A1063">
        <v>387</v>
      </c>
      <c r="B1063" s="3">
        <v>41929</v>
      </c>
      <c r="C1063" s="4">
        <v>925</v>
      </c>
      <c r="E1063">
        <v>387</v>
      </c>
      <c r="F1063" s="3">
        <v>41929</v>
      </c>
      <c r="G1063" t="s">
        <v>110</v>
      </c>
      <c r="H1063" s="18">
        <v>925</v>
      </c>
      <c r="J1063" s="20" t="str">
        <f t="shared" si="64"/>
        <v/>
      </c>
      <c r="K1063" t="str">
        <f t="shared" si="66"/>
        <v/>
      </c>
      <c r="L1063" s="4">
        <f t="shared" si="65"/>
        <v>0</v>
      </c>
    </row>
    <row r="1064" spans="1:12" x14ac:dyDescent="0.25">
      <c r="A1064">
        <v>389</v>
      </c>
      <c r="B1064" s="3">
        <v>41929</v>
      </c>
      <c r="C1064" s="4">
        <v>1312.5</v>
      </c>
      <c r="E1064">
        <v>389</v>
      </c>
      <c r="F1064" s="3">
        <v>41929</v>
      </c>
      <c r="G1064" t="s">
        <v>31</v>
      </c>
      <c r="H1064" s="18">
        <v>1312.5</v>
      </c>
      <c r="J1064" s="20" t="str">
        <f t="shared" si="64"/>
        <v/>
      </c>
      <c r="K1064" t="str">
        <f t="shared" si="66"/>
        <v/>
      </c>
      <c r="L1064" s="4">
        <f t="shared" si="65"/>
        <v>0</v>
      </c>
    </row>
    <row r="1065" spans="1:12" x14ac:dyDescent="0.25">
      <c r="A1065">
        <v>401</v>
      </c>
      <c r="B1065" s="3">
        <v>41929</v>
      </c>
      <c r="C1065" s="4">
        <v>833.75</v>
      </c>
      <c r="E1065">
        <v>401</v>
      </c>
      <c r="F1065" s="3">
        <v>41929</v>
      </c>
      <c r="G1065" t="s">
        <v>184</v>
      </c>
      <c r="H1065" s="18">
        <v>833.75</v>
      </c>
      <c r="J1065" s="20" t="str">
        <f t="shared" si="64"/>
        <v/>
      </c>
      <c r="K1065" t="str">
        <f t="shared" si="66"/>
        <v/>
      </c>
      <c r="L1065" s="4">
        <f t="shared" si="65"/>
        <v>0</v>
      </c>
    </row>
    <row r="1066" spans="1:12" x14ac:dyDescent="0.25">
      <c r="A1066">
        <v>410</v>
      </c>
      <c r="B1066" s="3">
        <v>41929</v>
      </c>
      <c r="C1066" s="4">
        <v>1592</v>
      </c>
      <c r="E1066">
        <v>410</v>
      </c>
      <c r="F1066" s="3">
        <v>41929</v>
      </c>
      <c r="G1066" t="s">
        <v>32</v>
      </c>
      <c r="H1066" s="18">
        <v>1592</v>
      </c>
      <c r="J1066" s="20" t="str">
        <f t="shared" si="64"/>
        <v/>
      </c>
      <c r="K1066" t="str">
        <f t="shared" si="66"/>
        <v/>
      </c>
      <c r="L1066" s="4">
        <f t="shared" si="65"/>
        <v>0</v>
      </c>
    </row>
    <row r="1067" spans="1:12" x14ac:dyDescent="0.25">
      <c r="A1067">
        <v>422</v>
      </c>
      <c r="B1067" s="3">
        <v>41929</v>
      </c>
      <c r="C1067" s="4">
        <v>895.5</v>
      </c>
      <c r="E1067">
        <v>422</v>
      </c>
      <c r="F1067" s="3">
        <v>41929</v>
      </c>
      <c r="G1067" t="s">
        <v>165</v>
      </c>
      <c r="H1067" s="18">
        <v>895.5</v>
      </c>
      <c r="J1067" s="20" t="str">
        <f t="shared" si="64"/>
        <v/>
      </c>
      <c r="K1067" t="str">
        <f t="shared" si="66"/>
        <v/>
      </c>
      <c r="L1067" s="4">
        <f t="shared" si="65"/>
        <v>0</v>
      </c>
    </row>
    <row r="1068" spans="1:12" x14ac:dyDescent="0.25">
      <c r="A1068">
        <v>458</v>
      </c>
      <c r="B1068" s="3">
        <v>41929</v>
      </c>
      <c r="C1068" s="4">
        <v>140</v>
      </c>
      <c r="E1068">
        <v>458</v>
      </c>
      <c r="F1068" s="3">
        <v>41929</v>
      </c>
      <c r="G1068" t="s">
        <v>185</v>
      </c>
      <c r="H1068" s="18">
        <v>140</v>
      </c>
      <c r="J1068" s="20" t="str">
        <f t="shared" si="64"/>
        <v/>
      </c>
      <c r="K1068" t="str">
        <f t="shared" si="66"/>
        <v/>
      </c>
      <c r="L1068" s="4">
        <f t="shared" si="65"/>
        <v>0</v>
      </c>
    </row>
    <row r="1069" spans="1:12" x14ac:dyDescent="0.25">
      <c r="A1069">
        <v>464</v>
      </c>
      <c r="B1069" s="3">
        <v>41929</v>
      </c>
      <c r="C1069" s="4">
        <v>159.5</v>
      </c>
      <c r="E1069">
        <v>464</v>
      </c>
      <c r="F1069" s="3">
        <v>41929</v>
      </c>
      <c r="G1069" t="s">
        <v>118</v>
      </c>
      <c r="H1069" s="18">
        <v>159.5</v>
      </c>
      <c r="J1069" s="20" t="str">
        <f t="shared" si="64"/>
        <v/>
      </c>
      <c r="K1069" t="str">
        <f t="shared" si="66"/>
        <v/>
      </c>
      <c r="L1069" s="4">
        <f t="shared" si="65"/>
        <v>0</v>
      </c>
    </row>
    <row r="1070" spans="1:12" x14ac:dyDescent="0.25">
      <c r="A1070">
        <v>472</v>
      </c>
      <c r="B1070" s="3">
        <v>41929</v>
      </c>
      <c r="C1070" s="4">
        <v>500</v>
      </c>
      <c r="E1070">
        <v>472</v>
      </c>
      <c r="F1070" s="3">
        <v>41929</v>
      </c>
      <c r="G1070" t="s">
        <v>279</v>
      </c>
      <c r="H1070" s="18">
        <v>500</v>
      </c>
      <c r="J1070" s="20" t="str">
        <f t="shared" si="64"/>
        <v/>
      </c>
      <c r="K1070" t="str">
        <f t="shared" si="66"/>
        <v/>
      </c>
      <c r="L1070" s="4">
        <f t="shared" si="65"/>
        <v>0</v>
      </c>
    </row>
    <row r="1071" spans="1:12" x14ac:dyDescent="0.25">
      <c r="A1071">
        <v>474</v>
      </c>
      <c r="B1071" s="3">
        <v>41929</v>
      </c>
      <c r="C1071" s="4">
        <v>473.2</v>
      </c>
      <c r="E1071">
        <v>474</v>
      </c>
      <c r="F1071" s="3">
        <v>41929</v>
      </c>
      <c r="G1071" t="s">
        <v>268</v>
      </c>
      <c r="H1071" s="18">
        <v>473.2</v>
      </c>
      <c r="J1071" s="20" t="str">
        <f t="shared" si="64"/>
        <v/>
      </c>
      <c r="K1071" t="str">
        <f t="shared" si="66"/>
        <v/>
      </c>
      <c r="L1071" s="4">
        <f t="shared" si="65"/>
        <v>0</v>
      </c>
    </row>
    <row r="1072" spans="1:12" x14ac:dyDescent="0.25">
      <c r="A1072">
        <v>499</v>
      </c>
      <c r="B1072" s="3">
        <v>41929</v>
      </c>
      <c r="C1072" s="4">
        <v>561</v>
      </c>
      <c r="E1072">
        <v>499</v>
      </c>
      <c r="F1072" s="3">
        <v>41929</v>
      </c>
      <c r="G1072" t="s">
        <v>200</v>
      </c>
      <c r="H1072" s="18">
        <v>561</v>
      </c>
      <c r="J1072" s="20" t="str">
        <f t="shared" si="64"/>
        <v/>
      </c>
      <c r="K1072" t="str">
        <f t="shared" si="66"/>
        <v/>
      </c>
      <c r="L1072" s="4">
        <f t="shared" si="65"/>
        <v>0</v>
      </c>
    </row>
    <row r="1073" spans="1:12" x14ac:dyDescent="0.25">
      <c r="A1073">
        <v>539</v>
      </c>
      <c r="B1073" s="3">
        <v>41929</v>
      </c>
      <c r="C1073" s="4">
        <v>295.63</v>
      </c>
      <c r="E1073">
        <v>539</v>
      </c>
      <c r="F1073" s="3">
        <v>41929</v>
      </c>
      <c r="G1073" t="s">
        <v>122</v>
      </c>
      <c r="H1073" s="18">
        <v>295.63</v>
      </c>
      <c r="J1073" s="20" t="str">
        <f t="shared" ref="J1073:J1111" si="67">IF(E1073=A1073,"","CHECK")</f>
        <v/>
      </c>
      <c r="K1073" t="str">
        <f t="shared" si="66"/>
        <v/>
      </c>
      <c r="L1073" s="4">
        <f t="shared" ref="L1073:L1111" si="68">C1073-H1073</f>
        <v>0</v>
      </c>
    </row>
    <row r="1074" spans="1:12" x14ac:dyDescent="0.25">
      <c r="A1074">
        <v>576</v>
      </c>
      <c r="B1074" s="3">
        <v>41929</v>
      </c>
      <c r="C1074" s="4">
        <v>1000</v>
      </c>
      <c r="E1074">
        <v>576</v>
      </c>
      <c r="F1074" s="3">
        <v>41929</v>
      </c>
      <c r="G1074" t="s">
        <v>36</v>
      </c>
      <c r="H1074" s="18">
        <v>1000</v>
      </c>
      <c r="J1074" s="20" t="str">
        <f t="shared" si="67"/>
        <v/>
      </c>
      <c r="K1074" t="str">
        <f t="shared" si="66"/>
        <v/>
      </c>
      <c r="L1074" s="4">
        <f t="shared" si="68"/>
        <v>0</v>
      </c>
    </row>
    <row r="1075" spans="1:12" x14ac:dyDescent="0.25">
      <c r="A1075">
        <v>580</v>
      </c>
      <c r="B1075" s="3">
        <v>41929</v>
      </c>
      <c r="C1075" s="4">
        <v>500</v>
      </c>
      <c r="E1075">
        <v>580</v>
      </c>
      <c r="F1075" s="3">
        <v>41929</v>
      </c>
      <c r="G1075" t="s">
        <v>37</v>
      </c>
      <c r="H1075" s="18">
        <v>500</v>
      </c>
      <c r="J1075" s="20" t="str">
        <f t="shared" si="67"/>
        <v/>
      </c>
      <c r="K1075" t="str">
        <f t="shared" si="66"/>
        <v/>
      </c>
      <c r="L1075" s="4">
        <f t="shared" si="68"/>
        <v>0</v>
      </c>
    </row>
    <row r="1076" spans="1:12" x14ac:dyDescent="0.25">
      <c r="A1076">
        <v>582</v>
      </c>
      <c r="B1076" s="3">
        <v>41929</v>
      </c>
      <c r="C1076" s="4">
        <v>646.92999999999995</v>
      </c>
      <c r="E1076">
        <v>582</v>
      </c>
      <c r="F1076" s="3">
        <v>41929</v>
      </c>
      <c r="G1076" t="s">
        <v>123</v>
      </c>
      <c r="H1076" s="18">
        <v>646.92999999999995</v>
      </c>
      <c r="J1076" s="20" t="str">
        <f t="shared" si="67"/>
        <v/>
      </c>
      <c r="K1076" t="str">
        <f t="shared" si="66"/>
        <v/>
      </c>
      <c r="L1076" s="4">
        <f t="shared" si="68"/>
        <v>0</v>
      </c>
    </row>
    <row r="1077" spans="1:12" x14ac:dyDescent="0.25">
      <c r="A1077">
        <v>593</v>
      </c>
      <c r="B1077" s="3">
        <v>41929</v>
      </c>
      <c r="C1077" s="4">
        <v>158</v>
      </c>
      <c r="E1077">
        <v>593</v>
      </c>
      <c r="F1077" s="3">
        <v>41929</v>
      </c>
      <c r="G1077" t="s">
        <v>38</v>
      </c>
      <c r="H1077" s="18">
        <v>158</v>
      </c>
      <c r="J1077" s="20" t="str">
        <f t="shared" si="67"/>
        <v/>
      </c>
      <c r="K1077" t="str">
        <f t="shared" si="66"/>
        <v/>
      </c>
      <c r="L1077" s="4">
        <f t="shared" si="68"/>
        <v>0</v>
      </c>
    </row>
    <row r="1078" spans="1:12" x14ac:dyDescent="0.25">
      <c r="A1078">
        <v>599</v>
      </c>
      <c r="B1078" s="3">
        <v>41929</v>
      </c>
      <c r="C1078" s="4">
        <v>800</v>
      </c>
      <c r="E1078">
        <v>599</v>
      </c>
      <c r="F1078" s="3">
        <v>41929</v>
      </c>
      <c r="G1078" t="s">
        <v>125</v>
      </c>
      <c r="H1078" s="18">
        <v>800</v>
      </c>
      <c r="J1078" s="20" t="str">
        <f t="shared" si="67"/>
        <v/>
      </c>
      <c r="K1078" t="str">
        <f t="shared" si="66"/>
        <v/>
      </c>
      <c r="L1078" s="4">
        <f t="shared" si="68"/>
        <v>0</v>
      </c>
    </row>
    <row r="1079" spans="1:12" x14ac:dyDescent="0.25">
      <c r="A1079">
        <v>648</v>
      </c>
      <c r="B1079" s="3">
        <v>41929</v>
      </c>
      <c r="C1079" s="4">
        <v>475</v>
      </c>
      <c r="E1079">
        <v>648</v>
      </c>
      <c r="F1079" s="3">
        <v>41929</v>
      </c>
      <c r="G1079" t="s">
        <v>42</v>
      </c>
      <c r="H1079" s="18">
        <v>475</v>
      </c>
      <c r="J1079" s="20" t="str">
        <f t="shared" si="67"/>
        <v/>
      </c>
      <c r="K1079" t="str">
        <f t="shared" si="66"/>
        <v/>
      </c>
      <c r="L1079" s="4">
        <f t="shared" si="68"/>
        <v>0</v>
      </c>
    </row>
    <row r="1080" spans="1:12" x14ac:dyDescent="0.25">
      <c r="A1080">
        <v>650</v>
      </c>
      <c r="B1080" s="3">
        <v>41929</v>
      </c>
      <c r="C1080" s="4">
        <v>3876</v>
      </c>
      <c r="E1080">
        <v>650</v>
      </c>
      <c r="F1080" s="3">
        <v>41929</v>
      </c>
      <c r="G1080" t="s">
        <v>283</v>
      </c>
      <c r="H1080" s="18">
        <v>3876</v>
      </c>
      <c r="J1080" s="20" t="str">
        <f t="shared" si="67"/>
        <v/>
      </c>
      <c r="K1080" t="str">
        <f t="shared" si="66"/>
        <v/>
      </c>
      <c r="L1080" s="4">
        <f t="shared" si="68"/>
        <v>0</v>
      </c>
    </row>
    <row r="1081" spans="1:12" x14ac:dyDescent="0.25">
      <c r="A1081">
        <v>653</v>
      </c>
      <c r="B1081" s="3">
        <v>41929</v>
      </c>
      <c r="C1081" s="4">
        <v>1025</v>
      </c>
      <c r="E1081">
        <v>653</v>
      </c>
      <c r="F1081" s="3">
        <v>41929</v>
      </c>
      <c r="G1081" t="s">
        <v>292</v>
      </c>
      <c r="H1081" s="18">
        <v>1025</v>
      </c>
      <c r="J1081" s="20" t="str">
        <f t="shared" si="67"/>
        <v/>
      </c>
      <c r="K1081" t="str">
        <f t="shared" si="66"/>
        <v/>
      </c>
      <c r="L1081" s="4">
        <f t="shared" si="68"/>
        <v>0</v>
      </c>
    </row>
    <row r="1082" spans="1:12" x14ac:dyDescent="0.25">
      <c r="A1082">
        <v>676</v>
      </c>
      <c r="B1082" s="3">
        <v>41929</v>
      </c>
      <c r="C1082" s="4">
        <v>1530</v>
      </c>
      <c r="E1082">
        <v>676</v>
      </c>
      <c r="F1082" s="3">
        <v>41929</v>
      </c>
      <c r="G1082" t="s">
        <v>246</v>
      </c>
      <c r="H1082" s="18">
        <v>1530</v>
      </c>
      <c r="J1082" s="20" t="str">
        <f t="shared" si="67"/>
        <v/>
      </c>
      <c r="K1082" t="str">
        <f t="shared" si="66"/>
        <v/>
      </c>
      <c r="L1082" s="4">
        <f t="shared" si="68"/>
        <v>0</v>
      </c>
    </row>
    <row r="1083" spans="1:12" x14ac:dyDescent="0.25">
      <c r="A1083">
        <v>680</v>
      </c>
      <c r="B1083" s="3">
        <v>41929</v>
      </c>
      <c r="C1083" s="4">
        <v>380</v>
      </c>
      <c r="E1083">
        <v>680</v>
      </c>
      <c r="F1083" s="3">
        <v>41929</v>
      </c>
      <c r="G1083" t="s">
        <v>46</v>
      </c>
      <c r="H1083" s="18">
        <v>380</v>
      </c>
      <c r="J1083" s="20" t="str">
        <f t="shared" si="67"/>
        <v/>
      </c>
      <c r="K1083" t="str">
        <f t="shared" si="66"/>
        <v/>
      </c>
      <c r="L1083" s="4">
        <f t="shared" si="68"/>
        <v>0</v>
      </c>
    </row>
    <row r="1084" spans="1:12" x14ac:dyDescent="0.25">
      <c r="A1084">
        <v>203</v>
      </c>
      <c r="B1084" s="3">
        <v>41932</v>
      </c>
      <c r="C1084" s="4">
        <v>-4921.8999999999996</v>
      </c>
      <c r="E1084">
        <v>203</v>
      </c>
      <c r="F1084" s="3">
        <v>41932</v>
      </c>
      <c r="G1084" t="s">
        <v>95</v>
      </c>
      <c r="H1084" s="18">
        <v>-4921.8999999999996</v>
      </c>
      <c r="J1084" s="20" t="str">
        <f t="shared" si="67"/>
        <v/>
      </c>
      <c r="K1084" t="str">
        <f t="shared" si="66"/>
        <v/>
      </c>
      <c r="L1084" s="4">
        <f t="shared" si="68"/>
        <v>0</v>
      </c>
    </row>
    <row r="1085" spans="1:12" x14ac:dyDescent="0.25">
      <c r="A1085">
        <v>407</v>
      </c>
      <c r="B1085" s="3">
        <v>41932</v>
      </c>
      <c r="C1085" s="4">
        <v>105.83</v>
      </c>
      <c r="E1085">
        <v>407</v>
      </c>
      <c r="F1085" s="3">
        <v>41932</v>
      </c>
      <c r="G1085" t="s">
        <v>113</v>
      </c>
      <c r="H1085" s="18">
        <v>105.83</v>
      </c>
      <c r="J1085" s="20" t="str">
        <f t="shared" si="67"/>
        <v/>
      </c>
      <c r="K1085" t="str">
        <f t="shared" si="66"/>
        <v/>
      </c>
      <c r="L1085" s="4">
        <f t="shared" si="68"/>
        <v>0</v>
      </c>
    </row>
    <row r="1086" spans="1:12" x14ac:dyDescent="0.25">
      <c r="A1086">
        <v>489</v>
      </c>
      <c r="B1086" s="3">
        <v>41932</v>
      </c>
      <c r="C1086" s="4">
        <v>918</v>
      </c>
      <c r="E1086">
        <v>489</v>
      </c>
      <c r="F1086" s="3">
        <v>41932</v>
      </c>
      <c r="G1086" t="s">
        <v>288</v>
      </c>
      <c r="H1086" s="18">
        <v>918</v>
      </c>
      <c r="J1086" s="20" t="str">
        <f t="shared" si="67"/>
        <v/>
      </c>
      <c r="K1086" t="str">
        <f t="shared" si="66"/>
        <v/>
      </c>
      <c r="L1086" s="4">
        <f t="shared" si="68"/>
        <v>0</v>
      </c>
    </row>
    <row r="1087" spans="1:12" x14ac:dyDescent="0.25">
      <c r="A1087">
        <v>512</v>
      </c>
      <c r="B1087" s="3">
        <v>41932</v>
      </c>
      <c r="C1087" s="4">
        <v>739.5</v>
      </c>
      <c r="E1087">
        <v>512</v>
      </c>
      <c r="F1087" s="3">
        <v>41932</v>
      </c>
      <c r="G1087" t="s">
        <v>121</v>
      </c>
      <c r="H1087" s="18">
        <v>739.5</v>
      </c>
      <c r="J1087" s="20" t="str">
        <f t="shared" si="67"/>
        <v/>
      </c>
      <c r="K1087" t="str">
        <f t="shared" si="66"/>
        <v/>
      </c>
      <c r="L1087" s="4">
        <f t="shared" si="68"/>
        <v>0</v>
      </c>
    </row>
    <row r="1088" spans="1:12" x14ac:dyDescent="0.25">
      <c r="A1088">
        <v>656</v>
      </c>
      <c r="B1088" s="3">
        <v>41932</v>
      </c>
      <c r="C1088" s="4">
        <v>425</v>
      </c>
      <c r="E1088">
        <v>656</v>
      </c>
      <c r="F1088" s="3">
        <v>41932</v>
      </c>
      <c r="G1088" t="s">
        <v>43</v>
      </c>
      <c r="H1088" s="18">
        <v>425</v>
      </c>
      <c r="J1088" s="20" t="str">
        <f t="shared" si="67"/>
        <v/>
      </c>
      <c r="K1088" t="str">
        <f t="shared" si="66"/>
        <v/>
      </c>
      <c r="L1088" s="4">
        <f t="shared" si="68"/>
        <v>0</v>
      </c>
    </row>
    <row r="1089" spans="1:12" x14ac:dyDescent="0.25">
      <c r="A1089">
        <v>664</v>
      </c>
      <c r="B1089" s="3">
        <v>41932</v>
      </c>
      <c r="C1089" s="4">
        <v>500</v>
      </c>
      <c r="E1089">
        <v>664</v>
      </c>
      <c r="F1089" s="3">
        <v>41932</v>
      </c>
      <c r="G1089" t="s">
        <v>226</v>
      </c>
      <c r="H1089" s="18">
        <v>500</v>
      </c>
      <c r="J1089" s="20" t="str">
        <f t="shared" si="67"/>
        <v/>
      </c>
      <c r="K1089" t="str">
        <f t="shared" si="66"/>
        <v/>
      </c>
      <c r="L1089" s="4">
        <f t="shared" si="68"/>
        <v>0</v>
      </c>
    </row>
    <row r="1090" spans="1:12" x14ac:dyDescent="0.25">
      <c r="A1090">
        <v>675</v>
      </c>
      <c r="B1090" s="3">
        <v>41932</v>
      </c>
      <c r="C1090" s="4">
        <v>275</v>
      </c>
      <c r="E1090">
        <v>675</v>
      </c>
      <c r="F1090" s="3">
        <v>41932</v>
      </c>
      <c r="G1090" t="s">
        <v>228</v>
      </c>
      <c r="H1090" s="18">
        <v>275</v>
      </c>
      <c r="J1090" s="20" t="str">
        <f t="shared" si="67"/>
        <v/>
      </c>
      <c r="K1090" t="str">
        <f t="shared" si="66"/>
        <v/>
      </c>
      <c r="L1090" s="4">
        <f t="shared" si="68"/>
        <v>0</v>
      </c>
    </row>
    <row r="1091" spans="1:12" x14ac:dyDescent="0.25">
      <c r="A1091">
        <v>679</v>
      </c>
      <c r="B1091" s="3">
        <v>41932</v>
      </c>
      <c r="C1091" s="4">
        <v>1468.8</v>
      </c>
      <c r="E1091">
        <v>679</v>
      </c>
      <c r="F1091" s="3">
        <v>41932</v>
      </c>
      <c r="G1091" t="s">
        <v>169</v>
      </c>
      <c r="H1091" s="18">
        <v>1468.8</v>
      </c>
      <c r="J1091" s="20" t="str">
        <f t="shared" si="67"/>
        <v/>
      </c>
      <c r="K1091" t="str">
        <f t="shared" ref="K1091:K1154" si="69">IF(F1091=B1091,"","CHECK")</f>
        <v/>
      </c>
      <c r="L1091" s="4">
        <f t="shared" si="68"/>
        <v>0</v>
      </c>
    </row>
    <row r="1092" spans="1:12" x14ac:dyDescent="0.25">
      <c r="A1092">
        <v>685</v>
      </c>
      <c r="B1092" s="3">
        <v>41932</v>
      </c>
      <c r="C1092" s="4">
        <v>994.5</v>
      </c>
      <c r="E1092">
        <v>685</v>
      </c>
      <c r="F1092" s="3">
        <v>41932</v>
      </c>
      <c r="G1092" t="s">
        <v>204</v>
      </c>
      <c r="H1092" s="18">
        <v>994.5</v>
      </c>
      <c r="J1092" s="20" t="str">
        <f t="shared" si="67"/>
        <v/>
      </c>
      <c r="K1092" t="str">
        <f t="shared" si="69"/>
        <v/>
      </c>
      <c r="L1092" s="4">
        <f t="shared" si="68"/>
        <v>0</v>
      </c>
    </row>
    <row r="1093" spans="1:12" x14ac:dyDescent="0.25">
      <c r="A1093">
        <v>691</v>
      </c>
      <c r="B1093" s="3">
        <v>41932</v>
      </c>
      <c r="C1093" s="4">
        <v>242.88</v>
      </c>
      <c r="E1093">
        <v>691</v>
      </c>
      <c r="F1093" s="3">
        <v>41932</v>
      </c>
      <c r="G1093" t="s">
        <v>49</v>
      </c>
      <c r="H1093" s="18">
        <v>242.88</v>
      </c>
      <c r="J1093" s="20" t="str">
        <f t="shared" si="67"/>
        <v/>
      </c>
      <c r="K1093" t="str">
        <f t="shared" si="69"/>
        <v/>
      </c>
      <c r="L1093" s="4">
        <f t="shared" si="68"/>
        <v>0</v>
      </c>
    </row>
    <row r="1094" spans="1:12" x14ac:dyDescent="0.25">
      <c r="A1094">
        <v>719</v>
      </c>
      <c r="B1094" s="3">
        <v>41932</v>
      </c>
      <c r="C1094" s="4">
        <v>691.24</v>
      </c>
      <c r="E1094">
        <v>719</v>
      </c>
      <c r="F1094" s="3">
        <v>41932</v>
      </c>
      <c r="G1094" t="s">
        <v>262</v>
      </c>
      <c r="H1094" s="18">
        <v>691.24</v>
      </c>
      <c r="J1094" s="20" t="str">
        <f t="shared" si="67"/>
        <v/>
      </c>
      <c r="K1094" t="str">
        <f t="shared" si="69"/>
        <v/>
      </c>
      <c r="L1094" s="4">
        <f t="shared" si="68"/>
        <v>0</v>
      </c>
    </row>
    <row r="1095" spans="1:12" x14ac:dyDescent="0.25">
      <c r="A1095">
        <v>403</v>
      </c>
      <c r="B1095" s="3">
        <v>41933</v>
      </c>
      <c r="C1095" s="4">
        <v>1126.1400000000001</v>
      </c>
      <c r="E1095">
        <v>403</v>
      </c>
      <c r="F1095" s="3">
        <v>41933</v>
      </c>
      <c r="G1095" t="s">
        <v>221</v>
      </c>
      <c r="H1095" s="18">
        <v>1126.1400000000001</v>
      </c>
      <c r="J1095" s="20" t="str">
        <f t="shared" si="67"/>
        <v/>
      </c>
      <c r="K1095" t="str">
        <f t="shared" si="69"/>
        <v/>
      </c>
      <c r="L1095" s="4">
        <f t="shared" si="68"/>
        <v>0</v>
      </c>
    </row>
    <row r="1096" spans="1:12" x14ac:dyDescent="0.25">
      <c r="A1096">
        <v>699</v>
      </c>
      <c r="B1096" s="3">
        <v>41933</v>
      </c>
      <c r="C1096" s="4">
        <v>900</v>
      </c>
      <c r="E1096">
        <v>699</v>
      </c>
      <c r="F1096" s="3">
        <v>41933</v>
      </c>
      <c r="G1096" t="s">
        <v>189</v>
      </c>
      <c r="H1096" s="18">
        <v>900</v>
      </c>
      <c r="J1096" s="20" t="str">
        <f t="shared" si="67"/>
        <v/>
      </c>
      <c r="K1096" t="str">
        <f t="shared" si="69"/>
        <v/>
      </c>
      <c r="L1096" s="4">
        <f t="shared" si="68"/>
        <v>0</v>
      </c>
    </row>
    <row r="1097" spans="1:12" x14ac:dyDescent="0.25">
      <c r="A1097">
        <v>185</v>
      </c>
      <c r="B1097" s="3">
        <v>41934</v>
      </c>
      <c r="C1097" s="4">
        <v>1208.7</v>
      </c>
      <c r="E1097">
        <v>185</v>
      </c>
      <c r="F1097" s="3">
        <v>41934</v>
      </c>
      <c r="G1097" t="s">
        <v>17</v>
      </c>
      <c r="H1097" s="18">
        <v>1208.7</v>
      </c>
      <c r="J1097" s="20" t="str">
        <f t="shared" si="67"/>
        <v/>
      </c>
      <c r="K1097" t="str">
        <f t="shared" si="69"/>
        <v/>
      </c>
      <c r="L1097" s="4">
        <f t="shared" si="68"/>
        <v>0</v>
      </c>
    </row>
    <row r="1098" spans="1:12" x14ac:dyDescent="0.25">
      <c r="A1098">
        <v>638</v>
      </c>
      <c r="B1098" s="3">
        <v>41934</v>
      </c>
      <c r="C1098" s="4">
        <v>612</v>
      </c>
      <c r="E1098">
        <v>638</v>
      </c>
      <c r="F1098" s="3">
        <v>41934</v>
      </c>
      <c r="G1098" t="s">
        <v>248</v>
      </c>
      <c r="H1098" s="18">
        <v>612</v>
      </c>
      <c r="J1098" s="20" t="str">
        <f t="shared" si="67"/>
        <v/>
      </c>
      <c r="K1098" t="str">
        <f t="shared" si="69"/>
        <v/>
      </c>
      <c r="L1098" s="4">
        <f t="shared" si="68"/>
        <v>0</v>
      </c>
    </row>
    <row r="1099" spans="1:12" x14ac:dyDescent="0.25">
      <c r="A1099">
        <v>41</v>
      </c>
      <c r="B1099" s="3">
        <v>41936</v>
      </c>
      <c r="C1099" s="4">
        <v>3716.02</v>
      </c>
      <c r="E1099">
        <v>41</v>
      </c>
      <c r="F1099" s="3">
        <v>41936</v>
      </c>
      <c r="G1099" t="s">
        <v>10</v>
      </c>
      <c r="H1099" s="18">
        <v>3716.02</v>
      </c>
      <c r="J1099" s="20" t="str">
        <f t="shared" si="67"/>
        <v/>
      </c>
      <c r="K1099" t="str">
        <f t="shared" si="69"/>
        <v/>
      </c>
      <c r="L1099" s="4">
        <f t="shared" si="68"/>
        <v>0</v>
      </c>
    </row>
    <row r="1100" spans="1:12" x14ac:dyDescent="0.25">
      <c r="A1100">
        <v>63</v>
      </c>
      <c r="B1100" s="3">
        <v>41936</v>
      </c>
      <c r="C1100" s="4">
        <v>254.53</v>
      </c>
      <c r="E1100">
        <v>63</v>
      </c>
      <c r="F1100" s="3">
        <v>41936</v>
      </c>
      <c r="G1100" t="s">
        <v>181</v>
      </c>
      <c r="H1100" s="18">
        <v>254.52</v>
      </c>
      <c r="J1100" s="20" t="str">
        <f t="shared" si="67"/>
        <v/>
      </c>
      <c r="K1100" t="str">
        <f t="shared" si="69"/>
        <v/>
      </c>
      <c r="L1100" s="4">
        <f t="shared" si="68"/>
        <v>9.9999999999909051E-3</v>
      </c>
    </row>
    <row r="1101" spans="1:12" x14ac:dyDescent="0.25">
      <c r="A1101">
        <v>85</v>
      </c>
      <c r="B1101" s="3">
        <v>41936</v>
      </c>
      <c r="C1101" s="4">
        <v>2519.1799999999998</v>
      </c>
      <c r="E1101">
        <v>85</v>
      </c>
      <c r="F1101" s="3">
        <v>41936</v>
      </c>
      <c r="G1101" t="s">
        <v>79</v>
      </c>
      <c r="H1101" s="18">
        <v>2519.1799999999998</v>
      </c>
      <c r="J1101" s="20" t="str">
        <f t="shared" si="67"/>
        <v/>
      </c>
      <c r="K1101" t="str">
        <f t="shared" si="69"/>
        <v/>
      </c>
      <c r="L1101" s="4">
        <f t="shared" si="68"/>
        <v>0</v>
      </c>
    </row>
    <row r="1102" spans="1:12" x14ac:dyDescent="0.25">
      <c r="A1102">
        <v>133</v>
      </c>
      <c r="B1102" s="3">
        <v>41936</v>
      </c>
      <c r="C1102" s="4">
        <v>369.15</v>
      </c>
      <c r="E1102">
        <v>133</v>
      </c>
      <c r="F1102" s="3">
        <v>41936</v>
      </c>
      <c r="G1102" t="s">
        <v>87</v>
      </c>
      <c r="H1102" s="18">
        <v>369.15</v>
      </c>
      <c r="J1102" s="20" t="str">
        <f t="shared" si="67"/>
        <v/>
      </c>
      <c r="K1102" t="str">
        <f t="shared" si="69"/>
        <v/>
      </c>
      <c r="L1102" s="4">
        <f t="shared" si="68"/>
        <v>0</v>
      </c>
    </row>
    <row r="1103" spans="1:12" x14ac:dyDescent="0.25">
      <c r="A1103">
        <v>175</v>
      </c>
      <c r="B1103" s="3">
        <v>41936</v>
      </c>
      <c r="C1103" s="4">
        <v>584.38</v>
      </c>
      <c r="E1103">
        <v>175</v>
      </c>
      <c r="F1103" s="3">
        <v>41936</v>
      </c>
      <c r="G1103" t="s">
        <v>275</v>
      </c>
      <c r="H1103" s="18">
        <v>584.38</v>
      </c>
      <c r="J1103" s="20" t="str">
        <f t="shared" si="67"/>
        <v/>
      </c>
      <c r="K1103" t="str">
        <f t="shared" si="69"/>
        <v/>
      </c>
      <c r="L1103" s="4">
        <f t="shared" si="68"/>
        <v>0</v>
      </c>
    </row>
    <row r="1104" spans="1:12" x14ac:dyDescent="0.25">
      <c r="A1104">
        <v>203</v>
      </c>
      <c r="B1104" s="3">
        <v>41936</v>
      </c>
      <c r="C1104" s="4">
        <v>2887.54</v>
      </c>
      <c r="E1104">
        <v>203</v>
      </c>
      <c r="F1104" s="3">
        <v>41936</v>
      </c>
      <c r="G1104" t="s">
        <v>95</v>
      </c>
      <c r="H1104" s="18">
        <v>2887.54</v>
      </c>
      <c r="J1104" s="20" t="str">
        <f t="shared" si="67"/>
        <v/>
      </c>
      <c r="K1104" t="str">
        <f t="shared" si="69"/>
        <v/>
      </c>
      <c r="L1104" s="4">
        <f t="shared" si="68"/>
        <v>0</v>
      </c>
    </row>
    <row r="1105" spans="1:12" x14ac:dyDescent="0.25">
      <c r="A1105">
        <v>211</v>
      </c>
      <c r="B1105" s="3">
        <v>41936</v>
      </c>
      <c r="C1105" s="4">
        <v>790.5</v>
      </c>
      <c r="E1105">
        <v>211</v>
      </c>
      <c r="F1105" s="3">
        <v>41936</v>
      </c>
      <c r="G1105" t="s">
        <v>96</v>
      </c>
      <c r="H1105" s="18">
        <v>790.5</v>
      </c>
      <c r="J1105" s="20" t="str">
        <f t="shared" si="67"/>
        <v/>
      </c>
      <c r="K1105" t="str">
        <f t="shared" si="69"/>
        <v/>
      </c>
      <c r="L1105" s="4">
        <f t="shared" si="68"/>
        <v>0</v>
      </c>
    </row>
    <row r="1106" spans="1:12" x14ac:dyDescent="0.25">
      <c r="A1106">
        <v>248</v>
      </c>
      <c r="B1106" s="3">
        <v>41936</v>
      </c>
      <c r="C1106" s="4">
        <v>2473.5</v>
      </c>
      <c r="E1106">
        <v>248</v>
      </c>
      <c r="F1106" s="3">
        <v>41936</v>
      </c>
      <c r="G1106" t="s">
        <v>19</v>
      </c>
      <c r="H1106" s="18">
        <v>2473.5</v>
      </c>
      <c r="J1106" s="20" t="str">
        <f t="shared" si="67"/>
        <v/>
      </c>
      <c r="K1106" t="str">
        <f t="shared" si="69"/>
        <v/>
      </c>
      <c r="L1106" s="4">
        <f t="shared" si="68"/>
        <v>0</v>
      </c>
    </row>
    <row r="1107" spans="1:12" x14ac:dyDescent="0.25">
      <c r="A1107">
        <v>261</v>
      </c>
      <c r="B1107" s="3">
        <v>41936</v>
      </c>
      <c r="C1107" s="4">
        <v>2652</v>
      </c>
      <c r="E1107">
        <v>261</v>
      </c>
      <c r="F1107" s="3">
        <v>41936</v>
      </c>
      <c r="G1107" t="s">
        <v>22</v>
      </c>
      <c r="H1107" s="18">
        <v>2652</v>
      </c>
      <c r="J1107" s="20" t="str">
        <f t="shared" si="67"/>
        <v/>
      </c>
      <c r="K1107" t="str">
        <f t="shared" si="69"/>
        <v/>
      </c>
      <c r="L1107" s="4">
        <f t="shared" si="68"/>
        <v>0</v>
      </c>
    </row>
    <row r="1108" spans="1:12" x14ac:dyDescent="0.25">
      <c r="A1108">
        <v>268</v>
      </c>
      <c r="B1108" s="3">
        <v>41936</v>
      </c>
      <c r="C1108" s="4">
        <v>900</v>
      </c>
      <c r="E1108">
        <v>268</v>
      </c>
      <c r="F1108" s="3">
        <v>41936</v>
      </c>
      <c r="G1108" t="s">
        <v>162</v>
      </c>
      <c r="H1108" s="18">
        <v>900</v>
      </c>
      <c r="J1108" s="20" t="str">
        <f t="shared" si="67"/>
        <v/>
      </c>
      <c r="K1108" t="str">
        <f t="shared" si="69"/>
        <v/>
      </c>
      <c r="L1108" s="4">
        <f t="shared" si="68"/>
        <v>0</v>
      </c>
    </row>
    <row r="1109" spans="1:12" x14ac:dyDescent="0.25">
      <c r="A1109">
        <v>269</v>
      </c>
      <c r="B1109" s="3">
        <v>41936</v>
      </c>
      <c r="C1109" s="4">
        <v>1000</v>
      </c>
      <c r="E1109">
        <v>269</v>
      </c>
      <c r="F1109" s="3">
        <v>41936</v>
      </c>
      <c r="G1109" t="s">
        <v>254</v>
      </c>
      <c r="H1109" s="18">
        <v>1000</v>
      </c>
      <c r="J1109" s="20" t="str">
        <f t="shared" si="67"/>
        <v/>
      </c>
      <c r="K1109" t="str">
        <f t="shared" si="69"/>
        <v/>
      </c>
      <c r="L1109" s="4">
        <f t="shared" si="68"/>
        <v>0</v>
      </c>
    </row>
    <row r="1110" spans="1:12" x14ac:dyDescent="0.25">
      <c r="A1110">
        <v>295</v>
      </c>
      <c r="B1110" s="3">
        <v>41936</v>
      </c>
      <c r="C1110" s="4">
        <v>1125</v>
      </c>
      <c r="E1110">
        <v>295</v>
      </c>
      <c r="F1110" s="3">
        <v>41936</v>
      </c>
      <c r="G1110" t="s">
        <v>103</v>
      </c>
      <c r="H1110" s="18">
        <v>1125</v>
      </c>
      <c r="J1110" s="20" t="str">
        <f t="shared" si="67"/>
        <v/>
      </c>
      <c r="K1110" t="str">
        <f t="shared" si="69"/>
        <v/>
      </c>
      <c r="L1110" s="4">
        <f t="shared" si="68"/>
        <v>0</v>
      </c>
    </row>
    <row r="1111" spans="1:12" x14ac:dyDescent="0.25">
      <c r="A1111">
        <v>343</v>
      </c>
      <c r="B1111" s="3">
        <v>41936</v>
      </c>
      <c r="C1111" s="4">
        <v>1224</v>
      </c>
      <c r="E1111">
        <v>343</v>
      </c>
      <c r="F1111" s="3">
        <v>41936</v>
      </c>
      <c r="G1111" t="s">
        <v>28</v>
      </c>
      <c r="H1111" s="18">
        <v>1224</v>
      </c>
      <c r="J1111" s="20" t="str">
        <f t="shared" si="67"/>
        <v/>
      </c>
      <c r="K1111" t="str">
        <f t="shared" si="69"/>
        <v/>
      </c>
      <c r="L1111" s="4">
        <f t="shared" si="68"/>
        <v>0</v>
      </c>
    </row>
    <row r="1112" spans="1:12" x14ac:dyDescent="0.25">
      <c r="B1112" s="3"/>
      <c r="E1112">
        <v>355</v>
      </c>
      <c r="F1112" s="3">
        <v>41936</v>
      </c>
      <c r="G1112" t="s">
        <v>108</v>
      </c>
      <c r="H1112" s="18">
        <v>0</v>
      </c>
      <c r="J1112" s="20" t="str">
        <f t="shared" ref="J1112:J1160" si="70">IF(E1112=A1112,"","CHECK")</f>
        <v>CHECK</v>
      </c>
      <c r="K1112" t="str">
        <f t="shared" si="69"/>
        <v>CHECK</v>
      </c>
      <c r="L1112" s="4">
        <f t="shared" ref="L1112:L1160" si="71">C1112-H1112</f>
        <v>0</v>
      </c>
    </row>
    <row r="1113" spans="1:12" x14ac:dyDescent="0.25">
      <c r="A1113">
        <v>365</v>
      </c>
      <c r="B1113" s="3">
        <v>41936</v>
      </c>
      <c r="C1113" s="4">
        <v>262.5</v>
      </c>
      <c r="E1113">
        <v>365</v>
      </c>
      <c r="F1113" s="3">
        <v>41936</v>
      </c>
      <c r="G1113" t="s">
        <v>29</v>
      </c>
      <c r="H1113" s="18">
        <v>262.5</v>
      </c>
      <c r="J1113" s="20" t="str">
        <f t="shared" si="70"/>
        <v/>
      </c>
      <c r="K1113" t="str">
        <f t="shared" si="69"/>
        <v/>
      </c>
      <c r="L1113" s="4">
        <f t="shared" si="71"/>
        <v>0</v>
      </c>
    </row>
    <row r="1114" spans="1:12" x14ac:dyDescent="0.25">
      <c r="A1114">
        <v>382</v>
      </c>
      <c r="B1114" s="3">
        <v>41936</v>
      </c>
      <c r="C1114" s="4">
        <v>1225</v>
      </c>
      <c r="E1114">
        <v>382</v>
      </c>
      <c r="F1114" s="3">
        <v>41936</v>
      </c>
      <c r="G1114" t="s">
        <v>164</v>
      </c>
      <c r="H1114" s="18">
        <v>1225</v>
      </c>
      <c r="J1114" s="20" t="str">
        <f t="shared" si="70"/>
        <v/>
      </c>
      <c r="K1114" t="str">
        <f t="shared" si="69"/>
        <v/>
      </c>
      <c r="L1114" s="4">
        <f t="shared" si="71"/>
        <v>0</v>
      </c>
    </row>
    <row r="1115" spans="1:12" x14ac:dyDescent="0.25">
      <c r="A1115">
        <v>383</v>
      </c>
      <c r="B1115" s="3">
        <v>41936</v>
      </c>
      <c r="C1115" s="4">
        <v>425</v>
      </c>
      <c r="E1115">
        <v>383</v>
      </c>
      <c r="F1115" s="3">
        <v>41936</v>
      </c>
      <c r="G1115" t="s">
        <v>220</v>
      </c>
      <c r="H1115" s="18">
        <v>425</v>
      </c>
      <c r="J1115" s="20" t="str">
        <f t="shared" si="70"/>
        <v/>
      </c>
      <c r="K1115" t="str">
        <f t="shared" si="69"/>
        <v/>
      </c>
      <c r="L1115" s="4">
        <f t="shared" si="71"/>
        <v>0</v>
      </c>
    </row>
    <row r="1116" spans="1:12" x14ac:dyDescent="0.25">
      <c r="A1116">
        <v>389</v>
      </c>
      <c r="B1116" s="3">
        <v>41936</v>
      </c>
      <c r="C1116" s="4">
        <v>5000</v>
      </c>
      <c r="E1116">
        <v>389</v>
      </c>
      <c r="F1116" s="3">
        <v>41936</v>
      </c>
      <c r="G1116" t="s">
        <v>31</v>
      </c>
      <c r="H1116" s="18">
        <v>5000</v>
      </c>
      <c r="J1116" s="20" t="str">
        <f t="shared" si="70"/>
        <v/>
      </c>
      <c r="K1116" t="str">
        <f t="shared" si="69"/>
        <v/>
      </c>
      <c r="L1116" s="4">
        <f t="shared" si="71"/>
        <v>0</v>
      </c>
    </row>
    <row r="1117" spans="1:12" x14ac:dyDescent="0.25">
      <c r="A1117">
        <v>397</v>
      </c>
      <c r="B1117" s="3">
        <v>41936</v>
      </c>
      <c r="C1117" s="4">
        <v>500</v>
      </c>
      <c r="E1117">
        <v>397</v>
      </c>
      <c r="F1117" s="3">
        <v>41936</v>
      </c>
      <c r="G1117" t="s">
        <v>287</v>
      </c>
      <c r="H1117" s="18">
        <v>500</v>
      </c>
      <c r="J1117" s="20" t="str">
        <f t="shared" si="70"/>
        <v/>
      </c>
      <c r="K1117" t="str">
        <f t="shared" si="69"/>
        <v/>
      </c>
      <c r="L1117" s="4">
        <f t="shared" si="71"/>
        <v>0</v>
      </c>
    </row>
    <row r="1118" spans="1:12" x14ac:dyDescent="0.25">
      <c r="A1118">
        <v>401</v>
      </c>
      <c r="B1118" s="3">
        <v>41936</v>
      </c>
      <c r="C1118" s="4">
        <v>561</v>
      </c>
      <c r="E1118">
        <v>401</v>
      </c>
      <c r="F1118" s="3">
        <v>41936</v>
      </c>
      <c r="G1118" t="s">
        <v>184</v>
      </c>
      <c r="H1118" s="18">
        <v>561</v>
      </c>
      <c r="J1118" s="20" t="str">
        <f t="shared" si="70"/>
        <v/>
      </c>
      <c r="K1118" t="str">
        <f t="shared" si="69"/>
        <v/>
      </c>
      <c r="L1118" s="4">
        <f t="shared" si="71"/>
        <v>0</v>
      </c>
    </row>
    <row r="1119" spans="1:12" x14ac:dyDescent="0.25">
      <c r="A1119">
        <v>472</v>
      </c>
      <c r="B1119" s="3">
        <v>41936</v>
      </c>
      <c r="C1119" s="4">
        <v>500</v>
      </c>
      <c r="E1119">
        <v>472</v>
      </c>
      <c r="F1119" s="3">
        <v>41936</v>
      </c>
      <c r="G1119" t="s">
        <v>279</v>
      </c>
      <c r="H1119" s="18">
        <v>500</v>
      </c>
      <c r="J1119" s="20" t="str">
        <f t="shared" si="70"/>
        <v/>
      </c>
      <c r="K1119" t="str">
        <f t="shared" si="69"/>
        <v/>
      </c>
      <c r="L1119" s="4">
        <f t="shared" si="71"/>
        <v>0</v>
      </c>
    </row>
    <row r="1120" spans="1:12" x14ac:dyDescent="0.25">
      <c r="A1120">
        <v>489</v>
      </c>
      <c r="B1120" s="3">
        <v>41936</v>
      </c>
      <c r="C1120" s="4">
        <v>425</v>
      </c>
      <c r="E1120">
        <v>489</v>
      </c>
      <c r="F1120" s="3">
        <v>41936</v>
      </c>
      <c r="G1120" t="s">
        <v>288</v>
      </c>
      <c r="H1120" s="18">
        <v>425</v>
      </c>
      <c r="J1120" s="20" t="str">
        <f t="shared" si="70"/>
        <v/>
      </c>
      <c r="K1120" t="str">
        <f t="shared" si="69"/>
        <v/>
      </c>
      <c r="L1120" s="4">
        <f t="shared" si="71"/>
        <v>0</v>
      </c>
    </row>
    <row r="1121" spans="1:12" x14ac:dyDescent="0.25">
      <c r="A1121">
        <v>539</v>
      </c>
      <c r="B1121" s="3">
        <v>41936</v>
      </c>
      <c r="C1121" s="4">
        <v>-200.87</v>
      </c>
      <c r="E1121">
        <v>539</v>
      </c>
      <c r="F1121" s="3">
        <v>41936</v>
      </c>
      <c r="G1121" t="s">
        <v>122</v>
      </c>
      <c r="H1121" s="18">
        <v>-200.87</v>
      </c>
      <c r="J1121" s="20" t="str">
        <f t="shared" si="70"/>
        <v/>
      </c>
      <c r="K1121" t="str">
        <f t="shared" si="69"/>
        <v/>
      </c>
      <c r="L1121" s="4">
        <f t="shared" si="71"/>
        <v>0</v>
      </c>
    </row>
    <row r="1122" spans="1:12" x14ac:dyDescent="0.25">
      <c r="A1122">
        <v>551</v>
      </c>
      <c r="B1122" s="3">
        <v>41936</v>
      </c>
      <c r="C1122" s="4">
        <v>800</v>
      </c>
      <c r="E1122">
        <v>551</v>
      </c>
      <c r="F1122" s="3">
        <v>41936</v>
      </c>
      <c r="G1122" t="s">
        <v>166</v>
      </c>
      <c r="H1122" s="18">
        <v>800</v>
      </c>
      <c r="J1122" s="20" t="str">
        <f t="shared" si="70"/>
        <v/>
      </c>
      <c r="K1122" t="str">
        <f t="shared" si="69"/>
        <v/>
      </c>
      <c r="L1122" s="4">
        <f t="shared" si="71"/>
        <v>0</v>
      </c>
    </row>
    <row r="1123" spans="1:12" x14ac:dyDescent="0.25">
      <c r="A1123">
        <v>576</v>
      </c>
      <c r="B1123" s="3">
        <v>41936</v>
      </c>
      <c r="C1123" s="4">
        <v>2793.01</v>
      </c>
      <c r="E1123">
        <v>576</v>
      </c>
      <c r="F1123" s="3">
        <v>41936</v>
      </c>
      <c r="G1123" t="s">
        <v>36</v>
      </c>
      <c r="H1123" s="18">
        <v>2793.01</v>
      </c>
      <c r="J1123" s="20" t="str">
        <f t="shared" si="70"/>
        <v/>
      </c>
      <c r="K1123" t="str">
        <f t="shared" si="69"/>
        <v/>
      </c>
      <c r="L1123" s="4">
        <f t="shared" si="71"/>
        <v>0</v>
      </c>
    </row>
    <row r="1124" spans="1:12" x14ac:dyDescent="0.25">
      <c r="A1124">
        <v>580</v>
      </c>
      <c r="B1124" s="3">
        <v>41936</v>
      </c>
      <c r="C1124" s="4">
        <v>500</v>
      </c>
      <c r="E1124">
        <v>580</v>
      </c>
      <c r="F1124" s="3">
        <v>41936</v>
      </c>
      <c r="G1124" t="s">
        <v>37</v>
      </c>
      <c r="H1124" s="18">
        <v>500</v>
      </c>
      <c r="J1124" s="20" t="str">
        <f t="shared" si="70"/>
        <v/>
      </c>
      <c r="K1124" t="str">
        <f t="shared" si="69"/>
        <v/>
      </c>
      <c r="L1124" s="4">
        <f t="shared" si="71"/>
        <v>0</v>
      </c>
    </row>
    <row r="1125" spans="1:12" x14ac:dyDescent="0.25">
      <c r="A1125">
        <v>582</v>
      </c>
      <c r="B1125" s="3">
        <v>41936</v>
      </c>
      <c r="C1125" s="4">
        <v>500</v>
      </c>
      <c r="E1125">
        <v>582</v>
      </c>
      <c r="F1125" s="3">
        <v>41936</v>
      </c>
      <c r="G1125" t="s">
        <v>123</v>
      </c>
      <c r="H1125" s="18">
        <v>500</v>
      </c>
      <c r="J1125" s="20" t="str">
        <f t="shared" si="70"/>
        <v/>
      </c>
      <c r="K1125" t="str">
        <f t="shared" si="69"/>
        <v/>
      </c>
      <c r="L1125" s="4">
        <f t="shared" si="71"/>
        <v>0</v>
      </c>
    </row>
    <row r="1126" spans="1:12" x14ac:dyDescent="0.25">
      <c r="A1126">
        <v>583</v>
      </c>
      <c r="B1126" s="3">
        <v>41936</v>
      </c>
      <c r="C1126" s="4">
        <v>2575.5</v>
      </c>
      <c r="E1126">
        <v>583</v>
      </c>
      <c r="F1126" s="3">
        <v>41936</v>
      </c>
      <c r="G1126" t="s">
        <v>124</v>
      </c>
      <c r="H1126" s="18">
        <v>2575.5</v>
      </c>
      <c r="J1126" s="20" t="str">
        <f t="shared" si="70"/>
        <v/>
      </c>
      <c r="K1126" t="str">
        <f t="shared" si="69"/>
        <v/>
      </c>
      <c r="L1126" s="4">
        <f t="shared" si="71"/>
        <v>0</v>
      </c>
    </row>
    <row r="1127" spans="1:12" x14ac:dyDescent="0.25">
      <c r="A1127">
        <v>586</v>
      </c>
      <c r="B1127" s="3">
        <v>41936</v>
      </c>
      <c r="C1127" s="4">
        <v>975</v>
      </c>
      <c r="E1127">
        <v>586</v>
      </c>
      <c r="F1127" s="3">
        <v>41936</v>
      </c>
      <c r="G1127" t="s">
        <v>270</v>
      </c>
      <c r="H1127" s="18">
        <v>975</v>
      </c>
      <c r="J1127" s="20" t="str">
        <f t="shared" si="70"/>
        <v/>
      </c>
      <c r="K1127" t="str">
        <f t="shared" si="69"/>
        <v/>
      </c>
      <c r="L1127" s="4">
        <f t="shared" si="71"/>
        <v>0</v>
      </c>
    </row>
    <row r="1128" spans="1:12" x14ac:dyDescent="0.25">
      <c r="A1128">
        <v>593</v>
      </c>
      <c r="B1128" s="3">
        <v>41936</v>
      </c>
      <c r="C1128" s="4">
        <v>1224</v>
      </c>
      <c r="E1128">
        <v>593</v>
      </c>
      <c r="F1128" s="3">
        <v>41936</v>
      </c>
      <c r="G1128" t="s">
        <v>38</v>
      </c>
      <c r="H1128" s="18">
        <v>1224</v>
      </c>
      <c r="J1128" s="20" t="str">
        <f t="shared" si="70"/>
        <v/>
      </c>
      <c r="K1128" t="str">
        <f t="shared" si="69"/>
        <v/>
      </c>
      <c r="L1128" s="4">
        <f t="shared" si="71"/>
        <v>0</v>
      </c>
    </row>
    <row r="1129" spans="1:12" x14ac:dyDescent="0.25">
      <c r="A1129">
        <v>594</v>
      </c>
      <c r="B1129" s="3">
        <v>41936</v>
      </c>
      <c r="C1129" s="4">
        <v>382.5</v>
      </c>
      <c r="E1129">
        <v>594</v>
      </c>
      <c r="F1129" s="3">
        <v>41936</v>
      </c>
      <c r="G1129" t="s">
        <v>223</v>
      </c>
      <c r="H1129" s="18">
        <v>382.5</v>
      </c>
      <c r="J1129" s="20" t="str">
        <f t="shared" si="70"/>
        <v/>
      </c>
      <c r="K1129" t="str">
        <f t="shared" si="69"/>
        <v/>
      </c>
      <c r="L1129" s="4">
        <f t="shared" si="71"/>
        <v>0</v>
      </c>
    </row>
    <row r="1130" spans="1:12" x14ac:dyDescent="0.25">
      <c r="A1130">
        <v>601</v>
      </c>
      <c r="B1130" s="3">
        <v>41936</v>
      </c>
      <c r="C1130" s="4">
        <v>714</v>
      </c>
      <c r="E1130">
        <v>601</v>
      </c>
      <c r="F1130" s="3">
        <v>41936</v>
      </c>
      <c r="G1130" t="s">
        <v>126</v>
      </c>
      <c r="H1130" s="18">
        <v>714</v>
      </c>
      <c r="J1130" s="20" t="str">
        <f t="shared" si="70"/>
        <v/>
      </c>
      <c r="K1130" t="str">
        <f t="shared" si="69"/>
        <v/>
      </c>
      <c r="L1130" s="4">
        <f t="shared" si="71"/>
        <v>0</v>
      </c>
    </row>
    <row r="1131" spans="1:12" x14ac:dyDescent="0.25">
      <c r="A1131">
        <v>606</v>
      </c>
      <c r="B1131" s="3">
        <v>41936</v>
      </c>
      <c r="C1131" s="4">
        <v>663</v>
      </c>
      <c r="E1131">
        <v>606</v>
      </c>
      <c r="F1131" s="3">
        <v>41936</v>
      </c>
      <c r="G1131" t="s">
        <v>128</v>
      </c>
      <c r="H1131" s="18">
        <v>663</v>
      </c>
      <c r="J1131" s="20" t="str">
        <f t="shared" si="70"/>
        <v/>
      </c>
      <c r="K1131" t="str">
        <f t="shared" si="69"/>
        <v/>
      </c>
      <c r="L1131" s="4">
        <f t="shared" si="71"/>
        <v>0</v>
      </c>
    </row>
    <row r="1132" spans="1:12" x14ac:dyDescent="0.25">
      <c r="A1132">
        <v>612</v>
      </c>
      <c r="B1132" s="3">
        <v>41936</v>
      </c>
      <c r="C1132" s="4">
        <v>-925</v>
      </c>
      <c r="E1132">
        <v>612</v>
      </c>
      <c r="F1132" s="3">
        <v>41936</v>
      </c>
      <c r="G1132" t="s">
        <v>245</v>
      </c>
      <c r="H1132" s="18">
        <v>-925</v>
      </c>
      <c r="J1132" s="20" t="str">
        <f t="shared" si="70"/>
        <v/>
      </c>
      <c r="K1132" t="str">
        <f t="shared" si="69"/>
        <v/>
      </c>
      <c r="L1132" s="4">
        <f t="shared" si="71"/>
        <v>0</v>
      </c>
    </row>
    <row r="1133" spans="1:12" x14ac:dyDescent="0.25">
      <c r="A1133">
        <v>614</v>
      </c>
      <c r="B1133" s="3">
        <v>41936</v>
      </c>
      <c r="C1133" s="4">
        <v>612</v>
      </c>
      <c r="E1133">
        <v>614</v>
      </c>
      <c r="F1133" s="3">
        <v>41936</v>
      </c>
      <c r="G1133" t="s">
        <v>130</v>
      </c>
      <c r="H1133" s="18">
        <v>612</v>
      </c>
      <c r="J1133" s="20" t="str">
        <f t="shared" si="70"/>
        <v/>
      </c>
      <c r="K1133" t="str">
        <f t="shared" si="69"/>
        <v/>
      </c>
      <c r="L1133" s="4">
        <f t="shared" si="71"/>
        <v>0</v>
      </c>
    </row>
    <row r="1134" spans="1:12" x14ac:dyDescent="0.25">
      <c r="A1134">
        <v>615</v>
      </c>
      <c r="B1134" s="3">
        <v>41936</v>
      </c>
      <c r="C1134" s="4">
        <v>397.5</v>
      </c>
      <c r="E1134">
        <v>615</v>
      </c>
      <c r="F1134" s="3">
        <v>41936</v>
      </c>
      <c r="G1134" t="s">
        <v>201</v>
      </c>
      <c r="H1134" s="18">
        <v>397.5</v>
      </c>
      <c r="J1134" s="20" t="str">
        <f t="shared" si="70"/>
        <v/>
      </c>
      <c r="K1134" t="str">
        <f t="shared" si="69"/>
        <v/>
      </c>
      <c r="L1134" s="4">
        <f t="shared" si="71"/>
        <v>0</v>
      </c>
    </row>
    <row r="1135" spans="1:12" x14ac:dyDescent="0.25">
      <c r="A1135">
        <v>632</v>
      </c>
      <c r="B1135" s="3">
        <v>41936</v>
      </c>
      <c r="C1135" s="4">
        <v>714</v>
      </c>
      <c r="E1135">
        <v>632</v>
      </c>
      <c r="F1135" s="3">
        <v>41936</v>
      </c>
      <c r="G1135" t="s">
        <v>41</v>
      </c>
      <c r="H1135" s="18">
        <v>714</v>
      </c>
      <c r="J1135" s="20" t="str">
        <f t="shared" si="70"/>
        <v/>
      </c>
      <c r="K1135" t="str">
        <f t="shared" si="69"/>
        <v/>
      </c>
      <c r="L1135" s="4">
        <f t="shared" si="71"/>
        <v>0</v>
      </c>
    </row>
    <row r="1136" spans="1:12" x14ac:dyDescent="0.25">
      <c r="A1136">
        <v>635</v>
      </c>
      <c r="B1136" s="3">
        <v>41936</v>
      </c>
      <c r="C1136" s="4">
        <v>500</v>
      </c>
      <c r="E1136">
        <v>635</v>
      </c>
      <c r="F1136" s="3">
        <v>41936</v>
      </c>
      <c r="G1136" t="s">
        <v>167</v>
      </c>
      <c r="H1136" s="18">
        <v>500</v>
      </c>
      <c r="J1136" s="20" t="str">
        <f t="shared" si="70"/>
        <v/>
      </c>
      <c r="K1136" t="str">
        <f t="shared" si="69"/>
        <v/>
      </c>
      <c r="L1136" s="4">
        <f t="shared" si="71"/>
        <v>0</v>
      </c>
    </row>
    <row r="1137" spans="1:12" x14ac:dyDescent="0.25">
      <c r="A1137">
        <v>638</v>
      </c>
      <c r="B1137" s="3">
        <v>41936</v>
      </c>
      <c r="C1137" s="4">
        <v>459</v>
      </c>
      <c r="E1137">
        <v>638</v>
      </c>
      <c r="F1137" s="3">
        <v>41936</v>
      </c>
      <c r="G1137" t="s">
        <v>248</v>
      </c>
      <c r="H1137" s="18">
        <v>459</v>
      </c>
      <c r="J1137" s="20" t="str">
        <f t="shared" si="70"/>
        <v/>
      </c>
      <c r="K1137" t="str">
        <f t="shared" si="69"/>
        <v/>
      </c>
      <c r="L1137" s="4">
        <f t="shared" si="71"/>
        <v>0</v>
      </c>
    </row>
    <row r="1138" spans="1:12" x14ac:dyDescent="0.25">
      <c r="A1138">
        <v>648</v>
      </c>
      <c r="B1138" s="3">
        <v>41936</v>
      </c>
      <c r="C1138" s="4">
        <v>600</v>
      </c>
      <c r="E1138">
        <v>648</v>
      </c>
      <c r="F1138" s="3">
        <v>41936</v>
      </c>
      <c r="G1138" t="s">
        <v>42</v>
      </c>
      <c r="H1138" s="18">
        <v>600</v>
      </c>
      <c r="J1138" s="20" t="str">
        <f t="shared" si="70"/>
        <v/>
      </c>
      <c r="K1138" t="str">
        <f t="shared" si="69"/>
        <v/>
      </c>
      <c r="L1138" s="4">
        <f t="shared" si="71"/>
        <v>0</v>
      </c>
    </row>
    <row r="1139" spans="1:12" x14ac:dyDescent="0.25">
      <c r="A1139">
        <v>661</v>
      </c>
      <c r="B1139" s="3">
        <v>41936</v>
      </c>
      <c r="C1139" s="4">
        <v>130.47</v>
      </c>
      <c r="E1139">
        <v>661</v>
      </c>
      <c r="F1139" s="3">
        <v>41936</v>
      </c>
      <c r="G1139" t="s">
        <v>188</v>
      </c>
      <c r="H1139" s="18">
        <v>130.47</v>
      </c>
      <c r="J1139" s="20" t="str">
        <f t="shared" si="70"/>
        <v/>
      </c>
      <c r="K1139" t="str">
        <f t="shared" si="69"/>
        <v/>
      </c>
      <c r="L1139" s="4">
        <f t="shared" si="71"/>
        <v>0</v>
      </c>
    </row>
    <row r="1140" spans="1:12" x14ac:dyDescent="0.25">
      <c r="A1140">
        <v>664</v>
      </c>
      <c r="B1140" s="3">
        <v>41936</v>
      </c>
      <c r="C1140" s="4">
        <v>500</v>
      </c>
      <c r="E1140">
        <v>664</v>
      </c>
      <c r="F1140" s="3">
        <v>41936</v>
      </c>
      <c r="G1140" t="s">
        <v>226</v>
      </c>
      <c r="H1140" s="18">
        <v>500</v>
      </c>
      <c r="J1140" s="20" t="str">
        <f t="shared" si="70"/>
        <v/>
      </c>
      <c r="K1140" t="str">
        <f t="shared" si="69"/>
        <v/>
      </c>
      <c r="L1140" s="4">
        <f t="shared" si="71"/>
        <v>0</v>
      </c>
    </row>
    <row r="1141" spans="1:12" x14ac:dyDescent="0.25">
      <c r="A1141">
        <v>672</v>
      </c>
      <c r="B1141" s="3">
        <v>41936</v>
      </c>
      <c r="C1141" s="4">
        <v>510</v>
      </c>
      <c r="E1141">
        <v>672</v>
      </c>
      <c r="F1141" s="3">
        <v>41936</v>
      </c>
      <c r="G1141" t="s">
        <v>168</v>
      </c>
      <c r="H1141" s="18">
        <v>510</v>
      </c>
      <c r="J1141" s="20" t="str">
        <f t="shared" si="70"/>
        <v/>
      </c>
      <c r="K1141" t="str">
        <f t="shared" si="69"/>
        <v/>
      </c>
      <c r="L1141" s="4">
        <f t="shared" si="71"/>
        <v>0</v>
      </c>
    </row>
    <row r="1142" spans="1:12" x14ac:dyDescent="0.25">
      <c r="A1142">
        <v>675</v>
      </c>
      <c r="B1142" s="3">
        <v>41936</v>
      </c>
      <c r="C1142" s="4">
        <v>850</v>
      </c>
      <c r="E1142">
        <v>675</v>
      </c>
      <c r="F1142" s="3">
        <v>41936</v>
      </c>
      <c r="G1142" t="s">
        <v>228</v>
      </c>
      <c r="H1142" s="18">
        <v>850</v>
      </c>
      <c r="J1142" s="20" t="str">
        <f t="shared" si="70"/>
        <v/>
      </c>
      <c r="K1142" t="str">
        <f t="shared" si="69"/>
        <v/>
      </c>
      <c r="L1142" s="4">
        <f t="shared" si="71"/>
        <v>0</v>
      </c>
    </row>
    <row r="1143" spans="1:12" x14ac:dyDescent="0.25">
      <c r="A1143">
        <v>676</v>
      </c>
      <c r="B1143" s="3">
        <v>41936</v>
      </c>
      <c r="C1143" s="4">
        <v>535.5</v>
      </c>
      <c r="E1143">
        <v>676</v>
      </c>
      <c r="F1143" s="3">
        <v>41936</v>
      </c>
      <c r="G1143" t="s">
        <v>246</v>
      </c>
      <c r="H1143" s="18">
        <v>535.5</v>
      </c>
      <c r="J1143" s="20" t="str">
        <f t="shared" si="70"/>
        <v/>
      </c>
      <c r="K1143" t="str">
        <f t="shared" si="69"/>
        <v/>
      </c>
      <c r="L1143" s="4">
        <f t="shared" si="71"/>
        <v>0</v>
      </c>
    </row>
    <row r="1144" spans="1:12" x14ac:dyDescent="0.25">
      <c r="A1144">
        <v>683</v>
      </c>
      <c r="B1144" s="3">
        <v>41936</v>
      </c>
      <c r="C1144" s="4">
        <v>663</v>
      </c>
      <c r="E1144">
        <v>683</v>
      </c>
      <c r="F1144" s="3">
        <v>41936</v>
      </c>
      <c r="G1144" t="s">
        <v>261</v>
      </c>
      <c r="H1144" s="18">
        <v>663</v>
      </c>
      <c r="J1144" s="20" t="str">
        <f t="shared" si="70"/>
        <v/>
      </c>
      <c r="K1144" t="str">
        <f t="shared" si="69"/>
        <v/>
      </c>
      <c r="L1144" s="4">
        <f t="shared" si="71"/>
        <v>0</v>
      </c>
    </row>
    <row r="1145" spans="1:12" x14ac:dyDescent="0.25">
      <c r="A1145">
        <v>705</v>
      </c>
      <c r="B1145" s="3">
        <v>41936</v>
      </c>
      <c r="C1145" s="4">
        <v>500</v>
      </c>
      <c r="E1145">
        <v>705</v>
      </c>
      <c r="F1145" s="3">
        <v>41936</v>
      </c>
      <c r="G1145" t="s">
        <v>256</v>
      </c>
      <c r="H1145" s="18">
        <v>500</v>
      </c>
      <c r="J1145" s="20" t="str">
        <f t="shared" si="70"/>
        <v/>
      </c>
      <c r="K1145" t="str">
        <f t="shared" si="69"/>
        <v/>
      </c>
      <c r="L1145" s="4">
        <f t="shared" si="71"/>
        <v>0</v>
      </c>
    </row>
    <row r="1146" spans="1:12" x14ac:dyDescent="0.25">
      <c r="A1146">
        <v>610</v>
      </c>
      <c r="B1146" s="3">
        <v>41939</v>
      </c>
      <c r="C1146" s="4">
        <v>275</v>
      </c>
      <c r="E1146">
        <v>610</v>
      </c>
      <c r="F1146" s="3">
        <v>41939</v>
      </c>
      <c r="G1146" t="s">
        <v>129</v>
      </c>
      <c r="H1146" s="18">
        <v>275</v>
      </c>
      <c r="J1146" s="20" t="str">
        <f t="shared" si="70"/>
        <v/>
      </c>
      <c r="K1146" t="str">
        <f t="shared" si="69"/>
        <v/>
      </c>
      <c r="L1146" s="4">
        <f t="shared" si="71"/>
        <v>0</v>
      </c>
    </row>
    <row r="1147" spans="1:12" x14ac:dyDescent="0.25">
      <c r="A1147">
        <v>203</v>
      </c>
      <c r="B1147" s="3">
        <v>41940</v>
      </c>
      <c r="C1147" s="4">
        <v>97.81</v>
      </c>
      <c r="E1147">
        <v>203</v>
      </c>
      <c r="F1147" s="3">
        <v>41940</v>
      </c>
      <c r="G1147" t="s">
        <v>95</v>
      </c>
      <c r="H1147" s="18">
        <v>97.81</v>
      </c>
      <c r="J1147" s="20" t="str">
        <f t="shared" si="70"/>
        <v/>
      </c>
      <c r="K1147" t="str">
        <f t="shared" si="69"/>
        <v/>
      </c>
      <c r="L1147" s="4">
        <f t="shared" si="71"/>
        <v>0</v>
      </c>
    </row>
    <row r="1148" spans="1:12" x14ac:dyDescent="0.25">
      <c r="A1148">
        <v>28</v>
      </c>
      <c r="B1148" s="3">
        <v>41943</v>
      </c>
      <c r="C1148" s="4">
        <v>923.5</v>
      </c>
      <c r="E1148">
        <v>28</v>
      </c>
      <c r="F1148" s="3">
        <v>41943</v>
      </c>
      <c r="G1148" t="s">
        <v>6</v>
      </c>
      <c r="H1148" s="18">
        <v>923.5</v>
      </c>
      <c r="J1148" s="20" t="str">
        <f t="shared" si="70"/>
        <v/>
      </c>
      <c r="K1148" t="str">
        <f t="shared" si="69"/>
        <v/>
      </c>
      <c r="L1148" s="4">
        <f t="shared" si="71"/>
        <v>0</v>
      </c>
    </row>
    <row r="1149" spans="1:12" x14ac:dyDescent="0.25">
      <c r="A1149">
        <v>175</v>
      </c>
      <c r="B1149" s="3">
        <v>41943</v>
      </c>
      <c r="C1149" s="4">
        <v>135.05000000000001</v>
      </c>
      <c r="E1149">
        <v>175</v>
      </c>
      <c r="F1149" s="3">
        <v>41943</v>
      </c>
      <c r="G1149" t="s">
        <v>275</v>
      </c>
      <c r="H1149" s="18">
        <v>135.05000000000001</v>
      </c>
      <c r="J1149" s="20" t="str">
        <f t="shared" si="70"/>
        <v/>
      </c>
      <c r="K1149" t="str">
        <f t="shared" si="69"/>
        <v/>
      </c>
      <c r="L1149" s="4">
        <f t="shared" si="71"/>
        <v>0</v>
      </c>
    </row>
    <row r="1150" spans="1:12" x14ac:dyDescent="0.25">
      <c r="A1150">
        <v>217</v>
      </c>
      <c r="B1150" s="3">
        <v>41943</v>
      </c>
      <c r="C1150" s="4">
        <v>325</v>
      </c>
      <c r="E1150">
        <v>217</v>
      </c>
      <c r="F1150" s="3">
        <v>41943</v>
      </c>
      <c r="G1150" t="s">
        <v>97</v>
      </c>
      <c r="H1150" s="18">
        <v>325</v>
      </c>
      <c r="J1150" s="20" t="str">
        <f t="shared" si="70"/>
        <v/>
      </c>
      <c r="K1150" t="str">
        <f t="shared" si="69"/>
        <v/>
      </c>
      <c r="L1150" s="4">
        <f t="shared" si="71"/>
        <v>0</v>
      </c>
    </row>
    <row r="1151" spans="1:12" x14ac:dyDescent="0.25">
      <c r="A1151">
        <v>218</v>
      </c>
      <c r="B1151" s="3">
        <v>41943</v>
      </c>
      <c r="C1151" s="4">
        <v>2784.5</v>
      </c>
      <c r="E1151">
        <v>218</v>
      </c>
      <c r="F1151" s="3">
        <v>41943</v>
      </c>
      <c r="G1151" t="s">
        <v>233</v>
      </c>
      <c r="H1151" s="18">
        <v>2784.5</v>
      </c>
      <c r="J1151" s="20" t="str">
        <f t="shared" si="70"/>
        <v/>
      </c>
      <c r="K1151" t="str">
        <f t="shared" si="69"/>
        <v/>
      </c>
      <c r="L1151" s="4">
        <f t="shared" si="71"/>
        <v>0</v>
      </c>
    </row>
    <row r="1152" spans="1:12" x14ac:dyDescent="0.25">
      <c r="A1152">
        <v>248</v>
      </c>
      <c r="B1152" s="3">
        <v>41943</v>
      </c>
      <c r="C1152" s="4">
        <v>1632</v>
      </c>
      <c r="E1152">
        <v>248</v>
      </c>
      <c r="F1152" s="3">
        <v>41943</v>
      </c>
      <c r="G1152" t="s">
        <v>19</v>
      </c>
      <c r="H1152" s="18">
        <v>1632</v>
      </c>
      <c r="J1152" s="20" t="str">
        <f t="shared" si="70"/>
        <v/>
      </c>
      <c r="K1152" t="str">
        <f t="shared" si="69"/>
        <v/>
      </c>
      <c r="L1152" s="4">
        <f t="shared" si="71"/>
        <v>0</v>
      </c>
    </row>
    <row r="1153" spans="1:12" x14ac:dyDescent="0.25">
      <c r="A1153">
        <v>261</v>
      </c>
      <c r="B1153" s="3">
        <v>41943</v>
      </c>
      <c r="C1153" s="4">
        <v>3687</v>
      </c>
      <c r="E1153">
        <v>261</v>
      </c>
      <c r="F1153" s="3">
        <v>41943</v>
      </c>
      <c r="G1153" t="s">
        <v>22</v>
      </c>
      <c r="H1153" s="18">
        <v>3687</v>
      </c>
      <c r="J1153" s="20" t="str">
        <f t="shared" si="70"/>
        <v/>
      </c>
      <c r="K1153" t="str">
        <f t="shared" si="69"/>
        <v/>
      </c>
      <c r="L1153" s="4">
        <f t="shared" si="71"/>
        <v>0</v>
      </c>
    </row>
    <row r="1154" spans="1:12" x14ac:dyDescent="0.25">
      <c r="A1154">
        <v>268</v>
      </c>
      <c r="B1154" s="3">
        <v>41943</v>
      </c>
      <c r="C1154" s="4">
        <v>1542.5</v>
      </c>
      <c r="E1154">
        <v>268</v>
      </c>
      <c r="F1154" s="3">
        <v>41943</v>
      </c>
      <c r="G1154" t="s">
        <v>162</v>
      </c>
      <c r="H1154" s="18">
        <v>1542.5</v>
      </c>
      <c r="J1154" s="20" t="str">
        <f t="shared" si="70"/>
        <v/>
      </c>
      <c r="K1154" t="str">
        <f t="shared" si="69"/>
        <v/>
      </c>
      <c r="L1154" s="4">
        <f t="shared" si="71"/>
        <v>0</v>
      </c>
    </row>
    <row r="1155" spans="1:12" x14ac:dyDescent="0.25">
      <c r="A1155">
        <v>269</v>
      </c>
      <c r="B1155" s="3">
        <v>41943</v>
      </c>
      <c r="C1155" s="4">
        <v>1000</v>
      </c>
      <c r="E1155">
        <v>269</v>
      </c>
      <c r="F1155" s="3">
        <v>41943</v>
      </c>
      <c r="G1155" t="s">
        <v>254</v>
      </c>
      <c r="H1155" s="18">
        <v>1000</v>
      </c>
      <c r="J1155" s="20" t="str">
        <f t="shared" si="70"/>
        <v/>
      </c>
      <c r="K1155" t="str">
        <f t="shared" ref="K1155:K1218" si="72">IF(F1155=B1155,"","CHECK")</f>
        <v/>
      </c>
      <c r="L1155" s="4">
        <f t="shared" si="71"/>
        <v>0</v>
      </c>
    </row>
    <row r="1156" spans="1:12" x14ac:dyDescent="0.25">
      <c r="A1156">
        <v>282</v>
      </c>
      <c r="B1156" s="3">
        <v>41943</v>
      </c>
      <c r="C1156" s="4">
        <v>2400</v>
      </c>
      <c r="E1156">
        <v>282</v>
      </c>
      <c r="F1156" s="3">
        <v>41943</v>
      </c>
      <c r="G1156" t="s">
        <v>23</v>
      </c>
      <c r="H1156" s="18">
        <v>2400</v>
      </c>
      <c r="J1156" s="20" t="str">
        <f t="shared" si="70"/>
        <v/>
      </c>
      <c r="K1156" t="str">
        <f t="shared" si="72"/>
        <v/>
      </c>
      <c r="L1156" s="4">
        <f t="shared" si="71"/>
        <v>0</v>
      </c>
    </row>
    <row r="1157" spans="1:12" x14ac:dyDescent="0.25">
      <c r="A1157">
        <v>295</v>
      </c>
      <c r="B1157" s="3">
        <v>41943</v>
      </c>
      <c r="C1157" s="4">
        <v>650</v>
      </c>
      <c r="E1157">
        <v>295</v>
      </c>
      <c r="F1157" s="3">
        <v>41943</v>
      </c>
      <c r="G1157" t="s">
        <v>103</v>
      </c>
      <c r="H1157" s="18">
        <v>650</v>
      </c>
      <c r="J1157" s="20" t="str">
        <f t="shared" si="70"/>
        <v/>
      </c>
      <c r="K1157" t="str">
        <f t="shared" si="72"/>
        <v/>
      </c>
      <c r="L1157" s="4">
        <f t="shared" si="71"/>
        <v>0</v>
      </c>
    </row>
    <row r="1158" spans="1:12" x14ac:dyDescent="0.25">
      <c r="A1158">
        <v>302</v>
      </c>
      <c r="B1158" s="3">
        <v>41943</v>
      </c>
      <c r="C1158" s="4">
        <v>1150</v>
      </c>
      <c r="E1158">
        <v>302</v>
      </c>
      <c r="F1158" s="3">
        <v>41943</v>
      </c>
      <c r="G1158" t="s">
        <v>104</v>
      </c>
      <c r="H1158" s="18">
        <v>1150</v>
      </c>
      <c r="J1158" s="20" t="str">
        <f t="shared" si="70"/>
        <v/>
      </c>
      <c r="K1158" t="str">
        <f t="shared" si="72"/>
        <v/>
      </c>
      <c r="L1158" s="4">
        <f t="shared" si="71"/>
        <v>0</v>
      </c>
    </row>
    <row r="1159" spans="1:12" x14ac:dyDescent="0.25">
      <c r="A1159">
        <v>321</v>
      </c>
      <c r="B1159" s="3">
        <v>41943</v>
      </c>
      <c r="C1159" s="4">
        <v>350</v>
      </c>
      <c r="E1159">
        <v>321</v>
      </c>
      <c r="F1159" s="3">
        <v>41943</v>
      </c>
      <c r="G1159" t="s">
        <v>105</v>
      </c>
      <c r="H1159" s="18">
        <v>350</v>
      </c>
      <c r="J1159" s="20" t="str">
        <f t="shared" si="70"/>
        <v/>
      </c>
      <c r="K1159" t="str">
        <f t="shared" si="72"/>
        <v/>
      </c>
      <c r="L1159" s="4">
        <f t="shared" si="71"/>
        <v>0</v>
      </c>
    </row>
    <row r="1160" spans="1:12" x14ac:dyDescent="0.25">
      <c r="A1160">
        <v>332</v>
      </c>
      <c r="B1160" s="3">
        <v>41943</v>
      </c>
      <c r="C1160" s="4">
        <v>1275</v>
      </c>
      <c r="E1160">
        <v>332</v>
      </c>
      <c r="F1160" s="3">
        <v>41943</v>
      </c>
      <c r="G1160" t="s">
        <v>27</v>
      </c>
      <c r="H1160" s="18">
        <v>1275</v>
      </c>
      <c r="J1160" s="20" t="str">
        <f t="shared" si="70"/>
        <v/>
      </c>
      <c r="K1160" t="str">
        <f t="shared" si="72"/>
        <v/>
      </c>
      <c r="L1160" s="4">
        <f t="shared" si="71"/>
        <v>0</v>
      </c>
    </row>
    <row r="1161" spans="1:12" x14ac:dyDescent="0.25">
      <c r="A1161">
        <v>343</v>
      </c>
      <c r="B1161" s="3">
        <v>41943</v>
      </c>
      <c r="C1161" s="4">
        <v>280.5</v>
      </c>
      <c r="E1161">
        <v>343</v>
      </c>
      <c r="F1161" s="3">
        <v>41943</v>
      </c>
      <c r="G1161" t="s">
        <v>28</v>
      </c>
      <c r="H1161" s="18">
        <v>280.5</v>
      </c>
      <c r="J1161" s="20" t="str">
        <f t="shared" ref="J1161:J1216" si="73">IF(E1161=A1161,"","CHECK")</f>
        <v/>
      </c>
      <c r="K1161" t="str">
        <f t="shared" si="72"/>
        <v/>
      </c>
      <c r="L1161" s="4">
        <f t="shared" ref="L1161:L1216" si="74">C1161-H1161</f>
        <v>0</v>
      </c>
    </row>
    <row r="1162" spans="1:12" x14ac:dyDescent="0.25">
      <c r="B1162" s="3"/>
      <c r="E1162">
        <v>355</v>
      </c>
      <c r="F1162" s="3">
        <v>41943</v>
      </c>
      <c r="G1162" t="s">
        <v>108</v>
      </c>
      <c r="H1162" s="18">
        <v>0</v>
      </c>
      <c r="J1162" s="20" t="str">
        <f t="shared" si="73"/>
        <v>CHECK</v>
      </c>
      <c r="K1162" t="str">
        <f t="shared" si="72"/>
        <v>CHECK</v>
      </c>
      <c r="L1162" s="4">
        <f t="shared" si="74"/>
        <v>0</v>
      </c>
    </row>
    <row r="1163" spans="1:12" x14ac:dyDescent="0.25">
      <c r="A1163">
        <v>358</v>
      </c>
      <c r="B1163" s="3">
        <v>41943</v>
      </c>
      <c r="C1163" s="4">
        <v>1197</v>
      </c>
      <c r="E1163">
        <v>358</v>
      </c>
      <c r="F1163" s="3">
        <v>41943</v>
      </c>
      <c r="G1163" t="s">
        <v>179</v>
      </c>
      <c r="H1163" s="18">
        <v>1197</v>
      </c>
      <c r="J1163" s="20" t="str">
        <f t="shared" si="73"/>
        <v/>
      </c>
      <c r="K1163" t="str">
        <f t="shared" si="72"/>
        <v/>
      </c>
      <c r="L1163" s="4">
        <f t="shared" si="74"/>
        <v>0</v>
      </c>
    </row>
    <row r="1164" spans="1:12" x14ac:dyDescent="0.25">
      <c r="A1164">
        <v>365</v>
      </c>
      <c r="B1164" s="3">
        <v>41943</v>
      </c>
      <c r="C1164" s="4">
        <v>612</v>
      </c>
      <c r="E1164">
        <v>365</v>
      </c>
      <c r="F1164" s="3">
        <v>41943</v>
      </c>
      <c r="G1164" t="s">
        <v>29</v>
      </c>
      <c r="H1164" s="18">
        <v>612</v>
      </c>
      <c r="J1164" s="20" t="str">
        <f t="shared" si="73"/>
        <v/>
      </c>
      <c r="K1164" t="str">
        <f t="shared" si="72"/>
        <v/>
      </c>
      <c r="L1164" s="4">
        <f t="shared" si="74"/>
        <v>0</v>
      </c>
    </row>
    <row r="1165" spans="1:12" x14ac:dyDescent="0.25">
      <c r="A1165">
        <v>382</v>
      </c>
      <c r="B1165" s="3">
        <v>41943</v>
      </c>
      <c r="C1165" s="4">
        <v>1750</v>
      </c>
      <c r="E1165">
        <v>382</v>
      </c>
      <c r="F1165" s="3">
        <v>41943</v>
      </c>
      <c r="G1165" t="s">
        <v>164</v>
      </c>
      <c r="H1165" s="18">
        <v>1750</v>
      </c>
      <c r="J1165" s="20" t="str">
        <f t="shared" si="73"/>
        <v/>
      </c>
      <c r="K1165" t="str">
        <f t="shared" si="72"/>
        <v/>
      </c>
      <c r="L1165" s="4">
        <f t="shared" si="74"/>
        <v>0</v>
      </c>
    </row>
    <row r="1166" spans="1:12" x14ac:dyDescent="0.25">
      <c r="A1166">
        <v>405</v>
      </c>
      <c r="B1166" s="3">
        <v>41943</v>
      </c>
      <c r="C1166" s="4">
        <v>600</v>
      </c>
      <c r="E1166">
        <v>405</v>
      </c>
      <c r="F1166" s="3">
        <v>41943</v>
      </c>
      <c r="G1166" t="s">
        <v>112</v>
      </c>
      <c r="H1166" s="18">
        <v>600</v>
      </c>
      <c r="J1166" s="20" t="str">
        <f t="shared" si="73"/>
        <v/>
      </c>
      <c r="K1166" t="str">
        <f t="shared" si="72"/>
        <v/>
      </c>
      <c r="L1166" s="4">
        <f t="shared" si="74"/>
        <v>0</v>
      </c>
    </row>
    <row r="1167" spans="1:12" x14ac:dyDescent="0.25">
      <c r="A1167">
        <v>407</v>
      </c>
      <c r="B1167" s="3">
        <v>41943</v>
      </c>
      <c r="C1167" s="4">
        <v>311.64999999999998</v>
      </c>
      <c r="E1167">
        <v>407</v>
      </c>
      <c r="F1167" s="3">
        <v>41943</v>
      </c>
      <c r="G1167" t="s">
        <v>113</v>
      </c>
      <c r="H1167" s="18">
        <v>311.64999999999998</v>
      </c>
      <c r="J1167" s="20" t="str">
        <f t="shared" si="73"/>
        <v/>
      </c>
      <c r="K1167" t="str">
        <f t="shared" si="72"/>
        <v/>
      </c>
      <c r="L1167" s="4">
        <f t="shared" si="74"/>
        <v>0</v>
      </c>
    </row>
    <row r="1168" spans="1:12" x14ac:dyDescent="0.25">
      <c r="A1168">
        <v>410</v>
      </c>
      <c r="B1168" s="3">
        <v>41943</v>
      </c>
      <c r="C1168" s="4">
        <v>1500</v>
      </c>
      <c r="E1168">
        <v>410</v>
      </c>
      <c r="F1168" s="3">
        <v>41943</v>
      </c>
      <c r="G1168" t="s">
        <v>32</v>
      </c>
      <c r="H1168" s="18">
        <v>1500</v>
      </c>
      <c r="J1168" s="20" t="str">
        <f t="shared" si="73"/>
        <v/>
      </c>
      <c r="K1168" t="str">
        <f t="shared" si="72"/>
        <v/>
      </c>
      <c r="L1168" s="4">
        <f t="shared" si="74"/>
        <v>0</v>
      </c>
    </row>
    <row r="1169" spans="1:12" x14ac:dyDescent="0.25">
      <c r="A1169">
        <v>438</v>
      </c>
      <c r="B1169" s="3">
        <v>41943</v>
      </c>
      <c r="C1169" s="4">
        <v>600</v>
      </c>
      <c r="E1169">
        <v>438</v>
      </c>
      <c r="F1169" s="3">
        <v>41943</v>
      </c>
      <c r="G1169" t="s">
        <v>115</v>
      </c>
      <c r="H1169" s="18">
        <v>600</v>
      </c>
      <c r="J1169" s="20" t="str">
        <f t="shared" si="73"/>
        <v/>
      </c>
      <c r="K1169" t="str">
        <f t="shared" si="72"/>
        <v/>
      </c>
      <c r="L1169" s="4">
        <f t="shared" si="74"/>
        <v>0</v>
      </c>
    </row>
    <row r="1170" spans="1:12" x14ac:dyDescent="0.25">
      <c r="A1170">
        <v>453</v>
      </c>
      <c r="B1170" s="3">
        <v>41943</v>
      </c>
      <c r="C1170" s="4">
        <v>408</v>
      </c>
      <c r="E1170">
        <v>453</v>
      </c>
      <c r="F1170" s="3">
        <v>41943</v>
      </c>
      <c r="G1170" t="s">
        <v>117</v>
      </c>
      <c r="H1170" s="18">
        <v>408</v>
      </c>
      <c r="J1170" s="20" t="str">
        <f t="shared" si="73"/>
        <v/>
      </c>
      <c r="K1170" t="str">
        <f t="shared" si="72"/>
        <v/>
      </c>
      <c r="L1170" s="4">
        <f t="shared" si="74"/>
        <v>0</v>
      </c>
    </row>
    <row r="1171" spans="1:12" x14ac:dyDescent="0.25">
      <c r="A1171">
        <v>458</v>
      </c>
      <c r="B1171" s="3">
        <v>41943</v>
      </c>
      <c r="C1171" s="4">
        <v>832.5</v>
      </c>
      <c r="E1171">
        <v>458</v>
      </c>
      <c r="F1171" s="3">
        <v>41943</v>
      </c>
      <c r="G1171" t="s">
        <v>185</v>
      </c>
      <c r="H1171" s="18">
        <v>832.5</v>
      </c>
      <c r="J1171" s="20" t="str">
        <f t="shared" si="73"/>
        <v/>
      </c>
      <c r="K1171" t="str">
        <f t="shared" si="72"/>
        <v/>
      </c>
      <c r="L1171" s="4">
        <f t="shared" si="74"/>
        <v>0</v>
      </c>
    </row>
    <row r="1172" spans="1:12" x14ac:dyDescent="0.25">
      <c r="A1172">
        <v>472</v>
      </c>
      <c r="B1172" s="3">
        <v>41943</v>
      </c>
      <c r="C1172" s="4">
        <v>500</v>
      </c>
      <c r="E1172">
        <v>472</v>
      </c>
      <c r="F1172" s="3">
        <v>41943</v>
      </c>
      <c r="G1172" t="s">
        <v>279</v>
      </c>
      <c r="H1172" s="18">
        <v>500</v>
      </c>
      <c r="J1172" s="20" t="str">
        <f t="shared" si="73"/>
        <v/>
      </c>
      <c r="K1172" t="str">
        <f t="shared" si="72"/>
        <v/>
      </c>
      <c r="L1172" s="4">
        <f t="shared" si="74"/>
        <v>0</v>
      </c>
    </row>
    <row r="1173" spans="1:12" x14ac:dyDescent="0.25">
      <c r="A1173">
        <v>474</v>
      </c>
      <c r="B1173" s="3">
        <v>41943</v>
      </c>
      <c r="C1173" s="4">
        <v>934.4</v>
      </c>
      <c r="E1173">
        <v>474</v>
      </c>
      <c r="F1173" s="3">
        <v>41943</v>
      </c>
      <c r="G1173" t="s">
        <v>268</v>
      </c>
      <c r="H1173" s="18">
        <v>934.4</v>
      </c>
      <c r="J1173" s="20" t="str">
        <f t="shared" si="73"/>
        <v/>
      </c>
      <c r="K1173" t="str">
        <f t="shared" si="72"/>
        <v/>
      </c>
      <c r="L1173" s="4">
        <f t="shared" si="74"/>
        <v>0</v>
      </c>
    </row>
    <row r="1174" spans="1:12" x14ac:dyDescent="0.25">
      <c r="A1174">
        <v>475</v>
      </c>
      <c r="B1174" s="3">
        <v>41943</v>
      </c>
      <c r="C1174" s="4">
        <v>925</v>
      </c>
      <c r="E1174">
        <v>475</v>
      </c>
      <c r="F1174" s="3">
        <v>41943</v>
      </c>
      <c r="G1174" t="s">
        <v>120</v>
      </c>
      <c r="H1174" s="18">
        <v>925</v>
      </c>
      <c r="J1174" s="20" t="str">
        <f t="shared" si="73"/>
        <v/>
      </c>
      <c r="K1174" t="str">
        <f t="shared" si="72"/>
        <v/>
      </c>
      <c r="L1174" s="4">
        <f t="shared" si="74"/>
        <v>0</v>
      </c>
    </row>
    <row r="1175" spans="1:12" x14ac:dyDescent="0.25">
      <c r="A1175">
        <v>477</v>
      </c>
      <c r="B1175" s="3">
        <v>41943</v>
      </c>
      <c r="C1175" s="4">
        <v>2000</v>
      </c>
      <c r="E1175">
        <v>477</v>
      </c>
      <c r="F1175" s="3">
        <v>41943</v>
      </c>
      <c r="G1175" t="s">
        <v>284</v>
      </c>
      <c r="H1175" s="18">
        <v>2000</v>
      </c>
      <c r="J1175" s="20" t="str">
        <f t="shared" si="73"/>
        <v/>
      </c>
      <c r="K1175" t="str">
        <f t="shared" si="72"/>
        <v/>
      </c>
      <c r="L1175" s="4">
        <f t="shared" si="74"/>
        <v>0</v>
      </c>
    </row>
    <row r="1176" spans="1:12" x14ac:dyDescent="0.25">
      <c r="A1176">
        <v>534</v>
      </c>
      <c r="B1176" s="3">
        <v>41943</v>
      </c>
      <c r="C1176" s="4">
        <v>350</v>
      </c>
      <c r="E1176">
        <v>534</v>
      </c>
      <c r="F1176" s="3">
        <v>41943</v>
      </c>
      <c r="G1176" t="s">
        <v>285</v>
      </c>
      <c r="H1176" s="18">
        <v>350</v>
      </c>
      <c r="J1176" s="20" t="str">
        <f t="shared" si="73"/>
        <v/>
      </c>
      <c r="K1176" t="str">
        <f t="shared" si="72"/>
        <v/>
      </c>
      <c r="L1176" s="4">
        <f t="shared" si="74"/>
        <v>0</v>
      </c>
    </row>
    <row r="1177" spans="1:12" x14ac:dyDescent="0.25">
      <c r="A1177">
        <v>539</v>
      </c>
      <c r="B1177" s="3">
        <v>41943</v>
      </c>
      <c r="C1177" s="4">
        <v>699.13</v>
      </c>
      <c r="E1177">
        <v>539</v>
      </c>
      <c r="F1177" s="3">
        <v>41943</v>
      </c>
      <c r="G1177" t="s">
        <v>122</v>
      </c>
      <c r="H1177" s="18">
        <v>699.13</v>
      </c>
      <c r="J1177" s="20" t="str">
        <f t="shared" si="73"/>
        <v/>
      </c>
      <c r="K1177" t="str">
        <f t="shared" si="72"/>
        <v/>
      </c>
      <c r="L1177" s="4">
        <f t="shared" si="74"/>
        <v>0</v>
      </c>
    </row>
    <row r="1178" spans="1:12" x14ac:dyDescent="0.25">
      <c r="A1178">
        <v>549</v>
      </c>
      <c r="B1178" s="3">
        <v>41943</v>
      </c>
      <c r="C1178" s="4">
        <v>892.5</v>
      </c>
      <c r="E1178">
        <v>549</v>
      </c>
      <c r="F1178" s="3">
        <v>41943</v>
      </c>
      <c r="G1178" t="s">
        <v>280</v>
      </c>
      <c r="H1178" s="18">
        <v>892.5</v>
      </c>
      <c r="J1178" s="20" t="str">
        <f t="shared" si="73"/>
        <v/>
      </c>
      <c r="K1178" t="str">
        <f t="shared" si="72"/>
        <v/>
      </c>
      <c r="L1178" s="4">
        <f t="shared" si="74"/>
        <v>0</v>
      </c>
    </row>
    <row r="1179" spans="1:12" x14ac:dyDescent="0.25">
      <c r="A1179">
        <v>551</v>
      </c>
      <c r="B1179" s="3">
        <v>41943</v>
      </c>
      <c r="C1179" s="4">
        <v>900</v>
      </c>
      <c r="E1179">
        <v>551</v>
      </c>
      <c r="F1179" s="3">
        <v>41943</v>
      </c>
      <c r="G1179" t="s">
        <v>166</v>
      </c>
      <c r="H1179" s="18">
        <v>900</v>
      </c>
      <c r="J1179" s="20" t="str">
        <f t="shared" si="73"/>
        <v/>
      </c>
      <c r="K1179" t="str">
        <f t="shared" si="72"/>
        <v/>
      </c>
      <c r="L1179" s="4">
        <f t="shared" si="74"/>
        <v>0</v>
      </c>
    </row>
    <row r="1180" spans="1:12" x14ac:dyDescent="0.25">
      <c r="A1180">
        <v>576</v>
      </c>
      <c r="B1180" s="3">
        <v>41943</v>
      </c>
      <c r="C1180" s="4">
        <v>1606.5</v>
      </c>
      <c r="E1180">
        <v>576</v>
      </c>
      <c r="F1180" s="3">
        <v>41943</v>
      </c>
      <c r="G1180" t="s">
        <v>36</v>
      </c>
      <c r="H1180" s="18">
        <v>1606.5</v>
      </c>
      <c r="J1180" s="20" t="str">
        <f t="shared" si="73"/>
        <v/>
      </c>
      <c r="K1180" t="str">
        <f t="shared" si="72"/>
        <v/>
      </c>
      <c r="L1180" s="4">
        <f t="shared" si="74"/>
        <v>0</v>
      </c>
    </row>
    <row r="1181" spans="1:12" x14ac:dyDescent="0.25">
      <c r="A1181">
        <v>580</v>
      </c>
      <c r="B1181" s="3">
        <v>41943</v>
      </c>
      <c r="C1181" s="4">
        <v>500</v>
      </c>
      <c r="E1181">
        <v>580</v>
      </c>
      <c r="F1181" s="3">
        <v>41943</v>
      </c>
      <c r="G1181" t="s">
        <v>37</v>
      </c>
      <c r="H1181" s="18">
        <v>500</v>
      </c>
      <c r="J1181" s="20" t="str">
        <f t="shared" si="73"/>
        <v/>
      </c>
      <c r="K1181" t="str">
        <f t="shared" si="72"/>
        <v/>
      </c>
      <c r="L1181" s="4">
        <f t="shared" si="74"/>
        <v>0</v>
      </c>
    </row>
    <row r="1182" spans="1:12" x14ac:dyDescent="0.25">
      <c r="A1182">
        <v>582</v>
      </c>
      <c r="B1182" s="3">
        <v>41943</v>
      </c>
      <c r="C1182" s="4">
        <v>500</v>
      </c>
      <c r="E1182">
        <v>582</v>
      </c>
      <c r="F1182" s="3">
        <v>41943</v>
      </c>
      <c r="G1182" t="s">
        <v>123</v>
      </c>
      <c r="H1182" s="18">
        <v>500</v>
      </c>
      <c r="J1182" s="20" t="str">
        <f t="shared" si="73"/>
        <v/>
      </c>
      <c r="K1182" t="str">
        <f t="shared" si="72"/>
        <v/>
      </c>
      <c r="L1182" s="4">
        <f t="shared" si="74"/>
        <v>0</v>
      </c>
    </row>
    <row r="1183" spans="1:12" x14ac:dyDescent="0.25">
      <c r="A1183">
        <v>592</v>
      </c>
      <c r="B1183" s="3">
        <v>41943</v>
      </c>
      <c r="C1183" s="4">
        <v>408</v>
      </c>
      <c r="E1183">
        <v>592</v>
      </c>
      <c r="F1183" s="3">
        <v>41943</v>
      </c>
      <c r="G1183" t="s">
        <v>222</v>
      </c>
      <c r="H1183" s="18">
        <v>408</v>
      </c>
      <c r="J1183" s="20" t="str">
        <f t="shared" si="73"/>
        <v/>
      </c>
      <c r="K1183" t="str">
        <f t="shared" si="72"/>
        <v/>
      </c>
      <c r="L1183" s="4">
        <f t="shared" si="74"/>
        <v>0</v>
      </c>
    </row>
    <row r="1184" spans="1:12" x14ac:dyDescent="0.25">
      <c r="A1184">
        <v>612</v>
      </c>
      <c r="B1184" s="3">
        <v>41943</v>
      </c>
      <c r="C1184" s="4">
        <v>382.5</v>
      </c>
      <c r="E1184">
        <v>612</v>
      </c>
      <c r="F1184" s="3">
        <v>41943</v>
      </c>
      <c r="G1184" t="s">
        <v>245</v>
      </c>
      <c r="H1184" s="18">
        <v>382.5</v>
      </c>
      <c r="J1184" s="20" t="str">
        <f t="shared" si="73"/>
        <v/>
      </c>
      <c r="K1184" t="str">
        <f t="shared" si="72"/>
        <v/>
      </c>
      <c r="L1184" s="4">
        <f t="shared" si="74"/>
        <v>0</v>
      </c>
    </row>
    <row r="1185" spans="1:12" x14ac:dyDescent="0.25">
      <c r="A1185">
        <v>626</v>
      </c>
      <c r="B1185" s="3">
        <v>41943</v>
      </c>
      <c r="C1185" s="4">
        <v>945.86</v>
      </c>
      <c r="E1185">
        <v>626</v>
      </c>
      <c r="F1185" s="3">
        <v>41943</v>
      </c>
      <c r="G1185" t="s">
        <v>187</v>
      </c>
      <c r="H1185" s="18">
        <v>945.86</v>
      </c>
      <c r="J1185" s="20" t="str">
        <f t="shared" si="73"/>
        <v/>
      </c>
      <c r="K1185" t="str">
        <f t="shared" si="72"/>
        <v/>
      </c>
      <c r="L1185" s="4">
        <f t="shared" si="74"/>
        <v>0</v>
      </c>
    </row>
    <row r="1186" spans="1:12" x14ac:dyDescent="0.25">
      <c r="A1186">
        <v>629</v>
      </c>
      <c r="B1186" s="3">
        <v>41943</v>
      </c>
      <c r="C1186" s="4">
        <v>1550</v>
      </c>
      <c r="E1186">
        <v>629</v>
      </c>
      <c r="F1186" s="3">
        <v>41943</v>
      </c>
      <c r="G1186" t="s">
        <v>286</v>
      </c>
      <c r="H1186" s="18">
        <v>1550</v>
      </c>
      <c r="J1186" s="20" t="str">
        <f t="shared" si="73"/>
        <v/>
      </c>
      <c r="K1186" t="str">
        <f t="shared" si="72"/>
        <v/>
      </c>
      <c r="L1186" s="4">
        <f t="shared" si="74"/>
        <v>0</v>
      </c>
    </row>
    <row r="1187" spans="1:12" x14ac:dyDescent="0.25">
      <c r="A1187">
        <v>635</v>
      </c>
      <c r="B1187" s="3">
        <v>41943</v>
      </c>
      <c r="C1187" s="4">
        <v>500</v>
      </c>
      <c r="E1187">
        <v>635</v>
      </c>
      <c r="F1187" s="3">
        <v>41943</v>
      </c>
      <c r="G1187" t="s">
        <v>167</v>
      </c>
      <c r="H1187" s="18">
        <v>500</v>
      </c>
      <c r="J1187" s="20" t="str">
        <f t="shared" si="73"/>
        <v/>
      </c>
      <c r="K1187" t="str">
        <f t="shared" si="72"/>
        <v/>
      </c>
      <c r="L1187" s="4">
        <f t="shared" si="74"/>
        <v>0</v>
      </c>
    </row>
    <row r="1188" spans="1:12" x14ac:dyDescent="0.25">
      <c r="A1188">
        <v>648</v>
      </c>
      <c r="B1188" s="3">
        <v>41943</v>
      </c>
      <c r="C1188" s="4">
        <v>550</v>
      </c>
      <c r="E1188">
        <v>648</v>
      </c>
      <c r="F1188" s="3">
        <v>41943</v>
      </c>
      <c r="G1188" t="s">
        <v>42</v>
      </c>
      <c r="H1188" s="18">
        <v>550</v>
      </c>
      <c r="J1188" s="20" t="str">
        <f t="shared" si="73"/>
        <v/>
      </c>
      <c r="K1188" t="str">
        <f t="shared" si="72"/>
        <v/>
      </c>
      <c r="L1188" s="4">
        <f t="shared" si="74"/>
        <v>0</v>
      </c>
    </row>
    <row r="1189" spans="1:12" x14ac:dyDescent="0.25">
      <c r="A1189">
        <v>650</v>
      </c>
      <c r="B1189" s="3">
        <v>41943</v>
      </c>
      <c r="C1189" s="4">
        <v>1377</v>
      </c>
      <c r="E1189">
        <v>650</v>
      </c>
      <c r="F1189" s="3">
        <v>41943</v>
      </c>
      <c r="G1189" t="s">
        <v>283</v>
      </c>
      <c r="H1189" s="18">
        <v>1377</v>
      </c>
      <c r="J1189" s="20" t="str">
        <f t="shared" si="73"/>
        <v/>
      </c>
      <c r="K1189" t="str">
        <f t="shared" si="72"/>
        <v/>
      </c>
      <c r="L1189" s="4">
        <f t="shared" si="74"/>
        <v>0</v>
      </c>
    </row>
    <row r="1190" spans="1:12" x14ac:dyDescent="0.25">
      <c r="A1190">
        <v>656</v>
      </c>
      <c r="B1190" s="3">
        <v>41943</v>
      </c>
      <c r="C1190" s="4">
        <v>535.5</v>
      </c>
      <c r="E1190">
        <v>656</v>
      </c>
      <c r="F1190" s="3">
        <v>41943</v>
      </c>
      <c r="G1190" t="s">
        <v>43</v>
      </c>
      <c r="H1190" s="18">
        <v>535.5</v>
      </c>
      <c r="J1190" s="20" t="str">
        <f t="shared" si="73"/>
        <v/>
      </c>
      <c r="K1190" t="str">
        <f t="shared" si="72"/>
        <v/>
      </c>
      <c r="L1190" s="4">
        <f t="shared" si="74"/>
        <v>0</v>
      </c>
    </row>
    <row r="1191" spans="1:12" x14ac:dyDescent="0.25">
      <c r="A1191">
        <v>657</v>
      </c>
      <c r="B1191" s="3">
        <v>41943</v>
      </c>
      <c r="C1191" s="4">
        <v>975</v>
      </c>
      <c r="E1191">
        <v>657</v>
      </c>
      <c r="F1191" s="3">
        <v>41943</v>
      </c>
      <c r="G1191" t="s">
        <v>131</v>
      </c>
      <c r="H1191" s="18">
        <v>975</v>
      </c>
      <c r="J1191" s="20" t="str">
        <f t="shared" si="73"/>
        <v/>
      </c>
      <c r="K1191" t="str">
        <f t="shared" si="72"/>
        <v/>
      </c>
      <c r="L1191" s="4">
        <f t="shared" si="74"/>
        <v>0</v>
      </c>
    </row>
    <row r="1192" spans="1:12" x14ac:dyDescent="0.25">
      <c r="A1192">
        <v>664</v>
      </c>
      <c r="B1192" s="3">
        <v>41943</v>
      </c>
      <c r="C1192" s="4">
        <v>500</v>
      </c>
      <c r="E1192">
        <v>664</v>
      </c>
      <c r="F1192" s="3">
        <v>41943</v>
      </c>
      <c r="G1192" t="s">
        <v>226</v>
      </c>
      <c r="H1192" s="18">
        <v>500</v>
      </c>
      <c r="J1192" s="20" t="str">
        <f t="shared" si="73"/>
        <v/>
      </c>
      <c r="K1192" t="str">
        <f t="shared" si="72"/>
        <v/>
      </c>
      <c r="L1192" s="4">
        <f t="shared" si="74"/>
        <v>0</v>
      </c>
    </row>
    <row r="1193" spans="1:12" x14ac:dyDescent="0.25">
      <c r="A1193">
        <v>679</v>
      </c>
      <c r="B1193" s="3">
        <v>41943</v>
      </c>
      <c r="C1193" s="4">
        <v>91.8</v>
      </c>
      <c r="E1193">
        <v>679</v>
      </c>
      <c r="F1193" s="3">
        <v>41943</v>
      </c>
      <c r="G1193" t="s">
        <v>169</v>
      </c>
      <c r="H1193" s="18">
        <v>91.8</v>
      </c>
      <c r="J1193" s="20" t="str">
        <f t="shared" si="73"/>
        <v/>
      </c>
      <c r="K1193" t="str">
        <f t="shared" si="72"/>
        <v/>
      </c>
      <c r="L1193" s="4">
        <f t="shared" si="74"/>
        <v>0</v>
      </c>
    </row>
    <row r="1194" spans="1:12" x14ac:dyDescent="0.25">
      <c r="A1194">
        <v>680</v>
      </c>
      <c r="B1194" s="3">
        <v>41943</v>
      </c>
      <c r="C1194" s="4">
        <v>1061</v>
      </c>
      <c r="E1194">
        <v>680</v>
      </c>
      <c r="F1194" s="3">
        <v>41943</v>
      </c>
      <c r="G1194" t="s">
        <v>46</v>
      </c>
      <c r="H1194" s="18">
        <v>1061</v>
      </c>
      <c r="J1194" s="20" t="str">
        <f t="shared" si="73"/>
        <v/>
      </c>
      <c r="K1194" t="str">
        <f t="shared" si="72"/>
        <v/>
      </c>
      <c r="L1194" s="4">
        <f t="shared" si="74"/>
        <v>0</v>
      </c>
    </row>
    <row r="1195" spans="1:12" x14ac:dyDescent="0.25">
      <c r="A1195">
        <v>705</v>
      </c>
      <c r="B1195" s="3">
        <v>41943</v>
      </c>
      <c r="C1195" s="4">
        <v>500</v>
      </c>
      <c r="E1195">
        <v>705</v>
      </c>
      <c r="F1195" s="3">
        <v>41943</v>
      </c>
      <c r="G1195" t="s">
        <v>256</v>
      </c>
      <c r="H1195" s="18">
        <v>500</v>
      </c>
      <c r="J1195" s="20" t="str">
        <f t="shared" si="73"/>
        <v/>
      </c>
      <c r="K1195" t="str">
        <f t="shared" si="72"/>
        <v/>
      </c>
      <c r="L1195" s="4">
        <f t="shared" si="74"/>
        <v>0</v>
      </c>
    </row>
    <row r="1196" spans="1:12" x14ac:dyDescent="0.25">
      <c r="A1196">
        <v>722</v>
      </c>
      <c r="B1196" s="3">
        <v>41943</v>
      </c>
      <c r="C1196" s="4">
        <v>280.5</v>
      </c>
      <c r="E1196">
        <v>722</v>
      </c>
      <c r="F1196" s="3">
        <v>41943</v>
      </c>
      <c r="G1196" t="s">
        <v>135</v>
      </c>
      <c r="H1196" s="18">
        <v>280.5</v>
      </c>
      <c r="J1196" s="20" t="str">
        <f t="shared" si="73"/>
        <v/>
      </c>
      <c r="K1196" t="str">
        <f t="shared" si="72"/>
        <v/>
      </c>
      <c r="L1196" s="4">
        <f t="shared" si="74"/>
        <v>0</v>
      </c>
    </row>
    <row r="1197" spans="1:12" x14ac:dyDescent="0.25">
      <c r="A1197">
        <v>212</v>
      </c>
      <c r="B1197" s="3">
        <v>41946</v>
      </c>
      <c r="C1197" s="4">
        <v>500</v>
      </c>
      <c r="E1197">
        <v>212</v>
      </c>
      <c r="F1197" s="3">
        <v>41946</v>
      </c>
      <c r="G1197" t="s">
        <v>265</v>
      </c>
      <c r="H1197" s="18">
        <v>500</v>
      </c>
      <c r="J1197" s="20" t="str">
        <f t="shared" si="73"/>
        <v/>
      </c>
      <c r="K1197" t="str">
        <f t="shared" si="72"/>
        <v/>
      </c>
      <c r="L1197" s="4">
        <f t="shared" si="74"/>
        <v>0</v>
      </c>
    </row>
    <row r="1198" spans="1:12" x14ac:dyDescent="0.25">
      <c r="A1198">
        <v>389</v>
      </c>
      <c r="B1198" s="3">
        <v>41947</v>
      </c>
      <c r="C1198" s="4">
        <v>3000</v>
      </c>
      <c r="E1198">
        <v>389</v>
      </c>
      <c r="F1198" s="3">
        <v>41947</v>
      </c>
      <c r="G1198" t="s">
        <v>31</v>
      </c>
      <c r="H1198" s="18">
        <v>3000</v>
      </c>
      <c r="J1198" s="20" t="str">
        <f t="shared" si="73"/>
        <v/>
      </c>
      <c r="K1198" t="str">
        <f t="shared" si="72"/>
        <v/>
      </c>
      <c r="L1198" s="4">
        <f t="shared" si="74"/>
        <v>0</v>
      </c>
    </row>
    <row r="1199" spans="1:12" x14ac:dyDescent="0.25">
      <c r="A1199">
        <v>672</v>
      </c>
      <c r="B1199" s="3">
        <v>41947</v>
      </c>
      <c r="C1199" s="4">
        <v>500</v>
      </c>
      <c r="E1199">
        <v>672</v>
      </c>
      <c r="F1199" s="3">
        <v>41947</v>
      </c>
      <c r="G1199" t="s">
        <v>168</v>
      </c>
      <c r="H1199" s="18">
        <v>500</v>
      </c>
      <c r="J1199" s="20" t="str">
        <f t="shared" si="73"/>
        <v/>
      </c>
      <c r="K1199" t="str">
        <f t="shared" si="72"/>
        <v/>
      </c>
      <c r="L1199" s="4">
        <f t="shared" si="74"/>
        <v>0</v>
      </c>
    </row>
    <row r="1200" spans="1:12" x14ac:dyDescent="0.25">
      <c r="A1200">
        <v>715</v>
      </c>
      <c r="B1200" s="3">
        <v>41947</v>
      </c>
      <c r="C1200" s="4">
        <v>836.5</v>
      </c>
      <c r="E1200">
        <v>715</v>
      </c>
      <c r="F1200" s="3">
        <v>41947</v>
      </c>
      <c r="G1200" t="s">
        <v>235</v>
      </c>
      <c r="H1200" s="18">
        <v>836.5</v>
      </c>
      <c r="J1200" s="20" t="str">
        <f t="shared" si="73"/>
        <v/>
      </c>
      <c r="K1200" t="str">
        <f t="shared" si="72"/>
        <v/>
      </c>
      <c r="L1200" s="4">
        <f t="shared" si="74"/>
        <v>0</v>
      </c>
    </row>
    <row r="1201" spans="1:12" x14ac:dyDescent="0.25">
      <c r="A1201">
        <v>27</v>
      </c>
      <c r="B1201" s="3">
        <v>41950</v>
      </c>
      <c r="C1201" s="4">
        <v>2084.86</v>
      </c>
      <c r="E1201">
        <v>27</v>
      </c>
      <c r="F1201" s="3">
        <v>41950</v>
      </c>
      <c r="G1201" t="s">
        <v>159</v>
      </c>
      <c r="H1201" s="18">
        <v>2084.86</v>
      </c>
      <c r="J1201" s="20" t="str">
        <f t="shared" si="73"/>
        <v/>
      </c>
      <c r="K1201" t="str">
        <f t="shared" si="72"/>
        <v/>
      </c>
      <c r="L1201" s="4">
        <f t="shared" si="74"/>
        <v>0</v>
      </c>
    </row>
    <row r="1202" spans="1:12" x14ac:dyDescent="0.25">
      <c r="A1202">
        <v>41</v>
      </c>
      <c r="B1202" s="3">
        <v>41950</v>
      </c>
      <c r="C1202" s="4">
        <v>265.79000000000002</v>
      </c>
      <c r="E1202">
        <v>41</v>
      </c>
      <c r="F1202" s="3">
        <v>41950</v>
      </c>
      <c r="G1202" t="s">
        <v>10</v>
      </c>
      <c r="H1202" s="18">
        <v>265.79000000000002</v>
      </c>
      <c r="J1202" s="20" t="str">
        <f t="shared" si="73"/>
        <v/>
      </c>
      <c r="K1202" t="str">
        <f t="shared" si="72"/>
        <v/>
      </c>
      <c r="L1202" s="4">
        <f t="shared" si="74"/>
        <v>0</v>
      </c>
    </row>
    <row r="1203" spans="1:12" x14ac:dyDescent="0.25">
      <c r="A1203">
        <v>63</v>
      </c>
      <c r="B1203" s="3">
        <v>41950</v>
      </c>
      <c r="C1203" s="4">
        <v>541.5</v>
      </c>
      <c r="E1203">
        <v>63</v>
      </c>
      <c r="F1203" s="3">
        <v>41950</v>
      </c>
      <c r="G1203" t="s">
        <v>181</v>
      </c>
      <c r="H1203" s="18">
        <v>541.5</v>
      </c>
      <c r="J1203" s="20" t="str">
        <f t="shared" si="73"/>
        <v/>
      </c>
      <c r="K1203" t="str">
        <f t="shared" si="72"/>
        <v/>
      </c>
      <c r="L1203" s="4">
        <f t="shared" si="74"/>
        <v>0</v>
      </c>
    </row>
    <row r="1204" spans="1:12" x14ac:dyDescent="0.25">
      <c r="A1204">
        <v>77</v>
      </c>
      <c r="B1204" s="3">
        <v>41950</v>
      </c>
      <c r="C1204" s="4">
        <v>-825</v>
      </c>
      <c r="E1204">
        <v>77</v>
      </c>
      <c r="F1204" s="3">
        <v>41950</v>
      </c>
      <c r="G1204" t="s">
        <v>11</v>
      </c>
      <c r="H1204" s="18">
        <v>-825</v>
      </c>
      <c r="J1204" s="20" t="str">
        <f t="shared" si="73"/>
        <v/>
      </c>
      <c r="K1204" t="str">
        <f t="shared" si="72"/>
        <v/>
      </c>
      <c r="L1204" s="4">
        <f t="shared" si="74"/>
        <v>0</v>
      </c>
    </row>
    <row r="1205" spans="1:12" x14ac:dyDescent="0.25">
      <c r="A1205">
        <v>85</v>
      </c>
      <c r="B1205" s="3">
        <v>41950</v>
      </c>
      <c r="C1205" s="4">
        <v>1530</v>
      </c>
      <c r="E1205">
        <v>85</v>
      </c>
      <c r="F1205" s="3">
        <v>41950</v>
      </c>
      <c r="G1205" t="s">
        <v>79</v>
      </c>
      <c r="H1205" s="18">
        <v>1530</v>
      </c>
      <c r="J1205" s="20" t="str">
        <f t="shared" si="73"/>
        <v/>
      </c>
      <c r="K1205" t="str">
        <f t="shared" si="72"/>
        <v/>
      </c>
      <c r="L1205" s="4">
        <f t="shared" si="74"/>
        <v>0</v>
      </c>
    </row>
    <row r="1206" spans="1:12" x14ac:dyDescent="0.25">
      <c r="A1206">
        <v>133</v>
      </c>
      <c r="B1206" s="3">
        <v>41950</v>
      </c>
      <c r="C1206" s="4">
        <v>765</v>
      </c>
      <c r="E1206">
        <v>133</v>
      </c>
      <c r="F1206" s="3">
        <v>41950</v>
      </c>
      <c r="G1206" t="s">
        <v>87</v>
      </c>
      <c r="H1206" s="18">
        <v>765</v>
      </c>
      <c r="J1206" s="20" t="str">
        <f t="shared" si="73"/>
        <v/>
      </c>
      <c r="K1206" t="str">
        <f t="shared" si="72"/>
        <v/>
      </c>
      <c r="L1206" s="4">
        <f t="shared" si="74"/>
        <v>0</v>
      </c>
    </row>
    <row r="1207" spans="1:12" x14ac:dyDescent="0.25">
      <c r="A1207">
        <v>175</v>
      </c>
      <c r="B1207" s="3">
        <v>41950</v>
      </c>
      <c r="C1207" s="4">
        <v>1203.1300000000001</v>
      </c>
      <c r="E1207">
        <v>175</v>
      </c>
      <c r="F1207" s="3">
        <v>41950</v>
      </c>
      <c r="G1207" t="s">
        <v>275</v>
      </c>
      <c r="H1207" s="18">
        <v>1203.1300000000001</v>
      </c>
      <c r="J1207" s="20" t="str">
        <f t="shared" si="73"/>
        <v/>
      </c>
      <c r="K1207" t="str">
        <f t="shared" si="72"/>
        <v/>
      </c>
      <c r="L1207" s="4">
        <f t="shared" si="74"/>
        <v>0</v>
      </c>
    </row>
    <row r="1208" spans="1:12" x14ac:dyDescent="0.25">
      <c r="A1208">
        <v>191</v>
      </c>
      <c r="B1208" s="3">
        <v>41950</v>
      </c>
      <c r="C1208" s="4">
        <v>906.25</v>
      </c>
      <c r="E1208">
        <v>191</v>
      </c>
      <c r="F1208" s="3">
        <v>41950</v>
      </c>
      <c r="G1208" t="s">
        <v>277</v>
      </c>
      <c r="H1208" s="18">
        <v>906.25</v>
      </c>
      <c r="J1208" s="20" t="str">
        <f t="shared" si="73"/>
        <v/>
      </c>
      <c r="K1208" t="str">
        <f t="shared" si="72"/>
        <v/>
      </c>
      <c r="L1208" s="4">
        <f t="shared" si="74"/>
        <v>0</v>
      </c>
    </row>
    <row r="1209" spans="1:12" x14ac:dyDescent="0.25">
      <c r="A1209">
        <v>211</v>
      </c>
      <c r="B1209" s="3">
        <v>41950</v>
      </c>
      <c r="C1209" s="4">
        <v>-790.5</v>
      </c>
      <c r="E1209">
        <v>211</v>
      </c>
      <c r="F1209" s="3">
        <v>41950</v>
      </c>
      <c r="G1209" t="s">
        <v>96</v>
      </c>
      <c r="H1209" s="18">
        <v>-790.5</v>
      </c>
      <c r="J1209" s="20" t="str">
        <f t="shared" si="73"/>
        <v/>
      </c>
      <c r="K1209" t="str">
        <f t="shared" si="72"/>
        <v/>
      </c>
      <c r="L1209" s="4">
        <f t="shared" si="74"/>
        <v>0</v>
      </c>
    </row>
    <row r="1210" spans="1:12" x14ac:dyDescent="0.25">
      <c r="A1210">
        <v>212</v>
      </c>
      <c r="B1210" s="3">
        <v>41950</v>
      </c>
      <c r="C1210" s="4">
        <v>913.33</v>
      </c>
      <c r="E1210">
        <v>212</v>
      </c>
      <c r="F1210" s="3">
        <v>41950</v>
      </c>
      <c r="G1210" t="s">
        <v>265</v>
      </c>
      <c r="H1210" s="18">
        <v>913.29</v>
      </c>
      <c r="J1210" s="20" t="str">
        <f t="shared" si="73"/>
        <v/>
      </c>
      <c r="K1210" t="str">
        <f t="shared" si="72"/>
        <v/>
      </c>
      <c r="L1210" s="4">
        <f t="shared" si="74"/>
        <v>4.0000000000077307E-2</v>
      </c>
    </row>
    <row r="1211" spans="1:12" x14ac:dyDescent="0.25">
      <c r="A1211">
        <v>250</v>
      </c>
      <c r="B1211" s="3">
        <v>41950</v>
      </c>
      <c r="C1211" s="4">
        <v>637.5</v>
      </c>
      <c r="E1211">
        <v>250</v>
      </c>
      <c r="F1211" s="3">
        <v>41950</v>
      </c>
      <c r="G1211" t="s">
        <v>212</v>
      </c>
      <c r="H1211" s="18">
        <v>637.5</v>
      </c>
      <c r="J1211" s="20" t="str">
        <f t="shared" si="73"/>
        <v/>
      </c>
      <c r="K1211" t="str">
        <f t="shared" si="72"/>
        <v/>
      </c>
      <c r="L1211" s="4">
        <f t="shared" si="74"/>
        <v>0</v>
      </c>
    </row>
    <row r="1212" spans="1:12" x14ac:dyDescent="0.25">
      <c r="A1212">
        <v>261</v>
      </c>
      <c r="B1212" s="3">
        <v>41950</v>
      </c>
      <c r="C1212" s="4">
        <v>3992.25</v>
      </c>
      <c r="E1212">
        <v>261</v>
      </c>
      <c r="F1212" s="3">
        <v>41950</v>
      </c>
      <c r="G1212" t="s">
        <v>22</v>
      </c>
      <c r="H1212" s="18">
        <v>3992.25</v>
      </c>
      <c r="J1212" s="20" t="str">
        <f t="shared" si="73"/>
        <v/>
      </c>
      <c r="K1212" t="str">
        <f t="shared" si="72"/>
        <v/>
      </c>
      <c r="L1212" s="4">
        <f t="shared" si="74"/>
        <v>0</v>
      </c>
    </row>
    <row r="1213" spans="1:12" x14ac:dyDescent="0.25">
      <c r="A1213">
        <v>268</v>
      </c>
      <c r="B1213" s="3">
        <v>41950</v>
      </c>
      <c r="C1213" s="4">
        <v>892.5</v>
      </c>
      <c r="E1213">
        <v>268</v>
      </c>
      <c r="F1213" s="3">
        <v>41950</v>
      </c>
      <c r="G1213" t="s">
        <v>162</v>
      </c>
      <c r="H1213" s="18">
        <v>892.5</v>
      </c>
      <c r="J1213" s="20" t="str">
        <f t="shared" si="73"/>
        <v/>
      </c>
      <c r="K1213" t="str">
        <f t="shared" si="72"/>
        <v/>
      </c>
      <c r="L1213" s="4">
        <f t="shared" si="74"/>
        <v>0</v>
      </c>
    </row>
    <row r="1214" spans="1:12" x14ac:dyDescent="0.25">
      <c r="A1214">
        <v>269</v>
      </c>
      <c r="B1214" s="3">
        <v>41950</v>
      </c>
      <c r="C1214" s="4">
        <v>1000</v>
      </c>
      <c r="E1214">
        <v>269</v>
      </c>
      <c r="F1214" s="3">
        <v>41950</v>
      </c>
      <c r="G1214" t="s">
        <v>254</v>
      </c>
      <c r="H1214" s="18">
        <v>1000</v>
      </c>
      <c r="J1214" s="20" t="str">
        <f t="shared" si="73"/>
        <v/>
      </c>
      <c r="K1214" t="str">
        <f t="shared" si="72"/>
        <v/>
      </c>
      <c r="L1214" s="4">
        <f t="shared" si="74"/>
        <v>0</v>
      </c>
    </row>
    <row r="1215" spans="1:12" x14ac:dyDescent="0.25">
      <c r="A1215">
        <v>326</v>
      </c>
      <c r="B1215" s="3">
        <v>41950</v>
      </c>
      <c r="C1215" s="4">
        <v>350</v>
      </c>
      <c r="E1215">
        <v>326</v>
      </c>
      <c r="F1215" s="3">
        <v>41950</v>
      </c>
      <c r="G1215" t="s">
        <v>25</v>
      </c>
      <c r="H1215" s="18">
        <v>350</v>
      </c>
      <c r="J1215" s="20" t="str">
        <f t="shared" si="73"/>
        <v/>
      </c>
      <c r="K1215" t="str">
        <f t="shared" si="72"/>
        <v/>
      </c>
      <c r="L1215" s="4">
        <f t="shared" si="74"/>
        <v>0</v>
      </c>
    </row>
    <row r="1216" spans="1:12" x14ac:dyDescent="0.25">
      <c r="A1216">
        <v>352</v>
      </c>
      <c r="B1216" s="3">
        <v>41950</v>
      </c>
      <c r="C1216" s="4">
        <v>408</v>
      </c>
      <c r="E1216">
        <v>352</v>
      </c>
      <c r="F1216" s="3">
        <v>41950</v>
      </c>
      <c r="G1216" t="s">
        <v>278</v>
      </c>
      <c r="H1216" s="18">
        <v>408</v>
      </c>
      <c r="J1216" s="20" t="str">
        <f t="shared" si="73"/>
        <v/>
      </c>
      <c r="K1216" t="str">
        <f t="shared" si="72"/>
        <v/>
      </c>
      <c r="L1216" s="4">
        <f t="shared" si="74"/>
        <v>0</v>
      </c>
    </row>
    <row r="1217" spans="1:12" x14ac:dyDescent="0.25">
      <c r="B1217" s="3"/>
      <c r="E1217">
        <v>355</v>
      </c>
      <c r="F1217" s="3">
        <v>41950</v>
      </c>
      <c r="G1217" t="s">
        <v>108</v>
      </c>
      <c r="H1217" s="18">
        <v>0</v>
      </c>
      <c r="J1217" s="20" t="str">
        <f t="shared" ref="J1217:J1280" si="75">IF(E1217=A1217,"","CHECK")</f>
        <v>CHECK</v>
      </c>
      <c r="K1217" t="str">
        <f t="shared" si="72"/>
        <v>CHECK</v>
      </c>
      <c r="L1217" s="4">
        <f t="shared" ref="L1217:L1280" si="76">C1217-H1217</f>
        <v>0</v>
      </c>
    </row>
    <row r="1218" spans="1:12" x14ac:dyDescent="0.25">
      <c r="A1218">
        <v>358</v>
      </c>
      <c r="B1218" s="3">
        <v>41950</v>
      </c>
      <c r="C1218" s="4">
        <v>2832.41</v>
      </c>
      <c r="E1218">
        <v>358</v>
      </c>
      <c r="F1218" s="3">
        <v>41950</v>
      </c>
      <c r="G1218" t="s">
        <v>179</v>
      </c>
      <c r="H1218" s="18">
        <v>2832.41</v>
      </c>
      <c r="J1218" s="20" t="str">
        <f t="shared" si="75"/>
        <v/>
      </c>
      <c r="K1218" t="str">
        <f t="shared" si="72"/>
        <v/>
      </c>
      <c r="L1218" s="4">
        <f t="shared" si="76"/>
        <v>0</v>
      </c>
    </row>
    <row r="1219" spans="1:12" x14ac:dyDescent="0.25">
      <c r="A1219">
        <v>365</v>
      </c>
      <c r="B1219" s="3">
        <v>41950</v>
      </c>
      <c r="C1219" s="4">
        <v>1754.5</v>
      </c>
      <c r="E1219">
        <v>365</v>
      </c>
      <c r="F1219" s="3">
        <v>41950</v>
      </c>
      <c r="G1219" t="s">
        <v>29</v>
      </c>
      <c r="H1219" s="18">
        <v>1754.5</v>
      </c>
      <c r="J1219" s="20" t="str">
        <f t="shared" si="75"/>
        <v/>
      </c>
      <c r="K1219" t="str">
        <f t="shared" ref="K1219:K1282" si="77">IF(F1219=B1219,"","CHECK")</f>
        <v/>
      </c>
      <c r="L1219" s="4">
        <f t="shared" si="76"/>
        <v>0</v>
      </c>
    </row>
    <row r="1220" spans="1:12" x14ac:dyDescent="0.25">
      <c r="A1220">
        <v>382</v>
      </c>
      <c r="B1220" s="3">
        <v>41950</v>
      </c>
      <c r="C1220" s="4">
        <v>300</v>
      </c>
      <c r="E1220">
        <v>382</v>
      </c>
      <c r="F1220" s="3">
        <v>41950</v>
      </c>
      <c r="G1220" t="s">
        <v>164</v>
      </c>
      <c r="H1220" s="18">
        <v>300</v>
      </c>
      <c r="J1220" s="20" t="str">
        <f t="shared" si="75"/>
        <v/>
      </c>
      <c r="K1220" t="str">
        <f t="shared" si="77"/>
        <v/>
      </c>
      <c r="L1220" s="4">
        <f t="shared" si="76"/>
        <v>0</v>
      </c>
    </row>
    <row r="1221" spans="1:12" x14ac:dyDescent="0.25">
      <c r="A1221">
        <v>389</v>
      </c>
      <c r="B1221" s="3">
        <v>41950</v>
      </c>
      <c r="C1221" s="4">
        <v>3021.25</v>
      </c>
      <c r="E1221">
        <v>389</v>
      </c>
      <c r="F1221" s="3">
        <v>41950</v>
      </c>
      <c r="G1221" t="s">
        <v>31</v>
      </c>
      <c r="H1221" s="18">
        <v>3021.25</v>
      </c>
      <c r="J1221" s="20" t="str">
        <f t="shared" si="75"/>
        <v/>
      </c>
      <c r="K1221" t="str">
        <f t="shared" si="77"/>
        <v/>
      </c>
      <c r="L1221" s="4">
        <f t="shared" si="76"/>
        <v>0</v>
      </c>
    </row>
    <row r="1222" spans="1:12" x14ac:dyDescent="0.25">
      <c r="A1222">
        <v>392</v>
      </c>
      <c r="B1222" s="3">
        <v>41950</v>
      </c>
      <c r="C1222" s="4">
        <v>500</v>
      </c>
      <c r="E1222">
        <v>392</v>
      </c>
      <c r="F1222" s="3">
        <v>41950</v>
      </c>
      <c r="G1222" t="s">
        <v>111</v>
      </c>
      <c r="H1222" s="18">
        <v>500</v>
      </c>
      <c r="J1222" s="20" t="str">
        <f t="shared" si="75"/>
        <v/>
      </c>
      <c r="K1222" t="str">
        <f t="shared" si="77"/>
        <v/>
      </c>
      <c r="L1222" s="4">
        <f t="shared" si="76"/>
        <v>0</v>
      </c>
    </row>
    <row r="1223" spans="1:12" x14ac:dyDescent="0.25">
      <c r="A1223">
        <v>410</v>
      </c>
      <c r="B1223" s="3">
        <v>41950</v>
      </c>
      <c r="C1223" s="4">
        <v>840.66</v>
      </c>
      <c r="E1223">
        <v>410</v>
      </c>
      <c r="F1223" s="3">
        <v>41950</v>
      </c>
      <c r="G1223" t="s">
        <v>32</v>
      </c>
      <c r="H1223" s="18">
        <v>458.16</v>
      </c>
      <c r="J1223" s="20" t="str">
        <f t="shared" si="75"/>
        <v/>
      </c>
      <c r="K1223" t="str">
        <f t="shared" si="77"/>
        <v/>
      </c>
      <c r="L1223" s="4">
        <f t="shared" si="76"/>
        <v>382.49999999999994</v>
      </c>
    </row>
    <row r="1224" spans="1:12" x14ac:dyDescent="0.25">
      <c r="A1224">
        <v>422</v>
      </c>
      <c r="B1224" s="3">
        <v>41950</v>
      </c>
      <c r="C1224" s="4">
        <v>816</v>
      </c>
      <c r="E1224">
        <v>422</v>
      </c>
      <c r="F1224" s="3">
        <v>41950</v>
      </c>
      <c r="G1224" t="s">
        <v>165</v>
      </c>
      <c r="H1224" s="18">
        <v>816</v>
      </c>
      <c r="J1224" s="20" t="str">
        <f t="shared" si="75"/>
        <v/>
      </c>
      <c r="K1224" t="str">
        <f t="shared" si="77"/>
        <v/>
      </c>
      <c r="L1224" s="4">
        <f t="shared" si="76"/>
        <v>0</v>
      </c>
    </row>
    <row r="1225" spans="1:12" x14ac:dyDescent="0.25">
      <c r="A1225">
        <v>428</v>
      </c>
      <c r="B1225" s="3">
        <v>41950</v>
      </c>
      <c r="C1225" s="4">
        <v>765</v>
      </c>
      <c r="E1225">
        <v>428</v>
      </c>
      <c r="F1225" s="3">
        <v>41950</v>
      </c>
      <c r="G1225" t="s">
        <v>213</v>
      </c>
      <c r="H1225" s="18">
        <v>765</v>
      </c>
      <c r="J1225" s="20" t="str">
        <f t="shared" si="75"/>
        <v/>
      </c>
      <c r="K1225" t="str">
        <f t="shared" si="77"/>
        <v/>
      </c>
      <c r="L1225" s="4">
        <f t="shared" si="76"/>
        <v>0</v>
      </c>
    </row>
    <row r="1226" spans="1:12" x14ac:dyDescent="0.25">
      <c r="A1226">
        <v>464</v>
      </c>
      <c r="B1226" s="3">
        <v>41950</v>
      </c>
      <c r="C1226" s="4">
        <v>918</v>
      </c>
      <c r="E1226">
        <v>464</v>
      </c>
      <c r="F1226" s="3">
        <v>41950</v>
      </c>
      <c r="G1226" t="s">
        <v>118</v>
      </c>
      <c r="H1226" s="18">
        <v>918</v>
      </c>
      <c r="J1226" s="20" t="str">
        <f t="shared" si="75"/>
        <v/>
      </c>
      <c r="K1226" t="str">
        <f t="shared" si="77"/>
        <v/>
      </c>
      <c r="L1226" s="4">
        <f t="shared" si="76"/>
        <v>0</v>
      </c>
    </row>
    <row r="1227" spans="1:12" x14ac:dyDescent="0.25">
      <c r="A1227">
        <v>472</v>
      </c>
      <c r="B1227" s="3">
        <v>41950</v>
      </c>
      <c r="C1227" s="4">
        <v>500</v>
      </c>
      <c r="E1227">
        <v>472</v>
      </c>
      <c r="F1227" s="3">
        <v>41950</v>
      </c>
      <c r="G1227" t="s">
        <v>279</v>
      </c>
      <c r="H1227" s="18">
        <v>500</v>
      </c>
      <c r="J1227" s="20" t="str">
        <f t="shared" si="75"/>
        <v/>
      </c>
      <c r="K1227" t="str">
        <f t="shared" si="77"/>
        <v/>
      </c>
      <c r="L1227" s="4">
        <f t="shared" si="76"/>
        <v>0</v>
      </c>
    </row>
    <row r="1228" spans="1:12" x14ac:dyDescent="0.25">
      <c r="A1228">
        <v>530</v>
      </c>
      <c r="B1228" s="3">
        <v>41950</v>
      </c>
      <c r="C1228" s="4">
        <v>675</v>
      </c>
      <c r="E1228">
        <v>530</v>
      </c>
      <c r="F1228" s="3">
        <v>41950</v>
      </c>
      <c r="G1228" t="s">
        <v>35</v>
      </c>
      <c r="H1228" s="18">
        <v>675</v>
      </c>
      <c r="J1228" s="20" t="str">
        <f t="shared" si="75"/>
        <v/>
      </c>
      <c r="K1228" t="str">
        <f t="shared" si="77"/>
        <v/>
      </c>
      <c r="L1228" s="4">
        <f t="shared" si="76"/>
        <v>0</v>
      </c>
    </row>
    <row r="1229" spans="1:12" x14ac:dyDescent="0.25">
      <c r="A1229">
        <v>539</v>
      </c>
      <c r="B1229" s="3">
        <v>41950</v>
      </c>
      <c r="C1229" s="4">
        <v>1624.13</v>
      </c>
      <c r="E1229">
        <v>539</v>
      </c>
      <c r="F1229" s="3">
        <v>41950</v>
      </c>
      <c r="G1229" t="s">
        <v>122</v>
      </c>
      <c r="H1229" s="18">
        <v>1624.13</v>
      </c>
      <c r="J1229" s="20" t="str">
        <f t="shared" si="75"/>
        <v/>
      </c>
      <c r="K1229" t="str">
        <f t="shared" si="77"/>
        <v/>
      </c>
      <c r="L1229" s="4">
        <f t="shared" si="76"/>
        <v>0</v>
      </c>
    </row>
    <row r="1230" spans="1:12" x14ac:dyDescent="0.25">
      <c r="A1230">
        <v>549</v>
      </c>
      <c r="B1230" s="3">
        <v>41950</v>
      </c>
      <c r="C1230" s="4">
        <v>918</v>
      </c>
      <c r="E1230">
        <v>549</v>
      </c>
      <c r="F1230" s="3">
        <v>41950</v>
      </c>
      <c r="G1230" t="s">
        <v>280</v>
      </c>
      <c r="H1230" s="18">
        <v>918</v>
      </c>
      <c r="J1230" s="20" t="str">
        <f t="shared" si="75"/>
        <v/>
      </c>
      <c r="K1230" t="str">
        <f t="shared" si="77"/>
        <v/>
      </c>
      <c r="L1230" s="4">
        <f t="shared" si="76"/>
        <v>0</v>
      </c>
    </row>
    <row r="1231" spans="1:12" x14ac:dyDescent="0.25">
      <c r="A1231">
        <v>553</v>
      </c>
      <c r="B1231" s="3">
        <v>41950</v>
      </c>
      <c r="C1231" s="4">
        <v>950</v>
      </c>
      <c r="E1231">
        <v>553</v>
      </c>
      <c r="F1231" s="3">
        <v>41950</v>
      </c>
      <c r="G1231" t="s">
        <v>281</v>
      </c>
      <c r="H1231" s="18">
        <v>950</v>
      </c>
      <c r="J1231" s="20" t="str">
        <f t="shared" si="75"/>
        <v/>
      </c>
      <c r="K1231" t="str">
        <f t="shared" si="77"/>
        <v/>
      </c>
      <c r="L1231" s="4">
        <f t="shared" si="76"/>
        <v>0</v>
      </c>
    </row>
    <row r="1232" spans="1:12" x14ac:dyDescent="0.25">
      <c r="A1232">
        <v>580</v>
      </c>
      <c r="B1232" s="3">
        <v>41950</v>
      </c>
      <c r="C1232" s="4">
        <v>500</v>
      </c>
      <c r="E1232">
        <v>580</v>
      </c>
      <c r="F1232" s="3">
        <v>41950</v>
      </c>
      <c r="G1232" t="s">
        <v>37</v>
      </c>
      <c r="H1232" s="18">
        <v>500</v>
      </c>
      <c r="J1232" s="20" t="str">
        <f t="shared" si="75"/>
        <v/>
      </c>
      <c r="K1232" t="str">
        <f t="shared" si="77"/>
        <v/>
      </c>
      <c r="L1232" s="4">
        <f t="shared" si="76"/>
        <v>0</v>
      </c>
    </row>
    <row r="1233" spans="1:12" x14ac:dyDescent="0.25">
      <c r="A1233">
        <v>582</v>
      </c>
      <c r="B1233" s="3">
        <v>41950</v>
      </c>
      <c r="C1233" s="4">
        <v>500</v>
      </c>
      <c r="E1233">
        <v>582</v>
      </c>
      <c r="F1233" s="3">
        <v>41950</v>
      </c>
      <c r="G1233" t="s">
        <v>123</v>
      </c>
      <c r="H1233" s="18">
        <v>500</v>
      </c>
      <c r="J1233" s="20" t="str">
        <f t="shared" si="75"/>
        <v/>
      </c>
      <c r="K1233" t="str">
        <f t="shared" si="77"/>
        <v/>
      </c>
      <c r="L1233" s="4">
        <f t="shared" si="76"/>
        <v>0</v>
      </c>
    </row>
    <row r="1234" spans="1:12" x14ac:dyDescent="0.25">
      <c r="A1234">
        <v>583</v>
      </c>
      <c r="B1234" s="3">
        <v>41950</v>
      </c>
      <c r="C1234" s="4">
        <v>688.5</v>
      </c>
      <c r="E1234">
        <v>583</v>
      </c>
      <c r="F1234" s="3">
        <v>41950</v>
      </c>
      <c r="G1234" t="s">
        <v>124</v>
      </c>
      <c r="H1234" s="18">
        <v>688.5</v>
      </c>
      <c r="J1234" s="20" t="str">
        <f t="shared" si="75"/>
        <v/>
      </c>
      <c r="K1234" t="str">
        <f t="shared" si="77"/>
        <v/>
      </c>
      <c r="L1234" s="4">
        <f t="shared" si="76"/>
        <v>0</v>
      </c>
    </row>
    <row r="1235" spans="1:12" x14ac:dyDescent="0.25">
      <c r="A1235">
        <v>586</v>
      </c>
      <c r="B1235" s="3">
        <v>41950</v>
      </c>
      <c r="C1235" s="4">
        <v>562.86</v>
      </c>
      <c r="E1235">
        <v>586</v>
      </c>
      <c r="F1235" s="3">
        <v>41950</v>
      </c>
      <c r="G1235" t="s">
        <v>270</v>
      </c>
      <c r="H1235" s="18">
        <v>562.86</v>
      </c>
      <c r="J1235" s="20" t="str">
        <f t="shared" si="75"/>
        <v/>
      </c>
      <c r="K1235" t="str">
        <f t="shared" si="77"/>
        <v/>
      </c>
      <c r="L1235" s="4">
        <f t="shared" si="76"/>
        <v>0</v>
      </c>
    </row>
    <row r="1236" spans="1:12" x14ac:dyDescent="0.25">
      <c r="A1236">
        <v>590</v>
      </c>
      <c r="B1236" s="3">
        <v>41950</v>
      </c>
      <c r="C1236" s="4">
        <v>180.51</v>
      </c>
      <c r="E1236">
        <v>590</v>
      </c>
      <c r="F1236" s="3">
        <v>41950</v>
      </c>
      <c r="G1236" t="s">
        <v>282</v>
      </c>
      <c r="H1236" s="18">
        <v>180.51</v>
      </c>
      <c r="J1236" s="20" t="str">
        <f t="shared" si="75"/>
        <v/>
      </c>
      <c r="K1236" t="str">
        <f t="shared" si="77"/>
        <v/>
      </c>
      <c r="L1236" s="4">
        <f t="shared" si="76"/>
        <v>0</v>
      </c>
    </row>
    <row r="1237" spans="1:12" x14ac:dyDescent="0.25">
      <c r="A1237">
        <v>593</v>
      </c>
      <c r="B1237" s="3">
        <v>41950</v>
      </c>
      <c r="C1237" s="4">
        <v>1147.5</v>
      </c>
      <c r="E1237">
        <v>593</v>
      </c>
      <c r="F1237" s="3">
        <v>41950</v>
      </c>
      <c r="G1237" t="s">
        <v>38</v>
      </c>
      <c r="H1237" s="18">
        <v>1147.5</v>
      </c>
      <c r="J1237" s="20" t="str">
        <f t="shared" si="75"/>
        <v/>
      </c>
      <c r="K1237" t="str">
        <f t="shared" si="77"/>
        <v/>
      </c>
      <c r="L1237" s="4">
        <f t="shared" si="76"/>
        <v>0</v>
      </c>
    </row>
    <row r="1238" spans="1:12" x14ac:dyDescent="0.25">
      <c r="A1238">
        <v>599</v>
      </c>
      <c r="B1238" s="3">
        <v>41950</v>
      </c>
      <c r="C1238" s="4">
        <v>1650</v>
      </c>
      <c r="E1238">
        <v>599</v>
      </c>
      <c r="F1238" s="3">
        <v>41950</v>
      </c>
      <c r="G1238" t="s">
        <v>125</v>
      </c>
      <c r="H1238" s="18">
        <v>1650</v>
      </c>
      <c r="J1238" s="20" t="str">
        <f t="shared" si="75"/>
        <v/>
      </c>
      <c r="K1238" t="str">
        <f t="shared" si="77"/>
        <v/>
      </c>
      <c r="L1238" s="4">
        <f t="shared" si="76"/>
        <v>0</v>
      </c>
    </row>
    <row r="1239" spans="1:12" x14ac:dyDescent="0.25">
      <c r="A1239">
        <v>607</v>
      </c>
      <c r="B1239" s="3">
        <v>41950</v>
      </c>
      <c r="C1239" s="4">
        <v>500</v>
      </c>
      <c r="E1239">
        <v>607</v>
      </c>
      <c r="F1239" s="3">
        <v>41950</v>
      </c>
      <c r="G1239" t="s">
        <v>39</v>
      </c>
      <c r="H1239" s="18">
        <v>500</v>
      </c>
      <c r="J1239" s="20" t="str">
        <f t="shared" si="75"/>
        <v/>
      </c>
      <c r="K1239" t="str">
        <f t="shared" si="77"/>
        <v/>
      </c>
      <c r="L1239" s="4">
        <f t="shared" si="76"/>
        <v>0</v>
      </c>
    </row>
    <row r="1240" spans="1:12" x14ac:dyDescent="0.25">
      <c r="A1240">
        <v>615</v>
      </c>
      <c r="B1240" s="3">
        <v>41950</v>
      </c>
      <c r="C1240" s="4">
        <v>293.20999999999998</v>
      </c>
      <c r="E1240">
        <v>615</v>
      </c>
      <c r="F1240" s="3">
        <v>41950</v>
      </c>
      <c r="G1240" t="s">
        <v>201</v>
      </c>
      <c r="H1240" s="18">
        <v>293.20999999999998</v>
      </c>
      <c r="J1240" s="20" t="str">
        <f t="shared" si="75"/>
        <v/>
      </c>
      <c r="K1240" t="str">
        <f t="shared" si="77"/>
        <v/>
      </c>
      <c r="L1240" s="4">
        <f t="shared" si="76"/>
        <v>0</v>
      </c>
    </row>
    <row r="1241" spans="1:12" x14ac:dyDescent="0.25">
      <c r="A1241">
        <v>621</v>
      </c>
      <c r="B1241" s="3">
        <v>41950</v>
      </c>
      <c r="C1241" s="4">
        <v>459</v>
      </c>
      <c r="E1241">
        <v>621</v>
      </c>
      <c r="F1241" s="3">
        <v>41950</v>
      </c>
      <c r="G1241" t="s">
        <v>224</v>
      </c>
      <c r="H1241" s="18">
        <v>459</v>
      </c>
      <c r="J1241" s="20" t="str">
        <f t="shared" si="75"/>
        <v/>
      </c>
      <c r="K1241" t="str">
        <f t="shared" si="77"/>
        <v/>
      </c>
      <c r="L1241" s="4">
        <f t="shared" si="76"/>
        <v>0</v>
      </c>
    </row>
    <row r="1242" spans="1:12" x14ac:dyDescent="0.25">
      <c r="A1242">
        <v>635</v>
      </c>
      <c r="B1242" s="3">
        <v>41950</v>
      </c>
      <c r="C1242" s="4">
        <v>500</v>
      </c>
      <c r="E1242">
        <v>635</v>
      </c>
      <c r="F1242" s="3">
        <v>41950</v>
      </c>
      <c r="G1242" t="s">
        <v>167</v>
      </c>
      <c r="H1242" s="18">
        <v>500</v>
      </c>
      <c r="J1242" s="20" t="str">
        <f t="shared" si="75"/>
        <v/>
      </c>
      <c r="K1242" t="str">
        <f t="shared" si="77"/>
        <v/>
      </c>
      <c r="L1242" s="4">
        <f t="shared" si="76"/>
        <v>0</v>
      </c>
    </row>
    <row r="1243" spans="1:12" x14ac:dyDescent="0.25">
      <c r="A1243">
        <v>646</v>
      </c>
      <c r="B1243" s="3">
        <v>41950</v>
      </c>
      <c r="C1243" s="4">
        <v>2450</v>
      </c>
      <c r="E1243">
        <v>646</v>
      </c>
      <c r="F1243" s="3">
        <v>41950</v>
      </c>
      <c r="G1243" t="s">
        <v>203</v>
      </c>
      <c r="H1243" s="18">
        <v>2450</v>
      </c>
      <c r="J1243" s="20" t="str">
        <f t="shared" si="75"/>
        <v/>
      </c>
      <c r="K1243" t="str">
        <f t="shared" si="77"/>
        <v/>
      </c>
      <c r="L1243" s="4">
        <f t="shared" si="76"/>
        <v>0</v>
      </c>
    </row>
    <row r="1244" spans="1:12" x14ac:dyDescent="0.25">
      <c r="A1244">
        <v>648</v>
      </c>
      <c r="B1244" s="3">
        <v>41950</v>
      </c>
      <c r="C1244" s="4">
        <v>1300</v>
      </c>
      <c r="E1244">
        <v>648</v>
      </c>
      <c r="F1244" s="3">
        <v>41950</v>
      </c>
      <c r="G1244" t="s">
        <v>42</v>
      </c>
      <c r="H1244" s="18">
        <v>1300</v>
      </c>
      <c r="J1244" s="20" t="str">
        <f t="shared" si="75"/>
        <v/>
      </c>
      <c r="K1244" t="str">
        <f t="shared" si="77"/>
        <v/>
      </c>
      <c r="L1244" s="4">
        <f t="shared" si="76"/>
        <v>0</v>
      </c>
    </row>
    <row r="1245" spans="1:12" x14ac:dyDescent="0.25">
      <c r="A1245">
        <v>650</v>
      </c>
      <c r="B1245" s="3">
        <v>41950</v>
      </c>
      <c r="C1245" s="4">
        <v>1555.5</v>
      </c>
      <c r="E1245">
        <v>650</v>
      </c>
      <c r="F1245" s="3">
        <v>41950</v>
      </c>
      <c r="G1245" t="s">
        <v>283</v>
      </c>
      <c r="H1245" s="18">
        <v>1555.5</v>
      </c>
      <c r="J1245" s="20" t="str">
        <f t="shared" si="75"/>
        <v/>
      </c>
      <c r="K1245" t="str">
        <f t="shared" si="77"/>
        <v/>
      </c>
      <c r="L1245" s="4">
        <f t="shared" si="76"/>
        <v>0</v>
      </c>
    </row>
    <row r="1246" spans="1:12" x14ac:dyDescent="0.25">
      <c r="A1246">
        <v>656</v>
      </c>
      <c r="B1246" s="3">
        <v>41950</v>
      </c>
      <c r="C1246" s="4">
        <v>586.5</v>
      </c>
      <c r="E1246">
        <v>656</v>
      </c>
      <c r="F1246" s="3">
        <v>41950</v>
      </c>
      <c r="G1246" t="s">
        <v>43</v>
      </c>
      <c r="H1246" s="18">
        <v>586.5</v>
      </c>
      <c r="J1246" s="20" t="str">
        <f t="shared" si="75"/>
        <v/>
      </c>
      <c r="K1246" t="str">
        <f t="shared" si="77"/>
        <v/>
      </c>
      <c r="L1246" s="4">
        <f t="shared" si="76"/>
        <v>0</v>
      </c>
    </row>
    <row r="1247" spans="1:12" x14ac:dyDescent="0.25">
      <c r="A1247">
        <v>664</v>
      </c>
      <c r="B1247" s="3">
        <v>41950</v>
      </c>
      <c r="C1247" s="4">
        <v>500</v>
      </c>
      <c r="E1247">
        <v>664</v>
      </c>
      <c r="F1247" s="3">
        <v>41950</v>
      </c>
      <c r="G1247" t="s">
        <v>226</v>
      </c>
      <c r="H1247" s="18">
        <v>500</v>
      </c>
      <c r="J1247" s="20" t="str">
        <f t="shared" si="75"/>
        <v/>
      </c>
      <c r="K1247" t="str">
        <f t="shared" si="77"/>
        <v/>
      </c>
      <c r="L1247" s="4">
        <f t="shared" si="76"/>
        <v>0</v>
      </c>
    </row>
    <row r="1248" spans="1:12" x14ac:dyDescent="0.25">
      <c r="A1248">
        <v>674</v>
      </c>
      <c r="B1248" s="3">
        <v>41950</v>
      </c>
      <c r="C1248" s="4">
        <v>1150</v>
      </c>
      <c r="E1248">
        <v>674</v>
      </c>
      <c r="F1248" s="3">
        <v>41950</v>
      </c>
      <c r="G1248" t="s">
        <v>45</v>
      </c>
      <c r="H1248" s="18">
        <v>1150</v>
      </c>
      <c r="J1248" s="20" t="str">
        <f t="shared" si="75"/>
        <v/>
      </c>
      <c r="K1248" t="str">
        <f t="shared" si="77"/>
        <v/>
      </c>
      <c r="L1248" s="4">
        <f t="shared" si="76"/>
        <v>0</v>
      </c>
    </row>
    <row r="1249" spans="1:12" x14ac:dyDescent="0.25">
      <c r="A1249">
        <v>676</v>
      </c>
      <c r="B1249" s="3">
        <v>41950</v>
      </c>
      <c r="C1249" s="4">
        <v>4182</v>
      </c>
      <c r="E1249">
        <v>676</v>
      </c>
      <c r="F1249" s="3">
        <v>41950</v>
      </c>
      <c r="G1249" t="s">
        <v>246</v>
      </c>
      <c r="H1249" s="18">
        <v>4182</v>
      </c>
      <c r="J1249" s="20" t="str">
        <f t="shared" si="75"/>
        <v/>
      </c>
      <c r="K1249" t="str">
        <f t="shared" si="77"/>
        <v/>
      </c>
      <c r="L1249" s="4">
        <f t="shared" si="76"/>
        <v>0</v>
      </c>
    </row>
    <row r="1250" spans="1:12" x14ac:dyDescent="0.25">
      <c r="A1250">
        <v>685</v>
      </c>
      <c r="B1250" s="3">
        <v>41950</v>
      </c>
      <c r="C1250" s="4">
        <v>408</v>
      </c>
      <c r="E1250">
        <v>685</v>
      </c>
      <c r="F1250" s="3">
        <v>41950</v>
      </c>
      <c r="G1250" t="s">
        <v>204</v>
      </c>
      <c r="H1250" s="18">
        <v>0</v>
      </c>
      <c r="J1250" s="20" t="str">
        <f t="shared" si="75"/>
        <v/>
      </c>
      <c r="K1250" t="str">
        <f t="shared" si="77"/>
        <v/>
      </c>
      <c r="L1250" s="4">
        <f t="shared" si="76"/>
        <v>408</v>
      </c>
    </row>
    <row r="1251" spans="1:12" x14ac:dyDescent="0.25">
      <c r="A1251">
        <v>691</v>
      </c>
      <c r="B1251" s="3">
        <v>41950</v>
      </c>
      <c r="C1251" s="4">
        <v>246.57</v>
      </c>
      <c r="E1251">
        <v>691</v>
      </c>
      <c r="F1251" s="3">
        <v>41950</v>
      </c>
      <c r="G1251" t="s">
        <v>49</v>
      </c>
      <c r="H1251" s="18">
        <v>246.57</v>
      </c>
      <c r="J1251" s="20" t="str">
        <f t="shared" si="75"/>
        <v/>
      </c>
      <c r="K1251" t="str">
        <f t="shared" si="77"/>
        <v/>
      </c>
      <c r="L1251" s="4">
        <f t="shared" si="76"/>
        <v>0</v>
      </c>
    </row>
    <row r="1252" spans="1:12" x14ac:dyDescent="0.25">
      <c r="A1252">
        <v>703</v>
      </c>
      <c r="B1252" s="3">
        <v>41950</v>
      </c>
      <c r="C1252" s="4">
        <v>1147.5</v>
      </c>
      <c r="E1252">
        <v>703</v>
      </c>
      <c r="F1252" s="3">
        <v>41950</v>
      </c>
      <c r="G1252" t="s">
        <v>51</v>
      </c>
      <c r="H1252" s="18">
        <v>1147.5</v>
      </c>
      <c r="J1252" s="20" t="str">
        <f t="shared" si="75"/>
        <v/>
      </c>
      <c r="K1252" t="str">
        <f t="shared" si="77"/>
        <v/>
      </c>
      <c r="L1252" s="4">
        <f t="shared" si="76"/>
        <v>0</v>
      </c>
    </row>
    <row r="1253" spans="1:12" x14ac:dyDescent="0.25">
      <c r="A1253">
        <v>705</v>
      </c>
      <c r="B1253" s="3">
        <v>41950</v>
      </c>
      <c r="C1253" s="4">
        <v>500</v>
      </c>
      <c r="E1253">
        <v>705</v>
      </c>
      <c r="F1253" s="3">
        <v>41950</v>
      </c>
      <c r="G1253" t="s">
        <v>256</v>
      </c>
      <c r="H1253" s="18">
        <v>500</v>
      </c>
      <c r="J1253" s="20" t="str">
        <f t="shared" si="75"/>
        <v/>
      </c>
      <c r="K1253" t="str">
        <f t="shared" si="77"/>
        <v/>
      </c>
      <c r="L1253" s="4">
        <f t="shared" si="76"/>
        <v>0</v>
      </c>
    </row>
    <row r="1254" spans="1:12" x14ac:dyDescent="0.25">
      <c r="A1254">
        <v>708</v>
      </c>
      <c r="B1254" s="3">
        <v>41950</v>
      </c>
      <c r="C1254" s="4">
        <v>255</v>
      </c>
      <c r="E1254">
        <v>708</v>
      </c>
      <c r="F1254" s="3">
        <v>41950</v>
      </c>
      <c r="G1254" t="s">
        <v>206</v>
      </c>
      <c r="H1254" s="18">
        <v>255</v>
      </c>
      <c r="J1254" s="20" t="str">
        <f t="shared" si="75"/>
        <v/>
      </c>
      <c r="K1254" t="str">
        <f t="shared" si="77"/>
        <v/>
      </c>
      <c r="L1254" s="4">
        <f t="shared" si="76"/>
        <v>0</v>
      </c>
    </row>
    <row r="1255" spans="1:12" x14ac:dyDescent="0.25">
      <c r="A1255">
        <v>711</v>
      </c>
      <c r="B1255" s="3">
        <v>41950</v>
      </c>
      <c r="C1255" s="4">
        <v>1375</v>
      </c>
      <c r="E1255">
        <v>711</v>
      </c>
      <c r="F1255" s="3">
        <v>41950</v>
      </c>
      <c r="G1255" t="s">
        <v>190</v>
      </c>
      <c r="H1255" s="18">
        <v>1375</v>
      </c>
      <c r="J1255" s="20" t="str">
        <f t="shared" si="75"/>
        <v/>
      </c>
      <c r="K1255" t="str">
        <f t="shared" si="77"/>
        <v/>
      </c>
      <c r="L1255" s="4">
        <f t="shared" si="76"/>
        <v>0</v>
      </c>
    </row>
    <row r="1256" spans="1:12" x14ac:dyDescent="0.25">
      <c r="A1256">
        <v>715</v>
      </c>
      <c r="B1256" s="3">
        <v>41950</v>
      </c>
      <c r="C1256" s="4">
        <v>561</v>
      </c>
      <c r="E1256">
        <v>715</v>
      </c>
      <c r="F1256" s="3">
        <v>41950</v>
      </c>
      <c r="G1256" t="s">
        <v>235</v>
      </c>
      <c r="H1256" s="18">
        <v>561</v>
      </c>
      <c r="J1256" s="20" t="str">
        <f t="shared" si="75"/>
        <v/>
      </c>
      <c r="K1256" t="str">
        <f t="shared" si="77"/>
        <v/>
      </c>
      <c r="L1256" s="4">
        <f t="shared" si="76"/>
        <v>0</v>
      </c>
    </row>
    <row r="1257" spans="1:12" x14ac:dyDescent="0.25">
      <c r="A1257">
        <v>716</v>
      </c>
      <c r="B1257" s="3">
        <v>41950</v>
      </c>
      <c r="C1257" s="4">
        <v>330</v>
      </c>
      <c r="E1257">
        <v>716</v>
      </c>
      <c r="F1257" s="3">
        <v>41950</v>
      </c>
      <c r="G1257" t="s">
        <v>271</v>
      </c>
      <c r="H1257" s="18">
        <v>330</v>
      </c>
      <c r="J1257" s="20" t="str">
        <f t="shared" si="75"/>
        <v/>
      </c>
      <c r="K1257" t="str">
        <f t="shared" si="77"/>
        <v/>
      </c>
      <c r="L1257" s="4">
        <f t="shared" si="76"/>
        <v>0</v>
      </c>
    </row>
    <row r="1258" spans="1:12" x14ac:dyDescent="0.25">
      <c r="A1258">
        <v>722</v>
      </c>
      <c r="B1258" s="3">
        <v>41950</v>
      </c>
      <c r="C1258" s="4">
        <v>408</v>
      </c>
      <c r="E1258">
        <v>722</v>
      </c>
      <c r="F1258" s="3">
        <v>41950</v>
      </c>
      <c r="G1258" t="s">
        <v>135</v>
      </c>
      <c r="H1258" s="18">
        <v>408</v>
      </c>
      <c r="J1258" s="20" t="str">
        <f t="shared" si="75"/>
        <v/>
      </c>
      <c r="K1258" t="str">
        <f t="shared" si="77"/>
        <v/>
      </c>
      <c r="L1258" s="4">
        <f t="shared" si="76"/>
        <v>0</v>
      </c>
    </row>
    <row r="1259" spans="1:12" x14ac:dyDescent="0.25">
      <c r="A1259">
        <v>726</v>
      </c>
      <c r="B1259" s="3">
        <v>41950</v>
      </c>
      <c r="C1259" s="4">
        <v>561</v>
      </c>
      <c r="E1259">
        <v>726</v>
      </c>
      <c r="F1259" s="3">
        <v>41950</v>
      </c>
      <c r="G1259" t="s">
        <v>53</v>
      </c>
      <c r="H1259" s="18">
        <v>561</v>
      </c>
      <c r="J1259" s="20" t="str">
        <f t="shared" si="75"/>
        <v/>
      </c>
      <c r="K1259" t="str">
        <f t="shared" si="77"/>
        <v/>
      </c>
      <c r="L1259" s="4">
        <f t="shared" si="76"/>
        <v>0</v>
      </c>
    </row>
    <row r="1260" spans="1:12" x14ac:dyDescent="0.25">
      <c r="A1260">
        <v>771</v>
      </c>
      <c r="B1260" s="3">
        <v>41950</v>
      </c>
      <c r="C1260" s="4">
        <v>330</v>
      </c>
      <c r="E1260">
        <v>771</v>
      </c>
      <c r="F1260" s="3">
        <v>41950</v>
      </c>
      <c r="G1260" t="s">
        <v>57</v>
      </c>
      <c r="H1260" s="18">
        <v>330</v>
      </c>
      <c r="J1260" s="20" t="str">
        <f t="shared" si="75"/>
        <v/>
      </c>
      <c r="K1260" t="str">
        <f t="shared" si="77"/>
        <v/>
      </c>
      <c r="L1260" s="4">
        <f t="shared" si="76"/>
        <v>0</v>
      </c>
    </row>
    <row r="1261" spans="1:12" x14ac:dyDescent="0.25">
      <c r="A1261">
        <v>616</v>
      </c>
      <c r="B1261" s="3">
        <v>41951</v>
      </c>
      <c r="C1261" s="4">
        <v>408</v>
      </c>
      <c r="E1261">
        <v>616</v>
      </c>
      <c r="F1261" s="3">
        <v>41951</v>
      </c>
      <c r="G1261" t="s">
        <v>40</v>
      </c>
      <c r="H1261" s="18">
        <v>408</v>
      </c>
      <c r="J1261" s="20" t="str">
        <f t="shared" si="75"/>
        <v/>
      </c>
      <c r="K1261" t="str">
        <f t="shared" si="77"/>
        <v/>
      </c>
      <c r="L1261" s="4">
        <f t="shared" si="76"/>
        <v>0</v>
      </c>
    </row>
    <row r="1262" spans="1:12" x14ac:dyDescent="0.25">
      <c r="A1262">
        <v>175</v>
      </c>
      <c r="B1262" s="3">
        <v>41953</v>
      </c>
      <c r="C1262" s="4">
        <v>412.5</v>
      </c>
      <c r="E1262">
        <v>175</v>
      </c>
      <c r="F1262" s="3">
        <v>41953</v>
      </c>
      <c r="G1262" t="s">
        <v>275</v>
      </c>
      <c r="H1262" s="18">
        <v>412.5</v>
      </c>
      <c r="J1262" s="20" t="str">
        <f t="shared" si="75"/>
        <v/>
      </c>
      <c r="K1262" t="str">
        <f t="shared" si="77"/>
        <v/>
      </c>
      <c r="L1262" s="4">
        <f t="shared" si="76"/>
        <v>0</v>
      </c>
    </row>
    <row r="1263" spans="1:12" x14ac:dyDescent="0.25">
      <c r="A1263">
        <v>383</v>
      </c>
      <c r="B1263" s="3">
        <v>41953</v>
      </c>
      <c r="C1263" s="4">
        <v>1200</v>
      </c>
      <c r="E1263">
        <v>383</v>
      </c>
      <c r="F1263" s="3">
        <v>41953</v>
      </c>
      <c r="G1263" t="s">
        <v>220</v>
      </c>
      <c r="H1263" s="18">
        <v>1200</v>
      </c>
      <c r="J1263" s="20" t="str">
        <f t="shared" si="75"/>
        <v/>
      </c>
      <c r="K1263" t="str">
        <f t="shared" si="77"/>
        <v/>
      </c>
      <c r="L1263" s="4">
        <f t="shared" si="76"/>
        <v>0</v>
      </c>
    </row>
    <row r="1264" spans="1:12" x14ac:dyDescent="0.25">
      <c r="A1264">
        <v>648</v>
      </c>
      <c r="B1264" s="3">
        <v>41953</v>
      </c>
      <c r="C1264" s="4">
        <v>330</v>
      </c>
      <c r="E1264">
        <v>648</v>
      </c>
      <c r="F1264" s="3">
        <v>41953</v>
      </c>
      <c r="G1264" t="s">
        <v>42</v>
      </c>
      <c r="H1264" s="18">
        <v>330</v>
      </c>
      <c r="J1264" s="20" t="str">
        <f t="shared" si="75"/>
        <v/>
      </c>
      <c r="K1264" t="str">
        <f t="shared" si="77"/>
        <v/>
      </c>
      <c r="L1264" s="4">
        <f t="shared" si="76"/>
        <v>0</v>
      </c>
    </row>
    <row r="1265" spans="1:12" x14ac:dyDescent="0.25">
      <c r="A1265">
        <v>788</v>
      </c>
      <c r="B1265" s="3">
        <v>41953</v>
      </c>
      <c r="C1265" s="4">
        <v>1100</v>
      </c>
      <c r="E1265">
        <v>788</v>
      </c>
      <c r="F1265" s="3">
        <v>41953</v>
      </c>
      <c r="G1265" t="s">
        <v>276</v>
      </c>
      <c r="H1265" s="18">
        <v>1100</v>
      </c>
      <c r="J1265" s="20" t="str">
        <f t="shared" si="75"/>
        <v/>
      </c>
      <c r="K1265" t="str">
        <f t="shared" si="77"/>
        <v/>
      </c>
      <c r="L1265" s="4">
        <f t="shared" si="76"/>
        <v>0</v>
      </c>
    </row>
    <row r="1266" spans="1:12" x14ac:dyDescent="0.25">
      <c r="A1266">
        <v>343</v>
      </c>
      <c r="B1266" s="3">
        <v>41955</v>
      </c>
      <c r="C1266" s="4">
        <v>612</v>
      </c>
      <c r="E1266">
        <v>343</v>
      </c>
      <c r="F1266" s="3">
        <v>41955</v>
      </c>
      <c r="G1266" t="s">
        <v>28</v>
      </c>
      <c r="H1266" s="18">
        <v>612</v>
      </c>
      <c r="J1266" s="20" t="str">
        <f t="shared" si="75"/>
        <v/>
      </c>
      <c r="K1266" t="str">
        <f t="shared" si="77"/>
        <v/>
      </c>
      <c r="L1266" s="4">
        <f t="shared" si="76"/>
        <v>0</v>
      </c>
    </row>
    <row r="1267" spans="1:12" x14ac:dyDescent="0.25">
      <c r="A1267">
        <v>672</v>
      </c>
      <c r="B1267" s="3">
        <v>41955</v>
      </c>
      <c r="C1267" s="4">
        <v>500</v>
      </c>
      <c r="E1267">
        <v>672</v>
      </c>
      <c r="F1267" s="3">
        <v>41955</v>
      </c>
      <c r="G1267" t="s">
        <v>168</v>
      </c>
      <c r="H1267" s="18">
        <v>500</v>
      </c>
      <c r="J1267" s="20" t="str">
        <f t="shared" si="75"/>
        <v/>
      </c>
      <c r="K1267" t="str">
        <f t="shared" si="77"/>
        <v/>
      </c>
      <c r="L1267" s="4">
        <f t="shared" si="76"/>
        <v>0</v>
      </c>
    </row>
    <row r="1268" spans="1:12" x14ac:dyDescent="0.25">
      <c r="A1268">
        <v>782</v>
      </c>
      <c r="B1268" s="3">
        <v>41955</v>
      </c>
      <c r="C1268" s="4">
        <v>1000</v>
      </c>
      <c r="E1268">
        <v>782</v>
      </c>
      <c r="F1268" s="3">
        <v>41955</v>
      </c>
      <c r="G1268" t="s">
        <v>173</v>
      </c>
      <c r="H1268" s="18">
        <v>1000</v>
      </c>
      <c r="J1268" s="20" t="str">
        <f t="shared" si="75"/>
        <v/>
      </c>
      <c r="K1268" t="str">
        <f t="shared" si="77"/>
        <v/>
      </c>
      <c r="L1268" s="4">
        <f t="shared" si="76"/>
        <v>0</v>
      </c>
    </row>
    <row r="1269" spans="1:12" x14ac:dyDescent="0.25">
      <c r="A1269">
        <v>27</v>
      </c>
      <c r="B1269" s="3">
        <v>41957</v>
      </c>
      <c r="C1269" s="4">
        <v>252</v>
      </c>
      <c r="E1269">
        <v>27</v>
      </c>
      <c r="F1269" s="3">
        <v>41957</v>
      </c>
      <c r="G1269" t="s">
        <v>159</v>
      </c>
      <c r="H1269" s="18">
        <v>252</v>
      </c>
      <c r="J1269" s="20" t="str">
        <f t="shared" si="75"/>
        <v/>
      </c>
      <c r="K1269" t="str">
        <f t="shared" si="77"/>
        <v/>
      </c>
      <c r="L1269" s="4">
        <f t="shared" si="76"/>
        <v>0</v>
      </c>
    </row>
    <row r="1270" spans="1:12" x14ac:dyDescent="0.25">
      <c r="A1270">
        <v>28</v>
      </c>
      <c r="B1270" s="3">
        <v>41957</v>
      </c>
      <c r="C1270" s="4">
        <v>1077</v>
      </c>
      <c r="E1270">
        <v>28</v>
      </c>
      <c r="F1270" s="3">
        <v>41957</v>
      </c>
      <c r="G1270" t="s">
        <v>6</v>
      </c>
      <c r="H1270" s="18">
        <v>1077</v>
      </c>
      <c r="J1270" s="20" t="str">
        <f t="shared" si="75"/>
        <v/>
      </c>
      <c r="K1270" t="str">
        <f t="shared" si="77"/>
        <v/>
      </c>
      <c r="L1270" s="4">
        <f t="shared" si="76"/>
        <v>0</v>
      </c>
    </row>
    <row r="1271" spans="1:12" x14ac:dyDescent="0.25">
      <c r="A1271">
        <v>37</v>
      </c>
      <c r="B1271" s="3">
        <v>41957</v>
      </c>
      <c r="C1271" s="4">
        <v>150</v>
      </c>
      <c r="E1271">
        <v>37</v>
      </c>
      <c r="F1271" s="3">
        <v>41957</v>
      </c>
      <c r="G1271" t="s">
        <v>77</v>
      </c>
      <c r="H1271" s="18">
        <v>150</v>
      </c>
      <c r="J1271" s="20" t="str">
        <f t="shared" si="75"/>
        <v/>
      </c>
      <c r="K1271" t="str">
        <f t="shared" si="77"/>
        <v/>
      </c>
      <c r="L1271" s="4">
        <f t="shared" si="76"/>
        <v>0</v>
      </c>
    </row>
    <row r="1272" spans="1:12" x14ac:dyDescent="0.25">
      <c r="A1272">
        <v>41</v>
      </c>
      <c r="B1272" s="3">
        <v>41957</v>
      </c>
      <c r="C1272" s="4">
        <v>5303.14</v>
      </c>
      <c r="E1272">
        <v>41</v>
      </c>
      <c r="F1272" s="3">
        <v>41957</v>
      </c>
      <c r="G1272" t="s">
        <v>10</v>
      </c>
      <c r="H1272" s="18">
        <v>5303.14</v>
      </c>
      <c r="J1272" s="20" t="str">
        <f t="shared" si="75"/>
        <v/>
      </c>
      <c r="K1272" t="str">
        <f t="shared" si="77"/>
        <v/>
      </c>
      <c r="L1272" s="4">
        <f t="shared" si="76"/>
        <v>0</v>
      </c>
    </row>
    <row r="1273" spans="1:12" x14ac:dyDescent="0.25">
      <c r="A1273">
        <v>63</v>
      </c>
      <c r="B1273" s="3">
        <v>41957</v>
      </c>
      <c r="C1273" s="4">
        <v>1466.55</v>
      </c>
      <c r="E1273">
        <v>63</v>
      </c>
      <c r="F1273" s="3">
        <v>41957</v>
      </c>
      <c r="G1273" t="s">
        <v>181</v>
      </c>
      <c r="H1273" s="18">
        <v>1466.55</v>
      </c>
      <c r="J1273" s="20" t="str">
        <f t="shared" si="75"/>
        <v/>
      </c>
      <c r="K1273" t="str">
        <f t="shared" si="77"/>
        <v/>
      </c>
      <c r="L1273" s="4">
        <f t="shared" si="76"/>
        <v>0</v>
      </c>
    </row>
    <row r="1274" spans="1:12" x14ac:dyDescent="0.25">
      <c r="A1274">
        <v>85</v>
      </c>
      <c r="B1274" s="3">
        <v>41957</v>
      </c>
      <c r="C1274" s="4">
        <v>765</v>
      </c>
      <c r="E1274">
        <v>85</v>
      </c>
      <c r="F1274" s="3">
        <v>41957</v>
      </c>
      <c r="G1274" t="s">
        <v>79</v>
      </c>
      <c r="H1274" s="18">
        <v>765</v>
      </c>
      <c r="J1274" s="20" t="str">
        <f t="shared" si="75"/>
        <v/>
      </c>
      <c r="K1274" t="str">
        <f t="shared" si="77"/>
        <v/>
      </c>
      <c r="L1274" s="4">
        <f t="shared" si="76"/>
        <v>0</v>
      </c>
    </row>
    <row r="1275" spans="1:12" x14ac:dyDescent="0.25">
      <c r="A1275">
        <v>94</v>
      </c>
      <c r="B1275" s="3">
        <v>41957</v>
      </c>
      <c r="C1275" s="4">
        <v>1100</v>
      </c>
      <c r="E1275">
        <v>94</v>
      </c>
      <c r="F1275" s="3">
        <v>41957</v>
      </c>
      <c r="G1275" t="s">
        <v>182</v>
      </c>
      <c r="H1275" s="18">
        <v>1100</v>
      </c>
      <c r="J1275" s="20" t="str">
        <f t="shared" si="75"/>
        <v/>
      </c>
      <c r="K1275" t="str">
        <f t="shared" si="77"/>
        <v/>
      </c>
      <c r="L1275" s="4">
        <f t="shared" si="76"/>
        <v>0</v>
      </c>
    </row>
    <row r="1276" spans="1:12" x14ac:dyDescent="0.25">
      <c r="A1276">
        <v>104</v>
      </c>
      <c r="B1276" s="3">
        <v>41957</v>
      </c>
      <c r="C1276" s="4">
        <v>528</v>
      </c>
      <c r="E1276">
        <v>104</v>
      </c>
      <c r="F1276" s="3">
        <v>41957</v>
      </c>
      <c r="G1276" t="s">
        <v>210</v>
      </c>
      <c r="H1276" s="18">
        <v>528</v>
      </c>
      <c r="J1276" s="20" t="str">
        <f t="shared" si="75"/>
        <v/>
      </c>
      <c r="K1276" t="str">
        <f t="shared" si="77"/>
        <v/>
      </c>
      <c r="L1276" s="4">
        <f t="shared" si="76"/>
        <v>0</v>
      </c>
    </row>
    <row r="1277" spans="1:12" x14ac:dyDescent="0.25">
      <c r="A1277">
        <v>133</v>
      </c>
      <c r="B1277" s="3">
        <v>41957</v>
      </c>
      <c r="C1277" s="4">
        <v>1331.25</v>
      </c>
      <c r="E1277">
        <v>133</v>
      </c>
      <c r="F1277" s="3">
        <v>41957</v>
      </c>
      <c r="G1277" t="s">
        <v>87</v>
      </c>
      <c r="H1277" s="18">
        <v>1331.25</v>
      </c>
      <c r="J1277" s="20" t="str">
        <f t="shared" si="75"/>
        <v/>
      </c>
      <c r="K1277" t="str">
        <f t="shared" si="77"/>
        <v/>
      </c>
      <c r="L1277" s="4">
        <f t="shared" si="76"/>
        <v>0</v>
      </c>
    </row>
    <row r="1278" spans="1:12" x14ac:dyDescent="0.25">
      <c r="A1278">
        <v>139</v>
      </c>
      <c r="B1278" s="3">
        <v>41957</v>
      </c>
      <c r="C1278" s="4">
        <v>-3263</v>
      </c>
      <c r="E1278">
        <v>139</v>
      </c>
      <c r="F1278" s="3">
        <v>41957</v>
      </c>
      <c r="G1278" t="s">
        <v>263</v>
      </c>
      <c r="H1278" s="18">
        <v>-5288</v>
      </c>
      <c r="J1278" s="20" t="str">
        <f t="shared" si="75"/>
        <v/>
      </c>
      <c r="K1278" t="str">
        <f t="shared" si="77"/>
        <v/>
      </c>
      <c r="L1278" s="4">
        <f t="shared" si="76"/>
        <v>2025</v>
      </c>
    </row>
    <row r="1279" spans="1:12" x14ac:dyDescent="0.25">
      <c r="A1279">
        <v>149</v>
      </c>
      <c r="B1279" s="3">
        <v>41957</v>
      </c>
      <c r="C1279" s="4">
        <v>751</v>
      </c>
      <c r="E1279">
        <v>149</v>
      </c>
      <c r="F1279" s="3">
        <v>41957</v>
      </c>
      <c r="G1279" t="s">
        <v>241</v>
      </c>
      <c r="H1279" s="18">
        <v>751</v>
      </c>
      <c r="J1279" s="20" t="str">
        <f t="shared" si="75"/>
        <v/>
      </c>
      <c r="K1279" t="str">
        <f t="shared" si="77"/>
        <v/>
      </c>
      <c r="L1279" s="4">
        <f t="shared" si="76"/>
        <v>0</v>
      </c>
    </row>
    <row r="1280" spans="1:12" x14ac:dyDescent="0.25">
      <c r="A1280">
        <v>183</v>
      </c>
      <c r="B1280" s="3">
        <v>41957</v>
      </c>
      <c r="C1280" s="4">
        <v>106</v>
      </c>
      <c r="E1280">
        <v>183</v>
      </c>
      <c r="F1280" s="3">
        <v>41957</v>
      </c>
      <c r="G1280" t="s">
        <v>264</v>
      </c>
      <c r="H1280" s="18">
        <v>106</v>
      </c>
      <c r="J1280" s="20" t="str">
        <f t="shared" si="75"/>
        <v/>
      </c>
      <c r="K1280" t="str">
        <f t="shared" si="77"/>
        <v/>
      </c>
      <c r="L1280" s="4">
        <f t="shared" si="76"/>
        <v>0</v>
      </c>
    </row>
    <row r="1281" spans="1:12" x14ac:dyDescent="0.25">
      <c r="A1281">
        <v>184</v>
      </c>
      <c r="B1281" s="3">
        <v>41957</v>
      </c>
      <c r="C1281" s="4">
        <v>714</v>
      </c>
      <c r="E1281">
        <v>184</v>
      </c>
      <c r="F1281" s="3">
        <v>41957</v>
      </c>
      <c r="G1281" t="s">
        <v>217</v>
      </c>
      <c r="H1281" s="18">
        <v>714</v>
      </c>
      <c r="J1281" s="20" t="str">
        <f t="shared" ref="J1281:J1344" si="78">IF(E1281=A1281,"","CHECK")</f>
        <v/>
      </c>
      <c r="K1281" t="str">
        <f t="shared" si="77"/>
        <v/>
      </c>
      <c r="L1281" s="4">
        <f t="shared" ref="L1281:L1344" si="79">C1281-H1281</f>
        <v>0</v>
      </c>
    </row>
    <row r="1282" spans="1:12" x14ac:dyDescent="0.25">
      <c r="A1282">
        <v>202</v>
      </c>
      <c r="B1282" s="3">
        <v>41957</v>
      </c>
      <c r="C1282" s="4">
        <v>981.25</v>
      </c>
      <c r="E1282">
        <v>202</v>
      </c>
      <c r="F1282" s="3">
        <v>41957</v>
      </c>
      <c r="G1282" t="s">
        <v>237</v>
      </c>
      <c r="H1282" s="18">
        <v>981.25</v>
      </c>
      <c r="J1282" s="20" t="str">
        <f t="shared" si="78"/>
        <v/>
      </c>
      <c r="K1282" t="str">
        <f t="shared" si="77"/>
        <v/>
      </c>
      <c r="L1282" s="4">
        <f t="shared" si="79"/>
        <v>0</v>
      </c>
    </row>
    <row r="1283" spans="1:12" x14ac:dyDescent="0.25">
      <c r="A1283">
        <v>211</v>
      </c>
      <c r="B1283" s="3">
        <v>41957</v>
      </c>
      <c r="C1283" s="4">
        <v>1419.5</v>
      </c>
      <c r="E1283">
        <v>211</v>
      </c>
      <c r="F1283" s="3">
        <v>41957</v>
      </c>
      <c r="G1283" t="s">
        <v>96</v>
      </c>
      <c r="H1283" s="18">
        <v>1419.5</v>
      </c>
      <c r="J1283" s="20" t="str">
        <f t="shared" si="78"/>
        <v/>
      </c>
      <c r="K1283" t="str">
        <f t="shared" ref="K1283:K1346" si="80">IF(F1283=B1283,"","CHECK")</f>
        <v/>
      </c>
      <c r="L1283" s="4">
        <f t="shared" si="79"/>
        <v>0</v>
      </c>
    </row>
    <row r="1284" spans="1:12" x14ac:dyDescent="0.25">
      <c r="A1284">
        <v>212</v>
      </c>
      <c r="B1284" s="3">
        <v>41957</v>
      </c>
      <c r="C1284" s="4">
        <v>981.43</v>
      </c>
      <c r="E1284">
        <v>212</v>
      </c>
      <c r="F1284" s="3">
        <v>41957</v>
      </c>
      <c r="G1284" t="s">
        <v>265</v>
      </c>
      <c r="H1284" s="18">
        <v>981.43</v>
      </c>
      <c r="J1284" s="20" t="str">
        <f t="shared" si="78"/>
        <v/>
      </c>
      <c r="K1284" t="str">
        <f t="shared" si="80"/>
        <v/>
      </c>
      <c r="L1284" s="4">
        <f t="shared" si="79"/>
        <v>0</v>
      </c>
    </row>
    <row r="1285" spans="1:12" x14ac:dyDescent="0.25">
      <c r="A1285">
        <v>218</v>
      </c>
      <c r="B1285" s="3">
        <v>41957</v>
      </c>
      <c r="C1285" s="4">
        <v>500</v>
      </c>
      <c r="E1285">
        <v>218</v>
      </c>
      <c r="F1285" s="3">
        <v>41957</v>
      </c>
      <c r="G1285" t="s">
        <v>233</v>
      </c>
      <c r="H1285" s="18">
        <v>500</v>
      </c>
      <c r="J1285" s="20" t="str">
        <f t="shared" si="78"/>
        <v/>
      </c>
      <c r="K1285" t="str">
        <f t="shared" si="80"/>
        <v/>
      </c>
      <c r="L1285" s="4">
        <f t="shared" si="79"/>
        <v>0</v>
      </c>
    </row>
    <row r="1286" spans="1:12" x14ac:dyDescent="0.25">
      <c r="A1286">
        <v>248</v>
      </c>
      <c r="B1286" s="3">
        <v>41957</v>
      </c>
      <c r="C1286" s="4">
        <v>1377</v>
      </c>
      <c r="E1286">
        <v>248</v>
      </c>
      <c r="F1286" s="3">
        <v>41957</v>
      </c>
      <c r="G1286" t="s">
        <v>19</v>
      </c>
      <c r="H1286" s="18">
        <v>1377</v>
      </c>
      <c r="J1286" s="20" t="str">
        <f t="shared" si="78"/>
        <v/>
      </c>
      <c r="K1286" t="str">
        <f t="shared" si="80"/>
        <v/>
      </c>
      <c r="L1286" s="4">
        <f t="shared" si="79"/>
        <v>0</v>
      </c>
    </row>
    <row r="1287" spans="1:12" x14ac:dyDescent="0.25">
      <c r="A1287">
        <v>261</v>
      </c>
      <c r="B1287" s="3">
        <v>41957</v>
      </c>
      <c r="C1287" s="4">
        <v>882</v>
      </c>
      <c r="E1287">
        <v>261</v>
      </c>
      <c r="F1287" s="3">
        <v>41957</v>
      </c>
      <c r="G1287" t="s">
        <v>22</v>
      </c>
      <c r="H1287" s="18">
        <v>1774.5</v>
      </c>
      <c r="J1287" s="20" t="str">
        <f t="shared" si="78"/>
        <v/>
      </c>
      <c r="K1287" t="str">
        <f t="shared" si="80"/>
        <v/>
      </c>
      <c r="L1287" s="4">
        <f t="shared" si="79"/>
        <v>-892.5</v>
      </c>
    </row>
    <row r="1288" spans="1:12" x14ac:dyDescent="0.25">
      <c r="A1288">
        <v>268</v>
      </c>
      <c r="B1288" s="3">
        <v>41957</v>
      </c>
      <c r="C1288" s="4">
        <v>1071</v>
      </c>
      <c r="E1288">
        <v>268</v>
      </c>
      <c r="F1288" s="3">
        <v>41957</v>
      </c>
      <c r="G1288" t="s">
        <v>162</v>
      </c>
      <c r="H1288" s="18">
        <v>1071</v>
      </c>
      <c r="J1288" s="20" t="str">
        <f t="shared" si="78"/>
        <v/>
      </c>
      <c r="K1288" t="str">
        <f t="shared" si="80"/>
        <v/>
      </c>
      <c r="L1288" s="4">
        <f t="shared" si="79"/>
        <v>0</v>
      </c>
    </row>
    <row r="1289" spans="1:12" x14ac:dyDescent="0.25">
      <c r="A1289">
        <v>269</v>
      </c>
      <c r="B1289" s="3">
        <v>41957</v>
      </c>
      <c r="C1289" s="4">
        <v>1000</v>
      </c>
      <c r="E1289">
        <v>269</v>
      </c>
      <c r="F1289" s="3">
        <v>41957</v>
      </c>
      <c r="G1289" t="s">
        <v>254</v>
      </c>
      <c r="H1289" s="18">
        <v>1000</v>
      </c>
      <c r="J1289" s="20" t="str">
        <f t="shared" si="78"/>
        <v/>
      </c>
      <c r="K1289" t="str">
        <f t="shared" si="80"/>
        <v/>
      </c>
      <c r="L1289" s="4">
        <f t="shared" si="79"/>
        <v>0</v>
      </c>
    </row>
    <row r="1290" spans="1:12" x14ac:dyDescent="0.25">
      <c r="A1290">
        <v>282</v>
      </c>
      <c r="B1290" s="3">
        <v>41957</v>
      </c>
      <c r="C1290" s="4">
        <v>375</v>
      </c>
      <c r="E1290">
        <v>282</v>
      </c>
      <c r="F1290" s="3">
        <v>41957</v>
      </c>
      <c r="G1290" t="s">
        <v>23</v>
      </c>
      <c r="H1290" s="18">
        <v>375</v>
      </c>
      <c r="J1290" s="20" t="str">
        <f t="shared" si="78"/>
        <v/>
      </c>
      <c r="K1290" t="str">
        <f t="shared" si="80"/>
        <v/>
      </c>
      <c r="L1290" s="4">
        <f t="shared" si="79"/>
        <v>0</v>
      </c>
    </row>
    <row r="1291" spans="1:12" x14ac:dyDescent="0.25">
      <c r="A1291">
        <v>286</v>
      </c>
      <c r="B1291" s="3">
        <v>41957</v>
      </c>
      <c r="C1291" s="4">
        <v>306</v>
      </c>
      <c r="E1291">
        <v>286</v>
      </c>
      <c r="F1291" s="3">
        <v>41957</v>
      </c>
      <c r="G1291" t="s">
        <v>266</v>
      </c>
      <c r="H1291" s="18">
        <v>918</v>
      </c>
      <c r="J1291" s="20" t="str">
        <f t="shared" si="78"/>
        <v/>
      </c>
      <c r="K1291" t="str">
        <f t="shared" si="80"/>
        <v/>
      </c>
      <c r="L1291" s="4">
        <f t="shared" si="79"/>
        <v>-612</v>
      </c>
    </row>
    <row r="1292" spans="1:12" x14ac:dyDescent="0.25">
      <c r="A1292">
        <v>295</v>
      </c>
      <c r="B1292" s="3">
        <v>41957</v>
      </c>
      <c r="C1292" s="4">
        <v>375</v>
      </c>
      <c r="E1292">
        <v>295</v>
      </c>
      <c r="F1292" s="3">
        <v>41957</v>
      </c>
      <c r="G1292" t="s">
        <v>103</v>
      </c>
      <c r="H1292" s="18">
        <v>375</v>
      </c>
      <c r="J1292" s="20" t="str">
        <f t="shared" si="78"/>
        <v/>
      </c>
      <c r="K1292" t="str">
        <f t="shared" si="80"/>
        <v/>
      </c>
      <c r="L1292" s="4">
        <f t="shared" si="79"/>
        <v>0</v>
      </c>
    </row>
    <row r="1293" spans="1:12" x14ac:dyDescent="0.25">
      <c r="A1293">
        <v>302</v>
      </c>
      <c r="B1293" s="3">
        <v>41957</v>
      </c>
      <c r="C1293" s="4">
        <v>501.14</v>
      </c>
      <c r="E1293">
        <v>302</v>
      </c>
      <c r="F1293" s="3">
        <v>41957</v>
      </c>
      <c r="G1293" t="s">
        <v>104</v>
      </c>
      <c r="H1293" s="18">
        <v>501.14</v>
      </c>
      <c r="J1293" s="20" t="str">
        <f t="shared" si="78"/>
        <v/>
      </c>
      <c r="K1293" t="str">
        <f t="shared" si="80"/>
        <v/>
      </c>
      <c r="L1293" s="4">
        <f t="shared" si="79"/>
        <v>0</v>
      </c>
    </row>
    <row r="1294" spans="1:12" x14ac:dyDescent="0.25">
      <c r="A1294">
        <v>321</v>
      </c>
      <c r="B1294" s="3">
        <v>41957</v>
      </c>
      <c r="C1294" s="4">
        <v>317.05</v>
      </c>
      <c r="E1294">
        <v>321</v>
      </c>
      <c r="F1294" s="3">
        <v>41957</v>
      </c>
      <c r="G1294" t="s">
        <v>105</v>
      </c>
      <c r="H1294" s="18">
        <v>317.05</v>
      </c>
      <c r="J1294" s="20" t="str">
        <f t="shared" si="78"/>
        <v/>
      </c>
      <c r="K1294" t="str">
        <f t="shared" si="80"/>
        <v/>
      </c>
      <c r="L1294" s="4">
        <f t="shared" si="79"/>
        <v>0</v>
      </c>
    </row>
    <row r="1295" spans="1:12" x14ac:dyDescent="0.25">
      <c r="A1295">
        <v>322</v>
      </c>
      <c r="B1295" s="3">
        <v>41957</v>
      </c>
      <c r="C1295" s="4">
        <v>441.5</v>
      </c>
      <c r="E1295">
        <v>322</v>
      </c>
      <c r="F1295" s="3">
        <v>41957</v>
      </c>
      <c r="G1295" t="s">
        <v>198</v>
      </c>
      <c r="H1295" s="18">
        <v>441.5</v>
      </c>
      <c r="J1295" s="20" t="str">
        <f t="shared" si="78"/>
        <v/>
      </c>
      <c r="K1295" t="str">
        <f t="shared" si="80"/>
        <v/>
      </c>
      <c r="L1295" s="4">
        <f t="shared" si="79"/>
        <v>0</v>
      </c>
    </row>
    <row r="1296" spans="1:12" x14ac:dyDescent="0.25">
      <c r="A1296">
        <v>326</v>
      </c>
      <c r="B1296" s="3">
        <v>41957</v>
      </c>
      <c r="C1296" s="4">
        <v>850</v>
      </c>
      <c r="E1296">
        <v>326</v>
      </c>
      <c r="F1296" s="3">
        <v>41957</v>
      </c>
      <c r="G1296" t="s">
        <v>25</v>
      </c>
      <c r="H1296" s="18">
        <v>850</v>
      </c>
      <c r="J1296" s="20" t="str">
        <f t="shared" si="78"/>
        <v/>
      </c>
      <c r="K1296" t="str">
        <f t="shared" si="80"/>
        <v/>
      </c>
      <c r="L1296" s="4">
        <f t="shared" si="79"/>
        <v>0</v>
      </c>
    </row>
    <row r="1297" spans="1:12" x14ac:dyDescent="0.25">
      <c r="A1297">
        <v>329</v>
      </c>
      <c r="B1297" s="3">
        <v>41957</v>
      </c>
      <c r="C1297" s="4">
        <v>2450</v>
      </c>
      <c r="E1297">
        <v>329</v>
      </c>
      <c r="F1297" s="3">
        <v>41957</v>
      </c>
      <c r="G1297" t="s">
        <v>199</v>
      </c>
      <c r="H1297" s="18">
        <v>2450</v>
      </c>
      <c r="J1297" s="20" t="str">
        <f t="shared" si="78"/>
        <v/>
      </c>
      <c r="K1297" t="str">
        <f t="shared" si="80"/>
        <v/>
      </c>
      <c r="L1297" s="4">
        <f t="shared" si="79"/>
        <v>0</v>
      </c>
    </row>
    <row r="1298" spans="1:12" x14ac:dyDescent="0.25">
      <c r="A1298">
        <v>334</v>
      </c>
      <c r="B1298" s="3">
        <v>41957</v>
      </c>
      <c r="C1298" s="4">
        <v>580.79</v>
      </c>
      <c r="E1298">
        <v>334</v>
      </c>
      <c r="F1298" s="3">
        <v>41957</v>
      </c>
      <c r="G1298" t="s">
        <v>267</v>
      </c>
      <c r="H1298" s="18">
        <v>1161.58</v>
      </c>
      <c r="J1298" s="20" t="str">
        <f t="shared" si="78"/>
        <v/>
      </c>
      <c r="K1298" t="str">
        <f t="shared" si="80"/>
        <v/>
      </c>
      <c r="L1298" s="4">
        <f t="shared" si="79"/>
        <v>-580.79</v>
      </c>
    </row>
    <row r="1299" spans="1:12" x14ac:dyDescent="0.25">
      <c r="A1299">
        <v>365</v>
      </c>
      <c r="B1299" s="3">
        <v>41957</v>
      </c>
      <c r="C1299" s="4">
        <v>150</v>
      </c>
      <c r="E1299">
        <v>365</v>
      </c>
      <c r="F1299" s="3">
        <v>41957</v>
      </c>
      <c r="G1299" t="s">
        <v>29</v>
      </c>
      <c r="H1299" s="18">
        <v>150</v>
      </c>
      <c r="J1299" s="20" t="str">
        <f t="shared" si="78"/>
        <v/>
      </c>
      <c r="K1299" t="str">
        <f t="shared" si="80"/>
        <v/>
      </c>
      <c r="L1299" s="4">
        <f t="shared" si="79"/>
        <v>0</v>
      </c>
    </row>
    <row r="1300" spans="1:12" x14ac:dyDescent="0.25">
      <c r="A1300">
        <v>382</v>
      </c>
      <c r="B1300" s="3">
        <v>41957</v>
      </c>
      <c r="C1300" s="4">
        <v>800</v>
      </c>
      <c r="E1300">
        <v>382</v>
      </c>
      <c r="F1300" s="3">
        <v>41957</v>
      </c>
      <c r="G1300" t="s">
        <v>164</v>
      </c>
      <c r="H1300" s="18">
        <v>800</v>
      </c>
      <c r="J1300" s="20" t="str">
        <f t="shared" si="78"/>
        <v/>
      </c>
      <c r="K1300" t="str">
        <f t="shared" si="80"/>
        <v/>
      </c>
      <c r="L1300" s="4">
        <f t="shared" si="79"/>
        <v>0</v>
      </c>
    </row>
    <row r="1301" spans="1:12" x14ac:dyDescent="0.25">
      <c r="A1301">
        <v>389</v>
      </c>
      <c r="B1301" s="3">
        <v>41957</v>
      </c>
      <c r="C1301" s="4">
        <v>4100</v>
      </c>
      <c r="E1301">
        <v>389</v>
      </c>
      <c r="F1301" s="3">
        <v>41957</v>
      </c>
      <c r="G1301" t="s">
        <v>31</v>
      </c>
      <c r="H1301" s="18">
        <v>4100</v>
      </c>
      <c r="J1301" s="20" t="str">
        <f t="shared" si="78"/>
        <v/>
      </c>
      <c r="K1301" t="str">
        <f t="shared" si="80"/>
        <v/>
      </c>
      <c r="L1301" s="4">
        <f t="shared" si="79"/>
        <v>0</v>
      </c>
    </row>
    <row r="1302" spans="1:12" x14ac:dyDescent="0.25">
      <c r="A1302">
        <v>410</v>
      </c>
      <c r="B1302" s="3">
        <v>41957</v>
      </c>
      <c r="C1302" s="4">
        <v>1738.92</v>
      </c>
      <c r="E1302">
        <v>410</v>
      </c>
      <c r="F1302" s="3">
        <v>41957</v>
      </c>
      <c r="G1302" t="s">
        <v>32</v>
      </c>
      <c r="H1302" s="18">
        <v>1738.92</v>
      </c>
      <c r="J1302" s="20" t="str">
        <f t="shared" si="78"/>
        <v/>
      </c>
      <c r="K1302" t="str">
        <f t="shared" si="80"/>
        <v/>
      </c>
      <c r="L1302" s="4">
        <f t="shared" si="79"/>
        <v>0</v>
      </c>
    </row>
    <row r="1303" spans="1:12" x14ac:dyDescent="0.25">
      <c r="A1303">
        <v>422</v>
      </c>
      <c r="B1303" s="3">
        <v>41957</v>
      </c>
      <c r="C1303" s="4">
        <v>500</v>
      </c>
      <c r="E1303">
        <v>422</v>
      </c>
      <c r="F1303" s="3">
        <v>41957</v>
      </c>
      <c r="G1303" t="s">
        <v>165</v>
      </c>
      <c r="H1303" s="18">
        <v>500</v>
      </c>
      <c r="J1303" s="20" t="str">
        <f t="shared" si="78"/>
        <v/>
      </c>
      <c r="K1303" t="str">
        <f t="shared" si="80"/>
        <v/>
      </c>
      <c r="L1303" s="4">
        <f t="shared" si="79"/>
        <v>0</v>
      </c>
    </row>
    <row r="1304" spans="1:12" x14ac:dyDescent="0.25">
      <c r="A1304">
        <v>430</v>
      </c>
      <c r="B1304" s="3">
        <v>41957</v>
      </c>
      <c r="C1304" s="4">
        <v>573.20000000000005</v>
      </c>
      <c r="E1304">
        <v>430</v>
      </c>
      <c r="F1304" s="3">
        <v>41957</v>
      </c>
      <c r="G1304" t="s">
        <v>114</v>
      </c>
      <c r="H1304" s="18">
        <v>573.20000000000005</v>
      </c>
      <c r="J1304" s="20" t="str">
        <f t="shared" si="78"/>
        <v/>
      </c>
      <c r="K1304" t="str">
        <f t="shared" si="80"/>
        <v/>
      </c>
      <c r="L1304" s="4">
        <f t="shared" si="79"/>
        <v>0</v>
      </c>
    </row>
    <row r="1305" spans="1:12" x14ac:dyDescent="0.25">
      <c r="A1305">
        <v>474</v>
      </c>
      <c r="B1305" s="3">
        <v>41957</v>
      </c>
      <c r="C1305" s="4">
        <v>306</v>
      </c>
      <c r="E1305">
        <v>474</v>
      </c>
      <c r="F1305" s="3">
        <v>41957</v>
      </c>
      <c r="G1305" t="s">
        <v>268</v>
      </c>
      <c r="H1305" s="18">
        <v>306</v>
      </c>
      <c r="J1305" s="20" t="str">
        <f t="shared" si="78"/>
        <v/>
      </c>
      <c r="K1305" t="str">
        <f t="shared" si="80"/>
        <v/>
      </c>
      <c r="L1305" s="4">
        <f t="shared" si="79"/>
        <v>0</v>
      </c>
    </row>
    <row r="1306" spans="1:12" x14ac:dyDescent="0.25">
      <c r="A1306">
        <v>493</v>
      </c>
      <c r="B1306" s="3">
        <v>41957</v>
      </c>
      <c r="C1306" s="4">
        <v>525</v>
      </c>
      <c r="E1306">
        <v>493</v>
      </c>
      <c r="F1306" s="3">
        <v>41957</v>
      </c>
      <c r="G1306" t="s">
        <v>269</v>
      </c>
      <c r="H1306" s="18">
        <v>525</v>
      </c>
      <c r="J1306" s="20" t="str">
        <f t="shared" si="78"/>
        <v/>
      </c>
      <c r="K1306" t="str">
        <f t="shared" si="80"/>
        <v/>
      </c>
      <c r="L1306" s="4">
        <f t="shared" si="79"/>
        <v>0</v>
      </c>
    </row>
    <row r="1307" spans="1:12" x14ac:dyDescent="0.25">
      <c r="A1307">
        <v>530</v>
      </c>
      <c r="B1307" s="3">
        <v>41957</v>
      </c>
      <c r="C1307" s="4">
        <v>1050</v>
      </c>
      <c r="E1307">
        <v>530</v>
      </c>
      <c r="F1307" s="3">
        <v>41957</v>
      </c>
      <c r="G1307" t="s">
        <v>35</v>
      </c>
      <c r="H1307" s="18">
        <v>1050</v>
      </c>
      <c r="J1307" s="20" t="str">
        <f t="shared" si="78"/>
        <v/>
      </c>
      <c r="K1307" t="str">
        <f t="shared" si="80"/>
        <v/>
      </c>
      <c r="L1307" s="4">
        <f t="shared" si="79"/>
        <v>0</v>
      </c>
    </row>
    <row r="1308" spans="1:12" x14ac:dyDescent="0.25">
      <c r="A1308">
        <v>580</v>
      </c>
      <c r="B1308" s="3">
        <v>41957</v>
      </c>
      <c r="C1308" s="4">
        <v>750</v>
      </c>
      <c r="E1308">
        <v>580</v>
      </c>
      <c r="F1308" s="3">
        <v>41957</v>
      </c>
      <c r="G1308" t="s">
        <v>37</v>
      </c>
      <c r="H1308" s="18">
        <v>750</v>
      </c>
      <c r="J1308" s="20" t="str">
        <f t="shared" si="78"/>
        <v/>
      </c>
      <c r="K1308" t="str">
        <f t="shared" si="80"/>
        <v/>
      </c>
      <c r="L1308" s="4">
        <f t="shared" si="79"/>
        <v>0</v>
      </c>
    </row>
    <row r="1309" spans="1:12" x14ac:dyDescent="0.25">
      <c r="A1309">
        <v>583</v>
      </c>
      <c r="B1309" s="3">
        <v>41957</v>
      </c>
      <c r="C1309" s="4">
        <v>500</v>
      </c>
      <c r="E1309">
        <v>583</v>
      </c>
      <c r="F1309" s="3">
        <v>41957</v>
      </c>
      <c r="G1309" t="s">
        <v>124</v>
      </c>
      <c r="H1309" s="18">
        <v>500</v>
      </c>
      <c r="J1309" s="20" t="str">
        <f t="shared" si="78"/>
        <v/>
      </c>
      <c r="K1309" t="str">
        <f t="shared" si="80"/>
        <v/>
      </c>
      <c r="L1309" s="4">
        <f t="shared" si="79"/>
        <v>0</v>
      </c>
    </row>
    <row r="1310" spans="1:12" x14ac:dyDescent="0.25">
      <c r="A1310">
        <v>586</v>
      </c>
      <c r="B1310" s="3">
        <v>41957</v>
      </c>
      <c r="C1310" s="4">
        <v>898.18</v>
      </c>
      <c r="E1310">
        <v>586</v>
      </c>
      <c r="F1310" s="3">
        <v>41957</v>
      </c>
      <c r="G1310" t="s">
        <v>270</v>
      </c>
      <c r="H1310" s="18">
        <v>898.18</v>
      </c>
      <c r="J1310" s="20" t="str">
        <f t="shared" si="78"/>
        <v/>
      </c>
      <c r="K1310" t="str">
        <f t="shared" si="80"/>
        <v/>
      </c>
      <c r="L1310" s="4">
        <f t="shared" si="79"/>
        <v>0</v>
      </c>
    </row>
    <row r="1311" spans="1:12" x14ac:dyDescent="0.25">
      <c r="A1311">
        <v>593</v>
      </c>
      <c r="B1311" s="3">
        <v>41957</v>
      </c>
      <c r="C1311" s="4">
        <v>765</v>
      </c>
      <c r="E1311">
        <v>593</v>
      </c>
      <c r="F1311" s="3">
        <v>41957</v>
      </c>
      <c r="G1311" t="s">
        <v>38</v>
      </c>
      <c r="H1311" s="18">
        <v>765</v>
      </c>
      <c r="J1311" s="20" t="str">
        <f t="shared" si="78"/>
        <v/>
      </c>
      <c r="K1311" t="str">
        <f t="shared" si="80"/>
        <v/>
      </c>
      <c r="L1311" s="4">
        <f t="shared" si="79"/>
        <v>0</v>
      </c>
    </row>
    <row r="1312" spans="1:12" x14ac:dyDescent="0.25">
      <c r="A1312">
        <v>599</v>
      </c>
      <c r="B1312" s="3">
        <v>41957</v>
      </c>
      <c r="C1312" s="4">
        <v>1700</v>
      </c>
      <c r="E1312">
        <v>599</v>
      </c>
      <c r="F1312" s="3">
        <v>41957</v>
      </c>
      <c r="G1312" t="s">
        <v>125</v>
      </c>
      <c r="H1312" s="18">
        <v>1700</v>
      </c>
      <c r="J1312" s="20" t="str">
        <f t="shared" si="78"/>
        <v/>
      </c>
      <c r="K1312" t="str">
        <f t="shared" si="80"/>
        <v/>
      </c>
      <c r="L1312" s="4">
        <f t="shared" si="79"/>
        <v>0</v>
      </c>
    </row>
    <row r="1313" spans="1:12" x14ac:dyDescent="0.25">
      <c r="A1313">
        <v>606</v>
      </c>
      <c r="B1313" s="3">
        <v>41957</v>
      </c>
      <c r="C1313" s="4">
        <v>586.5</v>
      </c>
      <c r="E1313">
        <v>606</v>
      </c>
      <c r="F1313" s="3">
        <v>41957</v>
      </c>
      <c r="G1313" t="s">
        <v>128</v>
      </c>
      <c r="H1313" s="18">
        <v>586.5</v>
      </c>
      <c r="J1313" s="20" t="str">
        <f t="shared" si="78"/>
        <v/>
      </c>
      <c r="K1313" t="str">
        <f t="shared" si="80"/>
        <v/>
      </c>
      <c r="L1313" s="4">
        <f t="shared" si="79"/>
        <v>0</v>
      </c>
    </row>
    <row r="1314" spans="1:12" x14ac:dyDescent="0.25">
      <c r="A1314">
        <v>626</v>
      </c>
      <c r="B1314" s="3">
        <v>41957</v>
      </c>
      <c r="C1314" s="4">
        <v>878.91</v>
      </c>
      <c r="E1314">
        <v>626</v>
      </c>
      <c r="F1314" s="3">
        <v>41957</v>
      </c>
      <c r="G1314" t="s">
        <v>187</v>
      </c>
      <c r="H1314" s="18">
        <v>1516.41</v>
      </c>
      <c r="J1314" s="20" t="str">
        <f t="shared" si="78"/>
        <v/>
      </c>
      <c r="K1314" t="str">
        <f t="shared" si="80"/>
        <v/>
      </c>
      <c r="L1314" s="4">
        <f t="shared" si="79"/>
        <v>-637.50000000000011</v>
      </c>
    </row>
    <row r="1315" spans="1:12" x14ac:dyDescent="0.25">
      <c r="A1315">
        <v>631</v>
      </c>
      <c r="B1315" s="3">
        <v>41957</v>
      </c>
      <c r="C1315" s="4">
        <v>288.04000000000002</v>
      </c>
      <c r="E1315">
        <v>631</v>
      </c>
      <c r="F1315" s="3">
        <v>41957</v>
      </c>
      <c r="G1315" t="s">
        <v>202</v>
      </c>
      <c r="H1315" s="18">
        <v>288.04000000000002</v>
      </c>
      <c r="J1315" s="20" t="str">
        <f t="shared" si="78"/>
        <v/>
      </c>
      <c r="K1315" t="str">
        <f t="shared" si="80"/>
        <v/>
      </c>
      <c r="L1315" s="4">
        <f t="shared" si="79"/>
        <v>0</v>
      </c>
    </row>
    <row r="1316" spans="1:12" x14ac:dyDescent="0.25">
      <c r="A1316">
        <v>646</v>
      </c>
      <c r="B1316" s="3">
        <v>41957</v>
      </c>
      <c r="C1316" s="4">
        <v>850</v>
      </c>
      <c r="E1316">
        <v>646</v>
      </c>
      <c r="F1316" s="3">
        <v>41957</v>
      </c>
      <c r="G1316" t="s">
        <v>203</v>
      </c>
      <c r="H1316" s="18">
        <v>850</v>
      </c>
      <c r="J1316" s="20" t="str">
        <f t="shared" si="78"/>
        <v/>
      </c>
      <c r="K1316" t="str">
        <f t="shared" si="80"/>
        <v/>
      </c>
      <c r="L1316" s="4">
        <f t="shared" si="79"/>
        <v>0</v>
      </c>
    </row>
    <row r="1317" spans="1:12" x14ac:dyDescent="0.25">
      <c r="A1317">
        <v>648</v>
      </c>
      <c r="B1317" s="3">
        <v>41957</v>
      </c>
      <c r="C1317" s="4">
        <v>2400</v>
      </c>
      <c r="E1317">
        <v>648</v>
      </c>
      <c r="F1317" s="3">
        <v>41957</v>
      </c>
      <c r="G1317" t="s">
        <v>42</v>
      </c>
      <c r="H1317" s="18">
        <v>2400</v>
      </c>
      <c r="J1317" s="20" t="str">
        <f t="shared" si="78"/>
        <v/>
      </c>
      <c r="K1317" t="str">
        <f t="shared" si="80"/>
        <v/>
      </c>
      <c r="L1317" s="4">
        <f t="shared" si="79"/>
        <v>0</v>
      </c>
    </row>
    <row r="1318" spans="1:12" x14ac:dyDescent="0.25">
      <c r="A1318">
        <v>664</v>
      </c>
      <c r="B1318" s="3">
        <v>41957</v>
      </c>
      <c r="C1318" s="4">
        <v>500</v>
      </c>
      <c r="E1318">
        <v>664</v>
      </c>
      <c r="F1318" s="3">
        <v>41957</v>
      </c>
      <c r="G1318" t="s">
        <v>226</v>
      </c>
      <c r="H1318" s="18">
        <v>500</v>
      </c>
      <c r="J1318" s="20" t="str">
        <f t="shared" si="78"/>
        <v/>
      </c>
      <c r="K1318" t="str">
        <f t="shared" si="80"/>
        <v/>
      </c>
      <c r="L1318" s="4">
        <f t="shared" si="79"/>
        <v>0</v>
      </c>
    </row>
    <row r="1319" spans="1:12" x14ac:dyDescent="0.25">
      <c r="A1319">
        <v>676</v>
      </c>
      <c r="B1319" s="3">
        <v>41957</v>
      </c>
      <c r="C1319" s="4">
        <v>918</v>
      </c>
      <c r="E1319">
        <v>676</v>
      </c>
      <c r="F1319" s="3">
        <v>41957</v>
      </c>
      <c r="G1319" t="s">
        <v>246</v>
      </c>
      <c r="H1319" s="18">
        <v>918</v>
      </c>
      <c r="J1319" s="20" t="str">
        <f t="shared" si="78"/>
        <v/>
      </c>
      <c r="K1319" t="str">
        <f t="shared" si="80"/>
        <v/>
      </c>
      <c r="L1319" s="4">
        <f t="shared" si="79"/>
        <v>0</v>
      </c>
    </row>
    <row r="1320" spans="1:12" x14ac:dyDescent="0.25">
      <c r="A1320">
        <v>679</v>
      </c>
      <c r="B1320" s="3">
        <v>41957</v>
      </c>
      <c r="C1320" s="4">
        <v>867</v>
      </c>
      <c r="E1320">
        <v>679</v>
      </c>
      <c r="F1320" s="3">
        <v>41957</v>
      </c>
      <c r="G1320" t="s">
        <v>169</v>
      </c>
      <c r="H1320" s="18">
        <v>867</v>
      </c>
      <c r="J1320" s="20" t="str">
        <f t="shared" si="78"/>
        <v/>
      </c>
      <c r="K1320" t="str">
        <f t="shared" si="80"/>
        <v/>
      </c>
      <c r="L1320" s="4">
        <f t="shared" si="79"/>
        <v>0</v>
      </c>
    </row>
    <row r="1321" spans="1:12" x14ac:dyDescent="0.25">
      <c r="A1321">
        <v>687</v>
      </c>
      <c r="B1321" s="3">
        <v>41957</v>
      </c>
      <c r="C1321" s="4">
        <v>775</v>
      </c>
      <c r="E1321">
        <v>687</v>
      </c>
      <c r="F1321" s="3">
        <v>41957</v>
      </c>
      <c r="G1321" t="s">
        <v>133</v>
      </c>
      <c r="H1321" s="18">
        <v>775</v>
      </c>
      <c r="J1321" s="20" t="str">
        <f t="shared" si="78"/>
        <v/>
      </c>
      <c r="K1321" t="str">
        <f t="shared" si="80"/>
        <v/>
      </c>
      <c r="L1321" s="4">
        <f t="shared" si="79"/>
        <v>0</v>
      </c>
    </row>
    <row r="1322" spans="1:12" x14ac:dyDescent="0.25">
      <c r="A1322">
        <v>690</v>
      </c>
      <c r="B1322" s="3">
        <v>41957</v>
      </c>
      <c r="C1322" s="4">
        <v>850</v>
      </c>
      <c r="E1322">
        <v>690</v>
      </c>
      <c r="F1322" s="3">
        <v>41957</v>
      </c>
      <c r="G1322" t="s">
        <v>48</v>
      </c>
      <c r="H1322" s="18">
        <v>850</v>
      </c>
      <c r="J1322" s="20" t="str">
        <f t="shared" si="78"/>
        <v/>
      </c>
      <c r="K1322" t="str">
        <f t="shared" si="80"/>
        <v/>
      </c>
      <c r="L1322" s="4">
        <f t="shared" si="79"/>
        <v>0</v>
      </c>
    </row>
    <row r="1323" spans="1:12" x14ac:dyDescent="0.25">
      <c r="A1323">
        <v>691</v>
      </c>
      <c r="B1323" s="3">
        <v>41957</v>
      </c>
      <c r="C1323" s="4">
        <v>275</v>
      </c>
      <c r="E1323">
        <v>691</v>
      </c>
      <c r="F1323" s="3">
        <v>41957</v>
      </c>
      <c r="G1323" t="s">
        <v>49</v>
      </c>
      <c r="H1323" s="18">
        <v>275</v>
      </c>
      <c r="J1323" s="20" t="str">
        <f t="shared" si="78"/>
        <v/>
      </c>
      <c r="K1323" t="str">
        <f t="shared" si="80"/>
        <v/>
      </c>
      <c r="L1323" s="4">
        <f t="shared" si="79"/>
        <v>0</v>
      </c>
    </row>
    <row r="1324" spans="1:12" x14ac:dyDescent="0.25">
      <c r="A1324">
        <v>696</v>
      </c>
      <c r="B1324" s="3">
        <v>41957</v>
      </c>
      <c r="C1324" s="4">
        <v>825</v>
      </c>
      <c r="E1324">
        <v>696</v>
      </c>
      <c r="F1324" s="3">
        <v>41957</v>
      </c>
      <c r="G1324" t="s">
        <v>205</v>
      </c>
      <c r="H1324" s="18">
        <v>825</v>
      </c>
      <c r="J1324" s="20" t="str">
        <f t="shared" si="78"/>
        <v/>
      </c>
      <c r="K1324" t="str">
        <f t="shared" si="80"/>
        <v/>
      </c>
      <c r="L1324" s="4">
        <f t="shared" si="79"/>
        <v>0</v>
      </c>
    </row>
    <row r="1325" spans="1:12" x14ac:dyDescent="0.25">
      <c r="A1325">
        <v>703</v>
      </c>
      <c r="B1325" s="3">
        <v>41957</v>
      </c>
      <c r="C1325" s="4">
        <v>280.5</v>
      </c>
      <c r="E1325">
        <v>703</v>
      </c>
      <c r="F1325" s="3">
        <v>41957</v>
      </c>
      <c r="G1325" t="s">
        <v>51</v>
      </c>
      <c r="H1325" s="18">
        <v>280.5</v>
      </c>
      <c r="J1325" s="20" t="str">
        <f t="shared" si="78"/>
        <v/>
      </c>
      <c r="K1325" t="str">
        <f t="shared" si="80"/>
        <v/>
      </c>
      <c r="L1325" s="4">
        <f t="shared" si="79"/>
        <v>0</v>
      </c>
    </row>
    <row r="1326" spans="1:12" x14ac:dyDescent="0.25">
      <c r="A1326">
        <v>705</v>
      </c>
      <c r="B1326" s="3">
        <v>41957</v>
      </c>
      <c r="C1326" s="4">
        <v>943.5</v>
      </c>
      <c r="E1326">
        <v>705</v>
      </c>
      <c r="F1326" s="3">
        <v>41957</v>
      </c>
      <c r="G1326" t="s">
        <v>256</v>
      </c>
      <c r="H1326" s="18">
        <v>943.5</v>
      </c>
      <c r="J1326" s="20" t="str">
        <f t="shared" si="78"/>
        <v/>
      </c>
      <c r="K1326" t="str">
        <f t="shared" si="80"/>
        <v/>
      </c>
      <c r="L1326" s="4">
        <f t="shared" si="79"/>
        <v>0</v>
      </c>
    </row>
    <row r="1327" spans="1:12" x14ac:dyDescent="0.25">
      <c r="A1327">
        <v>708</v>
      </c>
      <c r="B1327" s="3">
        <v>41957</v>
      </c>
      <c r="C1327" s="4">
        <v>994.5</v>
      </c>
      <c r="E1327">
        <v>708</v>
      </c>
      <c r="F1327" s="3">
        <v>41957</v>
      </c>
      <c r="G1327" t="s">
        <v>206</v>
      </c>
      <c r="H1327" s="18">
        <v>994.5</v>
      </c>
      <c r="J1327" s="20" t="str">
        <f t="shared" si="78"/>
        <v/>
      </c>
      <c r="K1327" t="str">
        <f t="shared" si="80"/>
        <v/>
      </c>
      <c r="L1327" s="4">
        <f t="shared" si="79"/>
        <v>0</v>
      </c>
    </row>
    <row r="1328" spans="1:12" x14ac:dyDescent="0.25">
      <c r="A1328">
        <v>714</v>
      </c>
      <c r="B1328" s="3">
        <v>41957</v>
      </c>
      <c r="C1328" s="4">
        <v>500</v>
      </c>
      <c r="E1328">
        <v>714</v>
      </c>
      <c r="F1328" s="3">
        <v>41957</v>
      </c>
      <c r="G1328" t="s">
        <v>171</v>
      </c>
      <c r="H1328" s="18">
        <v>500</v>
      </c>
      <c r="J1328" s="20" t="str">
        <f t="shared" si="78"/>
        <v/>
      </c>
      <c r="K1328" t="str">
        <f t="shared" si="80"/>
        <v/>
      </c>
      <c r="L1328" s="4">
        <f t="shared" si="79"/>
        <v>0</v>
      </c>
    </row>
    <row r="1329" spans="1:12" x14ac:dyDescent="0.25">
      <c r="A1329">
        <v>715</v>
      </c>
      <c r="B1329" s="3">
        <v>41957</v>
      </c>
      <c r="C1329" s="4">
        <v>500</v>
      </c>
      <c r="E1329">
        <v>715</v>
      </c>
      <c r="F1329" s="3">
        <v>41957</v>
      </c>
      <c r="G1329" t="s">
        <v>235</v>
      </c>
      <c r="H1329" s="18">
        <v>500</v>
      </c>
      <c r="J1329" s="20" t="str">
        <f t="shared" si="78"/>
        <v/>
      </c>
      <c r="K1329" t="str">
        <f t="shared" si="80"/>
        <v/>
      </c>
      <c r="L1329" s="4">
        <f t="shared" si="79"/>
        <v>0</v>
      </c>
    </row>
    <row r="1330" spans="1:12" x14ac:dyDescent="0.25">
      <c r="A1330">
        <v>716</v>
      </c>
      <c r="B1330" s="3">
        <v>41957</v>
      </c>
      <c r="C1330" s="4">
        <v>790.5</v>
      </c>
      <c r="E1330">
        <v>716</v>
      </c>
      <c r="F1330" s="3">
        <v>41957</v>
      </c>
      <c r="G1330" t="s">
        <v>271</v>
      </c>
      <c r="H1330" s="18">
        <v>790.5</v>
      </c>
      <c r="J1330" s="20" t="str">
        <f t="shared" si="78"/>
        <v/>
      </c>
      <c r="K1330" t="str">
        <f t="shared" si="80"/>
        <v/>
      </c>
      <c r="L1330" s="4">
        <f t="shared" si="79"/>
        <v>0</v>
      </c>
    </row>
    <row r="1331" spans="1:12" x14ac:dyDescent="0.25">
      <c r="A1331">
        <v>722</v>
      </c>
      <c r="B1331" s="3">
        <v>41957</v>
      </c>
      <c r="C1331" s="4">
        <v>408</v>
      </c>
      <c r="E1331">
        <v>722</v>
      </c>
      <c r="F1331" s="3">
        <v>41957</v>
      </c>
      <c r="G1331" t="s">
        <v>135</v>
      </c>
      <c r="H1331" s="18">
        <v>0</v>
      </c>
      <c r="J1331" s="20" t="str">
        <f t="shared" si="78"/>
        <v/>
      </c>
      <c r="K1331" t="str">
        <f t="shared" si="80"/>
        <v/>
      </c>
      <c r="L1331" s="4">
        <f t="shared" si="79"/>
        <v>408</v>
      </c>
    </row>
    <row r="1332" spans="1:12" x14ac:dyDescent="0.25">
      <c r="A1332">
        <v>725</v>
      </c>
      <c r="B1332" s="3">
        <v>41957</v>
      </c>
      <c r="C1332" s="4">
        <v>500</v>
      </c>
      <c r="E1332">
        <v>725</v>
      </c>
      <c r="F1332" s="3">
        <v>41957</v>
      </c>
      <c r="G1332" t="s">
        <v>229</v>
      </c>
      <c r="H1332" s="18">
        <v>500</v>
      </c>
      <c r="J1332" s="20" t="str">
        <f t="shared" si="78"/>
        <v/>
      </c>
      <c r="K1332" t="str">
        <f t="shared" si="80"/>
        <v/>
      </c>
      <c r="L1332" s="4">
        <f t="shared" si="79"/>
        <v>0</v>
      </c>
    </row>
    <row r="1333" spans="1:12" x14ac:dyDescent="0.25">
      <c r="A1333">
        <v>726</v>
      </c>
      <c r="B1333" s="3">
        <v>41957</v>
      </c>
      <c r="C1333" s="4">
        <v>2142</v>
      </c>
      <c r="E1333">
        <v>726</v>
      </c>
      <c r="F1333" s="3">
        <v>41957</v>
      </c>
      <c r="G1333" t="s">
        <v>53</v>
      </c>
      <c r="H1333" s="18">
        <v>2142</v>
      </c>
      <c r="J1333" s="20" t="str">
        <f t="shared" si="78"/>
        <v/>
      </c>
      <c r="K1333" t="str">
        <f t="shared" si="80"/>
        <v/>
      </c>
      <c r="L1333" s="4">
        <f t="shared" si="79"/>
        <v>0</v>
      </c>
    </row>
    <row r="1334" spans="1:12" x14ac:dyDescent="0.25">
      <c r="A1334">
        <v>728</v>
      </c>
      <c r="B1334" s="3">
        <v>41957</v>
      </c>
      <c r="C1334" s="4">
        <v>1122</v>
      </c>
      <c r="E1334">
        <v>728</v>
      </c>
      <c r="F1334" s="3">
        <v>41957</v>
      </c>
      <c r="G1334" t="s">
        <v>272</v>
      </c>
      <c r="H1334" s="18">
        <v>1122</v>
      </c>
      <c r="J1334" s="20" t="str">
        <f t="shared" si="78"/>
        <v/>
      </c>
      <c r="K1334" t="str">
        <f t="shared" si="80"/>
        <v/>
      </c>
      <c r="L1334" s="4">
        <f t="shared" si="79"/>
        <v>0</v>
      </c>
    </row>
    <row r="1335" spans="1:12" x14ac:dyDescent="0.25">
      <c r="A1335">
        <v>739</v>
      </c>
      <c r="B1335" s="3">
        <v>41957</v>
      </c>
      <c r="C1335" s="4">
        <v>1326</v>
      </c>
      <c r="E1335">
        <v>739</v>
      </c>
      <c r="F1335" s="3">
        <v>41957</v>
      </c>
      <c r="G1335" t="s">
        <v>273</v>
      </c>
      <c r="H1335" s="18">
        <v>1326</v>
      </c>
      <c r="J1335" s="20" t="str">
        <f t="shared" si="78"/>
        <v/>
      </c>
      <c r="K1335" t="str">
        <f t="shared" si="80"/>
        <v/>
      </c>
      <c r="L1335" s="4">
        <f t="shared" si="79"/>
        <v>0</v>
      </c>
    </row>
    <row r="1336" spans="1:12" x14ac:dyDescent="0.25">
      <c r="A1336">
        <v>764</v>
      </c>
      <c r="B1336" s="3">
        <v>41957</v>
      </c>
      <c r="C1336" s="4">
        <v>1325</v>
      </c>
      <c r="E1336">
        <v>764</v>
      </c>
      <c r="F1336" s="3">
        <v>41957</v>
      </c>
      <c r="G1336" t="s">
        <v>208</v>
      </c>
      <c r="H1336" s="18">
        <v>1325</v>
      </c>
      <c r="J1336" s="20" t="str">
        <f t="shared" si="78"/>
        <v/>
      </c>
      <c r="K1336" t="str">
        <f t="shared" si="80"/>
        <v/>
      </c>
      <c r="L1336" s="4">
        <f t="shared" si="79"/>
        <v>0</v>
      </c>
    </row>
    <row r="1337" spans="1:12" x14ac:dyDescent="0.25">
      <c r="A1337">
        <v>771</v>
      </c>
      <c r="B1337" s="3">
        <v>41957</v>
      </c>
      <c r="C1337" s="4">
        <v>1377</v>
      </c>
      <c r="E1337">
        <v>771</v>
      </c>
      <c r="F1337" s="3">
        <v>41957</v>
      </c>
      <c r="G1337" t="s">
        <v>57</v>
      </c>
      <c r="H1337" s="18">
        <v>1377</v>
      </c>
      <c r="J1337" s="20" t="str">
        <f t="shared" si="78"/>
        <v/>
      </c>
      <c r="K1337" t="str">
        <f t="shared" si="80"/>
        <v/>
      </c>
      <c r="L1337" s="4">
        <f t="shared" si="79"/>
        <v>0</v>
      </c>
    </row>
    <row r="1338" spans="1:12" x14ac:dyDescent="0.25">
      <c r="A1338">
        <v>772</v>
      </c>
      <c r="B1338" s="3">
        <v>41957</v>
      </c>
      <c r="C1338" s="4">
        <v>800</v>
      </c>
      <c r="E1338">
        <v>772</v>
      </c>
      <c r="F1338" s="3">
        <v>41957</v>
      </c>
      <c r="G1338" t="s">
        <v>274</v>
      </c>
      <c r="H1338" s="18">
        <v>800</v>
      </c>
      <c r="J1338" s="20" t="str">
        <f t="shared" si="78"/>
        <v/>
      </c>
      <c r="K1338" t="str">
        <f t="shared" si="80"/>
        <v/>
      </c>
      <c r="L1338" s="4">
        <f t="shared" si="79"/>
        <v>0</v>
      </c>
    </row>
    <row r="1339" spans="1:12" x14ac:dyDescent="0.25">
      <c r="A1339">
        <v>782</v>
      </c>
      <c r="B1339" s="3">
        <v>41957</v>
      </c>
      <c r="C1339" s="4">
        <v>1000</v>
      </c>
      <c r="E1339">
        <v>782</v>
      </c>
      <c r="F1339" s="3">
        <v>41957</v>
      </c>
      <c r="G1339" t="s">
        <v>173</v>
      </c>
      <c r="H1339" s="18">
        <v>1000</v>
      </c>
      <c r="J1339" s="20" t="str">
        <f t="shared" si="78"/>
        <v/>
      </c>
      <c r="K1339" t="str">
        <f t="shared" si="80"/>
        <v/>
      </c>
      <c r="L1339" s="4">
        <f t="shared" si="79"/>
        <v>0</v>
      </c>
    </row>
    <row r="1340" spans="1:12" x14ac:dyDescent="0.25">
      <c r="A1340">
        <v>790</v>
      </c>
      <c r="B1340" s="3">
        <v>41957</v>
      </c>
      <c r="C1340" s="4">
        <v>739.5</v>
      </c>
      <c r="E1340">
        <v>790</v>
      </c>
      <c r="F1340" s="3">
        <v>41957</v>
      </c>
      <c r="G1340" t="s">
        <v>209</v>
      </c>
      <c r="H1340" s="18">
        <v>739.5</v>
      </c>
      <c r="J1340" s="20" t="str">
        <f t="shared" si="78"/>
        <v/>
      </c>
      <c r="K1340" t="str">
        <f t="shared" si="80"/>
        <v/>
      </c>
      <c r="L1340" s="4">
        <f t="shared" si="79"/>
        <v>0</v>
      </c>
    </row>
    <row r="1341" spans="1:12" x14ac:dyDescent="0.25">
      <c r="A1341">
        <v>807</v>
      </c>
      <c r="B1341" s="3">
        <v>41957</v>
      </c>
      <c r="C1341" s="4">
        <v>500</v>
      </c>
      <c r="E1341">
        <v>807</v>
      </c>
      <c r="F1341" s="3">
        <v>41957</v>
      </c>
      <c r="G1341" t="s">
        <v>230</v>
      </c>
      <c r="H1341" s="18">
        <v>500</v>
      </c>
      <c r="J1341" s="20" t="str">
        <f t="shared" si="78"/>
        <v/>
      </c>
      <c r="K1341" t="str">
        <f t="shared" si="80"/>
        <v/>
      </c>
      <c r="L1341" s="4">
        <f t="shared" si="79"/>
        <v>0</v>
      </c>
    </row>
    <row r="1342" spans="1:12" x14ac:dyDescent="0.25">
      <c r="A1342">
        <v>614</v>
      </c>
      <c r="B1342" s="3">
        <v>41961</v>
      </c>
      <c r="C1342" s="4">
        <v>484.5</v>
      </c>
      <c r="E1342">
        <v>614</v>
      </c>
      <c r="F1342" s="3">
        <v>41961</v>
      </c>
      <c r="G1342" t="s">
        <v>130</v>
      </c>
      <c r="H1342" s="18">
        <v>484.5</v>
      </c>
      <c r="J1342" s="20" t="str">
        <f t="shared" si="78"/>
        <v/>
      </c>
      <c r="K1342" t="str">
        <f t="shared" si="80"/>
        <v/>
      </c>
      <c r="L1342" s="4">
        <f t="shared" si="79"/>
        <v>0</v>
      </c>
    </row>
    <row r="1343" spans="1:12" x14ac:dyDescent="0.25">
      <c r="A1343">
        <v>672</v>
      </c>
      <c r="B1343" s="3">
        <v>41961</v>
      </c>
      <c r="C1343" s="4">
        <v>500</v>
      </c>
      <c r="E1343">
        <v>672</v>
      </c>
      <c r="F1343" s="3">
        <v>41961</v>
      </c>
      <c r="G1343" t="s">
        <v>168</v>
      </c>
      <c r="H1343" s="18">
        <v>500</v>
      </c>
      <c r="J1343" s="20" t="str">
        <f t="shared" si="78"/>
        <v/>
      </c>
      <c r="K1343" t="str">
        <f t="shared" si="80"/>
        <v/>
      </c>
      <c r="L1343" s="4">
        <f t="shared" si="79"/>
        <v>0</v>
      </c>
    </row>
    <row r="1344" spans="1:12" x14ac:dyDescent="0.25">
      <c r="A1344">
        <v>750</v>
      </c>
      <c r="B1344" s="3">
        <v>41962</v>
      </c>
      <c r="C1344" s="4">
        <v>500</v>
      </c>
      <c r="E1344">
        <v>750</v>
      </c>
      <c r="F1344" s="3">
        <v>41962</v>
      </c>
      <c r="G1344" t="s">
        <v>55</v>
      </c>
      <c r="H1344" s="18">
        <v>500</v>
      </c>
      <c r="J1344" s="20" t="str">
        <f t="shared" si="78"/>
        <v/>
      </c>
      <c r="K1344" t="str">
        <f t="shared" si="80"/>
        <v/>
      </c>
      <c r="L1344" s="4">
        <f t="shared" si="79"/>
        <v>0</v>
      </c>
    </row>
    <row r="1345" spans="1:12" x14ac:dyDescent="0.25">
      <c r="A1345">
        <v>692</v>
      </c>
      <c r="B1345" s="3">
        <v>41963</v>
      </c>
      <c r="C1345" s="4">
        <v>2500</v>
      </c>
      <c r="E1345">
        <v>692</v>
      </c>
      <c r="F1345" s="3">
        <v>41963</v>
      </c>
      <c r="G1345" t="s">
        <v>50</v>
      </c>
      <c r="H1345" s="18">
        <v>2500</v>
      </c>
      <c r="J1345" s="20" t="str">
        <f t="shared" ref="J1345:J1408" si="81">IF(E1345=A1345,"","CHECK")</f>
        <v/>
      </c>
      <c r="K1345" t="str">
        <f t="shared" si="80"/>
        <v/>
      </c>
      <c r="L1345" s="4">
        <f t="shared" ref="L1345:L1408" si="82">C1345-H1345</f>
        <v>0</v>
      </c>
    </row>
    <row r="1346" spans="1:12" x14ac:dyDescent="0.25">
      <c r="A1346">
        <v>27</v>
      </c>
      <c r="B1346" s="3">
        <v>41964</v>
      </c>
      <c r="C1346" s="4">
        <v>3840.61</v>
      </c>
      <c r="E1346">
        <v>27</v>
      </c>
      <c r="F1346" s="3">
        <v>41964</v>
      </c>
      <c r="G1346" t="s">
        <v>159</v>
      </c>
      <c r="H1346" s="18">
        <v>3840.61</v>
      </c>
      <c r="J1346" s="20" t="str">
        <f t="shared" si="81"/>
        <v/>
      </c>
      <c r="K1346" t="str">
        <f t="shared" si="80"/>
        <v/>
      </c>
      <c r="L1346" s="4">
        <f t="shared" si="82"/>
        <v>0</v>
      </c>
    </row>
    <row r="1347" spans="1:12" x14ac:dyDescent="0.25">
      <c r="A1347">
        <v>28</v>
      </c>
      <c r="B1347" s="3">
        <v>41964</v>
      </c>
      <c r="C1347" s="4">
        <v>1163</v>
      </c>
      <c r="E1347">
        <v>28</v>
      </c>
      <c r="F1347" s="3">
        <v>41964</v>
      </c>
      <c r="G1347" t="s">
        <v>6</v>
      </c>
      <c r="H1347" s="18">
        <v>627.5</v>
      </c>
      <c r="J1347" s="20" t="str">
        <f t="shared" si="81"/>
        <v/>
      </c>
      <c r="K1347" t="str">
        <f t="shared" ref="K1347:K1410" si="83">IF(F1347=B1347,"","CHECK")</f>
        <v/>
      </c>
      <c r="L1347" s="4">
        <f t="shared" si="82"/>
        <v>535.5</v>
      </c>
    </row>
    <row r="1348" spans="1:12" x14ac:dyDescent="0.25">
      <c r="A1348">
        <v>37</v>
      </c>
      <c r="B1348" s="3">
        <v>41964</v>
      </c>
      <c r="C1348" s="4">
        <v>8287.2099999999991</v>
      </c>
      <c r="E1348">
        <v>37</v>
      </c>
      <c r="F1348" s="3">
        <v>41964</v>
      </c>
      <c r="G1348" t="s">
        <v>77</v>
      </c>
      <c r="H1348" s="18">
        <v>8287.2099999999991</v>
      </c>
      <c r="J1348" s="20" t="str">
        <f t="shared" si="81"/>
        <v/>
      </c>
      <c r="K1348" t="str">
        <f t="shared" si="83"/>
        <v/>
      </c>
      <c r="L1348" s="4">
        <f t="shared" si="82"/>
        <v>0</v>
      </c>
    </row>
    <row r="1349" spans="1:12" x14ac:dyDescent="0.25">
      <c r="A1349">
        <v>41</v>
      </c>
      <c r="B1349" s="3">
        <v>41964</v>
      </c>
      <c r="C1349" s="4">
        <v>3794.63</v>
      </c>
      <c r="E1349">
        <v>41</v>
      </c>
      <c r="F1349" s="3">
        <v>41964</v>
      </c>
      <c r="G1349" t="s">
        <v>10</v>
      </c>
      <c r="H1349" s="18">
        <v>3794.63</v>
      </c>
      <c r="J1349" s="20" t="str">
        <f t="shared" si="81"/>
        <v/>
      </c>
      <c r="K1349" t="str">
        <f t="shared" si="83"/>
        <v/>
      </c>
      <c r="L1349" s="4">
        <f t="shared" si="82"/>
        <v>0</v>
      </c>
    </row>
    <row r="1350" spans="1:12" x14ac:dyDescent="0.25">
      <c r="A1350">
        <v>63</v>
      </c>
      <c r="B1350" s="3">
        <v>41964</v>
      </c>
      <c r="C1350" s="4">
        <v>1403.4</v>
      </c>
      <c r="E1350">
        <v>63</v>
      </c>
      <c r="F1350" s="3">
        <v>41964</v>
      </c>
      <c r="G1350" t="s">
        <v>181</v>
      </c>
      <c r="H1350" s="18">
        <v>1403.4</v>
      </c>
      <c r="J1350" s="20" t="str">
        <f t="shared" si="81"/>
        <v/>
      </c>
      <c r="K1350" t="str">
        <f t="shared" si="83"/>
        <v/>
      </c>
      <c r="L1350" s="4">
        <f t="shared" si="82"/>
        <v>0</v>
      </c>
    </row>
    <row r="1351" spans="1:12" x14ac:dyDescent="0.25">
      <c r="A1351">
        <v>77</v>
      </c>
      <c r="B1351" s="3">
        <v>41964</v>
      </c>
      <c r="C1351" s="4">
        <v>700</v>
      </c>
      <c r="E1351">
        <v>77</v>
      </c>
      <c r="F1351" s="3">
        <v>41964</v>
      </c>
      <c r="G1351" t="s">
        <v>11</v>
      </c>
      <c r="H1351" s="18">
        <v>700</v>
      </c>
      <c r="J1351" s="20" t="str">
        <f t="shared" si="81"/>
        <v/>
      </c>
      <c r="K1351" t="str">
        <f t="shared" si="83"/>
        <v/>
      </c>
      <c r="L1351" s="4">
        <f t="shared" si="82"/>
        <v>0</v>
      </c>
    </row>
    <row r="1352" spans="1:12" x14ac:dyDescent="0.25">
      <c r="A1352">
        <v>133</v>
      </c>
      <c r="B1352" s="3">
        <v>41964</v>
      </c>
      <c r="C1352" s="4">
        <v>9.57</v>
      </c>
      <c r="E1352">
        <v>133</v>
      </c>
      <c r="F1352" s="3">
        <v>41964</v>
      </c>
      <c r="G1352" t="s">
        <v>87</v>
      </c>
      <c r="H1352" s="18">
        <v>9.57</v>
      </c>
      <c r="J1352" s="20" t="str">
        <f t="shared" si="81"/>
        <v/>
      </c>
      <c r="K1352" t="str">
        <f t="shared" si="83"/>
        <v/>
      </c>
      <c r="L1352" s="4">
        <f t="shared" si="82"/>
        <v>0</v>
      </c>
    </row>
    <row r="1353" spans="1:12" x14ac:dyDescent="0.25">
      <c r="A1353">
        <v>180</v>
      </c>
      <c r="B1353" s="3">
        <v>41964</v>
      </c>
      <c r="C1353" s="4">
        <v>122.5</v>
      </c>
      <c r="E1353">
        <v>180</v>
      </c>
      <c r="F1353" s="3">
        <v>41964</v>
      </c>
      <c r="G1353" t="s">
        <v>161</v>
      </c>
      <c r="H1353" s="18">
        <v>122.5</v>
      </c>
      <c r="J1353" s="20" t="str">
        <f t="shared" si="81"/>
        <v/>
      </c>
      <c r="K1353" t="str">
        <f t="shared" si="83"/>
        <v/>
      </c>
      <c r="L1353" s="4">
        <f t="shared" si="82"/>
        <v>0</v>
      </c>
    </row>
    <row r="1354" spans="1:12" x14ac:dyDescent="0.25">
      <c r="A1354">
        <v>202</v>
      </c>
      <c r="B1354" s="3">
        <v>41964</v>
      </c>
      <c r="C1354" s="4">
        <v>1193.1500000000001</v>
      </c>
      <c r="E1354">
        <v>202</v>
      </c>
      <c r="F1354" s="3">
        <v>41964</v>
      </c>
      <c r="G1354" t="s">
        <v>237</v>
      </c>
      <c r="H1354" s="18">
        <v>1193.1500000000001</v>
      </c>
      <c r="J1354" s="20" t="str">
        <f t="shared" si="81"/>
        <v/>
      </c>
      <c r="K1354" t="str">
        <f t="shared" si="83"/>
        <v/>
      </c>
      <c r="L1354" s="4">
        <f t="shared" si="82"/>
        <v>0</v>
      </c>
    </row>
    <row r="1355" spans="1:12" x14ac:dyDescent="0.25">
      <c r="A1355">
        <v>203</v>
      </c>
      <c r="B1355" s="3">
        <v>41964</v>
      </c>
      <c r="C1355" s="4">
        <v>11900.9</v>
      </c>
      <c r="E1355">
        <v>203</v>
      </c>
      <c r="F1355" s="3">
        <v>41964</v>
      </c>
      <c r="G1355" t="s">
        <v>95</v>
      </c>
      <c r="H1355" s="18">
        <v>11900.9</v>
      </c>
      <c r="J1355" s="20" t="str">
        <f t="shared" si="81"/>
        <v/>
      </c>
      <c r="K1355" t="str">
        <f t="shared" si="83"/>
        <v/>
      </c>
      <c r="L1355" s="4">
        <f t="shared" si="82"/>
        <v>0</v>
      </c>
    </row>
    <row r="1356" spans="1:12" x14ac:dyDescent="0.25">
      <c r="A1356">
        <v>217</v>
      </c>
      <c r="B1356" s="3">
        <v>41964</v>
      </c>
      <c r="C1356" s="4">
        <v>2421.66</v>
      </c>
      <c r="E1356">
        <v>217</v>
      </c>
      <c r="F1356" s="3">
        <v>41964</v>
      </c>
      <c r="G1356" t="s">
        <v>97</v>
      </c>
      <c r="H1356" s="18">
        <v>2421.66</v>
      </c>
      <c r="J1356" s="20" t="str">
        <f t="shared" si="81"/>
        <v/>
      </c>
      <c r="K1356" t="str">
        <f t="shared" si="83"/>
        <v/>
      </c>
      <c r="L1356" s="4">
        <f t="shared" si="82"/>
        <v>0</v>
      </c>
    </row>
    <row r="1357" spans="1:12" x14ac:dyDescent="0.25">
      <c r="A1357">
        <v>234</v>
      </c>
      <c r="B1357" s="3">
        <v>41964</v>
      </c>
      <c r="C1357" s="4">
        <v>500</v>
      </c>
      <c r="E1357">
        <v>234</v>
      </c>
      <c r="F1357" s="3">
        <v>41964</v>
      </c>
      <c r="G1357" t="s">
        <v>259</v>
      </c>
      <c r="H1357" s="18">
        <v>500</v>
      </c>
      <c r="J1357" s="20" t="str">
        <f t="shared" si="81"/>
        <v/>
      </c>
      <c r="K1357" t="str">
        <f t="shared" si="83"/>
        <v/>
      </c>
      <c r="L1357" s="4">
        <f t="shared" si="82"/>
        <v>0</v>
      </c>
    </row>
    <row r="1358" spans="1:12" x14ac:dyDescent="0.25">
      <c r="A1358">
        <v>249</v>
      </c>
      <c r="B1358" s="3">
        <v>41964</v>
      </c>
      <c r="C1358" s="4">
        <v>-816</v>
      </c>
      <c r="E1358">
        <v>249</v>
      </c>
      <c r="F1358" s="3">
        <v>41964</v>
      </c>
      <c r="G1358" t="s">
        <v>260</v>
      </c>
      <c r="H1358" s="18">
        <v>-816</v>
      </c>
      <c r="J1358" s="20" t="str">
        <f t="shared" si="81"/>
        <v/>
      </c>
      <c r="K1358" t="str">
        <f t="shared" si="83"/>
        <v/>
      </c>
      <c r="L1358" s="4">
        <f t="shared" si="82"/>
        <v>0</v>
      </c>
    </row>
    <row r="1359" spans="1:12" x14ac:dyDescent="0.25">
      <c r="A1359">
        <v>261</v>
      </c>
      <c r="B1359" s="3">
        <v>41964</v>
      </c>
      <c r="C1359" s="4">
        <v>3250</v>
      </c>
      <c r="E1359">
        <v>261</v>
      </c>
      <c r="F1359" s="3">
        <v>41964</v>
      </c>
      <c r="G1359" t="s">
        <v>22</v>
      </c>
      <c r="H1359" s="18">
        <v>3250</v>
      </c>
      <c r="J1359" s="20" t="str">
        <f t="shared" si="81"/>
        <v/>
      </c>
      <c r="K1359" t="str">
        <f t="shared" si="83"/>
        <v/>
      </c>
      <c r="L1359" s="4">
        <f t="shared" si="82"/>
        <v>0</v>
      </c>
    </row>
    <row r="1360" spans="1:12" x14ac:dyDescent="0.25">
      <c r="A1360">
        <v>269</v>
      </c>
      <c r="B1360" s="3">
        <v>41964</v>
      </c>
      <c r="C1360" s="4">
        <v>25.5</v>
      </c>
      <c r="E1360">
        <v>269</v>
      </c>
      <c r="F1360" s="3">
        <v>41964</v>
      </c>
      <c r="G1360" t="s">
        <v>254</v>
      </c>
      <c r="H1360" s="18">
        <v>25.5</v>
      </c>
      <c r="J1360" s="20" t="str">
        <f t="shared" si="81"/>
        <v/>
      </c>
      <c r="K1360" t="str">
        <f t="shared" si="83"/>
        <v/>
      </c>
      <c r="L1360" s="4">
        <f t="shared" si="82"/>
        <v>0</v>
      </c>
    </row>
    <row r="1361" spans="1:12" x14ac:dyDescent="0.25">
      <c r="A1361">
        <v>282</v>
      </c>
      <c r="B1361" s="3">
        <v>41964</v>
      </c>
      <c r="C1361" s="4">
        <v>1225</v>
      </c>
      <c r="E1361">
        <v>282</v>
      </c>
      <c r="F1361" s="3">
        <v>41964</v>
      </c>
      <c r="G1361" t="s">
        <v>23</v>
      </c>
      <c r="H1361" s="18">
        <v>1225</v>
      </c>
      <c r="J1361" s="20" t="str">
        <f t="shared" si="81"/>
        <v/>
      </c>
      <c r="K1361" t="str">
        <f t="shared" si="83"/>
        <v/>
      </c>
      <c r="L1361" s="4">
        <f t="shared" si="82"/>
        <v>0</v>
      </c>
    </row>
    <row r="1362" spans="1:12" x14ac:dyDescent="0.25">
      <c r="A1362">
        <v>295</v>
      </c>
      <c r="B1362" s="3">
        <v>41964</v>
      </c>
      <c r="C1362" s="4">
        <v>2050</v>
      </c>
      <c r="E1362">
        <v>295</v>
      </c>
      <c r="F1362" s="3">
        <v>41964</v>
      </c>
      <c r="G1362" t="s">
        <v>103</v>
      </c>
      <c r="H1362" s="18">
        <v>2850</v>
      </c>
      <c r="J1362" s="20" t="str">
        <f t="shared" si="81"/>
        <v/>
      </c>
      <c r="K1362" t="str">
        <f t="shared" si="83"/>
        <v/>
      </c>
      <c r="L1362" s="4">
        <f t="shared" si="82"/>
        <v>-800</v>
      </c>
    </row>
    <row r="1363" spans="1:12" x14ac:dyDescent="0.25">
      <c r="A1363">
        <v>303</v>
      </c>
      <c r="B1363" s="3">
        <v>41964</v>
      </c>
      <c r="C1363" s="4">
        <v>61.25</v>
      </c>
      <c r="E1363">
        <v>303</v>
      </c>
      <c r="F1363" s="3">
        <v>41964</v>
      </c>
      <c r="G1363" t="s">
        <v>218</v>
      </c>
      <c r="H1363" s="18">
        <v>61.25</v>
      </c>
      <c r="J1363" s="20" t="str">
        <f t="shared" si="81"/>
        <v/>
      </c>
      <c r="K1363" t="str">
        <f t="shared" si="83"/>
        <v/>
      </c>
      <c r="L1363" s="4">
        <f t="shared" si="82"/>
        <v>0</v>
      </c>
    </row>
    <row r="1364" spans="1:12" x14ac:dyDescent="0.25">
      <c r="A1364">
        <v>324</v>
      </c>
      <c r="B1364" s="3">
        <v>41964</v>
      </c>
      <c r="C1364" s="4">
        <v>212</v>
      </c>
      <c r="E1364">
        <v>324</v>
      </c>
      <c r="F1364" s="3">
        <v>41964</v>
      </c>
      <c r="G1364" t="s">
        <v>106</v>
      </c>
      <c r="H1364" s="18">
        <v>-119.5</v>
      </c>
      <c r="J1364" s="20" t="str">
        <f t="shared" si="81"/>
        <v/>
      </c>
      <c r="K1364" t="str">
        <f t="shared" si="83"/>
        <v/>
      </c>
      <c r="L1364" s="4">
        <f t="shared" si="82"/>
        <v>331.5</v>
      </c>
    </row>
    <row r="1365" spans="1:12" x14ac:dyDescent="0.25">
      <c r="A1365">
        <v>326</v>
      </c>
      <c r="B1365" s="3">
        <v>41964</v>
      </c>
      <c r="C1365" s="4">
        <v>2000</v>
      </c>
      <c r="E1365">
        <v>326</v>
      </c>
      <c r="F1365" s="3">
        <v>41964</v>
      </c>
      <c r="G1365" t="s">
        <v>25</v>
      </c>
      <c r="H1365" s="18">
        <v>2000</v>
      </c>
      <c r="J1365" s="20" t="str">
        <f t="shared" si="81"/>
        <v/>
      </c>
      <c r="K1365" t="str">
        <f t="shared" si="83"/>
        <v/>
      </c>
      <c r="L1365" s="4">
        <f t="shared" si="82"/>
        <v>0</v>
      </c>
    </row>
    <row r="1366" spans="1:12" x14ac:dyDescent="0.25">
      <c r="A1366">
        <v>355</v>
      </c>
      <c r="B1366" s="3">
        <v>41964</v>
      </c>
      <c r="C1366" s="4">
        <v>21.04</v>
      </c>
      <c r="E1366">
        <v>355</v>
      </c>
      <c r="F1366" s="3">
        <v>41964</v>
      </c>
      <c r="G1366" t="s">
        <v>108</v>
      </c>
      <c r="H1366" s="18">
        <v>21.04</v>
      </c>
      <c r="J1366" s="20" t="str">
        <f t="shared" si="81"/>
        <v/>
      </c>
      <c r="K1366" t="str">
        <f t="shared" si="83"/>
        <v/>
      </c>
      <c r="L1366" s="4">
        <f t="shared" si="82"/>
        <v>0</v>
      </c>
    </row>
    <row r="1367" spans="1:12" x14ac:dyDescent="0.25">
      <c r="A1367">
        <v>358</v>
      </c>
      <c r="B1367" s="3">
        <v>41964</v>
      </c>
      <c r="C1367" s="4">
        <v>691.35</v>
      </c>
      <c r="E1367">
        <v>358</v>
      </c>
      <c r="F1367" s="3">
        <v>41964</v>
      </c>
      <c r="G1367" t="s">
        <v>179</v>
      </c>
      <c r="H1367" s="18">
        <v>691.35</v>
      </c>
      <c r="J1367" s="20" t="str">
        <f t="shared" si="81"/>
        <v/>
      </c>
      <c r="K1367" t="str">
        <f t="shared" si="83"/>
        <v/>
      </c>
      <c r="L1367" s="4">
        <f t="shared" si="82"/>
        <v>0</v>
      </c>
    </row>
    <row r="1368" spans="1:12" x14ac:dyDescent="0.25">
      <c r="A1368">
        <v>365</v>
      </c>
      <c r="B1368" s="3">
        <v>41964</v>
      </c>
      <c r="C1368" s="4">
        <v>1351.5</v>
      </c>
      <c r="E1368">
        <v>365</v>
      </c>
      <c r="F1368" s="3">
        <v>41964</v>
      </c>
      <c r="G1368" t="s">
        <v>29</v>
      </c>
      <c r="H1368" s="18">
        <v>1351.5</v>
      </c>
      <c r="J1368" s="20" t="str">
        <f t="shared" si="81"/>
        <v/>
      </c>
      <c r="K1368" t="str">
        <f t="shared" si="83"/>
        <v/>
      </c>
      <c r="L1368" s="4">
        <f t="shared" si="82"/>
        <v>0</v>
      </c>
    </row>
    <row r="1369" spans="1:12" x14ac:dyDescent="0.25">
      <c r="A1369">
        <v>383</v>
      </c>
      <c r="B1369" s="3">
        <v>41964</v>
      </c>
      <c r="C1369" s="4">
        <v>3470</v>
      </c>
      <c r="E1369">
        <v>383</v>
      </c>
      <c r="F1369" s="3">
        <v>41964</v>
      </c>
      <c r="G1369" t="s">
        <v>220</v>
      </c>
      <c r="H1369" s="18">
        <v>3470</v>
      </c>
      <c r="J1369" s="20" t="str">
        <f t="shared" si="81"/>
        <v/>
      </c>
      <c r="K1369" t="str">
        <f t="shared" si="83"/>
        <v/>
      </c>
      <c r="L1369" s="4">
        <f t="shared" si="82"/>
        <v>0</v>
      </c>
    </row>
    <row r="1370" spans="1:12" x14ac:dyDescent="0.25">
      <c r="A1370">
        <v>389</v>
      </c>
      <c r="B1370" s="3">
        <v>41964</v>
      </c>
      <c r="C1370" s="4">
        <v>396.25</v>
      </c>
      <c r="E1370">
        <v>389</v>
      </c>
      <c r="F1370" s="3">
        <v>41964</v>
      </c>
      <c r="G1370" t="s">
        <v>31</v>
      </c>
      <c r="H1370" s="18">
        <v>396.25</v>
      </c>
      <c r="J1370" s="20" t="str">
        <f t="shared" si="81"/>
        <v/>
      </c>
      <c r="K1370" t="str">
        <f t="shared" si="83"/>
        <v/>
      </c>
      <c r="L1370" s="4">
        <f t="shared" si="82"/>
        <v>0</v>
      </c>
    </row>
    <row r="1371" spans="1:12" x14ac:dyDescent="0.25">
      <c r="A1371">
        <v>392</v>
      </c>
      <c r="B1371" s="3">
        <v>41964</v>
      </c>
      <c r="C1371" s="4">
        <v>600</v>
      </c>
      <c r="E1371">
        <v>392</v>
      </c>
      <c r="F1371" s="3">
        <v>41964</v>
      </c>
      <c r="G1371" t="s">
        <v>111</v>
      </c>
      <c r="H1371" s="18">
        <v>600</v>
      </c>
      <c r="J1371" s="20" t="str">
        <f t="shared" si="81"/>
        <v/>
      </c>
      <c r="K1371" t="str">
        <f t="shared" si="83"/>
        <v/>
      </c>
      <c r="L1371" s="4">
        <f t="shared" si="82"/>
        <v>0</v>
      </c>
    </row>
    <row r="1372" spans="1:12" x14ac:dyDescent="0.25">
      <c r="A1372">
        <v>401</v>
      </c>
      <c r="B1372" s="3">
        <v>41964</v>
      </c>
      <c r="C1372" s="4">
        <v>232.08</v>
      </c>
      <c r="E1372">
        <v>401</v>
      </c>
      <c r="F1372" s="3">
        <v>41964</v>
      </c>
      <c r="G1372" t="s">
        <v>184</v>
      </c>
      <c r="H1372" s="18">
        <v>232.07</v>
      </c>
      <c r="J1372" s="20" t="str">
        <f t="shared" si="81"/>
        <v/>
      </c>
      <c r="K1372" t="str">
        <f t="shared" si="83"/>
        <v/>
      </c>
      <c r="L1372" s="4">
        <f t="shared" si="82"/>
        <v>1.0000000000019327E-2</v>
      </c>
    </row>
    <row r="1373" spans="1:12" x14ac:dyDescent="0.25">
      <c r="A1373">
        <v>405</v>
      </c>
      <c r="B1373" s="3">
        <v>41964</v>
      </c>
      <c r="C1373" s="4">
        <v>400</v>
      </c>
      <c r="E1373">
        <v>405</v>
      </c>
      <c r="F1373" s="3">
        <v>41964</v>
      </c>
      <c r="G1373" t="s">
        <v>112</v>
      </c>
      <c r="H1373" s="18">
        <v>400</v>
      </c>
      <c r="J1373" s="20" t="str">
        <f t="shared" si="81"/>
        <v/>
      </c>
      <c r="K1373" t="str">
        <f t="shared" si="83"/>
        <v/>
      </c>
      <c r="L1373" s="4">
        <f t="shared" si="82"/>
        <v>0</v>
      </c>
    </row>
    <row r="1374" spans="1:12" x14ac:dyDescent="0.25">
      <c r="A1374">
        <v>407</v>
      </c>
      <c r="B1374" s="3">
        <v>41964</v>
      </c>
      <c r="C1374" s="4">
        <v>495.9</v>
      </c>
      <c r="E1374">
        <v>407</v>
      </c>
      <c r="F1374" s="3">
        <v>41964</v>
      </c>
      <c r="G1374" t="s">
        <v>113</v>
      </c>
      <c r="H1374" s="18">
        <v>495.9</v>
      </c>
      <c r="J1374" s="20" t="str">
        <f t="shared" si="81"/>
        <v/>
      </c>
      <c r="K1374" t="str">
        <f t="shared" si="83"/>
        <v/>
      </c>
      <c r="L1374" s="4">
        <f t="shared" si="82"/>
        <v>0</v>
      </c>
    </row>
    <row r="1375" spans="1:12" x14ac:dyDescent="0.25">
      <c r="A1375">
        <v>410</v>
      </c>
      <c r="B1375" s="3">
        <v>41964</v>
      </c>
      <c r="C1375" s="4">
        <v>393.08</v>
      </c>
      <c r="E1375">
        <v>410</v>
      </c>
      <c r="F1375" s="3">
        <v>41964</v>
      </c>
      <c r="G1375" t="s">
        <v>32</v>
      </c>
      <c r="H1375" s="18">
        <v>393.08</v>
      </c>
      <c r="J1375" s="20" t="str">
        <f t="shared" si="81"/>
        <v/>
      </c>
      <c r="K1375" t="str">
        <f t="shared" si="83"/>
        <v/>
      </c>
      <c r="L1375" s="4">
        <f t="shared" si="82"/>
        <v>0</v>
      </c>
    </row>
    <row r="1376" spans="1:12" x14ac:dyDescent="0.25">
      <c r="A1376">
        <v>499</v>
      </c>
      <c r="B1376" s="3">
        <v>41964</v>
      </c>
      <c r="C1376" s="4">
        <v>561</v>
      </c>
      <c r="E1376">
        <v>499</v>
      </c>
      <c r="F1376" s="3">
        <v>41964</v>
      </c>
      <c r="G1376" t="s">
        <v>200</v>
      </c>
      <c r="H1376" s="18">
        <v>561</v>
      </c>
      <c r="J1376" s="20" t="str">
        <f t="shared" si="81"/>
        <v/>
      </c>
      <c r="K1376" t="str">
        <f t="shared" si="83"/>
        <v/>
      </c>
      <c r="L1376" s="4">
        <f t="shared" si="82"/>
        <v>0</v>
      </c>
    </row>
    <row r="1377" spans="1:12" x14ac:dyDescent="0.25">
      <c r="A1377">
        <v>530</v>
      </c>
      <c r="B1377" s="3">
        <v>41964</v>
      </c>
      <c r="C1377" s="4">
        <v>1750</v>
      </c>
      <c r="E1377">
        <v>530</v>
      </c>
      <c r="F1377" s="3">
        <v>41964</v>
      </c>
      <c r="G1377" t="s">
        <v>35</v>
      </c>
      <c r="H1377" s="18">
        <v>1750</v>
      </c>
      <c r="J1377" s="20" t="str">
        <f t="shared" si="81"/>
        <v/>
      </c>
      <c r="K1377" t="str">
        <f t="shared" si="83"/>
        <v/>
      </c>
      <c r="L1377" s="4">
        <f t="shared" si="82"/>
        <v>0</v>
      </c>
    </row>
    <row r="1378" spans="1:12" x14ac:dyDescent="0.25">
      <c r="A1378">
        <v>583</v>
      </c>
      <c r="B1378" s="3">
        <v>41964</v>
      </c>
      <c r="C1378" s="4">
        <v>112</v>
      </c>
      <c r="E1378">
        <v>583</v>
      </c>
      <c r="F1378" s="3">
        <v>41964</v>
      </c>
      <c r="G1378" t="s">
        <v>124</v>
      </c>
      <c r="H1378" s="18">
        <v>112</v>
      </c>
      <c r="J1378" s="20" t="str">
        <f t="shared" si="81"/>
        <v/>
      </c>
      <c r="K1378" t="str">
        <f t="shared" si="83"/>
        <v/>
      </c>
      <c r="L1378" s="4">
        <f t="shared" si="82"/>
        <v>0</v>
      </c>
    </row>
    <row r="1379" spans="1:12" x14ac:dyDescent="0.25">
      <c r="A1379">
        <v>599</v>
      </c>
      <c r="B1379" s="3">
        <v>41964</v>
      </c>
      <c r="C1379" s="4">
        <v>475</v>
      </c>
      <c r="E1379">
        <v>599</v>
      </c>
      <c r="F1379" s="3">
        <v>41964</v>
      </c>
      <c r="G1379" t="s">
        <v>125</v>
      </c>
      <c r="H1379" s="18">
        <v>475</v>
      </c>
      <c r="J1379" s="20" t="str">
        <f t="shared" si="81"/>
        <v/>
      </c>
      <c r="K1379" t="str">
        <f t="shared" si="83"/>
        <v/>
      </c>
      <c r="L1379" s="4">
        <f t="shared" si="82"/>
        <v>0</v>
      </c>
    </row>
    <row r="1380" spans="1:12" x14ac:dyDescent="0.25">
      <c r="A1380">
        <v>607</v>
      </c>
      <c r="B1380" s="3">
        <v>41964</v>
      </c>
      <c r="C1380" s="4">
        <v>425</v>
      </c>
      <c r="E1380">
        <v>607</v>
      </c>
      <c r="F1380" s="3">
        <v>41964</v>
      </c>
      <c r="G1380" t="s">
        <v>39</v>
      </c>
      <c r="H1380" s="18">
        <v>425</v>
      </c>
      <c r="J1380" s="20" t="str">
        <f t="shared" si="81"/>
        <v/>
      </c>
      <c r="K1380" t="str">
        <f t="shared" si="83"/>
        <v/>
      </c>
      <c r="L1380" s="4">
        <f t="shared" si="82"/>
        <v>0</v>
      </c>
    </row>
    <row r="1381" spans="1:12" x14ac:dyDescent="0.25">
      <c r="A1381">
        <v>621</v>
      </c>
      <c r="B1381" s="3">
        <v>41964</v>
      </c>
      <c r="C1381" s="4">
        <v>765</v>
      </c>
      <c r="E1381">
        <v>621</v>
      </c>
      <c r="F1381" s="3">
        <v>41964</v>
      </c>
      <c r="G1381" t="s">
        <v>224</v>
      </c>
      <c r="H1381" s="18">
        <v>765</v>
      </c>
      <c r="J1381" s="20" t="str">
        <f t="shared" si="81"/>
        <v/>
      </c>
      <c r="K1381" t="str">
        <f t="shared" si="83"/>
        <v/>
      </c>
      <c r="L1381" s="4">
        <f t="shared" si="82"/>
        <v>0</v>
      </c>
    </row>
    <row r="1382" spans="1:12" x14ac:dyDescent="0.25">
      <c r="A1382">
        <v>626</v>
      </c>
      <c r="B1382" s="3">
        <v>41964</v>
      </c>
      <c r="C1382" s="4">
        <v>368.36</v>
      </c>
      <c r="E1382">
        <v>626</v>
      </c>
      <c r="F1382" s="3">
        <v>41964</v>
      </c>
      <c r="G1382" t="s">
        <v>187</v>
      </c>
      <c r="H1382" s="18">
        <v>368.36</v>
      </c>
      <c r="J1382" s="20" t="str">
        <f t="shared" si="81"/>
        <v/>
      </c>
      <c r="K1382" t="str">
        <f t="shared" si="83"/>
        <v/>
      </c>
      <c r="L1382" s="4">
        <f t="shared" si="82"/>
        <v>0</v>
      </c>
    </row>
    <row r="1383" spans="1:12" x14ac:dyDescent="0.25">
      <c r="A1383">
        <v>646</v>
      </c>
      <c r="B1383" s="3">
        <v>41964</v>
      </c>
      <c r="C1383" s="4">
        <v>1050</v>
      </c>
      <c r="E1383">
        <v>646</v>
      </c>
      <c r="F1383" s="3">
        <v>41964</v>
      </c>
      <c r="G1383" t="s">
        <v>203</v>
      </c>
      <c r="H1383" s="18">
        <v>1050</v>
      </c>
      <c r="J1383" s="20" t="str">
        <f t="shared" si="81"/>
        <v/>
      </c>
      <c r="K1383" t="str">
        <f t="shared" si="83"/>
        <v/>
      </c>
      <c r="L1383" s="4">
        <f t="shared" si="82"/>
        <v>0</v>
      </c>
    </row>
    <row r="1384" spans="1:12" x14ac:dyDescent="0.25">
      <c r="A1384">
        <v>648</v>
      </c>
      <c r="B1384" s="3">
        <v>41964</v>
      </c>
      <c r="C1384" s="4">
        <v>1450</v>
      </c>
      <c r="E1384">
        <v>648</v>
      </c>
      <c r="F1384" s="3">
        <v>41964</v>
      </c>
      <c r="G1384" t="s">
        <v>42</v>
      </c>
      <c r="H1384" s="18">
        <v>1450</v>
      </c>
      <c r="J1384" s="20" t="str">
        <f t="shared" si="81"/>
        <v/>
      </c>
      <c r="K1384" t="str">
        <f t="shared" si="83"/>
        <v/>
      </c>
      <c r="L1384" s="4">
        <f t="shared" si="82"/>
        <v>0</v>
      </c>
    </row>
    <row r="1385" spans="1:12" x14ac:dyDescent="0.25">
      <c r="A1385">
        <v>656</v>
      </c>
      <c r="B1385" s="3">
        <v>41964</v>
      </c>
      <c r="C1385" s="4">
        <v>969</v>
      </c>
      <c r="E1385">
        <v>656</v>
      </c>
      <c r="F1385" s="3">
        <v>41964</v>
      </c>
      <c r="G1385" t="s">
        <v>43</v>
      </c>
      <c r="H1385" s="18">
        <v>969</v>
      </c>
      <c r="J1385" s="20" t="str">
        <f t="shared" si="81"/>
        <v/>
      </c>
      <c r="K1385" t="str">
        <f t="shared" si="83"/>
        <v/>
      </c>
      <c r="L1385" s="4">
        <f t="shared" si="82"/>
        <v>0</v>
      </c>
    </row>
    <row r="1386" spans="1:12" x14ac:dyDescent="0.25">
      <c r="A1386">
        <v>664</v>
      </c>
      <c r="B1386" s="3">
        <v>41964</v>
      </c>
      <c r="C1386" s="4">
        <v>500</v>
      </c>
      <c r="E1386">
        <v>664</v>
      </c>
      <c r="F1386" s="3">
        <v>41964</v>
      </c>
      <c r="G1386" t="s">
        <v>226</v>
      </c>
      <c r="H1386" s="18">
        <v>500</v>
      </c>
      <c r="J1386" s="20" t="str">
        <f t="shared" si="81"/>
        <v/>
      </c>
      <c r="K1386" t="str">
        <f t="shared" si="83"/>
        <v/>
      </c>
      <c r="L1386" s="4">
        <f t="shared" si="82"/>
        <v>0</v>
      </c>
    </row>
    <row r="1387" spans="1:12" x14ac:dyDescent="0.25">
      <c r="A1387">
        <v>672</v>
      </c>
      <c r="B1387" s="3">
        <v>41964</v>
      </c>
      <c r="C1387" s="4">
        <v>924</v>
      </c>
      <c r="E1387">
        <v>672</v>
      </c>
      <c r="F1387" s="3">
        <v>41964</v>
      </c>
      <c r="G1387" t="s">
        <v>168</v>
      </c>
      <c r="H1387" s="18">
        <v>924</v>
      </c>
      <c r="J1387" s="20" t="str">
        <f t="shared" si="81"/>
        <v/>
      </c>
      <c r="K1387" t="str">
        <f t="shared" si="83"/>
        <v/>
      </c>
      <c r="L1387" s="4">
        <f t="shared" si="82"/>
        <v>0</v>
      </c>
    </row>
    <row r="1388" spans="1:12" x14ac:dyDescent="0.25">
      <c r="A1388">
        <v>679</v>
      </c>
      <c r="B1388" s="3">
        <v>41964</v>
      </c>
      <c r="C1388" s="4">
        <v>5357.28</v>
      </c>
      <c r="E1388">
        <v>679</v>
      </c>
      <c r="F1388" s="3">
        <v>41964</v>
      </c>
      <c r="G1388" t="s">
        <v>169</v>
      </c>
      <c r="H1388" s="18">
        <v>5357.28</v>
      </c>
      <c r="J1388" s="20" t="str">
        <f t="shared" si="81"/>
        <v/>
      </c>
      <c r="K1388" t="str">
        <f t="shared" si="83"/>
        <v/>
      </c>
      <c r="L1388" s="4">
        <f t="shared" si="82"/>
        <v>0</v>
      </c>
    </row>
    <row r="1389" spans="1:12" x14ac:dyDescent="0.25">
      <c r="A1389">
        <v>683</v>
      </c>
      <c r="B1389" s="3">
        <v>41964</v>
      </c>
      <c r="C1389" s="4">
        <v>612</v>
      </c>
      <c r="E1389">
        <v>683</v>
      </c>
      <c r="F1389" s="3">
        <v>41964</v>
      </c>
      <c r="G1389" t="s">
        <v>261</v>
      </c>
      <c r="H1389" s="18">
        <v>612</v>
      </c>
      <c r="J1389" s="20" t="str">
        <f t="shared" si="81"/>
        <v/>
      </c>
      <c r="K1389" t="str">
        <f t="shared" si="83"/>
        <v/>
      </c>
      <c r="L1389" s="4">
        <f t="shared" si="82"/>
        <v>0</v>
      </c>
    </row>
    <row r="1390" spans="1:12" x14ac:dyDescent="0.25">
      <c r="A1390">
        <v>690</v>
      </c>
      <c r="B1390" s="3">
        <v>41964</v>
      </c>
      <c r="C1390" s="4">
        <v>1200</v>
      </c>
      <c r="E1390">
        <v>690</v>
      </c>
      <c r="F1390" s="3">
        <v>41964</v>
      </c>
      <c r="G1390" t="s">
        <v>48</v>
      </c>
      <c r="H1390" s="18">
        <v>1200</v>
      </c>
      <c r="J1390" s="20" t="str">
        <f t="shared" si="81"/>
        <v/>
      </c>
      <c r="K1390" t="str">
        <f t="shared" si="83"/>
        <v/>
      </c>
      <c r="L1390" s="4">
        <f t="shared" si="82"/>
        <v>0</v>
      </c>
    </row>
    <row r="1391" spans="1:12" x14ac:dyDescent="0.25">
      <c r="A1391">
        <v>692</v>
      </c>
      <c r="B1391" s="3">
        <v>41964</v>
      </c>
      <c r="C1391" s="4">
        <v>535.5</v>
      </c>
      <c r="E1391">
        <v>692</v>
      </c>
      <c r="F1391" s="3">
        <v>41964</v>
      </c>
      <c r="G1391" t="s">
        <v>50</v>
      </c>
      <c r="H1391" s="18">
        <v>535.5</v>
      </c>
      <c r="J1391" s="20" t="str">
        <f t="shared" si="81"/>
        <v/>
      </c>
      <c r="K1391" t="str">
        <f t="shared" si="83"/>
        <v/>
      </c>
      <c r="L1391" s="4">
        <f t="shared" si="82"/>
        <v>0</v>
      </c>
    </row>
    <row r="1392" spans="1:12" x14ac:dyDescent="0.25">
      <c r="A1392">
        <v>699</v>
      </c>
      <c r="B1392" s="3">
        <v>41964</v>
      </c>
      <c r="C1392" s="4">
        <v>650</v>
      </c>
      <c r="E1392">
        <v>699</v>
      </c>
      <c r="F1392" s="3">
        <v>41964</v>
      </c>
      <c r="G1392" t="s">
        <v>189</v>
      </c>
      <c r="H1392" s="18">
        <v>650</v>
      </c>
      <c r="J1392" s="20" t="str">
        <f t="shared" si="81"/>
        <v/>
      </c>
      <c r="K1392" t="str">
        <f t="shared" si="83"/>
        <v/>
      </c>
      <c r="L1392" s="4">
        <f t="shared" si="82"/>
        <v>0</v>
      </c>
    </row>
    <row r="1393" spans="1:12" x14ac:dyDescent="0.25">
      <c r="A1393">
        <v>703</v>
      </c>
      <c r="B1393" s="3">
        <v>41964</v>
      </c>
      <c r="C1393" s="4">
        <v>433.5</v>
      </c>
      <c r="E1393">
        <v>703</v>
      </c>
      <c r="F1393" s="3">
        <v>41964</v>
      </c>
      <c r="G1393" t="s">
        <v>51</v>
      </c>
      <c r="H1393" s="18">
        <v>433.5</v>
      </c>
      <c r="J1393" s="20" t="str">
        <f t="shared" si="81"/>
        <v/>
      </c>
      <c r="K1393" t="str">
        <f t="shared" si="83"/>
        <v/>
      </c>
      <c r="L1393" s="4">
        <f t="shared" si="82"/>
        <v>0</v>
      </c>
    </row>
    <row r="1394" spans="1:12" x14ac:dyDescent="0.25">
      <c r="A1394">
        <v>714</v>
      </c>
      <c r="B1394" s="3">
        <v>41964</v>
      </c>
      <c r="C1394" s="4">
        <v>500</v>
      </c>
      <c r="E1394">
        <v>714</v>
      </c>
      <c r="F1394" s="3">
        <v>41964</v>
      </c>
      <c r="G1394" t="s">
        <v>171</v>
      </c>
      <c r="H1394" s="18">
        <v>500</v>
      </c>
      <c r="J1394" s="20" t="str">
        <f t="shared" si="81"/>
        <v/>
      </c>
      <c r="K1394" t="str">
        <f t="shared" si="83"/>
        <v/>
      </c>
      <c r="L1394" s="4">
        <f t="shared" si="82"/>
        <v>0</v>
      </c>
    </row>
    <row r="1395" spans="1:12" x14ac:dyDescent="0.25">
      <c r="A1395">
        <v>719</v>
      </c>
      <c r="B1395" s="3">
        <v>41964</v>
      </c>
      <c r="C1395" s="4">
        <v>240</v>
      </c>
      <c r="E1395">
        <v>719</v>
      </c>
      <c r="F1395" s="3">
        <v>41964</v>
      </c>
      <c r="G1395" t="s">
        <v>262</v>
      </c>
      <c r="H1395" s="18">
        <v>240</v>
      </c>
      <c r="J1395" s="20" t="str">
        <f t="shared" si="81"/>
        <v/>
      </c>
      <c r="K1395" t="str">
        <f t="shared" si="83"/>
        <v/>
      </c>
      <c r="L1395" s="4">
        <f t="shared" si="82"/>
        <v>0</v>
      </c>
    </row>
    <row r="1396" spans="1:12" x14ac:dyDescent="0.25">
      <c r="A1396">
        <v>726</v>
      </c>
      <c r="B1396" s="3">
        <v>41964</v>
      </c>
      <c r="C1396" s="4">
        <v>1759.5</v>
      </c>
      <c r="E1396">
        <v>726</v>
      </c>
      <c r="F1396" s="3">
        <v>41964</v>
      </c>
      <c r="G1396" t="s">
        <v>53</v>
      </c>
      <c r="H1396" s="18">
        <v>1759.5</v>
      </c>
      <c r="J1396" s="20" t="str">
        <f t="shared" si="81"/>
        <v/>
      </c>
      <c r="K1396" t="str">
        <f t="shared" si="83"/>
        <v/>
      </c>
      <c r="L1396" s="4">
        <f t="shared" si="82"/>
        <v>0</v>
      </c>
    </row>
    <row r="1397" spans="1:12" x14ac:dyDescent="0.25">
      <c r="A1397">
        <v>735</v>
      </c>
      <c r="B1397" s="3">
        <v>41964</v>
      </c>
      <c r="C1397" s="4">
        <v>959</v>
      </c>
      <c r="E1397">
        <v>735</v>
      </c>
      <c r="F1397" s="3">
        <v>41964</v>
      </c>
      <c r="G1397" t="s">
        <v>54</v>
      </c>
      <c r="H1397" s="18">
        <v>959</v>
      </c>
      <c r="J1397" s="20" t="str">
        <f t="shared" si="81"/>
        <v/>
      </c>
      <c r="K1397" t="str">
        <f t="shared" si="83"/>
        <v/>
      </c>
      <c r="L1397" s="4">
        <f t="shared" si="82"/>
        <v>0</v>
      </c>
    </row>
    <row r="1398" spans="1:12" x14ac:dyDescent="0.25">
      <c r="A1398">
        <v>764</v>
      </c>
      <c r="B1398" s="3">
        <v>41964</v>
      </c>
      <c r="C1398" s="4">
        <v>775</v>
      </c>
      <c r="E1398">
        <v>764</v>
      </c>
      <c r="F1398" s="3">
        <v>41964</v>
      </c>
      <c r="G1398" t="s">
        <v>208</v>
      </c>
      <c r="H1398" s="18">
        <v>1175</v>
      </c>
      <c r="J1398" s="20" t="str">
        <f t="shared" si="81"/>
        <v/>
      </c>
      <c r="K1398" t="str">
        <f t="shared" si="83"/>
        <v/>
      </c>
      <c r="L1398" s="4">
        <f t="shared" si="82"/>
        <v>-400</v>
      </c>
    </row>
    <row r="1399" spans="1:12" x14ac:dyDescent="0.25">
      <c r="A1399">
        <v>771</v>
      </c>
      <c r="B1399" s="3">
        <v>41964</v>
      </c>
      <c r="C1399" s="4">
        <v>2407.5</v>
      </c>
      <c r="E1399">
        <v>771</v>
      </c>
      <c r="F1399" s="3">
        <v>41964</v>
      </c>
      <c r="G1399" t="s">
        <v>57</v>
      </c>
      <c r="H1399" s="18">
        <v>2407.5</v>
      </c>
      <c r="J1399" s="20" t="str">
        <f t="shared" si="81"/>
        <v/>
      </c>
      <c r="K1399" t="str">
        <f t="shared" si="83"/>
        <v/>
      </c>
      <c r="L1399" s="4">
        <f t="shared" si="82"/>
        <v>0</v>
      </c>
    </row>
    <row r="1400" spans="1:12" x14ac:dyDescent="0.25">
      <c r="A1400">
        <v>782</v>
      </c>
      <c r="B1400" s="3">
        <v>41964</v>
      </c>
      <c r="C1400" s="4">
        <v>1000</v>
      </c>
      <c r="E1400">
        <v>782</v>
      </c>
      <c r="F1400" s="3">
        <v>41964</v>
      </c>
      <c r="G1400" t="s">
        <v>173</v>
      </c>
      <c r="H1400" s="18">
        <v>1000</v>
      </c>
      <c r="J1400" s="20" t="str">
        <f t="shared" si="81"/>
        <v/>
      </c>
      <c r="K1400" t="str">
        <f t="shared" si="83"/>
        <v/>
      </c>
      <c r="L1400" s="4">
        <f t="shared" si="82"/>
        <v>0</v>
      </c>
    </row>
    <row r="1401" spans="1:12" x14ac:dyDescent="0.25">
      <c r="A1401">
        <v>790</v>
      </c>
      <c r="B1401" s="3">
        <v>41964</v>
      </c>
      <c r="C1401" s="4">
        <v>1096.5</v>
      </c>
      <c r="E1401">
        <v>790</v>
      </c>
      <c r="F1401" s="3">
        <v>41964</v>
      </c>
      <c r="G1401" t="s">
        <v>209</v>
      </c>
      <c r="H1401" s="18">
        <v>1096.5</v>
      </c>
      <c r="J1401" s="20" t="str">
        <f t="shared" si="81"/>
        <v/>
      </c>
      <c r="K1401" t="str">
        <f t="shared" si="83"/>
        <v/>
      </c>
      <c r="L1401" s="4">
        <f t="shared" si="82"/>
        <v>0</v>
      </c>
    </row>
    <row r="1402" spans="1:12" x14ac:dyDescent="0.25">
      <c r="A1402">
        <v>807</v>
      </c>
      <c r="B1402" s="3">
        <v>41964</v>
      </c>
      <c r="C1402" s="4">
        <v>484.5</v>
      </c>
      <c r="E1402">
        <v>807</v>
      </c>
      <c r="F1402" s="3">
        <v>41964</v>
      </c>
      <c r="G1402" t="s">
        <v>230</v>
      </c>
      <c r="H1402" s="18">
        <v>484.5</v>
      </c>
      <c r="J1402" s="20" t="str">
        <f t="shared" si="81"/>
        <v/>
      </c>
      <c r="K1402" t="str">
        <f t="shared" si="83"/>
        <v/>
      </c>
      <c r="L1402" s="4">
        <f t="shared" si="82"/>
        <v>0</v>
      </c>
    </row>
    <row r="1403" spans="1:12" x14ac:dyDescent="0.25">
      <c r="A1403">
        <v>831</v>
      </c>
      <c r="B1403" s="3">
        <v>41964</v>
      </c>
      <c r="C1403" s="4">
        <v>325</v>
      </c>
      <c r="E1403">
        <v>831</v>
      </c>
      <c r="F1403" s="3">
        <v>41964</v>
      </c>
      <c r="G1403" t="s">
        <v>238</v>
      </c>
      <c r="H1403" s="18">
        <v>325</v>
      </c>
      <c r="J1403" s="20" t="str">
        <f t="shared" si="81"/>
        <v/>
      </c>
      <c r="K1403" t="str">
        <f t="shared" si="83"/>
        <v/>
      </c>
      <c r="L1403" s="4">
        <f t="shared" si="82"/>
        <v>0</v>
      </c>
    </row>
    <row r="1404" spans="1:12" x14ac:dyDescent="0.25">
      <c r="A1404">
        <v>295</v>
      </c>
      <c r="B1404" s="3">
        <v>41966</v>
      </c>
      <c r="C1404" s="4">
        <v>2300</v>
      </c>
      <c r="E1404">
        <v>295</v>
      </c>
      <c r="F1404" s="3">
        <v>41966</v>
      </c>
      <c r="G1404" t="s">
        <v>103</v>
      </c>
      <c r="H1404" s="18">
        <v>2300</v>
      </c>
      <c r="J1404" s="20" t="str">
        <f t="shared" si="81"/>
        <v/>
      </c>
      <c r="K1404" t="str">
        <f t="shared" si="83"/>
        <v/>
      </c>
      <c r="L1404" s="4">
        <f t="shared" si="82"/>
        <v>0</v>
      </c>
    </row>
    <row r="1405" spans="1:12" x14ac:dyDescent="0.25">
      <c r="A1405">
        <v>551</v>
      </c>
      <c r="B1405" s="3">
        <v>41967</v>
      </c>
      <c r="C1405" s="4">
        <v>400</v>
      </c>
      <c r="E1405">
        <v>551</v>
      </c>
      <c r="F1405" s="3">
        <v>41967</v>
      </c>
      <c r="G1405" t="s">
        <v>166</v>
      </c>
      <c r="H1405" s="18">
        <v>400</v>
      </c>
      <c r="J1405" s="20" t="str">
        <f t="shared" si="81"/>
        <v/>
      </c>
      <c r="K1405" t="str">
        <f t="shared" si="83"/>
        <v/>
      </c>
      <c r="L1405" s="4">
        <f t="shared" si="82"/>
        <v>0</v>
      </c>
    </row>
    <row r="1406" spans="1:12" x14ac:dyDescent="0.25">
      <c r="A1406">
        <v>37</v>
      </c>
      <c r="B1406" s="3">
        <v>41968</v>
      </c>
      <c r="C1406" s="4">
        <v>375</v>
      </c>
      <c r="E1406">
        <v>37</v>
      </c>
      <c r="F1406" s="3">
        <v>41968</v>
      </c>
      <c r="G1406" t="s">
        <v>77</v>
      </c>
      <c r="H1406" s="18">
        <v>375</v>
      </c>
      <c r="J1406" s="20" t="str">
        <f t="shared" si="81"/>
        <v/>
      </c>
      <c r="K1406" t="str">
        <f t="shared" si="83"/>
        <v/>
      </c>
      <c r="L1406" s="4">
        <f t="shared" si="82"/>
        <v>0</v>
      </c>
    </row>
    <row r="1407" spans="1:12" x14ac:dyDescent="0.25">
      <c r="A1407">
        <v>218</v>
      </c>
      <c r="B1407" s="3">
        <v>41968</v>
      </c>
      <c r="C1407" s="4">
        <v>2368</v>
      </c>
      <c r="E1407">
        <v>218</v>
      </c>
      <c r="F1407" s="3">
        <v>41968</v>
      </c>
      <c r="G1407" t="s">
        <v>233</v>
      </c>
      <c r="H1407" s="18">
        <v>2368</v>
      </c>
      <c r="J1407" s="20" t="str">
        <f t="shared" si="81"/>
        <v/>
      </c>
      <c r="K1407" t="str">
        <f t="shared" si="83"/>
        <v/>
      </c>
      <c r="L1407" s="4">
        <f t="shared" si="82"/>
        <v>0</v>
      </c>
    </row>
    <row r="1408" spans="1:12" x14ac:dyDescent="0.25">
      <c r="A1408">
        <v>250</v>
      </c>
      <c r="B1408" s="3">
        <v>41968</v>
      </c>
      <c r="C1408" s="4">
        <v>219.05</v>
      </c>
      <c r="E1408">
        <v>250</v>
      </c>
      <c r="F1408" s="3">
        <v>41968</v>
      </c>
      <c r="G1408" t="s">
        <v>212</v>
      </c>
      <c r="H1408" s="18">
        <v>219.05</v>
      </c>
      <c r="J1408" s="20" t="str">
        <f t="shared" si="81"/>
        <v/>
      </c>
      <c r="K1408" t="str">
        <f t="shared" si="83"/>
        <v/>
      </c>
      <c r="L1408" s="4">
        <f t="shared" si="82"/>
        <v>0</v>
      </c>
    </row>
    <row r="1409" spans="1:12" x14ac:dyDescent="0.25">
      <c r="A1409">
        <v>332</v>
      </c>
      <c r="B1409" s="3">
        <v>41968</v>
      </c>
      <c r="C1409" s="4">
        <v>1203.5999999999999</v>
      </c>
      <c r="E1409">
        <v>332</v>
      </c>
      <c r="F1409" s="3">
        <v>41968</v>
      </c>
      <c r="G1409" t="s">
        <v>27</v>
      </c>
      <c r="H1409" s="18">
        <v>1203.5999999999999</v>
      </c>
      <c r="J1409" s="20" t="str">
        <f t="shared" ref="J1409:J1472" si="84">IF(E1409=A1409,"","CHECK")</f>
        <v/>
      </c>
      <c r="K1409" t="str">
        <f t="shared" si="83"/>
        <v/>
      </c>
      <c r="L1409" s="4">
        <f t="shared" ref="L1409:L1472" si="85">C1409-H1409</f>
        <v>0</v>
      </c>
    </row>
    <row r="1410" spans="1:12" x14ac:dyDescent="0.25">
      <c r="A1410">
        <v>365</v>
      </c>
      <c r="B1410" s="3">
        <v>41968</v>
      </c>
      <c r="C1410" s="4">
        <v>561</v>
      </c>
      <c r="E1410">
        <v>365</v>
      </c>
      <c r="F1410" s="3">
        <v>41968</v>
      </c>
      <c r="G1410" t="s">
        <v>29</v>
      </c>
      <c r="H1410" s="18">
        <v>561</v>
      </c>
      <c r="J1410" s="20" t="str">
        <f t="shared" si="84"/>
        <v/>
      </c>
      <c r="K1410" t="str">
        <f t="shared" si="83"/>
        <v/>
      </c>
      <c r="L1410" s="4">
        <f t="shared" si="85"/>
        <v>0</v>
      </c>
    </row>
    <row r="1411" spans="1:12" x14ac:dyDescent="0.25">
      <c r="A1411">
        <v>387</v>
      </c>
      <c r="B1411" s="3">
        <v>41968</v>
      </c>
      <c r="C1411" s="4">
        <v>357</v>
      </c>
      <c r="E1411">
        <v>387</v>
      </c>
      <c r="F1411" s="3">
        <v>41968</v>
      </c>
      <c r="G1411" t="s">
        <v>110</v>
      </c>
      <c r="H1411" s="18">
        <v>357</v>
      </c>
      <c r="J1411" s="20" t="str">
        <f t="shared" si="84"/>
        <v/>
      </c>
      <c r="K1411" t="str">
        <f t="shared" ref="K1411:K1474" si="86">IF(F1411=B1411,"","CHECK")</f>
        <v/>
      </c>
      <c r="L1411" s="4">
        <f t="shared" si="85"/>
        <v>0</v>
      </c>
    </row>
    <row r="1412" spans="1:12" x14ac:dyDescent="0.25">
      <c r="A1412">
        <v>392</v>
      </c>
      <c r="B1412" s="3">
        <v>41968</v>
      </c>
      <c r="C1412" s="4">
        <v>1500</v>
      </c>
      <c r="E1412">
        <v>392</v>
      </c>
      <c r="F1412" s="3">
        <v>41968</v>
      </c>
      <c r="G1412" t="s">
        <v>111</v>
      </c>
      <c r="H1412" s="18">
        <v>1500</v>
      </c>
      <c r="J1412" s="20" t="str">
        <f t="shared" si="84"/>
        <v/>
      </c>
      <c r="K1412" t="str">
        <f t="shared" si="86"/>
        <v/>
      </c>
      <c r="L1412" s="4">
        <f t="shared" si="85"/>
        <v>0</v>
      </c>
    </row>
    <row r="1413" spans="1:12" x14ac:dyDescent="0.25">
      <c r="A1413">
        <v>410</v>
      </c>
      <c r="B1413" s="3">
        <v>41968</v>
      </c>
      <c r="C1413" s="4">
        <v>2906.12</v>
      </c>
      <c r="E1413">
        <v>410</v>
      </c>
      <c r="F1413" s="3">
        <v>41968</v>
      </c>
      <c r="G1413" t="s">
        <v>32</v>
      </c>
      <c r="H1413" s="18">
        <v>2906.12</v>
      </c>
      <c r="J1413" s="20" t="str">
        <f t="shared" si="84"/>
        <v/>
      </c>
      <c r="K1413" t="str">
        <f t="shared" si="86"/>
        <v/>
      </c>
      <c r="L1413" s="4">
        <f t="shared" si="85"/>
        <v>0</v>
      </c>
    </row>
    <row r="1414" spans="1:12" x14ac:dyDescent="0.25">
      <c r="A1414">
        <v>422</v>
      </c>
      <c r="B1414" s="3">
        <v>41968</v>
      </c>
      <c r="C1414" s="4">
        <v>500</v>
      </c>
      <c r="E1414">
        <v>422</v>
      </c>
      <c r="F1414" s="3">
        <v>41968</v>
      </c>
      <c r="G1414" t="s">
        <v>165</v>
      </c>
      <c r="H1414" s="18">
        <v>500</v>
      </c>
      <c r="J1414" s="20" t="str">
        <f t="shared" si="84"/>
        <v/>
      </c>
      <c r="K1414" t="str">
        <f t="shared" si="86"/>
        <v/>
      </c>
      <c r="L1414" s="4">
        <f t="shared" si="85"/>
        <v>0</v>
      </c>
    </row>
    <row r="1415" spans="1:12" x14ac:dyDescent="0.25">
      <c r="A1415">
        <v>580</v>
      </c>
      <c r="B1415" s="3">
        <v>41968</v>
      </c>
      <c r="C1415" s="4">
        <v>1500</v>
      </c>
      <c r="E1415">
        <v>580</v>
      </c>
      <c r="F1415" s="3">
        <v>41968</v>
      </c>
      <c r="G1415" t="s">
        <v>37</v>
      </c>
      <c r="H1415" s="18">
        <v>1500</v>
      </c>
      <c r="J1415" s="20" t="str">
        <f t="shared" si="84"/>
        <v/>
      </c>
      <c r="K1415" t="str">
        <f t="shared" si="86"/>
        <v/>
      </c>
      <c r="L1415" s="4">
        <f t="shared" si="85"/>
        <v>0</v>
      </c>
    </row>
    <row r="1416" spans="1:12" x14ac:dyDescent="0.25">
      <c r="A1416">
        <v>582</v>
      </c>
      <c r="B1416" s="3">
        <v>41968</v>
      </c>
      <c r="C1416" s="4">
        <v>500</v>
      </c>
      <c r="E1416">
        <v>582</v>
      </c>
      <c r="F1416" s="3">
        <v>41968</v>
      </c>
      <c r="G1416" t="s">
        <v>123</v>
      </c>
      <c r="H1416" s="18">
        <v>500</v>
      </c>
      <c r="J1416" s="20" t="str">
        <f t="shared" si="84"/>
        <v/>
      </c>
      <c r="K1416" t="str">
        <f t="shared" si="86"/>
        <v/>
      </c>
      <c r="L1416" s="4">
        <f t="shared" si="85"/>
        <v>0</v>
      </c>
    </row>
    <row r="1417" spans="1:12" x14ac:dyDescent="0.25">
      <c r="A1417">
        <v>599</v>
      </c>
      <c r="B1417" s="3">
        <v>41968</v>
      </c>
      <c r="C1417" s="4">
        <v>2000</v>
      </c>
      <c r="E1417">
        <v>599</v>
      </c>
      <c r="F1417" s="3">
        <v>41968</v>
      </c>
      <c r="G1417" t="s">
        <v>125</v>
      </c>
      <c r="H1417" s="18">
        <v>2000</v>
      </c>
      <c r="J1417" s="20" t="str">
        <f t="shared" si="84"/>
        <v/>
      </c>
      <c r="K1417" t="str">
        <f t="shared" si="86"/>
        <v/>
      </c>
      <c r="L1417" s="4">
        <f t="shared" si="85"/>
        <v>0</v>
      </c>
    </row>
    <row r="1418" spans="1:12" x14ac:dyDescent="0.25">
      <c r="A1418">
        <v>626</v>
      </c>
      <c r="B1418" s="3">
        <v>41968</v>
      </c>
      <c r="C1418" s="4">
        <v>745.18</v>
      </c>
      <c r="E1418">
        <v>626</v>
      </c>
      <c r="F1418" s="3">
        <v>41968</v>
      </c>
      <c r="G1418" t="s">
        <v>187</v>
      </c>
      <c r="H1418" s="18">
        <v>745.18</v>
      </c>
      <c r="J1418" s="20" t="str">
        <f t="shared" si="84"/>
        <v/>
      </c>
      <c r="K1418" t="str">
        <f t="shared" si="86"/>
        <v/>
      </c>
      <c r="L1418" s="4">
        <f t="shared" si="85"/>
        <v>0</v>
      </c>
    </row>
    <row r="1419" spans="1:12" x14ac:dyDescent="0.25">
      <c r="A1419">
        <v>664</v>
      </c>
      <c r="B1419" s="3">
        <v>41968</v>
      </c>
      <c r="C1419" s="4">
        <v>1000</v>
      </c>
      <c r="E1419">
        <v>664</v>
      </c>
      <c r="F1419" s="3">
        <v>41968</v>
      </c>
      <c r="G1419" t="s">
        <v>226</v>
      </c>
      <c r="H1419" s="18">
        <v>1000</v>
      </c>
      <c r="J1419" s="20" t="str">
        <f t="shared" si="84"/>
        <v/>
      </c>
      <c r="K1419" t="str">
        <f t="shared" si="86"/>
        <v/>
      </c>
      <c r="L1419" s="4">
        <f t="shared" si="85"/>
        <v>0</v>
      </c>
    </row>
    <row r="1420" spans="1:12" x14ac:dyDescent="0.25">
      <c r="A1420">
        <v>676</v>
      </c>
      <c r="B1420" s="3">
        <v>41968</v>
      </c>
      <c r="C1420" s="4">
        <v>1530</v>
      </c>
      <c r="E1420">
        <v>676</v>
      </c>
      <c r="F1420" s="3">
        <v>41968</v>
      </c>
      <c r="G1420" t="s">
        <v>246</v>
      </c>
      <c r="H1420" s="18">
        <v>1530</v>
      </c>
      <c r="J1420" s="20" t="str">
        <f t="shared" si="84"/>
        <v/>
      </c>
      <c r="K1420" t="str">
        <f t="shared" si="86"/>
        <v/>
      </c>
      <c r="L1420" s="4">
        <f t="shared" si="85"/>
        <v>0</v>
      </c>
    </row>
    <row r="1421" spans="1:12" x14ac:dyDescent="0.25">
      <c r="A1421">
        <v>678</v>
      </c>
      <c r="B1421" s="3">
        <v>41968</v>
      </c>
      <c r="C1421" s="4">
        <v>975</v>
      </c>
      <c r="E1421">
        <v>678</v>
      </c>
      <c r="F1421" s="3">
        <v>41968</v>
      </c>
      <c r="G1421" t="s">
        <v>255</v>
      </c>
      <c r="H1421" s="18">
        <v>975</v>
      </c>
      <c r="J1421" s="20" t="str">
        <f t="shared" si="84"/>
        <v/>
      </c>
      <c r="K1421" t="str">
        <f t="shared" si="86"/>
        <v/>
      </c>
      <c r="L1421" s="4">
        <f t="shared" si="85"/>
        <v>0</v>
      </c>
    </row>
    <row r="1422" spans="1:12" x14ac:dyDescent="0.25">
      <c r="A1422">
        <v>703</v>
      </c>
      <c r="B1422" s="3">
        <v>41968</v>
      </c>
      <c r="C1422" s="4">
        <v>1020</v>
      </c>
      <c r="E1422">
        <v>703</v>
      </c>
      <c r="F1422" s="3">
        <v>41968</v>
      </c>
      <c r="G1422" t="s">
        <v>51</v>
      </c>
      <c r="H1422" s="18">
        <v>1020</v>
      </c>
      <c r="J1422" s="20" t="str">
        <f t="shared" si="84"/>
        <v/>
      </c>
      <c r="K1422" t="str">
        <f t="shared" si="86"/>
        <v/>
      </c>
      <c r="L1422" s="4">
        <f t="shared" si="85"/>
        <v>0</v>
      </c>
    </row>
    <row r="1423" spans="1:12" x14ac:dyDescent="0.25">
      <c r="A1423">
        <v>705</v>
      </c>
      <c r="B1423" s="3">
        <v>41968</v>
      </c>
      <c r="C1423" s="4">
        <v>500</v>
      </c>
      <c r="E1423">
        <v>705</v>
      </c>
      <c r="F1423" s="3">
        <v>41968</v>
      </c>
      <c r="G1423" t="s">
        <v>256</v>
      </c>
      <c r="H1423" s="18">
        <v>500</v>
      </c>
      <c r="J1423" s="20" t="str">
        <f t="shared" si="84"/>
        <v/>
      </c>
      <c r="K1423" t="str">
        <f t="shared" si="86"/>
        <v/>
      </c>
      <c r="L1423" s="4">
        <f t="shared" si="85"/>
        <v>0</v>
      </c>
    </row>
    <row r="1424" spans="1:12" x14ac:dyDescent="0.25">
      <c r="A1424">
        <v>708</v>
      </c>
      <c r="B1424" s="3">
        <v>41968</v>
      </c>
      <c r="C1424" s="4">
        <v>1657.5</v>
      </c>
      <c r="E1424">
        <v>708</v>
      </c>
      <c r="F1424" s="3">
        <v>41968</v>
      </c>
      <c r="G1424" t="s">
        <v>206</v>
      </c>
      <c r="H1424" s="18">
        <v>1198.5</v>
      </c>
      <c r="J1424" s="20" t="str">
        <f t="shared" si="84"/>
        <v/>
      </c>
      <c r="K1424" t="str">
        <f t="shared" si="86"/>
        <v/>
      </c>
      <c r="L1424" s="4">
        <f t="shared" si="85"/>
        <v>459</v>
      </c>
    </row>
    <row r="1425" spans="1:12" x14ac:dyDescent="0.25">
      <c r="A1425">
        <v>714</v>
      </c>
      <c r="B1425" s="3">
        <v>41968</v>
      </c>
      <c r="C1425" s="4">
        <v>500</v>
      </c>
      <c r="E1425">
        <v>714</v>
      </c>
      <c r="F1425" s="3">
        <v>41968</v>
      </c>
      <c r="G1425" t="s">
        <v>171</v>
      </c>
      <c r="H1425" s="18">
        <v>500</v>
      </c>
      <c r="J1425" s="20" t="str">
        <f t="shared" si="84"/>
        <v/>
      </c>
      <c r="K1425" t="str">
        <f t="shared" si="86"/>
        <v/>
      </c>
      <c r="L1425" s="4">
        <f t="shared" si="85"/>
        <v>0</v>
      </c>
    </row>
    <row r="1426" spans="1:12" x14ac:dyDescent="0.25">
      <c r="A1426">
        <v>715</v>
      </c>
      <c r="B1426" s="3">
        <v>41968</v>
      </c>
      <c r="C1426" s="4">
        <v>500</v>
      </c>
      <c r="E1426">
        <v>715</v>
      </c>
      <c r="F1426" s="3">
        <v>41968</v>
      </c>
      <c r="G1426" t="s">
        <v>235</v>
      </c>
      <c r="H1426" s="18">
        <v>500</v>
      </c>
      <c r="J1426" s="20" t="str">
        <f t="shared" si="84"/>
        <v/>
      </c>
      <c r="K1426" t="str">
        <f t="shared" si="86"/>
        <v/>
      </c>
      <c r="L1426" s="4">
        <f t="shared" si="85"/>
        <v>0</v>
      </c>
    </row>
    <row r="1427" spans="1:12" x14ac:dyDescent="0.25">
      <c r="A1427">
        <v>725</v>
      </c>
      <c r="B1427" s="3">
        <v>41968</v>
      </c>
      <c r="C1427" s="4">
        <v>1000</v>
      </c>
      <c r="E1427">
        <v>725</v>
      </c>
      <c r="F1427" s="3">
        <v>41968</v>
      </c>
      <c r="G1427" t="s">
        <v>229</v>
      </c>
      <c r="H1427" s="18">
        <v>1000</v>
      </c>
      <c r="J1427" s="20" t="str">
        <f t="shared" si="84"/>
        <v/>
      </c>
      <c r="K1427" t="str">
        <f t="shared" si="86"/>
        <v/>
      </c>
      <c r="L1427" s="4">
        <f t="shared" si="85"/>
        <v>0</v>
      </c>
    </row>
    <row r="1428" spans="1:12" x14ac:dyDescent="0.25">
      <c r="A1428">
        <v>730</v>
      </c>
      <c r="B1428" s="3">
        <v>41968</v>
      </c>
      <c r="C1428" s="4">
        <v>688.5</v>
      </c>
      <c r="E1428">
        <v>730</v>
      </c>
      <c r="F1428" s="3">
        <v>41968</v>
      </c>
      <c r="G1428" t="s">
        <v>257</v>
      </c>
      <c r="H1428" s="18">
        <v>688.5</v>
      </c>
      <c r="J1428" s="20" t="str">
        <f t="shared" si="84"/>
        <v/>
      </c>
      <c r="K1428" t="str">
        <f t="shared" si="86"/>
        <v/>
      </c>
      <c r="L1428" s="4">
        <f t="shared" si="85"/>
        <v>0</v>
      </c>
    </row>
    <row r="1429" spans="1:12" x14ac:dyDescent="0.25">
      <c r="A1429">
        <v>750</v>
      </c>
      <c r="B1429" s="3">
        <v>41968</v>
      </c>
      <c r="C1429" s="4">
        <v>1000</v>
      </c>
      <c r="E1429">
        <v>750</v>
      </c>
      <c r="F1429" s="3">
        <v>41968</v>
      </c>
      <c r="G1429" t="s">
        <v>55</v>
      </c>
      <c r="H1429" s="18">
        <v>1000</v>
      </c>
      <c r="J1429" s="20" t="str">
        <f t="shared" si="84"/>
        <v/>
      </c>
      <c r="K1429" t="str">
        <f t="shared" si="86"/>
        <v/>
      </c>
      <c r="L1429" s="4">
        <f t="shared" si="85"/>
        <v>0</v>
      </c>
    </row>
    <row r="1430" spans="1:12" x14ac:dyDescent="0.25">
      <c r="A1430">
        <v>782</v>
      </c>
      <c r="B1430" s="3">
        <v>41968</v>
      </c>
      <c r="C1430" s="4">
        <v>1000</v>
      </c>
      <c r="E1430">
        <v>782</v>
      </c>
      <c r="F1430" s="3">
        <v>41968</v>
      </c>
      <c r="G1430" t="s">
        <v>173</v>
      </c>
      <c r="H1430" s="18">
        <v>1000</v>
      </c>
      <c r="J1430" s="20" t="str">
        <f t="shared" si="84"/>
        <v/>
      </c>
      <c r="K1430" t="str">
        <f t="shared" si="86"/>
        <v/>
      </c>
      <c r="L1430" s="4">
        <f t="shared" si="85"/>
        <v>0</v>
      </c>
    </row>
    <row r="1431" spans="1:12" x14ac:dyDescent="0.25">
      <c r="A1431">
        <v>793</v>
      </c>
      <c r="B1431" s="3">
        <v>41968</v>
      </c>
      <c r="C1431" s="4">
        <v>612</v>
      </c>
      <c r="E1431">
        <v>793</v>
      </c>
      <c r="F1431" s="3">
        <v>41968</v>
      </c>
      <c r="G1431" t="s">
        <v>191</v>
      </c>
      <c r="H1431" s="18">
        <v>612</v>
      </c>
      <c r="J1431" s="20" t="str">
        <f t="shared" si="84"/>
        <v/>
      </c>
      <c r="K1431" t="str">
        <f t="shared" si="86"/>
        <v/>
      </c>
      <c r="L1431" s="4">
        <f t="shared" si="85"/>
        <v>0</v>
      </c>
    </row>
    <row r="1432" spans="1:12" x14ac:dyDescent="0.25">
      <c r="A1432">
        <v>817</v>
      </c>
      <c r="B1432" s="3">
        <v>41968</v>
      </c>
      <c r="C1432" s="4">
        <v>561</v>
      </c>
      <c r="E1432">
        <v>817</v>
      </c>
      <c r="F1432" s="3">
        <v>41968</v>
      </c>
      <c r="G1432" t="s">
        <v>60</v>
      </c>
      <c r="H1432" s="18">
        <v>561</v>
      </c>
      <c r="J1432" s="20" t="str">
        <f t="shared" si="84"/>
        <v/>
      </c>
      <c r="K1432" t="str">
        <f t="shared" si="86"/>
        <v/>
      </c>
      <c r="L1432" s="4">
        <f t="shared" si="85"/>
        <v>0</v>
      </c>
    </row>
    <row r="1433" spans="1:12" x14ac:dyDescent="0.25">
      <c r="A1433">
        <v>821</v>
      </c>
      <c r="B1433" s="3">
        <v>41968</v>
      </c>
      <c r="C1433" s="4">
        <v>600</v>
      </c>
      <c r="E1433">
        <v>821</v>
      </c>
      <c r="F1433" s="3">
        <v>41968</v>
      </c>
      <c r="G1433" t="s">
        <v>258</v>
      </c>
      <c r="H1433" s="18">
        <v>600</v>
      </c>
      <c r="J1433" s="20" t="str">
        <f t="shared" si="84"/>
        <v/>
      </c>
      <c r="K1433" t="str">
        <f t="shared" si="86"/>
        <v/>
      </c>
      <c r="L1433" s="4">
        <f t="shared" si="85"/>
        <v>0</v>
      </c>
    </row>
    <row r="1434" spans="1:12" x14ac:dyDescent="0.25">
      <c r="A1434">
        <v>269</v>
      </c>
      <c r="B1434" s="3">
        <v>41969</v>
      </c>
      <c r="C1434" s="4">
        <v>2000</v>
      </c>
      <c r="E1434">
        <v>269</v>
      </c>
      <c r="F1434" s="3">
        <v>41969</v>
      </c>
      <c r="G1434" t="s">
        <v>254</v>
      </c>
      <c r="H1434" s="18">
        <v>2000</v>
      </c>
      <c r="J1434" s="20" t="str">
        <f t="shared" si="84"/>
        <v/>
      </c>
      <c r="K1434" t="str">
        <f t="shared" si="86"/>
        <v/>
      </c>
      <c r="L1434" s="4">
        <f t="shared" si="85"/>
        <v>0</v>
      </c>
    </row>
    <row r="1435" spans="1:12" x14ac:dyDescent="0.25">
      <c r="A1435">
        <v>615</v>
      </c>
      <c r="B1435" s="3">
        <v>41969</v>
      </c>
      <c r="C1435" s="4">
        <v>1338.71</v>
      </c>
      <c r="E1435">
        <v>615</v>
      </c>
      <c r="F1435" s="3">
        <v>41969</v>
      </c>
      <c r="G1435" t="s">
        <v>201</v>
      </c>
      <c r="H1435" s="18">
        <v>1338.71</v>
      </c>
      <c r="J1435" s="20" t="str">
        <f t="shared" si="84"/>
        <v/>
      </c>
      <c r="K1435" t="str">
        <f t="shared" si="86"/>
        <v/>
      </c>
      <c r="L1435" s="4">
        <f t="shared" si="85"/>
        <v>0</v>
      </c>
    </row>
    <row r="1436" spans="1:12" x14ac:dyDescent="0.25">
      <c r="A1436">
        <v>77</v>
      </c>
      <c r="B1436" s="3">
        <v>41971</v>
      </c>
      <c r="C1436" s="4">
        <v>3550</v>
      </c>
      <c r="E1436">
        <v>77</v>
      </c>
      <c r="F1436" s="3">
        <v>41971</v>
      </c>
      <c r="G1436" t="s">
        <v>11</v>
      </c>
      <c r="H1436" s="18">
        <v>3550</v>
      </c>
      <c r="J1436" s="20" t="str">
        <f t="shared" si="84"/>
        <v/>
      </c>
      <c r="K1436" t="str">
        <f t="shared" si="86"/>
        <v/>
      </c>
      <c r="L1436" s="4">
        <f t="shared" si="85"/>
        <v>0</v>
      </c>
    </row>
    <row r="1437" spans="1:12" x14ac:dyDescent="0.25">
      <c r="A1437">
        <v>94</v>
      </c>
      <c r="B1437" s="3">
        <v>41971</v>
      </c>
      <c r="C1437" s="4">
        <v>1275</v>
      </c>
      <c r="E1437">
        <v>94</v>
      </c>
      <c r="F1437" s="3">
        <v>41971</v>
      </c>
      <c r="G1437" t="s">
        <v>182</v>
      </c>
      <c r="H1437" s="18">
        <v>1275</v>
      </c>
      <c r="J1437" s="20" t="str">
        <f t="shared" si="84"/>
        <v/>
      </c>
      <c r="K1437" t="str">
        <f t="shared" si="86"/>
        <v/>
      </c>
      <c r="L1437" s="4">
        <f t="shared" si="85"/>
        <v>0</v>
      </c>
    </row>
    <row r="1438" spans="1:12" x14ac:dyDescent="0.25">
      <c r="A1438">
        <v>149</v>
      </c>
      <c r="B1438" s="3">
        <v>41971</v>
      </c>
      <c r="C1438" s="4">
        <v>637.5</v>
      </c>
      <c r="E1438">
        <v>149</v>
      </c>
      <c r="F1438" s="3">
        <v>41971</v>
      </c>
      <c r="G1438" t="s">
        <v>241</v>
      </c>
      <c r="H1438" s="18">
        <v>637.5</v>
      </c>
      <c r="J1438" s="20" t="str">
        <f t="shared" si="84"/>
        <v/>
      </c>
      <c r="K1438" t="str">
        <f t="shared" si="86"/>
        <v/>
      </c>
      <c r="L1438" s="4">
        <f t="shared" si="85"/>
        <v>0</v>
      </c>
    </row>
    <row r="1439" spans="1:12" x14ac:dyDescent="0.25">
      <c r="A1439">
        <v>185</v>
      </c>
      <c r="B1439" s="3">
        <v>41971</v>
      </c>
      <c r="C1439" s="4">
        <v>314.32</v>
      </c>
      <c r="E1439">
        <v>185</v>
      </c>
      <c r="F1439" s="3">
        <v>41971</v>
      </c>
      <c r="G1439" t="s">
        <v>17</v>
      </c>
      <c r="H1439" s="18">
        <v>314.32</v>
      </c>
      <c r="J1439" s="20" t="str">
        <f t="shared" si="84"/>
        <v/>
      </c>
      <c r="K1439" t="str">
        <f t="shared" si="86"/>
        <v/>
      </c>
      <c r="L1439" s="4">
        <f t="shared" si="85"/>
        <v>0</v>
      </c>
    </row>
    <row r="1440" spans="1:12" x14ac:dyDescent="0.25">
      <c r="A1440">
        <v>261</v>
      </c>
      <c r="B1440" s="3">
        <v>41971</v>
      </c>
      <c r="C1440" s="4">
        <v>2204</v>
      </c>
      <c r="E1440">
        <v>261</v>
      </c>
      <c r="F1440" s="3">
        <v>41971</v>
      </c>
      <c r="G1440" t="s">
        <v>22</v>
      </c>
      <c r="H1440" s="18">
        <v>2204</v>
      </c>
      <c r="J1440" s="20" t="str">
        <f t="shared" si="84"/>
        <v/>
      </c>
      <c r="K1440" t="str">
        <f t="shared" si="86"/>
        <v/>
      </c>
      <c r="L1440" s="4">
        <f t="shared" si="85"/>
        <v>0</v>
      </c>
    </row>
    <row r="1441" spans="1:12" x14ac:dyDescent="0.25">
      <c r="A1441">
        <v>355</v>
      </c>
      <c r="B1441" s="3">
        <v>41971</v>
      </c>
      <c r="C1441" s="4">
        <v>93.46</v>
      </c>
      <c r="E1441">
        <v>355</v>
      </c>
      <c r="F1441" s="3">
        <v>41971</v>
      </c>
      <c r="G1441" t="s">
        <v>108</v>
      </c>
      <c r="H1441" s="18">
        <v>93.46</v>
      </c>
      <c r="J1441" s="20" t="str">
        <f t="shared" si="84"/>
        <v/>
      </c>
      <c r="K1441" t="str">
        <f t="shared" si="86"/>
        <v/>
      </c>
      <c r="L1441" s="4">
        <f t="shared" si="85"/>
        <v>0</v>
      </c>
    </row>
    <row r="1442" spans="1:12" x14ac:dyDescent="0.25">
      <c r="A1442">
        <v>458</v>
      </c>
      <c r="B1442" s="3">
        <v>41971</v>
      </c>
      <c r="C1442" s="4">
        <v>-382.5</v>
      </c>
      <c r="E1442">
        <v>458</v>
      </c>
      <c r="F1442" s="3">
        <v>41971</v>
      </c>
      <c r="G1442" t="s">
        <v>185</v>
      </c>
      <c r="H1442" s="18">
        <v>-382.5</v>
      </c>
      <c r="J1442" s="20" t="str">
        <f t="shared" si="84"/>
        <v/>
      </c>
      <c r="K1442" t="str">
        <f t="shared" si="86"/>
        <v/>
      </c>
      <c r="L1442" s="4">
        <f t="shared" si="85"/>
        <v>0</v>
      </c>
    </row>
    <row r="1443" spans="1:12" x14ac:dyDescent="0.25">
      <c r="A1443">
        <v>530</v>
      </c>
      <c r="B1443" s="3">
        <v>41971</v>
      </c>
      <c r="C1443" s="4">
        <v>700</v>
      </c>
      <c r="E1443">
        <v>530</v>
      </c>
      <c r="F1443" s="3">
        <v>41971</v>
      </c>
      <c r="G1443" t="s">
        <v>35</v>
      </c>
      <c r="H1443" s="18">
        <v>700</v>
      </c>
      <c r="J1443" s="20" t="str">
        <f t="shared" si="84"/>
        <v/>
      </c>
      <c r="K1443" t="str">
        <f t="shared" si="86"/>
        <v/>
      </c>
      <c r="L1443" s="4">
        <f t="shared" si="85"/>
        <v>0</v>
      </c>
    </row>
    <row r="1444" spans="1:12" x14ac:dyDescent="0.25">
      <c r="A1444">
        <v>576</v>
      </c>
      <c r="B1444" s="3">
        <v>41971</v>
      </c>
      <c r="C1444" s="4">
        <v>1143.55</v>
      </c>
      <c r="E1444">
        <v>576</v>
      </c>
      <c r="F1444" s="3">
        <v>41971</v>
      </c>
      <c r="G1444" t="s">
        <v>36</v>
      </c>
      <c r="H1444" s="18">
        <v>1143.55</v>
      </c>
      <c r="J1444" s="20" t="str">
        <f t="shared" si="84"/>
        <v/>
      </c>
      <c r="K1444" t="str">
        <f t="shared" si="86"/>
        <v/>
      </c>
      <c r="L1444" s="4">
        <f t="shared" si="85"/>
        <v>0</v>
      </c>
    </row>
    <row r="1445" spans="1:12" x14ac:dyDescent="0.25">
      <c r="A1445">
        <v>583</v>
      </c>
      <c r="B1445" s="3">
        <v>41971</v>
      </c>
      <c r="C1445" s="4">
        <v>586.5</v>
      </c>
      <c r="E1445">
        <v>583</v>
      </c>
      <c r="F1445" s="3">
        <v>41971</v>
      </c>
      <c r="G1445" t="s">
        <v>124</v>
      </c>
      <c r="H1445" s="18">
        <v>586.5</v>
      </c>
      <c r="J1445" s="20" t="str">
        <f t="shared" si="84"/>
        <v/>
      </c>
      <c r="K1445" t="str">
        <f t="shared" si="86"/>
        <v/>
      </c>
      <c r="L1445" s="4">
        <f t="shared" si="85"/>
        <v>0</v>
      </c>
    </row>
    <row r="1446" spans="1:12" x14ac:dyDescent="0.25">
      <c r="A1446">
        <v>616</v>
      </c>
      <c r="B1446" s="3">
        <v>41971</v>
      </c>
      <c r="C1446" s="4">
        <v>637.5</v>
      </c>
      <c r="E1446">
        <v>616</v>
      </c>
      <c r="F1446" s="3">
        <v>41971</v>
      </c>
      <c r="G1446" t="s">
        <v>40</v>
      </c>
      <c r="H1446" s="18">
        <v>637.5</v>
      </c>
      <c r="J1446" s="20" t="str">
        <f t="shared" si="84"/>
        <v/>
      </c>
      <c r="K1446" t="str">
        <f t="shared" si="86"/>
        <v/>
      </c>
      <c r="L1446" s="4">
        <f t="shared" si="85"/>
        <v>0</v>
      </c>
    </row>
    <row r="1447" spans="1:12" x14ac:dyDescent="0.25">
      <c r="A1447">
        <v>621</v>
      </c>
      <c r="B1447" s="3">
        <v>41971</v>
      </c>
      <c r="C1447" s="4">
        <v>612</v>
      </c>
      <c r="E1447">
        <v>621</v>
      </c>
      <c r="F1447" s="3">
        <v>41971</v>
      </c>
      <c r="G1447" t="s">
        <v>224</v>
      </c>
      <c r="H1447" s="18">
        <v>612</v>
      </c>
      <c r="J1447" s="20" t="str">
        <f t="shared" si="84"/>
        <v/>
      </c>
      <c r="K1447" t="str">
        <f t="shared" si="86"/>
        <v/>
      </c>
      <c r="L1447" s="4">
        <f t="shared" si="85"/>
        <v>0</v>
      </c>
    </row>
    <row r="1448" spans="1:12" x14ac:dyDescent="0.25">
      <c r="A1448">
        <v>657</v>
      </c>
      <c r="B1448" s="3">
        <v>41971</v>
      </c>
      <c r="C1448" s="4">
        <v>280.5</v>
      </c>
      <c r="E1448">
        <v>657</v>
      </c>
      <c r="F1448" s="3">
        <v>41971</v>
      </c>
      <c r="G1448" t="s">
        <v>131</v>
      </c>
      <c r="H1448" s="18">
        <v>280.5</v>
      </c>
      <c r="J1448" s="20" t="str">
        <f t="shared" si="84"/>
        <v/>
      </c>
      <c r="K1448" t="str">
        <f t="shared" si="86"/>
        <v/>
      </c>
      <c r="L1448" s="4">
        <f t="shared" si="85"/>
        <v>0</v>
      </c>
    </row>
    <row r="1449" spans="1:12" x14ac:dyDescent="0.25">
      <c r="A1449">
        <v>691</v>
      </c>
      <c r="B1449" s="3">
        <v>41971</v>
      </c>
      <c r="C1449" s="4">
        <v>1175.73</v>
      </c>
      <c r="E1449">
        <v>691</v>
      </c>
      <c r="F1449" s="3">
        <v>41971</v>
      </c>
      <c r="G1449" t="s">
        <v>49</v>
      </c>
      <c r="H1449" s="18">
        <v>1175.73</v>
      </c>
      <c r="J1449" s="20" t="str">
        <f t="shared" si="84"/>
        <v/>
      </c>
      <c r="K1449" t="str">
        <f t="shared" si="86"/>
        <v/>
      </c>
      <c r="L1449" s="4">
        <f t="shared" si="85"/>
        <v>0</v>
      </c>
    </row>
    <row r="1450" spans="1:12" x14ac:dyDescent="0.25">
      <c r="A1450">
        <v>702</v>
      </c>
      <c r="B1450" s="3">
        <v>41971</v>
      </c>
      <c r="C1450" s="4">
        <v>1800</v>
      </c>
      <c r="E1450">
        <v>702</v>
      </c>
      <c r="F1450" s="3">
        <v>41971</v>
      </c>
      <c r="G1450" t="s">
        <v>134</v>
      </c>
      <c r="H1450" s="18">
        <v>1800</v>
      </c>
      <c r="J1450" s="20" t="str">
        <f t="shared" si="84"/>
        <v/>
      </c>
      <c r="K1450" t="str">
        <f t="shared" si="86"/>
        <v/>
      </c>
      <c r="L1450" s="4">
        <f t="shared" si="85"/>
        <v>0</v>
      </c>
    </row>
    <row r="1451" spans="1:12" x14ac:dyDescent="0.25">
      <c r="A1451">
        <v>771</v>
      </c>
      <c r="B1451" s="3">
        <v>41971</v>
      </c>
      <c r="C1451" s="4">
        <v>816</v>
      </c>
      <c r="E1451">
        <v>771</v>
      </c>
      <c r="F1451" s="3">
        <v>41971</v>
      </c>
      <c r="G1451" t="s">
        <v>57</v>
      </c>
      <c r="H1451" s="18">
        <v>816</v>
      </c>
      <c r="J1451" s="20" t="str">
        <f t="shared" si="84"/>
        <v/>
      </c>
      <c r="K1451" t="str">
        <f t="shared" si="86"/>
        <v/>
      </c>
      <c r="L1451" s="4">
        <f t="shared" si="85"/>
        <v>0</v>
      </c>
    </row>
    <row r="1452" spans="1:12" x14ac:dyDescent="0.25">
      <c r="A1452">
        <v>784</v>
      </c>
      <c r="B1452" s="3">
        <v>41971</v>
      </c>
      <c r="C1452" s="4">
        <v>331.5</v>
      </c>
      <c r="E1452">
        <v>784</v>
      </c>
      <c r="F1452" s="3">
        <v>41971</v>
      </c>
      <c r="G1452" t="s">
        <v>58</v>
      </c>
      <c r="H1452" s="18">
        <v>331.5</v>
      </c>
      <c r="J1452" s="20" t="str">
        <f t="shared" si="84"/>
        <v/>
      </c>
      <c r="K1452" t="str">
        <f t="shared" si="86"/>
        <v/>
      </c>
      <c r="L1452" s="4">
        <f t="shared" si="85"/>
        <v>0</v>
      </c>
    </row>
    <row r="1453" spans="1:12" x14ac:dyDescent="0.25">
      <c r="A1453">
        <v>813</v>
      </c>
      <c r="B1453" s="3">
        <v>41971</v>
      </c>
      <c r="C1453" s="4">
        <v>950</v>
      </c>
      <c r="E1453">
        <v>813</v>
      </c>
      <c r="F1453" s="3">
        <v>41971</v>
      </c>
      <c r="G1453" t="s">
        <v>252</v>
      </c>
      <c r="H1453" s="18">
        <v>950</v>
      </c>
      <c r="J1453" s="20" t="str">
        <f t="shared" si="84"/>
        <v/>
      </c>
      <c r="K1453" t="str">
        <f t="shared" si="86"/>
        <v/>
      </c>
      <c r="L1453" s="4">
        <f t="shared" si="85"/>
        <v>0</v>
      </c>
    </row>
    <row r="1454" spans="1:12" x14ac:dyDescent="0.25">
      <c r="A1454">
        <v>834</v>
      </c>
      <c r="B1454" s="3">
        <v>41971</v>
      </c>
      <c r="C1454" s="4">
        <v>1300.5</v>
      </c>
      <c r="E1454">
        <v>834</v>
      </c>
      <c r="F1454" s="3">
        <v>41971</v>
      </c>
      <c r="G1454" t="s">
        <v>253</v>
      </c>
      <c r="H1454" s="18">
        <v>1300.5</v>
      </c>
      <c r="J1454" s="20" t="str">
        <f t="shared" si="84"/>
        <v/>
      </c>
      <c r="K1454" t="str">
        <f t="shared" si="86"/>
        <v/>
      </c>
      <c r="L1454" s="4">
        <f t="shared" si="85"/>
        <v>0</v>
      </c>
    </row>
    <row r="1455" spans="1:12" x14ac:dyDescent="0.25">
      <c r="A1455">
        <v>854</v>
      </c>
      <c r="B1455" s="3">
        <v>41971</v>
      </c>
      <c r="C1455" s="4">
        <v>500</v>
      </c>
      <c r="E1455">
        <v>854</v>
      </c>
      <c r="F1455" s="3">
        <v>41971</v>
      </c>
      <c r="G1455" t="s">
        <v>251</v>
      </c>
      <c r="H1455" s="18">
        <v>500</v>
      </c>
      <c r="J1455" s="20" t="str">
        <f t="shared" si="84"/>
        <v/>
      </c>
      <c r="K1455" t="str">
        <f t="shared" si="86"/>
        <v/>
      </c>
      <c r="L1455" s="4">
        <f t="shared" si="85"/>
        <v>0</v>
      </c>
    </row>
    <row r="1456" spans="1:12" x14ac:dyDescent="0.25">
      <c r="A1456">
        <v>27</v>
      </c>
      <c r="B1456" s="3">
        <v>41978</v>
      </c>
      <c r="C1456" s="4">
        <v>2000</v>
      </c>
      <c r="E1456">
        <v>27</v>
      </c>
      <c r="F1456" s="3">
        <v>41978</v>
      </c>
      <c r="G1456" t="s">
        <v>159</v>
      </c>
      <c r="H1456" s="18">
        <v>2000</v>
      </c>
      <c r="J1456" s="20" t="str">
        <f t="shared" si="84"/>
        <v/>
      </c>
      <c r="K1456" t="str">
        <f t="shared" si="86"/>
        <v/>
      </c>
      <c r="L1456" s="4">
        <f t="shared" si="85"/>
        <v>0</v>
      </c>
    </row>
    <row r="1457" spans="1:12" x14ac:dyDescent="0.25">
      <c r="A1457">
        <v>28</v>
      </c>
      <c r="B1457" s="3">
        <v>41978</v>
      </c>
      <c r="C1457" s="4">
        <v>400</v>
      </c>
      <c r="E1457">
        <v>28</v>
      </c>
      <c r="F1457" s="3">
        <v>41978</v>
      </c>
      <c r="G1457" t="s">
        <v>6</v>
      </c>
      <c r="H1457" s="18">
        <v>400</v>
      </c>
      <c r="J1457" s="20" t="str">
        <f t="shared" si="84"/>
        <v/>
      </c>
      <c r="K1457" t="str">
        <f t="shared" si="86"/>
        <v/>
      </c>
      <c r="L1457" s="4">
        <f t="shared" si="85"/>
        <v>0</v>
      </c>
    </row>
    <row r="1458" spans="1:12" x14ac:dyDescent="0.25">
      <c r="A1458">
        <v>41</v>
      </c>
      <c r="B1458" s="3">
        <v>41978</v>
      </c>
      <c r="C1458" s="4">
        <v>3168.44</v>
      </c>
      <c r="E1458">
        <v>41</v>
      </c>
      <c r="F1458" s="3">
        <v>41978</v>
      </c>
      <c r="G1458" t="s">
        <v>10</v>
      </c>
      <c r="H1458" s="18">
        <v>3168.44</v>
      </c>
      <c r="J1458" s="20" t="str">
        <f t="shared" si="84"/>
        <v/>
      </c>
      <c r="K1458" t="str">
        <f t="shared" si="86"/>
        <v/>
      </c>
      <c r="L1458" s="4">
        <f t="shared" si="85"/>
        <v>0</v>
      </c>
    </row>
    <row r="1459" spans="1:12" x14ac:dyDescent="0.25">
      <c r="A1459">
        <v>77</v>
      </c>
      <c r="B1459" s="3">
        <v>41978</v>
      </c>
      <c r="C1459" s="4">
        <v>825</v>
      </c>
      <c r="E1459">
        <v>77</v>
      </c>
      <c r="F1459" s="3">
        <v>41978</v>
      </c>
      <c r="G1459" t="s">
        <v>11</v>
      </c>
      <c r="H1459" s="18">
        <v>825</v>
      </c>
      <c r="J1459" s="20" t="str">
        <f t="shared" si="84"/>
        <v/>
      </c>
      <c r="K1459" t="str">
        <f t="shared" si="86"/>
        <v/>
      </c>
      <c r="L1459" s="4">
        <f t="shared" si="85"/>
        <v>0</v>
      </c>
    </row>
    <row r="1460" spans="1:12" x14ac:dyDescent="0.25">
      <c r="A1460">
        <v>217</v>
      </c>
      <c r="B1460" s="3">
        <v>41978</v>
      </c>
      <c r="C1460" s="4">
        <v>700</v>
      </c>
      <c r="E1460">
        <v>217</v>
      </c>
      <c r="F1460" s="3">
        <v>41978</v>
      </c>
      <c r="G1460" t="s">
        <v>97</v>
      </c>
      <c r="H1460" s="18">
        <v>700</v>
      </c>
      <c r="J1460" s="20" t="str">
        <f t="shared" si="84"/>
        <v/>
      </c>
      <c r="K1460" t="str">
        <f t="shared" si="86"/>
        <v/>
      </c>
      <c r="L1460" s="4">
        <f t="shared" si="85"/>
        <v>0</v>
      </c>
    </row>
    <row r="1461" spans="1:12" x14ac:dyDescent="0.25">
      <c r="A1461">
        <v>218</v>
      </c>
      <c r="B1461" s="3">
        <v>41978</v>
      </c>
      <c r="C1461" s="4">
        <v>1632</v>
      </c>
      <c r="E1461">
        <v>218</v>
      </c>
      <c r="F1461" s="3">
        <v>41978</v>
      </c>
      <c r="G1461" t="s">
        <v>233</v>
      </c>
      <c r="H1461" s="18">
        <v>1632</v>
      </c>
      <c r="J1461" s="20" t="str">
        <f t="shared" si="84"/>
        <v/>
      </c>
      <c r="K1461" t="str">
        <f t="shared" si="86"/>
        <v/>
      </c>
      <c r="L1461" s="4">
        <f t="shared" si="85"/>
        <v>0</v>
      </c>
    </row>
    <row r="1462" spans="1:12" x14ac:dyDescent="0.25">
      <c r="A1462">
        <v>250</v>
      </c>
      <c r="B1462" s="3">
        <v>41978</v>
      </c>
      <c r="C1462" s="4">
        <v>382.5</v>
      </c>
      <c r="E1462">
        <v>250</v>
      </c>
      <c r="F1462" s="3">
        <v>41978</v>
      </c>
      <c r="G1462" t="s">
        <v>212</v>
      </c>
      <c r="H1462" s="18">
        <v>382.5</v>
      </c>
      <c r="J1462" s="20" t="str">
        <f t="shared" si="84"/>
        <v/>
      </c>
      <c r="K1462" t="str">
        <f t="shared" si="86"/>
        <v/>
      </c>
      <c r="L1462" s="4">
        <f t="shared" si="85"/>
        <v>0</v>
      </c>
    </row>
    <row r="1463" spans="1:12" x14ac:dyDescent="0.25">
      <c r="A1463">
        <v>261</v>
      </c>
      <c r="B1463" s="3">
        <v>41978</v>
      </c>
      <c r="C1463" s="4">
        <v>3104.5</v>
      </c>
      <c r="E1463">
        <v>261</v>
      </c>
      <c r="F1463" s="3">
        <v>41978</v>
      </c>
      <c r="G1463" t="s">
        <v>22</v>
      </c>
      <c r="H1463" s="18">
        <v>3104.5</v>
      </c>
      <c r="J1463" s="20" t="str">
        <f t="shared" si="84"/>
        <v/>
      </c>
      <c r="K1463" t="str">
        <f t="shared" si="86"/>
        <v/>
      </c>
      <c r="L1463" s="4">
        <f t="shared" si="85"/>
        <v>0</v>
      </c>
    </row>
    <row r="1464" spans="1:12" x14ac:dyDescent="0.25">
      <c r="A1464">
        <v>268</v>
      </c>
      <c r="B1464" s="3">
        <v>41978</v>
      </c>
      <c r="C1464" s="4">
        <v>1300</v>
      </c>
      <c r="E1464">
        <v>268</v>
      </c>
      <c r="F1464" s="3">
        <v>41978</v>
      </c>
      <c r="G1464" t="s">
        <v>162</v>
      </c>
      <c r="H1464" s="18">
        <v>1300</v>
      </c>
      <c r="J1464" s="20" t="str">
        <f t="shared" si="84"/>
        <v/>
      </c>
      <c r="K1464" t="str">
        <f t="shared" si="86"/>
        <v/>
      </c>
      <c r="L1464" s="4">
        <f t="shared" si="85"/>
        <v>0</v>
      </c>
    </row>
    <row r="1465" spans="1:12" x14ac:dyDescent="0.25">
      <c r="A1465">
        <v>329</v>
      </c>
      <c r="B1465" s="3">
        <v>41978</v>
      </c>
      <c r="C1465" s="4">
        <v>775</v>
      </c>
      <c r="E1465">
        <v>329</v>
      </c>
      <c r="F1465" s="3">
        <v>41978</v>
      </c>
      <c r="G1465" t="s">
        <v>199</v>
      </c>
      <c r="H1465" s="18">
        <v>775</v>
      </c>
      <c r="J1465" s="20" t="str">
        <f t="shared" si="84"/>
        <v/>
      </c>
      <c r="K1465" t="str">
        <f t="shared" si="86"/>
        <v/>
      </c>
      <c r="L1465" s="4">
        <f t="shared" si="85"/>
        <v>0</v>
      </c>
    </row>
    <row r="1466" spans="1:12" x14ac:dyDescent="0.25">
      <c r="A1466">
        <v>332</v>
      </c>
      <c r="B1466" s="3">
        <v>41978</v>
      </c>
      <c r="C1466" s="4">
        <v>2269.5</v>
      </c>
      <c r="E1466">
        <v>332</v>
      </c>
      <c r="F1466" s="3">
        <v>41978</v>
      </c>
      <c r="G1466" t="s">
        <v>27</v>
      </c>
      <c r="H1466" s="18">
        <v>2269.5</v>
      </c>
      <c r="J1466" s="20" t="str">
        <f t="shared" si="84"/>
        <v/>
      </c>
      <c r="K1466" t="str">
        <f t="shared" si="86"/>
        <v/>
      </c>
      <c r="L1466" s="4">
        <f t="shared" si="85"/>
        <v>0</v>
      </c>
    </row>
    <row r="1467" spans="1:12" x14ac:dyDescent="0.25">
      <c r="A1467">
        <v>365</v>
      </c>
      <c r="B1467" s="3">
        <v>41978</v>
      </c>
      <c r="C1467" s="4">
        <v>714</v>
      </c>
      <c r="E1467">
        <v>365</v>
      </c>
      <c r="F1467" s="3">
        <v>41978</v>
      </c>
      <c r="G1467" t="s">
        <v>29</v>
      </c>
      <c r="H1467" s="18">
        <v>714</v>
      </c>
      <c r="J1467" s="20" t="str">
        <f t="shared" si="84"/>
        <v/>
      </c>
      <c r="K1467" t="str">
        <f t="shared" si="86"/>
        <v/>
      </c>
      <c r="L1467" s="4">
        <f t="shared" si="85"/>
        <v>0</v>
      </c>
    </row>
    <row r="1468" spans="1:12" x14ac:dyDescent="0.25">
      <c r="A1468">
        <v>410</v>
      </c>
      <c r="B1468" s="3">
        <v>41978</v>
      </c>
      <c r="C1468" s="4">
        <v>407.85</v>
      </c>
      <c r="E1468">
        <v>410</v>
      </c>
      <c r="F1468" s="3">
        <v>41978</v>
      </c>
      <c r="G1468" t="s">
        <v>32</v>
      </c>
      <c r="H1468" s="18">
        <v>-204.15</v>
      </c>
      <c r="J1468" s="20" t="str">
        <f t="shared" si="84"/>
        <v/>
      </c>
      <c r="K1468" t="str">
        <f t="shared" si="86"/>
        <v/>
      </c>
      <c r="L1468" s="4">
        <f t="shared" si="85"/>
        <v>612</v>
      </c>
    </row>
    <row r="1469" spans="1:12" x14ac:dyDescent="0.25">
      <c r="A1469">
        <v>468</v>
      </c>
      <c r="B1469" s="3">
        <v>41978</v>
      </c>
      <c r="C1469" s="4">
        <v>3725</v>
      </c>
      <c r="E1469">
        <v>468</v>
      </c>
      <c r="F1469" s="3">
        <v>41978</v>
      </c>
      <c r="H1469" s="18">
        <v>3725</v>
      </c>
      <c r="J1469" s="20" t="str">
        <f t="shared" si="84"/>
        <v/>
      </c>
      <c r="K1469" t="str">
        <f t="shared" si="86"/>
        <v/>
      </c>
      <c r="L1469" s="4">
        <f t="shared" si="85"/>
        <v>0</v>
      </c>
    </row>
    <row r="1470" spans="1:12" x14ac:dyDescent="0.25">
      <c r="A1470">
        <v>475</v>
      </c>
      <c r="B1470" s="3">
        <v>41978</v>
      </c>
      <c r="C1470" s="4">
        <v>775</v>
      </c>
      <c r="E1470">
        <v>475</v>
      </c>
      <c r="F1470" s="3">
        <v>41978</v>
      </c>
      <c r="G1470" t="s">
        <v>120</v>
      </c>
      <c r="H1470" s="18">
        <v>775</v>
      </c>
      <c r="J1470" s="20" t="str">
        <f t="shared" si="84"/>
        <v/>
      </c>
      <c r="K1470" t="str">
        <f t="shared" si="86"/>
        <v/>
      </c>
      <c r="L1470" s="4">
        <f t="shared" si="85"/>
        <v>0</v>
      </c>
    </row>
    <row r="1471" spans="1:12" x14ac:dyDescent="0.25">
      <c r="A1471">
        <v>576</v>
      </c>
      <c r="B1471" s="3">
        <v>41978</v>
      </c>
      <c r="C1471" s="4">
        <v>-204.15</v>
      </c>
      <c r="E1471">
        <v>576</v>
      </c>
      <c r="F1471" s="3">
        <v>41978</v>
      </c>
      <c r="G1471" t="s">
        <v>36</v>
      </c>
      <c r="H1471" s="18">
        <v>-204.15</v>
      </c>
      <c r="J1471" s="20" t="str">
        <f t="shared" si="84"/>
        <v/>
      </c>
      <c r="K1471" t="str">
        <f t="shared" si="86"/>
        <v/>
      </c>
      <c r="L1471" s="4">
        <f t="shared" si="85"/>
        <v>0</v>
      </c>
    </row>
    <row r="1472" spans="1:12" x14ac:dyDescent="0.25">
      <c r="A1472">
        <v>580</v>
      </c>
      <c r="B1472" s="3">
        <v>41978</v>
      </c>
      <c r="C1472" s="4">
        <v>500</v>
      </c>
      <c r="E1472">
        <v>580</v>
      </c>
      <c r="F1472" s="3">
        <v>41978</v>
      </c>
      <c r="G1472" t="s">
        <v>37</v>
      </c>
      <c r="H1472" s="18">
        <v>500</v>
      </c>
      <c r="J1472" s="20" t="str">
        <f t="shared" si="84"/>
        <v/>
      </c>
      <c r="K1472" t="str">
        <f t="shared" si="86"/>
        <v/>
      </c>
      <c r="L1472" s="4">
        <f t="shared" si="85"/>
        <v>0</v>
      </c>
    </row>
    <row r="1473" spans="1:12" x14ac:dyDescent="0.25">
      <c r="A1473">
        <v>593</v>
      </c>
      <c r="B1473" s="3">
        <v>41978</v>
      </c>
      <c r="C1473" s="4">
        <v>51</v>
      </c>
      <c r="E1473">
        <v>593</v>
      </c>
      <c r="F1473" s="3">
        <v>41978</v>
      </c>
      <c r="G1473" t="s">
        <v>38</v>
      </c>
      <c r="H1473" s="18">
        <v>51</v>
      </c>
      <c r="J1473" s="20" t="str">
        <f t="shared" ref="J1473:J1536" si="87">IF(E1473=A1473,"","CHECK")</f>
        <v/>
      </c>
      <c r="K1473" t="str">
        <f t="shared" si="86"/>
        <v/>
      </c>
      <c r="L1473" s="4">
        <f t="shared" ref="L1473:L1536" si="88">C1473-H1473</f>
        <v>0</v>
      </c>
    </row>
    <row r="1474" spans="1:12" x14ac:dyDescent="0.25">
      <c r="A1474">
        <v>598</v>
      </c>
      <c r="B1474" s="3">
        <v>41978</v>
      </c>
      <c r="C1474" s="4">
        <v>800</v>
      </c>
      <c r="E1474">
        <v>598</v>
      </c>
      <c r="F1474" s="3">
        <v>41978</v>
      </c>
      <c r="G1474" t="s">
        <v>247</v>
      </c>
      <c r="H1474" s="18">
        <v>800</v>
      </c>
      <c r="J1474" s="20" t="str">
        <f t="shared" si="87"/>
        <v/>
      </c>
      <c r="K1474" t="str">
        <f t="shared" si="86"/>
        <v/>
      </c>
      <c r="L1474" s="4">
        <f t="shared" si="88"/>
        <v>0</v>
      </c>
    </row>
    <row r="1475" spans="1:12" x14ac:dyDescent="0.25">
      <c r="A1475">
        <v>626</v>
      </c>
      <c r="B1475" s="3">
        <v>41978</v>
      </c>
      <c r="C1475" s="4">
        <v>847.18</v>
      </c>
      <c r="E1475">
        <v>626</v>
      </c>
      <c r="F1475" s="3">
        <v>41978</v>
      </c>
      <c r="G1475" t="s">
        <v>187</v>
      </c>
      <c r="H1475" s="18">
        <v>847.18</v>
      </c>
      <c r="J1475" s="20" t="str">
        <f t="shared" si="87"/>
        <v/>
      </c>
      <c r="K1475" t="str">
        <f t="shared" ref="K1475:K1538" si="89">IF(F1475=B1475,"","CHECK")</f>
        <v/>
      </c>
      <c r="L1475" s="4">
        <f t="shared" si="88"/>
        <v>0</v>
      </c>
    </row>
    <row r="1476" spans="1:12" x14ac:dyDescent="0.25">
      <c r="A1476">
        <v>632</v>
      </c>
      <c r="B1476" s="3">
        <v>41978</v>
      </c>
      <c r="C1476" s="4">
        <v>925</v>
      </c>
      <c r="E1476">
        <v>632</v>
      </c>
      <c r="F1476" s="3">
        <v>41978</v>
      </c>
      <c r="G1476" t="s">
        <v>41</v>
      </c>
      <c r="H1476" s="18">
        <v>925</v>
      </c>
      <c r="J1476" s="20" t="str">
        <f t="shared" si="87"/>
        <v/>
      </c>
      <c r="K1476" t="str">
        <f t="shared" si="89"/>
        <v/>
      </c>
      <c r="L1476" s="4">
        <f t="shared" si="88"/>
        <v>0</v>
      </c>
    </row>
    <row r="1477" spans="1:12" x14ac:dyDescent="0.25">
      <c r="A1477">
        <v>638</v>
      </c>
      <c r="B1477" s="3">
        <v>41978</v>
      </c>
      <c r="C1477" s="4">
        <v>637.5</v>
      </c>
      <c r="E1477">
        <v>638</v>
      </c>
      <c r="F1477" s="3">
        <v>41978</v>
      </c>
      <c r="G1477" t="s">
        <v>248</v>
      </c>
      <c r="H1477" s="18">
        <v>637.5</v>
      </c>
      <c r="J1477" s="20" t="str">
        <f t="shared" si="87"/>
        <v/>
      </c>
      <c r="K1477" t="str">
        <f t="shared" si="89"/>
        <v/>
      </c>
      <c r="L1477" s="4">
        <f t="shared" si="88"/>
        <v>0</v>
      </c>
    </row>
    <row r="1478" spans="1:12" x14ac:dyDescent="0.25">
      <c r="A1478">
        <v>646</v>
      </c>
      <c r="B1478" s="3">
        <v>41978</v>
      </c>
      <c r="C1478" s="4">
        <v>850</v>
      </c>
      <c r="E1478">
        <v>646</v>
      </c>
      <c r="F1478" s="3">
        <v>41978</v>
      </c>
      <c r="G1478" t="s">
        <v>203</v>
      </c>
      <c r="H1478" s="18">
        <v>850</v>
      </c>
      <c r="J1478" s="20" t="str">
        <f t="shared" si="87"/>
        <v/>
      </c>
      <c r="K1478" t="str">
        <f t="shared" si="89"/>
        <v/>
      </c>
      <c r="L1478" s="4">
        <f t="shared" si="88"/>
        <v>0</v>
      </c>
    </row>
    <row r="1479" spans="1:12" x14ac:dyDescent="0.25">
      <c r="A1479">
        <v>648</v>
      </c>
      <c r="B1479" s="3">
        <v>41978</v>
      </c>
      <c r="C1479" s="4">
        <v>750</v>
      </c>
      <c r="E1479">
        <v>648</v>
      </c>
      <c r="F1479" s="3">
        <v>41978</v>
      </c>
      <c r="G1479" t="s">
        <v>42</v>
      </c>
      <c r="H1479" s="18">
        <v>750</v>
      </c>
      <c r="J1479" s="20" t="str">
        <f t="shared" si="87"/>
        <v/>
      </c>
      <c r="K1479" t="str">
        <f t="shared" si="89"/>
        <v/>
      </c>
      <c r="L1479" s="4">
        <f t="shared" si="88"/>
        <v>0</v>
      </c>
    </row>
    <row r="1480" spans="1:12" x14ac:dyDescent="0.25">
      <c r="A1480">
        <v>657</v>
      </c>
      <c r="B1480" s="3">
        <v>41978</v>
      </c>
      <c r="C1480" s="4">
        <v>325</v>
      </c>
      <c r="E1480">
        <v>657</v>
      </c>
      <c r="F1480" s="3">
        <v>41978</v>
      </c>
      <c r="G1480" t="s">
        <v>131</v>
      </c>
      <c r="H1480" s="18">
        <v>325</v>
      </c>
      <c r="J1480" s="20" t="str">
        <f t="shared" si="87"/>
        <v/>
      </c>
      <c r="K1480" t="str">
        <f t="shared" si="89"/>
        <v/>
      </c>
      <c r="L1480" s="4">
        <f t="shared" si="88"/>
        <v>0</v>
      </c>
    </row>
    <row r="1481" spans="1:12" x14ac:dyDescent="0.25">
      <c r="A1481">
        <v>664</v>
      </c>
      <c r="B1481" s="3">
        <v>41978</v>
      </c>
      <c r="C1481" s="4">
        <v>1000</v>
      </c>
      <c r="E1481">
        <v>664</v>
      </c>
      <c r="F1481" s="3">
        <v>41978</v>
      </c>
      <c r="G1481" t="s">
        <v>226</v>
      </c>
      <c r="H1481" s="18">
        <v>1000</v>
      </c>
      <c r="J1481" s="20" t="str">
        <f t="shared" si="87"/>
        <v/>
      </c>
      <c r="K1481" t="str">
        <f t="shared" si="89"/>
        <v/>
      </c>
      <c r="L1481" s="4">
        <f t="shared" si="88"/>
        <v>0</v>
      </c>
    </row>
    <row r="1482" spans="1:12" x14ac:dyDescent="0.25">
      <c r="A1482">
        <v>672</v>
      </c>
      <c r="B1482" s="3">
        <v>41978</v>
      </c>
      <c r="C1482" s="4">
        <v>770.38</v>
      </c>
      <c r="E1482">
        <v>672</v>
      </c>
      <c r="F1482" s="3">
        <v>41978</v>
      </c>
      <c r="G1482" t="s">
        <v>168</v>
      </c>
      <c r="H1482" s="18">
        <v>770.38</v>
      </c>
      <c r="J1482" s="20" t="str">
        <f t="shared" si="87"/>
        <v/>
      </c>
      <c r="K1482" t="str">
        <f t="shared" si="89"/>
        <v/>
      </c>
      <c r="L1482" s="4">
        <f t="shared" si="88"/>
        <v>0</v>
      </c>
    </row>
    <row r="1483" spans="1:12" x14ac:dyDescent="0.25">
      <c r="A1483">
        <v>674</v>
      </c>
      <c r="B1483" s="3">
        <v>41978</v>
      </c>
      <c r="C1483" s="4">
        <v>1150</v>
      </c>
      <c r="E1483">
        <v>674</v>
      </c>
      <c r="F1483" s="3">
        <v>41978</v>
      </c>
      <c r="G1483" t="s">
        <v>45</v>
      </c>
      <c r="H1483" s="18">
        <v>1150</v>
      </c>
      <c r="J1483" s="20" t="str">
        <f t="shared" si="87"/>
        <v/>
      </c>
      <c r="K1483" t="str">
        <f t="shared" si="89"/>
        <v/>
      </c>
      <c r="L1483" s="4">
        <f t="shared" si="88"/>
        <v>0</v>
      </c>
    </row>
    <row r="1484" spans="1:12" x14ac:dyDescent="0.25">
      <c r="A1484">
        <v>676</v>
      </c>
      <c r="B1484" s="3">
        <v>41978</v>
      </c>
      <c r="C1484" s="4">
        <v>816</v>
      </c>
      <c r="E1484">
        <v>676</v>
      </c>
      <c r="F1484" s="3">
        <v>41978</v>
      </c>
      <c r="G1484" t="s">
        <v>246</v>
      </c>
      <c r="H1484" s="18">
        <v>816</v>
      </c>
      <c r="J1484" s="20" t="str">
        <f t="shared" si="87"/>
        <v/>
      </c>
      <c r="K1484" t="str">
        <f t="shared" si="89"/>
        <v/>
      </c>
      <c r="L1484" s="4">
        <f t="shared" si="88"/>
        <v>0</v>
      </c>
    </row>
    <row r="1485" spans="1:12" x14ac:dyDescent="0.25">
      <c r="A1485">
        <v>679</v>
      </c>
      <c r="B1485" s="3">
        <v>41978</v>
      </c>
      <c r="C1485" s="4">
        <v>535.5</v>
      </c>
      <c r="E1485">
        <v>679</v>
      </c>
      <c r="F1485" s="3">
        <v>41978</v>
      </c>
      <c r="G1485" t="s">
        <v>169</v>
      </c>
      <c r="H1485" s="18">
        <v>535.5</v>
      </c>
      <c r="J1485" s="20" t="str">
        <f t="shared" si="87"/>
        <v/>
      </c>
      <c r="K1485" t="str">
        <f t="shared" si="89"/>
        <v/>
      </c>
      <c r="L1485" s="4">
        <f t="shared" si="88"/>
        <v>0</v>
      </c>
    </row>
    <row r="1486" spans="1:12" x14ac:dyDescent="0.25">
      <c r="A1486">
        <v>687</v>
      </c>
      <c r="B1486" s="3">
        <v>41978</v>
      </c>
      <c r="C1486" s="4">
        <v>650</v>
      </c>
      <c r="E1486">
        <v>687</v>
      </c>
      <c r="F1486" s="3">
        <v>41978</v>
      </c>
      <c r="G1486" t="s">
        <v>133</v>
      </c>
      <c r="H1486" s="18">
        <v>650</v>
      </c>
      <c r="J1486" s="20" t="str">
        <f t="shared" si="87"/>
        <v/>
      </c>
      <c r="K1486" t="str">
        <f t="shared" si="89"/>
        <v/>
      </c>
      <c r="L1486" s="4">
        <f t="shared" si="88"/>
        <v>0</v>
      </c>
    </row>
    <row r="1487" spans="1:12" x14ac:dyDescent="0.25">
      <c r="A1487">
        <v>690</v>
      </c>
      <c r="B1487" s="3">
        <v>41978</v>
      </c>
      <c r="C1487" s="4">
        <v>625</v>
      </c>
      <c r="E1487">
        <v>690</v>
      </c>
      <c r="F1487" s="3">
        <v>41978</v>
      </c>
      <c r="G1487" t="s">
        <v>48</v>
      </c>
      <c r="H1487" s="18">
        <v>625</v>
      </c>
      <c r="J1487" s="20" t="str">
        <f t="shared" si="87"/>
        <v/>
      </c>
      <c r="K1487" t="str">
        <f t="shared" si="89"/>
        <v/>
      </c>
      <c r="L1487" s="4">
        <f t="shared" si="88"/>
        <v>0</v>
      </c>
    </row>
    <row r="1488" spans="1:12" x14ac:dyDescent="0.25">
      <c r="A1488">
        <v>702</v>
      </c>
      <c r="B1488" s="3">
        <v>41978</v>
      </c>
      <c r="C1488" s="4">
        <v>625</v>
      </c>
      <c r="E1488">
        <v>702</v>
      </c>
      <c r="F1488" s="3">
        <v>41978</v>
      </c>
      <c r="G1488" t="s">
        <v>134</v>
      </c>
      <c r="H1488" s="18">
        <v>625</v>
      </c>
      <c r="J1488" s="20" t="str">
        <f t="shared" si="87"/>
        <v/>
      </c>
      <c r="K1488" t="str">
        <f t="shared" si="89"/>
        <v/>
      </c>
      <c r="L1488" s="4">
        <f t="shared" si="88"/>
        <v>0</v>
      </c>
    </row>
    <row r="1489" spans="1:12" x14ac:dyDescent="0.25">
      <c r="A1489">
        <v>711</v>
      </c>
      <c r="B1489" s="3">
        <v>41978</v>
      </c>
      <c r="C1489" s="4">
        <v>600</v>
      </c>
      <c r="E1489">
        <v>711</v>
      </c>
      <c r="F1489" s="3">
        <v>41978</v>
      </c>
      <c r="G1489" t="s">
        <v>190</v>
      </c>
      <c r="H1489" s="18">
        <v>600</v>
      </c>
      <c r="J1489" s="20" t="str">
        <f t="shared" si="87"/>
        <v/>
      </c>
      <c r="K1489" t="str">
        <f t="shared" si="89"/>
        <v/>
      </c>
      <c r="L1489" s="4">
        <f t="shared" si="88"/>
        <v>0</v>
      </c>
    </row>
    <row r="1490" spans="1:12" x14ac:dyDescent="0.25">
      <c r="A1490">
        <v>714</v>
      </c>
      <c r="B1490" s="3">
        <v>41978</v>
      </c>
      <c r="C1490" s="4">
        <v>500</v>
      </c>
      <c r="E1490">
        <v>714</v>
      </c>
      <c r="F1490" s="3">
        <v>41978</v>
      </c>
      <c r="G1490" t="s">
        <v>171</v>
      </c>
      <c r="H1490" s="18">
        <v>500</v>
      </c>
      <c r="J1490" s="20" t="str">
        <f t="shared" si="87"/>
        <v/>
      </c>
      <c r="K1490" t="str">
        <f t="shared" si="89"/>
        <v/>
      </c>
      <c r="L1490" s="4">
        <f t="shared" si="88"/>
        <v>0</v>
      </c>
    </row>
    <row r="1491" spans="1:12" x14ac:dyDescent="0.25">
      <c r="A1491">
        <v>725</v>
      </c>
      <c r="B1491" s="3">
        <v>41978</v>
      </c>
      <c r="C1491" s="4">
        <v>500</v>
      </c>
      <c r="E1491">
        <v>725</v>
      </c>
      <c r="F1491" s="3">
        <v>41978</v>
      </c>
      <c r="G1491" t="s">
        <v>229</v>
      </c>
      <c r="H1491" s="18">
        <v>500</v>
      </c>
      <c r="J1491" s="20" t="str">
        <f t="shared" si="87"/>
        <v/>
      </c>
      <c r="K1491" t="str">
        <f t="shared" si="89"/>
        <v/>
      </c>
      <c r="L1491" s="4">
        <f t="shared" si="88"/>
        <v>0</v>
      </c>
    </row>
    <row r="1492" spans="1:12" x14ac:dyDescent="0.25">
      <c r="A1492">
        <v>726</v>
      </c>
      <c r="B1492" s="3">
        <v>41978</v>
      </c>
      <c r="C1492" s="4">
        <v>300</v>
      </c>
      <c r="E1492">
        <v>726</v>
      </c>
      <c r="F1492" s="3">
        <v>41978</v>
      </c>
      <c r="G1492" t="s">
        <v>53</v>
      </c>
      <c r="H1492" s="18">
        <v>300</v>
      </c>
      <c r="J1492" s="20" t="str">
        <f t="shared" si="87"/>
        <v/>
      </c>
      <c r="K1492" t="str">
        <f t="shared" si="89"/>
        <v/>
      </c>
      <c r="L1492" s="4">
        <f t="shared" si="88"/>
        <v>0</v>
      </c>
    </row>
    <row r="1493" spans="1:12" x14ac:dyDescent="0.25">
      <c r="A1493">
        <v>752</v>
      </c>
      <c r="B1493" s="3">
        <v>41978</v>
      </c>
      <c r="C1493" s="4">
        <v>325</v>
      </c>
      <c r="E1493">
        <v>752</v>
      </c>
      <c r="F1493" s="3">
        <v>41978</v>
      </c>
      <c r="G1493" t="s">
        <v>249</v>
      </c>
      <c r="H1493" s="18">
        <v>325</v>
      </c>
      <c r="J1493" s="20" t="str">
        <f t="shared" si="87"/>
        <v/>
      </c>
      <c r="K1493" t="str">
        <f t="shared" si="89"/>
        <v/>
      </c>
      <c r="L1493" s="4">
        <f t="shared" si="88"/>
        <v>0</v>
      </c>
    </row>
    <row r="1494" spans="1:12" x14ac:dyDescent="0.25">
      <c r="A1494">
        <v>753</v>
      </c>
      <c r="B1494" s="3">
        <v>41978</v>
      </c>
      <c r="C1494" s="4">
        <v>3510</v>
      </c>
      <c r="E1494">
        <v>753</v>
      </c>
      <c r="F1494" s="3">
        <v>41978</v>
      </c>
      <c r="G1494" t="s">
        <v>172</v>
      </c>
      <c r="H1494" s="18">
        <v>3510</v>
      </c>
      <c r="J1494" s="20" t="str">
        <f t="shared" si="87"/>
        <v/>
      </c>
      <c r="K1494" t="str">
        <f t="shared" si="89"/>
        <v/>
      </c>
      <c r="L1494" s="4">
        <f t="shared" si="88"/>
        <v>0</v>
      </c>
    </row>
    <row r="1495" spans="1:12" x14ac:dyDescent="0.25">
      <c r="A1495">
        <v>764</v>
      </c>
      <c r="B1495" s="3">
        <v>41978</v>
      </c>
      <c r="C1495" s="4">
        <v>975</v>
      </c>
      <c r="E1495">
        <v>764</v>
      </c>
      <c r="F1495" s="3">
        <v>41978</v>
      </c>
      <c r="G1495" t="s">
        <v>208</v>
      </c>
      <c r="H1495" s="18">
        <v>975</v>
      </c>
      <c r="J1495" s="20" t="str">
        <f t="shared" si="87"/>
        <v/>
      </c>
      <c r="K1495" t="str">
        <f t="shared" si="89"/>
        <v/>
      </c>
      <c r="L1495" s="4">
        <f t="shared" si="88"/>
        <v>0</v>
      </c>
    </row>
    <row r="1496" spans="1:12" x14ac:dyDescent="0.25">
      <c r="A1496">
        <v>771</v>
      </c>
      <c r="B1496" s="3">
        <v>41978</v>
      </c>
      <c r="C1496" s="4">
        <v>714</v>
      </c>
      <c r="E1496">
        <v>771</v>
      </c>
      <c r="F1496" s="3">
        <v>41978</v>
      </c>
      <c r="G1496" t="s">
        <v>57</v>
      </c>
      <c r="H1496" s="18">
        <v>714</v>
      </c>
      <c r="J1496" s="20" t="str">
        <f t="shared" si="87"/>
        <v/>
      </c>
      <c r="K1496" t="str">
        <f t="shared" si="89"/>
        <v/>
      </c>
      <c r="L1496" s="4">
        <f t="shared" si="88"/>
        <v>0</v>
      </c>
    </row>
    <row r="1497" spans="1:12" x14ac:dyDescent="0.25">
      <c r="A1497">
        <v>790</v>
      </c>
      <c r="B1497" s="3">
        <v>41978</v>
      </c>
      <c r="C1497" s="4">
        <v>918</v>
      </c>
      <c r="E1497">
        <v>790</v>
      </c>
      <c r="F1497" s="3">
        <v>41978</v>
      </c>
      <c r="G1497" t="s">
        <v>209</v>
      </c>
      <c r="H1497" s="18">
        <v>918</v>
      </c>
      <c r="J1497" s="20" t="str">
        <f t="shared" si="87"/>
        <v/>
      </c>
      <c r="K1497" t="str">
        <f t="shared" si="89"/>
        <v/>
      </c>
      <c r="L1497" s="4">
        <f t="shared" si="88"/>
        <v>0</v>
      </c>
    </row>
    <row r="1498" spans="1:12" x14ac:dyDescent="0.25">
      <c r="A1498">
        <v>807</v>
      </c>
      <c r="B1498" s="3">
        <v>41978</v>
      </c>
      <c r="C1498" s="4">
        <v>1727.5</v>
      </c>
      <c r="E1498">
        <v>807</v>
      </c>
      <c r="F1498" s="3">
        <v>41978</v>
      </c>
      <c r="G1498" t="s">
        <v>230</v>
      </c>
      <c r="H1498" s="18">
        <v>1727.5</v>
      </c>
      <c r="J1498" s="20" t="str">
        <f t="shared" si="87"/>
        <v/>
      </c>
      <c r="K1498" t="str">
        <f t="shared" si="89"/>
        <v/>
      </c>
      <c r="L1498" s="4">
        <f t="shared" si="88"/>
        <v>0</v>
      </c>
    </row>
    <row r="1499" spans="1:12" x14ac:dyDescent="0.25">
      <c r="A1499">
        <v>817</v>
      </c>
      <c r="B1499" s="3">
        <v>41978</v>
      </c>
      <c r="C1499" s="4">
        <v>994.5</v>
      </c>
      <c r="E1499">
        <v>817</v>
      </c>
      <c r="F1499" s="3">
        <v>41978</v>
      </c>
      <c r="G1499" t="s">
        <v>60</v>
      </c>
      <c r="H1499" s="18">
        <v>994.5</v>
      </c>
      <c r="J1499" s="20" t="str">
        <f t="shared" si="87"/>
        <v/>
      </c>
      <c r="K1499" t="str">
        <f t="shared" si="89"/>
        <v/>
      </c>
      <c r="L1499" s="4">
        <f t="shared" si="88"/>
        <v>0</v>
      </c>
    </row>
    <row r="1500" spans="1:12" x14ac:dyDescent="0.25">
      <c r="A1500">
        <v>842</v>
      </c>
      <c r="B1500" s="3">
        <v>41978</v>
      </c>
      <c r="C1500" s="4">
        <v>3000</v>
      </c>
      <c r="E1500">
        <v>842</v>
      </c>
      <c r="F1500" s="3">
        <v>41978</v>
      </c>
      <c r="G1500" t="s">
        <v>250</v>
      </c>
      <c r="H1500" s="18">
        <v>3000</v>
      </c>
      <c r="J1500" s="20" t="str">
        <f t="shared" si="87"/>
        <v/>
      </c>
      <c r="K1500" t="str">
        <f t="shared" si="89"/>
        <v/>
      </c>
      <c r="L1500" s="4">
        <f t="shared" si="88"/>
        <v>0</v>
      </c>
    </row>
    <row r="1501" spans="1:12" x14ac:dyDescent="0.25">
      <c r="A1501">
        <v>844</v>
      </c>
      <c r="B1501" s="3">
        <v>41978</v>
      </c>
      <c r="C1501" s="4">
        <v>375</v>
      </c>
      <c r="E1501">
        <v>844</v>
      </c>
      <c r="F1501" s="3">
        <v>41978</v>
      </c>
      <c r="G1501" t="s">
        <v>192</v>
      </c>
      <c r="H1501" s="18">
        <v>375</v>
      </c>
      <c r="J1501" s="20" t="str">
        <f t="shared" si="87"/>
        <v/>
      </c>
      <c r="K1501" t="str">
        <f t="shared" si="89"/>
        <v/>
      </c>
      <c r="L1501" s="4">
        <f t="shared" si="88"/>
        <v>0</v>
      </c>
    </row>
    <row r="1502" spans="1:12" x14ac:dyDescent="0.25">
      <c r="A1502">
        <v>854</v>
      </c>
      <c r="B1502" s="3">
        <v>41978</v>
      </c>
      <c r="C1502" s="4">
        <v>994.5</v>
      </c>
      <c r="E1502">
        <v>854</v>
      </c>
      <c r="F1502" s="3">
        <v>41978</v>
      </c>
      <c r="G1502" t="s">
        <v>251</v>
      </c>
      <c r="H1502" s="18">
        <v>994.5</v>
      </c>
      <c r="J1502" s="20" t="str">
        <f t="shared" si="87"/>
        <v/>
      </c>
      <c r="K1502" t="str">
        <f t="shared" si="89"/>
        <v/>
      </c>
      <c r="L1502" s="4">
        <f t="shared" si="88"/>
        <v>0</v>
      </c>
    </row>
    <row r="1503" spans="1:12" x14ac:dyDescent="0.25">
      <c r="A1503">
        <v>890</v>
      </c>
      <c r="B1503" s="3">
        <v>41978</v>
      </c>
      <c r="C1503" s="4">
        <v>3000</v>
      </c>
      <c r="E1503">
        <v>890</v>
      </c>
      <c r="F1503" s="3">
        <v>41978</v>
      </c>
      <c r="G1503" t="s">
        <v>140</v>
      </c>
      <c r="H1503" s="18">
        <v>3000</v>
      </c>
      <c r="J1503" s="20" t="str">
        <f t="shared" si="87"/>
        <v/>
      </c>
      <c r="K1503" t="str">
        <f t="shared" si="89"/>
        <v/>
      </c>
      <c r="L1503" s="4">
        <f t="shared" si="88"/>
        <v>0</v>
      </c>
    </row>
    <row r="1504" spans="1:12" x14ac:dyDescent="0.25">
      <c r="A1504">
        <v>890</v>
      </c>
      <c r="B1504" s="3">
        <v>41981</v>
      </c>
      <c r="C1504" s="4">
        <v>3000</v>
      </c>
      <c r="E1504">
        <v>890</v>
      </c>
      <c r="F1504" s="3">
        <v>41981</v>
      </c>
      <c r="G1504" t="s">
        <v>140</v>
      </c>
      <c r="H1504" s="18">
        <v>3000</v>
      </c>
      <c r="J1504" s="20" t="str">
        <f t="shared" si="87"/>
        <v/>
      </c>
      <c r="K1504" t="str">
        <f t="shared" si="89"/>
        <v/>
      </c>
      <c r="L1504" s="4">
        <f t="shared" si="88"/>
        <v>0</v>
      </c>
    </row>
    <row r="1505" spans="1:12" x14ac:dyDescent="0.25">
      <c r="A1505">
        <v>782</v>
      </c>
      <c r="B1505" s="3">
        <v>41982</v>
      </c>
      <c r="C1505" s="4">
        <v>1000</v>
      </c>
      <c r="E1505">
        <v>782</v>
      </c>
      <c r="F1505" s="3">
        <v>41982</v>
      </c>
      <c r="G1505" t="s">
        <v>173</v>
      </c>
      <c r="H1505" s="18">
        <v>1000</v>
      </c>
      <c r="J1505" s="20" t="str">
        <f t="shared" si="87"/>
        <v/>
      </c>
      <c r="K1505" t="str">
        <f t="shared" si="89"/>
        <v/>
      </c>
      <c r="L1505" s="4">
        <f t="shared" si="88"/>
        <v>0</v>
      </c>
    </row>
    <row r="1506" spans="1:12" x14ac:dyDescent="0.25">
      <c r="A1506">
        <v>714</v>
      </c>
      <c r="B1506" s="3">
        <v>41983</v>
      </c>
      <c r="C1506" s="4">
        <v>1000</v>
      </c>
      <c r="E1506">
        <v>714</v>
      </c>
      <c r="F1506" s="3">
        <v>41983</v>
      </c>
      <c r="G1506" t="s">
        <v>171</v>
      </c>
      <c r="H1506" s="18">
        <v>1000</v>
      </c>
      <c r="J1506" s="20" t="str">
        <f t="shared" si="87"/>
        <v/>
      </c>
      <c r="K1506" t="str">
        <f t="shared" si="89"/>
        <v/>
      </c>
      <c r="L1506" s="4">
        <f t="shared" si="88"/>
        <v>0</v>
      </c>
    </row>
    <row r="1507" spans="1:12" x14ac:dyDescent="0.25">
      <c r="A1507">
        <v>37</v>
      </c>
      <c r="B1507" s="3">
        <v>41985</v>
      </c>
      <c r="C1507" s="4">
        <v>50</v>
      </c>
      <c r="E1507">
        <v>37</v>
      </c>
      <c r="F1507" s="3">
        <v>41985</v>
      </c>
      <c r="G1507" t="s">
        <v>77</v>
      </c>
      <c r="H1507" s="18">
        <v>50</v>
      </c>
      <c r="J1507" s="20" t="str">
        <f t="shared" si="87"/>
        <v/>
      </c>
      <c r="K1507" t="str">
        <f t="shared" si="89"/>
        <v/>
      </c>
      <c r="L1507" s="4">
        <f t="shared" si="88"/>
        <v>0</v>
      </c>
    </row>
    <row r="1508" spans="1:12" x14ac:dyDescent="0.25">
      <c r="A1508">
        <v>41</v>
      </c>
      <c r="B1508" s="3">
        <v>41985</v>
      </c>
      <c r="C1508" s="4">
        <v>775</v>
      </c>
      <c r="E1508">
        <v>41</v>
      </c>
      <c r="F1508" s="3">
        <v>41985</v>
      </c>
      <c r="G1508" t="s">
        <v>10</v>
      </c>
      <c r="H1508" s="18">
        <v>775</v>
      </c>
      <c r="J1508" s="20" t="str">
        <f t="shared" si="87"/>
        <v/>
      </c>
      <c r="K1508" t="str">
        <f t="shared" si="89"/>
        <v/>
      </c>
      <c r="L1508" s="4">
        <f t="shared" si="88"/>
        <v>0</v>
      </c>
    </row>
    <row r="1509" spans="1:12" x14ac:dyDescent="0.25">
      <c r="A1509">
        <v>47</v>
      </c>
      <c r="B1509" s="3">
        <v>41985</v>
      </c>
      <c r="C1509" s="4">
        <v>900</v>
      </c>
      <c r="E1509">
        <v>47</v>
      </c>
      <c r="F1509" s="3">
        <v>41985</v>
      </c>
      <c r="G1509" t="s">
        <v>239</v>
      </c>
      <c r="H1509" s="18">
        <v>900</v>
      </c>
      <c r="J1509" s="20" t="str">
        <f t="shared" si="87"/>
        <v/>
      </c>
      <c r="K1509" t="str">
        <f t="shared" si="89"/>
        <v/>
      </c>
      <c r="L1509" s="4">
        <f t="shared" si="88"/>
        <v>0</v>
      </c>
    </row>
    <row r="1510" spans="1:12" x14ac:dyDescent="0.25">
      <c r="A1510">
        <v>77</v>
      </c>
      <c r="B1510" s="3">
        <v>41985</v>
      </c>
      <c r="C1510" s="4">
        <v>1025</v>
      </c>
      <c r="E1510">
        <v>77</v>
      </c>
      <c r="F1510" s="3">
        <v>41985</v>
      </c>
      <c r="G1510" t="s">
        <v>11</v>
      </c>
      <c r="H1510" s="18">
        <v>1025</v>
      </c>
      <c r="J1510" s="20" t="str">
        <f t="shared" si="87"/>
        <v/>
      </c>
      <c r="K1510" t="str">
        <f t="shared" si="89"/>
        <v/>
      </c>
      <c r="L1510" s="4">
        <f t="shared" si="88"/>
        <v>0</v>
      </c>
    </row>
    <row r="1511" spans="1:12" x14ac:dyDescent="0.25">
      <c r="A1511">
        <v>99</v>
      </c>
      <c r="B1511" s="3">
        <v>41985</v>
      </c>
      <c r="C1511" s="4">
        <v>1029.5</v>
      </c>
      <c r="E1511">
        <v>99</v>
      </c>
      <c r="F1511" s="3">
        <v>41985</v>
      </c>
      <c r="G1511" t="s">
        <v>240</v>
      </c>
      <c r="H1511" s="18">
        <v>1029.5</v>
      </c>
      <c r="J1511" s="20" t="str">
        <f t="shared" si="87"/>
        <v/>
      </c>
      <c r="K1511" t="str">
        <f t="shared" si="89"/>
        <v/>
      </c>
      <c r="L1511" s="4">
        <f t="shared" si="88"/>
        <v>0</v>
      </c>
    </row>
    <row r="1512" spans="1:12" x14ac:dyDescent="0.25">
      <c r="A1512">
        <v>109</v>
      </c>
      <c r="B1512" s="3">
        <v>41985</v>
      </c>
      <c r="C1512" s="4">
        <v>976</v>
      </c>
      <c r="E1512">
        <v>109</v>
      </c>
      <c r="F1512" s="3">
        <v>41985</v>
      </c>
      <c r="G1512" t="s">
        <v>82</v>
      </c>
      <c r="H1512" s="18">
        <v>-1324</v>
      </c>
      <c r="J1512" s="20" t="str">
        <f t="shared" si="87"/>
        <v/>
      </c>
      <c r="K1512" t="str">
        <f t="shared" si="89"/>
        <v/>
      </c>
      <c r="L1512" s="4">
        <f t="shared" si="88"/>
        <v>2300</v>
      </c>
    </row>
    <row r="1513" spans="1:12" x14ac:dyDescent="0.25">
      <c r="A1513">
        <v>149</v>
      </c>
      <c r="B1513" s="3">
        <v>41985</v>
      </c>
      <c r="C1513" s="4">
        <v>547</v>
      </c>
      <c r="E1513">
        <v>149</v>
      </c>
      <c r="F1513" s="3">
        <v>41985</v>
      </c>
      <c r="G1513" t="s">
        <v>241</v>
      </c>
      <c r="H1513" s="18">
        <v>547</v>
      </c>
      <c r="J1513" s="20" t="str">
        <f t="shared" si="87"/>
        <v/>
      </c>
      <c r="K1513" t="str">
        <f t="shared" si="89"/>
        <v/>
      </c>
      <c r="L1513" s="4">
        <f t="shared" si="88"/>
        <v>0</v>
      </c>
    </row>
    <row r="1514" spans="1:12" x14ac:dyDescent="0.25">
      <c r="A1514">
        <v>152</v>
      </c>
      <c r="B1514" s="3">
        <v>41985</v>
      </c>
      <c r="C1514" s="4">
        <v>314.5</v>
      </c>
      <c r="E1514">
        <v>152</v>
      </c>
      <c r="F1514" s="3">
        <v>41985</v>
      </c>
      <c r="G1514" t="s">
        <v>90</v>
      </c>
      <c r="H1514" s="18">
        <v>314.5</v>
      </c>
      <c r="J1514" s="20" t="str">
        <f t="shared" si="87"/>
        <v/>
      </c>
      <c r="K1514" t="str">
        <f t="shared" si="89"/>
        <v/>
      </c>
      <c r="L1514" s="4">
        <f t="shared" si="88"/>
        <v>0</v>
      </c>
    </row>
    <row r="1515" spans="1:12" x14ac:dyDescent="0.25">
      <c r="A1515">
        <v>153</v>
      </c>
      <c r="B1515" s="3">
        <v>41985</v>
      </c>
      <c r="C1515" s="4">
        <v>714</v>
      </c>
      <c r="E1515">
        <v>153</v>
      </c>
      <c r="F1515" s="3">
        <v>41985</v>
      </c>
      <c r="G1515" t="s">
        <v>216</v>
      </c>
      <c r="H1515" s="18">
        <v>714</v>
      </c>
      <c r="J1515" s="20" t="str">
        <f t="shared" si="87"/>
        <v/>
      </c>
      <c r="K1515" t="str">
        <f t="shared" si="89"/>
        <v/>
      </c>
      <c r="L1515" s="4">
        <f t="shared" si="88"/>
        <v>0</v>
      </c>
    </row>
    <row r="1516" spans="1:12" x14ac:dyDescent="0.25">
      <c r="A1516">
        <v>184</v>
      </c>
      <c r="B1516" s="3">
        <v>41985</v>
      </c>
      <c r="C1516" s="4">
        <v>1224</v>
      </c>
      <c r="E1516">
        <v>184</v>
      </c>
      <c r="F1516" s="3">
        <v>41985</v>
      </c>
      <c r="G1516" t="s">
        <v>217</v>
      </c>
      <c r="H1516" s="18">
        <v>1224</v>
      </c>
      <c r="J1516" s="20" t="str">
        <f t="shared" si="87"/>
        <v/>
      </c>
      <c r="K1516" t="str">
        <f t="shared" si="89"/>
        <v/>
      </c>
      <c r="L1516" s="4">
        <f t="shared" si="88"/>
        <v>0</v>
      </c>
    </row>
    <row r="1517" spans="1:12" x14ac:dyDescent="0.25">
      <c r="A1517">
        <v>203</v>
      </c>
      <c r="B1517" s="3">
        <v>41985</v>
      </c>
      <c r="C1517" s="4">
        <v>3675</v>
      </c>
      <c r="E1517">
        <v>203</v>
      </c>
      <c r="F1517" s="3">
        <v>41985</v>
      </c>
      <c r="G1517" t="s">
        <v>95</v>
      </c>
      <c r="H1517" s="18">
        <v>3675</v>
      </c>
      <c r="J1517" s="20" t="str">
        <f t="shared" si="87"/>
        <v/>
      </c>
      <c r="K1517" t="str">
        <f t="shared" si="89"/>
        <v/>
      </c>
      <c r="L1517" s="4">
        <f t="shared" si="88"/>
        <v>0</v>
      </c>
    </row>
    <row r="1518" spans="1:12" x14ac:dyDescent="0.25">
      <c r="A1518">
        <v>204</v>
      </c>
      <c r="B1518" s="3">
        <v>41985</v>
      </c>
      <c r="C1518" s="4">
        <v>554.71</v>
      </c>
      <c r="E1518">
        <v>204</v>
      </c>
      <c r="F1518" s="3">
        <v>41985</v>
      </c>
      <c r="G1518" t="s">
        <v>242</v>
      </c>
      <c r="H1518" s="18">
        <v>554.72</v>
      </c>
      <c r="J1518" s="20" t="str">
        <f t="shared" si="87"/>
        <v/>
      </c>
      <c r="K1518" t="str">
        <f t="shared" si="89"/>
        <v/>
      </c>
      <c r="L1518" s="4">
        <f t="shared" si="88"/>
        <v>-9.9999999999909051E-3</v>
      </c>
    </row>
    <row r="1519" spans="1:12" x14ac:dyDescent="0.25">
      <c r="A1519">
        <v>211</v>
      </c>
      <c r="B1519" s="3">
        <v>41985</v>
      </c>
      <c r="C1519" s="4">
        <v>1440.5</v>
      </c>
      <c r="E1519">
        <v>211</v>
      </c>
      <c r="F1519" s="3">
        <v>41985</v>
      </c>
      <c r="G1519" t="s">
        <v>96</v>
      </c>
      <c r="H1519" s="18">
        <v>1440.5</v>
      </c>
      <c r="J1519" s="20" t="str">
        <f t="shared" si="87"/>
        <v/>
      </c>
      <c r="K1519" t="str">
        <f t="shared" si="89"/>
        <v/>
      </c>
      <c r="L1519" s="4">
        <f t="shared" si="88"/>
        <v>0</v>
      </c>
    </row>
    <row r="1520" spans="1:12" x14ac:dyDescent="0.25">
      <c r="A1520">
        <v>218</v>
      </c>
      <c r="B1520" s="3">
        <v>41985</v>
      </c>
      <c r="C1520" s="4">
        <v>1587.5</v>
      </c>
      <c r="E1520">
        <v>218</v>
      </c>
      <c r="F1520" s="3">
        <v>41985</v>
      </c>
      <c r="G1520" t="s">
        <v>233</v>
      </c>
      <c r="H1520" s="18">
        <v>1587.5</v>
      </c>
      <c r="J1520" s="20" t="str">
        <f t="shared" si="87"/>
        <v/>
      </c>
      <c r="K1520" t="str">
        <f t="shared" si="89"/>
        <v/>
      </c>
      <c r="L1520" s="4">
        <f t="shared" si="88"/>
        <v>0</v>
      </c>
    </row>
    <row r="1521" spans="1:12" x14ac:dyDescent="0.25">
      <c r="A1521">
        <v>219</v>
      </c>
      <c r="B1521" s="3">
        <v>41985</v>
      </c>
      <c r="C1521" s="4">
        <v>561</v>
      </c>
      <c r="E1521">
        <v>219</v>
      </c>
      <c r="F1521" s="3">
        <v>41985</v>
      </c>
      <c r="G1521" t="s">
        <v>98</v>
      </c>
      <c r="H1521" s="18">
        <v>561</v>
      </c>
      <c r="J1521" s="20" t="str">
        <f t="shared" si="87"/>
        <v/>
      </c>
      <c r="K1521" t="str">
        <f t="shared" si="89"/>
        <v/>
      </c>
      <c r="L1521" s="4">
        <f t="shared" si="88"/>
        <v>0</v>
      </c>
    </row>
    <row r="1522" spans="1:12" x14ac:dyDescent="0.25">
      <c r="A1522">
        <v>261</v>
      </c>
      <c r="B1522" s="3">
        <v>41985</v>
      </c>
      <c r="C1522" s="4">
        <v>3537</v>
      </c>
      <c r="E1522">
        <v>261</v>
      </c>
      <c r="F1522" s="3">
        <v>41985</v>
      </c>
      <c r="G1522" t="s">
        <v>22</v>
      </c>
      <c r="H1522" s="18">
        <v>3537</v>
      </c>
      <c r="J1522" s="20" t="str">
        <f t="shared" si="87"/>
        <v/>
      </c>
      <c r="K1522" t="str">
        <f t="shared" si="89"/>
        <v/>
      </c>
      <c r="L1522" s="4">
        <f t="shared" si="88"/>
        <v>0</v>
      </c>
    </row>
    <row r="1523" spans="1:12" x14ac:dyDescent="0.25">
      <c r="A1523">
        <v>282</v>
      </c>
      <c r="B1523" s="3">
        <v>41985</v>
      </c>
      <c r="C1523" s="4">
        <v>2585</v>
      </c>
      <c r="E1523">
        <v>282</v>
      </c>
      <c r="F1523" s="3">
        <v>41985</v>
      </c>
      <c r="G1523" t="s">
        <v>23</v>
      </c>
      <c r="H1523" s="18">
        <v>2585</v>
      </c>
      <c r="J1523" s="20" t="str">
        <f t="shared" si="87"/>
        <v/>
      </c>
      <c r="K1523" t="str">
        <f t="shared" si="89"/>
        <v/>
      </c>
      <c r="L1523" s="4">
        <f t="shared" si="88"/>
        <v>0</v>
      </c>
    </row>
    <row r="1524" spans="1:12" x14ac:dyDescent="0.25">
      <c r="A1524">
        <v>295</v>
      </c>
      <c r="B1524" s="3">
        <v>41985</v>
      </c>
      <c r="C1524" s="4">
        <v>725</v>
      </c>
      <c r="E1524">
        <v>295</v>
      </c>
      <c r="F1524" s="3">
        <v>41985</v>
      </c>
      <c r="G1524" t="s">
        <v>103</v>
      </c>
      <c r="H1524" s="18">
        <v>725</v>
      </c>
      <c r="J1524" s="20" t="str">
        <f t="shared" si="87"/>
        <v/>
      </c>
      <c r="K1524" t="str">
        <f t="shared" si="89"/>
        <v/>
      </c>
      <c r="L1524" s="4">
        <f t="shared" si="88"/>
        <v>0</v>
      </c>
    </row>
    <row r="1525" spans="1:12" x14ac:dyDescent="0.25">
      <c r="A1525">
        <v>308</v>
      </c>
      <c r="B1525" s="3">
        <v>41985</v>
      </c>
      <c r="C1525" s="4">
        <v>525</v>
      </c>
      <c r="E1525">
        <v>308</v>
      </c>
      <c r="F1525" s="3">
        <v>41985</v>
      </c>
      <c r="G1525" t="s">
        <v>243</v>
      </c>
      <c r="H1525" s="18">
        <v>525</v>
      </c>
      <c r="J1525" s="20" t="str">
        <f t="shared" si="87"/>
        <v/>
      </c>
      <c r="K1525" t="str">
        <f t="shared" si="89"/>
        <v/>
      </c>
      <c r="L1525" s="4">
        <f t="shared" si="88"/>
        <v>0</v>
      </c>
    </row>
    <row r="1526" spans="1:12" x14ac:dyDescent="0.25">
      <c r="A1526">
        <v>322</v>
      </c>
      <c r="B1526" s="3">
        <v>41985</v>
      </c>
      <c r="C1526" s="4">
        <v>600</v>
      </c>
      <c r="E1526">
        <v>322</v>
      </c>
      <c r="F1526" s="3">
        <v>41985</v>
      </c>
      <c r="G1526" t="s">
        <v>198</v>
      </c>
      <c r="H1526" s="18">
        <v>600</v>
      </c>
      <c r="J1526" s="20" t="str">
        <f t="shared" si="87"/>
        <v/>
      </c>
      <c r="K1526" t="str">
        <f t="shared" si="89"/>
        <v/>
      </c>
      <c r="L1526" s="4">
        <f t="shared" si="88"/>
        <v>0</v>
      </c>
    </row>
    <row r="1527" spans="1:12" x14ac:dyDescent="0.25">
      <c r="A1527">
        <v>326</v>
      </c>
      <c r="B1527" s="3">
        <v>41985</v>
      </c>
      <c r="C1527" s="4">
        <v>1150</v>
      </c>
      <c r="E1527">
        <v>326</v>
      </c>
      <c r="F1527" s="3">
        <v>41985</v>
      </c>
      <c r="G1527" t="s">
        <v>25</v>
      </c>
      <c r="H1527" s="18">
        <v>100</v>
      </c>
      <c r="J1527" s="20" t="str">
        <f t="shared" si="87"/>
        <v/>
      </c>
      <c r="K1527" t="str">
        <f t="shared" si="89"/>
        <v/>
      </c>
      <c r="L1527" s="4">
        <f t="shared" si="88"/>
        <v>1050</v>
      </c>
    </row>
    <row r="1528" spans="1:12" x14ac:dyDescent="0.25">
      <c r="A1528">
        <v>355</v>
      </c>
      <c r="B1528" s="3">
        <v>41985</v>
      </c>
      <c r="C1528" s="4">
        <v>214.98</v>
      </c>
      <c r="E1528">
        <v>355</v>
      </c>
      <c r="F1528" s="3">
        <v>41985</v>
      </c>
      <c r="G1528" t="s">
        <v>108</v>
      </c>
      <c r="H1528" s="18">
        <v>214.98</v>
      </c>
      <c r="J1528" s="20" t="str">
        <f t="shared" si="87"/>
        <v/>
      </c>
      <c r="K1528" t="str">
        <f t="shared" si="89"/>
        <v/>
      </c>
      <c r="L1528" s="4">
        <f t="shared" si="88"/>
        <v>0</v>
      </c>
    </row>
    <row r="1529" spans="1:12" x14ac:dyDescent="0.25">
      <c r="A1529">
        <v>365</v>
      </c>
      <c r="B1529" s="3">
        <v>41985</v>
      </c>
      <c r="C1529" s="4">
        <v>1025</v>
      </c>
      <c r="E1529">
        <v>365</v>
      </c>
      <c r="F1529" s="3">
        <v>41985</v>
      </c>
      <c r="G1529" t="s">
        <v>29</v>
      </c>
      <c r="H1529" s="18">
        <v>1025</v>
      </c>
      <c r="J1529" s="20" t="str">
        <f t="shared" si="87"/>
        <v/>
      </c>
      <c r="K1529" t="str">
        <f t="shared" si="89"/>
        <v/>
      </c>
      <c r="L1529" s="4">
        <f t="shared" si="88"/>
        <v>0</v>
      </c>
    </row>
    <row r="1530" spans="1:12" x14ac:dyDescent="0.25">
      <c r="A1530">
        <v>382</v>
      </c>
      <c r="B1530" s="3">
        <v>41985</v>
      </c>
      <c r="C1530" s="4">
        <v>1725</v>
      </c>
      <c r="E1530">
        <v>382</v>
      </c>
      <c r="F1530" s="3">
        <v>41985</v>
      </c>
      <c r="G1530" t="s">
        <v>164</v>
      </c>
      <c r="H1530" s="18">
        <v>1725</v>
      </c>
      <c r="J1530" s="20" t="str">
        <f t="shared" si="87"/>
        <v/>
      </c>
      <c r="K1530" t="str">
        <f t="shared" si="89"/>
        <v/>
      </c>
      <c r="L1530" s="4">
        <f t="shared" si="88"/>
        <v>0</v>
      </c>
    </row>
    <row r="1531" spans="1:12" x14ac:dyDescent="0.25">
      <c r="A1531">
        <v>389</v>
      </c>
      <c r="B1531" s="3">
        <v>41985</v>
      </c>
      <c r="C1531" s="4">
        <v>2632.5</v>
      </c>
      <c r="E1531">
        <v>389</v>
      </c>
      <c r="F1531" s="3">
        <v>41985</v>
      </c>
      <c r="G1531" t="s">
        <v>31</v>
      </c>
      <c r="H1531" s="18">
        <v>2632.5</v>
      </c>
      <c r="J1531" s="20" t="str">
        <f t="shared" si="87"/>
        <v/>
      </c>
      <c r="K1531" t="str">
        <f t="shared" si="89"/>
        <v/>
      </c>
      <c r="L1531" s="4">
        <f t="shared" si="88"/>
        <v>0</v>
      </c>
    </row>
    <row r="1532" spans="1:12" x14ac:dyDescent="0.25">
      <c r="A1532">
        <v>392</v>
      </c>
      <c r="B1532" s="3">
        <v>41985</v>
      </c>
      <c r="C1532" s="4">
        <v>2650</v>
      </c>
      <c r="E1532">
        <v>392</v>
      </c>
      <c r="F1532" s="3">
        <v>41985</v>
      </c>
      <c r="G1532" t="s">
        <v>111</v>
      </c>
      <c r="H1532" s="18">
        <v>2650</v>
      </c>
      <c r="J1532" s="20" t="str">
        <f t="shared" si="87"/>
        <v/>
      </c>
      <c r="K1532" t="str">
        <f t="shared" si="89"/>
        <v/>
      </c>
      <c r="L1532" s="4">
        <f t="shared" si="88"/>
        <v>0</v>
      </c>
    </row>
    <row r="1533" spans="1:12" x14ac:dyDescent="0.25">
      <c r="A1533">
        <v>410</v>
      </c>
      <c r="B1533" s="3">
        <v>41985</v>
      </c>
      <c r="C1533" s="4">
        <v>921.15</v>
      </c>
      <c r="E1533">
        <v>410</v>
      </c>
      <c r="F1533" s="3">
        <v>41985</v>
      </c>
      <c r="G1533" t="s">
        <v>32</v>
      </c>
      <c r="H1533" s="18">
        <v>768.15</v>
      </c>
      <c r="J1533" s="20" t="str">
        <f t="shared" si="87"/>
        <v/>
      </c>
      <c r="K1533" t="str">
        <f t="shared" si="89"/>
        <v/>
      </c>
      <c r="L1533" s="4">
        <f t="shared" si="88"/>
        <v>153</v>
      </c>
    </row>
    <row r="1534" spans="1:12" x14ac:dyDescent="0.25">
      <c r="A1534">
        <v>422</v>
      </c>
      <c r="B1534" s="3">
        <v>41985</v>
      </c>
      <c r="C1534" s="4">
        <v>500</v>
      </c>
      <c r="E1534">
        <v>422</v>
      </c>
      <c r="F1534" s="3">
        <v>41985</v>
      </c>
      <c r="G1534" t="s">
        <v>165</v>
      </c>
      <c r="H1534" s="18">
        <v>500</v>
      </c>
      <c r="J1534" s="20" t="str">
        <f t="shared" si="87"/>
        <v/>
      </c>
      <c r="K1534" t="str">
        <f t="shared" si="89"/>
        <v/>
      </c>
      <c r="L1534" s="4">
        <f t="shared" si="88"/>
        <v>0</v>
      </c>
    </row>
    <row r="1535" spans="1:12" x14ac:dyDescent="0.25">
      <c r="A1535">
        <v>468</v>
      </c>
      <c r="B1535" s="3">
        <v>41985</v>
      </c>
      <c r="C1535" s="4">
        <v>1125</v>
      </c>
      <c r="E1535">
        <v>468</v>
      </c>
      <c r="F1535" s="3">
        <v>41985</v>
      </c>
      <c r="H1535" s="18">
        <v>1125</v>
      </c>
      <c r="J1535" s="20" t="str">
        <f t="shared" si="87"/>
        <v/>
      </c>
      <c r="K1535" t="str">
        <f t="shared" si="89"/>
        <v/>
      </c>
      <c r="L1535" s="4">
        <f t="shared" si="88"/>
        <v>0</v>
      </c>
    </row>
    <row r="1536" spans="1:12" x14ac:dyDescent="0.25">
      <c r="A1536">
        <v>475</v>
      </c>
      <c r="B1536" s="3">
        <v>41985</v>
      </c>
      <c r="C1536" s="4">
        <v>2450</v>
      </c>
      <c r="E1536">
        <v>475</v>
      </c>
      <c r="F1536" s="3">
        <v>41985</v>
      </c>
      <c r="G1536" t="s">
        <v>120</v>
      </c>
      <c r="H1536" s="18">
        <v>2450</v>
      </c>
      <c r="J1536" s="20" t="str">
        <f t="shared" si="87"/>
        <v/>
      </c>
      <c r="K1536" t="str">
        <f t="shared" si="89"/>
        <v/>
      </c>
      <c r="L1536" s="4">
        <f t="shared" si="88"/>
        <v>0</v>
      </c>
    </row>
    <row r="1537" spans="1:12" x14ac:dyDescent="0.25">
      <c r="A1537">
        <v>551</v>
      </c>
      <c r="B1537" s="3">
        <v>41985</v>
      </c>
      <c r="C1537" s="4">
        <v>300.3</v>
      </c>
      <c r="E1537">
        <v>551</v>
      </c>
      <c r="F1537" s="3">
        <v>41985</v>
      </c>
      <c r="G1537" t="s">
        <v>166</v>
      </c>
      <c r="H1537" s="18">
        <v>300.3</v>
      </c>
      <c r="J1537" s="20" t="str">
        <f t="shared" ref="J1537:J1540" si="90">IF(E1537=A1537,"","CHECK")</f>
        <v/>
      </c>
      <c r="K1537" t="str">
        <f t="shared" si="89"/>
        <v/>
      </c>
      <c r="L1537" s="4">
        <f t="shared" ref="L1537:L1540" si="91">C1537-H1537</f>
        <v>0</v>
      </c>
    </row>
    <row r="1538" spans="1:12" x14ac:dyDescent="0.25">
      <c r="A1538">
        <v>580</v>
      </c>
      <c r="B1538" s="3">
        <v>41985</v>
      </c>
      <c r="C1538" s="4">
        <v>750</v>
      </c>
      <c r="E1538">
        <v>580</v>
      </c>
      <c r="F1538" s="3">
        <v>41985</v>
      </c>
      <c r="G1538" t="s">
        <v>37</v>
      </c>
      <c r="H1538" s="18">
        <v>750</v>
      </c>
      <c r="J1538" s="20" t="str">
        <f t="shared" si="90"/>
        <v/>
      </c>
      <c r="K1538" t="str">
        <f t="shared" si="89"/>
        <v/>
      </c>
      <c r="L1538" s="4">
        <f t="shared" si="91"/>
        <v>0</v>
      </c>
    </row>
    <row r="1539" spans="1:12" x14ac:dyDescent="0.25">
      <c r="A1539">
        <v>582</v>
      </c>
      <c r="B1539" s="3">
        <v>41985</v>
      </c>
      <c r="C1539" s="4">
        <v>943.5</v>
      </c>
      <c r="E1539">
        <v>582</v>
      </c>
      <c r="F1539" s="3">
        <v>41985</v>
      </c>
      <c r="G1539" t="s">
        <v>123</v>
      </c>
      <c r="H1539" s="18">
        <v>943.5</v>
      </c>
      <c r="J1539" s="20" t="str">
        <f t="shared" si="90"/>
        <v/>
      </c>
      <c r="K1539" t="str">
        <f t="shared" ref="K1539:K1602" si="92">IF(F1539=B1539,"","CHECK")</f>
        <v/>
      </c>
      <c r="L1539" s="4">
        <f t="shared" si="91"/>
        <v>0</v>
      </c>
    </row>
    <row r="1540" spans="1:12" x14ac:dyDescent="0.25">
      <c r="A1540">
        <v>583</v>
      </c>
      <c r="B1540" s="3">
        <v>41985</v>
      </c>
      <c r="C1540" s="4">
        <v>841.5</v>
      </c>
      <c r="E1540">
        <v>583</v>
      </c>
      <c r="F1540" s="3">
        <v>41985</v>
      </c>
      <c r="G1540" t="s">
        <v>124</v>
      </c>
      <c r="H1540" s="18">
        <v>841.5</v>
      </c>
      <c r="J1540" s="20" t="str">
        <f t="shared" si="90"/>
        <v/>
      </c>
      <c r="K1540" t="str">
        <f t="shared" si="92"/>
        <v/>
      </c>
      <c r="L1540" s="4">
        <f t="shared" si="91"/>
        <v>0</v>
      </c>
    </row>
    <row r="1541" spans="1:12" x14ac:dyDescent="0.25">
      <c r="B1541" s="3"/>
      <c r="E1541">
        <v>593</v>
      </c>
      <c r="F1541" s="3">
        <v>41985</v>
      </c>
      <c r="G1541" t="s">
        <v>38</v>
      </c>
      <c r="H1541" s="18">
        <v>0</v>
      </c>
      <c r="J1541" s="20" t="str">
        <f t="shared" ref="J1541:J1587" si="93">IF(E1541=A1541,"","CHECK")</f>
        <v>CHECK</v>
      </c>
      <c r="K1541" t="str">
        <f t="shared" si="92"/>
        <v>CHECK</v>
      </c>
      <c r="L1541" s="4">
        <f t="shared" ref="L1541:L1587" si="94">C1541-H1541</f>
        <v>0</v>
      </c>
    </row>
    <row r="1542" spans="1:12" x14ac:dyDescent="0.25">
      <c r="A1542">
        <v>600</v>
      </c>
      <c r="B1542" s="3">
        <v>41985</v>
      </c>
      <c r="C1542" s="4">
        <v>561</v>
      </c>
      <c r="E1542">
        <v>600</v>
      </c>
      <c r="F1542" s="3">
        <v>41985</v>
      </c>
      <c r="G1542" t="s">
        <v>244</v>
      </c>
      <c r="H1542" s="18">
        <v>561</v>
      </c>
      <c r="J1542" s="20" t="str">
        <f t="shared" si="93"/>
        <v/>
      </c>
      <c r="K1542" t="str">
        <f t="shared" si="92"/>
        <v/>
      </c>
      <c r="L1542" s="4">
        <f t="shared" si="94"/>
        <v>0</v>
      </c>
    </row>
    <row r="1543" spans="1:12" x14ac:dyDescent="0.25">
      <c r="A1543">
        <v>612</v>
      </c>
      <c r="B1543" s="3">
        <v>41985</v>
      </c>
      <c r="C1543" s="4">
        <v>-382.5</v>
      </c>
      <c r="E1543">
        <v>612</v>
      </c>
      <c r="F1543" s="3">
        <v>41985</v>
      </c>
      <c r="G1543" t="s">
        <v>245</v>
      </c>
      <c r="H1543" s="18">
        <v>-382.5</v>
      </c>
      <c r="J1543" s="20" t="str">
        <f t="shared" si="93"/>
        <v/>
      </c>
      <c r="K1543" t="str">
        <f t="shared" si="92"/>
        <v/>
      </c>
      <c r="L1543" s="4">
        <f t="shared" si="94"/>
        <v>0</v>
      </c>
    </row>
    <row r="1544" spans="1:12" x14ac:dyDescent="0.25">
      <c r="A1544">
        <v>632</v>
      </c>
      <c r="B1544" s="3">
        <v>41985</v>
      </c>
      <c r="C1544" s="4">
        <v>816</v>
      </c>
      <c r="E1544">
        <v>632</v>
      </c>
      <c r="F1544" s="3">
        <v>41985</v>
      </c>
      <c r="G1544" t="s">
        <v>41</v>
      </c>
      <c r="H1544" s="18">
        <v>816</v>
      </c>
      <c r="J1544" s="20" t="str">
        <f t="shared" si="93"/>
        <v/>
      </c>
      <c r="K1544" t="str">
        <f t="shared" si="92"/>
        <v/>
      </c>
      <c r="L1544" s="4">
        <f t="shared" si="94"/>
        <v>0</v>
      </c>
    </row>
    <row r="1545" spans="1:12" x14ac:dyDescent="0.25">
      <c r="A1545">
        <v>659</v>
      </c>
      <c r="B1545" s="3">
        <v>41985</v>
      </c>
      <c r="C1545" s="4">
        <v>2147.5</v>
      </c>
      <c r="E1545">
        <v>659</v>
      </c>
      <c r="F1545" s="3">
        <v>41985</v>
      </c>
      <c r="G1545" t="s">
        <v>44</v>
      </c>
      <c r="H1545" s="18">
        <v>2147.5</v>
      </c>
      <c r="J1545" s="20" t="str">
        <f t="shared" si="93"/>
        <v/>
      </c>
      <c r="K1545" t="str">
        <f t="shared" si="92"/>
        <v/>
      </c>
      <c r="L1545" s="4">
        <f t="shared" si="94"/>
        <v>0</v>
      </c>
    </row>
    <row r="1546" spans="1:12" x14ac:dyDescent="0.25">
      <c r="A1546">
        <v>664</v>
      </c>
      <c r="B1546" s="3">
        <v>41985</v>
      </c>
      <c r="C1546" s="4">
        <v>250</v>
      </c>
      <c r="E1546">
        <v>664</v>
      </c>
      <c r="F1546" s="3">
        <v>41985</v>
      </c>
      <c r="G1546" t="s">
        <v>226</v>
      </c>
      <c r="H1546" s="18">
        <v>250</v>
      </c>
      <c r="J1546" s="20" t="str">
        <f t="shared" si="93"/>
        <v/>
      </c>
      <c r="K1546" t="str">
        <f t="shared" si="92"/>
        <v/>
      </c>
      <c r="L1546" s="4">
        <f t="shared" si="94"/>
        <v>0</v>
      </c>
    </row>
    <row r="1547" spans="1:12" x14ac:dyDescent="0.25">
      <c r="A1547">
        <v>672</v>
      </c>
      <c r="B1547" s="3">
        <v>41985</v>
      </c>
      <c r="C1547" s="4">
        <v>250</v>
      </c>
      <c r="E1547">
        <v>672</v>
      </c>
      <c r="F1547" s="3">
        <v>41985</v>
      </c>
      <c r="G1547" t="s">
        <v>168</v>
      </c>
      <c r="H1547" s="18">
        <v>250</v>
      </c>
      <c r="J1547" s="20" t="str">
        <f t="shared" si="93"/>
        <v/>
      </c>
      <c r="K1547" t="str">
        <f t="shared" si="92"/>
        <v/>
      </c>
      <c r="L1547" s="4">
        <f t="shared" si="94"/>
        <v>0</v>
      </c>
    </row>
    <row r="1548" spans="1:12" x14ac:dyDescent="0.25">
      <c r="A1548">
        <v>676</v>
      </c>
      <c r="B1548" s="3">
        <v>41985</v>
      </c>
      <c r="C1548" s="4">
        <v>459</v>
      </c>
      <c r="E1548">
        <v>676</v>
      </c>
      <c r="F1548" s="3">
        <v>41985</v>
      </c>
      <c r="G1548" t="s">
        <v>246</v>
      </c>
      <c r="H1548" s="18">
        <v>459</v>
      </c>
      <c r="J1548" s="20" t="str">
        <f t="shared" si="93"/>
        <v/>
      </c>
      <c r="K1548" t="str">
        <f t="shared" si="92"/>
        <v/>
      </c>
      <c r="L1548" s="4">
        <f t="shared" si="94"/>
        <v>0</v>
      </c>
    </row>
    <row r="1549" spans="1:12" x14ac:dyDescent="0.25">
      <c r="A1549">
        <v>714</v>
      </c>
      <c r="B1549" s="3">
        <v>41985</v>
      </c>
      <c r="C1549" s="4">
        <v>500</v>
      </c>
      <c r="E1549">
        <v>714</v>
      </c>
      <c r="F1549" s="3">
        <v>41985</v>
      </c>
      <c r="G1549" t="s">
        <v>171</v>
      </c>
      <c r="H1549" s="18">
        <v>500</v>
      </c>
      <c r="J1549" s="20" t="str">
        <f t="shared" si="93"/>
        <v/>
      </c>
      <c r="K1549" t="str">
        <f t="shared" si="92"/>
        <v/>
      </c>
      <c r="L1549" s="4">
        <f t="shared" si="94"/>
        <v>0</v>
      </c>
    </row>
    <row r="1550" spans="1:12" x14ac:dyDescent="0.25">
      <c r="A1550">
        <v>715</v>
      </c>
      <c r="B1550" s="3">
        <v>41985</v>
      </c>
      <c r="C1550" s="4">
        <v>725</v>
      </c>
      <c r="E1550">
        <v>715</v>
      </c>
      <c r="F1550" s="3">
        <v>41985</v>
      </c>
      <c r="G1550" t="s">
        <v>235</v>
      </c>
      <c r="H1550" s="18">
        <v>725</v>
      </c>
      <c r="J1550" s="20" t="str">
        <f t="shared" si="93"/>
        <v/>
      </c>
      <c r="K1550" t="str">
        <f t="shared" si="92"/>
        <v/>
      </c>
      <c r="L1550" s="4">
        <f t="shared" si="94"/>
        <v>0</v>
      </c>
    </row>
    <row r="1551" spans="1:12" x14ac:dyDescent="0.25">
      <c r="A1551">
        <v>722</v>
      </c>
      <c r="B1551" s="3">
        <v>41985</v>
      </c>
      <c r="C1551" s="4">
        <v>568</v>
      </c>
      <c r="E1551">
        <v>722</v>
      </c>
      <c r="F1551" s="3">
        <v>41985</v>
      </c>
      <c r="G1551" t="s">
        <v>135</v>
      </c>
      <c r="H1551" s="18">
        <v>976</v>
      </c>
      <c r="J1551" s="20" t="str">
        <f t="shared" si="93"/>
        <v/>
      </c>
      <c r="K1551" t="str">
        <f t="shared" si="92"/>
        <v/>
      </c>
      <c r="L1551" s="4">
        <f t="shared" si="94"/>
        <v>-408</v>
      </c>
    </row>
    <row r="1552" spans="1:12" x14ac:dyDescent="0.25">
      <c r="A1552">
        <v>725</v>
      </c>
      <c r="B1552" s="3">
        <v>41985</v>
      </c>
      <c r="C1552" s="4">
        <v>1250</v>
      </c>
      <c r="E1552">
        <v>725</v>
      </c>
      <c r="F1552" s="3">
        <v>41985</v>
      </c>
      <c r="G1552" t="s">
        <v>229</v>
      </c>
      <c r="H1552" s="18">
        <v>1250</v>
      </c>
      <c r="J1552" s="20" t="str">
        <f t="shared" si="93"/>
        <v/>
      </c>
      <c r="K1552" t="str">
        <f t="shared" si="92"/>
        <v/>
      </c>
      <c r="L1552" s="4">
        <f t="shared" si="94"/>
        <v>0</v>
      </c>
    </row>
    <row r="1553" spans="1:12" x14ac:dyDescent="0.25">
      <c r="A1553">
        <v>726</v>
      </c>
      <c r="B1553" s="3">
        <v>41985</v>
      </c>
      <c r="C1553" s="4">
        <v>1010</v>
      </c>
      <c r="E1553">
        <v>726</v>
      </c>
      <c r="F1553" s="3">
        <v>41985</v>
      </c>
      <c r="G1553" t="s">
        <v>53</v>
      </c>
      <c r="H1553" s="18">
        <v>510</v>
      </c>
      <c r="J1553" s="20" t="str">
        <f t="shared" si="93"/>
        <v/>
      </c>
      <c r="K1553" t="str">
        <f t="shared" si="92"/>
        <v/>
      </c>
      <c r="L1553" s="4">
        <f t="shared" si="94"/>
        <v>500</v>
      </c>
    </row>
    <row r="1554" spans="1:12" x14ac:dyDescent="0.25">
      <c r="A1554">
        <v>750</v>
      </c>
      <c r="B1554" s="3">
        <v>41985</v>
      </c>
      <c r="C1554" s="4">
        <v>500</v>
      </c>
      <c r="E1554">
        <v>750</v>
      </c>
      <c r="F1554" s="3">
        <v>41985</v>
      </c>
      <c r="G1554" t="s">
        <v>55</v>
      </c>
      <c r="H1554" s="18">
        <v>500</v>
      </c>
      <c r="J1554" s="20" t="str">
        <f t="shared" si="93"/>
        <v/>
      </c>
      <c r="K1554" t="str">
        <f t="shared" si="92"/>
        <v/>
      </c>
      <c r="L1554" s="4">
        <f t="shared" si="94"/>
        <v>0</v>
      </c>
    </row>
    <row r="1555" spans="1:12" x14ac:dyDescent="0.25">
      <c r="A1555">
        <v>771</v>
      </c>
      <c r="B1555" s="3">
        <v>41985</v>
      </c>
      <c r="C1555" s="4">
        <v>1351.5</v>
      </c>
      <c r="E1555">
        <v>771</v>
      </c>
      <c r="F1555" s="3">
        <v>41985</v>
      </c>
      <c r="G1555" t="s">
        <v>57</v>
      </c>
      <c r="H1555" s="18">
        <v>1351.5</v>
      </c>
      <c r="J1555" s="20" t="str">
        <f t="shared" si="93"/>
        <v/>
      </c>
      <c r="K1555" t="str">
        <f t="shared" si="92"/>
        <v/>
      </c>
      <c r="L1555" s="4">
        <f t="shared" si="94"/>
        <v>0</v>
      </c>
    </row>
    <row r="1556" spans="1:12" x14ac:dyDescent="0.25">
      <c r="A1556">
        <v>782</v>
      </c>
      <c r="B1556" s="3">
        <v>41985</v>
      </c>
      <c r="C1556" s="4">
        <v>1250</v>
      </c>
      <c r="E1556">
        <v>782</v>
      </c>
      <c r="F1556" s="3">
        <v>41985</v>
      </c>
      <c r="G1556" t="s">
        <v>173</v>
      </c>
      <c r="H1556" s="18">
        <v>1250</v>
      </c>
      <c r="J1556" s="20" t="str">
        <f t="shared" si="93"/>
        <v/>
      </c>
      <c r="K1556" t="str">
        <f t="shared" si="92"/>
        <v/>
      </c>
      <c r="L1556" s="4">
        <f t="shared" si="94"/>
        <v>0</v>
      </c>
    </row>
    <row r="1557" spans="1:12" x14ac:dyDescent="0.25">
      <c r="A1557">
        <v>817</v>
      </c>
      <c r="B1557" s="3">
        <v>41985</v>
      </c>
      <c r="C1557" s="4">
        <v>510</v>
      </c>
      <c r="E1557">
        <v>817</v>
      </c>
      <c r="F1557" s="3">
        <v>41985</v>
      </c>
      <c r="G1557" t="s">
        <v>60</v>
      </c>
      <c r="H1557" s="18">
        <v>510</v>
      </c>
      <c r="J1557" s="20" t="str">
        <f t="shared" si="93"/>
        <v/>
      </c>
      <c r="K1557" t="str">
        <f t="shared" si="92"/>
        <v/>
      </c>
      <c r="L1557" s="4">
        <f t="shared" si="94"/>
        <v>0</v>
      </c>
    </row>
    <row r="1558" spans="1:12" x14ac:dyDescent="0.25">
      <c r="A1558">
        <v>823</v>
      </c>
      <c r="B1558" s="3">
        <v>41985</v>
      </c>
      <c r="C1558" s="4">
        <v>80.33</v>
      </c>
      <c r="E1558">
        <v>823</v>
      </c>
      <c r="F1558" s="3">
        <v>41985</v>
      </c>
      <c r="G1558" t="s">
        <v>61</v>
      </c>
      <c r="H1558" s="18">
        <v>80.33</v>
      </c>
      <c r="J1558" s="20" t="str">
        <f t="shared" si="93"/>
        <v/>
      </c>
      <c r="K1558" t="str">
        <f t="shared" si="92"/>
        <v/>
      </c>
      <c r="L1558" s="4">
        <f t="shared" si="94"/>
        <v>0</v>
      </c>
    </row>
    <row r="1559" spans="1:12" x14ac:dyDescent="0.25">
      <c r="A1559">
        <v>875</v>
      </c>
      <c r="B1559" s="3">
        <v>41985</v>
      </c>
      <c r="C1559" s="4">
        <v>250</v>
      </c>
      <c r="E1559">
        <v>875</v>
      </c>
      <c r="F1559" s="3">
        <v>41985</v>
      </c>
      <c r="G1559" t="s">
        <v>65</v>
      </c>
      <c r="H1559" s="18">
        <v>250</v>
      </c>
      <c r="J1559" s="20" t="str">
        <f t="shared" si="93"/>
        <v/>
      </c>
      <c r="K1559" t="str">
        <f t="shared" si="92"/>
        <v/>
      </c>
      <c r="L1559" s="4">
        <f t="shared" si="94"/>
        <v>0</v>
      </c>
    </row>
    <row r="1560" spans="1:12" x14ac:dyDescent="0.25">
      <c r="A1560">
        <v>890</v>
      </c>
      <c r="B1560" s="3">
        <v>41985</v>
      </c>
      <c r="C1560" s="4">
        <v>3000</v>
      </c>
      <c r="E1560">
        <v>890</v>
      </c>
      <c r="F1560" s="3">
        <v>41985</v>
      </c>
      <c r="G1560" t="s">
        <v>140</v>
      </c>
      <c r="H1560" s="18">
        <v>3000</v>
      </c>
      <c r="J1560" s="20" t="str">
        <f t="shared" si="93"/>
        <v/>
      </c>
      <c r="K1560" t="str">
        <f t="shared" si="92"/>
        <v/>
      </c>
      <c r="L1560" s="4">
        <f t="shared" si="94"/>
        <v>0</v>
      </c>
    </row>
    <row r="1561" spans="1:12" x14ac:dyDescent="0.25">
      <c r="A1561">
        <v>631</v>
      </c>
      <c r="B1561" s="3">
        <v>41988</v>
      </c>
      <c r="C1561" s="4">
        <v>288.04000000000002</v>
      </c>
      <c r="E1561">
        <v>631</v>
      </c>
      <c r="F1561" s="3">
        <v>41988</v>
      </c>
      <c r="G1561" t="s">
        <v>202</v>
      </c>
      <c r="H1561" s="18">
        <v>288.04000000000002</v>
      </c>
      <c r="J1561" s="20" t="str">
        <f t="shared" si="93"/>
        <v/>
      </c>
      <c r="K1561" t="str">
        <f t="shared" si="92"/>
        <v/>
      </c>
      <c r="L1561" s="4">
        <f t="shared" si="94"/>
        <v>0</v>
      </c>
    </row>
    <row r="1562" spans="1:12" x14ac:dyDescent="0.25">
      <c r="A1562">
        <v>890</v>
      </c>
      <c r="B1562" s="3">
        <v>41988</v>
      </c>
      <c r="C1562" s="4">
        <v>1000</v>
      </c>
      <c r="E1562">
        <v>890</v>
      </c>
      <c r="F1562" s="3">
        <v>41988</v>
      </c>
      <c r="G1562" t="s">
        <v>140</v>
      </c>
      <c r="H1562" s="18">
        <v>1000</v>
      </c>
      <c r="J1562" s="20" t="str">
        <f t="shared" si="93"/>
        <v/>
      </c>
      <c r="K1562" t="str">
        <f t="shared" si="92"/>
        <v/>
      </c>
      <c r="L1562" s="4">
        <f t="shared" si="94"/>
        <v>0</v>
      </c>
    </row>
    <row r="1563" spans="1:12" x14ac:dyDescent="0.25">
      <c r="A1563">
        <v>27</v>
      </c>
      <c r="B1563" s="3">
        <v>41992</v>
      </c>
      <c r="C1563" s="4">
        <v>9196.94</v>
      </c>
      <c r="E1563">
        <v>27</v>
      </c>
      <c r="F1563" s="3">
        <v>41992</v>
      </c>
      <c r="G1563" t="s">
        <v>159</v>
      </c>
      <c r="H1563" s="18">
        <v>9196.94</v>
      </c>
      <c r="J1563" s="20" t="str">
        <f t="shared" si="93"/>
        <v/>
      </c>
      <c r="K1563" t="str">
        <f t="shared" si="92"/>
        <v/>
      </c>
      <c r="L1563" s="4">
        <f t="shared" si="94"/>
        <v>0</v>
      </c>
    </row>
    <row r="1564" spans="1:12" x14ac:dyDescent="0.25">
      <c r="A1564">
        <v>202</v>
      </c>
      <c r="B1564" s="3">
        <v>41992</v>
      </c>
      <c r="C1564" s="4">
        <v>411.15</v>
      </c>
      <c r="E1564">
        <v>202</v>
      </c>
      <c r="F1564" s="3">
        <v>41992</v>
      </c>
      <c r="G1564" t="s">
        <v>237</v>
      </c>
      <c r="H1564" s="18">
        <v>411.15</v>
      </c>
      <c r="J1564" s="20" t="str">
        <f t="shared" si="93"/>
        <v/>
      </c>
      <c r="K1564" t="str">
        <f t="shared" si="92"/>
        <v/>
      </c>
      <c r="L1564" s="4">
        <f t="shared" si="94"/>
        <v>0</v>
      </c>
    </row>
    <row r="1565" spans="1:12" x14ac:dyDescent="0.25">
      <c r="A1565">
        <v>203</v>
      </c>
      <c r="B1565" s="3">
        <v>41992</v>
      </c>
      <c r="C1565" s="4">
        <v>11341.02</v>
      </c>
      <c r="E1565">
        <v>203</v>
      </c>
      <c r="F1565" s="3">
        <v>41992</v>
      </c>
      <c r="G1565" t="s">
        <v>95</v>
      </c>
      <c r="H1565" s="18">
        <v>11341.02</v>
      </c>
      <c r="J1565" s="20" t="str">
        <f t="shared" si="93"/>
        <v/>
      </c>
      <c r="K1565" t="str">
        <f t="shared" si="92"/>
        <v/>
      </c>
      <c r="L1565" s="4">
        <f t="shared" si="94"/>
        <v>0</v>
      </c>
    </row>
    <row r="1566" spans="1:12" x14ac:dyDescent="0.25">
      <c r="A1566">
        <v>261</v>
      </c>
      <c r="B1566" s="3">
        <v>41992</v>
      </c>
      <c r="C1566" s="4">
        <v>2315</v>
      </c>
      <c r="E1566">
        <v>261</v>
      </c>
      <c r="F1566" s="3">
        <v>41992</v>
      </c>
      <c r="G1566" t="s">
        <v>22</v>
      </c>
      <c r="H1566" s="18">
        <v>2315</v>
      </c>
      <c r="J1566" s="20" t="str">
        <f t="shared" si="93"/>
        <v/>
      </c>
      <c r="K1566" t="str">
        <f t="shared" si="92"/>
        <v/>
      </c>
      <c r="L1566" s="4">
        <f t="shared" si="94"/>
        <v>0</v>
      </c>
    </row>
    <row r="1567" spans="1:12" x14ac:dyDescent="0.25">
      <c r="A1567">
        <v>358</v>
      </c>
      <c r="B1567" s="3">
        <v>41992</v>
      </c>
      <c r="C1567" s="4">
        <v>883.45</v>
      </c>
      <c r="E1567">
        <v>358</v>
      </c>
      <c r="F1567" s="3">
        <v>41992</v>
      </c>
      <c r="G1567" t="s">
        <v>179</v>
      </c>
      <c r="H1567" s="18">
        <v>883.45</v>
      </c>
      <c r="J1567" s="20" t="str">
        <f t="shared" si="93"/>
        <v/>
      </c>
      <c r="K1567" t="str">
        <f t="shared" si="92"/>
        <v/>
      </c>
      <c r="L1567" s="4">
        <f t="shared" si="94"/>
        <v>0</v>
      </c>
    </row>
    <row r="1568" spans="1:12" x14ac:dyDescent="0.25">
      <c r="A1568">
        <v>389</v>
      </c>
      <c r="B1568" s="3">
        <v>41992</v>
      </c>
      <c r="C1568" s="4">
        <v>1641.23</v>
      </c>
      <c r="E1568">
        <v>389</v>
      </c>
      <c r="F1568" s="3">
        <v>41992</v>
      </c>
      <c r="G1568" t="s">
        <v>31</v>
      </c>
      <c r="H1568" s="18">
        <v>1641.23</v>
      </c>
      <c r="J1568" s="20" t="str">
        <f t="shared" si="93"/>
        <v/>
      </c>
      <c r="K1568" t="str">
        <f t="shared" si="92"/>
        <v/>
      </c>
      <c r="L1568" s="4">
        <f t="shared" si="94"/>
        <v>0</v>
      </c>
    </row>
    <row r="1569" spans="1:12" x14ac:dyDescent="0.25">
      <c r="A1569">
        <v>392</v>
      </c>
      <c r="B1569" s="3">
        <v>41992</v>
      </c>
      <c r="C1569" s="4">
        <v>1450</v>
      </c>
      <c r="E1569">
        <v>392</v>
      </c>
      <c r="F1569" s="3">
        <v>41992</v>
      </c>
      <c r="G1569" t="s">
        <v>111</v>
      </c>
      <c r="H1569" s="18">
        <v>1450</v>
      </c>
      <c r="J1569" s="20" t="str">
        <f t="shared" si="93"/>
        <v/>
      </c>
      <c r="K1569" t="str">
        <f t="shared" si="92"/>
        <v/>
      </c>
      <c r="L1569" s="4">
        <f t="shared" si="94"/>
        <v>0</v>
      </c>
    </row>
    <row r="1570" spans="1:12" x14ac:dyDescent="0.25">
      <c r="A1570">
        <v>410</v>
      </c>
      <c r="B1570" s="3">
        <v>41992</v>
      </c>
      <c r="C1570" s="4">
        <v>1472.49</v>
      </c>
      <c r="E1570">
        <v>410</v>
      </c>
      <c r="F1570" s="3">
        <v>41992</v>
      </c>
      <c r="G1570" t="s">
        <v>32</v>
      </c>
      <c r="H1570" s="18">
        <v>1472.49</v>
      </c>
      <c r="J1570" s="20" t="str">
        <f t="shared" si="93"/>
        <v/>
      </c>
      <c r="K1570" t="str">
        <f t="shared" si="92"/>
        <v/>
      </c>
      <c r="L1570" s="4">
        <f t="shared" si="94"/>
        <v>0</v>
      </c>
    </row>
    <row r="1571" spans="1:12" x14ac:dyDescent="0.25">
      <c r="A1571">
        <v>468</v>
      </c>
      <c r="B1571" s="3">
        <v>41992</v>
      </c>
      <c r="C1571" s="4">
        <v>3600</v>
      </c>
      <c r="E1571">
        <v>468</v>
      </c>
      <c r="F1571" s="3">
        <v>41992</v>
      </c>
      <c r="H1571" s="18">
        <v>2700</v>
      </c>
      <c r="J1571" s="20" t="str">
        <f t="shared" si="93"/>
        <v/>
      </c>
      <c r="K1571" t="str">
        <f t="shared" si="92"/>
        <v/>
      </c>
      <c r="L1571" s="4">
        <f t="shared" si="94"/>
        <v>900</v>
      </c>
    </row>
    <row r="1572" spans="1:12" x14ac:dyDescent="0.25">
      <c r="A1572">
        <v>475</v>
      </c>
      <c r="B1572" s="3">
        <v>41992</v>
      </c>
      <c r="C1572" s="4">
        <v>1400</v>
      </c>
      <c r="E1572">
        <v>475</v>
      </c>
      <c r="F1572" s="3">
        <v>41992</v>
      </c>
      <c r="G1572" t="s">
        <v>120</v>
      </c>
      <c r="H1572" s="18">
        <v>1400</v>
      </c>
      <c r="J1572" s="20" t="str">
        <f t="shared" si="93"/>
        <v/>
      </c>
      <c r="K1572" t="str">
        <f t="shared" si="92"/>
        <v/>
      </c>
      <c r="L1572" s="4">
        <f t="shared" si="94"/>
        <v>0</v>
      </c>
    </row>
    <row r="1573" spans="1:12" x14ac:dyDescent="0.25">
      <c r="A1573">
        <v>530</v>
      </c>
      <c r="B1573" s="3">
        <v>41992</v>
      </c>
      <c r="C1573" s="4">
        <v>1000</v>
      </c>
      <c r="E1573">
        <v>530</v>
      </c>
      <c r="F1573" s="3">
        <v>41992</v>
      </c>
      <c r="G1573" t="s">
        <v>35</v>
      </c>
      <c r="H1573" s="18">
        <v>1000</v>
      </c>
      <c r="J1573" s="20" t="str">
        <f t="shared" si="93"/>
        <v/>
      </c>
      <c r="K1573" t="str">
        <f t="shared" si="92"/>
        <v/>
      </c>
      <c r="L1573" s="4">
        <f t="shared" si="94"/>
        <v>0</v>
      </c>
    </row>
    <row r="1574" spans="1:12" x14ac:dyDescent="0.25">
      <c r="A1574">
        <v>576</v>
      </c>
      <c r="B1574" s="3">
        <v>41992</v>
      </c>
      <c r="C1574" s="4">
        <v>250</v>
      </c>
      <c r="E1574">
        <v>576</v>
      </c>
      <c r="F1574" s="3">
        <v>41992</v>
      </c>
      <c r="G1574" t="s">
        <v>36</v>
      </c>
      <c r="H1574" s="18">
        <v>250</v>
      </c>
      <c r="J1574" s="20" t="str">
        <f t="shared" si="93"/>
        <v/>
      </c>
      <c r="K1574" t="str">
        <f t="shared" si="92"/>
        <v/>
      </c>
      <c r="L1574" s="4">
        <f t="shared" si="94"/>
        <v>0</v>
      </c>
    </row>
    <row r="1575" spans="1:12" x14ac:dyDescent="0.25">
      <c r="A1575">
        <v>607</v>
      </c>
      <c r="B1575" s="3">
        <v>41992</v>
      </c>
      <c r="C1575" s="4">
        <v>250</v>
      </c>
      <c r="E1575">
        <v>607</v>
      </c>
      <c r="F1575" s="3">
        <v>41992</v>
      </c>
      <c r="G1575" t="s">
        <v>39</v>
      </c>
      <c r="H1575" s="18">
        <v>250</v>
      </c>
      <c r="J1575" s="20" t="str">
        <f t="shared" si="93"/>
        <v/>
      </c>
      <c r="K1575" t="str">
        <f t="shared" si="92"/>
        <v/>
      </c>
      <c r="L1575" s="4">
        <f t="shared" si="94"/>
        <v>0</v>
      </c>
    </row>
    <row r="1576" spans="1:12" x14ac:dyDescent="0.25">
      <c r="A1576">
        <v>646</v>
      </c>
      <c r="B1576" s="3">
        <v>41992</v>
      </c>
      <c r="C1576" s="4">
        <v>775</v>
      </c>
      <c r="E1576">
        <v>646</v>
      </c>
      <c r="F1576" s="3">
        <v>41992</v>
      </c>
      <c r="G1576" t="s">
        <v>203</v>
      </c>
      <c r="H1576" s="18">
        <v>775</v>
      </c>
      <c r="J1576" s="20" t="str">
        <f t="shared" si="93"/>
        <v/>
      </c>
      <c r="K1576" t="str">
        <f t="shared" si="92"/>
        <v/>
      </c>
      <c r="L1576" s="4">
        <f t="shared" si="94"/>
        <v>0</v>
      </c>
    </row>
    <row r="1577" spans="1:12" x14ac:dyDescent="0.25">
      <c r="A1577">
        <v>659</v>
      </c>
      <c r="B1577" s="3">
        <v>41992</v>
      </c>
      <c r="C1577" s="4">
        <v>845</v>
      </c>
      <c r="E1577">
        <v>659</v>
      </c>
      <c r="F1577" s="3">
        <v>41992</v>
      </c>
      <c r="G1577" t="s">
        <v>44</v>
      </c>
      <c r="H1577" s="18">
        <v>845</v>
      </c>
      <c r="J1577" s="20" t="str">
        <f t="shared" si="93"/>
        <v/>
      </c>
      <c r="K1577" t="str">
        <f t="shared" si="92"/>
        <v/>
      </c>
      <c r="L1577" s="4">
        <f t="shared" si="94"/>
        <v>0</v>
      </c>
    </row>
    <row r="1578" spans="1:12" x14ac:dyDescent="0.25">
      <c r="A1578">
        <v>664</v>
      </c>
      <c r="B1578" s="3">
        <v>41992</v>
      </c>
      <c r="C1578" s="4">
        <v>750</v>
      </c>
      <c r="E1578">
        <v>664</v>
      </c>
      <c r="F1578" s="3">
        <v>41992</v>
      </c>
      <c r="G1578" t="s">
        <v>226</v>
      </c>
      <c r="H1578" s="18">
        <v>750</v>
      </c>
      <c r="J1578" s="20" t="str">
        <f t="shared" si="93"/>
        <v/>
      </c>
      <c r="K1578" t="str">
        <f t="shared" si="92"/>
        <v/>
      </c>
      <c r="L1578" s="4">
        <f t="shared" si="94"/>
        <v>0</v>
      </c>
    </row>
    <row r="1579" spans="1:12" x14ac:dyDescent="0.25">
      <c r="A1579">
        <v>702</v>
      </c>
      <c r="B1579" s="3">
        <v>41992</v>
      </c>
      <c r="C1579" s="4">
        <v>500</v>
      </c>
      <c r="E1579">
        <v>702</v>
      </c>
      <c r="F1579" s="3">
        <v>41992</v>
      </c>
      <c r="G1579" t="s">
        <v>134</v>
      </c>
      <c r="H1579" s="18">
        <v>500</v>
      </c>
      <c r="J1579" s="20" t="str">
        <f t="shared" si="93"/>
        <v/>
      </c>
      <c r="K1579" t="str">
        <f t="shared" si="92"/>
        <v/>
      </c>
      <c r="L1579" s="4">
        <f t="shared" si="94"/>
        <v>0</v>
      </c>
    </row>
    <row r="1580" spans="1:12" x14ac:dyDescent="0.25">
      <c r="A1580">
        <v>831</v>
      </c>
      <c r="B1580" s="3">
        <v>41992</v>
      </c>
      <c r="C1580" s="4">
        <v>212.5</v>
      </c>
      <c r="E1580">
        <v>831</v>
      </c>
      <c r="F1580" s="3">
        <v>41992</v>
      </c>
      <c r="G1580" t="s">
        <v>238</v>
      </c>
      <c r="H1580" s="18">
        <v>212.5</v>
      </c>
      <c r="J1580" s="20" t="str">
        <f t="shared" si="93"/>
        <v/>
      </c>
      <c r="K1580" t="str">
        <f t="shared" si="92"/>
        <v/>
      </c>
      <c r="L1580" s="4">
        <f t="shared" si="94"/>
        <v>0</v>
      </c>
    </row>
    <row r="1581" spans="1:12" x14ac:dyDescent="0.25">
      <c r="A1581">
        <v>28</v>
      </c>
      <c r="B1581" s="3">
        <v>41995</v>
      </c>
      <c r="C1581" s="4">
        <v>1000</v>
      </c>
      <c r="E1581">
        <v>28</v>
      </c>
      <c r="F1581" s="3">
        <v>41995</v>
      </c>
      <c r="G1581" t="s">
        <v>6</v>
      </c>
      <c r="H1581" s="18">
        <v>1000</v>
      </c>
      <c r="J1581" s="20" t="str">
        <f t="shared" si="93"/>
        <v/>
      </c>
      <c r="K1581" t="str">
        <f t="shared" si="92"/>
        <v/>
      </c>
      <c r="L1581" s="4">
        <f t="shared" si="94"/>
        <v>0</v>
      </c>
    </row>
    <row r="1582" spans="1:12" x14ac:dyDescent="0.25">
      <c r="A1582">
        <v>37</v>
      </c>
      <c r="B1582" s="3">
        <v>41995</v>
      </c>
      <c r="C1582" s="4">
        <v>6819.74</v>
      </c>
      <c r="E1582">
        <v>37</v>
      </c>
      <c r="F1582" s="3">
        <v>41995</v>
      </c>
      <c r="G1582" t="s">
        <v>77</v>
      </c>
      <c r="H1582" s="18">
        <v>6819.74</v>
      </c>
      <c r="J1582" s="20" t="str">
        <f t="shared" si="93"/>
        <v/>
      </c>
      <c r="K1582" t="str">
        <f t="shared" si="92"/>
        <v/>
      </c>
      <c r="L1582" s="4">
        <f t="shared" si="94"/>
        <v>0</v>
      </c>
    </row>
    <row r="1583" spans="1:12" x14ac:dyDescent="0.25">
      <c r="A1583">
        <v>85</v>
      </c>
      <c r="B1583" s="3">
        <v>41995</v>
      </c>
      <c r="C1583" s="4">
        <v>396.38</v>
      </c>
      <c r="E1583">
        <v>85</v>
      </c>
      <c r="F1583" s="3">
        <v>41995</v>
      </c>
      <c r="G1583" t="s">
        <v>79</v>
      </c>
      <c r="H1583" s="18">
        <v>396.38</v>
      </c>
      <c r="J1583" s="20" t="str">
        <f t="shared" si="93"/>
        <v/>
      </c>
      <c r="K1583" t="str">
        <f t="shared" si="92"/>
        <v/>
      </c>
      <c r="L1583" s="4">
        <f t="shared" si="94"/>
        <v>0</v>
      </c>
    </row>
    <row r="1584" spans="1:12" x14ac:dyDescent="0.25">
      <c r="A1584">
        <v>114</v>
      </c>
      <c r="B1584" s="3">
        <v>41995</v>
      </c>
      <c r="C1584" s="4">
        <v>1057.5</v>
      </c>
      <c r="E1584">
        <v>114</v>
      </c>
      <c r="F1584" s="3">
        <v>41995</v>
      </c>
      <c r="G1584" t="s">
        <v>215</v>
      </c>
      <c r="H1584" s="18">
        <v>1057.5</v>
      </c>
      <c r="J1584" s="20" t="str">
        <f t="shared" si="93"/>
        <v/>
      </c>
      <c r="K1584" t="str">
        <f t="shared" si="92"/>
        <v/>
      </c>
      <c r="L1584" s="4">
        <f t="shared" si="94"/>
        <v>0</v>
      </c>
    </row>
    <row r="1585" spans="1:12" x14ac:dyDescent="0.25">
      <c r="A1585">
        <v>117</v>
      </c>
      <c r="B1585" s="3">
        <v>41995</v>
      </c>
      <c r="C1585" s="4">
        <v>75</v>
      </c>
      <c r="E1585">
        <v>117</v>
      </c>
      <c r="F1585" s="3">
        <v>41995</v>
      </c>
      <c r="G1585" t="s">
        <v>232</v>
      </c>
      <c r="H1585" s="18">
        <v>75</v>
      </c>
      <c r="J1585" s="20" t="str">
        <f t="shared" si="93"/>
        <v/>
      </c>
      <c r="K1585" t="str">
        <f t="shared" si="92"/>
        <v/>
      </c>
      <c r="L1585" s="4">
        <f t="shared" si="94"/>
        <v>0</v>
      </c>
    </row>
    <row r="1586" spans="1:12" x14ac:dyDescent="0.25">
      <c r="A1586">
        <v>217</v>
      </c>
      <c r="B1586" s="3">
        <v>41995</v>
      </c>
      <c r="C1586" s="4">
        <v>5165.28</v>
      </c>
      <c r="E1586">
        <v>217</v>
      </c>
      <c r="F1586" s="3">
        <v>41995</v>
      </c>
      <c r="G1586" t="s">
        <v>97</v>
      </c>
      <c r="H1586" s="18">
        <v>5165.28</v>
      </c>
      <c r="J1586" s="20" t="str">
        <f t="shared" si="93"/>
        <v/>
      </c>
      <c r="K1586" t="str">
        <f t="shared" si="92"/>
        <v/>
      </c>
      <c r="L1586" s="4">
        <f t="shared" si="94"/>
        <v>0</v>
      </c>
    </row>
    <row r="1587" spans="1:12" x14ac:dyDescent="0.25">
      <c r="A1587">
        <v>218</v>
      </c>
      <c r="B1587" s="3">
        <v>41995</v>
      </c>
      <c r="C1587" s="4">
        <v>230.9</v>
      </c>
      <c r="E1587">
        <v>218</v>
      </c>
      <c r="F1587" s="3">
        <v>41995</v>
      </c>
      <c r="G1587" t="s">
        <v>233</v>
      </c>
      <c r="H1587" s="18">
        <v>230.9</v>
      </c>
      <c r="J1587" s="20" t="str">
        <f t="shared" si="93"/>
        <v/>
      </c>
      <c r="K1587" t="str">
        <f t="shared" si="92"/>
        <v/>
      </c>
      <c r="L1587" s="4">
        <f t="shared" si="94"/>
        <v>0</v>
      </c>
    </row>
    <row r="1588" spans="1:12" x14ac:dyDescent="0.25">
      <c r="A1588">
        <v>255</v>
      </c>
      <c r="B1588" s="3">
        <v>41995</v>
      </c>
      <c r="C1588" s="4">
        <v>1050</v>
      </c>
      <c r="E1588">
        <v>255</v>
      </c>
      <c r="F1588" s="3">
        <v>41995</v>
      </c>
      <c r="G1588" t="s">
        <v>21</v>
      </c>
      <c r="H1588" s="18">
        <v>1050</v>
      </c>
      <c r="J1588" s="20" t="str">
        <f t="shared" ref="J1588:J1651" si="95">IF(E1588=A1588,"","CHECK")</f>
        <v/>
      </c>
      <c r="K1588" t="str">
        <f t="shared" si="92"/>
        <v/>
      </c>
      <c r="L1588" s="4">
        <f t="shared" ref="L1588:L1651" si="96">C1588-H1588</f>
        <v>0</v>
      </c>
    </row>
    <row r="1589" spans="1:12" x14ac:dyDescent="0.25">
      <c r="B1589" s="3"/>
      <c r="E1589">
        <v>268</v>
      </c>
      <c r="F1589" s="3">
        <v>41995</v>
      </c>
      <c r="G1589" t="s">
        <v>162</v>
      </c>
      <c r="H1589" s="18">
        <v>0</v>
      </c>
      <c r="J1589" s="20" t="str">
        <f t="shared" si="95"/>
        <v>CHECK</v>
      </c>
      <c r="K1589" t="str">
        <f t="shared" si="92"/>
        <v>CHECK</v>
      </c>
      <c r="L1589" s="4">
        <f t="shared" si="96"/>
        <v>0</v>
      </c>
    </row>
    <row r="1590" spans="1:12" x14ac:dyDescent="0.25">
      <c r="A1590">
        <v>329</v>
      </c>
      <c r="B1590" s="3">
        <v>41995</v>
      </c>
      <c r="C1590" s="4">
        <v>229.5</v>
      </c>
      <c r="E1590">
        <v>329</v>
      </c>
      <c r="F1590" s="3">
        <v>41995</v>
      </c>
      <c r="G1590" t="s">
        <v>199</v>
      </c>
      <c r="H1590" s="18">
        <v>229.5</v>
      </c>
      <c r="J1590" s="20" t="str">
        <f t="shared" si="95"/>
        <v/>
      </c>
      <c r="K1590" t="str">
        <f t="shared" si="92"/>
        <v/>
      </c>
      <c r="L1590" s="4">
        <f t="shared" si="96"/>
        <v>0</v>
      </c>
    </row>
    <row r="1591" spans="1:12" x14ac:dyDescent="0.25">
      <c r="A1591">
        <v>373</v>
      </c>
      <c r="B1591" s="3">
        <v>41995</v>
      </c>
      <c r="C1591" s="4">
        <v>500</v>
      </c>
      <c r="E1591">
        <v>373</v>
      </c>
      <c r="F1591" s="3">
        <v>41995</v>
      </c>
      <c r="G1591" t="s">
        <v>234</v>
      </c>
      <c r="H1591" s="18">
        <v>500</v>
      </c>
      <c r="J1591" s="20" t="str">
        <f t="shared" si="95"/>
        <v/>
      </c>
      <c r="K1591" t="str">
        <f t="shared" si="92"/>
        <v/>
      </c>
      <c r="L1591" s="4">
        <f t="shared" si="96"/>
        <v>0</v>
      </c>
    </row>
    <row r="1592" spans="1:12" x14ac:dyDescent="0.25">
      <c r="A1592">
        <v>378</v>
      </c>
      <c r="B1592" s="3">
        <v>41995</v>
      </c>
      <c r="C1592" s="4">
        <v>1875</v>
      </c>
      <c r="E1592">
        <v>378</v>
      </c>
      <c r="F1592" s="3">
        <v>41995</v>
      </c>
      <c r="G1592" t="s">
        <v>109</v>
      </c>
      <c r="H1592" s="18">
        <v>1875</v>
      </c>
      <c r="J1592" s="20" t="str">
        <f t="shared" si="95"/>
        <v/>
      </c>
      <c r="K1592" t="str">
        <f t="shared" si="92"/>
        <v/>
      </c>
      <c r="L1592" s="4">
        <f t="shared" si="96"/>
        <v>0</v>
      </c>
    </row>
    <row r="1593" spans="1:12" x14ac:dyDescent="0.25">
      <c r="A1593">
        <v>401</v>
      </c>
      <c r="B1593" s="3">
        <v>41995</v>
      </c>
      <c r="C1593" s="4">
        <v>78.180000000000007</v>
      </c>
      <c r="E1593">
        <v>401</v>
      </c>
      <c r="F1593" s="3">
        <v>41995</v>
      </c>
      <c r="G1593" t="s">
        <v>184</v>
      </c>
      <c r="H1593" s="18">
        <v>78.17</v>
      </c>
      <c r="J1593" s="20" t="str">
        <f t="shared" si="95"/>
        <v/>
      </c>
      <c r="K1593" t="str">
        <f t="shared" si="92"/>
        <v/>
      </c>
      <c r="L1593" s="4">
        <f t="shared" si="96"/>
        <v>1.0000000000005116E-2</v>
      </c>
    </row>
    <row r="1594" spans="1:12" x14ac:dyDescent="0.25">
      <c r="A1594">
        <v>407</v>
      </c>
      <c r="B1594" s="3">
        <v>41995</v>
      </c>
      <c r="C1594" s="4">
        <v>475.35</v>
      </c>
      <c r="E1594">
        <v>407</v>
      </c>
      <c r="F1594" s="3">
        <v>41995</v>
      </c>
      <c r="G1594" t="s">
        <v>113</v>
      </c>
      <c r="H1594" s="18">
        <v>475.35</v>
      </c>
      <c r="J1594" s="20" t="str">
        <f t="shared" si="95"/>
        <v/>
      </c>
      <c r="K1594" t="str">
        <f t="shared" si="92"/>
        <v/>
      </c>
      <c r="L1594" s="4">
        <f t="shared" si="96"/>
        <v>0</v>
      </c>
    </row>
    <row r="1595" spans="1:12" x14ac:dyDescent="0.25">
      <c r="A1595">
        <v>422</v>
      </c>
      <c r="B1595" s="3">
        <v>41995</v>
      </c>
      <c r="C1595" s="4">
        <v>500</v>
      </c>
      <c r="E1595">
        <v>422</v>
      </c>
      <c r="F1595" s="3">
        <v>41995</v>
      </c>
      <c r="G1595" t="s">
        <v>165</v>
      </c>
      <c r="H1595" s="18">
        <v>500</v>
      </c>
      <c r="J1595" s="20" t="str">
        <f t="shared" si="95"/>
        <v/>
      </c>
      <c r="K1595" t="str">
        <f t="shared" si="92"/>
        <v/>
      </c>
      <c r="L1595" s="4">
        <f t="shared" si="96"/>
        <v>0</v>
      </c>
    </row>
    <row r="1596" spans="1:12" x14ac:dyDescent="0.25">
      <c r="A1596">
        <v>438</v>
      </c>
      <c r="B1596" s="3">
        <v>41995</v>
      </c>
      <c r="C1596" s="4">
        <v>525</v>
      </c>
      <c r="E1596">
        <v>438</v>
      </c>
      <c r="F1596" s="3">
        <v>41995</v>
      </c>
      <c r="G1596" t="s">
        <v>115</v>
      </c>
      <c r="H1596" s="18">
        <v>525</v>
      </c>
      <c r="J1596" s="20" t="str">
        <f t="shared" si="95"/>
        <v/>
      </c>
      <c r="K1596" t="str">
        <f t="shared" si="92"/>
        <v/>
      </c>
      <c r="L1596" s="4">
        <f t="shared" si="96"/>
        <v>0</v>
      </c>
    </row>
    <row r="1597" spans="1:12" x14ac:dyDescent="0.25">
      <c r="A1597">
        <v>580</v>
      </c>
      <c r="B1597" s="3">
        <v>41995</v>
      </c>
      <c r="C1597" s="4">
        <v>500</v>
      </c>
      <c r="E1597">
        <v>580</v>
      </c>
      <c r="F1597" s="3">
        <v>41995</v>
      </c>
      <c r="G1597" t="s">
        <v>37</v>
      </c>
      <c r="H1597" s="18">
        <v>500</v>
      </c>
      <c r="J1597" s="20" t="str">
        <f t="shared" si="95"/>
        <v/>
      </c>
      <c r="K1597" t="str">
        <f t="shared" si="92"/>
        <v/>
      </c>
      <c r="L1597" s="4">
        <f t="shared" si="96"/>
        <v>0</v>
      </c>
    </row>
    <row r="1598" spans="1:12" x14ac:dyDescent="0.25">
      <c r="A1598">
        <v>599</v>
      </c>
      <c r="B1598" s="3">
        <v>41995</v>
      </c>
      <c r="C1598" s="4">
        <v>500</v>
      </c>
      <c r="E1598">
        <v>599</v>
      </c>
      <c r="F1598" s="3">
        <v>41995</v>
      </c>
      <c r="G1598" t="s">
        <v>125</v>
      </c>
      <c r="H1598" s="18">
        <v>500</v>
      </c>
      <c r="J1598" s="20" t="str">
        <f t="shared" si="95"/>
        <v/>
      </c>
      <c r="K1598" t="str">
        <f t="shared" si="92"/>
        <v/>
      </c>
      <c r="L1598" s="4">
        <f t="shared" si="96"/>
        <v>0</v>
      </c>
    </row>
    <row r="1599" spans="1:12" x14ac:dyDescent="0.25">
      <c r="A1599">
        <v>672</v>
      </c>
      <c r="B1599" s="3">
        <v>41995</v>
      </c>
      <c r="C1599" s="4">
        <v>500</v>
      </c>
      <c r="E1599">
        <v>672</v>
      </c>
      <c r="F1599" s="3">
        <v>41995</v>
      </c>
      <c r="G1599" t="s">
        <v>168</v>
      </c>
      <c r="H1599" s="18">
        <v>500</v>
      </c>
      <c r="J1599" s="20" t="str">
        <f t="shared" si="95"/>
        <v/>
      </c>
      <c r="K1599" t="str">
        <f t="shared" si="92"/>
        <v/>
      </c>
      <c r="L1599" s="4">
        <f t="shared" si="96"/>
        <v>0</v>
      </c>
    </row>
    <row r="1600" spans="1:12" x14ac:dyDescent="0.25">
      <c r="A1600">
        <v>679</v>
      </c>
      <c r="B1600" s="3">
        <v>41995</v>
      </c>
      <c r="C1600" s="4">
        <v>2602.2399999999998</v>
      </c>
      <c r="E1600">
        <v>679</v>
      </c>
      <c r="F1600" s="3">
        <v>41995</v>
      </c>
      <c r="G1600" t="s">
        <v>169</v>
      </c>
      <c r="H1600" s="18">
        <v>2602.2399999999998</v>
      </c>
      <c r="J1600" s="20" t="str">
        <f t="shared" si="95"/>
        <v/>
      </c>
      <c r="K1600" t="str">
        <f t="shared" si="92"/>
        <v/>
      </c>
      <c r="L1600" s="4">
        <f t="shared" si="96"/>
        <v>0</v>
      </c>
    </row>
    <row r="1601" spans="1:12" x14ac:dyDescent="0.25">
      <c r="A1601">
        <v>699</v>
      </c>
      <c r="B1601" s="3">
        <v>41995</v>
      </c>
      <c r="C1601" s="4">
        <v>250</v>
      </c>
      <c r="E1601">
        <v>699</v>
      </c>
      <c r="F1601" s="3">
        <v>41995</v>
      </c>
      <c r="G1601" t="s">
        <v>189</v>
      </c>
      <c r="H1601" s="18">
        <v>250</v>
      </c>
      <c r="J1601" s="20" t="str">
        <f t="shared" si="95"/>
        <v/>
      </c>
      <c r="K1601" t="str">
        <f t="shared" si="92"/>
        <v/>
      </c>
      <c r="L1601" s="4">
        <f t="shared" si="96"/>
        <v>0</v>
      </c>
    </row>
    <row r="1602" spans="1:12" x14ac:dyDescent="0.25">
      <c r="A1602">
        <v>708</v>
      </c>
      <c r="B1602" s="3">
        <v>41995</v>
      </c>
      <c r="C1602" s="4">
        <v>816</v>
      </c>
      <c r="E1602">
        <v>708</v>
      </c>
      <c r="F1602" s="3">
        <v>41995</v>
      </c>
      <c r="G1602" t="s">
        <v>206</v>
      </c>
      <c r="H1602" s="18">
        <v>816</v>
      </c>
      <c r="J1602" s="20" t="str">
        <f t="shared" si="95"/>
        <v/>
      </c>
      <c r="K1602" t="str">
        <f t="shared" si="92"/>
        <v/>
      </c>
      <c r="L1602" s="4">
        <f t="shared" si="96"/>
        <v>0</v>
      </c>
    </row>
    <row r="1603" spans="1:12" x14ac:dyDescent="0.25">
      <c r="A1603">
        <v>714</v>
      </c>
      <c r="B1603" s="3">
        <v>41995</v>
      </c>
      <c r="C1603" s="4">
        <v>1000</v>
      </c>
      <c r="E1603">
        <v>714</v>
      </c>
      <c r="F1603" s="3">
        <v>41995</v>
      </c>
      <c r="G1603" t="s">
        <v>171</v>
      </c>
      <c r="H1603" s="18">
        <v>1000</v>
      </c>
      <c r="J1603" s="20" t="str">
        <f t="shared" si="95"/>
        <v/>
      </c>
      <c r="K1603" t="str">
        <f t="shared" ref="K1603:K1666" si="97">IF(F1603=B1603,"","CHECK")</f>
        <v/>
      </c>
      <c r="L1603" s="4">
        <f t="shared" si="96"/>
        <v>0</v>
      </c>
    </row>
    <row r="1604" spans="1:12" x14ac:dyDescent="0.25">
      <c r="A1604">
        <v>715</v>
      </c>
      <c r="B1604" s="3">
        <v>41995</v>
      </c>
      <c r="C1604" s="4">
        <v>250</v>
      </c>
      <c r="E1604">
        <v>715</v>
      </c>
      <c r="F1604" s="3">
        <v>41995</v>
      </c>
      <c r="G1604" t="s">
        <v>235</v>
      </c>
      <c r="H1604" s="18">
        <v>250</v>
      </c>
      <c r="J1604" s="20" t="str">
        <f t="shared" si="95"/>
        <v/>
      </c>
      <c r="K1604" t="str">
        <f t="shared" si="97"/>
        <v/>
      </c>
      <c r="L1604" s="4">
        <f t="shared" si="96"/>
        <v>0</v>
      </c>
    </row>
    <row r="1605" spans="1:12" x14ac:dyDescent="0.25">
      <c r="A1605">
        <v>722</v>
      </c>
      <c r="B1605" s="3">
        <v>41995</v>
      </c>
      <c r="C1605" s="4">
        <v>520</v>
      </c>
      <c r="E1605">
        <v>722</v>
      </c>
      <c r="F1605" s="3">
        <v>41995</v>
      </c>
      <c r="G1605" t="s">
        <v>135</v>
      </c>
      <c r="H1605" s="18">
        <v>520</v>
      </c>
      <c r="J1605" s="20" t="str">
        <f t="shared" si="95"/>
        <v/>
      </c>
      <c r="K1605" t="str">
        <f t="shared" si="97"/>
        <v/>
      </c>
      <c r="L1605" s="4">
        <f t="shared" si="96"/>
        <v>0</v>
      </c>
    </row>
    <row r="1606" spans="1:12" x14ac:dyDescent="0.25">
      <c r="A1606">
        <v>782</v>
      </c>
      <c r="B1606" s="3">
        <v>41995</v>
      </c>
      <c r="C1606" s="4">
        <v>1000</v>
      </c>
      <c r="E1606">
        <v>782</v>
      </c>
      <c r="F1606" s="3">
        <v>41995</v>
      </c>
      <c r="G1606" t="s">
        <v>173</v>
      </c>
      <c r="H1606" s="18">
        <v>1000</v>
      </c>
      <c r="J1606" s="20" t="str">
        <f t="shared" si="95"/>
        <v/>
      </c>
      <c r="K1606" t="str">
        <f t="shared" si="97"/>
        <v/>
      </c>
      <c r="L1606" s="4">
        <f t="shared" si="96"/>
        <v>0</v>
      </c>
    </row>
    <row r="1607" spans="1:12" x14ac:dyDescent="0.25">
      <c r="A1607">
        <v>790</v>
      </c>
      <c r="B1607" s="3">
        <v>41995</v>
      </c>
      <c r="C1607" s="4">
        <v>750</v>
      </c>
      <c r="E1607">
        <v>790</v>
      </c>
      <c r="F1607" s="3">
        <v>41995</v>
      </c>
      <c r="G1607" t="s">
        <v>209</v>
      </c>
      <c r="H1607" s="18">
        <v>750</v>
      </c>
      <c r="J1607" s="20" t="str">
        <f t="shared" si="95"/>
        <v/>
      </c>
      <c r="K1607" t="str">
        <f t="shared" si="97"/>
        <v/>
      </c>
      <c r="L1607" s="4">
        <f t="shared" si="96"/>
        <v>0</v>
      </c>
    </row>
    <row r="1608" spans="1:12" x14ac:dyDescent="0.25">
      <c r="A1608">
        <v>807</v>
      </c>
      <c r="B1608" s="3">
        <v>41995</v>
      </c>
      <c r="C1608" s="4">
        <v>1358</v>
      </c>
      <c r="E1608">
        <v>807</v>
      </c>
      <c r="F1608" s="3">
        <v>41995</v>
      </c>
      <c r="G1608" t="s">
        <v>230</v>
      </c>
      <c r="H1608" s="18">
        <v>1358</v>
      </c>
      <c r="J1608" s="20" t="str">
        <f t="shared" si="95"/>
        <v/>
      </c>
      <c r="K1608" t="str">
        <f t="shared" si="97"/>
        <v/>
      </c>
      <c r="L1608" s="4">
        <f t="shared" si="96"/>
        <v>0</v>
      </c>
    </row>
    <row r="1609" spans="1:12" x14ac:dyDescent="0.25">
      <c r="A1609">
        <v>832</v>
      </c>
      <c r="B1609" s="3">
        <v>41995</v>
      </c>
      <c r="C1609" s="4">
        <v>250</v>
      </c>
      <c r="E1609">
        <v>832</v>
      </c>
      <c r="F1609" s="3">
        <v>41995</v>
      </c>
      <c r="G1609" t="s">
        <v>137</v>
      </c>
      <c r="H1609" s="18">
        <v>250</v>
      </c>
      <c r="J1609" s="20" t="str">
        <f t="shared" si="95"/>
        <v/>
      </c>
      <c r="K1609" t="str">
        <f t="shared" si="97"/>
        <v/>
      </c>
      <c r="L1609" s="4">
        <f t="shared" si="96"/>
        <v>0</v>
      </c>
    </row>
    <row r="1610" spans="1:12" x14ac:dyDescent="0.25">
      <c r="A1610">
        <v>841</v>
      </c>
      <c r="B1610" s="3">
        <v>41995</v>
      </c>
      <c r="C1610" s="4">
        <v>250</v>
      </c>
      <c r="E1610">
        <v>841</v>
      </c>
      <c r="F1610" s="3">
        <v>41995</v>
      </c>
      <c r="G1610" t="s">
        <v>236</v>
      </c>
      <c r="H1610" s="18">
        <v>250</v>
      </c>
      <c r="J1610" s="20" t="str">
        <f t="shared" si="95"/>
        <v/>
      </c>
      <c r="K1610" t="str">
        <f t="shared" si="97"/>
        <v/>
      </c>
      <c r="L1610" s="4">
        <f t="shared" si="96"/>
        <v>0</v>
      </c>
    </row>
    <row r="1611" spans="1:12" x14ac:dyDescent="0.25">
      <c r="A1611">
        <v>857</v>
      </c>
      <c r="B1611" s="3">
        <v>41995</v>
      </c>
      <c r="C1611" s="4">
        <v>750</v>
      </c>
      <c r="E1611">
        <v>857</v>
      </c>
      <c r="F1611" s="3">
        <v>41995</v>
      </c>
      <c r="G1611" t="s">
        <v>138</v>
      </c>
      <c r="H1611" s="18">
        <v>750</v>
      </c>
      <c r="J1611" s="20" t="str">
        <f t="shared" si="95"/>
        <v/>
      </c>
      <c r="K1611" t="str">
        <f t="shared" si="97"/>
        <v/>
      </c>
      <c r="L1611" s="4">
        <f t="shared" si="96"/>
        <v>0</v>
      </c>
    </row>
    <row r="1612" spans="1:12" x14ac:dyDescent="0.25">
      <c r="A1612">
        <v>904</v>
      </c>
      <c r="B1612" s="3">
        <v>41995</v>
      </c>
      <c r="C1612" s="4">
        <v>5000</v>
      </c>
      <c r="E1612">
        <v>904</v>
      </c>
      <c r="F1612" s="3">
        <v>41995</v>
      </c>
      <c r="G1612" t="s">
        <v>214</v>
      </c>
      <c r="H1612" s="18">
        <v>5000</v>
      </c>
      <c r="J1612" s="20" t="str">
        <f t="shared" si="95"/>
        <v/>
      </c>
      <c r="K1612" t="str">
        <f t="shared" si="97"/>
        <v/>
      </c>
      <c r="L1612" s="4">
        <f t="shared" si="96"/>
        <v>0</v>
      </c>
    </row>
    <row r="1613" spans="1:12" x14ac:dyDescent="0.25">
      <c r="A1613">
        <v>672</v>
      </c>
      <c r="B1613" s="3">
        <v>41997</v>
      </c>
      <c r="C1613" s="4">
        <v>1000</v>
      </c>
      <c r="E1613">
        <v>672</v>
      </c>
      <c r="F1613" s="3">
        <v>41997</v>
      </c>
      <c r="G1613" t="s">
        <v>168</v>
      </c>
      <c r="H1613" s="18">
        <v>1000</v>
      </c>
      <c r="J1613" s="20" t="str">
        <f t="shared" si="95"/>
        <v/>
      </c>
      <c r="K1613" t="str">
        <f t="shared" si="97"/>
        <v/>
      </c>
      <c r="L1613" s="4">
        <f t="shared" si="96"/>
        <v>0</v>
      </c>
    </row>
    <row r="1614" spans="1:12" x14ac:dyDescent="0.25">
      <c r="A1614">
        <v>37</v>
      </c>
      <c r="B1614" s="3">
        <v>41999</v>
      </c>
      <c r="C1614" s="4">
        <v>2525</v>
      </c>
      <c r="E1614">
        <v>37</v>
      </c>
      <c r="F1614" s="3">
        <v>41999</v>
      </c>
      <c r="G1614" t="s">
        <v>77</v>
      </c>
      <c r="H1614" s="18">
        <v>2525</v>
      </c>
      <c r="J1614" s="20" t="str">
        <f t="shared" si="95"/>
        <v/>
      </c>
      <c r="K1614" t="str">
        <f t="shared" si="97"/>
        <v/>
      </c>
      <c r="L1614" s="4">
        <f t="shared" si="96"/>
        <v>0</v>
      </c>
    </row>
    <row r="1615" spans="1:12" x14ac:dyDescent="0.25">
      <c r="A1615">
        <v>41</v>
      </c>
      <c r="B1615" s="3">
        <v>41999</v>
      </c>
      <c r="C1615" s="4">
        <v>500</v>
      </c>
      <c r="E1615">
        <v>41</v>
      </c>
      <c r="F1615" s="3">
        <v>41999</v>
      </c>
      <c r="G1615" t="s">
        <v>10</v>
      </c>
      <c r="H1615" s="18">
        <v>500</v>
      </c>
      <c r="J1615" s="20" t="str">
        <f t="shared" si="95"/>
        <v/>
      </c>
      <c r="K1615" t="str">
        <f t="shared" si="97"/>
        <v/>
      </c>
      <c r="L1615" s="4">
        <f t="shared" si="96"/>
        <v>0</v>
      </c>
    </row>
    <row r="1616" spans="1:12" x14ac:dyDescent="0.25">
      <c r="A1616">
        <v>63</v>
      </c>
      <c r="B1616" s="3">
        <v>41999</v>
      </c>
      <c r="C1616" s="4">
        <v>715.15</v>
      </c>
      <c r="E1616">
        <v>63</v>
      </c>
      <c r="F1616" s="3">
        <v>41999</v>
      </c>
      <c r="G1616" t="s">
        <v>181</v>
      </c>
      <c r="H1616" s="18">
        <v>715.15</v>
      </c>
      <c r="J1616" s="20" t="str">
        <f t="shared" si="95"/>
        <v/>
      </c>
      <c r="K1616" t="str">
        <f t="shared" si="97"/>
        <v/>
      </c>
      <c r="L1616" s="4">
        <f t="shared" si="96"/>
        <v>0</v>
      </c>
    </row>
    <row r="1617" spans="1:12" x14ac:dyDescent="0.25">
      <c r="A1617">
        <v>77</v>
      </c>
      <c r="B1617" s="3">
        <v>41999</v>
      </c>
      <c r="C1617" s="4">
        <v>2255</v>
      </c>
      <c r="E1617">
        <v>77</v>
      </c>
      <c r="F1617" s="3">
        <v>41999</v>
      </c>
      <c r="G1617" t="s">
        <v>11</v>
      </c>
      <c r="H1617" s="18">
        <v>2255</v>
      </c>
      <c r="J1617" s="20" t="str">
        <f t="shared" si="95"/>
        <v/>
      </c>
      <c r="K1617" t="str">
        <f t="shared" si="97"/>
        <v/>
      </c>
      <c r="L1617" s="4">
        <f t="shared" si="96"/>
        <v>0</v>
      </c>
    </row>
    <row r="1618" spans="1:12" x14ac:dyDescent="0.25">
      <c r="A1618">
        <v>85</v>
      </c>
      <c r="B1618" s="3">
        <v>41999</v>
      </c>
      <c r="C1618" s="4">
        <v>621</v>
      </c>
      <c r="E1618">
        <v>85</v>
      </c>
      <c r="F1618" s="3">
        <v>41999</v>
      </c>
      <c r="G1618" t="s">
        <v>79</v>
      </c>
      <c r="H1618" s="18">
        <v>621</v>
      </c>
      <c r="J1618" s="20" t="str">
        <f t="shared" si="95"/>
        <v/>
      </c>
      <c r="K1618" t="str">
        <f t="shared" si="97"/>
        <v/>
      </c>
      <c r="L1618" s="4">
        <f t="shared" si="96"/>
        <v>0</v>
      </c>
    </row>
    <row r="1619" spans="1:12" x14ac:dyDescent="0.25">
      <c r="A1619">
        <v>109</v>
      </c>
      <c r="B1619" s="3">
        <v>41999</v>
      </c>
      <c r="C1619" s="4">
        <v>745</v>
      </c>
      <c r="E1619">
        <v>109</v>
      </c>
      <c r="F1619" s="3">
        <v>41999</v>
      </c>
      <c r="G1619" t="s">
        <v>82</v>
      </c>
      <c r="H1619" s="18">
        <v>745</v>
      </c>
      <c r="J1619" s="20" t="str">
        <f t="shared" si="95"/>
        <v/>
      </c>
      <c r="K1619" t="str">
        <f t="shared" si="97"/>
        <v/>
      </c>
      <c r="L1619" s="4">
        <f t="shared" si="96"/>
        <v>0</v>
      </c>
    </row>
    <row r="1620" spans="1:12" x14ac:dyDescent="0.25">
      <c r="A1620">
        <v>113</v>
      </c>
      <c r="B1620" s="3">
        <v>41999</v>
      </c>
      <c r="C1620" s="4">
        <v>226.5</v>
      </c>
      <c r="E1620">
        <v>113</v>
      </c>
      <c r="F1620" s="3">
        <v>41999</v>
      </c>
      <c r="G1620" t="s">
        <v>84</v>
      </c>
      <c r="H1620" s="18">
        <v>-85.5</v>
      </c>
      <c r="J1620" s="20" t="str">
        <f t="shared" si="95"/>
        <v/>
      </c>
      <c r="K1620" t="str">
        <f t="shared" si="97"/>
        <v/>
      </c>
      <c r="L1620" s="4">
        <f t="shared" si="96"/>
        <v>312</v>
      </c>
    </row>
    <row r="1621" spans="1:12" x14ac:dyDescent="0.25">
      <c r="A1621">
        <v>114</v>
      </c>
      <c r="B1621" s="3">
        <v>41999</v>
      </c>
      <c r="C1621" s="4">
        <v>700</v>
      </c>
      <c r="E1621">
        <v>114</v>
      </c>
      <c r="F1621" s="3">
        <v>41999</v>
      </c>
      <c r="G1621" t="s">
        <v>215</v>
      </c>
      <c r="H1621" s="18">
        <v>700</v>
      </c>
      <c r="J1621" s="20" t="str">
        <f t="shared" si="95"/>
        <v/>
      </c>
      <c r="K1621" t="str">
        <f t="shared" si="97"/>
        <v/>
      </c>
      <c r="L1621" s="4">
        <f t="shared" si="96"/>
        <v>0</v>
      </c>
    </row>
    <row r="1622" spans="1:12" x14ac:dyDescent="0.25">
      <c r="A1622">
        <v>141</v>
      </c>
      <c r="B1622" s="3">
        <v>41999</v>
      </c>
      <c r="C1622" s="4">
        <v>165</v>
      </c>
      <c r="E1622">
        <v>141</v>
      </c>
      <c r="F1622" s="3">
        <v>41999</v>
      </c>
      <c r="G1622" t="s">
        <v>196</v>
      </c>
      <c r="H1622" s="18">
        <v>165</v>
      </c>
      <c r="J1622" s="20" t="str">
        <f t="shared" si="95"/>
        <v/>
      </c>
      <c r="K1622" t="str">
        <f t="shared" si="97"/>
        <v/>
      </c>
      <c r="L1622" s="4">
        <f t="shared" si="96"/>
        <v>0</v>
      </c>
    </row>
    <row r="1623" spans="1:12" x14ac:dyDescent="0.25">
      <c r="A1623">
        <v>153</v>
      </c>
      <c r="B1623" s="3">
        <v>41999</v>
      </c>
      <c r="C1623" s="4">
        <v>1275</v>
      </c>
      <c r="E1623">
        <v>153</v>
      </c>
      <c r="F1623" s="3">
        <v>41999</v>
      </c>
      <c r="G1623" t="s">
        <v>216</v>
      </c>
      <c r="H1623" s="18">
        <v>1275</v>
      </c>
      <c r="J1623" s="20" t="str">
        <f t="shared" si="95"/>
        <v/>
      </c>
      <c r="K1623" t="str">
        <f t="shared" si="97"/>
        <v/>
      </c>
      <c r="L1623" s="4">
        <f t="shared" si="96"/>
        <v>0</v>
      </c>
    </row>
    <row r="1624" spans="1:12" x14ac:dyDescent="0.25">
      <c r="A1624">
        <v>161</v>
      </c>
      <c r="B1624" s="3">
        <v>41999</v>
      </c>
      <c r="C1624" s="4">
        <v>33</v>
      </c>
      <c r="E1624">
        <v>161</v>
      </c>
      <c r="F1624" s="3">
        <v>41999</v>
      </c>
      <c r="G1624" t="s">
        <v>183</v>
      </c>
      <c r="H1624" s="18">
        <v>-528</v>
      </c>
      <c r="J1624" s="20" t="str">
        <f t="shared" si="95"/>
        <v/>
      </c>
      <c r="K1624" t="str">
        <f t="shared" si="97"/>
        <v/>
      </c>
      <c r="L1624" s="4">
        <f t="shared" si="96"/>
        <v>561</v>
      </c>
    </row>
    <row r="1625" spans="1:12" x14ac:dyDescent="0.25">
      <c r="A1625">
        <v>179</v>
      </c>
      <c r="B1625" s="3">
        <v>41999</v>
      </c>
      <c r="C1625" s="4">
        <v>116</v>
      </c>
      <c r="E1625">
        <v>179</v>
      </c>
      <c r="F1625" s="3">
        <v>41999</v>
      </c>
      <c r="G1625" t="s">
        <v>197</v>
      </c>
      <c r="H1625" s="18">
        <v>116</v>
      </c>
      <c r="J1625" s="20" t="str">
        <f t="shared" si="95"/>
        <v/>
      </c>
      <c r="K1625" t="str">
        <f t="shared" si="97"/>
        <v/>
      </c>
      <c r="L1625" s="4">
        <f t="shared" si="96"/>
        <v>0</v>
      </c>
    </row>
    <row r="1626" spans="1:12" x14ac:dyDescent="0.25">
      <c r="A1626">
        <v>184</v>
      </c>
      <c r="B1626" s="3">
        <v>41999</v>
      </c>
      <c r="C1626" s="4">
        <v>2310</v>
      </c>
      <c r="E1626">
        <v>184</v>
      </c>
      <c r="F1626" s="3">
        <v>41999</v>
      </c>
      <c r="G1626" t="s">
        <v>217</v>
      </c>
      <c r="H1626" s="18">
        <v>2310</v>
      </c>
      <c r="J1626" s="20" t="str">
        <f t="shared" si="95"/>
        <v/>
      </c>
      <c r="K1626" t="str">
        <f t="shared" si="97"/>
        <v/>
      </c>
      <c r="L1626" s="4">
        <f t="shared" si="96"/>
        <v>0</v>
      </c>
    </row>
    <row r="1627" spans="1:12" x14ac:dyDescent="0.25">
      <c r="A1627">
        <v>203</v>
      </c>
      <c r="B1627" s="3">
        <v>41999</v>
      </c>
      <c r="C1627" s="4">
        <v>2249</v>
      </c>
      <c r="E1627">
        <v>203</v>
      </c>
      <c r="F1627" s="3">
        <v>41999</v>
      </c>
      <c r="G1627" t="s">
        <v>95</v>
      </c>
      <c r="H1627" s="18">
        <v>2249</v>
      </c>
      <c r="J1627" s="20" t="str">
        <f t="shared" si="95"/>
        <v/>
      </c>
      <c r="K1627" t="str">
        <f t="shared" si="97"/>
        <v/>
      </c>
      <c r="L1627" s="4">
        <f t="shared" si="96"/>
        <v>0</v>
      </c>
    </row>
    <row r="1628" spans="1:12" x14ac:dyDescent="0.25">
      <c r="A1628">
        <v>211</v>
      </c>
      <c r="B1628" s="3">
        <v>41999</v>
      </c>
      <c r="C1628" s="4">
        <v>350</v>
      </c>
      <c r="E1628">
        <v>211</v>
      </c>
      <c r="F1628" s="3">
        <v>41999</v>
      </c>
      <c r="G1628" t="s">
        <v>96</v>
      </c>
      <c r="H1628" s="18">
        <v>350</v>
      </c>
      <c r="J1628" s="20" t="str">
        <f t="shared" si="95"/>
        <v/>
      </c>
      <c r="K1628" t="str">
        <f t="shared" si="97"/>
        <v/>
      </c>
      <c r="L1628" s="4">
        <f t="shared" si="96"/>
        <v>0</v>
      </c>
    </row>
    <row r="1629" spans="1:12" x14ac:dyDescent="0.25">
      <c r="A1629">
        <v>255</v>
      </c>
      <c r="B1629" s="3">
        <v>41999</v>
      </c>
      <c r="C1629" s="4">
        <v>623</v>
      </c>
      <c r="E1629">
        <v>255</v>
      </c>
      <c r="F1629" s="3">
        <v>41999</v>
      </c>
      <c r="G1629" t="s">
        <v>21</v>
      </c>
      <c r="H1629" s="18">
        <v>623</v>
      </c>
      <c r="J1629" s="20" t="str">
        <f t="shared" si="95"/>
        <v/>
      </c>
      <c r="K1629" t="str">
        <f t="shared" si="97"/>
        <v/>
      </c>
      <c r="L1629" s="4">
        <f t="shared" si="96"/>
        <v>0</v>
      </c>
    </row>
    <row r="1630" spans="1:12" x14ac:dyDescent="0.25">
      <c r="A1630">
        <v>261</v>
      </c>
      <c r="B1630" s="3">
        <v>41999</v>
      </c>
      <c r="C1630" s="4">
        <v>10231.75</v>
      </c>
      <c r="E1630">
        <v>261</v>
      </c>
      <c r="F1630" s="3">
        <v>41999</v>
      </c>
      <c r="G1630" t="s">
        <v>22</v>
      </c>
      <c r="H1630" s="18">
        <v>11124.25</v>
      </c>
      <c r="J1630" s="20" t="str">
        <f t="shared" si="95"/>
        <v/>
      </c>
      <c r="K1630" t="str">
        <f t="shared" si="97"/>
        <v/>
      </c>
      <c r="L1630" s="4">
        <f t="shared" si="96"/>
        <v>-892.5</v>
      </c>
    </row>
    <row r="1631" spans="1:12" x14ac:dyDescent="0.25">
      <c r="A1631">
        <v>268</v>
      </c>
      <c r="B1631" s="3">
        <v>41999</v>
      </c>
      <c r="C1631" s="4">
        <v>3450</v>
      </c>
      <c r="E1631">
        <v>268</v>
      </c>
      <c r="F1631" s="3">
        <v>41999</v>
      </c>
      <c r="G1631" t="s">
        <v>162</v>
      </c>
      <c r="H1631" s="18">
        <v>3450</v>
      </c>
      <c r="J1631" s="20" t="str">
        <f t="shared" si="95"/>
        <v/>
      </c>
      <c r="K1631" t="str">
        <f t="shared" si="97"/>
        <v/>
      </c>
      <c r="L1631" s="4">
        <f t="shared" si="96"/>
        <v>0</v>
      </c>
    </row>
    <row r="1632" spans="1:12" x14ac:dyDescent="0.25">
      <c r="A1632">
        <v>302</v>
      </c>
      <c r="B1632" s="3">
        <v>41999</v>
      </c>
      <c r="C1632" s="4">
        <v>250</v>
      </c>
      <c r="E1632">
        <v>302</v>
      </c>
      <c r="F1632" s="3">
        <v>41999</v>
      </c>
      <c r="G1632" t="s">
        <v>104</v>
      </c>
      <c r="H1632" s="18">
        <v>250</v>
      </c>
      <c r="J1632" s="20" t="str">
        <f t="shared" si="95"/>
        <v/>
      </c>
      <c r="K1632" t="str">
        <f t="shared" si="97"/>
        <v/>
      </c>
      <c r="L1632" s="4">
        <f t="shared" si="96"/>
        <v>0</v>
      </c>
    </row>
    <row r="1633" spans="1:12" x14ac:dyDescent="0.25">
      <c r="A1633">
        <v>303</v>
      </c>
      <c r="B1633" s="3">
        <v>41999</v>
      </c>
      <c r="C1633" s="4">
        <v>475</v>
      </c>
      <c r="E1633">
        <v>303</v>
      </c>
      <c r="F1633" s="3">
        <v>41999</v>
      </c>
      <c r="G1633" t="s">
        <v>218</v>
      </c>
      <c r="H1633" s="18">
        <v>475</v>
      </c>
      <c r="J1633" s="20" t="str">
        <f t="shared" si="95"/>
        <v/>
      </c>
      <c r="K1633" t="str">
        <f t="shared" si="97"/>
        <v/>
      </c>
      <c r="L1633" s="4">
        <f t="shared" si="96"/>
        <v>0</v>
      </c>
    </row>
    <row r="1634" spans="1:12" x14ac:dyDescent="0.25">
      <c r="A1634">
        <v>322</v>
      </c>
      <c r="B1634" s="3">
        <v>41999</v>
      </c>
      <c r="C1634" s="4">
        <v>76.5</v>
      </c>
      <c r="E1634">
        <v>322</v>
      </c>
      <c r="F1634" s="3">
        <v>41999</v>
      </c>
      <c r="G1634" t="s">
        <v>198</v>
      </c>
      <c r="H1634" s="18">
        <v>76.5</v>
      </c>
      <c r="J1634" s="20" t="str">
        <f t="shared" si="95"/>
        <v/>
      </c>
      <c r="K1634" t="str">
        <f t="shared" si="97"/>
        <v/>
      </c>
      <c r="L1634" s="4">
        <f t="shared" si="96"/>
        <v>0</v>
      </c>
    </row>
    <row r="1635" spans="1:12" x14ac:dyDescent="0.25">
      <c r="A1635">
        <v>326</v>
      </c>
      <c r="B1635" s="3">
        <v>41999</v>
      </c>
      <c r="C1635" s="4">
        <v>1500</v>
      </c>
      <c r="E1635">
        <v>326</v>
      </c>
      <c r="F1635" s="3">
        <v>41999</v>
      </c>
      <c r="G1635" t="s">
        <v>25</v>
      </c>
      <c r="H1635" s="18">
        <v>1500</v>
      </c>
      <c r="J1635" s="20" t="str">
        <f t="shared" si="95"/>
        <v/>
      </c>
      <c r="K1635" t="str">
        <f t="shared" si="97"/>
        <v/>
      </c>
      <c r="L1635" s="4">
        <f t="shared" si="96"/>
        <v>0</v>
      </c>
    </row>
    <row r="1636" spans="1:12" x14ac:dyDescent="0.25">
      <c r="A1636">
        <v>340</v>
      </c>
      <c r="B1636" s="3">
        <v>41999</v>
      </c>
      <c r="C1636" s="4">
        <v>500</v>
      </c>
      <c r="E1636">
        <v>340</v>
      </c>
      <c r="F1636" s="3">
        <v>41999</v>
      </c>
      <c r="G1636" t="s">
        <v>219</v>
      </c>
      <c r="H1636" s="18">
        <v>500</v>
      </c>
      <c r="J1636" s="20" t="str">
        <f t="shared" si="95"/>
        <v/>
      </c>
      <c r="K1636" t="str">
        <f t="shared" si="97"/>
        <v/>
      </c>
      <c r="L1636" s="4">
        <f t="shared" si="96"/>
        <v>0</v>
      </c>
    </row>
    <row r="1637" spans="1:12" x14ac:dyDescent="0.25">
      <c r="A1637">
        <v>343</v>
      </c>
      <c r="B1637" s="3">
        <v>41999</v>
      </c>
      <c r="C1637" s="4">
        <v>362.01</v>
      </c>
      <c r="E1637">
        <v>343</v>
      </c>
      <c r="F1637" s="3">
        <v>41999</v>
      </c>
      <c r="G1637" t="s">
        <v>28</v>
      </c>
      <c r="H1637" s="18">
        <v>362.01</v>
      </c>
      <c r="J1637" s="20" t="str">
        <f t="shared" si="95"/>
        <v/>
      </c>
      <c r="K1637" t="str">
        <f t="shared" si="97"/>
        <v/>
      </c>
      <c r="L1637" s="4">
        <f t="shared" si="96"/>
        <v>0</v>
      </c>
    </row>
    <row r="1638" spans="1:12" x14ac:dyDescent="0.25">
      <c r="A1638">
        <v>365</v>
      </c>
      <c r="B1638" s="3">
        <v>41999</v>
      </c>
      <c r="C1638" s="4">
        <v>5544</v>
      </c>
      <c r="E1638">
        <v>365</v>
      </c>
      <c r="F1638" s="3">
        <v>41999</v>
      </c>
      <c r="G1638" t="s">
        <v>29</v>
      </c>
      <c r="H1638" s="18">
        <v>5544</v>
      </c>
      <c r="J1638" s="20" t="str">
        <f t="shared" si="95"/>
        <v/>
      </c>
      <c r="K1638" t="str">
        <f t="shared" si="97"/>
        <v/>
      </c>
      <c r="L1638" s="4">
        <f t="shared" si="96"/>
        <v>0</v>
      </c>
    </row>
    <row r="1639" spans="1:12" x14ac:dyDescent="0.25">
      <c r="A1639">
        <v>382</v>
      </c>
      <c r="B1639" s="3">
        <v>41999</v>
      </c>
      <c r="C1639" s="4">
        <v>2850</v>
      </c>
      <c r="E1639">
        <v>382</v>
      </c>
      <c r="F1639" s="3">
        <v>41999</v>
      </c>
      <c r="G1639" t="s">
        <v>164</v>
      </c>
      <c r="H1639" s="18">
        <v>2850</v>
      </c>
      <c r="J1639" s="20" t="str">
        <f t="shared" si="95"/>
        <v/>
      </c>
      <c r="K1639" t="str">
        <f t="shared" si="97"/>
        <v/>
      </c>
      <c r="L1639" s="4">
        <f t="shared" si="96"/>
        <v>0</v>
      </c>
    </row>
    <row r="1640" spans="1:12" x14ac:dyDescent="0.25">
      <c r="A1640">
        <v>383</v>
      </c>
      <c r="B1640" s="3">
        <v>41999</v>
      </c>
      <c r="C1640" s="4">
        <v>475</v>
      </c>
      <c r="E1640">
        <v>383</v>
      </c>
      <c r="F1640" s="3">
        <v>41999</v>
      </c>
      <c r="G1640" t="s">
        <v>220</v>
      </c>
      <c r="H1640" s="18">
        <v>475</v>
      </c>
      <c r="J1640" s="20" t="str">
        <f t="shared" si="95"/>
        <v/>
      </c>
      <c r="K1640" t="str">
        <f t="shared" si="97"/>
        <v/>
      </c>
      <c r="L1640" s="4">
        <f t="shared" si="96"/>
        <v>0</v>
      </c>
    </row>
    <row r="1641" spans="1:12" x14ac:dyDescent="0.25">
      <c r="A1641">
        <v>389</v>
      </c>
      <c r="B1641" s="3">
        <v>41999</v>
      </c>
      <c r="C1641" s="4">
        <v>1825</v>
      </c>
      <c r="E1641">
        <v>389</v>
      </c>
      <c r="F1641" s="3">
        <v>41999</v>
      </c>
      <c r="G1641" t="s">
        <v>31</v>
      </c>
      <c r="H1641" s="18">
        <v>1825</v>
      </c>
      <c r="J1641" s="20" t="str">
        <f t="shared" si="95"/>
        <v/>
      </c>
      <c r="K1641" t="str">
        <f t="shared" si="97"/>
        <v/>
      </c>
      <c r="L1641" s="4">
        <f t="shared" si="96"/>
        <v>0</v>
      </c>
    </row>
    <row r="1642" spans="1:12" x14ac:dyDescent="0.25">
      <c r="A1642">
        <v>392</v>
      </c>
      <c r="B1642" s="3">
        <v>41999</v>
      </c>
      <c r="C1642" s="4">
        <v>428</v>
      </c>
      <c r="E1642">
        <v>392</v>
      </c>
      <c r="F1642" s="3">
        <v>41999</v>
      </c>
      <c r="G1642" t="s">
        <v>111</v>
      </c>
      <c r="H1642" s="18">
        <v>428</v>
      </c>
      <c r="J1642" s="20" t="str">
        <f t="shared" si="95"/>
        <v/>
      </c>
      <c r="K1642" t="str">
        <f t="shared" si="97"/>
        <v/>
      </c>
      <c r="L1642" s="4">
        <f t="shared" si="96"/>
        <v>0</v>
      </c>
    </row>
    <row r="1643" spans="1:12" x14ac:dyDescent="0.25">
      <c r="A1643">
        <v>403</v>
      </c>
      <c r="B1643" s="3">
        <v>41999</v>
      </c>
      <c r="C1643" s="4">
        <v>1108.3699999999999</v>
      </c>
      <c r="E1643">
        <v>403</v>
      </c>
      <c r="F1643" s="3">
        <v>41999</v>
      </c>
      <c r="G1643" t="s">
        <v>221</v>
      </c>
      <c r="H1643" s="18">
        <v>1108.3699999999999</v>
      </c>
      <c r="J1643" s="20" t="str">
        <f t="shared" si="95"/>
        <v/>
      </c>
      <c r="K1643" t="str">
        <f t="shared" si="97"/>
        <v/>
      </c>
      <c r="L1643" s="4">
        <f t="shared" si="96"/>
        <v>0</v>
      </c>
    </row>
    <row r="1644" spans="1:12" x14ac:dyDescent="0.25">
      <c r="A1644">
        <v>407</v>
      </c>
      <c r="B1644" s="3">
        <v>41999</v>
      </c>
      <c r="C1644" s="4">
        <v>185</v>
      </c>
      <c r="E1644">
        <v>407</v>
      </c>
      <c r="F1644" s="3">
        <v>41999</v>
      </c>
      <c r="G1644" t="s">
        <v>113</v>
      </c>
      <c r="H1644" s="18">
        <v>185</v>
      </c>
      <c r="J1644" s="20" t="str">
        <f t="shared" si="95"/>
        <v/>
      </c>
      <c r="K1644" t="str">
        <f t="shared" si="97"/>
        <v/>
      </c>
      <c r="L1644" s="4">
        <f t="shared" si="96"/>
        <v>0</v>
      </c>
    </row>
    <row r="1645" spans="1:12" x14ac:dyDescent="0.25">
      <c r="A1645">
        <v>410</v>
      </c>
      <c r="B1645" s="3">
        <v>41999</v>
      </c>
      <c r="C1645" s="4">
        <v>3312.1</v>
      </c>
      <c r="E1645">
        <v>410</v>
      </c>
      <c r="F1645" s="3">
        <v>41999</v>
      </c>
      <c r="G1645" t="s">
        <v>32</v>
      </c>
      <c r="H1645" s="18">
        <v>-204.15</v>
      </c>
      <c r="J1645" s="20" t="str">
        <f t="shared" si="95"/>
        <v/>
      </c>
      <c r="K1645" t="str">
        <f t="shared" si="97"/>
        <v/>
      </c>
      <c r="L1645" s="4">
        <f t="shared" si="96"/>
        <v>3516.25</v>
      </c>
    </row>
    <row r="1646" spans="1:12" x14ac:dyDescent="0.25">
      <c r="A1646">
        <v>422</v>
      </c>
      <c r="B1646" s="3">
        <v>41999</v>
      </c>
      <c r="C1646" s="4">
        <v>500</v>
      </c>
      <c r="E1646">
        <v>422</v>
      </c>
      <c r="F1646" s="3">
        <v>41999</v>
      </c>
      <c r="G1646" t="s">
        <v>165</v>
      </c>
      <c r="H1646" s="18">
        <v>500</v>
      </c>
      <c r="J1646" s="20" t="str">
        <f t="shared" si="95"/>
        <v/>
      </c>
      <c r="K1646" t="str">
        <f t="shared" si="97"/>
        <v/>
      </c>
      <c r="L1646" s="4">
        <f t="shared" si="96"/>
        <v>0</v>
      </c>
    </row>
    <row r="1647" spans="1:12" x14ac:dyDescent="0.25">
      <c r="A1647">
        <v>428</v>
      </c>
      <c r="B1647" s="3">
        <v>41999</v>
      </c>
      <c r="C1647" s="4">
        <v>1219</v>
      </c>
      <c r="E1647">
        <v>428</v>
      </c>
      <c r="F1647" s="3">
        <v>41999</v>
      </c>
      <c r="G1647" t="s">
        <v>213</v>
      </c>
      <c r="H1647" s="18">
        <v>1219</v>
      </c>
      <c r="J1647" s="20" t="str">
        <f t="shared" si="95"/>
        <v/>
      </c>
      <c r="K1647" t="str">
        <f t="shared" si="97"/>
        <v/>
      </c>
      <c r="L1647" s="4">
        <f t="shared" si="96"/>
        <v>0</v>
      </c>
    </row>
    <row r="1648" spans="1:12" x14ac:dyDescent="0.25">
      <c r="A1648">
        <v>438</v>
      </c>
      <c r="B1648" s="3">
        <v>41999</v>
      </c>
      <c r="C1648" s="4">
        <v>117.45</v>
      </c>
      <c r="E1648">
        <v>438</v>
      </c>
      <c r="F1648" s="3">
        <v>41999</v>
      </c>
      <c r="G1648" t="s">
        <v>115</v>
      </c>
      <c r="H1648" s="18">
        <v>1382.23</v>
      </c>
      <c r="J1648" s="20" t="str">
        <f t="shared" si="95"/>
        <v/>
      </c>
      <c r="K1648" t="str">
        <f t="shared" si="97"/>
        <v/>
      </c>
      <c r="L1648" s="4">
        <f t="shared" si="96"/>
        <v>-1264.78</v>
      </c>
    </row>
    <row r="1649" spans="1:12" x14ac:dyDescent="0.25">
      <c r="A1649">
        <v>468</v>
      </c>
      <c r="B1649" s="3">
        <v>41999</v>
      </c>
      <c r="C1649" s="4">
        <v>97</v>
      </c>
      <c r="E1649">
        <v>468</v>
      </c>
      <c r="F1649" s="3">
        <v>41999</v>
      </c>
      <c r="H1649" s="18">
        <v>97</v>
      </c>
      <c r="J1649" s="20" t="str">
        <f t="shared" si="95"/>
        <v/>
      </c>
      <c r="K1649" t="str">
        <f t="shared" si="97"/>
        <v/>
      </c>
      <c r="L1649" s="4">
        <f t="shared" si="96"/>
        <v>0</v>
      </c>
    </row>
    <row r="1650" spans="1:12" x14ac:dyDescent="0.25">
      <c r="A1650">
        <v>530</v>
      </c>
      <c r="B1650" s="3">
        <v>41999</v>
      </c>
      <c r="C1650" s="4">
        <v>2552</v>
      </c>
      <c r="E1650">
        <v>530</v>
      </c>
      <c r="F1650" s="3">
        <v>41999</v>
      </c>
      <c r="G1650" t="s">
        <v>35</v>
      </c>
      <c r="H1650" s="18">
        <v>2552</v>
      </c>
      <c r="J1650" s="20" t="str">
        <f t="shared" si="95"/>
        <v/>
      </c>
      <c r="K1650" t="str">
        <f t="shared" si="97"/>
        <v/>
      </c>
      <c r="L1650" s="4">
        <f t="shared" si="96"/>
        <v>0</v>
      </c>
    </row>
    <row r="1651" spans="1:12" x14ac:dyDescent="0.25">
      <c r="A1651">
        <v>551</v>
      </c>
      <c r="B1651" s="3">
        <v>41999</v>
      </c>
      <c r="C1651" s="4">
        <v>1025</v>
      </c>
      <c r="E1651">
        <v>551</v>
      </c>
      <c r="F1651" s="3">
        <v>41999</v>
      </c>
      <c r="G1651" t="s">
        <v>166</v>
      </c>
      <c r="H1651" s="18">
        <v>1025</v>
      </c>
      <c r="J1651" s="20" t="str">
        <f t="shared" si="95"/>
        <v/>
      </c>
      <c r="K1651" t="str">
        <f t="shared" si="97"/>
        <v/>
      </c>
      <c r="L1651" s="4">
        <f t="shared" si="96"/>
        <v>0</v>
      </c>
    </row>
    <row r="1652" spans="1:12" x14ac:dyDescent="0.25">
      <c r="A1652">
        <v>576</v>
      </c>
      <c r="B1652" s="3">
        <v>41999</v>
      </c>
      <c r="C1652" s="4">
        <v>2473.35</v>
      </c>
      <c r="E1652">
        <v>576</v>
      </c>
      <c r="F1652" s="3">
        <v>41999</v>
      </c>
      <c r="G1652" t="s">
        <v>36</v>
      </c>
      <c r="H1652" s="18">
        <v>2473.35</v>
      </c>
      <c r="J1652" s="20" t="str">
        <f t="shared" ref="J1652:J1715" si="98">IF(E1652=A1652,"","CHECK")</f>
        <v/>
      </c>
      <c r="K1652" t="str">
        <f t="shared" si="97"/>
        <v/>
      </c>
      <c r="L1652" s="4">
        <f t="shared" ref="L1652:L1715" si="99">C1652-H1652</f>
        <v>0</v>
      </c>
    </row>
    <row r="1653" spans="1:12" x14ac:dyDescent="0.25">
      <c r="A1653">
        <v>580</v>
      </c>
      <c r="B1653" s="3">
        <v>41999</v>
      </c>
      <c r="C1653" s="4">
        <v>500</v>
      </c>
      <c r="E1653">
        <v>580</v>
      </c>
      <c r="F1653" s="3">
        <v>41999</v>
      </c>
      <c r="G1653" t="s">
        <v>37</v>
      </c>
      <c r="H1653" s="18">
        <v>500</v>
      </c>
      <c r="J1653" s="20" t="str">
        <f t="shared" si="98"/>
        <v/>
      </c>
      <c r="K1653" t="str">
        <f t="shared" si="97"/>
        <v/>
      </c>
      <c r="L1653" s="4">
        <f t="shared" si="99"/>
        <v>0</v>
      </c>
    </row>
    <row r="1654" spans="1:12" x14ac:dyDescent="0.25">
      <c r="A1654">
        <v>592</v>
      </c>
      <c r="B1654" s="3">
        <v>41999</v>
      </c>
      <c r="C1654" s="4">
        <v>1492</v>
      </c>
      <c r="E1654">
        <v>592</v>
      </c>
      <c r="F1654" s="3">
        <v>41999</v>
      </c>
      <c r="G1654" t="s">
        <v>222</v>
      </c>
      <c r="H1654" s="18">
        <v>1492</v>
      </c>
      <c r="J1654" s="20" t="str">
        <f t="shared" si="98"/>
        <v/>
      </c>
      <c r="K1654" t="str">
        <f t="shared" si="97"/>
        <v/>
      </c>
      <c r="L1654" s="4">
        <f t="shared" si="99"/>
        <v>0</v>
      </c>
    </row>
    <row r="1655" spans="1:12" x14ac:dyDescent="0.25">
      <c r="A1655">
        <v>594</v>
      </c>
      <c r="B1655" s="3">
        <v>41999</v>
      </c>
      <c r="C1655" s="4">
        <v>800</v>
      </c>
      <c r="E1655">
        <v>594</v>
      </c>
      <c r="F1655" s="3">
        <v>41999</v>
      </c>
      <c r="G1655" t="s">
        <v>223</v>
      </c>
      <c r="H1655" s="18">
        <v>800</v>
      </c>
      <c r="J1655" s="20" t="str">
        <f t="shared" si="98"/>
        <v/>
      </c>
      <c r="K1655" t="str">
        <f t="shared" si="97"/>
        <v/>
      </c>
      <c r="L1655" s="4">
        <f t="shared" si="99"/>
        <v>0</v>
      </c>
    </row>
    <row r="1656" spans="1:12" x14ac:dyDescent="0.25">
      <c r="A1656">
        <v>601</v>
      </c>
      <c r="B1656" s="3">
        <v>41999</v>
      </c>
      <c r="C1656" s="4">
        <v>867</v>
      </c>
      <c r="E1656">
        <v>601</v>
      </c>
      <c r="F1656" s="3">
        <v>41999</v>
      </c>
      <c r="G1656" t="s">
        <v>126</v>
      </c>
      <c r="H1656" s="18">
        <v>382.5</v>
      </c>
      <c r="J1656" s="20" t="str">
        <f t="shared" si="98"/>
        <v/>
      </c>
      <c r="K1656" t="str">
        <f t="shared" si="97"/>
        <v/>
      </c>
      <c r="L1656" s="4">
        <f t="shared" si="99"/>
        <v>484.5</v>
      </c>
    </row>
    <row r="1657" spans="1:12" x14ac:dyDescent="0.25">
      <c r="A1657">
        <v>615</v>
      </c>
      <c r="B1657" s="3">
        <v>41999</v>
      </c>
      <c r="C1657" s="4">
        <v>803.94</v>
      </c>
      <c r="E1657">
        <v>615</v>
      </c>
      <c r="F1657" s="3">
        <v>41999</v>
      </c>
      <c r="G1657" t="s">
        <v>201</v>
      </c>
      <c r="H1657" s="18">
        <v>803.94</v>
      </c>
      <c r="J1657" s="20" t="str">
        <f t="shared" si="98"/>
        <v/>
      </c>
      <c r="K1657" t="str">
        <f t="shared" si="97"/>
        <v/>
      </c>
      <c r="L1657" s="4">
        <f t="shared" si="99"/>
        <v>0</v>
      </c>
    </row>
    <row r="1658" spans="1:12" x14ac:dyDescent="0.25">
      <c r="A1658">
        <v>621</v>
      </c>
      <c r="B1658" s="3">
        <v>41999</v>
      </c>
      <c r="C1658" s="4">
        <v>879</v>
      </c>
      <c r="E1658">
        <v>621</v>
      </c>
      <c r="F1658" s="3">
        <v>41999</v>
      </c>
      <c r="G1658" t="s">
        <v>224</v>
      </c>
      <c r="H1658" s="18">
        <v>879</v>
      </c>
      <c r="J1658" s="20" t="str">
        <f t="shared" si="98"/>
        <v/>
      </c>
      <c r="K1658" t="str">
        <f t="shared" si="97"/>
        <v/>
      </c>
      <c r="L1658" s="4">
        <f t="shared" si="99"/>
        <v>0</v>
      </c>
    </row>
    <row r="1659" spans="1:12" x14ac:dyDescent="0.25">
      <c r="A1659">
        <v>626</v>
      </c>
      <c r="B1659" s="3">
        <v>41999</v>
      </c>
      <c r="C1659" s="4">
        <v>255</v>
      </c>
      <c r="E1659">
        <v>626</v>
      </c>
      <c r="F1659" s="3">
        <v>41999</v>
      </c>
      <c r="G1659" t="s">
        <v>187</v>
      </c>
      <c r="H1659" s="18">
        <v>255</v>
      </c>
      <c r="J1659" s="20" t="str">
        <f t="shared" si="98"/>
        <v/>
      </c>
      <c r="K1659" t="str">
        <f t="shared" si="97"/>
        <v/>
      </c>
      <c r="L1659" s="4">
        <f t="shared" si="99"/>
        <v>0</v>
      </c>
    </row>
    <row r="1660" spans="1:12" x14ac:dyDescent="0.25">
      <c r="A1660">
        <v>634</v>
      </c>
      <c r="B1660" s="3">
        <v>41999</v>
      </c>
      <c r="C1660" s="4">
        <v>1125</v>
      </c>
      <c r="E1660">
        <v>634</v>
      </c>
      <c r="F1660" s="3">
        <v>41999</v>
      </c>
      <c r="G1660" t="s">
        <v>225</v>
      </c>
      <c r="H1660" s="18">
        <v>1125</v>
      </c>
      <c r="J1660" s="20" t="str">
        <f t="shared" si="98"/>
        <v/>
      </c>
      <c r="K1660" t="str">
        <f t="shared" si="97"/>
        <v/>
      </c>
      <c r="L1660" s="4">
        <f t="shared" si="99"/>
        <v>0</v>
      </c>
    </row>
    <row r="1661" spans="1:12" x14ac:dyDescent="0.25">
      <c r="A1661">
        <v>635</v>
      </c>
      <c r="B1661" s="3">
        <v>41999</v>
      </c>
      <c r="C1661" s="4">
        <v>1050</v>
      </c>
      <c r="E1661">
        <v>635</v>
      </c>
      <c r="F1661" s="3">
        <v>41999</v>
      </c>
      <c r="G1661" t="s">
        <v>167</v>
      </c>
      <c r="H1661" s="18">
        <v>1050</v>
      </c>
      <c r="J1661" s="20" t="str">
        <f t="shared" si="98"/>
        <v/>
      </c>
      <c r="K1661" t="str">
        <f t="shared" si="97"/>
        <v/>
      </c>
      <c r="L1661" s="4">
        <f t="shared" si="99"/>
        <v>0</v>
      </c>
    </row>
    <row r="1662" spans="1:12" x14ac:dyDescent="0.25">
      <c r="A1662">
        <v>646</v>
      </c>
      <c r="B1662" s="3">
        <v>41999</v>
      </c>
      <c r="C1662" s="4">
        <v>975</v>
      </c>
      <c r="E1662">
        <v>646</v>
      </c>
      <c r="F1662" s="3">
        <v>41999</v>
      </c>
      <c r="G1662" t="s">
        <v>203</v>
      </c>
      <c r="H1662" s="18">
        <v>975</v>
      </c>
      <c r="J1662" s="20" t="str">
        <f t="shared" si="98"/>
        <v/>
      </c>
      <c r="K1662" t="str">
        <f t="shared" si="97"/>
        <v/>
      </c>
      <c r="L1662" s="4">
        <f t="shared" si="99"/>
        <v>0</v>
      </c>
    </row>
    <row r="1663" spans="1:12" x14ac:dyDescent="0.25">
      <c r="A1663">
        <v>648</v>
      </c>
      <c r="B1663" s="3">
        <v>41999</v>
      </c>
      <c r="C1663" s="4">
        <v>3215</v>
      </c>
      <c r="E1663">
        <v>648</v>
      </c>
      <c r="F1663" s="3">
        <v>41999</v>
      </c>
      <c r="G1663" t="s">
        <v>42</v>
      </c>
      <c r="H1663" s="18">
        <v>3215</v>
      </c>
      <c r="J1663" s="20" t="str">
        <f t="shared" si="98"/>
        <v/>
      </c>
      <c r="K1663" t="str">
        <f t="shared" si="97"/>
        <v/>
      </c>
      <c r="L1663" s="4">
        <f t="shared" si="99"/>
        <v>0</v>
      </c>
    </row>
    <row r="1664" spans="1:12" x14ac:dyDescent="0.25">
      <c r="A1664">
        <v>656</v>
      </c>
      <c r="B1664" s="3">
        <v>41999</v>
      </c>
      <c r="C1664" s="4">
        <v>459</v>
      </c>
      <c r="E1664">
        <v>656</v>
      </c>
      <c r="F1664" s="3">
        <v>41999</v>
      </c>
      <c r="G1664" t="s">
        <v>43</v>
      </c>
      <c r="H1664" s="18">
        <v>459</v>
      </c>
      <c r="J1664" s="20" t="str">
        <f t="shared" si="98"/>
        <v/>
      </c>
      <c r="K1664" t="str">
        <f t="shared" si="97"/>
        <v/>
      </c>
      <c r="L1664" s="4">
        <f t="shared" si="99"/>
        <v>0</v>
      </c>
    </row>
    <row r="1665" spans="1:12" x14ac:dyDescent="0.25">
      <c r="A1665">
        <v>664</v>
      </c>
      <c r="B1665" s="3">
        <v>41999</v>
      </c>
      <c r="C1665" s="4">
        <v>500</v>
      </c>
      <c r="E1665">
        <v>664</v>
      </c>
      <c r="F1665" s="3">
        <v>41999</v>
      </c>
      <c r="G1665" t="s">
        <v>226</v>
      </c>
      <c r="H1665" s="18">
        <v>500</v>
      </c>
      <c r="J1665" s="20" t="str">
        <f t="shared" si="98"/>
        <v/>
      </c>
      <c r="K1665" t="str">
        <f t="shared" si="97"/>
        <v/>
      </c>
      <c r="L1665" s="4">
        <f t="shared" si="99"/>
        <v>0</v>
      </c>
    </row>
    <row r="1666" spans="1:12" x14ac:dyDescent="0.25">
      <c r="A1666">
        <v>665</v>
      </c>
      <c r="B1666" s="3">
        <v>41999</v>
      </c>
      <c r="C1666" s="4">
        <v>500</v>
      </c>
      <c r="E1666">
        <v>665</v>
      </c>
      <c r="F1666" s="3">
        <v>41999</v>
      </c>
      <c r="G1666" t="s">
        <v>227</v>
      </c>
      <c r="H1666" s="18">
        <v>500</v>
      </c>
      <c r="J1666" s="20" t="str">
        <f t="shared" si="98"/>
        <v/>
      </c>
      <c r="K1666" t="str">
        <f t="shared" si="97"/>
        <v/>
      </c>
      <c r="L1666" s="4">
        <f t="shared" si="99"/>
        <v>0</v>
      </c>
    </row>
    <row r="1667" spans="1:12" x14ac:dyDescent="0.25">
      <c r="A1667">
        <v>675</v>
      </c>
      <c r="B1667" s="3">
        <v>41999</v>
      </c>
      <c r="C1667" s="4">
        <v>1357</v>
      </c>
      <c r="E1667">
        <v>675</v>
      </c>
      <c r="F1667" s="3">
        <v>41999</v>
      </c>
      <c r="G1667" t="s">
        <v>228</v>
      </c>
      <c r="H1667" s="18">
        <v>1357</v>
      </c>
      <c r="J1667" s="20" t="str">
        <f t="shared" si="98"/>
        <v/>
      </c>
      <c r="K1667" t="str">
        <f t="shared" ref="K1667:K1730" si="100">IF(F1667=B1667,"","CHECK")</f>
        <v/>
      </c>
      <c r="L1667" s="4">
        <f t="shared" si="99"/>
        <v>0</v>
      </c>
    </row>
    <row r="1668" spans="1:12" x14ac:dyDescent="0.25">
      <c r="A1668">
        <v>680</v>
      </c>
      <c r="B1668" s="3">
        <v>41999</v>
      </c>
      <c r="C1668" s="4">
        <v>600</v>
      </c>
      <c r="E1668">
        <v>680</v>
      </c>
      <c r="F1668" s="3">
        <v>41999</v>
      </c>
      <c r="G1668" t="s">
        <v>46</v>
      </c>
      <c r="H1668" s="18">
        <v>600</v>
      </c>
      <c r="J1668" s="20" t="str">
        <f t="shared" si="98"/>
        <v/>
      </c>
      <c r="K1668" t="str">
        <f t="shared" si="100"/>
        <v/>
      </c>
      <c r="L1668" s="4">
        <f t="shared" si="99"/>
        <v>0</v>
      </c>
    </row>
    <row r="1669" spans="1:12" x14ac:dyDescent="0.25">
      <c r="A1669">
        <v>687</v>
      </c>
      <c r="B1669" s="3">
        <v>41999</v>
      </c>
      <c r="C1669" s="4">
        <v>908</v>
      </c>
      <c r="E1669">
        <v>687</v>
      </c>
      <c r="F1669" s="3">
        <v>41999</v>
      </c>
      <c r="G1669" t="s">
        <v>133</v>
      </c>
      <c r="H1669" s="18">
        <v>908</v>
      </c>
      <c r="J1669" s="20" t="str">
        <f t="shared" si="98"/>
        <v/>
      </c>
      <c r="K1669" t="str">
        <f t="shared" si="100"/>
        <v/>
      </c>
      <c r="L1669" s="4">
        <f t="shared" si="99"/>
        <v>0</v>
      </c>
    </row>
    <row r="1670" spans="1:12" x14ac:dyDescent="0.25">
      <c r="A1670">
        <v>690</v>
      </c>
      <c r="B1670" s="3">
        <v>41999</v>
      </c>
      <c r="C1670" s="4">
        <v>754</v>
      </c>
      <c r="E1670">
        <v>690</v>
      </c>
      <c r="F1670" s="3">
        <v>41999</v>
      </c>
      <c r="G1670" t="s">
        <v>48</v>
      </c>
      <c r="H1670" s="18">
        <v>754</v>
      </c>
      <c r="J1670" s="20" t="str">
        <f t="shared" si="98"/>
        <v/>
      </c>
      <c r="K1670" t="str">
        <f t="shared" si="100"/>
        <v/>
      </c>
      <c r="L1670" s="4">
        <f t="shared" si="99"/>
        <v>0</v>
      </c>
    </row>
    <row r="1671" spans="1:12" x14ac:dyDescent="0.25">
      <c r="A1671">
        <v>696</v>
      </c>
      <c r="B1671" s="3">
        <v>41999</v>
      </c>
      <c r="C1671" s="4">
        <v>575</v>
      </c>
      <c r="E1671">
        <v>696</v>
      </c>
      <c r="F1671" s="3">
        <v>41999</v>
      </c>
      <c r="G1671" t="s">
        <v>205</v>
      </c>
      <c r="H1671" s="18">
        <v>575</v>
      </c>
      <c r="J1671" s="20" t="str">
        <f t="shared" si="98"/>
        <v/>
      </c>
      <c r="K1671" t="str">
        <f t="shared" si="100"/>
        <v/>
      </c>
      <c r="L1671" s="4">
        <f t="shared" si="99"/>
        <v>0</v>
      </c>
    </row>
    <row r="1672" spans="1:12" x14ac:dyDescent="0.25">
      <c r="A1672">
        <v>702</v>
      </c>
      <c r="B1672" s="3">
        <v>41999</v>
      </c>
      <c r="C1672" s="4">
        <v>400</v>
      </c>
      <c r="E1672">
        <v>702</v>
      </c>
      <c r="F1672" s="3">
        <v>41999</v>
      </c>
      <c r="G1672" t="s">
        <v>134</v>
      </c>
      <c r="H1672" s="18">
        <v>400</v>
      </c>
      <c r="J1672" s="20" t="str">
        <f t="shared" si="98"/>
        <v/>
      </c>
      <c r="K1672" t="str">
        <f t="shared" si="100"/>
        <v/>
      </c>
      <c r="L1672" s="4">
        <f t="shared" si="99"/>
        <v>0</v>
      </c>
    </row>
    <row r="1673" spans="1:12" x14ac:dyDescent="0.25">
      <c r="A1673">
        <v>711</v>
      </c>
      <c r="B1673" s="3">
        <v>41999</v>
      </c>
      <c r="C1673" s="4">
        <v>1275</v>
      </c>
      <c r="E1673">
        <v>711</v>
      </c>
      <c r="F1673" s="3">
        <v>41999</v>
      </c>
      <c r="G1673" t="s">
        <v>190</v>
      </c>
      <c r="H1673" s="18">
        <v>1275</v>
      </c>
      <c r="J1673" s="20" t="str">
        <f t="shared" si="98"/>
        <v/>
      </c>
      <c r="K1673" t="str">
        <f t="shared" si="100"/>
        <v/>
      </c>
      <c r="L1673" s="4">
        <f t="shared" si="99"/>
        <v>0</v>
      </c>
    </row>
    <row r="1674" spans="1:12" x14ac:dyDescent="0.25">
      <c r="A1674">
        <v>722</v>
      </c>
      <c r="B1674" s="3">
        <v>41999</v>
      </c>
      <c r="C1674" s="4">
        <v>1892</v>
      </c>
      <c r="E1674">
        <v>722</v>
      </c>
      <c r="F1674" s="3">
        <v>41999</v>
      </c>
      <c r="G1674" t="s">
        <v>135</v>
      </c>
      <c r="H1674" s="18">
        <v>1892</v>
      </c>
      <c r="J1674" s="20" t="str">
        <f t="shared" si="98"/>
        <v/>
      </c>
      <c r="K1674" t="str">
        <f t="shared" si="100"/>
        <v/>
      </c>
      <c r="L1674" s="4">
        <f t="shared" si="99"/>
        <v>0</v>
      </c>
    </row>
    <row r="1675" spans="1:12" x14ac:dyDescent="0.25">
      <c r="A1675">
        <v>725</v>
      </c>
      <c r="B1675" s="3">
        <v>41999</v>
      </c>
      <c r="C1675" s="4">
        <v>250</v>
      </c>
      <c r="E1675">
        <v>725</v>
      </c>
      <c r="F1675" s="3">
        <v>41999</v>
      </c>
      <c r="G1675" t="s">
        <v>229</v>
      </c>
      <c r="H1675" s="18">
        <v>250</v>
      </c>
      <c r="J1675" s="20" t="str">
        <f t="shared" si="98"/>
        <v/>
      </c>
      <c r="K1675" t="str">
        <f t="shared" si="100"/>
        <v/>
      </c>
      <c r="L1675" s="4">
        <f t="shared" si="99"/>
        <v>0</v>
      </c>
    </row>
    <row r="1676" spans="1:12" x14ac:dyDescent="0.25">
      <c r="A1676">
        <v>750</v>
      </c>
      <c r="B1676" s="3">
        <v>41999</v>
      </c>
      <c r="C1676" s="4">
        <v>1800</v>
      </c>
      <c r="E1676">
        <v>750</v>
      </c>
      <c r="F1676" s="3">
        <v>41999</v>
      </c>
      <c r="G1676" t="s">
        <v>55</v>
      </c>
      <c r="H1676" s="18">
        <v>1800</v>
      </c>
      <c r="J1676" s="20" t="str">
        <f t="shared" si="98"/>
        <v/>
      </c>
      <c r="K1676" t="str">
        <f t="shared" si="100"/>
        <v/>
      </c>
      <c r="L1676" s="4">
        <f t="shared" si="99"/>
        <v>0</v>
      </c>
    </row>
    <row r="1677" spans="1:12" x14ac:dyDescent="0.25">
      <c r="A1677">
        <v>784</v>
      </c>
      <c r="B1677" s="3">
        <v>41999</v>
      </c>
      <c r="C1677" s="4">
        <v>1168.5</v>
      </c>
      <c r="E1677">
        <v>784</v>
      </c>
      <c r="F1677" s="3">
        <v>41999</v>
      </c>
      <c r="G1677" t="s">
        <v>58</v>
      </c>
      <c r="H1677" s="18">
        <v>1168.5</v>
      </c>
      <c r="J1677" s="20" t="str">
        <f t="shared" si="98"/>
        <v/>
      </c>
      <c r="K1677" t="str">
        <f t="shared" si="100"/>
        <v/>
      </c>
      <c r="L1677" s="4">
        <f t="shared" si="99"/>
        <v>0</v>
      </c>
    </row>
    <row r="1678" spans="1:12" x14ac:dyDescent="0.25">
      <c r="A1678">
        <v>807</v>
      </c>
      <c r="B1678" s="3">
        <v>41999</v>
      </c>
      <c r="C1678" s="4">
        <v>250</v>
      </c>
      <c r="E1678">
        <v>807</v>
      </c>
      <c r="F1678" s="3">
        <v>41999</v>
      </c>
      <c r="G1678" t="s">
        <v>230</v>
      </c>
      <c r="H1678" s="18">
        <v>250</v>
      </c>
      <c r="J1678" s="20" t="str">
        <f t="shared" si="98"/>
        <v/>
      </c>
      <c r="K1678" t="str">
        <f t="shared" si="100"/>
        <v/>
      </c>
      <c r="L1678" s="4">
        <f t="shared" si="99"/>
        <v>0</v>
      </c>
    </row>
    <row r="1679" spans="1:12" x14ac:dyDescent="0.25">
      <c r="A1679">
        <v>857</v>
      </c>
      <c r="B1679" s="3">
        <v>41999</v>
      </c>
      <c r="C1679" s="4">
        <v>750</v>
      </c>
      <c r="E1679">
        <v>857</v>
      </c>
      <c r="F1679" s="3">
        <v>41999</v>
      </c>
      <c r="G1679" t="s">
        <v>138</v>
      </c>
      <c r="H1679" s="18">
        <v>750</v>
      </c>
      <c r="J1679" s="20" t="str">
        <f t="shared" si="98"/>
        <v/>
      </c>
      <c r="K1679" t="str">
        <f t="shared" si="100"/>
        <v/>
      </c>
      <c r="L1679" s="4">
        <f t="shared" si="99"/>
        <v>0</v>
      </c>
    </row>
    <row r="1680" spans="1:12" x14ac:dyDescent="0.25">
      <c r="A1680">
        <v>858</v>
      </c>
      <c r="B1680" s="3">
        <v>41999</v>
      </c>
      <c r="C1680" s="4">
        <v>583.79</v>
      </c>
      <c r="E1680">
        <v>858</v>
      </c>
      <c r="F1680" s="3">
        <v>41999</v>
      </c>
      <c r="G1680" t="s">
        <v>231</v>
      </c>
      <c r="H1680" s="18">
        <v>583.79</v>
      </c>
      <c r="J1680" s="20" t="str">
        <f t="shared" si="98"/>
        <v/>
      </c>
      <c r="K1680" t="str">
        <f t="shared" si="100"/>
        <v/>
      </c>
      <c r="L1680" s="4">
        <f t="shared" si="99"/>
        <v>0</v>
      </c>
    </row>
    <row r="1681" spans="1:12" x14ac:dyDescent="0.25">
      <c r="A1681">
        <v>897</v>
      </c>
      <c r="B1681" s="3">
        <v>41999</v>
      </c>
      <c r="C1681" s="4">
        <v>500</v>
      </c>
      <c r="E1681">
        <v>897</v>
      </c>
      <c r="F1681" s="3">
        <v>41999</v>
      </c>
      <c r="G1681" t="s">
        <v>66</v>
      </c>
      <c r="H1681" s="18">
        <v>500</v>
      </c>
      <c r="J1681" s="20" t="str">
        <f t="shared" si="98"/>
        <v/>
      </c>
      <c r="K1681" t="str">
        <f t="shared" si="100"/>
        <v/>
      </c>
      <c r="L1681" s="4">
        <f t="shared" si="99"/>
        <v>0</v>
      </c>
    </row>
    <row r="1682" spans="1:12" x14ac:dyDescent="0.25">
      <c r="A1682">
        <v>906</v>
      </c>
      <c r="B1682" s="3">
        <v>41999</v>
      </c>
      <c r="C1682" s="4">
        <v>500</v>
      </c>
      <c r="E1682">
        <v>906</v>
      </c>
      <c r="F1682" s="3">
        <v>41999</v>
      </c>
      <c r="G1682" t="s">
        <v>175</v>
      </c>
      <c r="H1682" s="18">
        <v>500</v>
      </c>
      <c r="J1682" s="20" t="str">
        <f t="shared" si="98"/>
        <v/>
      </c>
      <c r="K1682" t="str">
        <f t="shared" si="100"/>
        <v/>
      </c>
      <c r="L1682" s="4">
        <f t="shared" si="99"/>
        <v>0</v>
      </c>
    </row>
    <row r="1683" spans="1:12" x14ac:dyDescent="0.25">
      <c r="A1683">
        <v>41</v>
      </c>
      <c r="B1683" s="3">
        <v>42004</v>
      </c>
      <c r="C1683" s="4">
        <v>4657.3500000000004</v>
      </c>
      <c r="E1683">
        <v>41</v>
      </c>
      <c r="F1683" s="3">
        <v>42004</v>
      </c>
      <c r="G1683" t="s">
        <v>10</v>
      </c>
      <c r="H1683" s="18">
        <v>4657.3599999999997</v>
      </c>
      <c r="J1683" s="20" t="str">
        <f t="shared" si="98"/>
        <v/>
      </c>
      <c r="K1683" t="str">
        <f t="shared" si="100"/>
        <v/>
      </c>
      <c r="L1683" s="4">
        <f t="shared" si="99"/>
        <v>-9.999999999308784E-3</v>
      </c>
    </row>
    <row r="1684" spans="1:12" x14ac:dyDescent="0.25">
      <c r="A1684">
        <v>46</v>
      </c>
      <c r="B1684" s="3">
        <v>42004</v>
      </c>
      <c r="C1684" s="4">
        <v>333.33</v>
      </c>
      <c r="E1684">
        <v>46</v>
      </c>
      <c r="F1684" s="3">
        <v>42004</v>
      </c>
      <c r="G1684" t="s">
        <v>78</v>
      </c>
      <c r="H1684" s="18">
        <v>333.33</v>
      </c>
      <c r="J1684" s="20" t="str">
        <f t="shared" si="98"/>
        <v/>
      </c>
      <c r="K1684" t="str">
        <f t="shared" si="100"/>
        <v/>
      </c>
      <c r="L1684" s="4">
        <f t="shared" si="99"/>
        <v>0</v>
      </c>
    </row>
    <row r="1685" spans="1:12" x14ac:dyDescent="0.25">
      <c r="A1685">
        <v>63</v>
      </c>
      <c r="B1685" s="3">
        <v>42004</v>
      </c>
      <c r="C1685" s="4">
        <v>838.38</v>
      </c>
      <c r="E1685">
        <v>63</v>
      </c>
      <c r="F1685" s="3">
        <v>42004</v>
      </c>
      <c r="G1685" t="s">
        <v>181</v>
      </c>
      <c r="H1685" s="18">
        <v>838.38</v>
      </c>
      <c r="J1685" s="20" t="str">
        <f t="shared" si="98"/>
        <v/>
      </c>
      <c r="K1685" t="str">
        <f t="shared" si="100"/>
        <v/>
      </c>
      <c r="L1685" s="4">
        <f t="shared" si="99"/>
        <v>0</v>
      </c>
    </row>
    <row r="1686" spans="1:12" x14ac:dyDescent="0.25">
      <c r="A1686">
        <v>77</v>
      </c>
      <c r="B1686" s="3">
        <v>42004</v>
      </c>
      <c r="C1686" s="4">
        <v>36.67</v>
      </c>
      <c r="E1686">
        <v>77</v>
      </c>
      <c r="F1686" s="3">
        <v>42004</v>
      </c>
      <c r="G1686" t="s">
        <v>11</v>
      </c>
      <c r="H1686" s="18">
        <v>36.67</v>
      </c>
      <c r="J1686" s="20" t="str">
        <f t="shared" si="98"/>
        <v/>
      </c>
      <c r="K1686" t="str">
        <f t="shared" si="100"/>
        <v/>
      </c>
      <c r="L1686" s="4">
        <f t="shared" si="99"/>
        <v>0</v>
      </c>
    </row>
    <row r="1687" spans="1:12" x14ac:dyDescent="0.25">
      <c r="A1687">
        <v>85</v>
      </c>
      <c r="B1687" s="3">
        <v>42004</v>
      </c>
      <c r="C1687" s="4">
        <v>1145.83</v>
      </c>
      <c r="E1687">
        <v>85</v>
      </c>
      <c r="F1687" s="3">
        <v>42004</v>
      </c>
      <c r="G1687" t="s">
        <v>79</v>
      </c>
      <c r="H1687" s="18">
        <v>1145.83</v>
      </c>
      <c r="J1687" s="20" t="str">
        <f t="shared" si="98"/>
        <v/>
      </c>
      <c r="K1687" t="str">
        <f t="shared" si="100"/>
        <v/>
      </c>
      <c r="L1687" s="4">
        <f t="shared" si="99"/>
        <v>0</v>
      </c>
    </row>
    <row r="1688" spans="1:12" x14ac:dyDescent="0.25">
      <c r="A1688">
        <v>94</v>
      </c>
      <c r="B1688" s="3">
        <v>42004</v>
      </c>
      <c r="C1688" s="4">
        <v>961</v>
      </c>
      <c r="E1688">
        <v>94</v>
      </c>
      <c r="F1688" s="3">
        <v>42004</v>
      </c>
      <c r="G1688" t="s">
        <v>182</v>
      </c>
      <c r="H1688" s="18">
        <v>961</v>
      </c>
      <c r="J1688" s="20" t="str">
        <f t="shared" si="98"/>
        <v/>
      </c>
      <c r="K1688" t="str">
        <f t="shared" si="100"/>
        <v/>
      </c>
      <c r="L1688" s="4">
        <f t="shared" si="99"/>
        <v>0</v>
      </c>
    </row>
    <row r="1689" spans="1:12" x14ac:dyDescent="0.25">
      <c r="A1689">
        <v>104</v>
      </c>
      <c r="B1689" s="3">
        <v>42004</v>
      </c>
      <c r="C1689" s="4">
        <v>325.83</v>
      </c>
      <c r="E1689">
        <v>104</v>
      </c>
      <c r="F1689" s="3">
        <v>42004</v>
      </c>
      <c r="G1689" t="s">
        <v>210</v>
      </c>
      <c r="H1689" s="18">
        <v>325.83</v>
      </c>
      <c r="J1689" s="20" t="str">
        <f t="shared" si="98"/>
        <v/>
      </c>
      <c r="K1689" t="str">
        <f t="shared" si="100"/>
        <v/>
      </c>
      <c r="L1689" s="4">
        <f t="shared" si="99"/>
        <v>0</v>
      </c>
    </row>
    <row r="1690" spans="1:12" x14ac:dyDescent="0.25">
      <c r="A1690">
        <v>109</v>
      </c>
      <c r="B1690" s="3">
        <v>42004</v>
      </c>
      <c r="C1690" s="4">
        <v>501.5</v>
      </c>
      <c r="E1690">
        <v>109</v>
      </c>
      <c r="F1690" s="3">
        <v>42004</v>
      </c>
      <c r="G1690" t="s">
        <v>82</v>
      </c>
      <c r="H1690" s="18">
        <v>501.5</v>
      </c>
      <c r="J1690" s="20" t="str">
        <f t="shared" si="98"/>
        <v/>
      </c>
      <c r="K1690" t="str">
        <f t="shared" si="100"/>
        <v/>
      </c>
      <c r="L1690" s="4">
        <f t="shared" si="99"/>
        <v>0</v>
      </c>
    </row>
    <row r="1691" spans="1:12" x14ac:dyDescent="0.25">
      <c r="A1691">
        <v>133</v>
      </c>
      <c r="B1691" s="3">
        <v>42004</v>
      </c>
      <c r="C1691" s="4">
        <v>291.14999999999998</v>
      </c>
      <c r="E1691">
        <v>133</v>
      </c>
      <c r="F1691" s="3">
        <v>42004</v>
      </c>
      <c r="G1691" t="s">
        <v>87</v>
      </c>
      <c r="H1691" s="18">
        <v>291.14999999999998</v>
      </c>
      <c r="J1691" s="20" t="str">
        <f t="shared" si="98"/>
        <v/>
      </c>
      <c r="K1691" t="str">
        <f t="shared" si="100"/>
        <v/>
      </c>
      <c r="L1691" s="4">
        <f t="shared" si="99"/>
        <v>0</v>
      </c>
    </row>
    <row r="1692" spans="1:12" x14ac:dyDescent="0.25">
      <c r="A1692">
        <v>148</v>
      </c>
      <c r="B1692" s="3">
        <v>42004</v>
      </c>
      <c r="C1692" s="4">
        <v>51</v>
      </c>
      <c r="E1692">
        <v>148</v>
      </c>
      <c r="F1692" s="3">
        <v>42004</v>
      </c>
      <c r="G1692" t="s">
        <v>89</v>
      </c>
      <c r="H1692" s="18">
        <v>-331.5</v>
      </c>
      <c r="J1692" s="20" t="str">
        <f t="shared" si="98"/>
        <v/>
      </c>
      <c r="K1692" t="str">
        <f t="shared" si="100"/>
        <v/>
      </c>
      <c r="L1692" s="4">
        <f t="shared" si="99"/>
        <v>382.5</v>
      </c>
    </row>
    <row r="1693" spans="1:12" x14ac:dyDescent="0.25">
      <c r="A1693">
        <v>152</v>
      </c>
      <c r="B1693" s="3">
        <v>42004</v>
      </c>
      <c r="C1693" s="4">
        <v>771</v>
      </c>
      <c r="E1693">
        <v>152</v>
      </c>
      <c r="F1693" s="3">
        <v>42004</v>
      </c>
      <c r="G1693" t="s">
        <v>90</v>
      </c>
      <c r="H1693" s="18">
        <v>771</v>
      </c>
      <c r="J1693" s="20" t="str">
        <f t="shared" si="98"/>
        <v/>
      </c>
      <c r="K1693" t="str">
        <f t="shared" si="100"/>
        <v/>
      </c>
      <c r="L1693" s="4">
        <f t="shared" si="99"/>
        <v>0</v>
      </c>
    </row>
    <row r="1694" spans="1:12" x14ac:dyDescent="0.25">
      <c r="A1694">
        <v>192</v>
      </c>
      <c r="B1694" s="3">
        <v>42004</v>
      </c>
      <c r="C1694" s="4">
        <v>491.17</v>
      </c>
      <c r="E1694">
        <v>192</v>
      </c>
      <c r="F1694" s="3">
        <v>42004</v>
      </c>
      <c r="G1694" t="s">
        <v>94</v>
      </c>
      <c r="H1694" s="18">
        <v>491.17</v>
      </c>
      <c r="J1694" s="20" t="str">
        <f t="shared" si="98"/>
        <v/>
      </c>
      <c r="K1694" t="str">
        <f t="shared" si="100"/>
        <v/>
      </c>
      <c r="L1694" s="4">
        <f t="shared" si="99"/>
        <v>0</v>
      </c>
    </row>
    <row r="1695" spans="1:12" x14ac:dyDescent="0.25">
      <c r="A1695">
        <v>203</v>
      </c>
      <c r="B1695" s="3">
        <v>42004</v>
      </c>
      <c r="C1695" s="4">
        <v>846.18</v>
      </c>
      <c r="E1695">
        <v>203</v>
      </c>
      <c r="F1695" s="3">
        <v>42004</v>
      </c>
      <c r="G1695" t="s">
        <v>95</v>
      </c>
      <c r="H1695" s="18">
        <v>846.18</v>
      </c>
      <c r="J1695" s="20" t="str">
        <f t="shared" si="98"/>
        <v/>
      </c>
      <c r="K1695" t="str">
        <f t="shared" si="100"/>
        <v/>
      </c>
      <c r="L1695" s="4">
        <f t="shared" si="99"/>
        <v>0</v>
      </c>
    </row>
    <row r="1696" spans="1:12" x14ac:dyDescent="0.25">
      <c r="A1696">
        <v>217</v>
      </c>
      <c r="B1696" s="3">
        <v>42004</v>
      </c>
      <c r="C1696" s="4">
        <v>287.5</v>
      </c>
      <c r="E1696">
        <v>217</v>
      </c>
      <c r="F1696" s="3">
        <v>42004</v>
      </c>
      <c r="G1696" t="s">
        <v>97</v>
      </c>
      <c r="H1696" s="18">
        <v>287.5</v>
      </c>
      <c r="J1696" s="20" t="str">
        <f t="shared" si="98"/>
        <v/>
      </c>
      <c r="K1696" t="str">
        <f t="shared" si="100"/>
        <v/>
      </c>
      <c r="L1696" s="4">
        <f t="shared" si="99"/>
        <v>0</v>
      </c>
    </row>
    <row r="1697" spans="1:12" x14ac:dyDescent="0.25">
      <c r="A1697">
        <v>219</v>
      </c>
      <c r="B1697" s="3">
        <v>42004</v>
      </c>
      <c r="C1697" s="4">
        <v>187</v>
      </c>
      <c r="E1697">
        <v>219</v>
      </c>
      <c r="F1697" s="3">
        <v>42004</v>
      </c>
      <c r="G1697" t="s">
        <v>98</v>
      </c>
      <c r="H1697" s="18">
        <v>187</v>
      </c>
      <c r="J1697" s="20" t="str">
        <f t="shared" si="98"/>
        <v/>
      </c>
      <c r="K1697" t="str">
        <f t="shared" si="100"/>
        <v/>
      </c>
      <c r="L1697" s="4">
        <f t="shared" si="99"/>
        <v>0</v>
      </c>
    </row>
    <row r="1698" spans="1:12" x14ac:dyDescent="0.25">
      <c r="A1698">
        <v>236</v>
      </c>
      <c r="B1698" s="3">
        <v>42004</v>
      </c>
      <c r="C1698" s="4">
        <v>100</v>
      </c>
      <c r="E1698">
        <v>236</v>
      </c>
      <c r="F1698" s="3">
        <v>42004</v>
      </c>
      <c r="G1698" t="s">
        <v>211</v>
      </c>
      <c r="H1698" s="18">
        <v>100</v>
      </c>
      <c r="J1698" s="20" t="str">
        <f t="shared" si="98"/>
        <v/>
      </c>
      <c r="K1698" t="str">
        <f t="shared" si="100"/>
        <v/>
      </c>
      <c r="L1698" s="4">
        <f t="shared" si="99"/>
        <v>0</v>
      </c>
    </row>
    <row r="1699" spans="1:12" x14ac:dyDescent="0.25">
      <c r="A1699">
        <v>250</v>
      </c>
      <c r="B1699" s="3">
        <v>42004</v>
      </c>
      <c r="C1699" s="4">
        <v>451.5</v>
      </c>
      <c r="E1699">
        <v>250</v>
      </c>
      <c r="F1699" s="3">
        <v>42004</v>
      </c>
      <c r="G1699" t="s">
        <v>212</v>
      </c>
      <c r="H1699" s="18">
        <v>451.5</v>
      </c>
      <c r="J1699" s="20" t="str">
        <f t="shared" si="98"/>
        <v/>
      </c>
      <c r="K1699" t="str">
        <f t="shared" si="100"/>
        <v/>
      </c>
      <c r="L1699" s="4">
        <f t="shared" si="99"/>
        <v>0</v>
      </c>
    </row>
    <row r="1700" spans="1:12" x14ac:dyDescent="0.25">
      <c r="A1700">
        <v>261</v>
      </c>
      <c r="B1700" s="3">
        <v>42004</v>
      </c>
      <c r="C1700" s="4">
        <v>7444.38</v>
      </c>
      <c r="E1700">
        <v>261</v>
      </c>
      <c r="F1700" s="3">
        <v>42004</v>
      </c>
      <c r="G1700" t="s">
        <v>22</v>
      </c>
      <c r="H1700" s="18">
        <v>7444.38</v>
      </c>
      <c r="J1700" s="20" t="str">
        <f t="shared" si="98"/>
        <v/>
      </c>
      <c r="K1700" t="str">
        <f t="shared" si="100"/>
        <v/>
      </c>
      <c r="L1700" s="4">
        <f t="shared" si="99"/>
        <v>0</v>
      </c>
    </row>
    <row r="1701" spans="1:12" x14ac:dyDescent="0.25">
      <c r="A1701">
        <v>282</v>
      </c>
      <c r="B1701" s="3">
        <v>42004</v>
      </c>
      <c r="C1701" s="4">
        <v>1533.33</v>
      </c>
      <c r="E1701">
        <v>282</v>
      </c>
      <c r="F1701" s="3">
        <v>42004</v>
      </c>
      <c r="G1701" t="s">
        <v>23</v>
      </c>
      <c r="H1701" s="18">
        <v>1533.34</v>
      </c>
      <c r="J1701" s="20" t="str">
        <f t="shared" si="98"/>
        <v/>
      </c>
      <c r="K1701" t="str">
        <f t="shared" si="100"/>
        <v/>
      </c>
      <c r="L1701" s="4">
        <f t="shared" si="99"/>
        <v>-9.9999999999909051E-3</v>
      </c>
    </row>
    <row r="1702" spans="1:12" x14ac:dyDescent="0.25">
      <c r="A1702">
        <v>285</v>
      </c>
      <c r="B1702" s="3">
        <v>42004</v>
      </c>
      <c r="C1702" s="4">
        <v>497.25</v>
      </c>
      <c r="E1702">
        <v>285</v>
      </c>
      <c r="F1702" s="3">
        <v>42004</v>
      </c>
      <c r="G1702" t="s">
        <v>102</v>
      </c>
      <c r="H1702" s="18">
        <v>497.25</v>
      </c>
      <c r="J1702" s="20" t="str">
        <f t="shared" si="98"/>
        <v/>
      </c>
      <c r="K1702" t="str">
        <f t="shared" si="100"/>
        <v/>
      </c>
      <c r="L1702" s="4">
        <f t="shared" si="99"/>
        <v>0</v>
      </c>
    </row>
    <row r="1703" spans="1:12" x14ac:dyDescent="0.25">
      <c r="A1703">
        <v>295</v>
      </c>
      <c r="B1703" s="3">
        <v>42004</v>
      </c>
      <c r="C1703" s="4">
        <v>191.67</v>
      </c>
      <c r="E1703">
        <v>295</v>
      </c>
      <c r="F1703" s="3">
        <v>42004</v>
      </c>
      <c r="G1703" t="s">
        <v>103</v>
      </c>
      <c r="H1703" s="18">
        <v>191.67</v>
      </c>
      <c r="J1703" s="20" t="str">
        <f t="shared" si="98"/>
        <v/>
      </c>
      <c r="K1703" t="str">
        <f t="shared" si="100"/>
        <v/>
      </c>
      <c r="L1703" s="4">
        <f t="shared" si="99"/>
        <v>0</v>
      </c>
    </row>
    <row r="1704" spans="1:12" x14ac:dyDescent="0.25">
      <c r="A1704">
        <v>302</v>
      </c>
      <c r="B1704" s="3">
        <v>42004</v>
      </c>
      <c r="C1704" s="4">
        <v>109.09</v>
      </c>
      <c r="E1704">
        <v>302</v>
      </c>
      <c r="F1704" s="3">
        <v>42004</v>
      </c>
      <c r="G1704" t="s">
        <v>104</v>
      </c>
      <c r="H1704" s="18">
        <v>109.09</v>
      </c>
      <c r="J1704" s="20" t="str">
        <f t="shared" si="98"/>
        <v/>
      </c>
      <c r="K1704" t="str">
        <f t="shared" si="100"/>
        <v/>
      </c>
      <c r="L1704" s="4">
        <f t="shared" si="99"/>
        <v>0</v>
      </c>
    </row>
    <row r="1705" spans="1:12" x14ac:dyDescent="0.25">
      <c r="A1705">
        <v>324</v>
      </c>
      <c r="B1705" s="3">
        <v>42004</v>
      </c>
      <c r="C1705" s="4">
        <v>476</v>
      </c>
      <c r="E1705">
        <v>324</v>
      </c>
      <c r="F1705" s="3">
        <v>42004</v>
      </c>
      <c r="G1705" t="s">
        <v>106</v>
      </c>
      <c r="H1705" s="18">
        <v>476</v>
      </c>
      <c r="J1705" s="20" t="str">
        <f t="shared" si="98"/>
        <v/>
      </c>
      <c r="K1705" t="str">
        <f t="shared" si="100"/>
        <v/>
      </c>
      <c r="L1705" s="4">
        <f t="shared" si="99"/>
        <v>0</v>
      </c>
    </row>
    <row r="1706" spans="1:12" x14ac:dyDescent="0.25">
      <c r="A1706">
        <v>378</v>
      </c>
      <c r="B1706" s="3">
        <v>42004</v>
      </c>
      <c r="C1706" s="4">
        <v>766.67</v>
      </c>
      <c r="E1706">
        <v>378</v>
      </c>
      <c r="F1706" s="3">
        <v>42004</v>
      </c>
      <c r="G1706" t="s">
        <v>109</v>
      </c>
      <c r="H1706" s="18">
        <v>1441.67</v>
      </c>
      <c r="J1706" s="20" t="str">
        <f t="shared" si="98"/>
        <v/>
      </c>
      <c r="K1706" t="str">
        <f t="shared" si="100"/>
        <v/>
      </c>
      <c r="L1706" s="4">
        <f t="shared" si="99"/>
        <v>-675.00000000000011</v>
      </c>
    </row>
    <row r="1707" spans="1:12" x14ac:dyDescent="0.25">
      <c r="A1707">
        <v>387</v>
      </c>
      <c r="B1707" s="3">
        <v>42004</v>
      </c>
      <c r="C1707" s="4">
        <v>136</v>
      </c>
      <c r="E1707">
        <v>387</v>
      </c>
      <c r="F1707" s="3">
        <v>42004</v>
      </c>
      <c r="G1707" t="s">
        <v>110</v>
      </c>
      <c r="H1707" s="18">
        <v>136</v>
      </c>
      <c r="J1707" s="20" t="str">
        <f t="shared" si="98"/>
        <v/>
      </c>
      <c r="K1707" t="str">
        <f t="shared" si="100"/>
        <v/>
      </c>
      <c r="L1707" s="4">
        <f t="shared" si="99"/>
        <v>0</v>
      </c>
    </row>
    <row r="1708" spans="1:12" x14ac:dyDescent="0.25">
      <c r="A1708">
        <v>392</v>
      </c>
      <c r="B1708" s="3">
        <v>42004</v>
      </c>
      <c r="C1708" s="4">
        <v>1466.67</v>
      </c>
      <c r="E1708">
        <v>392</v>
      </c>
      <c r="F1708" s="3">
        <v>42004</v>
      </c>
      <c r="G1708" t="s">
        <v>111</v>
      </c>
      <c r="H1708" s="18">
        <v>1466.67</v>
      </c>
      <c r="J1708" s="20" t="str">
        <f t="shared" si="98"/>
        <v/>
      </c>
      <c r="K1708" t="str">
        <f t="shared" si="100"/>
        <v/>
      </c>
      <c r="L1708" s="4">
        <f t="shared" si="99"/>
        <v>0</v>
      </c>
    </row>
    <row r="1709" spans="1:12" x14ac:dyDescent="0.25">
      <c r="A1709">
        <v>405</v>
      </c>
      <c r="B1709" s="3">
        <v>42004</v>
      </c>
      <c r="C1709" s="4">
        <v>133.33000000000001</v>
      </c>
      <c r="E1709">
        <v>405</v>
      </c>
      <c r="F1709" s="3">
        <v>42004</v>
      </c>
      <c r="G1709" t="s">
        <v>112</v>
      </c>
      <c r="H1709" s="18">
        <v>133.33000000000001</v>
      </c>
      <c r="J1709" s="20" t="str">
        <f t="shared" si="98"/>
        <v/>
      </c>
      <c r="K1709" t="str">
        <f t="shared" si="100"/>
        <v/>
      </c>
      <c r="L1709" s="4">
        <f t="shared" si="99"/>
        <v>0</v>
      </c>
    </row>
    <row r="1710" spans="1:12" x14ac:dyDescent="0.25">
      <c r="A1710">
        <v>428</v>
      </c>
      <c r="B1710" s="3">
        <v>42004</v>
      </c>
      <c r="C1710" s="4">
        <v>750</v>
      </c>
      <c r="E1710">
        <v>428</v>
      </c>
      <c r="F1710" s="3">
        <v>42004</v>
      </c>
      <c r="G1710" t="s">
        <v>213</v>
      </c>
      <c r="H1710" s="18">
        <v>750</v>
      </c>
      <c r="J1710" s="20" t="str">
        <f t="shared" si="98"/>
        <v/>
      </c>
      <c r="K1710" t="str">
        <f t="shared" si="100"/>
        <v/>
      </c>
      <c r="L1710" s="4">
        <f t="shared" si="99"/>
        <v>0</v>
      </c>
    </row>
    <row r="1711" spans="1:12" x14ac:dyDescent="0.25">
      <c r="A1711">
        <v>438</v>
      </c>
      <c r="B1711" s="3">
        <v>42004</v>
      </c>
      <c r="C1711" s="4">
        <v>666.67</v>
      </c>
      <c r="E1711">
        <v>438</v>
      </c>
      <c r="F1711" s="3">
        <v>42004</v>
      </c>
      <c r="G1711" t="s">
        <v>115</v>
      </c>
      <c r="H1711" s="18">
        <v>666.67</v>
      </c>
      <c r="J1711" s="20" t="str">
        <f t="shared" si="98"/>
        <v/>
      </c>
      <c r="K1711" t="str">
        <f t="shared" si="100"/>
        <v/>
      </c>
      <c r="L1711" s="4">
        <f t="shared" si="99"/>
        <v>0</v>
      </c>
    </row>
    <row r="1712" spans="1:12" x14ac:dyDescent="0.25">
      <c r="A1712">
        <v>446</v>
      </c>
      <c r="B1712" s="3">
        <v>42004</v>
      </c>
      <c r="C1712" s="4">
        <v>75</v>
      </c>
      <c r="E1712">
        <v>446</v>
      </c>
      <c r="F1712" s="3">
        <v>42004</v>
      </c>
      <c r="G1712" t="s">
        <v>116</v>
      </c>
      <c r="H1712" s="18">
        <v>75</v>
      </c>
      <c r="J1712" s="20" t="str">
        <f t="shared" si="98"/>
        <v/>
      </c>
      <c r="K1712" t="str">
        <f t="shared" si="100"/>
        <v/>
      </c>
      <c r="L1712" s="4">
        <f t="shared" si="99"/>
        <v>0</v>
      </c>
    </row>
    <row r="1713" spans="1:12" x14ac:dyDescent="0.25">
      <c r="A1713">
        <v>453</v>
      </c>
      <c r="B1713" s="3">
        <v>42004</v>
      </c>
      <c r="C1713" s="4">
        <v>136</v>
      </c>
      <c r="E1713">
        <v>453</v>
      </c>
      <c r="F1713" s="3">
        <v>42004</v>
      </c>
      <c r="G1713" t="s">
        <v>117</v>
      </c>
      <c r="H1713" s="18">
        <v>136</v>
      </c>
      <c r="J1713" s="20" t="str">
        <f t="shared" si="98"/>
        <v/>
      </c>
      <c r="K1713" t="str">
        <f t="shared" si="100"/>
        <v/>
      </c>
      <c r="L1713" s="4">
        <f t="shared" si="99"/>
        <v>0</v>
      </c>
    </row>
    <row r="1714" spans="1:12" x14ac:dyDescent="0.25">
      <c r="A1714">
        <v>464</v>
      </c>
      <c r="B1714" s="3">
        <v>42004</v>
      </c>
      <c r="C1714" s="4">
        <v>208.33</v>
      </c>
      <c r="E1714">
        <v>464</v>
      </c>
      <c r="F1714" s="3">
        <v>42004</v>
      </c>
      <c r="G1714" t="s">
        <v>118</v>
      </c>
      <c r="H1714" s="18">
        <v>208.33</v>
      </c>
      <c r="J1714" s="20" t="str">
        <f t="shared" si="98"/>
        <v/>
      </c>
      <c r="K1714" t="str">
        <f t="shared" si="100"/>
        <v/>
      </c>
      <c r="L1714" s="4">
        <f t="shared" si="99"/>
        <v>0</v>
      </c>
    </row>
    <row r="1715" spans="1:12" x14ac:dyDescent="0.25">
      <c r="A1715">
        <v>465</v>
      </c>
      <c r="B1715" s="3">
        <v>42004</v>
      </c>
      <c r="C1715" s="4">
        <v>143.18</v>
      </c>
      <c r="E1715">
        <v>465</v>
      </c>
      <c r="F1715" s="3">
        <v>42004</v>
      </c>
      <c r="G1715" t="s">
        <v>119</v>
      </c>
      <c r="H1715" s="18">
        <v>143.18</v>
      </c>
      <c r="J1715" s="20" t="str">
        <f t="shared" si="98"/>
        <v/>
      </c>
      <c r="K1715" t="str">
        <f t="shared" si="100"/>
        <v/>
      </c>
      <c r="L1715" s="4">
        <f t="shared" si="99"/>
        <v>0</v>
      </c>
    </row>
    <row r="1716" spans="1:12" x14ac:dyDescent="0.25">
      <c r="A1716">
        <v>512</v>
      </c>
      <c r="B1716" s="3">
        <v>42004</v>
      </c>
      <c r="C1716" s="4">
        <v>246.5</v>
      </c>
      <c r="E1716">
        <v>512</v>
      </c>
      <c r="F1716" s="3">
        <v>42004</v>
      </c>
      <c r="G1716" t="s">
        <v>121</v>
      </c>
      <c r="H1716" s="18">
        <v>246.5</v>
      </c>
      <c r="J1716" s="20" t="str">
        <f t="shared" ref="J1716:J1779" si="101">IF(E1716=A1716,"","CHECK")</f>
        <v/>
      </c>
      <c r="K1716" t="str">
        <f t="shared" si="100"/>
        <v/>
      </c>
      <c r="L1716" s="4">
        <f t="shared" ref="L1716:L1779" si="102">C1716-H1716</f>
        <v>0</v>
      </c>
    </row>
    <row r="1717" spans="1:12" x14ac:dyDescent="0.25">
      <c r="A1717">
        <v>580</v>
      </c>
      <c r="B1717" s="3">
        <v>42004</v>
      </c>
      <c r="C1717" s="4">
        <v>500</v>
      </c>
      <c r="E1717">
        <v>580</v>
      </c>
      <c r="F1717" s="3">
        <v>42004</v>
      </c>
      <c r="G1717" t="s">
        <v>37</v>
      </c>
      <c r="H1717" s="18">
        <v>500</v>
      </c>
      <c r="J1717" s="20" t="str">
        <f t="shared" si="101"/>
        <v/>
      </c>
      <c r="K1717" t="str">
        <f t="shared" si="100"/>
        <v/>
      </c>
      <c r="L1717" s="4">
        <f t="shared" si="102"/>
        <v>0</v>
      </c>
    </row>
    <row r="1718" spans="1:12" x14ac:dyDescent="0.25">
      <c r="A1718">
        <v>583</v>
      </c>
      <c r="B1718" s="3">
        <v>42004</v>
      </c>
      <c r="C1718" s="4">
        <v>476</v>
      </c>
      <c r="E1718">
        <v>583</v>
      </c>
      <c r="F1718" s="3">
        <v>42004</v>
      </c>
      <c r="G1718" t="s">
        <v>124</v>
      </c>
      <c r="H1718" s="18">
        <v>476</v>
      </c>
      <c r="J1718" s="20" t="str">
        <f t="shared" si="101"/>
        <v/>
      </c>
      <c r="K1718" t="str">
        <f t="shared" si="100"/>
        <v/>
      </c>
      <c r="L1718" s="4">
        <f t="shared" si="102"/>
        <v>0</v>
      </c>
    </row>
    <row r="1719" spans="1:12" x14ac:dyDescent="0.25">
      <c r="A1719">
        <v>593</v>
      </c>
      <c r="B1719" s="3">
        <v>42004</v>
      </c>
      <c r="C1719" s="4">
        <v>238</v>
      </c>
      <c r="E1719">
        <v>593</v>
      </c>
      <c r="F1719" s="3">
        <v>42004</v>
      </c>
      <c r="G1719" t="s">
        <v>38</v>
      </c>
      <c r="H1719" s="18">
        <v>238</v>
      </c>
      <c r="J1719" s="20" t="str">
        <f t="shared" si="101"/>
        <v/>
      </c>
      <c r="K1719" t="str">
        <f t="shared" si="100"/>
        <v/>
      </c>
      <c r="L1719" s="4">
        <f t="shared" si="102"/>
        <v>0</v>
      </c>
    </row>
    <row r="1720" spans="1:12" x14ac:dyDescent="0.25">
      <c r="A1720">
        <v>604</v>
      </c>
      <c r="B1720" s="3">
        <v>42004</v>
      </c>
      <c r="C1720" s="4">
        <v>375</v>
      </c>
      <c r="E1720">
        <v>604</v>
      </c>
      <c r="F1720" s="3">
        <v>42004</v>
      </c>
      <c r="G1720" t="s">
        <v>127</v>
      </c>
      <c r="H1720" s="18">
        <v>375</v>
      </c>
      <c r="J1720" s="20" t="str">
        <f t="shared" si="101"/>
        <v/>
      </c>
      <c r="K1720" t="str">
        <f t="shared" si="100"/>
        <v/>
      </c>
      <c r="L1720" s="4">
        <f t="shared" si="102"/>
        <v>0</v>
      </c>
    </row>
    <row r="1721" spans="1:12" x14ac:dyDescent="0.25">
      <c r="A1721">
        <v>606</v>
      </c>
      <c r="B1721" s="3">
        <v>42004</v>
      </c>
      <c r="C1721" s="4">
        <v>221</v>
      </c>
      <c r="E1721">
        <v>606</v>
      </c>
      <c r="F1721" s="3">
        <v>42004</v>
      </c>
      <c r="G1721" t="s">
        <v>128</v>
      </c>
      <c r="H1721" s="18">
        <v>221</v>
      </c>
      <c r="J1721" s="20" t="str">
        <f t="shared" si="101"/>
        <v/>
      </c>
      <c r="K1721" t="str">
        <f t="shared" si="100"/>
        <v/>
      </c>
      <c r="L1721" s="4">
        <f t="shared" si="102"/>
        <v>0</v>
      </c>
    </row>
    <row r="1722" spans="1:12" x14ac:dyDescent="0.25">
      <c r="A1722">
        <v>607</v>
      </c>
      <c r="B1722" s="3">
        <v>42004</v>
      </c>
      <c r="C1722" s="4">
        <v>250</v>
      </c>
      <c r="E1722">
        <v>607</v>
      </c>
      <c r="F1722" s="3">
        <v>42004</v>
      </c>
      <c r="G1722" t="s">
        <v>39</v>
      </c>
      <c r="H1722" s="18">
        <v>250</v>
      </c>
      <c r="J1722" s="20" t="str">
        <f t="shared" si="101"/>
        <v/>
      </c>
      <c r="K1722" t="str">
        <f t="shared" si="100"/>
        <v/>
      </c>
      <c r="L1722" s="4">
        <f t="shared" si="102"/>
        <v>0</v>
      </c>
    </row>
    <row r="1723" spans="1:12" x14ac:dyDescent="0.25">
      <c r="A1723">
        <v>610</v>
      </c>
      <c r="B1723" s="3">
        <v>42004</v>
      </c>
      <c r="C1723" s="4">
        <v>91.67</v>
      </c>
      <c r="E1723">
        <v>610</v>
      </c>
      <c r="F1723" s="3">
        <v>42004</v>
      </c>
      <c r="G1723" t="s">
        <v>129</v>
      </c>
      <c r="H1723" s="18">
        <v>91.67</v>
      </c>
      <c r="J1723" s="20" t="str">
        <f t="shared" si="101"/>
        <v/>
      </c>
      <c r="K1723" t="str">
        <f t="shared" si="100"/>
        <v/>
      </c>
      <c r="L1723" s="4">
        <f t="shared" si="102"/>
        <v>0</v>
      </c>
    </row>
    <row r="1724" spans="1:12" x14ac:dyDescent="0.25">
      <c r="A1724">
        <v>616</v>
      </c>
      <c r="B1724" s="3">
        <v>42004</v>
      </c>
      <c r="C1724" s="4">
        <v>136</v>
      </c>
      <c r="E1724">
        <v>616</v>
      </c>
      <c r="F1724" s="3">
        <v>42004</v>
      </c>
      <c r="G1724" t="s">
        <v>40</v>
      </c>
      <c r="H1724" s="18">
        <v>136</v>
      </c>
      <c r="J1724" s="20" t="str">
        <f t="shared" si="101"/>
        <v/>
      </c>
      <c r="K1724" t="str">
        <f t="shared" si="100"/>
        <v/>
      </c>
      <c r="L1724" s="4">
        <f t="shared" si="102"/>
        <v>0</v>
      </c>
    </row>
    <row r="1725" spans="1:12" x14ac:dyDescent="0.25">
      <c r="A1725">
        <v>626</v>
      </c>
      <c r="B1725" s="3">
        <v>42004</v>
      </c>
      <c r="C1725" s="4">
        <v>654.5</v>
      </c>
      <c r="E1725">
        <v>626</v>
      </c>
      <c r="F1725" s="3">
        <v>42004</v>
      </c>
      <c r="G1725" t="s">
        <v>187</v>
      </c>
      <c r="H1725" s="18">
        <v>867</v>
      </c>
      <c r="J1725" s="20" t="str">
        <f t="shared" si="101"/>
        <v/>
      </c>
      <c r="K1725" t="str">
        <f t="shared" si="100"/>
        <v/>
      </c>
      <c r="L1725" s="4">
        <f t="shared" si="102"/>
        <v>-212.5</v>
      </c>
    </row>
    <row r="1726" spans="1:12" x14ac:dyDescent="0.25">
      <c r="A1726">
        <v>632</v>
      </c>
      <c r="B1726" s="3">
        <v>42004</v>
      </c>
      <c r="C1726" s="4">
        <v>750</v>
      </c>
      <c r="E1726">
        <v>632</v>
      </c>
      <c r="F1726" s="3">
        <v>42004</v>
      </c>
      <c r="G1726" t="s">
        <v>41</v>
      </c>
      <c r="H1726" s="18">
        <v>750</v>
      </c>
      <c r="J1726" s="20" t="str">
        <f t="shared" si="101"/>
        <v/>
      </c>
      <c r="K1726" t="str">
        <f t="shared" si="100"/>
        <v/>
      </c>
      <c r="L1726" s="4">
        <f t="shared" si="102"/>
        <v>0</v>
      </c>
    </row>
    <row r="1727" spans="1:12" x14ac:dyDescent="0.25">
      <c r="A1727">
        <v>657</v>
      </c>
      <c r="B1727" s="3">
        <v>42004</v>
      </c>
      <c r="C1727" s="4">
        <v>325</v>
      </c>
      <c r="E1727">
        <v>657</v>
      </c>
      <c r="F1727" s="3">
        <v>42004</v>
      </c>
      <c r="G1727" t="s">
        <v>131</v>
      </c>
      <c r="H1727" s="18">
        <v>325</v>
      </c>
      <c r="J1727" s="20" t="str">
        <f t="shared" si="101"/>
        <v/>
      </c>
      <c r="K1727" t="str">
        <f t="shared" si="100"/>
        <v/>
      </c>
      <c r="L1727" s="4">
        <f t="shared" si="102"/>
        <v>0</v>
      </c>
    </row>
    <row r="1728" spans="1:12" x14ac:dyDescent="0.25">
      <c r="A1728">
        <v>660</v>
      </c>
      <c r="B1728" s="3">
        <v>42004</v>
      </c>
      <c r="C1728" s="4">
        <v>357</v>
      </c>
      <c r="E1728">
        <v>660</v>
      </c>
      <c r="F1728" s="3">
        <v>42004</v>
      </c>
      <c r="G1728" t="s">
        <v>132</v>
      </c>
      <c r="H1728" s="18">
        <v>357</v>
      </c>
      <c r="J1728" s="20" t="str">
        <f t="shared" si="101"/>
        <v/>
      </c>
      <c r="K1728" t="str">
        <f t="shared" si="100"/>
        <v/>
      </c>
      <c r="L1728" s="4">
        <f t="shared" si="102"/>
        <v>0</v>
      </c>
    </row>
    <row r="1729" spans="1:12" x14ac:dyDescent="0.25">
      <c r="A1729">
        <v>661</v>
      </c>
      <c r="B1729" s="3">
        <v>42004</v>
      </c>
      <c r="C1729" s="4">
        <v>70.150000000000006</v>
      </c>
      <c r="E1729">
        <v>661</v>
      </c>
      <c r="F1729" s="3">
        <v>42004</v>
      </c>
      <c r="G1729" t="s">
        <v>188</v>
      </c>
      <c r="H1729" s="18">
        <v>70.150000000000006</v>
      </c>
      <c r="J1729" s="20" t="str">
        <f t="shared" si="101"/>
        <v/>
      </c>
      <c r="K1729" t="str">
        <f t="shared" si="100"/>
        <v/>
      </c>
      <c r="L1729" s="4">
        <f t="shared" si="102"/>
        <v>0</v>
      </c>
    </row>
    <row r="1730" spans="1:12" x14ac:dyDescent="0.25">
      <c r="A1730">
        <v>714</v>
      </c>
      <c r="B1730" s="3">
        <v>42004</v>
      </c>
      <c r="C1730" s="4">
        <v>500</v>
      </c>
      <c r="E1730">
        <v>714</v>
      </c>
      <c r="F1730" s="3">
        <v>42004</v>
      </c>
      <c r="G1730" t="s">
        <v>171</v>
      </c>
      <c r="H1730" s="18">
        <v>500</v>
      </c>
      <c r="J1730" s="20" t="str">
        <f t="shared" si="101"/>
        <v/>
      </c>
      <c r="K1730" t="str">
        <f t="shared" si="100"/>
        <v/>
      </c>
      <c r="L1730" s="4">
        <f t="shared" si="102"/>
        <v>0</v>
      </c>
    </row>
    <row r="1731" spans="1:12" x14ac:dyDescent="0.25">
      <c r="A1731">
        <v>771</v>
      </c>
      <c r="B1731" s="3">
        <v>42004</v>
      </c>
      <c r="C1731" s="4">
        <v>697</v>
      </c>
      <c r="E1731">
        <v>771</v>
      </c>
      <c r="F1731" s="3">
        <v>42004</v>
      </c>
      <c r="G1731" t="s">
        <v>57</v>
      </c>
      <c r="H1731" s="18">
        <v>697</v>
      </c>
      <c r="J1731" s="20" t="str">
        <f t="shared" si="101"/>
        <v/>
      </c>
      <c r="K1731" t="str">
        <f t="shared" ref="K1731:K1794" si="103">IF(F1731=B1731,"","CHECK")</f>
        <v/>
      </c>
      <c r="L1731" s="4">
        <f t="shared" si="102"/>
        <v>0</v>
      </c>
    </row>
    <row r="1732" spans="1:12" x14ac:dyDescent="0.25">
      <c r="A1732">
        <v>775</v>
      </c>
      <c r="B1732" s="3">
        <v>42004</v>
      </c>
      <c r="C1732" s="4">
        <v>138.66999999999999</v>
      </c>
      <c r="E1732">
        <v>775</v>
      </c>
      <c r="F1732" s="3">
        <v>42004</v>
      </c>
      <c r="G1732" t="s">
        <v>136</v>
      </c>
      <c r="H1732" s="18">
        <v>138.66999999999999</v>
      </c>
      <c r="J1732" s="20" t="str">
        <f t="shared" si="101"/>
        <v/>
      </c>
      <c r="K1732" t="str">
        <f t="shared" si="103"/>
        <v/>
      </c>
      <c r="L1732" s="4">
        <f t="shared" si="102"/>
        <v>0</v>
      </c>
    </row>
    <row r="1733" spans="1:12" x14ac:dyDescent="0.25">
      <c r="A1733">
        <v>852</v>
      </c>
      <c r="B1733" s="3">
        <v>42004</v>
      </c>
      <c r="C1733" s="4">
        <v>5000</v>
      </c>
      <c r="E1733">
        <v>852</v>
      </c>
      <c r="F1733" s="3">
        <v>42004</v>
      </c>
      <c r="G1733" t="s">
        <v>174</v>
      </c>
      <c r="H1733" s="18">
        <v>5000</v>
      </c>
      <c r="J1733" s="20" t="str">
        <f t="shared" si="101"/>
        <v/>
      </c>
      <c r="K1733" t="str">
        <f t="shared" si="103"/>
        <v/>
      </c>
      <c r="L1733" s="4">
        <f t="shared" si="102"/>
        <v>0</v>
      </c>
    </row>
    <row r="1734" spans="1:12" x14ac:dyDescent="0.25">
      <c r="A1734">
        <v>904</v>
      </c>
      <c r="B1734" s="3">
        <v>42004</v>
      </c>
      <c r="C1734" s="4">
        <v>5000</v>
      </c>
      <c r="E1734">
        <v>904</v>
      </c>
      <c r="F1734" s="3">
        <v>42004</v>
      </c>
      <c r="G1734" t="s">
        <v>214</v>
      </c>
      <c r="H1734" s="18">
        <v>5000</v>
      </c>
      <c r="J1734" s="20" t="str">
        <f t="shared" si="101"/>
        <v/>
      </c>
      <c r="K1734" t="str">
        <f t="shared" si="103"/>
        <v/>
      </c>
      <c r="L1734" s="4">
        <f t="shared" si="102"/>
        <v>0</v>
      </c>
    </row>
    <row r="1735" spans="1:12" x14ac:dyDescent="0.25">
      <c r="A1735">
        <v>389</v>
      </c>
      <c r="B1735" s="3">
        <v>42006</v>
      </c>
      <c r="C1735" s="4">
        <v>4835.18</v>
      </c>
      <c r="E1735">
        <v>389</v>
      </c>
      <c r="F1735" s="3">
        <v>42006</v>
      </c>
      <c r="G1735" t="s">
        <v>31</v>
      </c>
      <c r="H1735" s="18">
        <v>4835.2</v>
      </c>
      <c r="J1735" s="20" t="str">
        <f t="shared" si="101"/>
        <v/>
      </c>
      <c r="K1735" t="str">
        <f t="shared" si="103"/>
        <v/>
      </c>
      <c r="L1735" s="4">
        <f t="shared" si="102"/>
        <v>-1.9999999999527063E-2</v>
      </c>
    </row>
    <row r="1736" spans="1:12" x14ac:dyDescent="0.25">
      <c r="A1736">
        <v>37</v>
      </c>
      <c r="B1736" s="3">
        <v>42010</v>
      </c>
      <c r="C1736" s="4">
        <v>337.5</v>
      </c>
      <c r="E1736">
        <v>37</v>
      </c>
      <c r="F1736" s="3">
        <v>42010</v>
      </c>
      <c r="G1736" t="s">
        <v>77</v>
      </c>
      <c r="H1736" s="18">
        <v>337.5</v>
      </c>
      <c r="J1736" s="20" t="str">
        <f t="shared" si="101"/>
        <v/>
      </c>
      <c r="K1736" t="str">
        <f t="shared" si="103"/>
        <v/>
      </c>
      <c r="L1736" s="4">
        <f t="shared" si="102"/>
        <v>0</v>
      </c>
    </row>
    <row r="1737" spans="1:12" x14ac:dyDescent="0.25">
      <c r="A1737">
        <v>539</v>
      </c>
      <c r="B1737" s="3">
        <v>42010</v>
      </c>
      <c r="C1737" s="4">
        <v>728.19</v>
      </c>
      <c r="E1737">
        <v>539</v>
      </c>
      <c r="F1737" s="3">
        <v>42010</v>
      </c>
      <c r="G1737" t="s">
        <v>122</v>
      </c>
      <c r="H1737" s="18">
        <v>728.19</v>
      </c>
      <c r="J1737" s="20" t="str">
        <f t="shared" si="101"/>
        <v/>
      </c>
      <c r="K1737" t="str">
        <f t="shared" si="103"/>
        <v/>
      </c>
      <c r="L1737" s="4">
        <f t="shared" si="102"/>
        <v>0</v>
      </c>
    </row>
    <row r="1738" spans="1:12" x14ac:dyDescent="0.25">
      <c r="A1738">
        <v>690</v>
      </c>
      <c r="B1738" s="3">
        <v>42010</v>
      </c>
      <c r="C1738" s="4">
        <v>254.33</v>
      </c>
      <c r="E1738">
        <v>690</v>
      </c>
      <c r="F1738" s="3">
        <v>42010</v>
      </c>
      <c r="G1738" t="s">
        <v>48</v>
      </c>
      <c r="H1738" s="18">
        <v>254.33</v>
      </c>
      <c r="J1738" s="20" t="str">
        <f t="shared" si="101"/>
        <v/>
      </c>
      <c r="K1738" t="str">
        <f t="shared" si="103"/>
        <v/>
      </c>
      <c r="L1738" s="4">
        <f t="shared" si="102"/>
        <v>0</v>
      </c>
    </row>
    <row r="1739" spans="1:12" x14ac:dyDescent="0.25">
      <c r="A1739">
        <v>41</v>
      </c>
      <c r="B1739" s="3">
        <v>42013</v>
      </c>
      <c r="C1739" s="4">
        <v>3445.6</v>
      </c>
      <c r="E1739">
        <v>41</v>
      </c>
      <c r="F1739" s="3">
        <v>42013</v>
      </c>
      <c r="G1739" t="s">
        <v>10</v>
      </c>
      <c r="H1739" s="18">
        <v>3445.6</v>
      </c>
      <c r="J1739" s="20" t="str">
        <f t="shared" si="101"/>
        <v/>
      </c>
      <c r="K1739" t="str">
        <f t="shared" si="103"/>
        <v/>
      </c>
      <c r="L1739" s="4">
        <f t="shared" si="102"/>
        <v>0</v>
      </c>
    </row>
    <row r="1740" spans="1:12" x14ac:dyDescent="0.25">
      <c r="A1740">
        <v>55</v>
      </c>
      <c r="B1740" s="3">
        <v>42013</v>
      </c>
      <c r="C1740" s="4">
        <v>900</v>
      </c>
      <c r="E1740">
        <v>55</v>
      </c>
      <c r="F1740" s="3">
        <v>42013</v>
      </c>
      <c r="G1740" t="s">
        <v>195</v>
      </c>
      <c r="H1740" s="18">
        <v>425</v>
      </c>
      <c r="J1740" s="20" t="str">
        <f t="shared" si="101"/>
        <v/>
      </c>
      <c r="K1740" t="str">
        <f t="shared" si="103"/>
        <v/>
      </c>
      <c r="L1740" s="4">
        <f t="shared" si="102"/>
        <v>475</v>
      </c>
    </row>
    <row r="1741" spans="1:12" x14ac:dyDescent="0.25">
      <c r="A1741">
        <v>63</v>
      </c>
      <c r="B1741" s="3">
        <v>42013</v>
      </c>
      <c r="C1741" s="4">
        <v>364.75</v>
      </c>
      <c r="E1741">
        <v>63</v>
      </c>
      <c r="F1741" s="3">
        <v>42013</v>
      </c>
      <c r="G1741" t="s">
        <v>181</v>
      </c>
      <c r="H1741" s="18">
        <v>364.75</v>
      </c>
      <c r="J1741" s="20" t="str">
        <f t="shared" si="101"/>
        <v/>
      </c>
      <c r="K1741" t="str">
        <f t="shared" si="103"/>
        <v/>
      </c>
      <c r="L1741" s="4">
        <f t="shared" si="102"/>
        <v>0</v>
      </c>
    </row>
    <row r="1742" spans="1:12" x14ac:dyDescent="0.25">
      <c r="A1742">
        <v>77</v>
      </c>
      <c r="B1742" s="3">
        <v>42013</v>
      </c>
      <c r="C1742" s="4">
        <v>1550</v>
      </c>
      <c r="E1742">
        <v>77</v>
      </c>
      <c r="F1742" s="3">
        <v>42013</v>
      </c>
      <c r="G1742" t="s">
        <v>11</v>
      </c>
      <c r="H1742" s="18">
        <v>1550</v>
      </c>
      <c r="J1742" s="20" t="str">
        <f t="shared" si="101"/>
        <v/>
      </c>
      <c r="K1742" t="str">
        <f t="shared" si="103"/>
        <v/>
      </c>
      <c r="L1742" s="4">
        <f t="shared" si="102"/>
        <v>0</v>
      </c>
    </row>
    <row r="1743" spans="1:12" x14ac:dyDescent="0.25">
      <c r="A1743">
        <v>85</v>
      </c>
      <c r="B1743" s="3">
        <v>42013</v>
      </c>
      <c r="C1743" s="4">
        <v>2745.25</v>
      </c>
      <c r="E1743">
        <v>85</v>
      </c>
      <c r="F1743" s="3">
        <v>42013</v>
      </c>
      <c r="G1743" t="s">
        <v>79</v>
      </c>
      <c r="H1743" s="18">
        <v>2745.25</v>
      </c>
      <c r="J1743" s="20" t="str">
        <f t="shared" si="101"/>
        <v/>
      </c>
      <c r="K1743" t="str">
        <f t="shared" si="103"/>
        <v/>
      </c>
      <c r="L1743" s="4">
        <f t="shared" si="102"/>
        <v>0</v>
      </c>
    </row>
    <row r="1744" spans="1:12" x14ac:dyDescent="0.25">
      <c r="A1744">
        <v>109</v>
      </c>
      <c r="B1744" s="3">
        <v>42013</v>
      </c>
      <c r="C1744" s="4">
        <v>404</v>
      </c>
      <c r="E1744">
        <v>109</v>
      </c>
      <c r="F1744" s="3">
        <v>42013</v>
      </c>
      <c r="G1744" t="s">
        <v>82</v>
      </c>
      <c r="H1744" s="18">
        <v>404</v>
      </c>
      <c r="J1744" s="20" t="str">
        <f t="shared" si="101"/>
        <v/>
      </c>
      <c r="K1744" t="str">
        <f t="shared" si="103"/>
        <v/>
      </c>
      <c r="L1744" s="4">
        <f t="shared" si="102"/>
        <v>0</v>
      </c>
    </row>
    <row r="1745" spans="1:12" x14ac:dyDescent="0.25">
      <c r="A1745">
        <v>133</v>
      </c>
      <c r="B1745" s="3">
        <v>42013</v>
      </c>
      <c r="C1745" s="4">
        <v>924.38</v>
      </c>
      <c r="E1745">
        <v>133</v>
      </c>
      <c r="F1745" s="3">
        <v>42013</v>
      </c>
      <c r="G1745" t="s">
        <v>87</v>
      </c>
      <c r="H1745" s="18">
        <v>924.38</v>
      </c>
      <c r="J1745" s="20" t="str">
        <f t="shared" si="101"/>
        <v/>
      </c>
      <c r="K1745" t="str">
        <f t="shared" si="103"/>
        <v/>
      </c>
      <c r="L1745" s="4">
        <f t="shared" si="102"/>
        <v>0</v>
      </c>
    </row>
    <row r="1746" spans="1:12" x14ac:dyDescent="0.25">
      <c r="A1746">
        <v>138</v>
      </c>
      <c r="B1746" s="3">
        <v>42013</v>
      </c>
      <c r="C1746" s="4">
        <v>2</v>
      </c>
      <c r="E1746">
        <v>138</v>
      </c>
      <c r="F1746" s="3">
        <v>42013</v>
      </c>
      <c r="G1746" t="s">
        <v>16</v>
      </c>
      <c r="H1746" s="18">
        <v>2</v>
      </c>
      <c r="J1746" s="20" t="str">
        <f t="shared" si="101"/>
        <v/>
      </c>
      <c r="K1746" t="str">
        <f t="shared" si="103"/>
        <v/>
      </c>
      <c r="L1746" s="4">
        <f t="shared" si="102"/>
        <v>0</v>
      </c>
    </row>
    <row r="1747" spans="1:12" x14ac:dyDescent="0.25">
      <c r="A1747">
        <v>141</v>
      </c>
      <c r="B1747" s="3">
        <v>42013</v>
      </c>
      <c r="C1747" s="4">
        <v>51</v>
      </c>
      <c r="E1747">
        <v>141</v>
      </c>
      <c r="F1747" s="3">
        <v>42013</v>
      </c>
      <c r="G1747" t="s">
        <v>196</v>
      </c>
      <c r="H1747" s="18">
        <v>51</v>
      </c>
      <c r="J1747" s="20" t="str">
        <f t="shared" si="101"/>
        <v/>
      </c>
      <c r="K1747" t="str">
        <f t="shared" si="103"/>
        <v/>
      </c>
      <c r="L1747" s="4">
        <f t="shared" si="102"/>
        <v>0</v>
      </c>
    </row>
    <row r="1748" spans="1:12" x14ac:dyDescent="0.25">
      <c r="A1748">
        <v>179</v>
      </c>
      <c r="B1748" s="3">
        <v>42013</v>
      </c>
      <c r="C1748" s="4">
        <v>584</v>
      </c>
      <c r="E1748">
        <v>179</v>
      </c>
      <c r="F1748" s="3">
        <v>42013</v>
      </c>
      <c r="G1748" t="s">
        <v>197</v>
      </c>
      <c r="H1748" s="18">
        <v>584</v>
      </c>
      <c r="J1748" s="20" t="str">
        <f t="shared" si="101"/>
        <v/>
      </c>
      <c r="K1748" t="str">
        <f t="shared" si="103"/>
        <v/>
      </c>
      <c r="L1748" s="4">
        <f t="shared" si="102"/>
        <v>0</v>
      </c>
    </row>
    <row r="1749" spans="1:12" x14ac:dyDescent="0.25">
      <c r="A1749">
        <v>203</v>
      </c>
      <c r="B1749" s="3">
        <v>42013</v>
      </c>
      <c r="C1749" s="4">
        <v>123.73</v>
      </c>
      <c r="E1749">
        <v>203</v>
      </c>
      <c r="F1749" s="3">
        <v>42013</v>
      </c>
      <c r="G1749" t="s">
        <v>95</v>
      </c>
      <c r="H1749" s="18">
        <v>123.73</v>
      </c>
      <c r="J1749" s="20" t="str">
        <f t="shared" si="101"/>
        <v/>
      </c>
      <c r="K1749" t="str">
        <f t="shared" si="103"/>
        <v/>
      </c>
      <c r="L1749" s="4">
        <f t="shared" si="102"/>
        <v>0</v>
      </c>
    </row>
    <row r="1750" spans="1:12" x14ac:dyDescent="0.25">
      <c r="A1750">
        <v>211</v>
      </c>
      <c r="B1750" s="3">
        <v>42013</v>
      </c>
      <c r="C1750" s="4">
        <v>550</v>
      </c>
      <c r="E1750">
        <v>211</v>
      </c>
      <c r="F1750" s="3">
        <v>42013</v>
      </c>
      <c r="G1750" t="s">
        <v>96</v>
      </c>
      <c r="H1750" s="18">
        <v>550</v>
      </c>
      <c r="J1750" s="20" t="str">
        <f t="shared" si="101"/>
        <v/>
      </c>
      <c r="K1750" t="str">
        <f t="shared" si="103"/>
        <v/>
      </c>
      <c r="L1750" s="4">
        <f t="shared" si="102"/>
        <v>0</v>
      </c>
    </row>
    <row r="1751" spans="1:12" x14ac:dyDescent="0.25">
      <c r="A1751">
        <v>261</v>
      </c>
      <c r="B1751" s="3">
        <v>42013</v>
      </c>
      <c r="C1751" s="4">
        <v>2968.25</v>
      </c>
      <c r="E1751">
        <v>261</v>
      </c>
      <c r="F1751" s="3">
        <v>42013</v>
      </c>
      <c r="G1751" t="s">
        <v>22</v>
      </c>
      <c r="H1751" s="18">
        <v>2968.25</v>
      </c>
      <c r="J1751" s="20" t="str">
        <f t="shared" si="101"/>
        <v/>
      </c>
      <c r="K1751" t="str">
        <f t="shared" si="103"/>
        <v/>
      </c>
      <c r="L1751" s="4">
        <f t="shared" si="102"/>
        <v>0</v>
      </c>
    </row>
    <row r="1752" spans="1:12" x14ac:dyDescent="0.25">
      <c r="A1752">
        <v>268</v>
      </c>
      <c r="B1752" s="3">
        <v>42013</v>
      </c>
      <c r="C1752" s="4">
        <v>1430.75</v>
      </c>
      <c r="E1752">
        <v>268</v>
      </c>
      <c r="F1752" s="3">
        <v>42013</v>
      </c>
      <c r="G1752" t="s">
        <v>162</v>
      </c>
      <c r="H1752" s="18">
        <v>1430.75</v>
      </c>
      <c r="J1752" s="20" t="str">
        <f t="shared" si="101"/>
        <v/>
      </c>
      <c r="K1752" t="str">
        <f t="shared" si="103"/>
        <v/>
      </c>
      <c r="L1752" s="4">
        <f t="shared" si="102"/>
        <v>0</v>
      </c>
    </row>
    <row r="1753" spans="1:12" x14ac:dyDescent="0.25">
      <c r="A1753">
        <v>282</v>
      </c>
      <c r="B1753" s="3">
        <v>42013</v>
      </c>
      <c r="C1753" s="4">
        <v>1475</v>
      </c>
      <c r="E1753">
        <v>282</v>
      </c>
      <c r="F1753" s="3">
        <v>42013</v>
      </c>
      <c r="G1753" t="s">
        <v>23</v>
      </c>
      <c r="H1753" s="18">
        <v>1475</v>
      </c>
      <c r="J1753" s="20" t="str">
        <f t="shared" si="101"/>
        <v/>
      </c>
      <c r="K1753" t="str">
        <f t="shared" si="103"/>
        <v/>
      </c>
      <c r="L1753" s="4">
        <f t="shared" si="102"/>
        <v>0</v>
      </c>
    </row>
    <row r="1754" spans="1:12" x14ac:dyDescent="0.25">
      <c r="A1754">
        <v>321</v>
      </c>
      <c r="B1754" s="3">
        <v>42013</v>
      </c>
      <c r="C1754" s="4">
        <v>303.64</v>
      </c>
      <c r="E1754">
        <v>321</v>
      </c>
      <c r="F1754" s="3">
        <v>42013</v>
      </c>
      <c r="G1754" t="s">
        <v>105</v>
      </c>
      <c r="H1754" s="18">
        <v>521.80999999999995</v>
      </c>
      <c r="J1754" s="20" t="str">
        <f t="shared" si="101"/>
        <v/>
      </c>
      <c r="K1754" t="str">
        <f t="shared" si="103"/>
        <v/>
      </c>
      <c r="L1754" s="4">
        <f t="shared" si="102"/>
        <v>-218.16999999999996</v>
      </c>
    </row>
    <row r="1755" spans="1:12" x14ac:dyDescent="0.25">
      <c r="A1755">
        <v>322</v>
      </c>
      <c r="B1755" s="3">
        <v>42013</v>
      </c>
      <c r="C1755" s="4">
        <v>765</v>
      </c>
      <c r="E1755">
        <v>322</v>
      </c>
      <c r="F1755" s="3">
        <v>42013</v>
      </c>
      <c r="G1755" t="s">
        <v>198</v>
      </c>
      <c r="H1755" s="18">
        <v>765</v>
      </c>
      <c r="J1755" s="20" t="str">
        <f t="shared" si="101"/>
        <v/>
      </c>
      <c r="K1755" t="str">
        <f t="shared" si="103"/>
        <v/>
      </c>
      <c r="L1755" s="4">
        <f t="shared" si="102"/>
        <v>0</v>
      </c>
    </row>
    <row r="1756" spans="1:12" x14ac:dyDescent="0.25">
      <c r="A1756">
        <v>326</v>
      </c>
      <c r="B1756" s="3">
        <v>42013</v>
      </c>
      <c r="C1756" s="4">
        <v>1817.95</v>
      </c>
      <c r="E1756">
        <v>326</v>
      </c>
      <c r="F1756" s="3">
        <v>42013</v>
      </c>
      <c r="G1756" t="s">
        <v>25</v>
      </c>
      <c r="H1756" s="18">
        <v>1817.96</v>
      </c>
      <c r="J1756" s="20" t="str">
        <f t="shared" si="101"/>
        <v/>
      </c>
      <c r="K1756" t="str">
        <f t="shared" si="103"/>
        <v/>
      </c>
      <c r="L1756" s="4">
        <f t="shared" si="102"/>
        <v>-9.9999999999909051E-3</v>
      </c>
    </row>
    <row r="1757" spans="1:12" x14ac:dyDescent="0.25">
      <c r="A1757">
        <v>329</v>
      </c>
      <c r="B1757" s="3">
        <v>42013</v>
      </c>
      <c r="C1757" s="4">
        <v>683.5</v>
      </c>
      <c r="E1757">
        <v>329</v>
      </c>
      <c r="F1757" s="3">
        <v>42013</v>
      </c>
      <c r="G1757" t="s">
        <v>199</v>
      </c>
      <c r="H1757" s="18">
        <v>683.5</v>
      </c>
      <c r="J1757" s="20" t="str">
        <f t="shared" si="101"/>
        <v/>
      </c>
      <c r="K1757" t="str">
        <f t="shared" si="103"/>
        <v/>
      </c>
      <c r="L1757" s="4">
        <f t="shared" si="102"/>
        <v>0</v>
      </c>
    </row>
    <row r="1758" spans="1:12" x14ac:dyDescent="0.25">
      <c r="A1758">
        <v>332</v>
      </c>
      <c r="B1758" s="3">
        <v>42013</v>
      </c>
      <c r="C1758" s="4">
        <v>1735</v>
      </c>
      <c r="E1758">
        <v>332</v>
      </c>
      <c r="F1758" s="3">
        <v>42013</v>
      </c>
      <c r="G1758" t="s">
        <v>27</v>
      </c>
      <c r="H1758" s="18">
        <v>1735</v>
      </c>
      <c r="J1758" s="20" t="str">
        <f t="shared" si="101"/>
        <v/>
      </c>
      <c r="K1758" t="str">
        <f t="shared" si="103"/>
        <v/>
      </c>
      <c r="L1758" s="4">
        <f t="shared" si="102"/>
        <v>0</v>
      </c>
    </row>
    <row r="1759" spans="1:12" x14ac:dyDescent="0.25">
      <c r="A1759">
        <v>343</v>
      </c>
      <c r="B1759" s="3">
        <v>42013</v>
      </c>
      <c r="C1759" s="4">
        <v>1038</v>
      </c>
      <c r="E1759">
        <v>343</v>
      </c>
      <c r="F1759" s="3">
        <v>42013</v>
      </c>
      <c r="G1759" t="s">
        <v>28</v>
      </c>
      <c r="H1759" s="18">
        <v>1038</v>
      </c>
      <c r="J1759" s="20" t="str">
        <f t="shared" si="101"/>
        <v/>
      </c>
      <c r="K1759" t="str">
        <f t="shared" si="103"/>
        <v/>
      </c>
      <c r="L1759" s="4">
        <f t="shared" si="102"/>
        <v>0</v>
      </c>
    </row>
    <row r="1760" spans="1:12" x14ac:dyDescent="0.25">
      <c r="A1760">
        <v>358</v>
      </c>
      <c r="B1760" s="3">
        <v>42013</v>
      </c>
      <c r="C1760" s="4">
        <v>1515.07</v>
      </c>
      <c r="E1760">
        <v>358</v>
      </c>
      <c r="F1760" s="3">
        <v>42013</v>
      </c>
      <c r="G1760" t="s">
        <v>179</v>
      </c>
      <c r="H1760" s="18">
        <v>750.07</v>
      </c>
      <c r="J1760" s="20" t="str">
        <f t="shared" si="101"/>
        <v/>
      </c>
      <c r="K1760" t="str">
        <f t="shared" si="103"/>
        <v/>
      </c>
      <c r="L1760" s="4">
        <f t="shared" si="102"/>
        <v>764.99999999999989</v>
      </c>
    </row>
    <row r="1761" spans="1:12" x14ac:dyDescent="0.25">
      <c r="A1761">
        <v>365</v>
      </c>
      <c r="B1761" s="3">
        <v>42013</v>
      </c>
      <c r="C1761" s="4">
        <v>2019</v>
      </c>
      <c r="E1761">
        <v>365</v>
      </c>
      <c r="F1761" s="3">
        <v>42013</v>
      </c>
      <c r="G1761" t="s">
        <v>29</v>
      </c>
      <c r="H1761" s="18">
        <v>2019</v>
      </c>
      <c r="J1761" s="20" t="str">
        <f t="shared" si="101"/>
        <v/>
      </c>
      <c r="K1761" t="str">
        <f t="shared" si="103"/>
        <v/>
      </c>
      <c r="L1761" s="4">
        <f t="shared" si="102"/>
        <v>0</v>
      </c>
    </row>
    <row r="1762" spans="1:12" x14ac:dyDescent="0.25">
      <c r="A1762">
        <v>382</v>
      </c>
      <c r="B1762" s="3">
        <v>42013</v>
      </c>
      <c r="C1762" s="4">
        <v>525</v>
      </c>
      <c r="E1762">
        <v>382</v>
      </c>
      <c r="F1762" s="3">
        <v>42013</v>
      </c>
      <c r="G1762" t="s">
        <v>164</v>
      </c>
      <c r="H1762" s="18">
        <v>525</v>
      </c>
      <c r="J1762" s="20" t="str">
        <f t="shared" si="101"/>
        <v/>
      </c>
      <c r="K1762" t="str">
        <f t="shared" si="103"/>
        <v/>
      </c>
      <c r="L1762" s="4">
        <f t="shared" si="102"/>
        <v>0</v>
      </c>
    </row>
    <row r="1763" spans="1:12" x14ac:dyDescent="0.25">
      <c r="A1763">
        <v>389</v>
      </c>
      <c r="B1763" s="3">
        <v>42013</v>
      </c>
      <c r="C1763" s="4">
        <v>1000</v>
      </c>
      <c r="E1763">
        <v>389</v>
      </c>
      <c r="F1763" s="3">
        <v>42013</v>
      </c>
      <c r="G1763" t="s">
        <v>31</v>
      </c>
      <c r="H1763" s="18">
        <v>1000</v>
      </c>
      <c r="J1763" s="20" t="str">
        <f t="shared" si="101"/>
        <v/>
      </c>
      <c r="K1763" t="str">
        <f t="shared" si="103"/>
        <v/>
      </c>
      <c r="L1763" s="4">
        <f t="shared" si="102"/>
        <v>0</v>
      </c>
    </row>
    <row r="1764" spans="1:12" x14ac:dyDescent="0.25">
      <c r="A1764">
        <v>392</v>
      </c>
      <c r="B1764" s="3">
        <v>42013</v>
      </c>
      <c r="C1764" s="4">
        <v>572</v>
      </c>
      <c r="E1764">
        <v>392</v>
      </c>
      <c r="F1764" s="3">
        <v>42013</v>
      </c>
      <c r="G1764" t="s">
        <v>111</v>
      </c>
      <c r="H1764" s="18">
        <v>572</v>
      </c>
      <c r="J1764" s="20" t="str">
        <f t="shared" si="101"/>
        <v/>
      </c>
      <c r="K1764" t="str">
        <f t="shared" si="103"/>
        <v/>
      </c>
      <c r="L1764" s="4">
        <f t="shared" si="102"/>
        <v>0</v>
      </c>
    </row>
    <row r="1765" spans="1:12" x14ac:dyDescent="0.25">
      <c r="A1765">
        <v>401</v>
      </c>
      <c r="B1765" s="3">
        <v>42013</v>
      </c>
      <c r="C1765" s="4">
        <v>675</v>
      </c>
      <c r="E1765">
        <v>401</v>
      </c>
      <c r="F1765" s="3">
        <v>42013</v>
      </c>
      <c r="G1765" t="s">
        <v>184</v>
      </c>
      <c r="H1765" s="18">
        <v>675</v>
      </c>
      <c r="J1765" s="20" t="str">
        <f t="shared" si="101"/>
        <v/>
      </c>
      <c r="K1765" t="str">
        <f t="shared" si="103"/>
        <v/>
      </c>
      <c r="L1765" s="4">
        <f t="shared" si="102"/>
        <v>0</v>
      </c>
    </row>
    <row r="1766" spans="1:12" x14ac:dyDescent="0.25">
      <c r="A1766">
        <v>405</v>
      </c>
      <c r="B1766" s="3">
        <v>42013</v>
      </c>
      <c r="C1766" s="4">
        <v>1237.5</v>
      </c>
      <c r="E1766">
        <v>405</v>
      </c>
      <c r="F1766" s="3">
        <v>42013</v>
      </c>
      <c r="G1766" t="s">
        <v>112</v>
      </c>
      <c r="H1766" s="18">
        <v>1237.5</v>
      </c>
      <c r="J1766" s="20" t="str">
        <f t="shared" si="101"/>
        <v/>
      </c>
      <c r="K1766" t="str">
        <f t="shared" si="103"/>
        <v/>
      </c>
      <c r="L1766" s="4">
        <f t="shared" si="102"/>
        <v>0</v>
      </c>
    </row>
    <row r="1767" spans="1:12" x14ac:dyDescent="0.25">
      <c r="A1767">
        <v>422</v>
      </c>
      <c r="B1767" s="3">
        <v>42013</v>
      </c>
      <c r="C1767" s="4">
        <v>2213.75</v>
      </c>
      <c r="E1767">
        <v>422</v>
      </c>
      <c r="F1767" s="3">
        <v>42013</v>
      </c>
      <c r="G1767" t="s">
        <v>165</v>
      </c>
      <c r="H1767" s="18">
        <v>2213.75</v>
      </c>
      <c r="J1767" s="20" t="str">
        <f t="shared" si="101"/>
        <v/>
      </c>
      <c r="K1767" t="str">
        <f t="shared" si="103"/>
        <v/>
      </c>
      <c r="L1767" s="4">
        <f t="shared" si="102"/>
        <v>0</v>
      </c>
    </row>
    <row r="1768" spans="1:12" x14ac:dyDescent="0.25">
      <c r="A1768">
        <v>438</v>
      </c>
      <c r="B1768" s="3">
        <v>42013</v>
      </c>
      <c r="C1768" s="4">
        <v>1878</v>
      </c>
      <c r="E1768">
        <v>438</v>
      </c>
      <c r="F1768" s="3">
        <v>42013</v>
      </c>
      <c r="G1768" t="s">
        <v>115</v>
      </c>
      <c r="H1768" s="18">
        <v>1878</v>
      </c>
      <c r="J1768" s="20" t="str">
        <f t="shared" si="101"/>
        <v/>
      </c>
      <c r="K1768" t="str">
        <f t="shared" si="103"/>
        <v/>
      </c>
      <c r="L1768" s="4">
        <f t="shared" si="102"/>
        <v>0</v>
      </c>
    </row>
    <row r="1769" spans="1:12" x14ac:dyDescent="0.25">
      <c r="A1769">
        <v>464</v>
      </c>
      <c r="B1769" s="3">
        <v>42013</v>
      </c>
      <c r="C1769" s="4">
        <v>918</v>
      </c>
      <c r="E1769">
        <v>464</v>
      </c>
      <c r="F1769" s="3">
        <v>42013</v>
      </c>
      <c r="G1769" t="s">
        <v>118</v>
      </c>
      <c r="H1769" s="18">
        <v>918</v>
      </c>
      <c r="J1769" s="20" t="str">
        <f t="shared" si="101"/>
        <v/>
      </c>
      <c r="K1769" t="str">
        <f t="shared" si="103"/>
        <v/>
      </c>
      <c r="L1769" s="4">
        <f t="shared" si="102"/>
        <v>0</v>
      </c>
    </row>
    <row r="1770" spans="1:12" x14ac:dyDescent="0.25">
      <c r="A1770">
        <v>468</v>
      </c>
      <c r="B1770" s="3">
        <v>42013</v>
      </c>
      <c r="C1770" s="4">
        <v>4403</v>
      </c>
      <c r="E1770">
        <v>468</v>
      </c>
      <c r="F1770" s="3">
        <v>42013</v>
      </c>
      <c r="H1770" s="18">
        <v>4403</v>
      </c>
      <c r="J1770" s="20" t="str">
        <f t="shared" si="101"/>
        <v/>
      </c>
      <c r="K1770" t="str">
        <f t="shared" si="103"/>
        <v/>
      </c>
      <c r="L1770" s="4">
        <f t="shared" si="102"/>
        <v>0</v>
      </c>
    </row>
    <row r="1771" spans="1:12" x14ac:dyDescent="0.25">
      <c r="A1771">
        <v>475</v>
      </c>
      <c r="B1771" s="3">
        <v>42013</v>
      </c>
      <c r="C1771" s="4">
        <v>1412.5</v>
      </c>
      <c r="E1771">
        <v>475</v>
      </c>
      <c r="F1771" s="3">
        <v>42013</v>
      </c>
      <c r="G1771" t="s">
        <v>120</v>
      </c>
      <c r="H1771" s="18">
        <v>1412.5</v>
      </c>
      <c r="J1771" s="20" t="str">
        <f t="shared" si="101"/>
        <v/>
      </c>
      <c r="K1771" t="str">
        <f t="shared" si="103"/>
        <v/>
      </c>
      <c r="L1771" s="4">
        <f t="shared" si="102"/>
        <v>0</v>
      </c>
    </row>
    <row r="1772" spans="1:12" x14ac:dyDescent="0.25">
      <c r="A1772">
        <v>499</v>
      </c>
      <c r="B1772" s="3">
        <v>42013</v>
      </c>
      <c r="C1772" s="4">
        <v>415.75</v>
      </c>
      <c r="E1772">
        <v>499</v>
      </c>
      <c r="F1772" s="3">
        <v>42013</v>
      </c>
      <c r="G1772" t="s">
        <v>200</v>
      </c>
      <c r="H1772" s="18">
        <v>415.75</v>
      </c>
      <c r="J1772" s="20" t="str">
        <f t="shared" si="101"/>
        <v/>
      </c>
      <c r="K1772" t="str">
        <f t="shared" si="103"/>
        <v/>
      </c>
      <c r="L1772" s="4">
        <f t="shared" si="102"/>
        <v>0</v>
      </c>
    </row>
    <row r="1773" spans="1:12" x14ac:dyDescent="0.25">
      <c r="A1773">
        <v>551</v>
      </c>
      <c r="B1773" s="3">
        <v>42013</v>
      </c>
      <c r="C1773" s="4">
        <v>287.5</v>
      </c>
      <c r="E1773">
        <v>551</v>
      </c>
      <c r="F1773" s="3">
        <v>42013</v>
      </c>
      <c r="G1773" t="s">
        <v>166</v>
      </c>
      <c r="H1773" s="18">
        <v>287.5</v>
      </c>
      <c r="J1773" s="20" t="str">
        <f t="shared" si="101"/>
        <v/>
      </c>
      <c r="K1773" t="str">
        <f t="shared" si="103"/>
        <v/>
      </c>
      <c r="L1773" s="4">
        <f t="shared" si="102"/>
        <v>0</v>
      </c>
    </row>
    <row r="1774" spans="1:12" x14ac:dyDescent="0.25">
      <c r="A1774">
        <v>606</v>
      </c>
      <c r="B1774" s="3">
        <v>42013</v>
      </c>
      <c r="C1774" s="4">
        <v>536.5</v>
      </c>
      <c r="E1774">
        <v>606</v>
      </c>
      <c r="F1774" s="3">
        <v>42013</v>
      </c>
      <c r="G1774" t="s">
        <v>128</v>
      </c>
      <c r="H1774" s="18">
        <v>536.5</v>
      </c>
      <c r="J1774" s="20" t="str">
        <f t="shared" si="101"/>
        <v/>
      </c>
      <c r="K1774" t="str">
        <f t="shared" si="103"/>
        <v/>
      </c>
      <c r="L1774" s="4">
        <f t="shared" si="102"/>
        <v>0</v>
      </c>
    </row>
    <row r="1775" spans="1:12" x14ac:dyDescent="0.25">
      <c r="A1775">
        <v>607</v>
      </c>
      <c r="B1775" s="3">
        <v>42013</v>
      </c>
      <c r="C1775" s="4">
        <v>500</v>
      </c>
      <c r="E1775">
        <v>607</v>
      </c>
      <c r="F1775" s="3">
        <v>42013</v>
      </c>
      <c r="G1775" t="s">
        <v>39</v>
      </c>
      <c r="H1775" s="18">
        <v>500</v>
      </c>
      <c r="J1775" s="20" t="str">
        <f t="shared" si="101"/>
        <v/>
      </c>
      <c r="K1775" t="str">
        <f t="shared" si="103"/>
        <v/>
      </c>
      <c r="L1775" s="4">
        <f t="shared" si="102"/>
        <v>0</v>
      </c>
    </row>
    <row r="1776" spans="1:12" x14ac:dyDescent="0.25">
      <c r="A1776">
        <v>615</v>
      </c>
      <c r="B1776" s="3">
        <v>42013</v>
      </c>
      <c r="C1776" s="4">
        <v>1552.75</v>
      </c>
      <c r="E1776">
        <v>615</v>
      </c>
      <c r="F1776" s="3">
        <v>42013</v>
      </c>
      <c r="G1776" t="s">
        <v>201</v>
      </c>
      <c r="H1776" s="18">
        <v>1552.75</v>
      </c>
      <c r="J1776" s="20" t="str">
        <f t="shared" si="101"/>
        <v/>
      </c>
      <c r="K1776" t="str">
        <f t="shared" si="103"/>
        <v/>
      </c>
      <c r="L1776" s="4">
        <f t="shared" si="102"/>
        <v>0</v>
      </c>
    </row>
    <row r="1777" spans="1:12" x14ac:dyDescent="0.25">
      <c r="A1777">
        <v>626</v>
      </c>
      <c r="B1777" s="3">
        <v>42013</v>
      </c>
      <c r="C1777" s="4">
        <v>1091.5</v>
      </c>
      <c r="E1777">
        <v>626</v>
      </c>
      <c r="F1777" s="3">
        <v>42013</v>
      </c>
      <c r="G1777" t="s">
        <v>187</v>
      </c>
      <c r="H1777" s="18">
        <v>1091.5</v>
      </c>
      <c r="J1777" s="20" t="str">
        <f t="shared" si="101"/>
        <v/>
      </c>
      <c r="K1777" t="str">
        <f t="shared" si="103"/>
        <v/>
      </c>
      <c r="L1777" s="4">
        <f t="shared" si="102"/>
        <v>0</v>
      </c>
    </row>
    <row r="1778" spans="1:12" x14ac:dyDescent="0.25">
      <c r="A1778">
        <v>631</v>
      </c>
      <c r="B1778" s="3">
        <v>42013</v>
      </c>
      <c r="C1778" s="4">
        <v>918</v>
      </c>
      <c r="E1778">
        <v>631</v>
      </c>
      <c r="F1778" s="3">
        <v>42013</v>
      </c>
      <c r="G1778" t="s">
        <v>202</v>
      </c>
      <c r="H1778" s="18">
        <v>918</v>
      </c>
      <c r="J1778" s="20" t="str">
        <f t="shared" si="101"/>
        <v/>
      </c>
      <c r="K1778" t="str">
        <f t="shared" si="103"/>
        <v/>
      </c>
      <c r="L1778" s="4">
        <f t="shared" si="102"/>
        <v>0</v>
      </c>
    </row>
    <row r="1779" spans="1:12" x14ac:dyDescent="0.25">
      <c r="A1779">
        <v>632</v>
      </c>
      <c r="B1779" s="3">
        <v>42013</v>
      </c>
      <c r="C1779" s="4">
        <v>2312.5</v>
      </c>
      <c r="E1779">
        <v>632</v>
      </c>
      <c r="F1779" s="3">
        <v>42013</v>
      </c>
      <c r="G1779" t="s">
        <v>41</v>
      </c>
      <c r="H1779" s="18">
        <v>2312.5</v>
      </c>
      <c r="J1779" s="20" t="str">
        <f t="shared" si="101"/>
        <v/>
      </c>
      <c r="K1779" t="str">
        <f t="shared" si="103"/>
        <v/>
      </c>
      <c r="L1779" s="4">
        <f t="shared" si="102"/>
        <v>0</v>
      </c>
    </row>
    <row r="1780" spans="1:12" x14ac:dyDescent="0.25">
      <c r="A1780">
        <v>646</v>
      </c>
      <c r="B1780" s="3">
        <v>42013</v>
      </c>
      <c r="C1780" s="4">
        <v>250</v>
      </c>
      <c r="E1780">
        <v>646</v>
      </c>
      <c r="F1780" s="3">
        <v>42013</v>
      </c>
      <c r="G1780" t="s">
        <v>203</v>
      </c>
      <c r="H1780" s="18">
        <v>250</v>
      </c>
      <c r="J1780" s="20" t="str">
        <f t="shared" ref="J1780:J1843" si="104">IF(E1780=A1780,"","CHECK")</f>
        <v/>
      </c>
      <c r="K1780" t="str">
        <f t="shared" si="103"/>
        <v/>
      </c>
      <c r="L1780" s="4">
        <f t="shared" ref="L1780:L1843" si="105">C1780-H1780</f>
        <v>0</v>
      </c>
    </row>
    <row r="1781" spans="1:12" x14ac:dyDescent="0.25">
      <c r="A1781">
        <v>648</v>
      </c>
      <c r="B1781" s="3">
        <v>42013</v>
      </c>
      <c r="C1781" s="4">
        <v>2012.5</v>
      </c>
      <c r="E1781">
        <v>648</v>
      </c>
      <c r="F1781" s="3">
        <v>42013</v>
      </c>
      <c r="G1781" t="s">
        <v>42</v>
      </c>
      <c r="H1781" s="18">
        <v>2012.5</v>
      </c>
      <c r="J1781" s="20" t="str">
        <f t="shared" si="104"/>
        <v/>
      </c>
      <c r="K1781" t="str">
        <f t="shared" si="103"/>
        <v/>
      </c>
      <c r="L1781" s="4">
        <f t="shared" si="105"/>
        <v>0</v>
      </c>
    </row>
    <row r="1782" spans="1:12" x14ac:dyDescent="0.25">
      <c r="A1782">
        <v>672</v>
      </c>
      <c r="B1782" s="3">
        <v>42013</v>
      </c>
      <c r="C1782" s="4">
        <v>1250</v>
      </c>
      <c r="E1782">
        <v>672</v>
      </c>
      <c r="F1782" s="3">
        <v>42013</v>
      </c>
      <c r="G1782" t="s">
        <v>168</v>
      </c>
      <c r="H1782" s="18">
        <v>1250</v>
      </c>
      <c r="J1782" s="20" t="str">
        <f t="shared" si="104"/>
        <v/>
      </c>
      <c r="K1782" t="str">
        <f t="shared" si="103"/>
        <v/>
      </c>
      <c r="L1782" s="4">
        <f t="shared" si="105"/>
        <v>0</v>
      </c>
    </row>
    <row r="1783" spans="1:12" x14ac:dyDescent="0.25">
      <c r="A1783">
        <v>679</v>
      </c>
      <c r="B1783" s="3">
        <v>42013</v>
      </c>
      <c r="C1783" s="4">
        <v>466.75</v>
      </c>
      <c r="E1783">
        <v>679</v>
      </c>
      <c r="F1783" s="3">
        <v>42013</v>
      </c>
      <c r="G1783" t="s">
        <v>169</v>
      </c>
      <c r="H1783" s="18">
        <v>466.75</v>
      </c>
      <c r="J1783" s="20" t="str">
        <f t="shared" si="104"/>
        <v/>
      </c>
      <c r="K1783" t="str">
        <f t="shared" si="103"/>
        <v/>
      </c>
      <c r="L1783" s="4">
        <f t="shared" si="105"/>
        <v>0</v>
      </c>
    </row>
    <row r="1784" spans="1:12" x14ac:dyDescent="0.25">
      <c r="A1784">
        <v>685</v>
      </c>
      <c r="B1784" s="3">
        <v>42013</v>
      </c>
      <c r="C1784" s="4">
        <v>1627</v>
      </c>
      <c r="E1784">
        <v>685</v>
      </c>
      <c r="F1784" s="3">
        <v>42013</v>
      </c>
      <c r="G1784" t="s">
        <v>204</v>
      </c>
      <c r="H1784" s="18">
        <v>1627</v>
      </c>
      <c r="J1784" s="20" t="str">
        <f t="shared" si="104"/>
        <v/>
      </c>
      <c r="K1784" t="str">
        <f t="shared" si="103"/>
        <v/>
      </c>
      <c r="L1784" s="4">
        <f t="shared" si="105"/>
        <v>0</v>
      </c>
    </row>
    <row r="1785" spans="1:12" x14ac:dyDescent="0.25">
      <c r="A1785">
        <v>690</v>
      </c>
      <c r="B1785" s="3">
        <v>42013</v>
      </c>
      <c r="C1785" s="4">
        <v>250</v>
      </c>
      <c r="E1785">
        <v>690</v>
      </c>
      <c r="F1785" s="3">
        <v>42013</v>
      </c>
      <c r="G1785" t="s">
        <v>48</v>
      </c>
      <c r="H1785" s="18">
        <v>250</v>
      </c>
      <c r="J1785" s="20" t="str">
        <f t="shared" si="104"/>
        <v/>
      </c>
      <c r="K1785" t="str">
        <f t="shared" si="103"/>
        <v/>
      </c>
      <c r="L1785" s="4">
        <f t="shared" si="105"/>
        <v>0</v>
      </c>
    </row>
    <row r="1786" spans="1:12" x14ac:dyDescent="0.25">
      <c r="A1786">
        <v>696</v>
      </c>
      <c r="B1786" s="3">
        <v>42013</v>
      </c>
      <c r="C1786" s="4">
        <v>250</v>
      </c>
      <c r="E1786">
        <v>696</v>
      </c>
      <c r="F1786" s="3">
        <v>42013</v>
      </c>
      <c r="G1786" t="s">
        <v>205</v>
      </c>
      <c r="H1786" s="18">
        <v>250</v>
      </c>
      <c r="J1786" s="20" t="str">
        <f t="shared" si="104"/>
        <v/>
      </c>
      <c r="K1786" t="str">
        <f t="shared" si="103"/>
        <v/>
      </c>
      <c r="L1786" s="4">
        <f t="shared" si="105"/>
        <v>0</v>
      </c>
    </row>
    <row r="1787" spans="1:12" x14ac:dyDescent="0.25">
      <c r="A1787">
        <v>702</v>
      </c>
      <c r="B1787" s="3">
        <v>42013</v>
      </c>
      <c r="C1787" s="4">
        <v>2287.5</v>
      </c>
      <c r="E1787">
        <v>702</v>
      </c>
      <c r="F1787" s="3">
        <v>42013</v>
      </c>
      <c r="G1787" t="s">
        <v>134</v>
      </c>
      <c r="H1787" s="18">
        <v>2287.5</v>
      </c>
      <c r="J1787" s="20" t="str">
        <f t="shared" si="104"/>
        <v/>
      </c>
      <c r="K1787" t="str">
        <f t="shared" si="103"/>
        <v/>
      </c>
      <c r="L1787" s="4">
        <f t="shared" si="105"/>
        <v>0</v>
      </c>
    </row>
    <row r="1788" spans="1:12" x14ac:dyDescent="0.25">
      <c r="A1788">
        <v>703</v>
      </c>
      <c r="B1788" s="3">
        <v>42013</v>
      </c>
      <c r="C1788" s="4">
        <v>556</v>
      </c>
      <c r="E1788">
        <v>703</v>
      </c>
      <c r="F1788" s="3">
        <v>42013</v>
      </c>
      <c r="G1788" t="s">
        <v>51</v>
      </c>
      <c r="H1788" s="18">
        <v>556</v>
      </c>
      <c r="J1788" s="20" t="str">
        <f t="shared" si="104"/>
        <v/>
      </c>
      <c r="K1788" t="str">
        <f t="shared" si="103"/>
        <v/>
      </c>
      <c r="L1788" s="4">
        <f t="shared" si="105"/>
        <v>0</v>
      </c>
    </row>
    <row r="1789" spans="1:12" x14ac:dyDescent="0.25">
      <c r="A1789">
        <v>708</v>
      </c>
      <c r="B1789" s="3">
        <v>42013</v>
      </c>
      <c r="C1789" s="4">
        <v>946.25</v>
      </c>
      <c r="E1789">
        <v>708</v>
      </c>
      <c r="F1789" s="3">
        <v>42013</v>
      </c>
      <c r="G1789" t="s">
        <v>206</v>
      </c>
      <c r="H1789" s="18">
        <v>946.25</v>
      </c>
      <c r="J1789" s="20" t="str">
        <f t="shared" si="104"/>
        <v/>
      </c>
      <c r="K1789" t="str">
        <f t="shared" si="103"/>
        <v/>
      </c>
      <c r="L1789" s="4">
        <f t="shared" si="105"/>
        <v>0</v>
      </c>
    </row>
    <row r="1790" spans="1:12" x14ac:dyDescent="0.25">
      <c r="A1790">
        <v>714</v>
      </c>
      <c r="B1790" s="3">
        <v>42013</v>
      </c>
      <c r="C1790" s="4">
        <v>1000</v>
      </c>
      <c r="E1790">
        <v>714</v>
      </c>
      <c r="F1790" s="3">
        <v>42013</v>
      </c>
      <c r="G1790" t="s">
        <v>171</v>
      </c>
      <c r="H1790" s="18">
        <v>1000</v>
      </c>
      <c r="J1790" s="20" t="str">
        <f t="shared" si="104"/>
        <v/>
      </c>
      <c r="K1790" t="str">
        <f t="shared" si="103"/>
        <v/>
      </c>
      <c r="L1790" s="4">
        <f t="shared" si="105"/>
        <v>0</v>
      </c>
    </row>
    <row r="1791" spans="1:12" x14ac:dyDescent="0.25">
      <c r="A1791">
        <v>753</v>
      </c>
      <c r="B1791" s="3">
        <v>42013</v>
      </c>
      <c r="C1791" s="4">
        <v>984.5</v>
      </c>
      <c r="E1791">
        <v>753</v>
      </c>
      <c r="F1791" s="3">
        <v>42013</v>
      </c>
      <c r="G1791" t="s">
        <v>172</v>
      </c>
      <c r="H1791" s="18">
        <v>984.5</v>
      </c>
      <c r="J1791" s="20" t="str">
        <f t="shared" si="104"/>
        <v/>
      </c>
      <c r="K1791" t="str">
        <f t="shared" si="103"/>
        <v/>
      </c>
      <c r="L1791" s="4">
        <f t="shared" si="105"/>
        <v>0</v>
      </c>
    </row>
    <row r="1792" spans="1:12" x14ac:dyDescent="0.25">
      <c r="A1792">
        <v>755</v>
      </c>
      <c r="B1792" s="3">
        <v>42013</v>
      </c>
      <c r="C1792" s="4">
        <v>454</v>
      </c>
      <c r="E1792">
        <v>755</v>
      </c>
      <c r="F1792" s="3">
        <v>42013</v>
      </c>
      <c r="G1792" t="s">
        <v>207</v>
      </c>
      <c r="H1792" s="18">
        <v>454</v>
      </c>
      <c r="J1792" s="20" t="str">
        <f t="shared" si="104"/>
        <v/>
      </c>
      <c r="K1792" t="str">
        <f t="shared" si="103"/>
        <v/>
      </c>
      <c r="L1792" s="4">
        <f t="shared" si="105"/>
        <v>0</v>
      </c>
    </row>
    <row r="1793" spans="1:12" x14ac:dyDescent="0.25">
      <c r="A1793">
        <v>764</v>
      </c>
      <c r="B1793" s="3">
        <v>42013</v>
      </c>
      <c r="C1793" s="4">
        <v>662.5</v>
      </c>
      <c r="E1793">
        <v>764</v>
      </c>
      <c r="F1793" s="3">
        <v>42013</v>
      </c>
      <c r="G1793" t="s">
        <v>208</v>
      </c>
      <c r="H1793" s="18">
        <v>662.5</v>
      </c>
      <c r="J1793" s="20" t="str">
        <f t="shared" si="104"/>
        <v/>
      </c>
      <c r="K1793" t="str">
        <f t="shared" si="103"/>
        <v/>
      </c>
      <c r="L1793" s="4">
        <f t="shared" si="105"/>
        <v>0</v>
      </c>
    </row>
    <row r="1794" spans="1:12" x14ac:dyDescent="0.25">
      <c r="A1794">
        <v>790</v>
      </c>
      <c r="B1794" s="3">
        <v>42013</v>
      </c>
      <c r="C1794" s="4">
        <v>1367</v>
      </c>
      <c r="E1794">
        <v>790</v>
      </c>
      <c r="F1794" s="3">
        <v>42013</v>
      </c>
      <c r="G1794" t="s">
        <v>209</v>
      </c>
      <c r="H1794" s="18">
        <v>1367</v>
      </c>
      <c r="J1794" s="20" t="str">
        <f t="shared" si="104"/>
        <v/>
      </c>
      <c r="K1794" t="str">
        <f t="shared" si="103"/>
        <v/>
      </c>
      <c r="L1794" s="4">
        <f t="shared" si="105"/>
        <v>0</v>
      </c>
    </row>
    <row r="1795" spans="1:12" x14ac:dyDescent="0.25">
      <c r="A1795">
        <v>809</v>
      </c>
      <c r="B1795" s="3">
        <v>42013</v>
      </c>
      <c r="C1795" s="4">
        <v>675</v>
      </c>
      <c r="E1795">
        <v>809</v>
      </c>
      <c r="F1795" s="3">
        <v>42013</v>
      </c>
      <c r="G1795" t="s">
        <v>59</v>
      </c>
      <c r="H1795" s="18">
        <v>675</v>
      </c>
      <c r="J1795" s="20" t="str">
        <f t="shared" si="104"/>
        <v/>
      </c>
      <c r="K1795" t="str">
        <f t="shared" ref="K1795:K1858" si="106">IF(F1795=B1795,"","CHECK")</f>
        <v/>
      </c>
      <c r="L1795" s="4">
        <f t="shared" si="105"/>
        <v>0</v>
      </c>
    </row>
    <row r="1796" spans="1:12" x14ac:dyDescent="0.25">
      <c r="A1796">
        <v>817</v>
      </c>
      <c r="B1796" s="3">
        <v>42013</v>
      </c>
      <c r="C1796" s="4">
        <v>683.5</v>
      </c>
      <c r="E1796">
        <v>817</v>
      </c>
      <c r="F1796" s="3">
        <v>42013</v>
      </c>
      <c r="G1796" t="s">
        <v>60</v>
      </c>
      <c r="H1796" s="18">
        <v>683.5</v>
      </c>
      <c r="J1796" s="20" t="str">
        <f t="shared" si="104"/>
        <v/>
      </c>
      <c r="K1796" t="str">
        <f t="shared" si="106"/>
        <v/>
      </c>
      <c r="L1796" s="4">
        <f t="shared" si="105"/>
        <v>0</v>
      </c>
    </row>
    <row r="1797" spans="1:12" x14ac:dyDescent="0.25">
      <c r="A1797">
        <v>832</v>
      </c>
      <c r="B1797" s="3">
        <v>42013</v>
      </c>
      <c r="C1797" s="4">
        <v>325</v>
      </c>
      <c r="E1797">
        <v>832</v>
      </c>
      <c r="F1797" s="3">
        <v>42013</v>
      </c>
      <c r="G1797" t="s">
        <v>137</v>
      </c>
      <c r="H1797" s="18">
        <v>325</v>
      </c>
      <c r="J1797" s="20" t="str">
        <f t="shared" si="104"/>
        <v/>
      </c>
      <c r="K1797" t="str">
        <f t="shared" si="106"/>
        <v/>
      </c>
      <c r="L1797" s="4">
        <f t="shared" si="105"/>
        <v>0</v>
      </c>
    </row>
    <row r="1798" spans="1:12" x14ac:dyDescent="0.25">
      <c r="A1798">
        <v>857</v>
      </c>
      <c r="B1798" s="3">
        <v>42013</v>
      </c>
      <c r="C1798" s="4">
        <v>1712.5</v>
      </c>
      <c r="E1798">
        <v>857</v>
      </c>
      <c r="F1798" s="3">
        <v>42013</v>
      </c>
      <c r="G1798" t="s">
        <v>138</v>
      </c>
      <c r="H1798" s="18">
        <v>1712.5</v>
      </c>
      <c r="J1798" s="20" t="str">
        <f t="shared" si="104"/>
        <v/>
      </c>
      <c r="K1798" t="str">
        <f t="shared" si="106"/>
        <v/>
      </c>
      <c r="L1798" s="4">
        <f t="shared" si="105"/>
        <v>0</v>
      </c>
    </row>
    <row r="1799" spans="1:12" x14ac:dyDescent="0.25">
      <c r="A1799">
        <v>927</v>
      </c>
      <c r="B1799" s="3">
        <v>42013</v>
      </c>
      <c r="C1799" s="4">
        <v>517.75</v>
      </c>
      <c r="E1799">
        <v>927</v>
      </c>
      <c r="F1799" s="3">
        <v>42013</v>
      </c>
      <c r="G1799" t="s">
        <v>69</v>
      </c>
      <c r="H1799" s="18">
        <v>517.75</v>
      </c>
      <c r="J1799" s="20" t="str">
        <f t="shared" si="104"/>
        <v/>
      </c>
      <c r="K1799" t="str">
        <f t="shared" si="106"/>
        <v/>
      </c>
      <c r="L1799" s="4">
        <f t="shared" si="105"/>
        <v>0</v>
      </c>
    </row>
    <row r="1800" spans="1:12" x14ac:dyDescent="0.25">
      <c r="A1800">
        <v>546</v>
      </c>
      <c r="B1800" s="3">
        <v>42016</v>
      </c>
      <c r="C1800" s="4">
        <v>1778.25</v>
      </c>
      <c r="E1800">
        <v>546</v>
      </c>
      <c r="F1800" s="3">
        <v>42016</v>
      </c>
      <c r="G1800" t="s">
        <v>193</v>
      </c>
      <c r="H1800" s="18">
        <v>1528.25</v>
      </c>
      <c r="J1800" s="20" t="str">
        <f t="shared" si="104"/>
        <v/>
      </c>
      <c r="K1800" t="str">
        <f t="shared" si="106"/>
        <v/>
      </c>
      <c r="L1800" s="4">
        <f t="shared" si="105"/>
        <v>250</v>
      </c>
    </row>
    <row r="1801" spans="1:12" x14ac:dyDescent="0.25">
      <c r="A1801">
        <v>898</v>
      </c>
      <c r="B1801" s="3">
        <v>42016</v>
      </c>
      <c r="C1801" s="4">
        <v>441.25</v>
      </c>
      <c r="E1801">
        <v>898</v>
      </c>
      <c r="F1801" s="3">
        <v>42016</v>
      </c>
      <c r="G1801" t="s">
        <v>194</v>
      </c>
      <c r="H1801" s="18">
        <v>441.25</v>
      </c>
      <c r="J1801" s="20" t="str">
        <f t="shared" si="104"/>
        <v/>
      </c>
      <c r="K1801" t="str">
        <f t="shared" si="106"/>
        <v/>
      </c>
      <c r="L1801" s="4">
        <f t="shared" si="105"/>
        <v>0</v>
      </c>
    </row>
    <row r="1802" spans="1:12" x14ac:dyDescent="0.25">
      <c r="A1802">
        <v>389</v>
      </c>
      <c r="B1802" s="3">
        <v>42017</v>
      </c>
      <c r="C1802" s="4">
        <v>6000</v>
      </c>
      <c r="E1802">
        <v>389</v>
      </c>
      <c r="F1802" s="3">
        <v>42017</v>
      </c>
      <c r="G1802" t="s">
        <v>31</v>
      </c>
      <c r="H1802" s="18">
        <v>6000</v>
      </c>
      <c r="J1802" s="20" t="str">
        <f t="shared" si="104"/>
        <v/>
      </c>
      <c r="K1802" t="str">
        <f t="shared" si="106"/>
        <v/>
      </c>
      <c r="L1802" s="4">
        <f t="shared" si="105"/>
        <v>0</v>
      </c>
    </row>
    <row r="1803" spans="1:12" x14ac:dyDescent="0.25">
      <c r="A1803">
        <v>699</v>
      </c>
      <c r="B1803" s="3">
        <v>42017</v>
      </c>
      <c r="C1803" s="4">
        <v>1000</v>
      </c>
      <c r="E1803">
        <v>699</v>
      </c>
      <c r="F1803" s="3">
        <v>42017</v>
      </c>
      <c r="G1803" t="s">
        <v>189</v>
      </c>
      <c r="H1803" s="18">
        <v>1000</v>
      </c>
      <c r="J1803" s="20" t="str">
        <f t="shared" si="104"/>
        <v/>
      </c>
      <c r="K1803" t="str">
        <f t="shared" si="106"/>
        <v/>
      </c>
      <c r="L1803" s="4">
        <f t="shared" si="105"/>
        <v>0</v>
      </c>
    </row>
    <row r="1804" spans="1:12" x14ac:dyDescent="0.25">
      <c r="A1804">
        <v>27</v>
      </c>
      <c r="B1804" s="3">
        <v>42019</v>
      </c>
      <c r="C1804" s="4">
        <v>5449.02</v>
      </c>
      <c r="E1804">
        <v>27</v>
      </c>
      <c r="F1804" s="3">
        <v>42019</v>
      </c>
      <c r="G1804" t="s">
        <v>159</v>
      </c>
      <c r="H1804" s="18">
        <v>5449.02</v>
      </c>
      <c r="J1804" s="20" t="str">
        <f t="shared" si="104"/>
        <v/>
      </c>
      <c r="K1804" t="str">
        <f t="shared" si="106"/>
        <v/>
      </c>
      <c r="L1804" s="4">
        <f t="shared" si="105"/>
        <v>0</v>
      </c>
    </row>
    <row r="1805" spans="1:12" x14ac:dyDescent="0.25">
      <c r="A1805">
        <v>28</v>
      </c>
      <c r="B1805" s="3">
        <v>42019</v>
      </c>
      <c r="C1805" s="4">
        <v>250</v>
      </c>
      <c r="E1805">
        <v>28</v>
      </c>
      <c r="F1805" s="3">
        <v>42019</v>
      </c>
      <c r="G1805" t="s">
        <v>6</v>
      </c>
      <c r="H1805" s="18">
        <v>250</v>
      </c>
      <c r="J1805" s="20" t="str">
        <f t="shared" si="104"/>
        <v/>
      </c>
      <c r="K1805" t="str">
        <f t="shared" si="106"/>
        <v/>
      </c>
      <c r="L1805" s="4">
        <f t="shared" si="105"/>
        <v>0</v>
      </c>
    </row>
    <row r="1806" spans="1:12" x14ac:dyDescent="0.25">
      <c r="A1806">
        <v>37</v>
      </c>
      <c r="B1806" s="3">
        <v>42019</v>
      </c>
      <c r="C1806" s="4">
        <v>5624.02</v>
      </c>
      <c r="E1806">
        <v>37</v>
      </c>
      <c r="F1806" s="3">
        <v>42019</v>
      </c>
      <c r="G1806" t="s">
        <v>77</v>
      </c>
      <c r="H1806" s="18">
        <v>5624.02</v>
      </c>
      <c r="J1806" s="20" t="str">
        <f t="shared" si="104"/>
        <v/>
      </c>
      <c r="K1806" t="str">
        <f t="shared" si="106"/>
        <v/>
      </c>
      <c r="L1806" s="4">
        <f t="shared" si="105"/>
        <v>0</v>
      </c>
    </row>
    <row r="1807" spans="1:12" x14ac:dyDescent="0.25">
      <c r="A1807">
        <v>41</v>
      </c>
      <c r="B1807" s="3">
        <v>42019</v>
      </c>
      <c r="C1807" s="4">
        <v>1889.56</v>
      </c>
      <c r="E1807">
        <v>41</v>
      </c>
      <c r="F1807" s="3">
        <v>42019</v>
      </c>
      <c r="G1807" t="s">
        <v>10</v>
      </c>
      <c r="H1807" s="18">
        <v>1889.56</v>
      </c>
      <c r="J1807" s="20" t="str">
        <f t="shared" si="104"/>
        <v/>
      </c>
      <c r="K1807" t="str">
        <f t="shared" si="106"/>
        <v/>
      </c>
      <c r="L1807" s="4">
        <f t="shared" si="105"/>
        <v>0</v>
      </c>
    </row>
    <row r="1808" spans="1:12" x14ac:dyDescent="0.25">
      <c r="A1808">
        <v>63</v>
      </c>
      <c r="B1808" s="3">
        <v>42019</v>
      </c>
      <c r="C1808" s="4">
        <v>1872.68</v>
      </c>
      <c r="E1808">
        <v>63</v>
      </c>
      <c r="F1808" s="3">
        <v>42019</v>
      </c>
      <c r="G1808" t="s">
        <v>181</v>
      </c>
      <c r="H1808" s="18">
        <v>341.43</v>
      </c>
      <c r="J1808" s="20" t="str">
        <f t="shared" si="104"/>
        <v/>
      </c>
      <c r="K1808" t="str">
        <f t="shared" si="106"/>
        <v/>
      </c>
      <c r="L1808" s="4">
        <f t="shared" si="105"/>
        <v>1531.25</v>
      </c>
    </row>
    <row r="1809" spans="1:12" x14ac:dyDescent="0.25">
      <c r="A1809">
        <v>77</v>
      </c>
      <c r="B1809" s="3">
        <v>42019</v>
      </c>
      <c r="C1809" s="4">
        <v>1525</v>
      </c>
      <c r="E1809">
        <v>77</v>
      </c>
      <c r="F1809" s="3">
        <v>42019</v>
      </c>
      <c r="G1809" t="s">
        <v>11</v>
      </c>
      <c r="H1809" s="18">
        <v>1525</v>
      </c>
      <c r="J1809" s="20" t="str">
        <f t="shared" si="104"/>
        <v/>
      </c>
      <c r="K1809" t="str">
        <f t="shared" si="106"/>
        <v/>
      </c>
      <c r="L1809" s="4">
        <f t="shared" si="105"/>
        <v>0</v>
      </c>
    </row>
    <row r="1810" spans="1:12" x14ac:dyDescent="0.25">
      <c r="A1810">
        <v>94</v>
      </c>
      <c r="B1810" s="3">
        <v>42019</v>
      </c>
      <c r="C1810" s="4">
        <v>525</v>
      </c>
      <c r="E1810">
        <v>94</v>
      </c>
      <c r="F1810" s="3">
        <v>42019</v>
      </c>
      <c r="G1810" t="s">
        <v>182</v>
      </c>
      <c r="H1810" s="18">
        <v>525</v>
      </c>
      <c r="J1810" s="20" t="str">
        <f t="shared" si="104"/>
        <v/>
      </c>
      <c r="K1810" t="str">
        <f t="shared" si="106"/>
        <v/>
      </c>
      <c r="L1810" s="4">
        <f t="shared" si="105"/>
        <v>0</v>
      </c>
    </row>
    <row r="1811" spans="1:12" x14ac:dyDescent="0.25">
      <c r="A1811">
        <v>161</v>
      </c>
      <c r="B1811" s="3">
        <v>42019</v>
      </c>
      <c r="C1811" s="4">
        <v>459</v>
      </c>
      <c r="E1811">
        <v>161</v>
      </c>
      <c r="F1811" s="3">
        <v>42019</v>
      </c>
      <c r="G1811" t="s">
        <v>183</v>
      </c>
      <c r="H1811" s="18">
        <v>459</v>
      </c>
      <c r="J1811" s="20" t="str">
        <f t="shared" si="104"/>
        <v/>
      </c>
      <c r="K1811" t="str">
        <f t="shared" si="106"/>
        <v/>
      </c>
      <c r="L1811" s="4">
        <f t="shared" si="105"/>
        <v>0</v>
      </c>
    </row>
    <row r="1812" spans="1:12" x14ac:dyDescent="0.25">
      <c r="A1812">
        <v>203</v>
      </c>
      <c r="B1812" s="3">
        <v>42019</v>
      </c>
      <c r="C1812" s="4">
        <v>5204.2700000000004</v>
      </c>
      <c r="E1812">
        <v>203</v>
      </c>
      <c r="F1812" s="3">
        <v>42019</v>
      </c>
      <c r="G1812" t="s">
        <v>95</v>
      </c>
      <c r="H1812" s="18">
        <v>5204.2700000000004</v>
      </c>
      <c r="J1812" s="20" t="str">
        <f t="shared" si="104"/>
        <v/>
      </c>
      <c r="K1812" t="str">
        <f t="shared" si="106"/>
        <v/>
      </c>
      <c r="L1812" s="4">
        <f t="shared" si="105"/>
        <v>0</v>
      </c>
    </row>
    <row r="1813" spans="1:12" x14ac:dyDescent="0.25">
      <c r="A1813">
        <v>217</v>
      </c>
      <c r="B1813" s="3">
        <v>42019</v>
      </c>
      <c r="C1813" s="4">
        <v>1329.63</v>
      </c>
      <c r="E1813">
        <v>217</v>
      </c>
      <c r="F1813" s="3">
        <v>42019</v>
      </c>
      <c r="G1813" t="s">
        <v>97</v>
      </c>
      <c r="H1813" s="18">
        <v>1329.63</v>
      </c>
      <c r="J1813" s="20" t="str">
        <f t="shared" si="104"/>
        <v/>
      </c>
      <c r="K1813" t="str">
        <f t="shared" si="106"/>
        <v/>
      </c>
      <c r="L1813" s="4">
        <f t="shared" si="105"/>
        <v>0</v>
      </c>
    </row>
    <row r="1814" spans="1:12" x14ac:dyDescent="0.25">
      <c r="A1814">
        <v>261</v>
      </c>
      <c r="B1814" s="3">
        <v>42019</v>
      </c>
      <c r="C1814" s="4">
        <v>2193</v>
      </c>
      <c r="E1814">
        <v>261</v>
      </c>
      <c r="F1814" s="3">
        <v>42019</v>
      </c>
      <c r="G1814" t="s">
        <v>22</v>
      </c>
      <c r="H1814" s="18">
        <v>2193</v>
      </c>
      <c r="J1814" s="20" t="str">
        <f t="shared" si="104"/>
        <v/>
      </c>
      <c r="K1814" t="str">
        <f t="shared" si="106"/>
        <v/>
      </c>
      <c r="L1814" s="4">
        <f t="shared" si="105"/>
        <v>0</v>
      </c>
    </row>
    <row r="1815" spans="1:12" x14ac:dyDescent="0.25">
      <c r="A1815">
        <v>282</v>
      </c>
      <c r="B1815" s="3">
        <v>42019</v>
      </c>
      <c r="C1815" s="4">
        <v>1150</v>
      </c>
      <c r="E1815">
        <v>282</v>
      </c>
      <c r="F1815" s="3">
        <v>42019</v>
      </c>
      <c r="G1815" t="s">
        <v>23</v>
      </c>
      <c r="H1815" s="18">
        <v>1150</v>
      </c>
      <c r="J1815" s="20" t="str">
        <f t="shared" si="104"/>
        <v/>
      </c>
      <c r="K1815" t="str">
        <f t="shared" si="106"/>
        <v/>
      </c>
      <c r="L1815" s="4">
        <f t="shared" si="105"/>
        <v>0</v>
      </c>
    </row>
    <row r="1816" spans="1:12" x14ac:dyDescent="0.25">
      <c r="A1816">
        <v>326</v>
      </c>
      <c r="B1816" s="3">
        <v>42019</v>
      </c>
      <c r="C1816" s="4">
        <v>1812.5</v>
      </c>
      <c r="E1816">
        <v>326</v>
      </c>
      <c r="F1816" s="3">
        <v>42019</v>
      </c>
      <c r="G1816" t="s">
        <v>25</v>
      </c>
      <c r="H1816" s="18">
        <v>1812.5</v>
      </c>
      <c r="J1816" s="20" t="str">
        <f t="shared" si="104"/>
        <v/>
      </c>
      <c r="K1816" t="str">
        <f t="shared" si="106"/>
        <v/>
      </c>
      <c r="L1816" s="4">
        <f t="shared" si="105"/>
        <v>0</v>
      </c>
    </row>
    <row r="1817" spans="1:12" x14ac:dyDescent="0.25">
      <c r="A1817">
        <v>355</v>
      </c>
      <c r="B1817" s="3">
        <v>42019</v>
      </c>
      <c r="C1817" s="4">
        <v>500</v>
      </c>
      <c r="E1817">
        <v>355</v>
      </c>
      <c r="F1817" s="3">
        <v>42019</v>
      </c>
      <c r="G1817" t="s">
        <v>108</v>
      </c>
      <c r="H1817" s="18">
        <v>500</v>
      </c>
      <c r="J1817" s="20" t="str">
        <f t="shared" si="104"/>
        <v/>
      </c>
      <c r="K1817" t="str">
        <f t="shared" si="106"/>
        <v/>
      </c>
      <c r="L1817" s="4">
        <f t="shared" si="105"/>
        <v>0</v>
      </c>
    </row>
    <row r="1818" spans="1:12" x14ac:dyDescent="0.25">
      <c r="A1818">
        <v>365</v>
      </c>
      <c r="B1818" s="3">
        <v>42019</v>
      </c>
      <c r="C1818" s="4">
        <v>135</v>
      </c>
      <c r="E1818">
        <v>365</v>
      </c>
      <c r="F1818" s="3">
        <v>42019</v>
      </c>
      <c r="G1818" t="s">
        <v>29</v>
      </c>
      <c r="H1818" s="18">
        <v>135</v>
      </c>
      <c r="J1818" s="20" t="str">
        <f t="shared" si="104"/>
        <v/>
      </c>
      <c r="K1818" t="str">
        <f t="shared" si="106"/>
        <v/>
      </c>
      <c r="L1818" s="4">
        <f t="shared" si="105"/>
        <v>0</v>
      </c>
    </row>
    <row r="1819" spans="1:12" x14ac:dyDescent="0.25">
      <c r="A1819">
        <v>401</v>
      </c>
      <c r="B1819" s="3">
        <v>42019</v>
      </c>
      <c r="C1819" s="4">
        <v>145.88</v>
      </c>
      <c r="E1819">
        <v>401</v>
      </c>
      <c r="F1819" s="3">
        <v>42019</v>
      </c>
      <c r="G1819" t="s">
        <v>184</v>
      </c>
      <c r="H1819" s="18">
        <v>145.88</v>
      </c>
      <c r="J1819" s="20" t="str">
        <f t="shared" si="104"/>
        <v/>
      </c>
      <c r="K1819" t="str">
        <f t="shared" si="106"/>
        <v/>
      </c>
      <c r="L1819" s="4">
        <f t="shared" si="105"/>
        <v>0</v>
      </c>
    </row>
    <row r="1820" spans="1:12" x14ac:dyDescent="0.25">
      <c r="A1820">
        <v>407</v>
      </c>
      <c r="B1820" s="3">
        <v>42019</v>
      </c>
      <c r="C1820" s="4">
        <v>388.2</v>
      </c>
      <c r="E1820">
        <v>407</v>
      </c>
      <c r="F1820" s="3">
        <v>42019</v>
      </c>
      <c r="G1820" t="s">
        <v>113</v>
      </c>
      <c r="H1820" s="18">
        <v>388.2</v>
      </c>
      <c r="J1820" s="20" t="str">
        <f t="shared" si="104"/>
        <v/>
      </c>
      <c r="K1820" t="str">
        <f t="shared" si="106"/>
        <v/>
      </c>
      <c r="L1820" s="4">
        <f t="shared" si="105"/>
        <v>0</v>
      </c>
    </row>
    <row r="1821" spans="1:12" x14ac:dyDescent="0.25">
      <c r="A1821">
        <v>458</v>
      </c>
      <c r="B1821" s="3">
        <v>42019</v>
      </c>
      <c r="C1821" s="4">
        <v>675</v>
      </c>
      <c r="E1821">
        <v>458</v>
      </c>
      <c r="F1821" s="3">
        <v>42019</v>
      </c>
      <c r="G1821" t="s">
        <v>185</v>
      </c>
      <c r="H1821" s="18">
        <v>675</v>
      </c>
      <c r="J1821" s="20" t="str">
        <f t="shared" si="104"/>
        <v/>
      </c>
      <c r="K1821" t="str">
        <f t="shared" si="106"/>
        <v/>
      </c>
      <c r="L1821" s="4">
        <f t="shared" si="105"/>
        <v>0</v>
      </c>
    </row>
    <row r="1822" spans="1:12" x14ac:dyDescent="0.25">
      <c r="A1822">
        <v>498</v>
      </c>
      <c r="B1822" s="3">
        <v>42019</v>
      </c>
      <c r="C1822" s="4">
        <v>400</v>
      </c>
      <c r="E1822">
        <v>498</v>
      </c>
      <c r="F1822" s="3">
        <v>42019</v>
      </c>
      <c r="G1822" t="s">
        <v>186</v>
      </c>
      <c r="H1822" s="18">
        <v>400</v>
      </c>
      <c r="J1822" s="20" t="str">
        <f t="shared" si="104"/>
        <v/>
      </c>
      <c r="K1822" t="str">
        <f t="shared" si="106"/>
        <v/>
      </c>
      <c r="L1822" s="4">
        <f t="shared" si="105"/>
        <v>0</v>
      </c>
    </row>
    <row r="1823" spans="1:12" x14ac:dyDescent="0.25">
      <c r="A1823">
        <v>580</v>
      </c>
      <c r="B1823" s="3">
        <v>42019</v>
      </c>
      <c r="C1823" s="4">
        <v>500</v>
      </c>
      <c r="E1823">
        <v>580</v>
      </c>
      <c r="F1823" s="3">
        <v>42019</v>
      </c>
      <c r="G1823" t="s">
        <v>37</v>
      </c>
      <c r="H1823" s="18">
        <v>500</v>
      </c>
      <c r="J1823" s="20" t="str">
        <f t="shared" si="104"/>
        <v/>
      </c>
      <c r="K1823" t="str">
        <f t="shared" si="106"/>
        <v/>
      </c>
      <c r="L1823" s="4">
        <f t="shared" si="105"/>
        <v>0</v>
      </c>
    </row>
    <row r="1824" spans="1:12" x14ac:dyDescent="0.25">
      <c r="A1824">
        <v>583</v>
      </c>
      <c r="B1824" s="3">
        <v>42019</v>
      </c>
      <c r="C1824" s="4">
        <v>841.5</v>
      </c>
      <c r="E1824">
        <v>583</v>
      </c>
      <c r="F1824" s="3">
        <v>42019</v>
      </c>
      <c r="G1824" t="s">
        <v>124</v>
      </c>
      <c r="H1824" s="18">
        <v>841.5</v>
      </c>
      <c r="J1824" s="20" t="str">
        <f t="shared" si="104"/>
        <v/>
      </c>
      <c r="K1824" t="str">
        <f t="shared" si="106"/>
        <v/>
      </c>
      <c r="L1824" s="4">
        <f t="shared" si="105"/>
        <v>0</v>
      </c>
    </row>
    <row r="1825" spans="1:12" x14ac:dyDescent="0.25">
      <c r="A1825">
        <v>607</v>
      </c>
      <c r="B1825" s="3">
        <v>42019</v>
      </c>
      <c r="C1825" s="4">
        <v>450</v>
      </c>
      <c r="E1825">
        <v>607</v>
      </c>
      <c r="F1825" s="3">
        <v>42019</v>
      </c>
      <c r="G1825" t="s">
        <v>39</v>
      </c>
      <c r="H1825" s="18">
        <v>450</v>
      </c>
      <c r="J1825" s="20" t="str">
        <f t="shared" si="104"/>
        <v/>
      </c>
      <c r="K1825" t="str">
        <f t="shared" si="106"/>
        <v/>
      </c>
      <c r="L1825" s="4">
        <f t="shared" si="105"/>
        <v>0</v>
      </c>
    </row>
    <row r="1826" spans="1:12" x14ac:dyDescent="0.25">
      <c r="A1826">
        <v>626</v>
      </c>
      <c r="B1826" s="3">
        <v>42019</v>
      </c>
      <c r="C1826" s="4">
        <v>357</v>
      </c>
      <c r="E1826">
        <v>626</v>
      </c>
      <c r="F1826" s="3">
        <v>42019</v>
      </c>
      <c r="G1826" t="s">
        <v>187</v>
      </c>
      <c r="H1826" s="18">
        <v>357</v>
      </c>
      <c r="J1826" s="20" t="str">
        <f t="shared" si="104"/>
        <v/>
      </c>
      <c r="K1826" t="str">
        <f t="shared" si="106"/>
        <v/>
      </c>
      <c r="L1826" s="4">
        <f t="shared" si="105"/>
        <v>0</v>
      </c>
    </row>
    <row r="1827" spans="1:12" x14ac:dyDescent="0.25">
      <c r="A1827">
        <v>632</v>
      </c>
      <c r="B1827" s="3">
        <v>42019</v>
      </c>
      <c r="C1827" s="4">
        <v>934.5</v>
      </c>
      <c r="E1827">
        <v>632</v>
      </c>
      <c r="F1827" s="3">
        <v>42019</v>
      </c>
      <c r="G1827" t="s">
        <v>41</v>
      </c>
      <c r="H1827" s="18">
        <v>934.5</v>
      </c>
      <c r="J1827" s="20" t="str">
        <f t="shared" si="104"/>
        <v/>
      </c>
      <c r="K1827" t="str">
        <f t="shared" si="106"/>
        <v/>
      </c>
      <c r="L1827" s="4">
        <f t="shared" si="105"/>
        <v>0</v>
      </c>
    </row>
    <row r="1828" spans="1:12" x14ac:dyDescent="0.25">
      <c r="A1828">
        <v>635</v>
      </c>
      <c r="B1828" s="3">
        <v>42019</v>
      </c>
      <c r="C1828" s="4">
        <v>200</v>
      </c>
      <c r="E1828">
        <v>635</v>
      </c>
      <c r="F1828" s="3">
        <v>42019</v>
      </c>
      <c r="G1828" t="s">
        <v>167</v>
      </c>
      <c r="H1828" s="18">
        <v>200</v>
      </c>
      <c r="J1828" s="20" t="str">
        <f t="shared" si="104"/>
        <v/>
      </c>
      <c r="K1828" t="str">
        <f t="shared" si="106"/>
        <v/>
      </c>
      <c r="L1828" s="4">
        <f t="shared" si="105"/>
        <v>0</v>
      </c>
    </row>
    <row r="1829" spans="1:12" x14ac:dyDescent="0.25">
      <c r="A1829">
        <v>648</v>
      </c>
      <c r="B1829" s="3">
        <v>42019</v>
      </c>
      <c r="C1829" s="4">
        <v>512.5</v>
      </c>
      <c r="E1829">
        <v>648</v>
      </c>
      <c r="F1829" s="3">
        <v>42019</v>
      </c>
      <c r="G1829" t="s">
        <v>42</v>
      </c>
      <c r="H1829" s="18">
        <v>512.5</v>
      </c>
      <c r="J1829" s="20" t="str">
        <f t="shared" si="104"/>
        <v/>
      </c>
      <c r="K1829" t="str">
        <f t="shared" si="106"/>
        <v/>
      </c>
      <c r="L1829" s="4">
        <f t="shared" si="105"/>
        <v>0</v>
      </c>
    </row>
    <row r="1830" spans="1:12" x14ac:dyDescent="0.25">
      <c r="A1830">
        <v>661</v>
      </c>
      <c r="B1830" s="3">
        <v>42019</v>
      </c>
      <c r="C1830" s="4">
        <v>16.899999999999999</v>
      </c>
      <c r="E1830">
        <v>661</v>
      </c>
      <c r="F1830" s="3">
        <v>42019</v>
      </c>
      <c r="G1830" t="s">
        <v>188</v>
      </c>
      <c r="H1830" s="18">
        <v>16.899999999999999</v>
      </c>
      <c r="J1830" s="20" t="str">
        <f t="shared" si="104"/>
        <v/>
      </c>
      <c r="K1830" t="str">
        <f t="shared" si="106"/>
        <v/>
      </c>
      <c r="L1830" s="4">
        <f t="shared" si="105"/>
        <v>0</v>
      </c>
    </row>
    <row r="1831" spans="1:12" x14ac:dyDescent="0.25">
      <c r="A1831">
        <v>672</v>
      </c>
      <c r="B1831" s="3">
        <v>42019</v>
      </c>
      <c r="C1831" s="4">
        <v>874.5</v>
      </c>
      <c r="E1831">
        <v>672</v>
      </c>
      <c r="F1831" s="3">
        <v>42019</v>
      </c>
      <c r="G1831" t="s">
        <v>168</v>
      </c>
      <c r="H1831" s="18">
        <v>874.5</v>
      </c>
      <c r="J1831" s="20" t="str">
        <f t="shared" si="104"/>
        <v/>
      </c>
      <c r="K1831" t="str">
        <f t="shared" si="106"/>
        <v/>
      </c>
      <c r="L1831" s="4">
        <f t="shared" si="105"/>
        <v>0</v>
      </c>
    </row>
    <row r="1832" spans="1:12" x14ac:dyDescent="0.25">
      <c r="A1832">
        <v>679</v>
      </c>
      <c r="B1832" s="3">
        <v>42019</v>
      </c>
      <c r="C1832" s="4">
        <v>2922.71</v>
      </c>
      <c r="E1832">
        <v>679</v>
      </c>
      <c r="F1832" s="3">
        <v>42019</v>
      </c>
      <c r="G1832" t="s">
        <v>169</v>
      </c>
      <c r="H1832" s="18">
        <v>2922.71</v>
      </c>
      <c r="J1832" s="20" t="str">
        <f t="shared" si="104"/>
        <v/>
      </c>
      <c r="K1832" t="str">
        <f t="shared" si="106"/>
        <v/>
      </c>
      <c r="L1832" s="4">
        <f t="shared" si="105"/>
        <v>0</v>
      </c>
    </row>
    <row r="1833" spans="1:12" x14ac:dyDescent="0.25">
      <c r="A1833">
        <v>690</v>
      </c>
      <c r="B1833" s="3">
        <v>42019</v>
      </c>
      <c r="C1833" s="4">
        <v>675</v>
      </c>
      <c r="E1833">
        <v>690</v>
      </c>
      <c r="F1833" s="3">
        <v>42019</v>
      </c>
      <c r="G1833" t="s">
        <v>48</v>
      </c>
      <c r="H1833" s="18">
        <v>675</v>
      </c>
      <c r="J1833" s="20" t="str">
        <f t="shared" si="104"/>
        <v/>
      </c>
      <c r="K1833" t="str">
        <f t="shared" si="106"/>
        <v/>
      </c>
      <c r="L1833" s="4">
        <f t="shared" si="105"/>
        <v>0</v>
      </c>
    </row>
    <row r="1834" spans="1:12" x14ac:dyDescent="0.25">
      <c r="A1834">
        <v>699</v>
      </c>
      <c r="B1834" s="3">
        <v>42019</v>
      </c>
      <c r="C1834" s="4">
        <v>900</v>
      </c>
      <c r="E1834">
        <v>699</v>
      </c>
      <c r="F1834" s="3">
        <v>42019</v>
      </c>
      <c r="G1834" t="s">
        <v>189</v>
      </c>
      <c r="H1834" s="18">
        <v>900</v>
      </c>
      <c r="J1834" s="20" t="str">
        <f t="shared" si="104"/>
        <v/>
      </c>
      <c r="K1834" t="str">
        <f t="shared" si="106"/>
        <v/>
      </c>
      <c r="L1834" s="4">
        <f t="shared" si="105"/>
        <v>0</v>
      </c>
    </row>
    <row r="1835" spans="1:12" x14ac:dyDescent="0.25">
      <c r="A1835">
        <v>702</v>
      </c>
      <c r="B1835" s="3">
        <v>42019</v>
      </c>
      <c r="C1835" s="4">
        <v>350</v>
      </c>
      <c r="E1835">
        <v>702</v>
      </c>
      <c r="F1835" s="3">
        <v>42019</v>
      </c>
      <c r="G1835" t="s">
        <v>134</v>
      </c>
      <c r="H1835" s="18">
        <v>350</v>
      </c>
      <c r="J1835" s="20" t="str">
        <f t="shared" si="104"/>
        <v/>
      </c>
      <c r="K1835" t="str">
        <f t="shared" si="106"/>
        <v/>
      </c>
      <c r="L1835" s="4">
        <f t="shared" si="105"/>
        <v>0</v>
      </c>
    </row>
    <row r="1836" spans="1:12" x14ac:dyDescent="0.25">
      <c r="A1836">
        <v>711</v>
      </c>
      <c r="B1836" s="3">
        <v>42019</v>
      </c>
      <c r="C1836" s="4">
        <v>700</v>
      </c>
      <c r="E1836">
        <v>711</v>
      </c>
      <c r="F1836" s="3">
        <v>42019</v>
      </c>
      <c r="G1836" t="s">
        <v>190</v>
      </c>
      <c r="H1836" s="18">
        <v>700</v>
      </c>
      <c r="J1836" s="20" t="str">
        <f t="shared" si="104"/>
        <v/>
      </c>
      <c r="K1836" t="str">
        <f t="shared" si="106"/>
        <v/>
      </c>
      <c r="L1836" s="4">
        <f t="shared" si="105"/>
        <v>0</v>
      </c>
    </row>
    <row r="1837" spans="1:12" x14ac:dyDescent="0.25">
      <c r="A1837">
        <v>735</v>
      </c>
      <c r="B1837" s="3">
        <v>42019</v>
      </c>
      <c r="C1837" s="4">
        <v>548.25</v>
      </c>
      <c r="E1837">
        <v>735</v>
      </c>
      <c r="F1837" s="3">
        <v>42019</v>
      </c>
      <c r="G1837" t="s">
        <v>54</v>
      </c>
      <c r="H1837" s="18">
        <v>548.25</v>
      </c>
      <c r="J1837" s="20" t="str">
        <f t="shared" si="104"/>
        <v/>
      </c>
      <c r="K1837" t="str">
        <f t="shared" si="106"/>
        <v/>
      </c>
      <c r="L1837" s="4">
        <f t="shared" si="105"/>
        <v>0</v>
      </c>
    </row>
    <row r="1838" spans="1:12" x14ac:dyDescent="0.25">
      <c r="A1838">
        <v>750</v>
      </c>
      <c r="B1838" s="3">
        <v>42019</v>
      </c>
      <c r="C1838" s="4">
        <v>250</v>
      </c>
      <c r="E1838">
        <v>750</v>
      </c>
      <c r="F1838" s="3">
        <v>42019</v>
      </c>
      <c r="G1838" t="s">
        <v>55</v>
      </c>
      <c r="H1838" s="18">
        <v>250</v>
      </c>
      <c r="J1838" s="20" t="str">
        <f t="shared" si="104"/>
        <v/>
      </c>
      <c r="K1838" t="str">
        <f t="shared" si="106"/>
        <v/>
      </c>
      <c r="L1838" s="4">
        <f t="shared" si="105"/>
        <v>0</v>
      </c>
    </row>
    <row r="1839" spans="1:12" x14ac:dyDescent="0.25">
      <c r="A1839">
        <v>793</v>
      </c>
      <c r="B1839" s="3">
        <v>42019</v>
      </c>
      <c r="C1839" s="4">
        <v>586.5</v>
      </c>
      <c r="E1839">
        <v>793</v>
      </c>
      <c r="F1839" s="3">
        <v>42019</v>
      </c>
      <c r="G1839" t="s">
        <v>191</v>
      </c>
      <c r="H1839" s="18">
        <v>586.5</v>
      </c>
      <c r="J1839" s="20" t="str">
        <f t="shared" si="104"/>
        <v/>
      </c>
      <c r="K1839" t="str">
        <f t="shared" si="106"/>
        <v/>
      </c>
      <c r="L1839" s="4">
        <f t="shared" si="105"/>
        <v>0</v>
      </c>
    </row>
    <row r="1840" spans="1:12" x14ac:dyDescent="0.25">
      <c r="A1840">
        <v>817</v>
      </c>
      <c r="B1840" s="3">
        <v>42019</v>
      </c>
      <c r="C1840" s="4">
        <v>760</v>
      </c>
      <c r="E1840">
        <v>817</v>
      </c>
      <c r="F1840" s="3">
        <v>42019</v>
      </c>
      <c r="G1840" t="s">
        <v>60</v>
      </c>
      <c r="H1840" s="18">
        <v>760</v>
      </c>
      <c r="J1840" s="20" t="str">
        <f t="shared" si="104"/>
        <v/>
      </c>
      <c r="K1840" t="str">
        <f t="shared" si="106"/>
        <v/>
      </c>
      <c r="L1840" s="4">
        <f t="shared" si="105"/>
        <v>0</v>
      </c>
    </row>
    <row r="1841" spans="1:12" x14ac:dyDescent="0.25">
      <c r="A1841">
        <v>844</v>
      </c>
      <c r="B1841" s="3">
        <v>42019</v>
      </c>
      <c r="C1841" s="4">
        <v>375</v>
      </c>
      <c r="E1841">
        <v>844</v>
      </c>
      <c r="F1841" s="3">
        <v>42019</v>
      </c>
      <c r="G1841" t="s">
        <v>192</v>
      </c>
      <c r="H1841" s="18">
        <v>375</v>
      </c>
      <c r="J1841" s="20" t="str">
        <f t="shared" si="104"/>
        <v/>
      </c>
      <c r="K1841" t="str">
        <f t="shared" si="106"/>
        <v/>
      </c>
      <c r="L1841" s="4">
        <f t="shared" si="105"/>
        <v>0</v>
      </c>
    </row>
    <row r="1842" spans="1:12" x14ac:dyDescent="0.25">
      <c r="A1842">
        <v>268</v>
      </c>
      <c r="B1842" s="3">
        <v>42020</v>
      </c>
      <c r="C1842" s="4">
        <v>594.25</v>
      </c>
      <c r="E1842">
        <v>268</v>
      </c>
      <c r="F1842" s="3">
        <v>42020</v>
      </c>
      <c r="G1842" t="s">
        <v>162</v>
      </c>
      <c r="H1842" s="18">
        <v>594.25</v>
      </c>
      <c r="J1842" s="20" t="str">
        <f t="shared" si="104"/>
        <v/>
      </c>
      <c r="K1842" t="str">
        <f t="shared" si="106"/>
        <v/>
      </c>
      <c r="L1842" s="4">
        <f t="shared" si="105"/>
        <v>0</v>
      </c>
    </row>
    <row r="1843" spans="1:12" x14ac:dyDescent="0.25">
      <c r="A1843">
        <v>203</v>
      </c>
      <c r="B1843" s="3">
        <v>42024</v>
      </c>
      <c r="C1843" s="4">
        <v>785</v>
      </c>
      <c r="E1843">
        <v>203</v>
      </c>
      <c r="F1843" s="3">
        <v>42024</v>
      </c>
      <c r="G1843" t="s">
        <v>95</v>
      </c>
      <c r="H1843" s="18">
        <v>785</v>
      </c>
      <c r="J1843" s="20" t="str">
        <f t="shared" si="104"/>
        <v/>
      </c>
      <c r="K1843" t="str">
        <f t="shared" si="106"/>
        <v/>
      </c>
      <c r="L1843" s="4">
        <f t="shared" si="105"/>
        <v>0</v>
      </c>
    </row>
    <row r="1844" spans="1:12" x14ac:dyDescent="0.25">
      <c r="A1844">
        <v>27</v>
      </c>
      <c r="B1844" s="3">
        <v>42027</v>
      </c>
      <c r="C1844" s="4">
        <v>8057.13</v>
      </c>
      <c r="E1844">
        <v>27</v>
      </c>
      <c r="F1844" s="3">
        <v>42027</v>
      </c>
      <c r="G1844" t="s">
        <v>159</v>
      </c>
      <c r="H1844" s="18">
        <v>6549.38</v>
      </c>
      <c r="J1844" s="20" t="str">
        <f t="shared" ref="J1844:J1860" si="107">IF(E1844=A1844,"","CHECK")</f>
        <v/>
      </c>
      <c r="K1844" t="str">
        <f t="shared" si="106"/>
        <v/>
      </c>
      <c r="L1844" s="4">
        <f t="shared" ref="L1844:L1860" si="108">C1844-H1844</f>
        <v>1507.75</v>
      </c>
    </row>
    <row r="1845" spans="1:12" x14ac:dyDescent="0.25">
      <c r="A1845">
        <v>28</v>
      </c>
      <c r="B1845" s="3">
        <v>42027</v>
      </c>
      <c r="C1845" s="4">
        <v>920.75</v>
      </c>
      <c r="E1845">
        <v>28</v>
      </c>
      <c r="F1845" s="3">
        <v>42027</v>
      </c>
      <c r="G1845" t="s">
        <v>6</v>
      </c>
      <c r="H1845" s="18">
        <v>920.75</v>
      </c>
      <c r="J1845" s="20" t="str">
        <f t="shared" si="107"/>
        <v/>
      </c>
      <c r="K1845" t="str">
        <f t="shared" si="106"/>
        <v/>
      </c>
      <c r="L1845" s="4">
        <f t="shared" si="108"/>
        <v>0</v>
      </c>
    </row>
    <row r="1846" spans="1:12" x14ac:dyDescent="0.25">
      <c r="A1846">
        <v>41</v>
      </c>
      <c r="B1846" s="3">
        <v>42027</v>
      </c>
      <c r="C1846" s="4">
        <v>1570.8</v>
      </c>
      <c r="E1846">
        <v>41</v>
      </c>
      <c r="F1846" s="3">
        <v>42027</v>
      </c>
      <c r="G1846" t="s">
        <v>10</v>
      </c>
      <c r="H1846" s="18">
        <v>1570.8</v>
      </c>
      <c r="J1846" s="20" t="str">
        <f t="shared" si="107"/>
        <v/>
      </c>
      <c r="K1846" t="str">
        <f t="shared" si="106"/>
        <v/>
      </c>
      <c r="L1846" s="4">
        <f t="shared" si="108"/>
        <v>0</v>
      </c>
    </row>
    <row r="1847" spans="1:12" x14ac:dyDescent="0.25">
      <c r="A1847">
        <v>133</v>
      </c>
      <c r="B1847" s="3">
        <v>42027</v>
      </c>
      <c r="C1847" s="4">
        <v>2850</v>
      </c>
      <c r="E1847">
        <v>133</v>
      </c>
      <c r="F1847" s="3">
        <v>42027</v>
      </c>
      <c r="G1847" t="s">
        <v>87</v>
      </c>
      <c r="H1847" s="18">
        <v>2850</v>
      </c>
      <c r="J1847" s="20" t="str">
        <f t="shared" si="107"/>
        <v/>
      </c>
      <c r="K1847" t="str">
        <f t="shared" si="106"/>
        <v/>
      </c>
      <c r="L1847" s="4">
        <f t="shared" si="108"/>
        <v>0</v>
      </c>
    </row>
    <row r="1848" spans="1:12" x14ac:dyDescent="0.25">
      <c r="A1848">
        <v>147</v>
      </c>
      <c r="B1848" s="3">
        <v>42027</v>
      </c>
      <c r="C1848" s="4">
        <v>319</v>
      </c>
      <c r="E1848">
        <v>147</v>
      </c>
      <c r="F1848" s="3">
        <v>42027</v>
      </c>
      <c r="G1848" t="s">
        <v>178</v>
      </c>
      <c r="H1848" s="18">
        <v>319</v>
      </c>
      <c r="J1848" s="20" t="str">
        <f t="shared" si="107"/>
        <v/>
      </c>
      <c r="K1848" t="str">
        <f t="shared" si="106"/>
        <v/>
      </c>
      <c r="L1848" s="4">
        <f t="shared" si="108"/>
        <v>0</v>
      </c>
    </row>
    <row r="1849" spans="1:12" x14ac:dyDescent="0.25">
      <c r="A1849">
        <v>203</v>
      </c>
      <c r="B1849" s="3">
        <v>42027</v>
      </c>
      <c r="C1849" s="4">
        <v>392.5</v>
      </c>
      <c r="E1849">
        <v>203</v>
      </c>
      <c r="F1849" s="3">
        <v>42027</v>
      </c>
      <c r="G1849" t="s">
        <v>95</v>
      </c>
      <c r="H1849" s="18">
        <v>392.5</v>
      </c>
      <c r="J1849" s="20" t="str">
        <f t="shared" si="107"/>
        <v/>
      </c>
      <c r="K1849" t="str">
        <f t="shared" si="106"/>
        <v/>
      </c>
      <c r="L1849" s="4">
        <f t="shared" si="108"/>
        <v>0</v>
      </c>
    </row>
    <row r="1850" spans="1:12" x14ac:dyDescent="0.25">
      <c r="A1850">
        <v>217</v>
      </c>
      <c r="B1850" s="3">
        <v>42027</v>
      </c>
      <c r="C1850" s="4">
        <v>785</v>
      </c>
      <c r="E1850">
        <v>217</v>
      </c>
      <c r="F1850" s="3">
        <v>42027</v>
      </c>
      <c r="G1850" t="s">
        <v>97</v>
      </c>
      <c r="H1850" s="18">
        <v>785</v>
      </c>
      <c r="J1850" s="20" t="str">
        <f t="shared" si="107"/>
        <v/>
      </c>
      <c r="K1850" t="str">
        <f t="shared" si="106"/>
        <v/>
      </c>
      <c r="L1850" s="4">
        <f t="shared" si="108"/>
        <v>0</v>
      </c>
    </row>
    <row r="1851" spans="1:12" x14ac:dyDescent="0.25">
      <c r="A1851">
        <v>248</v>
      </c>
      <c r="B1851" s="3">
        <v>42027</v>
      </c>
      <c r="C1851" s="4">
        <v>51</v>
      </c>
      <c r="E1851">
        <v>248</v>
      </c>
      <c r="F1851" s="3">
        <v>42027</v>
      </c>
      <c r="G1851" t="s">
        <v>19</v>
      </c>
      <c r="H1851" s="18">
        <v>51</v>
      </c>
      <c r="J1851" s="20" t="str">
        <f t="shared" si="107"/>
        <v/>
      </c>
      <c r="K1851" t="str">
        <f t="shared" si="106"/>
        <v/>
      </c>
      <c r="L1851" s="4">
        <f t="shared" si="108"/>
        <v>0</v>
      </c>
    </row>
    <row r="1852" spans="1:12" x14ac:dyDescent="0.25">
      <c r="A1852">
        <v>255</v>
      </c>
      <c r="B1852" s="3">
        <v>42027</v>
      </c>
      <c r="C1852" s="4">
        <v>787.5</v>
      </c>
      <c r="E1852">
        <v>255</v>
      </c>
      <c r="F1852" s="3">
        <v>42027</v>
      </c>
      <c r="G1852" t="s">
        <v>21</v>
      </c>
      <c r="H1852" s="18">
        <v>787.5</v>
      </c>
      <c r="J1852" s="20" t="str">
        <f t="shared" si="107"/>
        <v/>
      </c>
      <c r="K1852" t="str">
        <f t="shared" si="106"/>
        <v/>
      </c>
      <c r="L1852" s="4">
        <f t="shared" si="108"/>
        <v>0</v>
      </c>
    </row>
    <row r="1853" spans="1:12" x14ac:dyDescent="0.25">
      <c r="A1853">
        <v>261</v>
      </c>
      <c r="B1853" s="3">
        <v>42027</v>
      </c>
      <c r="C1853" s="4">
        <v>3838</v>
      </c>
      <c r="E1853">
        <v>261</v>
      </c>
      <c r="F1853" s="3">
        <v>42027</v>
      </c>
      <c r="G1853" t="s">
        <v>22</v>
      </c>
      <c r="H1853" s="18">
        <v>3838</v>
      </c>
      <c r="J1853" s="20" t="str">
        <f t="shared" si="107"/>
        <v/>
      </c>
      <c r="K1853" t="str">
        <f t="shared" si="106"/>
        <v/>
      </c>
      <c r="L1853" s="4">
        <f t="shared" si="108"/>
        <v>0</v>
      </c>
    </row>
    <row r="1854" spans="1:12" x14ac:dyDescent="0.25">
      <c r="A1854">
        <v>268</v>
      </c>
      <c r="B1854" s="3">
        <v>42027</v>
      </c>
      <c r="C1854" s="4">
        <v>637.5</v>
      </c>
      <c r="E1854">
        <v>268</v>
      </c>
      <c r="F1854" s="3">
        <v>42027</v>
      </c>
      <c r="G1854" t="s">
        <v>162</v>
      </c>
      <c r="H1854" s="18">
        <v>637.5</v>
      </c>
      <c r="J1854" s="20" t="str">
        <f t="shared" si="107"/>
        <v/>
      </c>
      <c r="K1854" t="str">
        <f t="shared" si="106"/>
        <v/>
      </c>
      <c r="L1854" s="4">
        <f t="shared" si="108"/>
        <v>0</v>
      </c>
    </row>
    <row r="1855" spans="1:12" x14ac:dyDescent="0.25">
      <c r="A1855">
        <v>282</v>
      </c>
      <c r="B1855" s="3">
        <v>42027</v>
      </c>
      <c r="C1855" s="4">
        <v>1625</v>
      </c>
      <c r="E1855">
        <v>282</v>
      </c>
      <c r="F1855" s="3">
        <v>42027</v>
      </c>
      <c r="G1855" t="s">
        <v>23</v>
      </c>
      <c r="H1855" s="18">
        <v>1625</v>
      </c>
      <c r="J1855" s="20" t="str">
        <f t="shared" si="107"/>
        <v/>
      </c>
      <c r="K1855" t="str">
        <f t="shared" si="106"/>
        <v/>
      </c>
      <c r="L1855" s="4">
        <f t="shared" si="108"/>
        <v>0</v>
      </c>
    </row>
    <row r="1856" spans="1:12" x14ac:dyDescent="0.25">
      <c r="A1856">
        <v>326</v>
      </c>
      <c r="B1856" s="3">
        <v>42027</v>
      </c>
      <c r="C1856" s="4">
        <v>250</v>
      </c>
      <c r="E1856">
        <v>326</v>
      </c>
      <c r="F1856" s="3">
        <v>42027</v>
      </c>
      <c r="G1856" t="s">
        <v>25</v>
      </c>
      <c r="H1856" s="18">
        <v>250</v>
      </c>
      <c r="J1856" s="20" t="str">
        <f t="shared" si="107"/>
        <v/>
      </c>
      <c r="K1856" t="str">
        <f t="shared" si="106"/>
        <v/>
      </c>
      <c r="L1856" s="4">
        <f t="shared" si="108"/>
        <v>0</v>
      </c>
    </row>
    <row r="1857" spans="1:12" x14ac:dyDescent="0.25">
      <c r="A1857">
        <v>332</v>
      </c>
      <c r="B1857" s="3">
        <v>42027</v>
      </c>
      <c r="C1857" s="4">
        <v>765</v>
      </c>
      <c r="E1857">
        <v>332</v>
      </c>
      <c r="F1857" s="3">
        <v>42027</v>
      </c>
      <c r="G1857" t="s">
        <v>27</v>
      </c>
      <c r="H1857" s="18">
        <v>765</v>
      </c>
      <c r="J1857" s="20" t="str">
        <f t="shared" si="107"/>
        <v/>
      </c>
      <c r="K1857" t="str">
        <f t="shared" si="106"/>
        <v/>
      </c>
      <c r="L1857" s="4">
        <f t="shared" si="108"/>
        <v>0</v>
      </c>
    </row>
    <row r="1858" spans="1:12" x14ac:dyDescent="0.25">
      <c r="A1858">
        <v>355</v>
      </c>
      <c r="B1858" s="3">
        <v>42027</v>
      </c>
      <c r="C1858" s="4">
        <v>839.74</v>
      </c>
      <c r="E1858">
        <v>355</v>
      </c>
      <c r="F1858" s="3">
        <v>42027</v>
      </c>
      <c r="G1858" t="s">
        <v>108</v>
      </c>
      <c r="H1858" s="18">
        <v>839.74</v>
      </c>
      <c r="J1858" s="20" t="str">
        <f t="shared" si="107"/>
        <v/>
      </c>
      <c r="K1858" t="str">
        <f t="shared" si="106"/>
        <v/>
      </c>
      <c r="L1858" s="4">
        <f t="shared" si="108"/>
        <v>0</v>
      </c>
    </row>
    <row r="1859" spans="1:12" x14ac:dyDescent="0.25">
      <c r="A1859">
        <v>358</v>
      </c>
      <c r="B1859" s="3">
        <v>42027</v>
      </c>
      <c r="C1859" s="4">
        <v>790.5</v>
      </c>
      <c r="E1859">
        <v>358</v>
      </c>
      <c r="F1859" s="3">
        <v>42027</v>
      </c>
      <c r="G1859" t="s">
        <v>179</v>
      </c>
      <c r="H1859" s="18">
        <v>790.5</v>
      </c>
      <c r="J1859" s="20" t="str">
        <f t="shared" si="107"/>
        <v/>
      </c>
      <c r="K1859" t="str">
        <f t="shared" ref="K1859:K1922" si="109">IF(F1859=B1859,"","CHECK")</f>
        <v/>
      </c>
      <c r="L1859" s="4">
        <f t="shared" si="108"/>
        <v>0</v>
      </c>
    </row>
    <row r="1860" spans="1:12" x14ac:dyDescent="0.25">
      <c r="A1860">
        <v>365</v>
      </c>
      <c r="B1860" s="3">
        <v>42027</v>
      </c>
      <c r="C1860" s="4">
        <v>614</v>
      </c>
      <c r="E1860">
        <v>365</v>
      </c>
      <c r="F1860" s="3">
        <v>42027</v>
      </c>
      <c r="G1860" t="s">
        <v>29</v>
      </c>
      <c r="H1860" s="18">
        <v>614</v>
      </c>
      <c r="J1860" s="20" t="str">
        <f t="shared" ref="J1860:J1923" si="110">IF(E1860=A1860,"","CHECK")</f>
        <v/>
      </c>
      <c r="K1860" t="str">
        <f t="shared" si="109"/>
        <v/>
      </c>
      <c r="L1860" s="4">
        <f t="shared" ref="L1860:L1923" si="111">C1860-H1860</f>
        <v>0</v>
      </c>
    </row>
    <row r="1861" spans="1:12" x14ac:dyDescent="0.25">
      <c r="B1861" s="3"/>
      <c r="E1861">
        <v>370</v>
      </c>
      <c r="F1861" s="3">
        <v>42027</v>
      </c>
      <c r="G1861" t="s">
        <v>180</v>
      </c>
      <c r="H1861" s="18">
        <v>0</v>
      </c>
      <c r="J1861" s="20" t="str">
        <f t="shared" si="110"/>
        <v>CHECK</v>
      </c>
      <c r="K1861" t="str">
        <f t="shared" si="109"/>
        <v>CHECK</v>
      </c>
      <c r="L1861" s="4">
        <f t="shared" si="111"/>
        <v>0</v>
      </c>
    </row>
    <row r="1862" spans="1:12" x14ac:dyDescent="0.25">
      <c r="A1862">
        <v>382</v>
      </c>
      <c r="B1862" s="3">
        <v>42027</v>
      </c>
      <c r="C1862" s="4">
        <v>475</v>
      </c>
      <c r="E1862">
        <v>382</v>
      </c>
      <c r="F1862" s="3">
        <v>42027</v>
      </c>
      <c r="G1862" t="s">
        <v>164</v>
      </c>
      <c r="H1862" s="18">
        <v>475</v>
      </c>
      <c r="J1862" s="20" t="str">
        <f t="shared" si="110"/>
        <v/>
      </c>
      <c r="K1862" t="str">
        <f t="shared" si="109"/>
        <v/>
      </c>
      <c r="L1862" s="4">
        <f t="shared" si="111"/>
        <v>0</v>
      </c>
    </row>
    <row r="1863" spans="1:12" x14ac:dyDescent="0.25">
      <c r="A1863">
        <v>407</v>
      </c>
      <c r="B1863" s="3">
        <v>42027</v>
      </c>
      <c r="C1863" s="4">
        <v>225</v>
      </c>
      <c r="E1863">
        <v>407</v>
      </c>
      <c r="F1863" s="3">
        <v>42027</v>
      </c>
      <c r="G1863" t="s">
        <v>113</v>
      </c>
      <c r="H1863" s="18">
        <v>225</v>
      </c>
      <c r="J1863" s="20" t="str">
        <f t="shared" si="110"/>
        <v/>
      </c>
      <c r="K1863" t="str">
        <f t="shared" si="109"/>
        <v/>
      </c>
      <c r="L1863" s="4">
        <f t="shared" si="111"/>
        <v>0</v>
      </c>
    </row>
    <row r="1864" spans="1:12" x14ac:dyDescent="0.25">
      <c r="A1864">
        <v>530</v>
      </c>
      <c r="B1864" s="3">
        <v>42027</v>
      </c>
      <c r="C1864" s="4">
        <v>125</v>
      </c>
      <c r="E1864">
        <v>530</v>
      </c>
      <c r="F1864" s="3">
        <v>42027</v>
      </c>
      <c r="G1864" t="s">
        <v>35</v>
      </c>
      <c r="H1864" s="18">
        <v>125</v>
      </c>
      <c r="J1864" s="20" t="str">
        <f t="shared" si="110"/>
        <v/>
      </c>
      <c r="K1864" t="str">
        <f t="shared" si="109"/>
        <v/>
      </c>
      <c r="L1864" s="4">
        <f t="shared" si="111"/>
        <v>0</v>
      </c>
    </row>
    <row r="1865" spans="1:12" x14ac:dyDescent="0.25">
      <c r="A1865">
        <v>580</v>
      </c>
      <c r="B1865" s="3">
        <v>42027</v>
      </c>
      <c r="C1865" s="4">
        <v>500</v>
      </c>
      <c r="E1865">
        <v>580</v>
      </c>
      <c r="F1865" s="3">
        <v>42027</v>
      </c>
      <c r="G1865" t="s">
        <v>37</v>
      </c>
      <c r="H1865" s="18">
        <v>500</v>
      </c>
      <c r="J1865" s="20" t="str">
        <f t="shared" si="110"/>
        <v/>
      </c>
      <c r="K1865" t="str">
        <f t="shared" si="109"/>
        <v/>
      </c>
      <c r="L1865" s="4">
        <f t="shared" si="111"/>
        <v>0</v>
      </c>
    </row>
    <row r="1866" spans="1:12" x14ac:dyDescent="0.25">
      <c r="A1866">
        <v>583</v>
      </c>
      <c r="B1866" s="3">
        <v>42027</v>
      </c>
      <c r="C1866" s="4">
        <v>739.5</v>
      </c>
      <c r="E1866">
        <v>583</v>
      </c>
      <c r="F1866" s="3">
        <v>42027</v>
      </c>
      <c r="G1866" t="s">
        <v>124</v>
      </c>
      <c r="H1866" s="18">
        <v>739.5</v>
      </c>
      <c r="J1866" s="20" t="str">
        <f t="shared" si="110"/>
        <v/>
      </c>
      <c r="K1866" t="str">
        <f t="shared" si="109"/>
        <v/>
      </c>
      <c r="L1866" s="4">
        <f t="shared" si="111"/>
        <v>0</v>
      </c>
    </row>
    <row r="1867" spans="1:12" x14ac:dyDescent="0.25">
      <c r="A1867">
        <v>593</v>
      </c>
      <c r="B1867" s="3">
        <v>42027</v>
      </c>
      <c r="C1867" s="4">
        <v>1007.25</v>
      </c>
      <c r="E1867">
        <v>593</v>
      </c>
      <c r="F1867" s="3">
        <v>42027</v>
      </c>
      <c r="G1867" t="s">
        <v>38</v>
      </c>
      <c r="H1867" s="18">
        <v>1007.25</v>
      </c>
      <c r="J1867" s="20" t="str">
        <f t="shared" si="110"/>
        <v/>
      </c>
      <c r="K1867" t="str">
        <f t="shared" si="109"/>
        <v/>
      </c>
      <c r="L1867" s="4">
        <f t="shared" si="111"/>
        <v>0</v>
      </c>
    </row>
    <row r="1868" spans="1:12" x14ac:dyDescent="0.25">
      <c r="A1868">
        <v>607</v>
      </c>
      <c r="B1868" s="3">
        <v>42027</v>
      </c>
      <c r="C1868" s="4">
        <v>575</v>
      </c>
      <c r="E1868">
        <v>607</v>
      </c>
      <c r="F1868" s="3">
        <v>42027</v>
      </c>
      <c r="G1868" t="s">
        <v>39</v>
      </c>
      <c r="H1868" s="18">
        <v>575</v>
      </c>
      <c r="J1868" s="20" t="str">
        <f t="shared" si="110"/>
        <v/>
      </c>
      <c r="K1868" t="str">
        <f t="shared" si="109"/>
        <v/>
      </c>
      <c r="L1868" s="4">
        <f t="shared" si="111"/>
        <v>0</v>
      </c>
    </row>
    <row r="1869" spans="1:12" x14ac:dyDescent="0.25">
      <c r="A1869">
        <v>648</v>
      </c>
      <c r="B1869" s="3">
        <v>42027</v>
      </c>
      <c r="C1869" s="4">
        <v>875</v>
      </c>
      <c r="E1869">
        <v>648</v>
      </c>
      <c r="F1869" s="3">
        <v>42027</v>
      </c>
      <c r="G1869" t="s">
        <v>42</v>
      </c>
      <c r="H1869" s="18">
        <v>875</v>
      </c>
      <c r="J1869" s="20" t="str">
        <f t="shared" si="110"/>
        <v/>
      </c>
      <c r="K1869" t="str">
        <f t="shared" si="109"/>
        <v/>
      </c>
      <c r="L1869" s="4">
        <f t="shared" si="111"/>
        <v>0</v>
      </c>
    </row>
    <row r="1870" spans="1:12" x14ac:dyDescent="0.25">
      <c r="A1870">
        <v>656</v>
      </c>
      <c r="B1870" s="3">
        <v>42027</v>
      </c>
      <c r="C1870" s="4">
        <v>429</v>
      </c>
      <c r="E1870">
        <v>656</v>
      </c>
      <c r="F1870" s="3">
        <v>42027</v>
      </c>
      <c r="G1870" t="s">
        <v>43</v>
      </c>
      <c r="H1870" s="18">
        <v>429</v>
      </c>
      <c r="J1870" s="20" t="str">
        <f t="shared" si="110"/>
        <v/>
      </c>
      <c r="K1870" t="str">
        <f t="shared" si="109"/>
        <v/>
      </c>
      <c r="L1870" s="4">
        <f t="shared" si="111"/>
        <v>0</v>
      </c>
    </row>
    <row r="1871" spans="1:12" x14ac:dyDescent="0.25">
      <c r="A1871">
        <v>659</v>
      </c>
      <c r="B1871" s="3">
        <v>42027</v>
      </c>
      <c r="C1871" s="4">
        <v>1053.25</v>
      </c>
      <c r="E1871">
        <v>659</v>
      </c>
      <c r="F1871" s="3">
        <v>42027</v>
      </c>
      <c r="G1871" t="s">
        <v>44</v>
      </c>
      <c r="H1871" s="18">
        <v>1053.25</v>
      </c>
      <c r="J1871" s="20" t="str">
        <f t="shared" si="110"/>
        <v/>
      </c>
      <c r="K1871" t="str">
        <f t="shared" si="109"/>
        <v/>
      </c>
      <c r="L1871" s="4">
        <f t="shared" si="111"/>
        <v>0</v>
      </c>
    </row>
    <row r="1872" spans="1:12" x14ac:dyDescent="0.25">
      <c r="A1872">
        <v>679</v>
      </c>
      <c r="B1872" s="3">
        <v>42027</v>
      </c>
      <c r="C1872" s="4">
        <v>153</v>
      </c>
      <c r="E1872">
        <v>679</v>
      </c>
      <c r="F1872" s="3">
        <v>42027</v>
      </c>
      <c r="G1872" t="s">
        <v>169</v>
      </c>
      <c r="H1872" s="18">
        <v>153</v>
      </c>
      <c r="J1872" s="20" t="str">
        <f t="shared" si="110"/>
        <v/>
      </c>
      <c r="K1872" t="str">
        <f t="shared" si="109"/>
        <v/>
      </c>
      <c r="L1872" s="4">
        <f t="shared" si="111"/>
        <v>0</v>
      </c>
    </row>
    <row r="1873" spans="1:12" x14ac:dyDescent="0.25">
      <c r="A1873">
        <v>680</v>
      </c>
      <c r="B1873" s="3">
        <v>42027</v>
      </c>
      <c r="C1873" s="4">
        <v>1351.5</v>
      </c>
      <c r="E1873">
        <v>680</v>
      </c>
      <c r="F1873" s="3">
        <v>42027</v>
      </c>
      <c r="G1873" t="s">
        <v>46</v>
      </c>
      <c r="H1873" s="18">
        <v>1351.5</v>
      </c>
      <c r="J1873" s="20" t="str">
        <f t="shared" si="110"/>
        <v/>
      </c>
      <c r="K1873" t="str">
        <f t="shared" si="109"/>
        <v/>
      </c>
      <c r="L1873" s="4">
        <f t="shared" si="111"/>
        <v>0</v>
      </c>
    </row>
    <row r="1874" spans="1:12" x14ac:dyDescent="0.25">
      <c r="A1874">
        <v>714</v>
      </c>
      <c r="B1874" s="3">
        <v>42027</v>
      </c>
      <c r="C1874" s="4">
        <v>204</v>
      </c>
      <c r="E1874">
        <v>714</v>
      </c>
      <c r="F1874" s="3">
        <v>42027</v>
      </c>
      <c r="G1874" t="s">
        <v>171</v>
      </c>
      <c r="H1874" s="18">
        <v>204</v>
      </c>
      <c r="J1874" s="20" t="str">
        <f t="shared" si="110"/>
        <v/>
      </c>
      <c r="K1874" t="str">
        <f t="shared" si="109"/>
        <v/>
      </c>
      <c r="L1874" s="4">
        <f t="shared" si="111"/>
        <v>0</v>
      </c>
    </row>
    <row r="1875" spans="1:12" x14ac:dyDescent="0.25">
      <c r="A1875">
        <v>722</v>
      </c>
      <c r="B1875" s="3">
        <v>42027</v>
      </c>
      <c r="C1875" s="4">
        <v>3053</v>
      </c>
      <c r="E1875">
        <v>722</v>
      </c>
      <c r="F1875" s="3">
        <v>42027</v>
      </c>
      <c r="G1875" t="s">
        <v>135</v>
      </c>
      <c r="H1875" s="18">
        <v>3053</v>
      </c>
      <c r="J1875" s="20" t="str">
        <f t="shared" si="110"/>
        <v/>
      </c>
      <c r="K1875" t="str">
        <f t="shared" si="109"/>
        <v/>
      </c>
      <c r="L1875" s="4">
        <f t="shared" si="111"/>
        <v>0</v>
      </c>
    </row>
    <row r="1876" spans="1:12" x14ac:dyDescent="0.25">
      <c r="A1876">
        <v>726</v>
      </c>
      <c r="B1876" s="3">
        <v>42027</v>
      </c>
      <c r="C1876" s="4">
        <v>140.25</v>
      </c>
      <c r="E1876">
        <v>726</v>
      </c>
      <c r="F1876" s="3">
        <v>42027</v>
      </c>
      <c r="G1876" t="s">
        <v>53</v>
      </c>
      <c r="H1876" s="18">
        <v>0</v>
      </c>
      <c r="J1876" s="20" t="str">
        <f t="shared" si="110"/>
        <v/>
      </c>
      <c r="K1876" t="str">
        <f t="shared" si="109"/>
        <v/>
      </c>
      <c r="L1876" s="4">
        <f t="shared" si="111"/>
        <v>140.25</v>
      </c>
    </row>
    <row r="1877" spans="1:12" x14ac:dyDescent="0.25">
      <c r="A1877">
        <v>771</v>
      </c>
      <c r="B1877" s="3">
        <v>42027</v>
      </c>
      <c r="C1877" s="4">
        <v>300</v>
      </c>
      <c r="E1877">
        <v>771</v>
      </c>
      <c r="F1877" s="3">
        <v>42027</v>
      </c>
      <c r="G1877" t="s">
        <v>57</v>
      </c>
      <c r="H1877" s="18">
        <v>300</v>
      </c>
      <c r="J1877" s="20" t="str">
        <f t="shared" si="110"/>
        <v/>
      </c>
      <c r="K1877" t="str">
        <f t="shared" si="109"/>
        <v/>
      </c>
      <c r="L1877" s="4">
        <f t="shared" si="111"/>
        <v>0</v>
      </c>
    </row>
    <row r="1878" spans="1:12" x14ac:dyDescent="0.25">
      <c r="A1878">
        <v>784</v>
      </c>
      <c r="B1878" s="3">
        <v>42027</v>
      </c>
      <c r="C1878" s="4">
        <v>255</v>
      </c>
      <c r="E1878">
        <v>784</v>
      </c>
      <c r="F1878" s="3">
        <v>42027</v>
      </c>
      <c r="G1878" t="s">
        <v>58</v>
      </c>
      <c r="H1878" s="18">
        <v>255</v>
      </c>
      <c r="J1878" s="20" t="str">
        <f t="shared" si="110"/>
        <v/>
      </c>
      <c r="K1878" t="str">
        <f t="shared" si="109"/>
        <v/>
      </c>
      <c r="L1878" s="4">
        <f t="shared" si="111"/>
        <v>0</v>
      </c>
    </row>
    <row r="1879" spans="1:12" x14ac:dyDescent="0.25">
      <c r="A1879">
        <v>809</v>
      </c>
      <c r="B1879" s="3">
        <v>42027</v>
      </c>
      <c r="C1879" s="4">
        <v>350</v>
      </c>
      <c r="E1879">
        <v>809</v>
      </c>
      <c r="F1879" s="3">
        <v>42027</v>
      </c>
      <c r="G1879" t="s">
        <v>59</v>
      </c>
      <c r="H1879" s="18">
        <v>350</v>
      </c>
      <c r="J1879" s="20" t="str">
        <f t="shared" si="110"/>
        <v/>
      </c>
      <c r="K1879" t="str">
        <f t="shared" si="109"/>
        <v/>
      </c>
      <c r="L1879" s="4">
        <f t="shared" si="111"/>
        <v>0</v>
      </c>
    </row>
    <row r="1880" spans="1:12" x14ac:dyDescent="0.25">
      <c r="A1880">
        <v>817</v>
      </c>
      <c r="B1880" s="3">
        <v>42027</v>
      </c>
      <c r="C1880" s="4">
        <v>408</v>
      </c>
      <c r="E1880">
        <v>817</v>
      </c>
      <c r="F1880" s="3">
        <v>42027</v>
      </c>
      <c r="G1880" t="s">
        <v>60</v>
      </c>
      <c r="H1880" s="18">
        <v>408</v>
      </c>
      <c r="J1880" s="20" t="str">
        <f t="shared" si="110"/>
        <v/>
      </c>
      <c r="K1880" t="str">
        <f t="shared" si="109"/>
        <v/>
      </c>
      <c r="L1880" s="4">
        <f t="shared" si="111"/>
        <v>0</v>
      </c>
    </row>
    <row r="1881" spans="1:12" x14ac:dyDescent="0.25">
      <c r="A1881">
        <v>890</v>
      </c>
      <c r="B1881" s="3">
        <v>42027</v>
      </c>
      <c r="C1881" s="4">
        <v>165.75</v>
      </c>
      <c r="E1881">
        <v>890</v>
      </c>
      <c r="F1881" s="3">
        <v>42027</v>
      </c>
      <c r="G1881" t="s">
        <v>140</v>
      </c>
      <c r="H1881" s="18">
        <v>165.75</v>
      </c>
      <c r="J1881" s="20" t="str">
        <f t="shared" si="110"/>
        <v/>
      </c>
      <c r="K1881" t="str">
        <f t="shared" si="109"/>
        <v/>
      </c>
      <c r="L1881" s="4">
        <f t="shared" si="111"/>
        <v>0</v>
      </c>
    </row>
    <row r="1882" spans="1:12" x14ac:dyDescent="0.25">
      <c r="A1882">
        <v>927</v>
      </c>
      <c r="B1882" s="3">
        <v>42027</v>
      </c>
      <c r="C1882" s="4">
        <v>318.75</v>
      </c>
      <c r="E1882">
        <v>927</v>
      </c>
      <c r="F1882" s="3">
        <v>42027</v>
      </c>
      <c r="G1882" t="s">
        <v>69</v>
      </c>
      <c r="H1882" s="18">
        <v>318.75</v>
      </c>
      <c r="J1882" s="20" t="str">
        <f t="shared" si="110"/>
        <v/>
      </c>
      <c r="K1882" t="str">
        <f t="shared" si="109"/>
        <v/>
      </c>
      <c r="L1882" s="4">
        <f t="shared" si="111"/>
        <v>0</v>
      </c>
    </row>
    <row r="1883" spans="1:12" x14ac:dyDescent="0.25">
      <c r="A1883">
        <v>190</v>
      </c>
      <c r="B1883" s="3">
        <v>42031</v>
      </c>
      <c r="C1883" s="4">
        <v>1405.57</v>
      </c>
      <c r="E1883">
        <v>190</v>
      </c>
      <c r="F1883" s="3">
        <v>42031</v>
      </c>
      <c r="G1883" t="s">
        <v>177</v>
      </c>
      <c r="H1883" s="18">
        <v>0</v>
      </c>
      <c r="J1883" s="20" t="str">
        <f t="shared" si="110"/>
        <v/>
      </c>
      <c r="K1883" t="str">
        <f t="shared" si="109"/>
        <v/>
      </c>
      <c r="L1883" s="4">
        <f t="shared" si="111"/>
        <v>1405.57</v>
      </c>
    </row>
    <row r="1884" spans="1:12" x14ac:dyDescent="0.25">
      <c r="A1884">
        <v>19</v>
      </c>
      <c r="B1884" s="3">
        <v>42034</v>
      </c>
      <c r="C1884" s="4">
        <v>10000</v>
      </c>
      <c r="E1884">
        <v>19</v>
      </c>
      <c r="F1884" s="3">
        <v>42034</v>
      </c>
      <c r="G1884" t="s">
        <v>157</v>
      </c>
      <c r="H1884" s="18">
        <v>10000</v>
      </c>
      <c r="J1884" s="20" t="str">
        <f t="shared" si="110"/>
        <v/>
      </c>
      <c r="K1884" t="str">
        <f t="shared" si="109"/>
        <v/>
      </c>
      <c r="L1884" s="4">
        <f t="shared" si="111"/>
        <v>0</v>
      </c>
    </row>
    <row r="1885" spans="1:12" x14ac:dyDescent="0.25">
      <c r="A1885">
        <v>24</v>
      </c>
      <c r="B1885" s="3">
        <v>42034</v>
      </c>
      <c r="C1885" s="4">
        <v>17.989999999999998</v>
      </c>
      <c r="E1885">
        <v>24</v>
      </c>
      <c r="F1885" s="3">
        <v>42034</v>
      </c>
      <c r="G1885" t="s">
        <v>158</v>
      </c>
      <c r="H1885" s="18">
        <v>17.989999999999998</v>
      </c>
      <c r="J1885" s="20" t="str">
        <f t="shared" si="110"/>
        <v/>
      </c>
      <c r="K1885" t="str">
        <f t="shared" si="109"/>
        <v/>
      </c>
      <c r="L1885" s="4">
        <f t="shared" si="111"/>
        <v>0</v>
      </c>
    </row>
    <row r="1886" spans="1:12" x14ac:dyDescent="0.25">
      <c r="A1886">
        <v>27</v>
      </c>
      <c r="B1886" s="3">
        <v>42034</v>
      </c>
      <c r="C1886" s="4">
        <v>250</v>
      </c>
      <c r="E1886">
        <v>27</v>
      </c>
      <c r="F1886" s="3">
        <v>42034</v>
      </c>
      <c r="G1886" t="s">
        <v>159</v>
      </c>
      <c r="H1886" s="18">
        <v>0</v>
      </c>
      <c r="J1886" s="20" t="str">
        <f t="shared" si="110"/>
        <v/>
      </c>
      <c r="K1886" t="str">
        <f t="shared" si="109"/>
        <v/>
      </c>
      <c r="L1886" s="4">
        <f t="shared" si="111"/>
        <v>250</v>
      </c>
    </row>
    <row r="1887" spans="1:12" x14ac:dyDescent="0.25">
      <c r="A1887">
        <v>28</v>
      </c>
      <c r="B1887" s="3">
        <v>42034</v>
      </c>
      <c r="C1887" s="4">
        <v>835</v>
      </c>
      <c r="E1887">
        <v>28</v>
      </c>
      <c r="F1887" s="3">
        <v>42034</v>
      </c>
      <c r="G1887" t="s">
        <v>6</v>
      </c>
      <c r="H1887" s="18">
        <v>364</v>
      </c>
      <c r="J1887" s="20" t="str">
        <f t="shared" si="110"/>
        <v/>
      </c>
      <c r="K1887" t="str">
        <f t="shared" si="109"/>
        <v/>
      </c>
      <c r="L1887" s="4">
        <f t="shared" si="111"/>
        <v>471</v>
      </c>
    </row>
    <row r="1888" spans="1:12" x14ac:dyDescent="0.25">
      <c r="A1888">
        <v>32</v>
      </c>
      <c r="B1888" s="3">
        <v>42034</v>
      </c>
      <c r="C1888" s="4">
        <v>960.31</v>
      </c>
      <c r="E1888">
        <v>32</v>
      </c>
      <c r="F1888" s="3">
        <v>42034</v>
      </c>
      <c r="G1888" t="s">
        <v>7</v>
      </c>
      <c r="H1888" s="18">
        <v>960.31</v>
      </c>
      <c r="J1888" s="20" t="str">
        <f t="shared" si="110"/>
        <v/>
      </c>
      <c r="K1888" t="str">
        <f t="shared" si="109"/>
        <v/>
      </c>
      <c r="L1888" s="4">
        <f t="shared" si="111"/>
        <v>0</v>
      </c>
    </row>
    <row r="1889" spans="1:12" x14ac:dyDescent="0.25">
      <c r="A1889">
        <v>37</v>
      </c>
      <c r="B1889" s="3">
        <v>42034</v>
      </c>
      <c r="C1889" s="4">
        <v>3345.61</v>
      </c>
      <c r="E1889">
        <v>37</v>
      </c>
      <c r="F1889" s="3">
        <v>42034</v>
      </c>
      <c r="G1889" t="s">
        <v>77</v>
      </c>
      <c r="H1889" s="18">
        <v>2633.11</v>
      </c>
      <c r="J1889" s="20" t="str">
        <f t="shared" si="110"/>
        <v/>
      </c>
      <c r="K1889" t="str">
        <f t="shared" si="109"/>
        <v/>
      </c>
      <c r="L1889" s="4">
        <f t="shared" si="111"/>
        <v>712.5</v>
      </c>
    </row>
    <row r="1890" spans="1:12" x14ac:dyDescent="0.25">
      <c r="A1890">
        <v>108</v>
      </c>
      <c r="B1890" s="3">
        <v>42034</v>
      </c>
      <c r="C1890" s="4">
        <v>5</v>
      </c>
      <c r="E1890">
        <v>108</v>
      </c>
      <c r="F1890" s="3">
        <v>42034</v>
      </c>
      <c r="G1890" t="s">
        <v>160</v>
      </c>
      <c r="H1890" s="18">
        <v>-250</v>
      </c>
      <c r="J1890" s="20" t="str">
        <f t="shared" si="110"/>
        <v/>
      </c>
      <c r="K1890" t="str">
        <f t="shared" si="109"/>
        <v/>
      </c>
      <c r="L1890" s="4">
        <f t="shared" si="111"/>
        <v>255</v>
      </c>
    </row>
    <row r="1891" spans="1:12" x14ac:dyDescent="0.25">
      <c r="A1891">
        <v>133</v>
      </c>
      <c r="B1891" s="3">
        <v>42034</v>
      </c>
      <c r="C1891" s="4">
        <v>3032.21</v>
      </c>
      <c r="E1891">
        <v>133</v>
      </c>
      <c r="F1891" s="3">
        <v>42034</v>
      </c>
      <c r="G1891" t="s">
        <v>87</v>
      </c>
      <c r="H1891" s="18">
        <v>157.21</v>
      </c>
      <c r="J1891" s="20" t="str">
        <f t="shared" si="110"/>
        <v/>
      </c>
      <c r="K1891" t="str">
        <f t="shared" si="109"/>
        <v/>
      </c>
      <c r="L1891" s="4">
        <f t="shared" si="111"/>
        <v>2875</v>
      </c>
    </row>
    <row r="1892" spans="1:12" x14ac:dyDescent="0.25">
      <c r="A1892">
        <v>180</v>
      </c>
      <c r="B1892" s="3">
        <v>42034</v>
      </c>
      <c r="C1892" s="4">
        <v>34.17</v>
      </c>
      <c r="E1892">
        <v>180</v>
      </c>
      <c r="F1892" s="3">
        <v>42034</v>
      </c>
      <c r="G1892" t="s">
        <v>161</v>
      </c>
      <c r="H1892" s="18">
        <v>34.17</v>
      </c>
      <c r="J1892" s="20" t="str">
        <f t="shared" si="110"/>
        <v/>
      </c>
      <c r="K1892" t="str">
        <f t="shared" si="109"/>
        <v/>
      </c>
      <c r="L1892" s="4">
        <f t="shared" si="111"/>
        <v>0</v>
      </c>
    </row>
    <row r="1893" spans="1:12" x14ac:dyDescent="0.25">
      <c r="A1893">
        <v>203</v>
      </c>
      <c r="B1893" s="3">
        <v>42034</v>
      </c>
      <c r="C1893" s="4">
        <v>4040.5</v>
      </c>
      <c r="E1893">
        <v>203</v>
      </c>
      <c r="F1893" s="3">
        <v>42034</v>
      </c>
      <c r="G1893" t="s">
        <v>95</v>
      </c>
      <c r="H1893" s="18">
        <v>2690.5</v>
      </c>
      <c r="J1893" s="20" t="str">
        <f t="shared" si="110"/>
        <v/>
      </c>
      <c r="K1893" t="str">
        <f t="shared" si="109"/>
        <v/>
      </c>
      <c r="L1893" s="4">
        <f t="shared" si="111"/>
        <v>1350</v>
      </c>
    </row>
    <row r="1894" spans="1:12" x14ac:dyDescent="0.25">
      <c r="A1894">
        <v>217</v>
      </c>
      <c r="B1894" s="3">
        <v>42034</v>
      </c>
      <c r="C1894" s="4">
        <v>1145.22</v>
      </c>
      <c r="E1894">
        <v>217</v>
      </c>
      <c r="F1894" s="3">
        <v>42034</v>
      </c>
      <c r="G1894" t="s">
        <v>97</v>
      </c>
      <c r="H1894" s="18">
        <v>1145.23</v>
      </c>
      <c r="J1894" s="20" t="str">
        <f t="shared" si="110"/>
        <v/>
      </c>
      <c r="K1894" t="str">
        <f t="shared" si="109"/>
        <v/>
      </c>
      <c r="L1894" s="4">
        <f t="shared" si="111"/>
        <v>-9.9999999999909051E-3</v>
      </c>
    </row>
    <row r="1895" spans="1:12" x14ac:dyDescent="0.25">
      <c r="A1895">
        <v>261</v>
      </c>
      <c r="B1895" s="3">
        <v>42034</v>
      </c>
      <c r="C1895" s="4">
        <v>318.75</v>
      </c>
      <c r="E1895">
        <v>261</v>
      </c>
      <c r="F1895" s="3">
        <v>42034</v>
      </c>
      <c r="G1895" t="s">
        <v>22</v>
      </c>
      <c r="H1895" s="18">
        <v>0</v>
      </c>
      <c r="J1895" s="20" t="str">
        <f t="shared" si="110"/>
        <v/>
      </c>
      <c r="K1895" t="str">
        <f t="shared" si="109"/>
        <v/>
      </c>
      <c r="L1895" s="4">
        <f t="shared" si="111"/>
        <v>318.75</v>
      </c>
    </row>
    <row r="1896" spans="1:12" x14ac:dyDescent="0.25">
      <c r="A1896">
        <v>268</v>
      </c>
      <c r="B1896" s="3">
        <v>42034</v>
      </c>
      <c r="C1896" s="4">
        <v>500</v>
      </c>
      <c r="E1896">
        <v>268</v>
      </c>
      <c r="F1896" s="3">
        <v>42034</v>
      </c>
      <c r="G1896" t="s">
        <v>162</v>
      </c>
      <c r="H1896" s="18">
        <v>250</v>
      </c>
      <c r="J1896" s="20" t="str">
        <f t="shared" si="110"/>
        <v/>
      </c>
      <c r="K1896" t="str">
        <f t="shared" si="109"/>
        <v/>
      </c>
      <c r="L1896" s="4">
        <f t="shared" si="111"/>
        <v>250</v>
      </c>
    </row>
    <row r="1897" spans="1:12" x14ac:dyDescent="0.25">
      <c r="A1897">
        <v>300</v>
      </c>
      <c r="B1897" s="3">
        <v>42034</v>
      </c>
      <c r="C1897" s="4">
        <v>20.57</v>
      </c>
      <c r="E1897">
        <v>300</v>
      </c>
      <c r="F1897" s="3">
        <v>42034</v>
      </c>
      <c r="G1897" t="s">
        <v>163</v>
      </c>
      <c r="H1897" s="18">
        <v>20.57</v>
      </c>
      <c r="J1897" s="20" t="str">
        <f t="shared" si="110"/>
        <v/>
      </c>
      <c r="K1897" t="str">
        <f t="shared" si="109"/>
        <v/>
      </c>
      <c r="L1897" s="4">
        <f t="shared" si="111"/>
        <v>0</v>
      </c>
    </row>
    <row r="1898" spans="1:12" x14ac:dyDescent="0.25">
      <c r="A1898">
        <v>332</v>
      </c>
      <c r="B1898" s="3">
        <v>42034</v>
      </c>
      <c r="C1898" s="4">
        <v>250</v>
      </c>
      <c r="E1898">
        <v>332</v>
      </c>
      <c r="F1898" s="3">
        <v>42034</v>
      </c>
      <c r="G1898" t="s">
        <v>27</v>
      </c>
      <c r="H1898" s="18">
        <v>0</v>
      </c>
      <c r="J1898" s="20" t="str">
        <f t="shared" si="110"/>
        <v/>
      </c>
      <c r="K1898" t="str">
        <f t="shared" si="109"/>
        <v/>
      </c>
      <c r="L1898" s="4">
        <f t="shared" si="111"/>
        <v>250</v>
      </c>
    </row>
    <row r="1899" spans="1:12" x14ac:dyDescent="0.25">
      <c r="A1899">
        <v>355</v>
      </c>
      <c r="B1899" s="3">
        <v>42034</v>
      </c>
      <c r="C1899" s="4">
        <v>1006.56</v>
      </c>
      <c r="E1899">
        <v>355</v>
      </c>
      <c r="F1899" s="3">
        <v>42034</v>
      </c>
      <c r="G1899" t="s">
        <v>108</v>
      </c>
      <c r="H1899" s="18">
        <v>0</v>
      </c>
      <c r="J1899" s="20" t="str">
        <f t="shared" si="110"/>
        <v/>
      </c>
      <c r="K1899" t="str">
        <f t="shared" si="109"/>
        <v/>
      </c>
      <c r="L1899" s="4">
        <f t="shared" si="111"/>
        <v>1006.56</v>
      </c>
    </row>
    <row r="1900" spans="1:12" x14ac:dyDescent="0.25">
      <c r="A1900">
        <v>365</v>
      </c>
      <c r="B1900" s="3">
        <v>42034</v>
      </c>
      <c r="C1900" s="4">
        <v>1323</v>
      </c>
      <c r="E1900">
        <v>365</v>
      </c>
      <c r="F1900" s="3">
        <v>42034</v>
      </c>
      <c r="G1900" t="s">
        <v>29</v>
      </c>
      <c r="H1900" s="18">
        <v>0</v>
      </c>
      <c r="J1900" s="20" t="str">
        <f t="shared" si="110"/>
        <v/>
      </c>
      <c r="K1900" t="str">
        <f t="shared" si="109"/>
        <v/>
      </c>
      <c r="L1900" s="4">
        <f t="shared" si="111"/>
        <v>1323</v>
      </c>
    </row>
    <row r="1901" spans="1:12" x14ac:dyDescent="0.25">
      <c r="A1901">
        <v>382</v>
      </c>
      <c r="B1901" s="3">
        <v>42034</v>
      </c>
      <c r="C1901" s="4">
        <v>250</v>
      </c>
      <c r="E1901">
        <v>382</v>
      </c>
      <c r="F1901" s="3">
        <v>42034</v>
      </c>
      <c r="G1901" t="s">
        <v>164</v>
      </c>
      <c r="H1901" s="18">
        <v>0</v>
      </c>
      <c r="J1901" s="20" t="str">
        <f t="shared" si="110"/>
        <v/>
      </c>
      <c r="K1901" t="str">
        <f t="shared" si="109"/>
        <v/>
      </c>
      <c r="L1901" s="4">
        <f t="shared" si="111"/>
        <v>250</v>
      </c>
    </row>
    <row r="1902" spans="1:12" x14ac:dyDescent="0.25">
      <c r="A1902">
        <v>417</v>
      </c>
      <c r="B1902" s="3">
        <v>42034</v>
      </c>
      <c r="C1902" s="4">
        <v>1120.06</v>
      </c>
      <c r="E1902">
        <v>417</v>
      </c>
      <c r="F1902" s="3">
        <v>42034</v>
      </c>
      <c r="G1902" t="s">
        <v>33</v>
      </c>
      <c r="H1902" s="18">
        <v>1120.06</v>
      </c>
      <c r="J1902" s="20" t="str">
        <f t="shared" si="110"/>
        <v/>
      </c>
      <c r="K1902" t="str">
        <f t="shared" si="109"/>
        <v/>
      </c>
      <c r="L1902" s="4">
        <f t="shared" si="111"/>
        <v>0</v>
      </c>
    </row>
    <row r="1903" spans="1:12" x14ac:dyDescent="0.25">
      <c r="A1903">
        <v>422</v>
      </c>
      <c r="B1903" s="3">
        <v>42034</v>
      </c>
      <c r="C1903" s="4">
        <v>494.06</v>
      </c>
      <c r="E1903">
        <v>422</v>
      </c>
      <c r="F1903" s="3">
        <v>42034</v>
      </c>
      <c r="G1903" t="s">
        <v>165</v>
      </c>
      <c r="H1903" s="18">
        <v>0</v>
      </c>
      <c r="J1903" s="20" t="str">
        <f t="shared" si="110"/>
        <v/>
      </c>
      <c r="K1903" t="str">
        <f t="shared" si="109"/>
        <v/>
      </c>
      <c r="L1903" s="4">
        <f t="shared" si="111"/>
        <v>494.06</v>
      </c>
    </row>
    <row r="1904" spans="1:12" x14ac:dyDescent="0.25">
      <c r="A1904">
        <v>464</v>
      </c>
      <c r="B1904" s="3">
        <v>42034</v>
      </c>
      <c r="C1904" s="4">
        <v>325</v>
      </c>
      <c r="E1904">
        <v>464</v>
      </c>
      <c r="F1904" s="3">
        <v>42034</v>
      </c>
      <c r="G1904" t="s">
        <v>118</v>
      </c>
      <c r="H1904" s="18">
        <v>0</v>
      </c>
      <c r="J1904" s="20" t="str">
        <f t="shared" si="110"/>
        <v/>
      </c>
      <c r="K1904" t="str">
        <f t="shared" si="109"/>
        <v/>
      </c>
      <c r="L1904" s="4">
        <f t="shared" si="111"/>
        <v>325</v>
      </c>
    </row>
    <row r="1905" spans="1:12" x14ac:dyDescent="0.25">
      <c r="A1905">
        <v>551</v>
      </c>
      <c r="B1905" s="3">
        <v>42034</v>
      </c>
      <c r="C1905" s="4">
        <v>1072.5</v>
      </c>
      <c r="E1905">
        <v>551</v>
      </c>
      <c r="F1905" s="3">
        <v>42034</v>
      </c>
      <c r="G1905" t="s">
        <v>166</v>
      </c>
      <c r="H1905" s="18">
        <v>1072.5</v>
      </c>
      <c r="J1905" s="20" t="str">
        <f t="shared" si="110"/>
        <v/>
      </c>
      <c r="K1905" t="str">
        <f t="shared" si="109"/>
        <v/>
      </c>
      <c r="L1905" s="4">
        <f t="shared" si="111"/>
        <v>0</v>
      </c>
    </row>
    <row r="1906" spans="1:12" x14ac:dyDescent="0.25">
      <c r="A1906">
        <v>580</v>
      </c>
      <c r="B1906" s="3">
        <v>42034</v>
      </c>
      <c r="C1906" s="4">
        <v>734.31</v>
      </c>
      <c r="E1906">
        <v>580</v>
      </c>
      <c r="F1906" s="3">
        <v>42034</v>
      </c>
      <c r="G1906" t="s">
        <v>37</v>
      </c>
      <c r="H1906" s="18">
        <v>860</v>
      </c>
      <c r="J1906" s="20" t="str">
        <f t="shared" si="110"/>
        <v/>
      </c>
      <c r="K1906" t="str">
        <f t="shared" si="109"/>
        <v/>
      </c>
      <c r="L1906" s="4">
        <f t="shared" si="111"/>
        <v>-125.69000000000005</v>
      </c>
    </row>
    <row r="1907" spans="1:12" x14ac:dyDescent="0.25">
      <c r="A1907">
        <v>582</v>
      </c>
      <c r="B1907" s="3">
        <v>42034</v>
      </c>
      <c r="C1907" s="4">
        <v>250</v>
      </c>
      <c r="E1907">
        <v>582</v>
      </c>
      <c r="F1907" s="3">
        <v>42034</v>
      </c>
      <c r="G1907" t="s">
        <v>123</v>
      </c>
      <c r="H1907" s="18">
        <v>0</v>
      </c>
      <c r="J1907" s="20" t="str">
        <f t="shared" si="110"/>
        <v/>
      </c>
      <c r="K1907" t="str">
        <f t="shared" si="109"/>
        <v/>
      </c>
      <c r="L1907" s="4">
        <f t="shared" si="111"/>
        <v>250</v>
      </c>
    </row>
    <row r="1908" spans="1:12" x14ac:dyDescent="0.25">
      <c r="A1908">
        <v>593</v>
      </c>
      <c r="B1908" s="3">
        <v>42034</v>
      </c>
      <c r="C1908" s="4">
        <v>250</v>
      </c>
      <c r="E1908">
        <v>593</v>
      </c>
      <c r="F1908" s="3">
        <v>42034</v>
      </c>
      <c r="G1908" t="s">
        <v>38</v>
      </c>
      <c r="H1908" s="18">
        <v>250</v>
      </c>
      <c r="J1908" s="20" t="str">
        <f t="shared" si="110"/>
        <v/>
      </c>
      <c r="K1908" t="str">
        <f t="shared" si="109"/>
        <v/>
      </c>
      <c r="L1908" s="4">
        <f t="shared" si="111"/>
        <v>0</v>
      </c>
    </row>
    <row r="1909" spans="1:12" x14ac:dyDescent="0.25">
      <c r="A1909">
        <v>632</v>
      </c>
      <c r="B1909" s="3">
        <v>42034</v>
      </c>
      <c r="C1909" s="4">
        <v>766</v>
      </c>
      <c r="E1909">
        <v>632</v>
      </c>
      <c r="F1909" s="3">
        <v>42034</v>
      </c>
      <c r="G1909" t="s">
        <v>41</v>
      </c>
      <c r="H1909" s="18">
        <v>766</v>
      </c>
      <c r="J1909" s="20" t="str">
        <f t="shared" si="110"/>
        <v/>
      </c>
      <c r="K1909" t="str">
        <f t="shared" si="109"/>
        <v/>
      </c>
      <c r="L1909" s="4">
        <f t="shared" si="111"/>
        <v>0</v>
      </c>
    </row>
    <row r="1910" spans="1:12" x14ac:dyDescent="0.25">
      <c r="A1910">
        <v>635</v>
      </c>
      <c r="B1910" s="3">
        <v>42034</v>
      </c>
      <c r="C1910" s="4">
        <v>250</v>
      </c>
      <c r="E1910">
        <v>635</v>
      </c>
      <c r="F1910" s="3">
        <v>42034</v>
      </c>
      <c r="G1910" t="s">
        <v>167</v>
      </c>
      <c r="H1910" s="18">
        <v>0</v>
      </c>
      <c r="J1910" s="20" t="str">
        <f t="shared" si="110"/>
        <v/>
      </c>
      <c r="K1910" t="str">
        <f t="shared" si="109"/>
        <v/>
      </c>
      <c r="L1910" s="4">
        <f t="shared" si="111"/>
        <v>250</v>
      </c>
    </row>
    <row r="1911" spans="1:12" x14ac:dyDescent="0.25">
      <c r="A1911">
        <v>656</v>
      </c>
      <c r="B1911" s="3">
        <v>42034</v>
      </c>
      <c r="C1911" s="4">
        <v>382.5</v>
      </c>
      <c r="E1911">
        <v>656</v>
      </c>
      <c r="F1911" s="3">
        <v>42034</v>
      </c>
      <c r="G1911" t="s">
        <v>43</v>
      </c>
      <c r="H1911" s="18">
        <v>-153</v>
      </c>
      <c r="J1911" s="20" t="str">
        <f t="shared" si="110"/>
        <v/>
      </c>
      <c r="K1911" t="str">
        <f t="shared" si="109"/>
        <v/>
      </c>
      <c r="L1911" s="4">
        <f t="shared" si="111"/>
        <v>535.5</v>
      </c>
    </row>
    <row r="1912" spans="1:12" x14ac:dyDescent="0.25">
      <c r="A1912">
        <v>659</v>
      </c>
      <c r="B1912" s="3">
        <v>42034</v>
      </c>
      <c r="C1912" s="4">
        <v>1450.95</v>
      </c>
      <c r="E1912">
        <v>659</v>
      </c>
      <c r="F1912" s="3">
        <v>42034</v>
      </c>
      <c r="G1912" t="s">
        <v>44</v>
      </c>
      <c r="H1912" s="18">
        <v>805.7</v>
      </c>
      <c r="J1912" s="20" t="str">
        <f t="shared" si="110"/>
        <v/>
      </c>
      <c r="K1912" t="str">
        <f t="shared" si="109"/>
        <v/>
      </c>
      <c r="L1912" s="4">
        <f t="shared" si="111"/>
        <v>645.25</v>
      </c>
    </row>
    <row r="1913" spans="1:12" x14ac:dyDescent="0.25">
      <c r="A1913">
        <v>672</v>
      </c>
      <c r="B1913" s="3">
        <v>42034</v>
      </c>
      <c r="C1913" s="4">
        <v>2472.13</v>
      </c>
      <c r="E1913">
        <v>672</v>
      </c>
      <c r="F1913" s="3">
        <v>42034</v>
      </c>
      <c r="G1913" t="s">
        <v>168</v>
      </c>
      <c r="H1913" s="18">
        <v>2184</v>
      </c>
      <c r="J1913" s="20" t="str">
        <f t="shared" si="110"/>
        <v/>
      </c>
      <c r="K1913" t="str">
        <f t="shared" si="109"/>
        <v/>
      </c>
      <c r="L1913" s="4">
        <f t="shared" si="111"/>
        <v>288.13000000000011</v>
      </c>
    </row>
    <row r="1914" spans="1:12" x14ac:dyDescent="0.25">
      <c r="A1914">
        <v>679</v>
      </c>
      <c r="B1914" s="3">
        <v>42034</v>
      </c>
      <c r="C1914" s="4">
        <v>156.31</v>
      </c>
      <c r="E1914">
        <v>679</v>
      </c>
      <c r="F1914" s="3">
        <v>42034</v>
      </c>
      <c r="G1914" t="s">
        <v>169</v>
      </c>
      <c r="H1914" s="18">
        <v>156.31</v>
      </c>
      <c r="J1914" s="20" t="str">
        <f t="shared" si="110"/>
        <v/>
      </c>
      <c r="K1914" t="str">
        <f t="shared" si="109"/>
        <v/>
      </c>
      <c r="L1914" s="4">
        <f t="shared" si="111"/>
        <v>0</v>
      </c>
    </row>
    <row r="1915" spans="1:12" x14ac:dyDescent="0.25">
      <c r="A1915">
        <v>692</v>
      </c>
      <c r="B1915" s="3">
        <v>42034</v>
      </c>
      <c r="C1915" s="4">
        <v>464.64</v>
      </c>
      <c r="E1915">
        <v>692</v>
      </c>
      <c r="F1915" s="3">
        <v>42034</v>
      </c>
      <c r="G1915" t="s">
        <v>50</v>
      </c>
      <c r="H1915" s="18">
        <v>464.64</v>
      </c>
      <c r="J1915" s="20" t="str">
        <f t="shared" si="110"/>
        <v/>
      </c>
      <c r="K1915" t="str">
        <f t="shared" si="109"/>
        <v/>
      </c>
      <c r="L1915" s="4">
        <f t="shared" si="111"/>
        <v>0</v>
      </c>
    </row>
    <row r="1916" spans="1:12" x14ac:dyDescent="0.25">
      <c r="A1916">
        <v>695</v>
      </c>
      <c r="B1916" s="3">
        <v>42034</v>
      </c>
      <c r="C1916" s="4">
        <v>250</v>
      </c>
      <c r="E1916">
        <v>695</v>
      </c>
      <c r="F1916" s="3">
        <v>42034</v>
      </c>
      <c r="G1916" t="s">
        <v>170</v>
      </c>
      <c r="H1916" s="18">
        <v>0</v>
      </c>
      <c r="J1916" s="20" t="str">
        <f t="shared" si="110"/>
        <v/>
      </c>
      <c r="K1916" t="str">
        <f t="shared" si="109"/>
        <v/>
      </c>
      <c r="L1916" s="4">
        <f t="shared" si="111"/>
        <v>250</v>
      </c>
    </row>
    <row r="1917" spans="1:12" x14ac:dyDescent="0.25">
      <c r="A1917">
        <v>702</v>
      </c>
      <c r="B1917" s="3">
        <v>42034</v>
      </c>
      <c r="C1917" s="4">
        <v>625</v>
      </c>
      <c r="E1917">
        <v>702</v>
      </c>
      <c r="F1917" s="3">
        <v>42034</v>
      </c>
      <c r="G1917" t="s">
        <v>134</v>
      </c>
      <c r="H1917" s="18">
        <v>625</v>
      </c>
      <c r="J1917" s="20" t="str">
        <f t="shared" si="110"/>
        <v/>
      </c>
      <c r="K1917" t="str">
        <f t="shared" si="109"/>
        <v/>
      </c>
      <c r="L1917" s="4">
        <f t="shared" si="111"/>
        <v>0</v>
      </c>
    </row>
    <row r="1918" spans="1:12" x14ac:dyDescent="0.25">
      <c r="A1918">
        <v>714</v>
      </c>
      <c r="B1918" s="3">
        <v>42034</v>
      </c>
      <c r="C1918" s="4">
        <v>1447.13</v>
      </c>
      <c r="E1918">
        <v>714</v>
      </c>
      <c r="F1918" s="3">
        <v>42034</v>
      </c>
      <c r="G1918" t="s">
        <v>171</v>
      </c>
      <c r="H1918" s="18">
        <v>0</v>
      </c>
      <c r="J1918" s="20" t="str">
        <f t="shared" si="110"/>
        <v/>
      </c>
      <c r="K1918" t="str">
        <f t="shared" si="109"/>
        <v/>
      </c>
      <c r="L1918" s="4">
        <f t="shared" si="111"/>
        <v>1447.13</v>
      </c>
    </row>
    <row r="1919" spans="1:12" x14ac:dyDescent="0.25">
      <c r="A1919">
        <v>722</v>
      </c>
      <c r="B1919" s="3">
        <v>42034</v>
      </c>
      <c r="C1919" s="4">
        <v>2494</v>
      </c>
      <c r="E1919">
        <v>722</v>
      </c>
      <c r="F1919" s="3">
        <v>42034</v>
      </c>
      <c r="G1919" t="s">
        <v>135</v>
      </c>
      <c r="H1919" s="18">
        <v>0</v>
      </c>
      <c r="J1919" s="20" t="str">
        <f t="shared" si="110"/>
        <v/>
      </c>
      <c r="K1919" t="str">
        <f t="shared" si="109"/>
        <v/>
      </c>
      <c r="L1919" s="4">
        <f t="shared" si="111"/>
        <v>2494</v>
      </c>
    </row>
    <row r="1920" spans="1:12" x14ac:dyDescent="0.25">
      <c r="A1920">
        <v>726</v>
      </c>
      <c r="B1920" s="3">
        <v>42034</v>
      </c>
      <c r="C1920" s="4">
        <v>930.75</v>
      </c>
      <c r="E1920">
        <v>726</v>
      </c>
      <c r="F1920" s="3">
        <v>42034</v>
      </c>
      <c r="G1920" t="s">
        <v>53</v>
      </c>
      <c r="H1920" s="18">
        <v>0</v>
      </c>
      <c r="J1920" s="20" t="str">
        <f t="shared" si="110"/>
        <v/>
      </c>
      <c r="K1920" t="str">
        <f t="shared" si="109"/>
        <v/>
      </c>
      <c r="L1920" s="4">
        <f t="shared" si="111"/>
        <v>930.75</v>
      </c>
    </row>
    <row r="1921" spans="1:12" x14ac:dyDescent="0.25">
      <c r="A1921">
        <v>750</v>
      </c>
      <c r="B1921" s="3">
        <v>42034</v>
      </c>
      <c r="C1921" s="4">
        <v>750</v>
      </c>
      <c r="E1921">
        <v>750</v>
      </c>
      <c r="F1921" s="3">
        <v>42034</v>
      </c>
      <c r="G1921" t="s">
        <v>55</v>
      </c>
      <c r="H1921" s="18">
        <v>250</v>
      </c>
      <c r="J1921" s="20" t="str">
        <f t="shared" si="110"/>
        <v/>
      </c>
      <c r="K1921" t="str">
        <f t="shared" si="109"/>
        <v/>
      </c>
      <c r="L1921" s="4">
        <f t="shared" si="111"/>
        <v>500</v>
      </c>
    </row>
    <row r="1922" spans="1:12" x14ac:dyDescent="0.25">
      <c r="A1922">
        <v>753</v>
      </c>
      <c r="B1922" s="3">
        <v>42034</v>
      </c>
      <c r="C1922" s="4">
        <v>306</v>
      </c>
      <c r="E1922">
        <v>753</v>
      </c>
      <c r="F1922" s="3">
        <v>42034</v>
      </c>
      <c r="G1922" t="s">
        <v>172</v>
      </c>
      <c r="H1922" s="18">
        <v>0</v>
      </c>
      <c r="J1922" s="20" t="str">
        <f t="shared" si="110"/>
        <v/>
      </c>
      <c r="K1922" t="str">
        <f t="shared" si="109"/>
        <v/>
      </c>
      <c r="L1922" s="4">
        <f t="shared" si="111"/>
        <v>306</v>
      </c>
    </row>
    <row r="1923" spans="1:12" x14ac:dyDescent="0.25">
      <c r="A1923">
        <v>771</v>
      </c>
      <c r="B1923" s="3">
        <v>42034</v>
      </c>
      <c r="C1923" s="4">
        <v>1380</v>
      </c>
      <c r="E1923">
        <v>771</v>
      </c>
      <c r="F1923" s="3">
        <v>42034</v>
      </c>
      <c r="G1923" t="s">
        <v>57</v>
      </c>
      <c r="H1923" s="18">
        <v>1380</v>
      </c>
      <c r="J1923" s="20" t="str">
        <f t="shared" si="110"/>
        <v/>
      </c>
      <c r="K1923" t="str">
        <f t="shared" ref="K1923:K1986" si="112">IF(F1923=B1923,"","CHECK")</f>
        <v/>
      </c>
      <c r="L1923" s="4">
        <f t="shared" si="111"/>
        <v>0</v>
      </c>
    </row>
    <row r="1924" spans="1:12" x14ac:dyDescent="0.25">
      <c r="A1924">
        <v>782</v>
      </c>
      <c r="B1924" s="3">
        <v>42034</v>
      </c>
      <c r="C1924" s="4">
        <v>777.4</v>
      </c>
      <c r="E1924">
        <v>782</v>
      </c>
      <c r="F1924" s="3">
        <v>42034</v>
      </c>
      <c r="G1924" t="s">
        <v>173</v>
      </c>
      <c r="H1924" s="18">
        <v>0</v>
      </c>
      <c r="J1924" s="20" t="str">
        <f t="shared" ref="J1924:J1987" si="113">IF(E1924=A1924,"","CHECK")</f>
        <v/>
      </c>
      <c r="K1924" t="str">
        <f t="shared" si="112"/>
        <v/>
      </c>
      <c r="L1924" s="4">
        <f t="shared" ref="L1924:L1987" si="114">C1924-H1924</f>
        <v>777.4</v>
      </c>
    </row>
    <row r="1925" spans="1:12" x14ac:dyDescent="0.25">
      <c r="A1925">
        <v>809</v>
      </c>
      <c r="B1925" s="3">
        <v>42034</v>
      </c>
      <c r="C1925" s="4">
        <v>1610</v>
      </c>
      <c r="E1925">
        <v>809</v>
      </c>
      <c r="F1925" s="3">
        <v>42034</v>
      </c>
      <c r="G1925" t="s">
        <v>59</v>
      </c>
      <c r="H1925" s="18">
        <v>1610</v>
      </c>
      <c r="J1925" s="20" t="str">
        <f t="shared" si="113"/>
        <v/>
      </c>
      <c r="K1925" t="str">
        <f t="shared" si="112"/>
        <v/>
      </c>
      <c r="L1925" s="4">
        <f t="shared" si="114"/>
        <v>0</v>
      </c>
    </row>
    <row r="1926" spans="1:12" x14ac:dyDescent="0.25">
      <c r="A1926">
        <v>817</v>
      </c>
      <c r="B1926" s="3">
        <v>42034</v>
      </c>
      <c r="C1926" s="4">
        <v>2960.65</v>
      </c>
      <c r="E1926">
        <v>817</v>
      </c>
      <c r="F1926" s="3">
        <v>42034</v>
      </c>
      <c r="G1926" t="s">
        <v>60</v>
      </c>
      <c r="H1926" s="18">
        <v>-260</v>
      </c>
      <c r="J1926" s="20" t="str">
        <f t="shared" si="113"/>
        <v/>
      </c>
      <c r="K1926" t="str">
        <f t="shared" si="112"/>
        <v/>
      </c>
      <c r="L1926" s="4">
        <f t="shared" si="114"/>
        <v>3220.65</v>
      </c>
    </row>
    <row r="1927" spans="1:12" x14ac:dyDescent="0.25">
      <c r="A1927">
        <v>852</v>
      </c>
      <c r="B1927" s="3">
        <v>42034</v>
      </c>
      <c r="C1927" s="4">
        <v>2500</v>
      </c>
      <c r="E1927">
        <v>852</v>
      </c>
      <c r="F1927" s="3">
        <v>42034</v>
      </c>
      <c r="G1927" t="s">
        <v>174</v>
      </c>
      <c r="H1927" s="18">
        <v>2500</v>
      </c>
      <c r="J1927" s="20" t="str">
        <f t="shared" si="113"/>
        <v/>
      </c>
      <c r="K1927" t="str">
        <f t="shared" si="112"/>
        <v/>
      </c>
      <c r="L1927" s="4">
        <f t="shared" si="114"/>
        <v>0</v>
      </c>
    </row>
    <row r="1928" spans="1:12" x14ac:dyDescent="0.25">
      <c r="A1928">
        <v>856</v>
      </c>
      <c r="B1928" s="3">
        <v>42034</v>
      </c>
      <c r="C1928" s="4">
        <v>306</v>
      </c>
      <c r="E1928">
        <v>856</v>
      </c>
      <c r="F1928" s="3">
        <v>42034</v>
      </c>
      <c r="G1928" t="s">
        <v>62</v>
      </c>
      <c r="H1928" s="18">
        <v>0</v>
      </c>
      <c r="J1928" s="20" t="str">
        <f t="shared" si="113"/>
        <v/>
      </c>
      <c r="K1928" t="str">
        <f t="shared" si="112"/>
        <v/>
      </c>
      <c r="L1928" s="4">
        <f t="shared" si="114"/>
        <v>306</v>
      </c>
    </row>
    <row r="1929" spans="1:12" x14ac:dyDescent="0.25">
      <c r="A1929">
        <v>859</v>
      </c>
      <c r="B1929" s="3">
        <v>42034</v>
      </c>
      <c r="C1929" s="4">
        <v>250</v>
      </c>
      <c r="E1929">
        <v>859</v>
      </c>
      <c r="F1929" s="3">
        <v>42034</v>
      </c>
      <c r="G1929" t="s">
        <v>63</v>
      </c>
      <c r="H1929" s="18">
        <v>0</v>
      </c>
      <c r="J1929" s="20" t="str">
        <f t="shared" si="113"/>
        <v/>
      </c>
      <c r="K1929" t="str">
        <f t="shared" si="112"/>
        <v/>
      </c>
      <c r="L1929" s="4">
        <f t="shared" si="114"/>
        <v>250</v>
      </c>
    </row>
    <row r="1930" spans="1:12" x14ac:dyDescent="0.25">
      <c r="A1930">
        <v>860</v>
      </c>
      <c r="B1930" s="3">
        <v>42034</v>
      </c>
      <c r="C1930" s="4">
        <v>1550</v>
      </c>
      <c r="E1930">
        <v>860</v>
      </c>
      <c r="F1930" s="3">
        <v>42034</v>
      </c>
      <c r="G1930" t="s">
        <v>64</v>
      </c>
      <c r="H1930" s="18">
        <v>0</v>
      </c>
      <c r="J1930" s="20" t="str">
        <f t="shared" si="113"/>
        <v/>
      </c>
      <c r="K1930" t="str">
        <f t="shared" si="112"/>
        <v/>
      </c>
      <c r="L1930" s="4">
        <f t="shared" si="114"/>
        <v>1550</v>
      </c>
    </row>
    <row r="1931" spans="1:12" x14ac:dyDescent="0.25">
      <c r="A1931">
        <v>894</v>
      </c>
      <c r="B1931" s="3">
        <v>42034</v>
      </c>
      <c r="C1931" s="4">
        <v>973</v>
      </c>
      <c r="E1931">
        <v>894</v>
      </c>
      <c r="F1931" s="3">
        <v>42034</v>
      </c>
      <c r="G1931" t="s">
        <v>142</v>
      </c>
      <c r="H1931" s="18">
        <v>0</v>
      </c>
      <c r="J1931" s="20" t="str">
        <f t="shared" si="113"/>
        <v/>
      </c>
      <c r="K1931" t="str">
        <f t="shared" si="112"/>
        <v/>
      </c>
      <c r="L1931" s="4">
        <f t="shared" si="114"/>
        <v>973</v>
      </c>
    </row>
    <row r="1932" spans="1:12" x14ac:dyDescent="0.25">
      <c r="A1932">
        <v>897</v>
      </c>
      <c r="B1932" s="3">
        <v>42034</v>
      </c>
      <c r="C1932" s="4">
        <v>1989</v>
      </c>
      <c r="E1932">
        <v>897</v>
      </c>
      <c r="F1932" s="3">
        <v>42034</v>
      </c>
      <c r="G1932" t="s">
        <v>66</v>
      </c>
      <c r="H1932" s="18">
        <v>0</v>
      </c>
      <c r="J1932" s="20" t="str">
        <f t="shared" si="113"/>
        <v/>
      </c>
      <c r="K1932" t="str">
        <f t="shared" si="112"/>
        <v/>
      </c>
      <c r="L1932" s="4">
        <f t="shared" si="114"/>
        <v>1989</v>
      </c>
    </row>
    <row r="1933" spans="1:12" x14ac:dyDescent="0.25">
      <c r="A1933">
        <v>906</v>
      </c>
      <c r="B1933" s="3">
        <v>42034</v>
      </c>
      <c r="C1933" s="4">
        <v>175</v>
      </c>
      <c r="E1933">
        <v>906</v>
      </c>
      <c r="F1933" s="3">
        <v>42034</v>
      </c>
      <c r="G1933" t="s">
        <v>175</v>
      </c>
      <c r="H1933" s="18">
        <v>0</v>
      </c>
      <c r="J1933" s="20" t="str">
        <f t="shared" si="113"/>
        <v/>
      </c>
      <c r="K1933" t="str">
        <f t="shared" si="112"/>
        <v/>
      </c>
      <c r="L1933" s="4">
        <f t="shared" si="114"/>
        <v>175</v>
      </c>
    </row>
    <row r="1934" spans="1:12" x14ac:dyDescent="0.25">
      <c r="A1934">
        <v>908</v>
      </c>
      <c r="B1934" s="3">
        <v>42034</v>
      </c>
      <c r="C1934" s="4">
        <v>250</v>
      </c>
      <c r="E1934">
        <v>908</v>
      </c>
      <c r="F1934" s="3">
        <v>42034</v>
      </c>
      <c r="G1934" t="s">
        <v>143</v>
      </c>
      <c r="H1934" s="18">
        <v>0</v>
      </c>
      <c r="J1934" s="20" t="str">
        <f t="shared" si="113"/>
        <v/>
      </c>
      <c r="K1934" t="str">
        <f t="shared" si="112"/>
        <v/>
      </c>
      <c r="L1934" s="4">
        <f t="shared" si="114"/>
        <v>250</v>
      </c>
    </row>
    <row r="1935" spans="1:12" x14ac:dyDescent="0.25">
      <c r="A1935">
        <v>940</v>
      </c>
      <c r="B1935" s="3">
        <v>42034</v>
      </c>
      <c r="C1935" s="4">
        <v>221</v>
      </c>
      <c r="E1935">
        <v>940</v>
      </c>
      <c r="F1935" s="3">
        <v>42034</v>
      </c>
      <c r="G1935" t="s">
        <v>148</v>
      </c>
      <c r="H1935" s="18">
        <v>0</v>
      </c>
      <c r="J1935" s="20" t="str">
        <f t="shared" si="113"/>
        <v/>
      </c>
      <c r="K1935" t="str">
        <f t="shared" si="112"/>
        <v/>
      </c>
      <c r="L1935" s="4">
        <f t="shared" si="114"/>
        <v>221</v>
      </c>
    </row>
    <row r="1936" spans="1:12" x14ac:dyDescent="0.25">
      <c r="A1936">
        <v>941</v>
      </c>
      <c r="B1936" s="3">
        <v>42034</v>
      </c>
      <c r="C1936" s="4">
        <v>250</v>
      </c>
      <c r="E1936">
        <v>941</v>
      </c>
      <c r="F1936" s="3">
        <v>42034</v>
      </c>
      <c r="G1936" t="s">
        <v>149</v>
      </c>
      <c r="H1936" s="18">
        <v>0</v>
      </c>
      <c r="J1936" s="20" t="str">
        <f t="shared" si="113"/>
        <v/>
      </c>
      <c r="K1936" t="str">
        <f t="shared" si="112"/>
        <v/>
      </c>
      <c r="L1936" s="4">
        <f t="shared" si="114"/>
        <v>250</v>
      </c>
    </row>
    <row r="1937" spans="1:12" x14ac:dyDescent="0.25">
      <c r="A1937">
        <v>943</v>
      </c>
      <c r="B1937" s="3">
        <v>42034</v>
      </c>
      <c r="C1937" s="4">
        <v>250</v>
      </c>
      <c r="E1937">
        <v>943</v>
      </c>
      <c r="F1937" s="3">
        <v>42034</v>
      </c>
      <c r="G1937" t="s">
        <v>176</v>
      </c>
      <c r="H1937" s="18">
        <v>0</v>
      </c>
      <c r="J1937" s="20" t="str">
        <f t="shared" si="113"/>
        <v/>
      </c>
      <c r="K1937" t="str">
        <f t="shared" si="112"/>
        <v/>
      </c>
      <c r="L1937" s="4">
        <f t="shared" si="114"/>
        <v>250</v>
      </c>
    </row>
    <row r="1938" spans="1:12" x14ac:dyDescent="0.25">
      <c r="A1938">
        <v>949</v>
      </c>
      <c r="B1938" s="3">
        <v>42034</v>
      </c>
      <c r="C1938" s="4">
        <v>500</v>
      </c>
      <c r="E1938">
        <v>949</v>
      </c>
      <c r="F1938" s="3">
        <v>42034</v>
      </c>
      <c r="G1938" t="s">
        <v>150</v>
      </c>
      <c r="H1938" s="18">
        <v>0</v>
      </c>
      <c r="J1938" s="20" t="str">
        <f t="shared" si="113"/>
        <v/>
      </c>
      <c r="K1938" t="str">
        <f t="shared" si="112"/>
        <v/>
      </c>
      <c r="L1938" s="4">
        <f t="shared" si="114"/>
        <v>500</v>
      </c>
    </row>
    <row r="1939" spans="1:12" x14ac:dyDescent="0.25">
      <c r="A1939">
        <v>964</v>
      </c>
      <c r="B1939" s="3">
        <v>42034</v>
      </c>
      <c r="C1939" s="4">
        <v>2500</v>
      </c>
      <c r="E1939">
        <v>964</v>
      </c>
      <c r="F1939" s="3">
        <v>42034</v>
      </c>
      <c r="G1939" t="s">
        <v>71</v>
      </c>
      <c r="H1939" s="18">
        <v>2250</v>
      </c>
      <c r="J1939" s="20" t="str">
        <f t="shared" si="113"/>
        <v/>
      </c>
      <c r="K1939" t="str">
        <f t="shared" si="112"/>
        <v/>
      </c>
      <c r="L1939" s="4">
        <f t="shared" si="114"/>
        <v>250</v>
      </c>
    </row>
    <row r="1940" spans="1:12" x14ac:dyDescent="0.25">
      <c r="A1940">
        <v>969</v>
      </c>
      <c r="B1940" s="3">
        <v>42034</v>
      </c>
      <c r="C1940" s="4">
        <v>250</v>
      </c>
      <c r="E1940">
        <v>969</v>
      </c>
      <c r="F1940" s="3">
        <v>42034</v>
      </c>
      <c r="G1940" t="s">
        <v>154</v>
      </c>
      <c r="H1940" s="18">
        <v>0</v>
      </c>
      <c r="J1940" s="20" t="str">
        <f t="shared" si="113"/>
        <v/>
      </c>
      <c r="K1940" t="str">
        <f t="shared" si="112"/>
        <v/>
      </c>
      <c r="L1940" s="4">
        <f t="shared" si="114"/>
        <v>250</v>
      </c>
    </row>
    <row r="1941" spans="1:12" x14ac:dyDescent="0.25">
      <c r="A1941">
        <v>974</v>
      </c>
      <c r="B1941" s="3">
        <v>42034</v>
      </c>
      <c r="C1941" s="4">
        <v>1500</v>
      </c>
      <c r="E1941">
        <v>974</v>
      </c>
      <c r="F1941" s="3">
        <v>42034</v>
      </c>
      <c r="G1941" t="s">
        <v>155</v>
      </c>
      <c r="H1941" s="18">
        <v>0</v>
      </c>
      <c r="J1941" s="20" t="str">
        <f t="shared" si="113"/>
        <v/>
      </c>
      <c r="K1941" t="str">
        <f t="shared" si="112"/>
        <v/>
      </c>
      <c r="L1941" s="4">
        <f t="shared" si="114"/>
        <v>1500</v>
      </c>
    </row>
    <row r="1942" spans="1:12" x14ac:dyDescent="0.25">
      <c r="A1942">
        <v>614</v>
      </c>
      <c r="B1942" s="3">
        <v>42036</v>
      </c>
      <c r="C1942" s="4">
        <v>471.5</v>
      </c>
      <c r="E1942">
        <v>614</v>
      </c>
      <c r="F1942" s="3">
        <v>42036</v>
      </c>
      <c r="G1942" t="s">
        <v>130</v>
      </c>
      <c r="H1942" s="18">
        <v>-625</v>
      </c>
      <c r="J1942" s="20" t="str">
        <f t="shared" si="113"/>
        <v/>
      </c>
      <c r="K1942" t="str">
        <f t="shared" si="112"/>
        <v/>
      </c>
      <c r="L1942" s="4">
        <f t="shared" si="114"/>
        <v>1096.5</v>
      </c>
    </row>
    <row r="1943" spans="1:12" x14ac:dyDescent="0.25">
      <c r="A1943">
        <v>23</v>
      </c>
      <c r="B1943" s="3">
        <v>42041</v>
      </c>
      <c r="C1943" s="4">
        <v>250</v>
      </c>
      <c r="E1943">
        <v>23</v>
      </c>
      <c r="F1943" s="3">
        <v>42041</v>
      </c>
      <c r="G1943" t="s">
        <v>5</v>
      </c>
      <c r="H1943" s="18">
        <v>0</v>
      </c>
      <c r="J1943" s="20" t="str">
        <f t="shared" si="113"/>
        <v/>
      </c>
      <c r="K1943" t="str">
        <f t="shared" si="112"/>
        <v/>
      </c>
      <c r="L1943" s="4">
        <f t="shared" si="114"/>
        <v>250</v>
      </c>
    </row>
    <row r="1944" spans="1:12" x14ac:dyDescent="0.25">
      <c r="A1944">
        <v>32</v>
      </c>
      <c r="B1944" s="3">
        <v>42041</v>
      </c>
      <c r="C1944" s="4">
        <v>83.33</v>
      </c>
      <c r="E1944">
        <v>32</v>
      </c>
      <c r="F1944" s="3">
        <v>42041</v>
      </c>
      <c r="G1944" t="s">
        <v>7</v>
      </c>
      <c r="H1944" s="18">
        <v>0</v>
      </c>
      <c r="J1944" s="20" t="str">
        <f t="shared" si="113"/>
        <v/>
      </c>
      <c r="K1944" t="str">
        <f t="shared" si="112"/>
        <v/>
      </c>
      <c r="L1944" s="4">
        <f t="shared" si="114"/>
        <v>83.33</v>
      </c>
    </row>
    <row r="1945" spans="1:12" x14ac:dyDescent="0.25">
      <c r="A1945">
        <v>34</v>
      </c>
      <c r="B1945" s="3">
        <v>42041</v>
      </c>
      <c r="C1945" s="4">
        <v>1176.78</v>
      </c>
      <c r="E1945">
        <v>34</v>
      </c>
      <c r="F1945" s="3">
        <v>42041</v>
      </c>
      <c r="G1945" t="s">
        <v>8</v>
      </c>
      <c r="H1945" s="18">
        <v>0</v>
      </c>
      <c r="J1945" s="20" t="str">
        <f t="shared" si="113"/>
        <v/>
      </c>
      <c r="K1945" t="str">
        <f t="shared" si="112"/>
        <v/>
      </c>
      <c r="L1945" s="4">
        <f t="shared" si="114"/>
        <v>1176.78</v>
      </c>
    </row>
    <row r="1946" spans="1:12" x14ac:dyDescent="0.25">
      <c r="A1946">
        <v>37</v>
      </c>
      <c r="B1946" s="3">
        <v>42041</v>
      </c>
      <c r="C1946" s="4">
        <v>1035.24</v>
      </c>
      <c r="E1946">
        <v>37</v>
      </c>
      <c r="F1946" s="3">
        <v>42041</v>
      </c>
      <c r="G1946" t="s">
        <v>77</v>
      </c>
      <c r="H1946" s="18">
        <v>1035.24</v>
      </c>
      <c r="J1946" s="20" t="str">
        <f t="shared" si="113"/>
        <v/>
      </c>
      <c r="K1946" t="str">
        <f t="shared" si="112"/>
        <v/>
      </c>
      <c r="L1946" s="4">
        <f t="shared" si="114"/>
        <v>0</v>
      </c>
    </row>
    <row r="1947" spans="1:12" x14ac:dyDescent="0.25">
      <c r="A1947">
        <v>41</v>
      </c>
      <c r="B1947" s="3">
        <v>42041</v>
      </c>
      <c r="C1947" s="4">
        <v>6237.29</v>
      </c>
      <c r="E1947">
        <v>41</v>
      </c>
      <c r="F1947" s="3">
        <v>42041</v>
      </c>
      <c r="G1947" t="s">
        <v>10</v>
      </c>
      <c r="H1947" s="18">
        <v>4416.6000000000004</v>
      </c>
      <c r="J1947" s="20" t="str">
        <f t="shared" si="113"/>
        <v/>
      </c>
      <c r="K1947" t="str">
        <f t="shared" si="112"/>
        <v/>
      </c>
      <c r="L1947" s="4">
        <f t="shared" si="114"/>
        <v>1820.6899999999996</v>
      </c>
    </row>
    <row r="1948" spans="1:12" x14ac:dyDescent="0.25">
      <c r="A1948">
        <v>46</v>
      </c>
      <c r="B1948" s="3">
        <v>42041</v>
      </c>
      <c r="C1948" s="4">
        <v>333.33</v>
      </c>
      <c r="E1948">
        <v>46</v>
      </c>
      <c r="F1948" s="3">
        <v>42041</v>
      </c>
      <c r="G1948" t="s">
        <v>78</v>
      </c>
      <c r="H1948" s="18">
        <v>333.33</v>
      </c>
      <c r="J1948" s="20" t="str">
        <f t="shared" si="113"/>
        <v/>
      </c>
      <c r="K1948" t="str">
        <f t="shared" si="112"/>
        <v/>
      </c>
      <c r="L1948" s="4">
        <f t="shared" si="114"/>
        <v>0</v>
      </c>
    </row>
    <row r="1949" spans="1:12" x14ac:dyDescent="0.25">
      <c r="A1949">
        <v>77</v>
      </c>
      <c r="B1949" s="3">
        <v>42041</v>
      </c>
      <c r="C1949" s="4">
        <v>250</v>
      </c>
      <c r="E1949">
        <v>77</v>
      </c>
      <c r="F1949" s="3">
        <v>42041</v>
      </c>
      <c r="G1949" t="s">
        <v>11</v>
      </c>
      <c r="H1949" s="18">
        <v>0</v>
      </c>
      <c r="J1949" s="20" t="str">
        <f t="shared" si="113"/>
        <v/>
      </c>
      <c r="K1949" t="str">
        <f t="shared" si="112"/>
        <v/>
      </c>
      <c r="L1949" s="4">
        <f t="shared" si="114"/>
        <v>250</v>
      </c>
    </row>
    <row r="1950" spans="1:12" x14ac:dyDescent="0.25">
      <c r="A1950">
        <v>85</v>
      </c>
      <c r="B1950" s="3">
        <v>42041</v>
      </c>
      <c r="C1950" s="4">
        <v>1695.83</v>
      </c>
      <c r="E1950">
        <v>85</v>
      </c>
      <c r="F1950" s="3">
        <v>42041</v>
      </c>
      <c r="G1950" t="s">
        <v>79</v>
      </c>
      <c r="H1950" s="18">
        <v>1695.83</v>
      </c>
      <c r="J1950" s="20" t="str">
        <f t="shared" si="113"/>
        <v/>
      </c>
      <c r="K1950" t="str">
        <f t="shared" si="112"/>
        <v/>
      </c>
      <c r="L1950" s="4">
        <f t="shared" si="114"/>
        <v>0</v>
      </c>
    </row>
    <row r="1951" spans="1:12" x14ac:dyDescent="0.25">
      <c r="A1951">
        <v>98</v>
      </c>
      <c r="B1951" s="3">
        <v>42041</v>
      </c>
      <c r="C1951" s="4">
        <v>2368</v>
      </c>
      <c r="E1951">
        <v>98</v>
      </c>
      <c r="F1951" s="3">
        <v>42041</v>
      </c>
      <c r="G1951" t="s">
        <v>80</v>
      </c>
      <c r="H1951" s="18">
        <v>1305.5</v>
      </c>
      <c r="J1951" s="20" t="str">
        <f t="shared" si="113"/>
        <v/>
      </c>
      <c r="K1951" t="str">
        <f t="shared" si="112"/>
        <v/>
      </c>
      <c r="L1951" s="4">
        <f t="shared" si="114"/>
        <v>1062.5</v>
      </c>
    </row>
    <row r="1952" spans="1:12" x14ac:dyDescent="0.25">
      <c r="A1952">
        <v>101</v>
      </c>
      <c r="B1952" s="3">
        <v>42041</v>
      </c>
      <c r="C1952" s="4">
        <v>594.5</v>
      </c>
      <c r="E1952">
        <v>101</v>
      </c>
      <c r="F1952" s="3">
        <v>42041</v>
      </c>
      <c r="G1952" t="s">
        <v>81</v>
      </c>
      <c r="H1952" s="18">
        <v>-1000</v>
      </c>
      <c r="J1952" s="20" t="str">
        <f t="shared" si="113"/>
        <v/>
      </c>
      <c r="K1952" t="str">
        <f t="shared" si="112"/>
        <v/>
      </c>
      <c r="L1952" s="4">
        <f t="shared" si="114"/>
        <v>1594.5</v>
      </c>
    </row>
    <row r="1953" spans="1:12" x14ac:dyDescent="0.25">
      <c r="A1953">
        <v>107</v>
      </c>
      <c r="B1953" s="3">
        <v>42041</v>
      </c>
      <c r="C1953" s="4">
        <v>1847.17</v>
      </c>
      <c r="E1953">
        <v>107</v>
      </c>
      <c r="F1953" s="3">
        <v>42041</v>
      </c>
      <c r="G1953" t="s">
        <v>14</v>
      </c>
      <c r="H1953" s="18">
        <v>0</v>
      </c>
      <c r="J1953" s="20" t="str">
        <f t="shared" si="113"/>
        <v/>
      </c>
      <c r="K1953" t="str">
        <f t="shared" si="112"/>
        <v/>
      </c>
      <c r="L1953" s="4">
        <f t="shared" si="114"/>
        <v>1847.17</v>
      </c>
    </row>
    <row r="1954" spans="1:12" x14ac:dyDescent="0.25">
      <c r="A1954">
        <v>109</v>
      </c>
      <c r="B1954" s="3">
        <v>42041</v>
      </c>
      <c r="C1954" s="4">
        <v>1698.83</v>
      </c>
      <c r="E1954">
        <v>109</v>
      </c>
      <c r="F1954" s="3">
        <v>42041</v>
      </c>
      <c r="G1954" t="s">
        <v>82</v>
      </c>
      <c r="H1954" s="18">
        <v>709.83</v>
      </c>
      <c r="J1954" s="20" t="str">
        <f t="shared" si="113"/>
        <v/>
      </c>
      <c r="K1954" t="str">
        <f t="shared" si="112"/>
        <v/>
      </c>
      <c r="L1954" s="4">
        <f t="shared" si="114"/>
        <v>988.99999999999989</v>
      </c>
    </row>
    <row r="1955" spans="1:12" x14ac:dyDescent="0.25">
      <c r="A1955">
        <v>110</v>
      </c>
      <c r="B1955" s="3">
        <v>42041</v>
      </c>
      <c r="C1955" s="4">
        <v>969</v>
      </c>
      <c r="E1955">
        <v>110</v>
      </c>
      <c r="F1955" s="3">
        <v>42041</v>
      </c>
      <c r="G1955" t="s">
        <v>83</v>
      </c>
      <c r="H1955" s="18">
        <v>0</v>
      </c>
      <c r="J1955" s="20" t="str">
        <f t="shared" si="113"/>
        <v/>
      </c>
      <c r="K1955" t="str">
        <f t="shared" si="112"/>
        <v/>
      </c>
      <c r="L1955" s="4">
        <f t="shared" si="114"/>
        <v>969</v>
      </c>
    </row>
    <row r="1956" spans="1:12" x14ac:dyDescent="0.25">
      <c r="A1956">
        <v>113</v>
      </c>
      <c r="B1956" s="3">
        <v>42041</v>
      </c>
      <c r="C1956" s="4">
        <v>121.33</v>
      </c>
      <c r="E1956">
        <v>113</v>
      </c>
      <c r="F1956" s="3">
        <v>42041</v>
      </c>
      <c r="G1956" t="s">
        <v>84</v>
      </c>
      <c r="H1956" s="18">
        <v>-400</v>
      </c>
      <c r="J1956" s="20" t="str">
        <f t="shared" si="113"/>
        <v/>
      </c>
      <c r="K1956" t="str">
        <f t="shared" si="112"/>
        <v/>
      </c>
      <c r="L1956" s="4">
        <f t="shared" si="114"/>
        <v>521.33000000000004</v>
      </c>
    </row>
    <row r="1957" spans="1:12" x14ac:dyDescent="0.25">
      <c r="A1957">
        <v>118</v>
      </c>
      <c r="B1957" s="3">
        <v>42041</v>
      </c>
      <c r="C1957" s="4">
        <v>196.5</v>
      </c>
      <c r="E1957">
        <v>118</v>
      </c>
      <c r="F1957" s="3">
        <v>42041</v>
      </c>
      <c r="G1957" t="s">
        <v>85</v>
      </c>
      <c r="H1957" s="18">
        <v>-2025</v>
      </c>
      <c r="J1957" s="20" t="str">
        <f t="shared" si="113"/>
        <v/>
      </c>
      <c r="K1957" t="str">
        <f t="shared" si="112"/>
        <v/>
      </c>
      <c r="L1957" s="4">
        <f t="shared" si="114"/>
        <v>2221.5</v>
      </c>
    </row>
    <row r="1958" spans="1:12" x14ac:dyDescent="0.25">
      <c r="A1958">
        <v>121</v>
      </c>
      <c r="B1958" s="3">
        <v>42041</v>
      </c>
      <c r="C1958" s="4">
        <v>706.48</v>
      </c>
      <c r="E1958">
        <v>121</v>
      </c>
      <c r="F1958" s="3">
        <v>42041</v>
      </c>
      <c r="G1958" t="s">
        <v>86</v>
      </c>
      <c r="H1958" s="18">
        <v>506.2</v>
      </c>
      <c r="J1958" s="20" t="str">
        <f t="shared" si="113"/>
        <v/>
      </c>
      <c r="K1958" t="str">
        <f t="shared" si="112"/>
        <v/>
      </c>
      <c r="L1958" s="4">
        <f t="shared" si="114"/>
        <v>200.28000000000003</v>
      </c>
    </row>
    <row r="1959" spans="1:12" x14ac:dyDescent="0.25">
      <c r="A1959">
        <v>133</v>
      </c>
      <c r="B1959" s="3">
        <v>42041</v>
      </c>
      <c r="C1959" s="4">
        <v>387.5</v>
      </c>
      <c r="E1959">
        <v>133</v>
      </c>
      <c r="F1959" s="3">
        <v>42041</v>
      </c>
      <c r="G1959" t="s">
        <v>87</v>
      </c>
      <c r="H1959" s="18">
        <v>387.5</v>
      </c>
      <c r="J1959" s="20" t="str">
        <f t="shared" si="113"/>
        <v/>
      </c>
      <c r="K1959" t="str">
        <f t="shared" si="112"/>
        <v/>
      </c>
      <c r="L1959" s="4">
        <f t="shared" si="114"/>
        <v>0</v>
      </c>
    </row>
    <row r="1960" spans="1:12" x14ac:dyDescent="0.25">
      <c r="A1960">
        <v>136</v>
      </c>
      <c r="B1960" s="3">
        <v>42041</v>
      </c>
      <c r="C1960" s="4">
        <v>1627.67</v>
      </c>
      <c r="E1960">
        <v>136</v>
      </c>
      <c r="F1960" s="3">
        <v>42041</v>
      </c>
      <c r="G1960" t="s">
        <v>15</v>
      </c>
      <c r="H1960" s="18">
        <v>-1500</v>
      </c>
      <c r="J1960" s="20" t="str">
        <f t="shared" si="113"/>
        <v/>
      </c>
      <c r="K1960" t="str">
        <f t="shared" si="112"/>
        <v/>
      </c>
      <c r="L1960" s="4">
        <f t="shared" si="114"/>
        <v>3127.67</v>
      </c>
    </row>
    <row r="1961" spans="1:12" x14ac:dyDescent="0.25">
      <c r="A1961">
        <v>138</v>
      </c>
      <c r="B1961" s="3">
        <v>42041</v>
      </c>
      <c r="C1961" s="4">
        <v>374</v>
      </c>
      <c r="E1961">
        <v>138</v>
      </c>
      <c r="F1961" s="3">
        <v>42041</v>
      </c>
      <c r="G1961" t="s">
        <v>16</v>
      </c>
      <c r="H1961" s="18">
        <v>374</v>
      </c>
      <c r="J1961" s="20" t="str">
        <f t="shared" si="113"/>
        <v/>
      </c>
      <c r="K1961" t="str">
        <f t="shared" si="112"/>
        <v/>
      </c>
      <c r="L1961" s="4">
        <f t="shared" si="114"/>
        <v>0</v>
      </c>
    </row>
    <row r="1962" spans="1:12" x14ac:dyDescent="0.25">
      <c r="A1962">
        <v>140</v>
      </c>
      <c r="B1962" s="3">
        <v>42041</v>
      </c>
      <c r="C1962" s="4">
        <v>618.79999999999995</v>
      </c>
      <c r="E1962">
        <v>140</v>
      </c>
      <c r="F1962" s="3">
        <v>42041</v>
      </c>
      <c r="G1962" t="s">
        <v>88</v>
      </c>
      <c r="H1962" s="18">
        <v>-2430.54</v>
      </c>
      <c r="J1962" s="20" t="str">
        <f t="shared" si="113"/>
        <v/>
      </c>
      <c r="K1962" t="str">
        <f t="shared" si="112"/>
        <v/>
      </c>
      <c r="L1962" s="4">
        <f t="shared" si="114"/>
        <v>3049.34</v>
      </c>
    </row>
    <row r="1963" spans="1:12" x14ac:dyDescent="0.25">
      <c r="A1963">
        <v>148</v>
      </c>
      <c r="B1963" s="3">
        <v>42041</v>
      </c>
      <c r="C1963" s="4">
        <v>153</v>
      </c>
      <c r="E1963">
        <v>148</v>
      </c>
      <c r="F1963" s="3">
        <v>42041</v>
      </c>
      <c r="G1963" t="s">
        <v>89</v>
      </c>
      <c r="H1963" s="18">
        <v>153</v>
      </c>
      <c r="J1963" s="20" t="str">
        <f t="shared" si="113"/>
        <v/>
      </c>
      <c r="K1963" t="str">
        <f t="shared" si="112"/>
        <v/>
      </c>
      <c r="L1963" s="4">
        <f t="shared" si="114"/>
        <v>0</v>
      </c>
    </row>
    <row r="1964" spans="1:12" x14ac:dyDescent="0.25">
      <c r="A1964">
        <v>152</v>
      </c>
      <c r="B1964" s="3">
        <v>42041</v>
      </c>
      <c r="C1964" s="4">
        <v>771</v>
      </c>
      <c r="E1964">
        <v>152</v>
      </c>
      <c r="F1964" s="3">
        <v>42041</v>
      </c>
      <c r="G1964" t="s">
        <v>90</v>
      </c>
      <c r="H1964" s="18">
        <v>771</v>
      </c>
      <c r="J1964" s="20" t="str">
        <f t="shared" si="113"/>
        <v/>
      </c>
      <c r="K1964" t="str">
        <f t="shared" si="112"/>
        <v/>
      </c>
      <c r="L1964" s="4">
        <f t="shared" si="114"/>
        <v>0</v>
      </c>
    </row>
    <row r="1965" spans="1:12" x14ac:dyDescent="0.25">
      <c r="A1965">
        <v>155</v>
      </c>
      <c r="B1965" s="3">
        <v>42041</v>
      </c>
      <c r="C1965" s="4">
        <v>425</v>
      </c>
      <c r="E1965">
        <v>155</v>
      </c>
      <c r="F1965" s="3">
        <v>42041</v>
      </c>
      <c r="G1965" t="s">
        <v>91</v>
      </c>
      <c r="H1965" s="18">
        <v>0</v>
      </c>
      <c r="J1965" s="20" t="str">
        <f t="shared" si="113"/>
        <v/>
      </c>
      <c r="K1965" t="str">
        <f t="shared" si="112"/>
        <v/>
      </c>
      <c r="L1965" s="4">
        <f t="shared" si="114"/>
        <v>425</v>
      </c>
    </row>
    <row r="1966" spans="1:12" x14ac:dyDescent="0.25">
      <c r="A1966">
        <v>157</v>
      </c>
      <c r="B1966" s="3">
        <v>42041</v>
      </c>
      <c r="C1966" s="4">
        <v>318.5</v>
      </c>
      <c r="E1966">
        <v>157</v>
      </c>
      <c r="F1966" s="3">
        <v>42041</v>
      </c>
      <c r="G1966" t="s">
        <v>92</v>
      </c>
      <c r="H1966" s="18">
        <v>0</v>
      </c>
      <c r="J1966" s="20" t="str">
        <f t="shared" si="113"/>
        <v/>
      </c>
      <c r="K1966" t="str">
        <f t="shared" si="112"/>
        <v/>
      </c>
      <c r="L1966" s="4">
        <f t="shared" si="114"/>
        <v>318.5</v>
      </c>
    </row>
    <row r="1967" spans="1:12" x14ac:dyDescent="0.25">
      <c r="A1967">
        <v>158</v>
      </c>
      <c r="B1967" s="3">
        <v>42041</v>
      </c>
      <c r="C1967" s="4">
        <v>338.43</v>
      </c>
      <c r="E1967">
        <v>158</v>
      </c>
      <c r="F1967" s="3">
        <v>42041</v>
      </c>
      <c r="G1967" t="s">
        <v>93</v>
      </c>
      <c r="H1967" s="18">
        <v>-115.07</v>
      </c>
      <c r="J1967" s="20" t="str">
        <f t="shared" si="113"/>
        <v/>
      </c>
      <c r="K1967" t="str">
        <f t="shared" si="112"/>
        <v/>
      </c>
      <c r="L1967" s="4">
        <f t="shared" si="114"/>
        <v>453.5</v>
      </c>
    </row>
    <row r="1968" spans="1:12" x14ac:dyDescent="0.25">
      <c r="A1968">
        <v>192</v>
      </c>
      <c r="B1968" s="3">
        <v>42041</v>
      </c>
      <c r="C1968" s="4">
        <v>491.17</v>
      </c>
      <c r="E1968">
        <v>192</v>
      </c>
      <c r="F1968" s="3">
        <v>42041</v>
      </c>
      <c r="G1968" t="s">
        <v>94</v>
      </c>
      <c r="H1968" s="18">
        <v>491.17</v>
      </c>
      <c r="J1968" s="20" t="str">
        <f t="shared" si="113"/>
        <v/>
      </c>
      <c r="K1968" t="str">
        <f t="shared" si="112"/>
        <v/>
      </c>
      <c r="L1968" s="4">
        <f t="shared" si="114"/>
        <v>0</v>
      </c>
    </row>
    <row r="1969" spans="1:12" x14ac:dyDescent="0.25">
      <c r="A1969">
        <v>203</v>
      </c>
      <c r="B1969" s="3">
        <v>42041</v>
      </c>
      <c r="C1969" s="4">
        <v>1271.18</v>
      </c>
      <c r="E1969">
        <v>203</v>
      </c>
      <c r="F1969" s="3">
        <v>42041</v>
      </c>
      <c r="G1969" t="s">
        <v>95</v>
      </c>
      <c r="H1969" s="18">
        <v>996.18</v>
      </c>
      <c r="J1969" s="20" t="str">
        <f t="shared" si="113"/>
        <v/>
      </c>
      <c r="K1969" t="str">
        <f t="shared" si="112"/>
        <v/>
      </c>
      <c r="L1969" s="4">
        <f t="shared" si="114"/>
        <v>275.00000000000011</v>
      </c>
    </row>
    <row r="1970" spans="1:12" x14ac:dyDescent="0.25">
      <c r="A1970">
        <v>211</v>
      </c>
      <c r="B1970" s="3">
        <v>42041</v>
      </c>
      <c r="C1970" s="4">
        <v>250</v>
      </c>
      <c r="E1970">
        <v>211</v>
      </c>
      <c r="F1970" s="3">
        <v>42041</v>
      </c>
      <c r="G1970" t="s">
        <v>96</v>
      </c>
      <c r="H1970" s="18">
        <v>0</v>
      </c>
      <c r="J1970" s="20" t="str">
        <f t="shared" si="113"/>
        <v/>
      </c>
      <c r="K1970" t="str">
        <f t="shared" si="112"/>
        <v/>
      </c>
      <c r="L1970" s="4">
        <f t="shared" si="114"/>
        <v>250</v>
      </c>
    </row>
    <row r="1971" spans="1:12" x14ac:dyDescent="0.25">
      <c r="A1971">
        <v>217</v>
      </c>
      <c r="B1971" s="3">
        <v>42041</v>
      </c>
      <c r="C1971" s="4">
        <v>287.5</v>
      </c>
      <c r="E1971">
        <v>217</v>
      </c>
      <c r="F1971" s="3">
        <v>42041</v>
      </c>
      <c r="G1971" t="s">
        <v>97</v>
      </c>
      <c r="H1971" s="18">
        <v>287.5</v>
      </c>
      <c r="J1971" s="20" t="str">
        <f t="shared" si="113"/>
        <v/>
      </c>
      <c r="K1971" t="str">
        <f t="shared" si="112"/>
        <v/>
      </c>
      <c r="L1971" s="4">
        <f t="shared" si="114"/>
        <v>0</v>
      </c>
    </row>
    <row r="1972" spans="1:12" x14ac:dyDescent="0.25">
      <c r="A1972">
        <v>219</v>
      </c>
      <c r="B1972" s="3">
        <v>42041</v>
      </c>
      <c r="C1972" s="4">
        <v>187</v>
      </c>
      <c r="E1972">
        <v>219</v>
      </c>
      <c r="F1972" s="3">
        <v>42041</v>
      </c>
      <c r="G1972" t="s">
        <v>98</v>
      </c>
      <c r="H1972" s="18">
        <v>187</v>
      </c>
      <c r="J1972" s="20" t="str">
        <f t="shared" si="113"/>
        <v/>
      </c>
      <c r="K1972" t="str">
        <f t="shared" si="112"/>
        <v/>
      </c>
      <c r="L1972" s="4">
        <f t="shared" si="114"/>
        <v>0</v>
      </c>
    </row>
    <row r="1973" spans="1:12" x14ac:dyDescent="0.25">
      <c r="A1973">
        <v>222</v>
      </c>
      <c r="B1973" s="3">
        <v>42041</v>
      </c>
      <c r="C1973" s="4">
        <v>1584.28</v>
      </c>
      <c r="E1973">
        <v>222</v>
      </c>
      <c r="F1973" s="3">
        <v>42041</v>
      </c>
      <c r="G1973" t="s">
        <v>18</v>
      </c>
      <c r="H1973" s="18">
        <v>-0.72</v>
      </c>
      <c r="J1973" s="20" t="str">
        <f t="shared" si="113"/>
        <v/>
      </c>
      <c r="K1973" t="str">
        <f t="shared" si="112"/>
        <v/>
      </c>
      <c r="L1973" s="4">
        <f t="shared" si="114"/>
        <v>1585</v>
      </c>
    </row>
    <row r="1974" spans="1:12" x14ac:dyDescent="0.25">
      <c r="A1974">
        <v>228</v>
      </c>
      <c r="B1974" s="3">
        <v>42041</v>
      </c>
      <c r="C1974" s="4">
        <v>650</v>
      </c>
      <c r="E1974">
        <v>228</v>
      </c>
      <c r="F1974" s="3">
        <v>42041</v>
      </c>
      <c r="G1974" t="s">
        <v>99</v>
      </c>
      <c r="H1974" s="18">
        <v>0</v>
      </c>
      <c r="J1974" s="20" t="str">
        <f t="shared" si="113"/>
        <v/>
      </c>
      <c r="K1974" t="str">
        <f t="shared" si="112"/>
        <v/>
      </c>
      <c r="L1974" s="4">
        <f t="shared" si="114"/>
        <v>650</v>
      </c>
    </row>
    <row r="1975" spans="1:12" x14ac:dyDescent="0.25">
      <c r="A1975">
        <v>232</v>
      </c>
      <c r="B1975" s="3">
        <v>42041</v>
      </c>
      <c r="C1975" s="4">
        <v>690.83</v>
      </c>
      <c r="E1975">
        <v>232</v>
      </c>
      <c r="F1975" s="3">
        <v>42041</v>
      </c>
      <c r="G1975" t="s">
        <v>100</v>
      </c>
      <c r="H1975" s="18">
        <v>-1650</v>
      </c>
      <c r="J1975" s="20" t="str">
        <f t="shared" si="113"/>
        <v/>
      </c>
      <c r="K1975" t="str">
        <f t="shared" si="112"/>
        <v/>
      </c>
      <c r="L1975" s="4">
        <f t="shared" si="114"/>
        <v>2340.83</v>
      </c>
    </row>
    <row r="1976" spans="1:12" x14ac:dyDescent="0.25">
      <c r="A1976">
        <v>248</v>
      </c>
      <c r="B1976" s="3">
        <v>42041</v>
      </c>
      <c r="C1976" s="4">
        <v>731</v>
      </c>
      <c r="E1976">
        <v>248</v>
      </c>
      <c r="F1976" s="3">
        <v>42041</v>
      </c>
      <c r="G1976" t="s">
        <v>19</v>
      </c>
      <c r="H1976" s="18">
        <v>0</v>
      </c>
      <c r="J1976" s="20" t="str">
        <f t="shared" si="113"/>
        <v/>
      </c>
      <c r="K1976" t="str">
        <f t="shared" si="112"/>
        <v/>
      </c>
      <c r="L1976" s="4">
        <f t="shared" si="114"/>
        <v>731</v>
      </c>
    </row>
    <row r="1977" spans="1:12" x14ac:dyDescent="0.25">
      <c r="A1977">
        <v>251</v>
      </c>
      <c r="B1977" s="3">
        <v>42041</v>
      </c>
      <c r="C1977" s="4">
        <v>5295</v>
      </c>
      <c r="E1977">
        <v>251</v>
      </c>
      <c r="F1977" s="3">
        <v>42041</v>
      </c>
      <c r="G1977" t="s">
        <v>20</v>
      </c>
      <c r="H1977" s="18">
        <v>-5753.5</v>
      </c>
      <c r="J1977" s="20" t="str">
        <f t="shared" si="113"/>
        <v/>
      </c>
      <c r="K1977" t="str">
        <f t="shared" si="112"/>
        <v/>
      </c>
      <c r="L1977" s="4">
        <f t="shared" si="114"/>
        <v>11048.5</v>
      </c>
    </row>
    <row r="1978" spans="1:12" x14ac:dyDescent="0.25">
      <c r="A1978">
        <v>255</v>
      </c>
      <c r="B1978" s="3">
        <v>42041</v>
      </c>
      <c r="C1978" s="4">
        <v>522.15</v>
      </c>
      <c r="E1978">
        <v>255</v>
      </c>
      <c r="F1978" s="3">
        <v>42041</v>
      </c>
      <c r="G1978" t="s">
        <v>21</v>
      </c>
      <c r="H1978" s="18">
        <v>-393</v>
      </c>
      <c r="J1978" s="20" t="str">
        <f t="shared" si="113"/>
        <v/>
      </c>
      <c r="K1978" t="str">
        <f t="shared" si="112"/>
        <v/>
      </c>
      <c r="L1978" s="4">
        <f t="shared" si="114"/>
        <v>915.15</v>
      </c>
    </row>
    <row r="1979" spans="1:12" x14ac:dyDescent="0.25">
      <c r="A1979">
        <v>261</v>
      </c>
      <c r="B1979" s="3">
        <v>42041</v>
      </c>
      <c r="C1979" s="4">
        <v>10090.129999999999</v>
      </c>
      <c r="E1979">
        <v>261</v>
      </c>
      <c r="F1979" s="3">
        <v>42041</v>
      </c>
      <c r="G1979" t="s">
        <v>22</v>
      </c>
      <c r="H1979" s="18">
        <v>9570.1299999999992</v>
      </c>
      <c r="J1979" s="20" t="str">
        <f t="shared" si="113"/>
        <v/>
      </c>
      <c r="K1979" t="str">
        <f t="shared" si="112"/>
        <v/>
      </c>
      <c r="L1979" s="4">
        <f t="shared" si="114"/>
        <v>520</v>
      </c>
    </row>
    <row r="1980" spans="1:12" x14ac:dyDescent="0.25">
      <c r="A1980">
        <v>282</v>
      </c>
      <c r="B1980" s="3">
        <v>42041</v>
      </c>
      <c r="C1980" s="4">
        <v>1783.33</v>
      </c>
      <c r="E1980">
        <v>282</v>
      </c>
      <c r="F1980" s="3">
        <v>42041</v>
      </c>
      <c r="G1980" t="s">
        <v>23</v>
      </c>
      <c r="H1980" s="18">
        <v>1783.34</v>
      </c>
      <c r="J1980" s="20" t="str">
        <f t="shared" si="113"/>
        <v/>
      </c>
      <c r="K1980" t="str">
        <f t="shared" si="112"/>
        <v/>
      </c>
      <c r="L1980" s="4">
        <f t="shared" si="114"/>
        <v>-9.9999999999909051E-3</v>
      </c>
    </row>
    <row r="1981" spans="1:12" x14ac:dyDescent="0.25">
      <c r="A1981">
        <v>283</v>
      </c>
      <c r="B1981" s="3">
        <v>42041</v>
      </c>
      <c r="C1981" s="4">
        <v>161.5</v>
      </c>
      <c r="E1981">
        <v>283</v>
      </c>
      <c r="F1981" s="3">
        <v>42041</v>
      </c>
      <c r="G1981" t="s">
        <v>101</v>
      </c>
      <c r="H1981" s="18">
        <v>0</v>
      </c>
      <c r="J1981" s="20" t="str">
        <f t="shared" si="113"/>
        <v/>
      </c>
      <c r="K1981" t="str">
        <f t="shared" si="112"/>
        <v/>
      </c>
      <c r="L1981" s="4">
        <f t="shared" si="114"/>
        <v>161.5</v>
      </c>
    </row>
    <row r="1982" spans="1:12" x14ac:dyDescent="0.25">
      <c r="A1982">
        <v>285</v>
      </c>
      <c r="B1982" s="3">
        <v>42041</v>
      </c>
      <c r="C1982" s="4">
        <v>497.25</v>
      </c>
      <c r="E1982">
        <v>285</v>
      </c>
      <c r="F1982" s="3">
        <v>42041</v>
      </c>
      <c r="G1982" t="s">
        <v>102</v>
      </c>
      <c r="H1982" s="18">
        <v>497.25</v>
      </c>
      <c r="J1982" s="20" t="str">
        <f t="shared" si="113"/>
        <v/>
      </c>
      <c r="K1982" t="str">
        <f t="shared" si="112"/>
        <v/>
      </c>
      <c r="L1982" s="4">
        <f t="shared" si="114"/>
        <v>0</v>
      </c>
    </row>
    <row r="1983" spans="1:12" x14ac:dyDescent="0.25">
      <c r="A1983">
        <v>295</v>
      </c>
      <c r="B1983" s="3">
        <v>42041</v>
      </c>
      <c r="C1983" s="4">
        <v>191.67</v>
      </c>
      <c r="E1983">
        <v>295</v>
      </c>
      <c r="F1983" s="3">
        <v>42041</v>
      </c>
      <c r="G1983" t="s">
        <v>103</v>
      </c>
      <c r="H1983" s="18">
        <v>191.67</v>
      </c>
      <c r="J1983" s="20" t="str">
        <f t="shared" si="113"/>
        <v/>
      </c>
      <c r="K1983" t="str">
        <f t="shared" si="112"/>
        <v/>
      </c>
      <c r="L1983" s="4">
        <f t="shared" si="114"/>
        <v>0</v>
      </c>
    </row>
    <row r="1984" spans="1:12" x14ac:dyDescent="0.25">
      <c r="A1984">
        <v>302</v>
      </c>
      <c r="B1984" s="3">
        <v>42041</v>
      </c>
      <c r="C1984" s="4">
        <v>109.09</v>
      </c>
      <c r="E1984">
        <v>302</v>
      </c>
      <c r="F1984" s="3">
        <v>42041</v>
      </c>
      <c r="G1984" t="s">
        <v>104</v>
      </c>
      <c r="H1984" s="18">
        <v>109.09</v>
      </c>
      <c r="J1984" s="20" t="str">
        <f t="shared" si="113"/>
        <v/>
      </c>
      <c r="K1984" t="str">
        <f t="shared" si="112"/>
        <v/>
      </c>
      <c r="L1984" s="4">
        <f t="shared" si="114"/>
        <v>0</v>
      </c>
    </row>
    <row r="1985" spans="1:12" x14ac:dyDescent="0.25">
      <c r="A1985">
        <v>321</v>
      </c>
      <c r="B1985" s="3">
        <v>42041</v>
      </c>
      <c r="C1985" s="4">
        <v>218.18</v>
      </c>
      <c r="E1985">
        <v>321</v>
      </c>
      <c r="F1985" s="3">
        <v>42041</v>
      </c>
      <c r="G1985" t="s">
        <v>105</v>
      </c>
      <c r="H1985" s="18">
        <v>436.36</v>
      </c>
      <c r="J1985" s="20" t="str">
        <f t="shared" si="113"/>
        <v/>
      </c>
      <c r="K1985" t="str">
        <f t="shared" si="112"/>
        <v/>
      </c>
      <c r="L1985" s="4">
        <f t="shared" si="114"/>
        <v>-218.18</v>
      </c>
    </row>
    <row r="1986" spans="1:12" x14ac:dyDescent="0.25">
      <c r="A1986">
        <v>324</v>
      </c>
      <c r="B1986" s="3">
        <v>42041</v>
      </c>
      <c r="C1986" s="4">
        <v>476</v>
      </c>
      <c r="E1986">
        <v>324</v>
      </c>
      <c r="F1986" s="3">
        <v>42041</v>
      </c>
      <c r="G1986" t="s">
        <v>106</v>
      </c>
      <c r="H1986" s="18">
        <v>476</v>
      </c>
      <c r="J1986" s="20" t="str">
        <f t="shared" si="113"/>
        <v/>
      </c>
      <c r="K1986" t="str">
        <f t="shared" si="112"/>
        <v/>
      </c>
      <c r="L1986" s="4">
        <f t="shared" si="114"/>
        <v>0</v>
      </c>
    </row>
    <row r="1987" spans="1:12" x14ac:dyDescent="0.25">
      <c r="A1987">
        <v>325</v>
      </c>
      <c r="B1987" s="3">
        <v>42041</v>
      </c>
      <c r="C1987" s="4">
        <v>166.67</v>
      </c>
      <c r="E1987">
        <v>325</v>
      </c>
      <c r="F1987" s="3">
        <v>42041</v>
      </c>
      <c r="G1987" t="s">
        <v>107</v>
      </c>
      <c r="H1987" s="18">
        <v>-750</v>
      </c>
      <c r="J1987" s="20" t="str">
        <f t="shared" si="113"/>
        <v/>
      </c>
      <c r="K1987" t="str">
        <f t="shared" ref="K1987:K2050" si="115">IF(F1987=B1987,"","CHECK")</f>
        <v/>
      </c>
      <c r="L1987" s="4">
        <f t="shared" si="114"/>
        <v>916.67</v>
      </c>
    </row>
    <row r="1988" spans="1:12" x14ac:dyDescent="0.25">
      <c r="A1988">
        <v>326</v>
      </c>
      <c r="B1988" s="3">
        <v>42041</v>
      </c>
      <c r="C1988" s="4">
        <v>1680.45</v>
      </c>
      <c r="E1988">
        <v>326</v>
      </c>
      <c r="F1988" s="3">
        <v>42041</v>
      </c>
      <c r="G1988" t="s">
        <v>25</v>
      </c>
      <c r="H1988" s="18">
        <v>830.46</v>
      </c>
      <c r="J1988" s="20" t="str">
        <f t="shared" ref="J1988:J2051" si="116">IF(E1988=A1988,"","CHECK")</f>
        <v/>
      </c>
      <c r="K1988" t="str">
        <f t="shared" si="115"/>
        <v/>
      </c>
      <c r="L1988" s="4">
        <f t="shared" ref="L1988:L2051" si="117">C1988-H1988</f>
        <v>849.99</v>
      </c>
    </row>
    <row r="1989" spans="1:12" x14ac:dyDescent="0.25">
      <c r="A1989">
        <v>332</v>
      </c>
      <c r="B1989" s="3">
        <v>42041</v>
      </c>
      <c r="C1989" s="4">
        <v>561</v>
      </c>
      <c r="E1989">
        <v>332</v>
      </c>
      <c r="F1989" s="3">
        <v>42041</v>
      </c>
      <c r="G1989" t="s">
        <v>27</v>
      </c>
      <c r="H1989" s="18">
        <v>561</v>
      </c>
      <c r="J1989" s="20" t="str">
        <f t="shared" si="116"/>
        <v/>
      </c>
      <c r="K1989" t="str">
        <f t="shared" si="115"/>
        <v/>
      </c>
      <c r="L1989" s="4">
        <f t="shared" si="117"/>
        <v>0</v>
      </c>
    </row>
    <row r="1990" spans="1:12" x14ac:dyDescent="0.25">
      <c r="A1990">
        <v>355</v>
      </c>
      <c r="B1990" s="3">
        <v>42041</v>
      </c>
      <c r="C1990" s="4">
        <v>500</v>
      </c>
      <c r="E1990">
        <v>355</v>
      </c>
      <c r="F1990" s="3">
        <v>42041</v>
      </c>
      <c r="G1990" t="s">
        <v>108</v>
      </c>
      <c r="H1990" s="18">
        <v>500</v>
      </c>
      <c r="J1990" s="20" t="str">
        <f t="shared" si="116"/>
        <v/>
      </c>
      <c r="K1990" t="str">
        <f t="shared" si="115"/>
        <v/>
      </c>
      <c r="L1990" s="4">
        <f t="shared" si="117"/>
        <v>0</v>
      </c>
    </row>
    <row r="1991" spans="1:12" x14ac:dyDescent="0.25">
      <c r="A1991">
        <v>365</v>
      </c>
      <c r="B1991" s="3">
        <v>42041</v>
      </c>
      <c r="C1991" s="4">
        <v>500</v>
      </c>
      <c r="E1991">
        <v>365</v>
      </c>
      <c r="F1991" s="3">
        <v>42041</v>
      </c>
      <c r="G1991" t="s">
        <v>29</v>
      </c>
      <c r="H1991" s="18">
        <v>0</v>
      </c>
      <c r="J1991" s="20" t="str">
        <f t="shared" si="116"/>
        <v/>
      </c>
      <c r="K1991" t="str">
        <f t="shared" si="115"/>
        <v/>
      </c>
      <c r="L1991" s="4">
        <f t="shared" si="117"/>
        <v>500</v>
      </c>
    </row>
    <row r="1992" spans="1:12" x14ac:dyDescent="0.25">
      <c r="A1992">
        <v>378</v>
      </c>
      <c r="B1992" s="3">
        <v>42041</v>
      </c>
      <c r="C1992" s="4">
        <v>841.67</v>
      </c>
      <c r="E1992">
        <v>378</v>
      </c>
      <c r="F1992" s="3">
        <v>42041</v>
      </c>
      <c r="G1992" t="s">
        <v>109</v>
      </c>
      <c r="H1992" s="18">
        <v>841.67</v>
      </c>
      <c r="J1992" s="20" t="str">
        <f t="shared" si="116"/>
        <v/>
      </c>
      <c r="K1992" t="str">
        <f t="shared" si="115"/>
        <v/>
      </c>
      <c r="L1992" s="4">
        <f t="shared" si="117"/>
        <v>0</v>
      </c>
    </row>
    <row r="1993" spans="1:12" x14ac:dyDescent="0.25">
      <c r="A1993">
        <v>387</v>
      </c>
      <c r="B1993" s="3">
        <v>42041</v>
      </c>
      <c r="C1993" s="4">
        <v>136</v>
      </c>
      <c r="E1993">
        <v>387</v>
      </c>
      <c r="F1993" s="3">
        <v>42041</v>
      </c>
      <c r="G1993" t="s">
        <v>110</v>
      </c>
      <c r="H1993" s="18">
        <v>136</v>
      </c>
      <c r="J1993" s="20" t="str">
        <f t="shared" si="116"/>
        <v/>
      </c>
      <c r="K1993" t="str">
        <f t="shared" si="115"/>
        <v/>
      </c>
      <c r="L1993" s="4">
        <f t="shared" si="117"/>
        <v>0</v>
      </c>
    </row>
    <row r="1994" spans="1:12" x14ac:dyDescent="0.25">
      <c r="A1994">
        <v>389</v>
      </c>
      <c r="B1994" s="3">
        <v>42041</v>
      </c>
      <c r="C1994" s="4">
        <v>3468.52</v>
      </c>
      <c r="E1994">
        <v>389</v>
      </c>
      <c r="F1994" s="3">
        <v>42041</v>
      </c>
      <c r="G1994" t="s">
        <v>31</v>
      </c>
      <c r="H1994" s="18">
        <v>1843.53</v>
      </c>
      <c r="J1994" s="20" t="str">
        <f t="shared" si="116"/>
        <v/>
      </c>
      <c r="K1994" t="str">
        <f t="shared" si="115"/>
        <v/>
      </c>
      <c r="L1994" s="4">
        <f t="shared" si="117"/>
        <v>1624.99</v>
      </c>
    </row>
    <row r="1995" spans="1:12" x14ac:dyDescent="0.25">
      <c r="A1995">
        <v>392</v>
      </c>
      <c r="B1995" s="3">
        <v>42041</v>
      </c>
      <c r="C1995" s="4">
        <v>1466.67</v>
      </c>
      <c r="E1995">
        <v>392</v>
      </c>
      <c r="F1995" s="3">
        <v>42041</v>
      </c>
      <c r="G1995" t="s">
        <v>111</v>
      </c>
      <c r="H1995" s="18">
        <v>1466.67</v>
      </c>
      <c r="J1995" s="20" t="str">
        <f t="shared" si="116"/>
        <v/>
      </c>
      <c r="K1995" t="str">
        <f t="shared" si="115"/>
        <v/>
      </c>
      <c r="L1995" s="4">
        <f t="shared" si="117"/>
        <v>0</v>
      </c>
    </row>
    <row r="1996" spans="1:12" x14ac:dyDescent="0.25">
      <c r="A1996">
        <v>405</v>
      </c>
      <c r="B1996" s="3">
        <v>42041</v>
      </c>
      <c r="C1996" s="4">
        <v>133.33000000000001</v>
      </c>
      <c r="E1996">
        <v>405</v>
      </c>
      <c r="F1996" s="3">
        <v>42041</v>
      </c>
      <c r="G1996" t="s">
        <v>112</v>
      </c>
      <c r="H1996" s="18">
        <v>133.33000000000001</v>
      </c>
      <c r="J1996" s="20" t="str">
        <f t="shared" si="116"/>
        <v/>
      </c>
      <c r="K1996" t="str">
        <f t="shared" si="115"/>
        <v/>
      </c>
      <c r="L1996" s="4">
        <f t="shared" si="117"/>
        <v>0</v>
      </c>
    </row>
    <row r="1997" spans="1:12" x14ac:dyDescent="0.25">
      <c r="A1997">
        <v>407</v>
      </c>
      <c r="B1997" s="3">
        <v>42041</v>
      </c>
      <c r="C1997" s="4">
        <v>150</v>
      </c>
      <c r="E1997">
        <v>407</v>
      </c>
      <c r="F1997" s="3">
        <v>42041</v>
      </c>
      <c r="G1997" t="s">
        <v>113</v>
      </c>
      <c r="H1997" s="18">
        <v>150</v>
      </c>
      <c r="J1997" s="20" t="str">
        <f t="shared" si="116"/>
        <v/>
      </c>
      <c r="K1997" t="str">
        <f t="shared" si="115"/>
        <v/>
      </c>
      <c r="L1997" s="4">
        <f t="shared" si="117"/>
        <v>0</v>
      </c>
    </row>
    <row r="1998" spans="1:12" x14ac:dyDescent="0.25">
      <c r="A1998">
        <v>417</v>
      </c>
      <c r="B1998" s="3">
        <v>42041</v>
      </c>
      <c r="C1998" s="4">
        <v>2536.87</v>
      </c>
      <c r="E1998">
        <v>417</v>
      </c>
      <c r="F1998" s="3">
        <v>42041</v>
      </c>
      <c r="G1998" t="s">
        <v>33</v>
      </c>
      <c r="H1998" s="18">
        <v>2536.87</v>
      </c>
      <c r="J1998" s="20" t="str">
        <f t="shared" si="116"/>
        <v/>
      </c>
      <c r="K1998" t="str">
        <f t="shared" si="115"/>
        <v/>
      </c>
      <c r="L1998" s="4">
        <f t="shared" si="117"/>
        <v>0</v>
      </c>
    </row>
    <row r="1999" spans="1:12" x14ac:dyDescent="0.25">
      <c r="A1999">
        <v>430</v>
      </c>
      <c r="B1999" s="3">
        <v>42041</v>
      </c>
      <c r="C1999" s="4">
        <v>150</v>
      </c>
      <c r="E1999">
        <v>430</v>
      </c>
      <c r="F1999" s="3">
        <v>42041</v>
      </c>
      <c r="G1999" t="s">
        <v>114</v>
      </c>
      <c r="H1999" s="18">
        <v>-1050</v>
      </c>
      <c r="J1999" s="20" t="str">
        <f t="shared" si="116"/>
        <v/>
      </c>
      <c r="K1999" t="str">
        <f t="shared" si="115"/>
        <v/>
      </c>
      <c r="L1999" s="4">
        <f t="shared" si="117"/>
        <v>1200</v>
      </c>
    </row>
    <row r="2000" spans="1:12" x14ac:dyDescent="0.25">
      <c r="A2000">
        <v>438</v>
      </c>
      <c r="B2000" s="3">
        <v>42041</v>
      </c>
      <c r="C2000" s="4">
        <v>666.67</v>
      </c>
      <c r="E2000">
        <v>438</v>
      </c>
      <c r="F2000" s="3">
        <v>42041</v>
      </c>
      <c r="G2000" t="s">
        <v>115</v>
      </c>
      <c r="H2000" s="18">
        <v>666.67</v>
      </c>
      <c r="J2000" s="20" t="str">
        <f t="shared" si="116"/>
        <v/>
      </c>
      <c r="K2000" t="str">
        <f t="shared" si="115"/>
        <v/>
      </c>
      <c r="L2000" s="4">
        <f t="shared" si="117"/>
        <v>0</v>
      </c>
    </row>
    <row r="2001" spans="1:12" x14ac:dyDescent="0.25">
      <c r="A2001">
        <v>446</v>
      </c>
      <c r="B2001" s="3">
        <v>42041</v>
      </c>
      <c r="C2001" s="4">
        <v>75</v>
      </c>
      <c r="E2001">
        <v>446</v>
      </c>
      <c r="F2001" s="3">
        <v>42041</v>
      </c>
      <c r="G2001" t="s">
        <v>116</v>
      </c>
      <c r="H2001" s="18">
        <v>75</v>
      </c>
      <c r="J2001" s="20" t="str">
        <f t="shared" si="116"/>
        <v/>
      </c>
      <c r="K2001" t="str">
        <f t="shared" si="115"/>
        <v/>
      </c>
      <c r="L2001" s="4">
        <f t="shared" si="117"/>
        <v>0</v>
      </c>
    </row>
    <row r="2002" spans="1:12" x14ac:dyDescent="0.25">
      <c r="A2002">
        <v>453</v>
      </c>
      <c r="B2002" s="3">
        <v>42041</v>
      </c>
      <c r="C2002" s="4">
        <v>136</v>
      </c>
      <c r="E2002">
        <v>453</v>
      </c>
      <c r="F2002" s="3">
        <v>42041</v>
      </c>
      <c r="G2002" t="s">
        <v>117</v>
      </c>
      <c r="H2002" s="18">
        <v>136</v>
      </c>
      <c r="J2002" s="20" t="str">
        <f t="shared" si="116"/>
        <v/>
      </c>
      <c r="K2002" t="str">
        <f t="shared" si="115"/>
        <v/>
      </c>
      <c r="L2002" s="4">
        <f t="shared" si="117"/>
        <v>0</v>
      </c>
    </row>
    <row r="2003" spans="1:12" x14ac:dyDescent="0.25">
      <c r="A2003">
        <v>464</v>
      </c>
      <c r="B2003" s="3">
        <v>42041</v>
      </c>
      <c r="C2003" s="4">
        <v>208.33</v>
      </c>
      <c r="E2003">
        <v>464</v>
      </c>
      <c r="F2003" s="3">
        <v>42041</v>
      </c>
      <c r="G2003" t="s">
        <v>118</v>
      </c>
      <c r="H2003" s="18">
        <v>208.33</v>
      </c>
      <c r="J2003" s="20" t="str">
        <f t="shared" si="116"/>
        <v/>
      </c>
      <c r="K2003" t="str">
        <f t="shared" si="115"/>
        <v/>
      </c>
      <c r="L2003" s="4">
        <f t="shared" si="117"/>
        <v>0</v>
      </c>
    </row>
    <row r="2004" spans="1:12" x14ac:dyDescent="0.25">
      <c r="A2004">
        <v>465</v>
      </c>
      <c r="B2004" s="3">
        <v>42041</v>
      </c>
      <c r="C2004" s="4">
        <v>143.18</v>
      </c>
      <c r="E2004">
        <v>465</v>
      </c>
      <c r="F2004" s="3">
        <v>42041</v>
      </c>
      <c r="G2004" t="s">
        <v>119</v>
      </c>
      <c r="H2004" s="18">
        <v>143.18</v>
      </c>
      <c r="J2004" s="20" t="str">
        <f t="shared" si="116"/>
        <v/>
      </c>
      <c r="K2004" t="str">
        <f t="shared" si="115"/>
        <v/>
      </c>
      <c r="L2004" s="4">
        <f t="shared" si="117"/>
        <v>0</v>
      </c>
    </row>
    <row r="2005" spans="1:12" x14ac:dyDescent="0.25">
      <c r="A2005">
        <v>468</v>
      </c>
      <c r="B2005" s="3">
        <v>42041</v>
      </c>
      <c r="C2005" s="4">
        <v>250</v>
      </c>
      <c r="E2005">
        <v>468</v>
      </c>
      <c r="F2005" s="3">
        <v>42041</v>
      </c>
      <c r="H2005" s="18">
        <v>250</v>
      </c>
      <c r="J2005" s="20" t="str">
        <f t="shared" si="116"/>
        <v/>
      </c>
      <c r="K2005" t="str">
        <f t="shared" si="115"/>
        <v/>
      </c>
      <c r="L2005" s="4">
        <f t="shared" si="117"/>
        <v>0</v>
      </c>
    </row>
    <row r="2006" spans="1:12" x14ac:dyDescent="0.25">
      <c r="A2006">
        <v>475</v>
      </c>
      <c r="B2006" s="3">
        <v>42041</v>
      </c>
      <c r="C2006" s="4">
        <v>575</v>
      </c>
      <c r="E2006">
        <v>475</v>
      </c>
      <c r="F2006" s="3">
        <v>42041</v>
      </c>
      <c r="G2006" t="s">
        <v>120</v>
      </c>
      <c r="H2006" s="18">
        <v>575</v>
      </c>
      <c r="J2006" s="20" t="str">
        <f t="shared" si="116"/>
        <v/>
      </c>
      <c r="K2006" t="str">
        <f t="shared" si="115"/>
        <v/>
      </c>
      <c r="L2006" s="4">
        <f t="shared" si="117"/>
        <v>0</v>
      </c>
    </row>
    <row r="2007" spans="1:12" x14ac:dyDescent="0.25">
      <c r="A2007">
        <v>512</v>
      </c>
      <c r="B2007" s="3">
        <v>42041</v>
      </c>
      <c r="C2007" s="4">
        <v>246.5</v>
      </c>
      <c r="E2007">
        <v>512</v>
      </c>
      <c r="F2007" s="3">
        <v>42041</v>
      </c>
      <c r="G2007" t="s">
        <v>121</v>
      </c>
      <c r="H2007" s="18">
        <v>246.5</v>
      </c>
      <c r="J2007" s="20" t="str">
        <f t="shared" si="116"/>
        <v/>
      </c>
      <c r="K2007" t="str">
        <f t="shared" si="115"/>
        <v/>
      </c>
      <c r="L2007" s="4">
        <f t="shared" si="117"/>
        <v>0</v>
      </c>
    </row>
    <row r="2008" spans="1:12" x14ac:dyDescent="0.25">
      <c r="A2008">
        <v>530</v>
      </c>
      <c r="B2008" s="3">
        <v>42041</v>
      </c>
      <c r="C2008" s="4">
        <v>323</v>
      </c>
      <c r="E2008">
        <v>530</v>
      </c>
      <c r="F2008" s="3">
        <v>42041</v>
      </c>
      <c r="G2008" t="s">
        <v>35</v>
      </c>
      <c r="H2008" s="18">
        <v>-1777</v>
      </c>
      <c r="J2008" s="20" t="str">
        <f t="shared" si="116"/>
        <v/>
      </c>
      <c r="K2008" t="str">
        <f t="shared" si="115"/>
        <v/>
      </c>
      <c r="L2008" s="4">
        <f t="shared" si="117"/>
        <v>2100</v>
      </c>
    </row>
    <row r="2009" spans="1:12" x14ac:dyDescent="0.25">
      <c r="A2009">
        <v>539</v>
      </c>
      <c r="B2009" s="3">
        <v>42041</v>
      </c>
      <c r="C2009" s="4">
        <v>966.67</v>
      </c>
      <c r="E2009">
        <v>539</v>
      </c>
      <c r="F2009" s="3">
        <v>42041</v>
      </c>
      <c r="G2009" t="s">
        <v>122</v>
      </c>
      <c r="H2009" s="18">
        <v>966.67</v>
      </c>
      <c r="J2009" s="20" t="str">
        <f t="shared" si="116"/>
        <v/>
      </c>
      <c r="K2009" t="str">
        <f t="shared" si="115"/>
        <v/>
      </c>
      <c r="L2009" s="4">
        <f t="shared" si="117"/>
        <v>0</v>
      </c>
    </row>
    <row r="2010" spans="1:12" x14ac:dyDescent="0.25">
      <c r="A2010">
        <v>582</v>
      </c>
      <c r="B2010" s="3">
        <v>42041</v>
      </c>
      <c r="C2010" s="4">
        <v>250</v>
      </c>
      <c r="E2010">
        <v>582</v>
      </c>
      <c r="F2010" s="3">
        <v>42041</v>
      </c>
      <c r="G2010" t="s">
        <v>123</v>
      </c>
      <c r="H2010" s="18">
        <v>0</v>
      </c>
      <c r="J2010" s="20" t="str">
        <f t="shared" si="116"/>
        <v/>
      </c>
      <c r="K2010" t="str">
        <f t="shared" si="115"/>
        <v/>
      </c>
      <c r="L2010" s="4">
        <f t="shared" si="117"/>
        <v>250</v>
      </c>
    </row>
    <row r="2011" spans="1:12" x14ac:dyDescent="0.25">
      <c r="A2011">
        <v>583</v>
      </c>
      <c r="B2011" s="3">
        <v>42041</v>
      </c>
      <c r="C2011" s="4">
        <v>476</v>
      </c>
      <c r="E2011">
        <v>583</v>
      </c>
      <c r="F2011" s="3">
        <v>42041</v>
      </c>
      <c r="G2011" t="s">
        <v>124</v>
      </c>
      <c r="H2011" s="18">
        <v>476</v>
      </c>
      <c r="J2011" s="20" t="str">
        <f t="shared" si="116"/>
        <v/>
      </c>
      <c r="K2011" t="str">
        <f t="shared" si="115"/>
        <v/>
      </c>
      <c r="L2011" s="4">
        <f t="shared" si="117"/>
        <v>0</v>
      </c>
    </row>
    <row r="2012" spans="1:12" x14ac:dyDescent="0.25">
      <c r="A2012">
        <v>593</v>
      </c>
      <c r="B2012" s="3">
        <v>42041</v>
      </c>
      <c r="C2012" s="4">
        <v>238</v>
      </c>
      <c r="E2012">
        <v>593</v>
      </c>
      <c r="F2012" s="3">
        <v>42041</v>
      </c>
      <c r="G2012" t="s">
        <v>38</v>
      </c>
      <c r="H2012" s="18">
        <v>238</v>
      </c>
      <c r="J2012" s="20" t="str">
        <f t="shared" si="116"/>
        <v/>
      </c>
      <c r="K2012" t="str">
        <f t="shared" si="115"/>
        <v/>
      </c>
      <c r="L2012" s="4">
        <f t="shared" si="117"/>
        <v>0</v>
      </c>
    </row>
    <row r="2013" spans="1:12" x14ac:dyDescent="0.25">
      <c r="A2013">
        <v>599</v>
      </c>
      <c r="B2013" s="3">
        <v>42041</v>
      </c>
      <c r="C2013" s="4">
        <v>425</v>
      </c>
      <c r="E2013">
        <v>599</v>
      </c>
      <c r="F2013" s="3">
        <v>42041</v>
      </c>
      <c r="G2013" t="s">
        <v>125</v>
      </c>
      <c r="H2013" s="18">
        <v>425</v>
      </c>
      <c r="J2013" s="20" t="str">
        <f t="shared" si="116"/>
        <v/>
      </c>
      <c r="K2013" t="str">
        <f t="shared" si="115"/>
        <v/>
      </c>
      <c r="L2013" s="4">
        <f t="shared" si="117"/>
        <v>0</v>
      </c>
    </row>
    <row r="2014" spans="1:12" x14ac:dyDescent="0.25">
      <c r="A2014">
        <v>601</v>
      </c>
      <c r="B2014" s="3">
        <v>42041</v>
      </c>
      <c r="C2014" s="4">
        <v>68</v>
      </c>
      <c r="E2014">
        <v>601</v>
      </c>
      <c r="F2014" s="3">
        <v>42041</v>
      </c>
      <c r="G2014" t="s">
        <v>126</v>
      </c>
      <c r="H2014" s="18">
        <v>-153</v>
      </c>
      <c r="J2014" s="20" t="str">
        <f t="shared" si="116"/>
        <v/>
      </c>
      <c r="K2014" t="str">
        <f t="shared" si="115"/>
        <v/>
      </c>
      <c r="L2014" s="4">
        <f t="shared" si="117"/>
        <v>221</v>
      </c>
    </row>
    <row r="2015" spans="1:12" x14ac:dyDescent="0.25">
      <c r="A2015">
        <v>604</v>
      </c>
      <c r="B2015" s="3">
        <v>42041</v>
      </c>
      <c r="C2015" s="4">
        <v>375</v>
      </c>
      <c r="E2015">
        <v>604</v>
      </c>
      <c r="F2015" s="3">
        <v>42041</v>
      </c>
      <c r="G2015" t="s">
        <v>127</v>
      </c>
      <c r="H2015" s="18">
        <v>375</v>
      </c>
      <c r="J2015" s="20" t="str">
        <f t="shared" si="116"/>
        <v/>
      </c>
      <c r="K2015" t="str">
        <f t="shared" si="115"/>
        <v/>
      </c>
      <c r="L2015" s="4">
        <f t="shared" si="117"/>
        <v>0</v>
      </c>
    </row>
    <row r="2016" spans="1:12" x14ac:dyDescent="0.25">
      <c r="A2016">
        <v>606</v>
      </c>
      <c r="B2016" s="3">
        <v>42041</v>
      </c>
      <c r="C2016" s="4">
        <v>221</v>
      </c>
      <c r="E2016">
        <v>606</v>
      </c>
      <c r="F2016" s="3">
        <v>42041</v>
      </c>
      <c r="G2016" t="s">
        <v>128</v>
      </c>
      <c r="H2016" s="18">
        <v>221</v>
      </c>
      <c r="J2016" s="20" t="str">
        <f t="shared" si="116"/>
        <v/>
      </c>
      <c r="K2016" t="str">
        <f t="shared" si="115"/>
        <v/>
      </c>
      <c r="L2016" s="4">
        <f t="shared" si="117"/>
        <v>0</v>
      </c>
    </row>
    <row r="2017" spans="1:12" x14ac:dyDescent="0.25">
      <c r="A2017">
        <v>607</v>
      </c>
      <c r="B2017" s="3">
        <v>42041</v>
      </c>
      <c r="C2017" s="4">
        <v>250</v>
      </c>
      <c r="E2017">
        <v>607</v>
      </c>
      <c r="F2017" s="3">
        <v>42041</v>
      </c>
      <c r="G2017" t="s">
        <v>39</v>
      </c>
      <c r="H2017" s="18">
        <v>250</v>
      </c>
      <c r="J2017" s="20" t="str">
        <f t="shared" si="116"/>
        <v/>
      </c>
      <c r="K2017" t="str">
        <f t="shared" si="115"/>
        <v/>
      </c>
      <c r="L2017" s="4">
        <f t="shared" si="117"/>
        <v>0</v>
      </c>
    </row>
    <row r="2018" spans="1:12" x14ac:dyDescent="0.25">
      <c r="A2018">
        <v>610</v>
      </c>
      <c r="B2018" s="3">
        <v>42041</v>
      </c>
      <c r="C2018" s="4">
        <v>91.67</v>
      </c>
      <c r="E2018">
        <v>610</v>
      </c>
      <c r="F2018" s="3">
        <v>42041</v>
      </c>
      <c r="G2018" t="s">
        <v>129</v>
      </c>
      <c r="H2018" s="18">
        <v>91.67</v>
      </c>
      <c r="J2018" s="20" t="str">
        <f t="shared" si="116"/>
        <v/>
      </c>
      <c r="K2018" t="str">
        <f t="shared" si="115"/>
        <v/>
      </c>
      <c r="L2018" s="4">
        <f t="shared" si="117"/>
        <v>0</v>
      </c>
    </row>
    <row r="2019" spans="1:12" x14ac:dyDescent="0.25">
      <c r="A2019">
        <v>614</v>
      </c>
      <c r="B2019" s="3">
        <v>42041</v>
      </c>
      <c r="C2019" s="4">
        <v>204</v>
      </c>
      <c r="E2019">
        <v>614</v>
      </c>
      <c r="F2019" s="3">
        <v>42041</v>
      </c>
      <c r="G2019" t="s">
        <v>130</v>
      </c>
      <c r="H2019" s="18">
        <v>204</v>
      </c>
      <c r="J2019" s="20" t="str">
        <f t="shared" si="116"/>
        <v/>
      </c>
      <c r="K2019" t="str">
        <f t="shared" si="115"/>
        <v/>
      </c>
      <c r="L2019" s="4">
        <f t="shared" si="117"/>
        <v>0</v>
      </c>
    </row>
    <row r="2020" spans="1:12" x14ac:dyDescent="0.25">
      <c r="A2020">
        <v>616</v>
      </c>
      <c r="B2020" s="3">
        <v>42041</v>
      </c>
      <c r="C2020" s="4">
        <v>136</v>
      </c>
      <c r="E2020">
        <v>616</v>
      </c>
      <c r="F2020" s="3">
        <v>42041</v>
      </c>
      <c r="G2020" t="s">
        <v>40</v>
      </c>
      <c r="H2020" s="18">
        <v>136</v>
      </c>
      <c r="J2020" s="20" t="str">
        <f t="shared" si="116"/>
        <v/>
      </c>
      <c r="K2020" t="str">
        <f t="shared" si="115"/>
        <v/>
      </c>
      <c r="L2020" s="4">
        <f t="shared" si="117"/>
        <v>0</v>
      </c>
    </row>
    <row r="2021" spans="1:12" x14ac:dyDescent="0.25">
      <c r="A2021">
        <v>648</v>
      </c>
      <c r="B2021" s="3">
        <v>42041</v>
      </c>
      <c r="C2021" s="4">
        <v>235</v>
      </c>
      <c r="E2021">
        <v>648</v>
      </c>
      <c r="F2021" s="3">
        <v>42041</v>
      </c>
      <c r="G2021" t="s">
        <v>42</v>
      </c>
      <c r="H2021" s="18">
        <v>-2390</v>
      </c>
      <c r="J2021" s="20" t="str">
        <f t="shared" si="116"/>
        <v/>
      </c>
      <c r="K2021" t="str">
        <f t="shared" si="115"/>
        <v/>
      </c>
      <c r="L2021" s="4">
        <f t="shared" si="117"/>
        <v>2625</v>
      </c>
    </row>
    <row r="2022" spans="1:12" x14ac:dyDescent="0.25">
      <c r="A2022">
        <v>656</v>
      </c>
      <c r="B2022" s="3">
        <v>42041</v>
      </c>
      <c r="C2022" s="4">
        <v>141.66999999999999</v>
      </c>
      <c r="E2022">
        <v>656</v>
      </c>
      <c r="F2022" s="3">
        <v>42041</v>
      </c>
      <c r="G2022" t="s">
        <v>43</v>
      </c>
      <c r="H2022" s="18">
        <v>0</v>
      </c>
      <c r="J2022" s="20" t="str">
        <f t="shared" si="116"/>
        <v/>
      </c>
      <c r="K2022" t="str">
        <f t="shared" si="115"/>
        <v/>
      </c>
      <c r="L2022" s="4">
        <f t="shared" si="117"/>
        <v>141.66999999999999</v>
      </c>
    </row>
    <row r="2023" spans="1:12" x14ac:dyDescent="0.25">
      <c r="A2023">
        <v>657</v>
      </c>
      <c r="B2023" s="3">
        <v>42041</v>
      </c>
      <c r="C2023" s="4">
        <v>325</v>
      </c>
      <c r="E2023">
        <v>657</v>
      </c>
      <c r="F2023" s="3">
        <v>42041</v>
      </c>
      <c r="G2023" t="s">
        <v>131</v>
      </c>
      <c r="H2023" s="18">
        <v>325</v>
      </c>
      <c r="J2023" s="20" t="str">
        <f t="shared" si="116"/>
        <v/>
      </c>
      <c r="K2023" t="str">
        <f t="shared" si="115"/>
        <v/>
      </c>
      <c r="L2023" s="4">
        <f t="shared" si="117"/>
        <v>0</v>
      </c>
    </row>
    <row r="2024" spans="1:12" x14ac:dyDescent="0.25">
      <c r="A2024">
        <v>659</v>
      </c>
      <c r="B2024" s="3">
        <v>42041</v>
      </c>
      <c r="C2024" s="4">
        <v>500</v>
      </c>
      <c r="E2024">
        <v>659</v>
      </c>
      <c r="F2024" s="3">
        <v>42041</v>
      </c>
      <c r="G2024" t="s">
        <v>44</v>
      </c>
      <c r="H2024" s="18">
        <v>250</v>
      </c>
      <c r="J2024" s="20" t="str">
        <f t="shared" si="116"/>
        <v/>
      </c>
      <c r="K2024" t="str">
        <f t="shared" si="115"/>
        <v/>
      </c>
      <c r="L2024" s="4">
        <f t="shared" si="117"/>
        <v>250</v>
      </c>
    </row>
    <row r="2025" spans="1:12" x14ac:dyDescent="0.25">
      <c r="A2025">
        <v>660</v>
      </c>
      <c r="B2025" s="3">
        <v>42041</v>
      </c>
      <c r="C2025" s="4">
        <v>357</v>
      </c>
      <c r="E2025">
        <v>660</v>
      </c>
      <c r="F2025" s="3">
        <v>42041</v>
      </c>
      <c r="G2025" t="s">
        <v>132</v>
      </c>
      <c r="H2025" s="18">
        <v>357</v>
      </c>
      <c r="J2025" s="20" t="str">
        <f t="shared" si="116"/>
        <v/>
      </c>
      <c r="K2025" t="str">
        <f t="shared" si="115"/>
        <v/>
      </c>
      <c r="L2025" s="4">
        <f t="shared" si="117"/>
        <v>0</v>
      </c>
    </row>
    <row r="2026" spans="1:12" x14ac:dyDescent="0.25">
      <c r="A2026">
        <v>687</v>
      </c>
      <c r="B2026" s="3">
        <v>42041</v>
      </c>
      <c r="C2026" s="4">
        <v>517</v>
      </c>
      <c r="E2026">
        <v>687</v>
      </c>
      <c r="F2026" s="3">
        <v>42041</v>
      </c>
      <c r="G2026" t="s">
        <v>133</v>
      </c>
      <c r="H2026" s="18">
        <v>517</v>
      </c>
      <c r="J2026" s="20" t="str">
        <f t="shared" si="116"/>
        <v/>
      </c>
      <c r="K2026" t="str">
        <f t="shared" si="115"/>
        <v/>
      </c>
      <c r="L2026" s="4">
        <f t="shared" si="117"/>
        <v>0</v>
      </c>
    </row>
    <row r="2027" spans="1:12" x14ac:dyDescent="0.25">
      <c r="A2027">
        <v>690</v>
      </c>
      <c r="B2027" s="3">
        <v>42041</v>
      </c>
      <c r="C2027" s="4">
        <v>848.31</v>
      </c>
      <c r="E2027">
        <v>690</v>
      </c>
      <c r="F2027" s="3">
        <v>42041</v>
      </c>
      <c r="G2027" t="s">
        <v>48</v>
      </c>
      <c r="H2027" s="18">
        <v>-51.69</v>
      </c>
      <c r="J2027" s="20" t="str">
        <f t="shared" si="116"/>
        <v/>
      </c>
      <c r="K2027" t="str">
        <f t="shared" si="115"/>
        <v/>
      </c>
      <c r="L2027" s="4">
        <f t="shared" si="117"/>
        <v>900</v>
      </c>
    </row>
    <row r="2028" spans="1:12" x14ac:dyDescent="0.25">
      <c r="A2028">
        <v>702</v>
      </c>
      <c r="B2028" s="3">
        <v>42041</v>
      </c>
      <c r="C2028" s="4">
        <v>1025</v>
      </c>
      <c r="E2028">
        <v>702</v>
      </c>
      <c r="F2028" s="3">
        <v>42041</v>
      </c>
      <c r="G2028" t="s">
        <v>134</v>
      </c>
      <c r="H2028" s="18">
        <v>1025</v>
      </c>
      <c r="J2028" s="20" t="str">
        <f t="shared" si="116"/>
        <v/>
      </c>
      <c r="K2028" t="str">
        <f t="shared" si="115"/>
        <v/>
      </c>
      <c r="L2028" s="4">
        <f t="shared" si="117"/>
        <v>0</v>
      </c>
    </row>
    <row r="2029" spans="1:12" x14ac:dyDescent="0.25">
      <c r="A2029">
        <v>707</v>
      </c>
      <c r="B2029" s="3">
        <v>42041</v>
      </c>
      <c r="C2029" s="4">
        <v>527.33000000000004</v>
      </c>
      <c r="E2029">
        <v>707</v>
      </c>
      <c r="F2029" s="3">
        <v>42041</v>
      </c>
      <c r="G2029" t="s">
        <v>52</v>
      </c>
      <c r="H2029" s="18">
        <v>0</v>
      </c>
      <c r="J2029" s="20" t="str">
        <f t="shared" si="116"/>
        <v/>
      </c>
      <c r="K2029" t="str">
        <f t="shared" si="115"/>
        <v/>
      </c>
      <c r="L2029" s="4">
        <f t="shared" si="117"/>
        <v>527.33000000000004</v>
      </c>
    </row>
    <row r="2030" spans="1:12" x14ac:dyDescent="0.25">
      <c r="A2030">
        <v>722</v>
      </c>
      <c r="B2030" s="3">
        <v>42041</v>
      </c>
      <c r="C2030" s="4">
        <v>673</v>
      </c>
      <c r="E2030">
        <v>722</v>
      </c>
      <c r="F2030" s="3">
        <v>42041</v>
      </c>
      <c r="G2030" t="s">
        <v>135</v>
      </c>
      <c r="H2030" s="18">
        <v>257</v>
      </c>
      <c r="J2030" s="20" t="str">
        <f t="shared" si="116"/>
        <v/>
      </c>
      <c r="K2030" t="str">
        <f t="shared" si="115"/>
        <v/>
      </c>
      <c r="L2030" s="4">
        <f t="shared" si="117"/>
        <v>416</v>
      </c>
    </row>
    <row r="2031" spans="1:12" x14ac:dyDescent="0.25">
      <c r="A2031">
        <v>726</v>
      </c>
      <c r="B2031" s="3">
        <v>42041</v>
      </c>
      <c r="C2031" s="4">
        <v>165.75</v>
      </c>
      <c r="E2031">
        <v>726</v>
      </c>
      <c r="F2031" s="3">
        <v>42041</v>
      </c>
      <c r="G2031" t="s">
        <v>53</v>
      </c>
      <c r="H2031" s="18">
        <v>0</v>
      </c>
      <c r="J2031" s="20" t="str">
        <f t="shared" si="116"/>
        <v/>
      </c>
      <c r="K2031" t="str">
        <f t="shared" si="115"/>
        <v/>
      </c>
      <c r="L2031" s="4">
        <f t="shared" si="117"/>
        <v>165.75</v>
      </c>
    </row>
    <row r="2032" spans="1:12" x14ac:dyDescent="0.25">
      <c r="A2032">
        <v>771</v>
      </c>
      <c r="B2032" s="3">
        <v>42041</v>
      </c>
      <c r="C2032" s="4">
        <v>340</v>
      </c>
      <c r="E2032">
        <v>771</v>
      </c>
      <c r="F2032" s="3">
        <v>42041</v>
      </c>
      <c r="G2032" t="s">
        <v>57</v>
      </c>
      <c r="H2032" s="18">
        <v>340</v>
      </c>
      <c r="J2032" s="20" t="str">
        <f t="shared" si="116"/>
        <v/>
      </c>
      <c r="K2032" t="str">
        <f t="shared" si="115"/>
        <v/>
      </c>
      <c r="L2032" s="4">
        <f t="shared" si="117"/>
        <v>0</v>
      </c>
    </row>
    <row r="2033" spans="1:12" x14ac:dyDescent="0.25">
      <c r="A2033">
        <v>775</v>
      </c>
      <c r="B2033" s="3">
        <v>42041</v>
      </c>
      <c r="C2033" s="4">
        <v>138.66999999999999</v>
      </c>
      <c r="E2033">
        <v>775</v>
      </c>
      <c r="F2033" s="3">
        <v>42041</v>
      </c>
      <c r="G2033" t="s">
        <v>136</v>
      </c>
      <c r="H2033" s="18">
        <v>138.66999999999999</v>
      </c>
      <c r="J2033" s="20" t="str">
        <f t="shared" si="116"/>
        <v/>
      </c>
      <c r="K2033" t="str">
        <f t="shared" si="115"/>
        <v/>
      </c>
      <c r="L2033" s="4">
        <f t="shared" si="117"/>
        <v>0</v>
      </c>
    </row>
    <row r="2034" spans="1:12" x14ac:dyDescent="0.25">
      <c r="A2034">
        <v>817</v>
      </c>
      <c r="B2034" s="3">
        <v>42041</v>
      </c>
      <c r="C2034" s="4">
        <v>500</v>
      </c>
      <c r="E2034">
        <v>817</v>
      </c>
      <c r="F2034" s="3">
        <v>42041</v>
      </c>
      <c r="G2034" t="s">
        <v>60</v>
      </c>
      <c r="H2034" s="18">
        <v>250</v>
      </c>
      <c r="J2034" s="20" t="str">
        <f t="shared" si="116"/>
        <v/>
      </c>
      <c r="K2034" t="str">
        <f t="shared" si="115"/>
        <v/>
      </c>
      <c r="L2034" s="4">
        <f t="shared" si="117"/>
        <v>250</v>
      </c>
    </row>
    <row r="2035" spans="1:12" x14ac:dyDescent="0.25">
      <c r="A2035">
        <v>823</v>
      </c>
      <c r="B2035" s="3">
        <v>42041</v>
      </c>
      <c r="C2035" s="4">
        <v>500</v>
      </c>
      <c r="E2035">
        <v>823</v>
      </c>
      <c r="F2035" s="3">
        <v>42041</v>
      </c>
      <c r="G2035" t="s">
        <v>61</v>
      </c>
      <c r="H2035" s="18">
        <v>500</v>
      </c>
      <c r="J2035" s="20" t="str">
        <f t="shared" si="116"/>
        <v/>
      </c>
      <c r="K2035" t="str">
        <f t="shared" si="115"/>
        <v/>
      </c>
      <c r="L2035" s="4">
        <f t="shared" si="117"/>
        <v>0</v>
      </c>
    </row>
    <row r="2036" spans="1:12" x14ac:dyDescent="0.25">
      <c r="A2036">
        <v>832</v>
      </c>
      <c r="B2036" s="3">
        <v>42041</v>
      </c>
      <c r="C2036" s="4">
        <v>725</v>
      </c>
      <c r="E2036">
        <v>832</v>
      </c>
      <c r="F2036" s="3">
        <v>42041</v>
      </c>
      <c r="G2036" t="s">
        <v>137</v>
      </c>
      <c r="H2036" s="18">
        <v>725</v>
      </c>
      <c r="J2036" s="20" t="str">
        <f t="shared" si="116"/>
        <v/>
      </c>
      <c r="K2036" t="str">
        <f t="shared" si="115"/>
        <v/>
      </c>
      <c r="L2036" s="4">
        <f t="shared" si="117"/>
        <v>0</v>
      </c>
    </row>
    <row r="2037" spans="1:12" x14ac:dyDescent="0.25">
      <c r="A2037">
        <v>857</v>
      </c>
      <c r="B2037" s="3">
        <v>42041</v>
      </c>
      <c r="C2037" s="4">
        <v>500</v>
      </c>
      <c r="E2037">
        <v>857</v>
      </c>
      <c r="F2037" s="3">
        <v>42041</v>
      </c>
      <c r="G2037" t="s">
        <v>138</v>
      </c>
      <c r="H2037" s="18">
        <v>500</v>
      </c>
      <c r="J2037" s="20" t="str">
        <f t="shared" si="116"/>
        <v/>
      </c>
      <c r="K2037" t="str">
        <f t="shared" si="115"/>
        <v/>
      </c>
      <c r="L2037" s="4">
        <f t="shared" si="117"/>
        <v>0</v>
      </c>
    </row>
    <row r="2038" spans="1:12" x14ac:dyDescent="0.25">
      <c r="A2038">
        <v>867</v>
      </c>
      <c r="B2038" s="3">
        <v>42041</v>
      </c>
      <c r="C2038" s="4">
        <v>1550</v>
      </c>
      <c r="E2038">
        <v>867</v>
      </c>
      <c r="F2038" s="3">
        <v>42041</v>
      </c>
      <c r="G2038" t="s">
        <v>139</v>
      </c>
      <c r="H2038" s="18">
        <v>0</v>
      </c>
      <c r="J2038" s="20" t="str">
        <f t="shared" si="116"/>
        <v/>
      </c>
      <c r="K2038" t="str">
        <f t="shared" si="115"/>
        <v/>
      </c>
      <c r="L2038" s="4">
        <f t="shared" si="117"/>
        <v>1550</v>
      </c>
    </row>
    <row r="2039" spans="1:12" x14ac:dyDescent="0.25">
      <c r="A2039">
        <v>890</v>
      </c>
      <c r="B2039" s="3">
        <v>42041</v>
      </c>
      <c r="C2039" s="4">
        <v>505</v>
      </c>
      <c r="E2039">
        <v>890</v>
      </c>
      <c r="F2039" s="3">
        <v>42041</v>
      </c>
      <c r="G2039" t="s">
        <v>140</v>
      </c>
      <c r="H2039" s="18">
        <v>0</v>
      </c>
      <c r="J2039" s="20" t="str">
        <f t="shared" si="116"/>
        <v/>
      </c>
      <c r="K2039" t="str">
        <f t="shared" si="115"/>
        <v/>
      </c>
      <c r="L2039" s="4">
        <f t="shared" si="117"/>
        <v>505</v>
      </c>
    </row>
    <row r="2040" spans="1:12" x14ac:dyDescent="0.25">
      <c r="A2040">
        <v>893</v>
      </c>
      <c r="B2040" s="3">
        <v>42041</v>
      </c>
      <c r="C2040" s="4">
        <v>867</v>
      </c>
      <c r="E2040">
        <v>893</v>
      </c>
      <c r="F2040" s="3">
        <v>42041</v>
      </c>
      <c r="G2040" t="s">
        <v>141</v>
      </c>
      <c r="H2040" s="18">
        <v>0</v>
      </c>
      <c r="J2040" s="20" t="str">
        <f t="shared" si="116"/>
        <v/>
      </c>
      <c r="K2040" t="str">
        <f t="shared" si="115"/>
        <v/>
      </c>
      <c r="L2040" s="4">
        <f t="shared" si="117"/>
        <v>867</v>
      </c>
    </row>
    <row r="2041" spans="1:12" x14ac:dyDescent="0.25">
      <c r="A2041">
        <v>894</v>
      </c>
      <c r="B2041" s="3">
        <v>42041</v>
      </c>
      <c r="C2041" s="4">
        <v>469</v>
      </c>
      <c r="E2041">
        <v>894</v>
      </c>
      <c r="F2041" s="3">
        <v>42041</v>
      </c>
      <c r="G2041" t="s">
        <v>142</v>
      </c>
      <c r="H2041" s="18">
        <v>469</v>
      </c>
      <c r="J2041" s="20" t="str">
        <f t="shared" si="116"/>
        <v/>
      </c>
      <c r="K2041" t="str">
        <f t="shared" si="115"/>
        <v/>
      </c>
      <c r="L2041" s="4">
        <f t="shared" si="117"/>
        <v>0</v>
      </c>
    </row>
    <row r="2042" spans="1:12" x14ac:dyDescent="0.25">
      <c r="A2042">
        <v>897</v>
      </c>
      <c r="B2042" s="3">
        <v>42041</v>
      </c>
      <c r="C2042" s="4">
        <v>156.25</v>
      </c>
      <c r="E2042">
        <v>897</v>
      </c>
      <c r="F2042" s="3">
        <v>42041</v>
      </c>
      <c r="G2042" t="s">
        <v>66</v>
      </c>
      <c r="H2042" s="18">
        <v>0</v>
      </c>
      <c r="J2042" s="20" t="str">
        <f t="shared" si="116"/>
        <v/>
      </c>
      <c r="K2042" t="str">
        <f t="shared" si="115"/>
        <v/>
      </c>
      <c r="L2042" s="4">
        <f t="shared" si="117"/>
        <v>156.25</v>
      </c>
    </row>
    <row r="2043" spans="1:12" x14ac:dyDescent="0.25">
      <c r="A2043">
        <v>908</v>
      </c>
      <c r="B2043" s="3">
        <v>42041</v>
      </c>
      <c r="C2043" s="4">
        <v>250</v>
      </c>
      <c r="E2043">
        <v>908</v>
      </c>
      <c r="F2043" s="3">
        <v>42041</v>
      </c>
      <c r="G2043" t="s">
        <v>143</v>
      </c>
      <c r="H2043" s="18">
        <v>0</v>
      </c>
      <c r="J2043" s="20" t="str">
        <f t="shared" si="116"/>
        <v/>
      </c>
      <c r="K2043" t="str">
        <f t="shared" si="115"/>
        <v/>
      </c>
      <c r="L2043" s="4">
        <f t="shared" si="117"/>
        <v>250</v>
      </c>
    </row>
    <row r="2044" spans="1:12" x14ac:dyDescent="0.25">
      <c r="A2044">
        <v>911</v>
      </c>
      <c r="B2044" s="3">
        <v>42041</v>
      </c>
      <c r="C2044" s="4">
        <v>250</v>
      </c>
      <c r="E2044">
        <v>911</v>
      </c>
      <c r="F2044" s="3">
        <v>42041</v>
      </c>
      <c r="G2044" t="s">
        <v>144</v>
      </c>
      <c r="H2044" s="18">
        <v>0</v>
      </c>
      <c r="J2044" s="20" t="str">
        <f t="shared" si="116"/>
        <v/>
      </c>
      <c r="K2044" t="str">
        <f t="shared" si="115"/>
        <v/>
      </c>
      <c r="L2044" s="4">
        <f t="shared" si="117"/>
        <v>250</v>
      </c>
    </row>
    <row r="2045" spans="1:12" x14ac:dyDescent="0.25">
      <c r="A2045">
        <v>912</v>
      </c>
      <c r="B2045" s="3">
        <v>42041</v>
      </c>
      <c r="C2045" s="4">
        <v>750</v>
      </c>
      <c r="E2045">
        <v>912</v>
      </c>
      <c r="F2045" s="3">
        <v>42041</v>
      </c>
      <c r="G2045" t="s">
        <v>145</v>
      </c>
      <c r="H2045" s="18">
        <v>0</v>
      </c>
      <c r="J2045" s="20" t="str">
        <f t="shared" si="116"/>
        <v/>
      </c>
      <c r="K2045" t="str">
        <f t="shared" si="115"/>
        <v/>
      </c>
      <c r="L2045" s="4">
        <f t="shared" si="117"/>
        <v>750</v>
      </c>
    </row>
    <row r="2046" spans="1:12" x14ac:dyDescent="0.25">
      <c r="A2046">
        <v>915</v>
      </c>
      <c r="B2046" s="3">
        <v>42041</v>
      </c>
      <c r="C2046" s="4">
        <v>500</v>
      </c>
      <c r="E2046">
        <v>915</v>
      </c>
      <c r="F2046" s="3">
        <v>42041</v>
      </c>
      <c r="G2046" t="s">
        <v>146</v>
      </c>
      <c r="H2046" s="18">
        <v>0</v>
      </c>
      <c r="J2046" s="20" t="str">
        <f t="shared" si="116"/>
        <v/>
      </c>
      <c r="K2046" t="str">
        <f t="shared" si="115"/>
        <v/>
      </c>
      <c r="L2046" s="4">
        <f t="shared" si="117"/>
        <v>500</v>
      </c>
    </row>
    <row r="2047" spans="1:12" x14ac:dyDescent="0.25">
      <c r="A2047">
        <v>930</v>
      </c>
      <c r="B2047" s="3">
        <v>42041</v>
      </c>
      <c r="C2047" s="4">
        <v>250</v>
      </c>
      <c r="E2047">
        <v>930</v>
      </c>
      <c r="F2047" s="3">
        <v>42041</v>
      </c>
      <c r="G2047" t="s">
        <v>147</v>
      </c>
      <c r="H2047" s="18">
        <v>0</v>
      </c>
      <c r="J2047" s="20" t="str">
        <f t="shared" si="116"/>
        <v/>
      </c>
      <c r="K2047" t="str">
        <f t="shared" si="115"/>
        <v/>
      </c>
      <c r="L2047" s="4">
        <f t="shared" si="117"/>
        <v>250</v>
      </c>
    </row>
    <row r="2048" spans="1:12" x14ac:dyDescent="0.25">
      <c r="A2048">
        <v>940</v>
      </c>
      <c r="B2048" s="3">
        <v>42041</v>
      </c>
      <c r="C2048" s="4">
        <v>663</v>
      </c>
      <c r="E2048">
        <v>940</v>
      </c>
      <c r="F2048" s="3">
        <v>42041</v>
      </c>
      <c r="G2048" t="s">
        <v>148</v>
      </c>
      <c r="H2048" s="18">
        <v>663</v>
      </c>
      <c r="J2048" s="20" t="str">
        <f t="shared" si="116"/>
        <v/>
      </c>
      <c r="K2048" t="str">
        <f t="shared" si="115"/>
        <v/>
      </c>
      <c r="L2048" s="4">
        <f t="shared" si="117"/>
        <v>0</v>
      </c>
    </row>
    <row r="2049" spans="1:12" x14ac:dyDescent="0.25">
      <c r="A2049">
        <v>941</v>
      </c>
      <c r="B2049" s="3">
        <v>42041</v>
      </c>
      <c r="C2049" s="4">
        <v>1000</v>
      </c>
      <c r="E2049">
        <v>941</v>
      </c>
      <c r="F2049" s="3">
        <v>42041</v>
      </c>
      <c r="G2049" t="s">
        <v>149</v>
      </c>
      <c r="H2049" s="18">
        <v>0</v>
      </c>
      <c r="J2049" s="20" t="str">
        <f t="shared" si="116"/>
        <v/>
      </c>
      <c r="K2049" t="str">
        <f t="shared" si="115"/>
        <v/>
      </c>
      <c r="L2049" s="4">
        <f t="shared" si="117"/>
        <v>1000</v>
      </c>
    </row>
    <row r="2050" spans="1:12" x14ac:dyDescent="0.25">
      <c r="A2050">
        <v>945</v>
      </c>
      <c r="B2050" s="3">
        <v>42041</v>
      </c>
      <c r="C2050" s="4">
        <v>312.5</v>
      </c>
      <c r="E2050">
        <v>945</v>
      </c>
      <c r="F2050" s="3">
        <v>42041</v>
      </c>
      <c r="G2050" t="s">
        <v>70</v>
      </c>
      <c r="H2050" s="18">
        <v>0</v>
      </c>
      <c r="J2050" s="20" t="str">
        <f t="shared" si="116"/>
        <v/>
      </c>
      <c r="K2050" t="str">
        <f t="shared" si="115"/>
        <v/>
      </c>
      <c r="L2050" s="4">
        <f t="shared" si="117"/>
        <v>312.5</v>
      </c>
    </row>
    <row r="2051" spans="1:12" x14ac:dyDescent="0.25">
      <c r="A2051">
        <v>949</v>
      </c>
      <c r="B2051" s="3">
        <v>42041</v>
      </c>
      <c r="C2051" s="4">
        <v>250</v>
      </c>
      <c r="E2051">
        <v>949</v>
      </c>
      <c r="F2051" s="3">
        <v>42041</v>
      </c>
      <c r="G2051" t="s">
        <v>150</v>
      </c>
      <c r="H2051" s="18">
        <v>0</v>
      </c>
      <c r="J2051" s="20" t="str">
        <f t="shared" si="116"/>
        <v/>
      </c>
      <c r="K2051" t="str">
        <f t="shared" ref="K2051:K2114" si="118">IF(F2051=B2051,"","CHECK")</f>
        <v/>
      </c>
      <c r="L2051" s="4">
        <f t="shared" si="117"/>
        <v>250</v>
      </c>
    </row>
    <row r="2052" spans="1:12" x14ac:dyDescent="0.25">
      <c r="A2052">
        <v>957</v>
      </c>
      <c r="B2052" s="3">
        <v>42041</v>
      </c>
      <c r="C2052" s="4">
        <v>250</v>
      </c>
      <c r="E2052">
        <v>957</v>
      </c>
      <c r="F2052" s="3">
        <v>42041</v>
      </c>
      <c r="G2052" t="s">
        <v>151</v>
      </c>
      <c r="H2052" s="18">
        <v>0</v>
      </c>
      <c r="J2052" s="20" t="str">
        <f t="shared" ref="J2052:J2115" si="119">IF(E2052=A2052,"","CHECK")</f>
        <v/>
      </c>
      <c r="K2052" t="str">
        <f t="shared" si="118"/>
        <v/>
      </c>
      <c r="L2052" s="4">
        <f t="shared" ref="L2052:L2115" si="120">C2052-H2052</f>
        <v>250</v>
      </c>
    </row>
    <row r="2053" spans="1:12" x14ac:dyDescent="0.25">
      <c r="A2053">
        <v>962</v>
      </c>
      <c r="B2053" s="3">
        <v>42041</v>
      </c>
      <c r="C2053" s="4">
        <v>500</v>
      </c>
      <c r="E2053">
        <v>962</v>
      </c>
      <c r="F2053" s="3">
        <v>42041</v>
      </c>
      <c r="G2053" t="s">
        <v>152</v>
      </c>
      <c r="H2053" s="18">
        <v>0</v>
      </c>
      <c r="J2053" s="20" t="str">
        <f t="shared" si="119"/>
        <v/>
      </c>
      <c r="K2053" t="str">
        <f t="shared" si="118"/>
        <v/>
      </c>
      <c r="L2053" s="4">
        <f t="shared" si="120"/>
        <v>500</v>
      </c>
    </row>
    <row r="2054" spans="1:12" x14ac:dyDescent="0.25">
      <c r="A2054">
        <v>966</v>
      </c>
      <c r="B2054" s="3">
        <v>42041</v>
      </c>
      <c r="C2054" s="4">
        <v>867</v>
      </c>
      <c r="E2054">
        <v>966</v>
      </c>
      <c r="F2054" s="3">
        <v>42041</v>
      </c>
      <c r="G2054" t="s">
        <v>72</v>
      </c>
      <c r="H2054" s="18">
        <v>0</v>
      </c>
      <c r="J2054" s="20" t="str">
        <f t="shared" si="119"/>
        <v/>
      </c>
      <c r="K2054" t="str">
        <f t="shared" si="118"/>
        <v/>
      </c>
      <c r="L2054" s="4">
        <f t="shared" si="120"/>
        <v>867</v>
      </c>
    </row>
    <row r="2055" spans="1:12" x14ac:dyDescent="0.25">
      <c r="A2055">
        <v>967</v>
      </c>
      <c r="B2055" s="3">
        <v>42041</v>
      </c>
      <c r="C2055" s="4">
        <v>250</v>
      </c>
      <c r="E2055">
        <v>967</v>
      </c>
      <c r="F2055" s="3">
        <v>42041</v>
      </c>
      <c r="G2055" t="s">
        <v>153</v>
      </c>
      <c r="H2055" s="18">
        <v>0</v>
      </c>
      <c r="J2055" s="20" t="str">
        <f t="shared" si="119"/>
        <v/>
      </c>
      <c r="K2055" t="str">
        <f t="shared" si="118"/>
        <v/>
      </c>
      <c r="L2055" s="4">
        <f t="shared" si="120"/>
        <v>250</v>
      </c>
    </row>
    <row r="2056" spans="1:12" x14ac:dyDescent="0.25">
      <c r="A2056">
        <v>969</v>
      </c>
      <c r="B2056" s="3">
        <v>42041</v>
      </c>
      <c r="C2056" s="4">
        <v>500</v>
      </c>
      <c r="E2056">
        <v>969</v>
      </c>
      <c r="F2056" s="3">
        <v>42041</v>
      </c>
      <c r="G2056" t="s">
        <v>154</v>
      </c>
      <c r="H2056" s="18">
        <v>0</v>
      </c>
      <c r="J2056" s="20" t="str">
        <f t="shared" si="119"/>
        <v/>
      </c>
      <c r="K2056" t="str">
        <f t="shared" si="118"/>
        <v/>
      </c>
      <c r="L2056" s="4">
        <f t="shared" si="120"/>
        <v>500</v>
      </c>
    </row>
    <row r="2057" spans="1:12" x14ac:dyDescent="0.25">
      <c r="A2057">
        <v>974</v>
      </c>
      <c r="B2057" s="3">
        <v>42041</v>
      </c>
      <c r="C2057" s="4">
        <v>556</v>
      </c>
      <c r="E2057">
        <v>974</v>
      </c>
      <c r="F2057" s="3">
        <v>42041</v>
      </c>
      <c r="G2057" t="s">
        <v>155</v>
      </c>
      <c r="H2057" s="18">
        <v>556</v>
      </c>
      <c r="J2057" s="20" t="str">
        <f t="shared" si="119"/>
        <v/>
      </c>
      <c r="K2057" t="str">
        <f t="shared" si="118"/>
        <v/>
      </c>
      <c r="L2057" s="4">
        <f t="shared" si="120"/>
        <v>0</v>
      </c>
    </row>
    <row r="2058" spans="1:12" x14ac:dyDescent="0.25">
      <c r="A2058">
        <v>975</v>
      </c>
      <c r="B2058" s="3">
        <v>42041</v>
      </c>
      <c r="C2058" s="4">
        <v>500</v>
      </c>
      <c r="E2058">
        <v>975</v>
      </c>
      <c r="F2058" s="3">
        <v>42041</v>
      </c>
      <c r="G2058" t="s">
        <v>156</v>
      </c>
      <c r="H2058" s="18">
        <v>0</v>
      </c>
      <c r="J2058" s="20" t="str">
        <f t="shared" si="119"/>
        <v/>
      </c>
      <c r="K2058" t="str">
        <f t="shared" si="118"/>
        <v/>
      </c>
      <c r="L2058" s="4">
        <f t="shared" si="120"/>
        <v>500</v>
      </c>
    </row>
    <row r="2059" spans="1:12" x14ac:dyDescent="0.25">
      <c r="E2059">
        <v>22</v>
      </c>
      <c r="F2059" s="3">
        <v>42048</v>
      </c>
      <c r="G2059" t="s">
        <v>4</v>
      </c>
      <c r="H2059" s="18">
        <v>1325</v>
      </c>
      <c r="J2059" s="20" t="str">
        <f t="shared" si="119"/>
        <v>CHECK</v>
      </c>
      <c r="K2059" t="str">
        <f t="shared" si="118"/>
        <v>CHECK</v>
      </c>
      <c r="L2059" s="4">
        <f t="shared" si="120"/>
        <v>-1325</v>
      </c>
    </row>
    <row r="2060" spans="1:12" x14ac:dyDescent="0.25">
      <c r="E2060">
        <v>23</v>
      </c>
      <c r="F2060" s="3">
        <v>42048</v>
      </c>
      <c r="G2060" t="s">
        <v>5</v>
      </c>
      <c r="H2060" s="18">
        <v>262.72000000000003</v>
      </c>
      <c r="J2060" s="20" t="str">
        <f t="shared" si="119"/>
        <v>CHECK</v>
      </c>
      <c r="K2060" t="str">
        <f t="shared" si="118"/>
        <v>CHECK</v>
      </c>
      <c r="L2060" s="4">
        <f t="shared" si="120"/>
        <v>-262.72000000000003</v>
      </c>
    </row>
    <row r="2061" spans="1:12" x14ac:dyDescent="0.25">
      <c r="E2061">
        <v>28</v>
      </c>
      <c r="F2061" s="3">
        <v>42048</v>
      </c>
      <c r="G2061" t="s">
        <v>6</v>
      </c>
      <c r="H2061" s="18">
        <v>1550</v>
      </c>
      <c r="J2061" s="20" t="str">
        <f t="shared" si="119"/>
        <v>CHECK</v>
      </c>
      <c r="K2061" t="str">
        <f t="shared" si="118"/>
        <v>CHECK</v>
      </c>
      <c r="L2061" s="4">
        <f t="shared" si="120"/>
        <v>-1550</v>
      </c>
    </row>
    <row r="2062" spans="1:12" x14ac:dyDescent="0.25">
      <c r="E2062">
        <v>32</v>
      </c>
      <c r="F2062" s="3">
        <v>42048</v>
      </c>
      <c r="G2062" t="s">
        <v>7</v>
      </c>
      <c r="H2062" s="18">
        <v>3618.57</v>
      </c>
      <c r="J2062" s="20" t="str">
        <f t="shared" si="119"/>
        <v>CHECK</v>
      </c>
      <c r="K2062" t="str">
        <f t="shared" si="118"/>
        <v>CHECK</v>
      </c>
      <c r="L2062" s="4">
        <f t="shared" si="120"/>
        <v>-3618.57</v>
      </c>
    </row>
    <row r="2063" spans="1:12" x14ac:dyDescent="0.25">
      <c r="E2063">
        <v>34</v>
      </c>
      <c r="F2063" s="3">
        <v>42048</v>
      </c>
      <c r="G2063" t="s">
        <v>8</v>
      </c>
      <c r="H2063" s="18">
        <v>170.27</v>
      </c>
      <c r="J2063" s="20" t="str">
        <f t="shared" si="119"/>
        <v>CHECK</v>
      </c>
      <c r="K2063" t="str">
        <f t="shared" si="118"/>
        <v>CHECK</v>
      </c>
      <c r="L2063" s="4">
        <f t="shared" si="120"/>
        <v>-170.27</v>
      </c>
    </row>
    <row r="2064" spans="1:12" x14ac:dyDescent="0.25">
      <c r="E2064">
        <v>40</v>
      </c>
      <c r="F2064" s="3">
        <v>42048</v>
      </c>
      <c r="G2064" t="s">
        <v>9</v>
      </c>
      <c r="H2064" s="18">
        <v>-368.22</v>
      </c>
      <c r="J2064" s="20" t="str">
        <f t="shared" si="119"/>
        <v>CHECK</v>
      </c>
      <c r="K2064" t="str">
        <f t="shared" si="118"/>
        <v>CHECK</v>
      </c>
      <c r="L2064" s="4">
        <f t="shared" si="120"/>
        <v>368.22</v>
      </c>
    </row>
    <row r="2065" spans="5:12" x14ac:dyDescent="0.25">
      <c r="E2065">
        <v>41</v>
      </c>
      <c r="F2065" s="3">
        <v>42048</v>
      </c>
      <c r="G2065" t="s">
        <v>10</v>
      </c>
      <c r="H2065" s="18">
        <v>1157.5999999999999</v>
      </c>
      <c r="J2065" s="20" t="str">
        <f t="shared" si="119"/>
        <v>CHECK</v>
      </c>
      <c r="K2065" t="str">
        <f t="shared" si="118"/>
        <v>CHECK</v>
      </c>
      <c r="L2065" s="4">
        <f t="shared" si="120"/>
        <v>-1157.5999999999999</v>
      </c>
    </row>
    <row r="2066" spans="5:12" x14ac:dyDescent="0.25">
      <c r="E2066">
        <v>77</v>
      </c>
      <c r="F2066" s="3">
        <v>42048</v>
      </c>
      <c r="G2066" t="s">
        <v>11</v>
      </c>
      <c r="H2066" s="18">
        <v>1212.5</v>
      </c>
      <c r="J2066" s="20" t="str">
        <f t="shared" si="119"/>
        <v>CHECK</v>
      </c>
      <c r="K2066" t="str">
        <f t="shared" si="118"/>
        <v>CHECK</v>
      </c>
      <c r="L2066" s="4">
        <f t="shared" si="120"/>
        <v>-1212.5</v>
      </c>
    </row>
    <row r="2067" spans="5:12" x14ac:dyDescent="0.25">
      <c r="E2067">
        <v>86</v>
      </c>
      <c r="F2067" s="3">
        <v>42048</v>
      </c>
      <c r="G2067" t="s">
        <v>12</v>
      </c>
      <c r="H2067" s="18">
        <v>-379.73</v>
      </c>
      <c r="J2067" s="20" t="str">
        <f t="shared" si="119"/>
        <v>CHECK</v>
      </c>
      <c r="K2067" t="str">
        <f t="shared" si="118"/>
        <v>CHECK</v>
      </c>
      <c r="L2067" s="4">
        <f t="shared" si="120"/>
        <v>379.73</v>
      </c>
    </row>
    <row r="2068" spans="5:12" x14ac:dyDescent="0.25">
      <c r="E2068">
        <v>103</v>
      </c>
      <c r="F2068" s="3">
        <v>42048</v>
      </c>
      <c r="G2068" t="s">
        <v>13</v>
      </c>
      <c r="H2068" s="18">
        <v>-484.5</v>
      </c>
      <c r="J2068" s="20" t="str">
        <f t="shared" si="119"/>
        <v>CHECK</v>
      </c>
      <c r="K2068" t="str">
        <f t="shared" si="118"/>
        <v>CHECK</v>
      </c>
      <c r="L2068" s="4">
        <f t="shared" si="120"/>
        <v>484.5</v>
      </c>
    </row>
    <row r="2069" spans="5:12" x14ac:dyDescent="0.25">
      <c r="E2069">
        <v>107</v>
      </c>
      <c r="F2069" s="3">
        <v>42048</v>
      </c>
      <c r="G2069" t="s">
        <v>14</v>
      </c>
      <c r="H2069" s="18">
        <v>2787.5</v>
      </c>
      <c r="J2069" s="20" t="str">
        <f t="shared" si="119"/>
        <v>CHECK</v>
      </c>
      <c r="K2069" t="str">
        <f t="shared" si="118"/>
        <v>CHECK</v>
      </c>
      <c r="L2069" s="4">
        <f t="shared" si="120"/>
        <v>-2787.5</v>
      </c>
    </row>
    <row r="2070" spans="5:12" x14ac:dyDescent="0.25">
      <c r="E2070">
        <v>136</v>
      </c>
      <c r="F2070" s="3">
        <v>42048</v>
      </c>
      <c r="G2070" t="s">
        <v>15</v>
      </c>
      <c r="H2070" s="18">
        <v>765</v>
      </c>
      <c r="J2070" s="20" t="str">
        <f t="shared" si="119"/>
        <v>CHECK</v>
      </c>
      <c r="K2070" t="str">
        <f t="shared" si="118"/>
        <v>CHECK</v>
      </c>
      <c r="L2070" s="4">
        <f t="shared" si="120"/>
        <v>-765</v>
      </c>
    </row>
    <row r="2071" spans="5:12" x14ac:dyDescent="0.25">
      <c r="E2071">
        <v>138</v>
      </c>
      <c r="F2071" s="3">
        <v>42048</v>
      </c>
      <c r="G2071" t="s">
        <v>16</v>
      </c>
      <c r="H2071" s="18">
        <v>382.5</v>
      </c>
      <c r="J2071" s="20" t="str">
        <f t="shared" si="119"/>
        <v>CHECK</v>
      </c>
      <c r="K2071" t="str">
        <f t="shared" si="118"/>
        <v>CHECK</v>
      </c>
      <c r="L2071" s="4">
        <f t="shared" si="120"/>
        <v>-382.5</v>
      </c>
    </row>
    <row r="2072" spans="5:12" x14ac:dyDescent="0.25">
      <c r="E2072">
        <v>185</v>
      </c>
      <c r="F2072" s="3">
        <v>42048</v>
      </c>
      <c r="G2072" t="s">
        <v>17</v>
      </c>
      <c r="H2072" s="18">
        <v>-92</v>
      </c>
      <c r="J2072" s="20" t="str">
        <f t="shared" si="119"/>
        <v>CHECK</v>
      </c>
      <c r="K2072" t="str">
        <f t="shared" si="118"/>
        <v>CHECK</v>
      </c>
      <c r="L2072" s="4">
        <f t="shared" si="120"/>
        <v>92</v>
      </c>
    </row>
    <row r="2073" spans="5:12" x14ac:dyDescent="0.25">
      <c r="E2073">
        <v>222</v>
      </c>
      <c r="F2073" s="3">
        <v>42048</v>
      </c>
      <c r="G2073" t="s">
        <v>18</v>
      </c>
      <c r="H2073" s="18">
        <v>1550</v>
      </c>
      <c r="J2073" s="20" t="str">
        <f t="shared" si="119"/>
        <v>CHECK</v>
      </c>
      <c r="K2073" t="str">
        <f t="shared" si="118"/>
        <v>CHECK</v>
      </c>
      <c r="L2073" s="4">
        <f t="shared" si="120"/>
        <v>-1550</v>
      </c>
    </row>
    <row r="2074" spans="5:12" x14ac:dyDescent="0.25">
      <c r="E2074">
        <v>248</v>
      </c>
      <c r="F2074" s="3">
        <v>42048</v>
      </c>
      <c r="G2074" t="s">
        <v>19</v>
      </c>
      <c r="H2074" s="18">
        <v>-561</v>
      </c>
      <c r="J2074" s="20" t="str">
        <f t="shared" si="119"/>
        <v>CHECK</v>
      </c>
      <c r="K2074" t="str">
        <f t="shared" si="118"/>
        <v>CHECK</v>
      </c>
      <c r="L2074" s="4">
        <f t="shared" si="120"/>
        <v>561</v>
      </c>
    </row>
    <row r="2075" spans="5:12" x14ac:dyDescent="0.25">
      <c r="E2075">
        <v>251</v>
      </c>
      <c r="F2075" s="3">
        <v>42048</v>
      </c>
      <c r="G2075" t="s">
        <v>20</v>
      </c>
      <c r="H2075" s="18">
        <v>1050</v>
      </c>
      <c r="J2075" s="20" t="str">
        <f t="shared" si="119"/>
        <v>CHECK</v>
      </c>
      <c r="K2075" t="str">
        <f t="shared" si="118"/>
        <v>CHECK</v>
      </c>
      <c r="L2075" s="4">
        <f t="shared" si="120"/>
        <v>-1050</v>
      </c>
    </row>
    <row r="2076" spans="5:12" x14ac:dyDescent="0.25">
      <c r="E2076">
        <v>255</v>
      </c>
      <c r="F2076" s="3">
        <v>42048</v>
      </c>
      <c r="G2076" t="s">
        <v>21</v>
      </c>
      <c r="H2076" s="18">
        <v>850</v>
      </c>
      <c r="J2076" s="20" t="str">
        <f t="shared" si="119"/>
        <v>CHECK</v>
      </c>
      <c r="K2076" t="str">
        <f t="shared" si="118"/>
        <v>CHECK</v>
      </c>
      <c r="L2076" s="4">
        <f t="shared" si="120"/>
        <v>-850</v>
      </c>
    </row>
    <row r="2077" spans="5:12" x14ac:dyDescent="0.25">
      <c r="E2077">
        <v>261</v>
      </c>
      <c r="F2077" s="3">
        <v>42048</v>
      </c>
      <c r="G2077" t="s">
        <v>22</v>
      </c>
      <c r="H2077" s="18">
        <v>1585.48</v>
      </c>
      <c r="J2077" s="20" t="str">
        <f t="shared" si="119"/>
        <v>CHECK</v>
      </c>
      <c r="K2077" t="str">
        <f t="shared" si="118"/>
        <v>CHECK</v>
      </c>
      <c r="L2077" s="4">
        <f t="shared" si="120"/>
        <v>-1585.48</v>
      </c>
    </row>
    <row r="2078" spans="5:12" x14ac:dyDescent="0.25">
      <c r="E2078">
        <v>282</v>
      </c>
      <c r="F2078" s="3">
        <v>42048</v>
      </c>
      <c r="G2078" t="s">
        <v>23</v>
      </c>
      <c r="H2078" s="18">
        <v>250</v>
      </c>
      <c r="J2078" s="20" t="str">
        <f t="shared" si="119"/>
        <v>CHECK</v>
      </c>
      <c r="K2078" t="str">
        <f t="shared" si="118"/>
        <v>CHECK</v>
      </c>
      <c r="L2078" s="4">
        <f t="shared" si="120"/>
        <v>-250</v>
      </c>
    </row>
    <row r="2079" spans="5:12" x14ac:dyDescent="0.25">
      <c r="E2079">
        <v>289</v>
      </c>
      <c r="F2079" s="3">
        <v>42048</v>
      </c>
      <c r="G2079" t="s">
        <v>24</v>
      </c>
      <c r="H2079" s="18">
        <v>-566</v>
      </c>
      <c r="J2079" s="20" t="str">
        <f t="shared" si="119"/>
        <v>CHECK</v>
      </c>
      <c r="K2079" t="str">
        <f t="shared" si="118"/>
        <v>CHECK</v>
      </c>
      <c r="L2079" s="4">
        <f t="shared" si="120"/>
        <v>566</v>
      </c>
    </row>
    <row r="2080" spans="5:12" x14ac:dyDescent="0.25">
      <c r="E2080">
        <v>326</v>
      </c>
      <c r="F2080" s="3">
        <v>42048</v>
      </c>
      <c r="G2080" t="s">
        <v>25</v>
      </c>
      <c r="H2080" s="18">
        <v>250</v>
      </c>
      <c r="J2080" s="20" t="str">
        <f t="shared" si="119"/>
        <v>CHECK</v>
      </c>
      <c r="K2080" t="str">
        <f t="shared" si="118"/>
        <v>CHECK</v>
      </c>
      <c r="L2080" s="4">
        <f t="shared" si="120"/>
        <v>-250</v>
      </c>
    </row>
    <row r="2081" spans="5:12" x14ac:dyDescent="0.25">
      <c r="E2081">
        <v>328</v>
      </c>
      <c r="F2081" s="3">
        <v>42048</v>
      </c>
      <c r="G2081" t="s">
        <v>26</v>
      </c>
      <c r="H2081" s="18">
        <v>306</v>
      </c>
      <c r="J2081" s="20" t="str">
        <f t="shared" si="119"/>
        <v>CHECK</v>
      </c>
      <c r="K2081" t="str">
        <f t="shared" si="118"/>
        <v>CHECK</v>
      </c>
      <c r="L2081" s="4">
        <f t="shared" si="120"/>
        <v>-306</v>
      </c>
    </row>
    <row r="2082" spans="5:12" x14ac:dyDescent="0.25">
      <c r="E2082">
        <v>332</v>
      </c>
      <c r="F2082" s="3">
        <v>42048</v>
      </c>
      <c r="G2082" t="s">
        <v>27</v>
      </c>
      <c r="H2082" s="18">
        <v>-2065.5</v>
      </c>
      <c r="J2082" s="20" t="str">
        <f t="shared" si="119"/>
        <v>CHECK</v>
      </c>
      <c r="K2082" t="str">
        <f t="shared" si="118"/>
        <v>CHECK</v>
      </c>
      <c r="L2082" s="4">
        <f t="shared" si="120"/>
        <v>2065.5</v>
      </c>
    </row>
    <row r="2083" spans="5:12" x14ac:dyDescent="0.25">
      <c r="E2083">
        <v>343</v>
      </c>
      <c r="F2083" s="3">
        <v>42048</v>
      </c>
      <c r="G2083" t="s">
        <v>28</v>
      </c>
      <c r="H2083" s="18">
        <v>-92</v>
      </c>
      <c r="J2083" s="20" t="str">
        <f t="shared" si="119"/>
        <v>CHECK</v>
      </c>
      <c r="K2083" t="str">
        <f t="shared" si="118"/>
        <v>CHECK</v>
      </c>
      <c r="L2083" s="4">
        <f t="shared" si="120"/>
        <v>92</v>
      </c>
    </row>
    <row r="2084" spans="5:12" x14ac:dyDescent="0.25">
      <c r="E2084">
        <v>365</v>
      </c>
      <c r="F2084" s="3">
        <v>42048</v>
      </c>
      <c r="G2084" t="s">
        <v>29</v>
      </c>
      <c r="H2084" s="18">
        <v>1257.75</v>
      </c>
      <c r="J2084" s="20" t="str">
        <f t="shared" si="119"/>
        <v>CHECK</v>
      </c>
      <c r="K2084" t="str">
        <f t="shared" si="118"/>
        <v>CHECK</v>
      </c>
      <c r="L2084" s="4">
        <f t="shared" si="120"/>
        <v>-1257.75</v>
      </c>
    </row>
    <row r="2085" spans="5:12" x14ac:dyDescent="0.25">
      <c r="E2085">
        <v>379</v>
      </c>
      <c r="F2085" s="3">
        <v>42048</v>
      </c>
      <c r="G2085" t="s">
        <v>30</v>
      </c>
      <c r="H2085" s="18">
        <v>-306.55</v>
      </c>
      <c r="J2085" s="20" t="str">
        <f t="shared" si="119"/>
        <v>CHECK</v>
      </c>
      <c r="K2085" t="str">
        <f t="shared" si="118"/>
        <v>CHECK</v>
      </c>
      <c r="L2085" s="4">
        <f t="shared" si="120"/>
        <v>306.55</v>
      </c>
    </row>
    <row r="2086" spans="5:12" x14ac:dyDescent="0.25">
      <c r="E2086">
        <v>389</v>
      </c>
      <c r="F2086" s="3">
        <v>42048</v>
      </c>
      <c r="G2086" t="s">
        <v>31</v>
      </c>
      <c r="H2086" s="18">
        <v>325</v>
      </c>
      <c r="J2086" s="20" t="str">
        <f t="shared" si="119"/>
        <v>CHECK</v>
      </c>
      <c r="K2086" t="str">
        <f t="shared" si="118"/>
        <v>CHECK</v>
      </c>
      <c r="L2086" s="4">
        <f t="shared" si="120"/>
        <v>-325</v>
      </c>
    </row>
    <row r="2087" spans="5:12" x14ac:dyDescent="0.25">
      <c r="E2087">
        <v>410</v>
      </c>
      <c r="F2087" s="3">
        <v>42048</v>
      </c>
      <c r="G2087" t="s">
        <v>32</v>
      </c>
      <c r="H2087" s="18">
        <v>-917.29</v>
      </c>
      <c r="J2087" s="20" t="str">
        <f t="shared" si="119"/>
        <v>CHECK</v>
      </c>
      <c r="K2087" t="str">
        <f t="shared" si="118"/>
        <v>CHECK</v>
      </c>
      <c r="L2087" s="4">
        <f t="shared" si="120"/>
        <v>917.29</v>
      </c>
    </row>
    <row r="2088" spans="5:12" x14ac:dyDescent="0.25">
      <c r="E2088">
        <v>417</v>
      </c>
      <c r="F2088" s="3">
        <v>42048</v>
      </c>
      <c r="G2088" t="s">
        <v>33</v>
      </c>
      <c r="H2088" s="18">
        <v>715.68</v>
      </c>
      <c r="J2088" s="20" t="str">
        <f t="shared" si="119"/>
        <v>CHECK</v>
      </c>
      <c r="K2088" t="str">
        <f t="shared" si="118"/>
        <v>CHECK</v>
      </c>
      <c r="L2088" s="4">
        <f t="shared" si="120"/>
        <v>-715.68</v>
      </c>
    </row>
    <row r="2089" spans="5:12" x14ac:dyDescent="0.25">
      <c r="E2089">
        <v>480</v>
      </c>
      <c r="F2089" s="3">
        <v>42048</v>
      </c>
      <c r="G2089" t="s">
        <v>34</v>
      </c>
      <c r="H2089" s="18">
        <v>-306.55</v>
      </c>
      <c r="J2089" s="20" t="str">
        <f t="shared" si="119"/>
        <v>CHECK</v>
      </c>
      <c r="K2089" t="str">
        <f t="shared" si="118"/>
        <v>CHECK</v>
      </c>
      <c r="L2089" s="4">
        <f t="shared" si="120"/>
        <v>306.55</v>
      </c>
    </row>
    <row r="2090" spans="5:12" x14ac:dyDescent="0.25">
      <c r="E2090">
        <v>530</v>
      </c>
      <c r="F2090" s="3">
        <v>42048</v>
      </c>
      <c r="G2090" t="s">
        <v>35</v>
      </c>
      <c r="H2090" s="18">
        <v>250</v>
      </c>
      <c r="J2090" s="20" t="str">
        <f t="shared" si="119"/>
        <v>CHECK</v>
      </c>
      <c r="K2090" t="str">
        <f t="shared" si="118"/>
        <v>CHECK</v>
      </c>
      <c r="L2090" s="4">
        <f t="shared" si="120"/>
        <v>-250</v>
      </c>
    </row>
    <row r="2091" spans="5:12" x14ac:dyDescent="0.25">
      <c r="E2091">
        <v>576</v>
      </c>
      <c r="F2091" s="3">
        <v>42048</v>
      </c>
      <c r="G2091" t="s">
        <v>36</v>
      </c>
      <c r="H2091" s="18">
        <v>-203.29</v>
      </c>
      <c r="J2091" s="20" t="str">
        <f t="shared" si="119"/>
        <v>CHECK</v>
      </c>
      <c r="K2091" t="str">
        <f t="shared" si="118"/>
        <v>CHECK</v>
      </c>
      <c r="L2091" s="4">
        <f t="shared" si="120"/>
        <v>203.29</v>
      </c>
    </row>
    <row r="2092" spans="5:12" x14ac:dyDescent="0.25">
      <c r="E2092">
        <v>580</v>
      </c>
      <c r="F2092" s="3">
        <v>42048</v>
      </c>
      <c r="G2092" t="s">
        <v>37</v>
      </c>
      <c r="H2092" s="18">
        <v>250</v>
      </c>
      <c r="J2092" s="20" t="str">
        <f t="shared" si="119"/>
        <v>CHECK</v>
      </c>
      <c r="K2092" t="str">
        <f t="shared" si="118"/>
        <v>CHECK</v>
      </c>
      <c r="L2092" s="4">
        <f t="shared" si="120"/>
        <v>-250</v>
      </c>
    </row>
    <row r="2093" spans="5:12" x14ac:dyDescent="0.25">
      <c r="E2093">
        <v>593</v>
      </c>
      <c r="F2093" s="3">
        <v>42048</v>
      </c>
      <c r="G2093" t="s">
        <v>38</v>
      </c>
      <c r="H2093" s="18">
        <v>892.5</v>
      </c>
      <c r="J2093" s="20" t="str">
        <f t="shared" si="119"/>
        <v>CHECK</v>
      </c>
      <c r="K2093" t="str">
        <f t="shared" si="118"/>
        <v>CHECK</v>
      </c>
      <c r="L2093" s="4">
        <f t="shared" si="120"/>
        <v>-892.5</v>
      </c>
    </row>
    <row r="2094" spans="5:12" x14ac:dyDescent="0.25">
      <c r="E2094">
        <v>607</v>
      </c>
      <c r="F2094" s="3">
        <v>42048</v>
      </c>
      <c r="G2094" t="s">
        <v>39</v>
      </c>
      <c r="H2094" s="18">
        <v>250</v>
      </c>
      <c r="J2094" s="20" t="str">
        <f t="shared" si="119"/>
        <v>CHECK</v>
      </c>
      <c r="K2094" t="str">
        <f t="shared" si="118"/>
        <v>CHECK</v>
      </c>
      <c r="L2094" s="4">
        <f t="shared" si="120"/>
        <v>-250</v>
      </c>
    </row>
    <row r="2095" spans="5:12" x14ac:dyDescent="0.25">
      <c r="E2095">
        <v>616</v>
      </c>
      <c r="F2095" s="3">
        <v>42048</v>
      </c>
      <c r="G2095" t="s">
        <v>40</v>
      </c>
      <c r="H2095" s="18">
        <v>250</v>
      </c>
      <c r="J2095" s="20" t="str">
        <f t="shared" si="119"/>
        <v>CHECK</v>
      </c>
      <c r="K2095" t="str">
        <f t="shared" si="118"/>
        <v>CHECK</v>
      </c>
      <c r="L2095" s="4">
        <f t="shared" si="120"/>
        <v>-250</v>
      </c>
    </row>
    <row r="2096" spans="5:12" x14ac:dyDescent="0.25">
      <c r="E2096">
        <v>632</v>
      </c>
      <c r="F2096" s="3">
        <v>42048</v>
      </c>
      <c r="G2096" t="s">
        <v>41</v>
      </c>
      <c r="H2096" s="18">
        <v>987.5</v>
      </c>
      <c r="J2096" s="20" t="str">
        <f t="shared" si="119"/>
        <v>CHECK</v>
      </c>
      <c r="K2096" t="str">
        <f t="shared" si="118"/>
        <v>CHECK</v>
      </c>
      <c r="L2096" s="4">
        <f t="shared" si="120"/>
        <v>-987.5</v>
      </c>
    </row>
    <row r="2097" spans="5:12" x14ac:dyDescent="0.25">
      <c r="E2097">
        <v>648</v>
      </c>
      <c r="F2097" s="3">
        <v>42048</v>
      </c>
      <c r="G2097" t="s">
        <v>42</v>
      </c>
      <c r="H2097" s="18">
        <v>525</v>
      </c>
      <c r="J2097" s="20" t="str">
        <f t="shared" si="119"/>
        <v>CHECK</v>
      </c>
      <c r="K2097" t="str">
        <f t="shared" si="118"/>
        <v>CHECK</v>
      </c>
      <c r="L2097" s="4">
        <f t="shared" si="120"/>
        <v>-525</v>
      </c>
    </row>
    <row r="2098" spans="5:12" x14ac:dyDescent="0.25">
      <c r="E2098">
        <v>656</v>
      </c>
      <c r="F2098" s="3">
        <v>42048</v>
      </c>
      <c r="G2098" t="s">
        <v>43</v>
      </c>
      <c r="H2098" s="18">
        <v>250</v>
      </c>
      <c r="J2098" s="20" t="str">
        <f t="shared" si="119"/>
        <v>CHECK</v>
      </c>
      <c r="K2098" t="str">
        <f t="shared" si="118"/>
        <v>CHECK</v>
      </c>
      <c r="L2098" s="4">
        <f t="shared" si="120"/>
        <v>-250</v>
      </c>
    </row>
    <row r="2099" spans="5:12" x14ac:dyDescent="0.25">
      <c r="E2099">
        <v>659</v>
      </c>
      <c r="F2099" s="3">
        <v>42048</v>
      </c>
      <c r="G2099" t="s">
        <v>44</v>
      </c>
      <c r="H2099" s="18">
        <v>438.5</v>
      </c>
      <c r="J2099" s="20" t="str">
        <f t="shared" si="119"/>
        <v>CHECK</v>
      </c>
      <c r="K2099" t="str">
        <f t="shared" si="118"/>
        <v>CHECK</v>
      </c>
      <c r="L2099" s="4">
        <f t="shared" si="120"/>
        <v>-438.5</v>
      </c>
    </row>
    <row r="2100" spans="5:12" x14ac:dyDescent="0.25">
      <c r="E2100">
        <v>674</v>
      </c>
      <c r="F2100" s="3">
        <v>42048</v>
      </c>
      <c r="G2100" t="s">
        <v>45</v>
      </c>
      <c r="H2100" s="18">
        <v>250</v>
      </c>
      <c r="J2100" s="20" t="str">
        <f t="shared" si="119"/>
        <v>CHECK</v>
      </c>
      <c r="K2100" t="str">
        <f t="shared" si="118"/>
        <v>CHECK</v>
      </c>
      <c r="L2100" s="4">
        <f t="shared" si="120"/>
        <v>-250</v>
      </c>
    </row>
    <row r="2101" spans="5:12" x14ac:dyDescent="0.25">
      <c r="E2101">
        <v>680</v>
      </c>
      <c r="F2101" s="3">
        <v>42048</v>
      </c>
      <c r="G2101" t="s">
        <v>46</v>
      </c>
      <c r="H2101" s="18">
        <v>-92</v>
      </c>
      <c r="J2101" s="20" t="str">
        <f t="shared" si="119"/>
        <v>CHECK</v>
      </c>
      <c r="K2101" t="str">
        <f t="shared" si="118"/>
        <v>CHECK</v>
      </c>
      <c r="L2101" s="4">
        <f t="shared" si="120"/>
        <v>92</v>
      </c>
    </row>
    <row r="2102" spans="5:12" x14ac:dyDescent="0.25">
      <c r="E2102">
        <v>689</v>
      </c>
      <c r="F2102" s="3">
        <v>42048</v>
      </c>
      <c r="G2102" t="s">
        <v>47</v>
      </c>
      <c r="H2102" s="18">
        <v>475</v>
      </c>
      <c r="J2102" s="20" t="str">
        <f t="shared" si="119"/>
        <v>CHECK</v>
      </c>
      <c r="K2102" t="str">
        <f t="shared" si="118"/>
        <v>CHECK</v>
      </c>
      <c r="L2102" s="4">
        <f t="shared" si="120"/>
        <v>-475</v>
      </c>
    </row>
    <row r="2103" spans="5:12" x14ac:dyDescent="0.25">
      <c r="E2103">
        <v>690</v>
      </c>
      <c r="F2103" s="3">
        <v>42048</v>
      </c>
      <c r="G2103" t="s">
        <v>48</v>
      </c>
      <c r="H2103" s="18">
        <v>-111.67</v>
      </c>
      <c r="J2103" s="20" t="str">
        <f t="shared" si="119"/>
        <v>CHECK</v>
      </c>
      <c r="K2103" t="str">
        <f t="shared" si="118"/>
        <v>CHECK</v>
      </c>
      <c r="L2103" s="4">
        <f t="shared" si="120"/>
        <v>111.67</v>
      </c>
    </row>
    <row r="2104" spans="5:12" x14ac:dyDescent="0.25">
      <c r="E2104">
        <v>691</v>
      </c>
      <c r="F2104" s="3">
        <v>42048</v>
      </c>
      <c r="G2104" t="s">
        <v>49</v>
      </c>
      <c r="H2104" s="18">
        <v>967.39</v>
      </c>
      <c r="J2104" s="20" t="str">
        <f t="shared" si="119"/>
        <v>CHECK</v>
      </c>
      <c r="K2104" t="str">
        <f t="shared" si="118"/>
        <v>CHECK</v>
      </c>
      <c r="L2104" s="4">
        <f t="shared" si="120"/>
        <v>-967.39</v>
      </c>
    </row>
    <row r="2105" spans="5:12" x14ac:dyDescent="0.25">
      <c r="E2105">
        <v>692</v>
      </c>
      <c r="F2105" s="3">
        <v>42048</v>
      </c>
      <c r="G2105" t="s">
        <v>50</v>
      </c>
      <c r="H2105" s="18">
        <v>515</v>
      </c>
      <c r="J2105" s="20" t="str">
        <f t="shared" si="119"/>
        <v>CHECK</v>
      </c>
      <c r="K2105" t="str">
        <f t="shared" si="118"/>
        <v>CHECK</v>
      </c>
      <c r="L2105" s="4">
        <f t="shared" si="120"/>
        <v>-515</v>
      </c>
    </row>
    <row r="2106" spans="5:12" x14ac:dyDescent="0.25">
      <c r="E2106">
        <v>703</v>
      </c>
      <c r="F2106" s="3">
        <v>42048</v>
      </c>
      <c r="G2106" t="s">
        <v>51</v>
      </c>
      <c r="H2106" s="18">
        <v>221</v>
      </c>
      <c r="J2106" s="20" t="str">
        <f t="shared" si="119"/>
        <v>CHECK</v>
      </c>
      <c r="K2106" t="str">
        <f t="shared" si="118"/>
        <v>CHECK</v>
      </c>
      <c r="L2106" s="4">
        <f t="shared" si="120"/>
        <v>-221</v>
      </c>
    </row>
    <row r="2107" spans="5:12" x14ac:dyDescent="0.25">
      <c r="E2107">
        <v>707</v>
      </c>
      <c r="F2107" s="3">
        <v>42048</v>
      </c>
      <c r="G2107" t="s">
        <v>52</v>
      </c>
      <c r="H2107" s="18">
        <v>0</v>
      </c>
      <c r="J2107" s="20" t="str">
        <f t="shared" si="119"/>
        <v>CHECK</v>
      </c>
      <c r="K2107" t="str">
        <f t="shared" si="118"/>
        <v>CHECK</v>
      </c>
      <c r="L2107" s="4">
        <f t="shared" si="120"/>
        <v>0</v>
      </c>
    </row>
    <row r="2108" spans="5:12" x14ac:dyDescent="0.25">
      <c r="E2108">
        <v>726</v>
      </c>
      <c r="F2108" s="3">
        <v>42048</v>
      </c>
      <c r="G2108" t="s">
        <v>53</v>
      </c>
      <c r="H2108" s="18">
        <v>535.5</v>
      </c>
      <c r="J2108" s="20" t="str">
        <f t="shared" si="119"/>
        <v>CHECK</v>
      </c>
      <c r="K2108" t="str">
        <f t="shared" si="118"/>
        <v>CHECK</v>
      </c>
      <c r="L2108" s="4">
        <f t="shared" si="120"/>
        <v>-535.5</v>
      </c>
    </row>
    <row r="2109" spans="5:12" x14ac:dyDescent="0.25">
      <c r="E2109">
        <v>735</v>
      </c>
      <c r="F2109" s="3">
        <v>42048</v>
      </c>
      <c r="G2109" t="s">
        <v>54</v>
      </c>
      <c r="H2109" s="18">
        <v>250</v>
      </c>
      <c r="J2109" s="20" t="str">
        <f t="shared" si="119"/>
        <v>CHECK</v>
      </c>
      <c r="K2109" t="str">
        <f t="shared" si="118"/>
        <v>CHECK</v>
      </c>
      <c r="L2109" s="4">
        <f t="shared" si="120"/>
        <v>-250</v>
      </c>
    </row>
    <row r="2110" spans="5:12" x14ac:dyDescent="0.25">
      <c r="E2110">
        <v>750</v>
      </c>
      <c r="F2110" s="3">
        <v>42048</v>
      </c>
      <c r="G2110" t="s">
        <v>55</v>
      </c>
      <c r="H2110" s="18">
        <v>1377</v>
      </c>
      <c r="J2110" s="20" t="str">
        <f t="shared" si="119"/>
        <v>CHECK</v>
      </c>
      <c r="K2110" t="str">
        <f t="shared" si="118"/>
        <v>CHECK</v>
      </c>
      <c r="L2110" s="4">
        <f t="shared" si="120"/>
        <v>-1377</v>
      </c>
    </row>
    <row r="2111" spans="5:12" x14ac:dyDescent="0.25">
      <c r="E2111">
        <v>758</v>
      </c>
      <c r="F2111" s="3">
        <v>42048</v>
      </c>
      <c r="G2111" t="s">
        <v>56</v>
      </c>
      <c r="H2111" s="18">
        <v>1158</v>
      </c>
      <c r="J2111" s="20" t="str">
        <f t="shared" si="119"/>
        <v>CHECK</v>
      </c>
      <c r="K2111" t="str">
        <f t="shared" si="118"/>
        <v>CHECK</v>
      </c>
      <c r="L2111" s="4">
        <f t="shared" si="120"/>
        <v>-1158</v>
      </c>
    </row>
    <row r="2112" spans="5:12" x14ac:dyDescent="0.25">
      <c r="E2112">
        <v>771</v>
      </c>
      <c r="F2112" s="3">
        <v>42048</v>
      </c>
      <c r="G2112" t="s">
        <v>57</v>
      </c>
      <c r="H2112" s="18">
        <v>325</v>
      </c>
      <c r="J2112" s="20" t="str">
        <f t="shared" si="119"/>
        <v>CHECK</v>
      </c>
      <c r="K2112" t="str">
        <f t="shared" si="118"/>
        <v>CHECK</v>
      </c>
      <c r="L2112" s="4">
        <f t="shared" si="120"/>
        <v>-325</v>
      </c>
    </row>
    <row r="2113" spans="5:12" x14ac:dyDescent="0.25">
      <c r="E2113">
        <v>784</v>
      </c>
      <c r="F2113" s="3">
        <v>42048</v>
      </c>
      <c r="G2113" t="s">
        <v>58</v>
      </c>
      <c r="H2113" s="18">
        <v>-203.48</v>
      </c>
      <c r="J2113" s="20" t="str">
        <f t="shared" si="119"/>
        <v>CHECK</v>
      </c>
      <c r="K2113" t="str">
        <f t="shared" si="118"/>
        <v>CHECK</v>
      </c>
      <c r="L2113" s="4">
        <f t="shared" si="120"/>
        <v>203.48</v>
      </c>
    </row>
    <row r="2114" spans="5:12" x14ac:dyDescent="0.25">
      <c r="E2114">
        <v>809</v>
      </c>
      <c r="F2114" s="3">
        <v>42048</v>
      </c>
      <c r="G2114" t="s">
        <v>59</v>
      </c>
      <c r="H2114" s="18">
        <v>250</v>
      </c>
      <c r="J2114" s="20" t="str">
        <f t="shared" si="119"/>
        <v>CHECK</v>
      </c>
      <c r="K2114" t="str">
        <f t="shared" si="118"/>
        <v>CHECK</v>
      </c>
      <c r="L2114" s="4">
        <f t="shared" si="120"/>
        <v>-250</v>
      </c>
    </row>
    <row r="2115" spans="5:12" x14ac:dyDescent="0.25">
      <c r="E2115">
        <v>817</v>
      </c>
      <c r="F2115" s="3">
        <v>42048</v>
      </c>
      <c r="G2115" t="s">
        <v>60</v>
      </c>
      <c r="H2115" s="18">
        <v>1165.25</v>
      </c>
      <c r="J2115" s="20" t="str">
        <f t="shared" si="119"/>
        <v>CHECK</v>
      </c>
      <c r="K2115" t="str">
        <f t="shared" ref="K2115:K2131" si="121">IF(F2115=B2115,"","CHECK")</f>
        <v>CHECK</v>
      </c>
      <c r="L2115" s="4">
        <f t="shared" si="120"/>
        <v>-1165.25</v>
      </c>
    </row>
    <row r="2116" spans="5:12" x14ac:dyDescent="0.25">
      <c r="E2116">
        <v>823</v>
      </c>
      <c r="F2116" s="3">
        <v>42048</v>
      </c>
      <c r="G2116" t="s">
        <v>61</v>
      </c>
      <c r="H2116" s="18">
        <v>140</v>
      </c>
      <c r="J2116" s="20" t="str">
        <f t="shared" ref="J2116:J2131" si="122">IF(E2116=A2116,"","CHECK")</f>
        <v>CHECK</v>
      </c>
      <c r="K2116" t="str">
        <f t="shared" si="121"/>
        <v>CHECK</v>
      </c>
      <c r="L2116" s="4">
        <f t="shared" ref="L2116:L2131" si="123">C2116-H2116</f>
        <v>-140</v>
      </c>
    </row>
    <row r="2117" spans="5:12" x14ac:dyDescent="0.25">
      <c r="E2117">
        <v>856</v>
      </c>
      <c r="F2117" s="3">
        <v>42048</v>
      </c>
      <c r="G2117" t="s">
        <v>62</v>
      </c>
      <c r="H2117" s="18">
        <v>250</v>
      </c>
      <c r="J2117" s="20" t="str">
        <f t="shared" si="122"/>
        <v>CHECK</v>
      </c>
      <c r="K2117" t="str">
        <f t="shared" si="121"/>
        <v>CHECK</v>
      </c>
      <c r="L2117" s="4">
        <f t="shared" si="123"/>
        <v>-250</v>
      </c>
    </row>
    <row r="2118" spans="5:12" x14ac:dyDescent="0.25">
      <c r="E2118">
        <v>859</v>
      </c>
      <c r="F2118" s="3">
        <v>42048</v>
      </c>
      <c r="G2118" t="s">
        <v>63</v>
      </c>
      <c r="H2118" s="18">
        <v>2175</v>
      </c>
      <c r="J2118" s="20" t="str">
        <f t="shared" si="122"/>
        <v>CHECK</v>
      </c>
      <c r="K2118" t="str">
        <f t="shared" si="121"/>
        <v>CHECK</v>
      </c>
      <c r="L2118" s="4">
        <f t="shared" si="123"/>
        <v>-2175</v>
      </c>
    </row>
    <row r="2119" spans="5:12" x14ac:dyDescent="0.25">
      <c r="E2119">
        <v>860</v>
      </c>
      <c r="F2119" s="3">
        <v>42048</v>
      </c>
      <c r="G2119" t="s">
        <v>64</v>
      </c>
      <c r="H2119" s="18">
        <v>1512.5</v>
      </c>
      <c r="J2119" s="20" t="str">
        <f t="shared" si="122"/>
        <v>CHECK</v>
      </c>
      <c r="K2119" t="str">
        <f t="shared" si="121"/>
        <v>CHECK</v>
      </c>
      <c r="L2119" s="4">
        <f t="shared" si="123"/>
        <v>-1512.5</v>
      </c>
    </row>
    <row r="2120" spans="5:12" x14ac:dyDescent="0.25">
      <c r="E2120">
        <v>875</v>
      </c>
      <c r="F2120" s="3">
        <v>42048</v>
      </c>
      <c r="G2120" t="s">
        <v>65</v>
      </c>
      <c r="H2120" s="18">
        <v>-750</v>
      </c>
      <c r="J2120" s="20" t="str">
        <f t="shared" si="122"/>
        <v>CHECK</v>
      </c>
      <c r="K2120" t="str">
        <f t="shared" si="121"/>
        <v>CHECK</v>
      </c>
      <c r="L2120" s="4">
        <f t="shared" si="123"/>
        <v>750</v>
      </c>
    </row>
    <row r="2121" spans="5:12" x14ac:dyDescent="0.25">
      <c r="E2121">
        <v>897</v>
      </c>
      <c r="F2121" s="3">
        <v>42048</v>
      </c>
      <c r="G2121" t="s">
        <v>66</v>
      </c>
      <c r="H2121" s="18">
        <v>987.5</v>
      </c>
      <c r="J2121" s="20" t="str">
        <f t="shared" si="122"/>
        <v>CHECK</v>
      </c>
      <c r="K2121" t="str">
        <f t="shared" si="121"/>
        <v>CHECK</v>
      </c>
      <c r="L2121" s="4">
        <f t="shared" si="123"/>
        <v>-987.5</v>
      </c>
    </row>
    <row r="2122" spans="5:12" x14ac:dyDescent="0.25">
      <c r="E2122">
        <v>907</v>
      </c>
      <c r="F2122" s="3">
        <v>42048</v>
      </c>
      <c r="G2122" t="s">
        <v>67</v>
      </c>
      <c r="H2122" s="18">
        <v>700</v>
      </c>
      <c r="J2122" s="20" t="str">
        <f t="shared" si="122"/>
        <v>CHECK</v>
      </c>
      <c r="K2122" t="str">
        <f t="shared" si="121"/>
        <v>CHECK</v>
      </c>
      <c r="L2122" s="4">
        <f t="shared" si="123"/>
        <v>-700</v>
      </c>
    </row>
    <row r="2123" spans="5:12" x14ac:dyDescent="0.25">
      <c r="E2123">
        <v>922</v>
      </c>
      <c r="F2123" s="3">
        <v>42048</v>
      </c>
      <c r="G2123" t="s">
        <v>68</v>
      </c>
      <c r="H2123" s="18">
        <v>1125</v>
      </c>
      <c r="J2123" s="20" t="str">
        <f t="shared" si="122"/>
        <v>CHECK</v>
      </c>
      <c r="K2123" t="str">
        <f t="shared" si="121"/>
        <v>CHECK</v>
      </c>
      <c r="L2123" s="4">
        <f t="shared" si="123"/>
        <v>-1125</v>
      </c>
    </row>
    <row r="2124" spans="5:12" x14ac:dyDescent="0.25">
      <c r="E2124">
        <v>927</v>
      </c>
      <c r="F2124" s="3">
        <v>42048</v>
      </c>
      <c r="G2124" t="s">
        <v>69</v>
      </c>
      <c r="H2124" s="18">
        <v>-92</v>
      </c>
      <c r="J2124" s="20" t="str">
        <f t="shared" si="122"/>
        <v>CHECK</v>
      </c>
      <c r="K2124" t="str">
        <f t="shared" si="121"/>
        <v>CHECK</v>
      </c>
      <c r="L2124" s="4">
        <f t="shared" si="123"/>
        <v>92</v>
      </c>
    </row>
    <row r="2125" spans="5:12" x14ac:dyDescent="0.25">
      <c r="E2125">
        <v>945</v>
      </c>
      <c r="F2125" s="3">
        <v>42048</v>
      </c>
      <c r="G2125" t="s">
        <v>70</v>
      </c>
      <c r="H2125" s="18">
        <v>500</v>
      </c>
      <c r="J2125" s="20" t="str">
        <f t="shared" si="122"/>
        <v>CHECK</v>
      </c>
      <c r="K2125" t="str">
        <f t="shared" si="121"/>
        <v>CHECK</v>
      </c>
      <c r="L2125" s="4">
        <f t="shared" si="123"/>
        <v>-500</v>
      </c>
    </row>
    <row r="2126" spans="5:12" x14ac:dyDescent="0.25">
      <c r="E2126">
        <v>964</v>
      </c>
      <c r="F2126" s="3">
        <v>42048</v>
      </c>
      <c r="G2126" t="s">
        <v>71</v>
      </c>
      <c r="H2126" s="18">
        <v>156</v>
      </c>
      <c r="J2126" s="20" t="str">
        <f t="shared" si="122"/>
        <v>CHECK</v>
      </c>
      <c r="K2126" t="str">
        <f t="shared" si="121"/>
        <v>CHECK</v>
      </c>
      <c r="L2126" s="4">
        <f t="shared" si="123"/>
        <v>-156</v>
      </c>
    </row>
    <row r="2127" spans="5:12" x14ac:dyDescent="0.25">
      <c r="E2127">
        <v>966</v>
      </c>
      <c r="F2127" s="3">
        <v>42048</v>
      </c>
      <c r="G2127" t="s">
        <v>72</v>
      </c>
      <c r="H2127" s="18">
        <v>1537.75</v>
      </c>
      <c r="J2127" s="20" t="str">
        <f t="shared" si="122"/>
        <v>CHECK</v>
      </c>
      <c r="K2127" t="str">
        <f t="shared" si="121"/>
        <v>CHECK</v>
      </c>
      <c r="L2127" s="4">
        <f t="shared" si="123"/>
        <v>-1537.75</v>
      </c>
    </row>
    <row r="2128" spans="5:12" x14ac:dyDescent="0.25">
      <c r="E2128">
        <v>991</v>
      </c>
      <c r="F2128" s="3">
        <v>42048</v>
      </c>
      <c r="G2128" t="s">
        <v>73</v>
      </c>
      <c r="H2128" s="18">
        <v>492.25</v>
      </c>
      <c r="J2128" s="20" t="str">
        <f t="shared" si="122"/>
        <v>CHECK</v>
      </c>
      <c r="K2128" t="str">
        <f t="shared" si="121"/>
        <v>CHECK</v>
      </c>
      <c r="L2128" s="4">
        <f t="shared" si="123"/>
        <v>-492.25</v>
      </c>
    </row>
    <row r="2129" spans="5:12" x14ac:dyDescent="0.25">
      <c r="E2129">
        <v>1011</v>
      </c>
      <c r="F2129" s="3">
        <v>42048</v>
      </c>
      <c r="G2129" t="s">
        <v>74</v>
      </c>
      <c r="H2129" s="18">
        <v>-111.67</v>
      </c>
      <c r="J2129" s="20" t="str">
        <f t="shared" si="122"/>
        <v>CHECK</v>
      </c>
      <c r="K2129" t="str">
        <f t="shared" si="121"/>
        <v>CHECK</v>
      </c>
      <c r="L2129" s="4">
        <f t="shared" si="123"/>
        <v>111.67</v>
      </c>
    </row>
    <row r="2130" spans="5:12" x14ac:dyDescent="0.25">
      <c r="E2130">
        <v>1040</v>
      </c>
      <c r="F2130" s="3">
        <v>42048</v>
      </c>
      <c r="G2130" t="s">
        <v>75</v>
      </c>
      <c r="H2130" s="18">
        <v>-111.67</v>
      </c>
      <c r="J2130" s="20" t="str">
        <f t="shared" si="122"/>
        <v>CHECK</v>
      </c>
      <c r="K2130" t="str">
        <f t="shared" si="121"/>
        <v>CHECK</v>
      </c>
      <c r="L2130" s="4">
        <f t="shared" si="123"/>
        <v>111.67</v>
      </c>
    </row>
    <row r="2131" spans="5:12" x14ac:dyDescent="0.25">
      <c r="E2131">
        <v>1043</v>
      </c>
      <c r="F2131" s="3">
        <v>42048</v>
      </c>
      <c r="G2131" t="s">
        <v>76</v>
      </c>
      <c r="H2131" s="18">
        <v>250</v>
      </c>
      <c r="J2131" s="20" t="str">
        <f t="shared" si="122"/>
        <v>CHECK</v>
      </c>
      <c r="K2131" t="str">
        <f t="shared" si="121"/>
        <v>CHECK</v>
      </c>
      <c r="L2131" s="4">
        <f t="shared" si="123"/>
        <v>-250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Wayne</vt:lpstr>
      <vt:lpstr>Historical</vt:lpstr>
      <vt:lpstr>Lists</vt:lpstr>
      <vt:lpstr>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Finance3</dc:creator>
  <cp:lastModifiedBy>RiceCakes</cp:lastModifiedBy>
  <dcterms:created xsi:type="dcterms:W3CDTF">2015-02-23T19:57:22Z</dcterms:created>
  <dcterms:modified xsi:type="dcterms:W3CDTF">2015-02-24T21:15:32Z</dcterms:modified>
</cp:coreProperties>
</file>